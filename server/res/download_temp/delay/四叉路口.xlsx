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hicomtw-my.sharepoint.com/personal/deptdata2_thi_com_tw/Documents/台北鼎漢(A_1500)/1582_114年宜蘭縣號誌設施、時制及路邊停車規劃/Tech/01 時制重整/02_調查資料/02-2_調查表格式/05_延滯格式(鼎漢下載檔)_for系統/"/>
    </mc:Choice>
  </mc:AlternateContent>
  <xr:revisionPtr revIDLastSave="123" documentId="11_AA73FB385617123EC9552E5A1C003EC62F7F7A22" xr6:coauthVersionLast="47" xr6:coauthVersionMax="47" xr10:uidLastSave="{C962DB48-E460-4D73-8791-02575324D6C9}"/>
  <bookViews>
    <workbookView xWindow="-110" yWindow="-110" windowWidth="19420" windowHeight="11500" tabRatio="713" firstSheet="9" activeTab="14" xr2:uid="{00000000-000D-0000-FFFF-FFFF00000000}"/>
  </bookViews>
  <sheets>
    <sheet name="資料儲存" sheetId="11" r:id="rId1"/>
    <sheet name="基本資料" sheetId="5" r:id="rId2"/>
    <sheet name="資料分析" sheetId="17" r:id="rId3"/>
    <sheet name="資料整理" sheetId="18" r:id="rId4"/>
    <sheet name="平日晨峰(0630-0830)" sheetId="20" r:id="rId5"/>
    <sheet name="平日晨峰(07-09)" sheetId="1" r:id="rId6"/>
    <sheet name="平日中午(11-13)" sheetId="12" r:id="rId7"/>
    <sheet name="平日中午(12-14)" sheetId="19" r:id="rId8"/>
    <sheet name="平日昏峰(17-19)" sheetId="8" r:id="rId9"/>
    <sheet name="假日(11-12)" sheetId="16" r:id="rId10"/>
    <sheet name="假日(1430-1530)" sheetId="15" r:id="rId11"/>
    <sheet name="假日(1730-1830)" sheetId="14" r:id="rId12"/>
    <sheet name="假日(16-18)" sheetId="13" r:id="rId13"/>
    <sheet name="假日(17-19)" sheetId="9" r:id="rId14"/>
    <sheet name="假日(16-20)" sheetId="21" r:id="rId15"/>
  </sheets>
  <definedNames>
    <definedName name="_xlnm._FilterDatabase" localSheetId="3" hidden="1">資料整理!$L$5:$L$7</definedName>
    <definedName name="_xlnm._FilterDatabase" localSheetId="0" hidden="1">資料儲存!$A$1:$J$5041</definedName>
    <definedName name="_xlnm.Print_Titles" localSheetId="6">'平日中午(11-13)'!$2:$2</definedName>
    <definedName name="_xlnm.Print_Titles" localSheetId="7">'平日中午(12-14)'!$2:$2</definedName>
    <definedName name="_xlnm.Print_Titles" localSheetId="8">'平日昏峰(17-19)'!$2:$2</definedName>
    <definedName name="_xlnm.Print_Titles" localSheetId="4">'平日晨峰(0630-0830)'!$2:$2</definedName>
    <definedName name="_xlnm.Print_Titles" localSheetId="5">'平日晨峰(07-09)'!$2:$2</definedName>
    <definedName name="_xlnm.Print_Titles" localSheetId="9">'假日(11-12)'!$2:$2</definedName>
    <definedName name="_xlnm.Print_Titles" localSheetId="10">'假日(1430-1530)'!$2:$2</definedName>
    <definedName name="_xlnm.Print_Titles" localSheetId="12">'假日(16-18)'!$2:$2</definedName>
    <definedName name="_xlnm.Print_Titles" localSheetId="14">'假日(16-20)'!$2:$2</definedName>
    <definedName name="_xlnm.Print_Titles" localSheetId="13">'假日(17-19)'!$2:$2</definedName>
    <definedName name="_xlnm.Print_Titles" localSheetId="11">'假日(1730-1830)'!$2:$2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44" i="17" l="1"/>
  <c r="BC44" i="17"/>
  <c r="BB44" i="17"/>
  <c r="AW44" i="17"/>
  <c r="AV44" i="17"/>
  <c r="AU44" i="17"/>
  <c r="AP44" i="17"/>
  <c r="AO44" i="17"/>
  <c r="AN44" i="17"/>
  <c r="BD43" i="17"/>
  <c r="BC43" i="17"/>
  <c r="BB43" i="17"/>
  <c r="AW43" i="17"/>
  <c r="AV43" i="17"/>
  <c r="AU43" i="17"/>
  <c r="AP43" i="17"/>
  <c r="AO43" i="17"/>
  <c r="AN43" i="17"/>
  <c r="BD42" i="17"/>
  <c r="BC42" i="17"/>
  <c r="BB42" i="17"/>
  <c r="AW42" i="17"/>
  <c r="AV42" i="17"/>
  <c r="AU42" i="17"/>
  <c r="AP42" i="17"/>
  <c r="AO42" i="17"/>
  <c r="AN42" i="17"/>
  <c r="BD41" i="17"/>
  <c r="BC41" i="17"/>
  <c r="BB41" i="17"/>
  <c r="AW41" i="17"/>
  <c r="AV41" i="17"/>
  <c r="AU41" i="17"/>
  <c r="AP41" i="17"/>
  <c r="AO41" i="17"/>
  <c r="AN41" i="17"/>
  <c r="C34" i="5"/>
  <c r="E30" i="5"/>
  <c r="A30" i="5"/>
  <c r="C26" i="5"/>
  <c r="BT51" i="17" l="1"/>
  <c r="BT52" i="17"/>
  <c r="AC305" i="21" l="1"/>
  <c r="AC292" i="21"/>
  <c r="AD292" i="21"/>
  <c r="AE292" i="21"/>
  <c r="AF292" i="21"/>
  <c r="AG292" i="21"/>
  <c r="AH292" i="21"/>
  <c r="AI292" i="21"/>
  <c r="AC293" i="21"/>
  <c r="AD293" i="21"/>
  <c r="AE293" i="21"/>
  <c r="AF293" i="21"/>
  <c r="AG293" i="21"/>
  <c r="AH293" i="21"/>
  <c r="AI293" i="21"/>
  <c r="AC294" i="21"/>
  <c r="AD294" i="21"/>
  <c r="AE294" i="21"/>
  <c r="AF294" i="21"/>
  <c r="AG294" i="21"/>
  <c r="AH294" i="21"/>
  <c r="AI294" i="21"/>
  <c r="AC295" i="21"/>
  <c r="AD295" i="21"/>
  <c r="AE295" i="21"/>
  <c r="AF295" i="21"/>
  <c r="AG295" i="21"/>
  <c r="AH295" i="21"/>
  <c r="AI295" i="21"/>
  <c r="AC296" i="21"/>
  <c r="AD296" i="21"/>
  <c r="AE296" i="21"/>
  <c r="AF296" i="21"/>
  <c r="AG296" i="21"/>
  <c r="AH296" i="21"/>
  <c r="AI296" i="21"/>
  <c r="AC297" i="21"/>
  <c r="AD297" i="21"/>
  <c r="AE297" i="21"/>
  <c r="AF297" i="21"/>
  <c r="AG297" i="21"/>
  <c r="AH297" i="21"/>
  <c r="AI297" i="21"/>
  <c r="AC298" i="21"/>
  <c r="AD298" i="21"/>
  <c r="AE298" i="21"/>
  <c r="AF298" i="21"/>
  <c r="AG298" i="21"/>
  <c r="AH298" i="21"/>
  <c r="AI298" i="21"/>
  <c r="AC299" i="21"/>
  <c r="AD299" i="21"/>
  <c r="AE299" i="21"/>
  <c r="AF299" i="21"/>
  <c r="AG299" i="21"/>
  <c r="AH299" i="21"/>
  <c r="AI299" i="21"/>
  <c r="AC300" i="21"/>
  <c r="AD300" i="21"/>
  <c r="AE300" i="21"/>
  <c r="AF300" i="21"/>
  <c r="AG300" i="21"/>
  <c r="AH300" i="21"/>
  <c r="AI300" i="21"/>
  <c r="AC301" i="21"/>
  <c r="AD301" i="21"/>
  <c r="AE301" i="21"/>
  <c r="AF301" i="21"/>
  <c r="AG301" i="21"/>
  <c r="AH301" i="21"/>
  <c r="AI301" i="21"/>
  <c r="AC302" i="21"/>
  <c r="AD302" i="21"/>
  <c r="AE302" i="21"/>
  <c r="AF302" i="21"/>
  <c r="AG302" i="21"/>
  <c r="AH302" i="21"/>
  <c r="AI302" i="21"/>
  <c r="AC303" i="21"/>
  <c r="AD303" i="21"/>
  <c r="AE303" i="21"/>
  <c r="AF303" i="21"/>
  <c r="AG303" i="21"/>
  <c r="AH303" i="21"/>
  <c r="AI303" i="21"/>
  <c r="AC304" i="21"/>
  <c r="AD304" i="21"/>
  <c r="AE304" i="21"/>
  <c r="AF304" i="21"/>
  <c r="AG304" i="21"/>
  <c r="AH304" i="21"/>
  <c r="AI304" i="21"/>
  <c r="AD305" i="21"/>
  <c r="AE305" i="21"/>
  <c r="AF305" i="21"/>
  <c r="AG305" i="21"/>
  <c r="AH305" i="21"/>
  <c r="AI305" i="21"/>
  <c r="AD291" i="21"/>
  <c r="AE291" i="21"/>
  <c r="AF291" i="21"/>
  <c r="AG291" i="21"/>
  <c r="AH291" i="21"/>
  <c r="AI291" i="21"/>
  <c r="AC291" i="21"/>
  <c r="AC286" i="21"/>
  <c r="AD286" i="21"/>
  <c r="AC273" i="21"/>
  <c r="AD273" i="21"/>
  <c r="AE273" i="21"/>
  <c r="AF273" i="21"/>
  <c r="AG273" i="21"/>
  <c r="AH273" i="21"/>
  <c r="AI273" i="21"/>
  <c r="AC274" i="21"/>
  <c r="AD274" i="21"/>
  <c r="AE274" i="21"/>
  <c r="AF274" i="21"/>
  <c r="AG274" i="21"/>
  <c r="AH274" i="21"/>
  <c r="AI274" i="21"/>
  <c r="AC275" i="21"/>
  <c r="AD275" i="21"/>
  <c r="AE275" i="21"/>
  <c r="AF275" i="21"/>
  <c r="AG275" i="21"/>
  <c r="AH275" i="21"/>
  <c r="AI275" i="21"/>
  <c r="AC276" i="21"/>
  <c r="AD276" i="21"/>
  <c r="AE276" i="21"/>
  <c r="AF276" i="21"/>
  <c r="AG276" i="21"/>
  <c r="AH276" i="21"/>
  <c r="AI276" i="21"/>
  <c r="AC277" i="21"/>
  <c r="AD277" i="21"/>
  <c r="AE277" i="21"/>
  <c r="AF277" i="21"/>
  <c r="AG277" i="21"/>
  <c r="AH277" i="21"/>
  <c r="AI277" i="21"/>
  <c r="AC278" i="21"/>
  <c r="AD278" i="21"/>
  <c r="AE278" i="21"/>
  <c r="AF278" i="21"/>
  <c r="AG278" i="21"/>
  <c r="AH278" i="21"/>
  <c r="AI278" i="21"/>
  <c r="AC279" i="21"/>
  <c r="AD279" i="21"/>
  <c r="AE279" i="21"/>
  <c r="AF279" i="21"/>
  <c r="AG279" i="21"/>
  <c r="AH279" i="21"/>
  <c r="AI279" i="21"/>
  <c r="AC280" i="21"/>
  <c r="AD280" i="21"/>
  <c r="AE280" i="21"/>
  <c r="AF280" i="21"/>
  <c r="AG280" i="21"/>
  <c r="AH280" i="21"/>
  <c r="AI280" i="21"/>
  <c r="AC281" i="21"/>
  <c r="AD281" i="21"/>
  <c r="AE281" i="21"/>
  <c r="AF281" i="21"/>
  <c r="AG281" i="21"/>
  <c r="AH281" i="21"/>
  <c r="AI281" i="21"/>
  <c r="AC282" i="21"/>
  <c r="AD282" i="21"/>
  <c r="AE282" i="21"/>
  <c r="AF282" i="21"/>
  <c r="AG282" i="21"/>
  <c r="AH282" i="21"/>
  <c r="AI282" i="21"/>
  <c r="AC283" i="21"/>
  <c r="AD283" i="21"/>
  <c r="AE283" i="21"/>
  <c r="AF283" i="21"/>
  <c r="AG283" i="21"/>
  <c r="AH283" i="21"/>
  <c r="AI283" i="21"/>
  <c r="AC284" i="21"/>
  <c r="AD284" i="21"/>
  <c r="AE284" i="21"/>
  <c r="AF284" i="21"/>
  <c r="AG284" i="21"/>
  <c r="AH284" i="21"/>
  <c r="AI284" i="21"/>
  <c r="AC285" i="21"/>
  <c r="AD285" i="21"/>
  <c r="AE285" i="21"/>
  <c r="AF285" i="21"/>
  <c r="AG285" i="21"/>
  <c r="AH285" i="21"/>
  <c r="AI285" i="21"/>
  <c r="AE286" i="21"/>
  <c r="AF286" i="21"/>
  <c r="AG286" i="21"/>
  <c r="AH286" i="21"/>
  <c r="AI286" i="21"/>
  <c r="AD272" i="21"/>
  <c r="AE272" i="21"/>
  <c r="AF272" i="21"/>
  <c r="AG272" i="21"/>
  <c r="AH272" i="21"/>
  <c r="AI272" i="21"/>
  <c r="AC272" i="21"/>
  <c r="AC267" i="21"/>
  <c r="AC254" i="21"/>
  <c r="AD254" i="21"/>
  <c r="AE254" i="21"/>
  <c r="AF254" i="21"/>
  <c r="AG254" i="21"/>
  <c r="AH254" i="21"/>
  <c r="AI254" i="21"/>
  <c r="AC255" i="21"/>
  <c r="AD255" i="21"/>
  <c r="AE255" i="21"/>
  <c r="AF255" i="21"/>
  <c r="AG255" i="21"/>
  <c r="AH255" i="21"/>
  <c r="AI255" i="21"/>
  <c r="AC256" i="21"/>
  <c r="AD256" i="21"/>
  <c r="AE256" i="21"/>
  <c r="AF256" i="21"/>
  <c r="AG256" i="21"/>
  <c r="AH256" i="21"/>
  <c r="AI256" i="21"/>
  <c r="AC257" i="21"/>
  <c r="AD257" i="21"/>
  <c r="AE257" i="21"/>
  <c r="AF257" i="21"/>
  <c r="AG257" i="21"/>
  <c r="AH257" i="21"/>
  <c r="AI257" i="21"/>
  <c r="AC258" i="21"/>
  <c r="AD258" i="21"/>
  <c r="AE258" i="21"/>
  <c r="AF258" i="21"/>
  <c r="AG258" i="21"/>
  <c r="AH258" i="21"/>
  <c r="AI258" i="21"/>
  <c r="AC259" i="21"/>
  <c r="AD259" i="21"/>
  <c r="AE259" i="21"/>
  <c r="AF259" i="21"/>
  <c r="AG259" i="21"/>
  <c r="AH259" i="21"/>
  <c r="AI259" i="21"/>
  <c r="AC260" i="21"/>
  <c r="AD260" i="21"/>
  <c r="AE260" i="21"/>
  <c r="AF260" i="21"/>
  <c r="AG260" i="21"/>
  <c r="AH260" i="21"/>
  <c r="AI260" i="21"/>
  <c r="AC261" i="21"/>
  <c r="AD261" i="21"/>
  <c r="AE261" i="21"/>
  <c r="AF261" i="21"/>
  <c r="AG261" i="21"/>
  <c r="AH261" i="21"/>
  <c r="AI261" i="21"/>
  <c r="AC262" i="21"/>
  <c r="AD262" i="21"/>
  <c r="AE262" i="21"/>
  <c r="AF262" i="21"/>
  <c r="AG262" i="21"/>
  <c r="AH262" i="21"/>
  <c r="AI262" i="21"/>
  <c r="AC263" i="21"/>
  <c r="AD263" i="21"/>
  <c r="AE263" i="21"/>
  <c r="AF263" i="21"/>
  <c r="AG263" i="21"/>
  <c r="AH263" i="21"/>
  <c r="AI263" i="21"/>
  <c r="AC264" i="21"/>
  <c r="AD264" i="21"/>
  <c r="AE264" i="21"/>
  <c r="AF264" i="21"/>
  <c r="AG264" i="21"/>
  <c r="AH264" i="21"/>
  <c r="AI264" i="21"/>
  <c r="AC265" i="21"/>
  <c r="AD265" i="21"/>
  <c r="AE265" i="21"/>
  <c r="AF265" i="21"/>
  <c r="AG265" i="21"/>
  <c r="AH265" i="21"/>
  <c r="AI265" i="21"/>
  <c r="AC266" i="21"/>
  <c r="AD266" i="21"/>
  <c r="AE266" i="21"/>
  <c r="AF266" i="21"/>
  <c r="AG266" i="21"/>
  <c r="AH266" i="21"/>
  <c r="AI266" i="21"/>
  <c r="AD267" i="21"/>
  <c r="AE267" i="21"/>
  <c r="AF267" i="21"/>
  <c r="AG267" i="21"/>
  <c r="AH267" i="21"/>
  <c r="AI267" i="21"/>
  <c r="AD253" i="21"/>
  <c r="AE253" i="21"/>
  <c r="AF253" i="21"/>
  <c r="AG253" i="21"/>
  <c r="AH253" i="21"/>
  <c r="AI253" i="21"/>
  <c r="AC253" i="21"/>
  <c r="AC248" i="21"/>
  <c r="AC235" i="21"/>
  <c r="AD235" i="21"/>
  <c r="AE235" i="21"/>
  <c r="AF235" i="21"/>
  <c r="AG235" i="21"/>
  <c r="AH235" i="21"/>
  <c r="AI235" i="21"/>
  <c r="AC236" i="21"/>
  <c r="AD236" i="21"/>
  <c r="AE236" i="21"/>
  <c r="AF236" i="21"/>
  <c r="AG236" i="21"/>
  <c r="AH236" i="21"/>
  <c r="AI236" i="21"/>
  <c r="AC237" i="21"/>
  <c r="AD237" i="21"/>
  <c r="AE237" i="21"/>
  <c r="AF237" i="21"/>
  <c r="AG237" i="21"/>
  <c r="AH237" i="21"/>
  <c r="AI237" i="21"/>
  <c r="AC238" i="21"/>
  <c r="AD238" i="21"/>
  <c r="AE238" i="21"/>
  <c r="AF238" i="21"/>
  <c r="AG238" i="21"/>
  <c r="AH238" i="21"/>
  <c r="AI238" i="21"/>
  <c r="AC239" i="21"/>
  <c r="AD239" i="21"/>
  <c r="AE239" i="21"/>
  <c r="AF239" i="21"/>
  <c r="AG239" i="21"/>
  <c r="AH239" i="21"/>
  <c r="AI239" i="21"/>
  <c r="AC240" i="21"/>
  <c r="AD240" i="21"/>
  <c r="AE240" i="21"/>
  <c r="AF240" i="21"/>
  <c r="AG240" i="21"/>
  <c r="AH240" i="21"/>
  <c r="AI240" i="21"/>
  <c r="AC241" i="21"/>
  <c r="AD241" i="21"/>
  <c r="AE241" i="21"/>
  <c r="AF241" i="21"/>
  <c r="AG241" i="21"/>
  <c r="AH241" i="21"/>
  <c r="AI241" i="21"/>
  <c r="AC242" i="21"/>
  <c r="AD242" i="21"/>
  <c r="AE242" i="21"/>
  <c r="AF242" i="21"/>
  <c r="AG242" i="21"/>
  <c r="AH242" i="21"/>
  <c r="AI242" i="21"/>
  <c r="AC243" i="21"/>
  <c r="AD243" i="21"/>
  <c r="AE243" i="21"/>
  <c r="AF243" i="21"/>
  <c r="AG243" i="21"/>
  <c r="AH243" i="21"/>
  <c r="AI243" i="21"/>
  <c r="AC244" i="21"/>
  <c r="AD244" i="21"/>
  <c r="AE244" i="21"/>
  <c r="AF244" i="21"/>
  <c r="AG244" i="21"/>
  <c r="AH244" i="21"/>
  <c r="AI244" i="21"/>
  <c r="AC245" i="21"/>
  <c r="AD245" i="21"/>
  <c r="AE245" i="21"/>
  <c r="AF245" i="21"/>
  <c r="AG245" i="21"/>
  <c r="AH245" i="21"/>
  <c r="AI245" i="21"/>
  <c r="AC246" i="21"/>
  <c r="AD246" i="21"/>
  <c r="AE246" i="21"/>
  <c r="AF246" i="21"/>
  <c r="AG246" i="21"/>
  <c r="AH246" i="21"/>
  <c r="AI246" i="21"/>
  <c r="AC247" i="21"/>
  <c r="AD247" i="21"/>
  <c r="AE247" i="21"/>
  <c r="AF247" i="21"/>
  <c r="AG247" i="21"/>
  <c r="AH247" i="21"/>
  <c r="AI247" i="21"/>
  <c r="AD248" i="21"/>
  <c r="AE248" i="21"/>
  <c r="AF248" i="21"/>
  <c r="AG248" i="21"/>
  <c r="AH248" i="21"/>
  <c r="AI248" i="21"/>
  <c r="AD234" i="21"/>
  <c r="AE234" i="21"/>
  <c r="AF234" i="21"/>
  <c r="AG234" i="21"/>
  <c r="AH234" i="21"/>
  <c r="AI234" i="21"/>
  <c r="AC234" i="21"/>
  <c r="AC229" i="21"/>
  <c r="AC216" i="21"/>
  <c r="AD216" i="21"/>
  <c r="AE216" i="21"/>
  <c r="AF216" i="21"/>
  <c r="AG216" i="21"/>
  <c r="AH216" i="21"/>
  <c r="AI216" i="21"/>
  <c r="AC217" i="21"/>
  <c r="AD217" i="21"/>
  <c r="AE217" i="21"/>
  <c r="AF217" i="21"/>
  <c r="AG217" i="21"/>
  <c r="AH217" i="21"/>
  <c r="AI217" i="21"/>
  <c r="AC218" i="21"/>
  <c r="AD218" i="21"/>
  <c r="AE218" i="21"/>
  <c r="AF218" i="21"/>
  <c r="AG218" i="21"/>
  <c r="AH218" i="21"/>
  <c r="AI218" i="21"/>
  <c r="AC219" i="21"/>
  <c r="AD219" i="21"/>
  <c r="AE219" i="21"/>
  <c r="AF219" i="21"/>
  <c r="AG219" i="21"/>
  <c r="AH219" i="21"/>
  <c r="AI219" i="21"/>
  <c r="AC220" i="21"/>
  <c r="AD220" i="21"/>
  <c r="AE220" i="21"/>
  <c r="AF220" i="21"/>
  <c r="AG220" i="21"/>
  <c r="AH220" i="21"/>
  <c r="AI220" i="21"/>
  <c r="AC221" i="21"/>
  <c r="AD221" i="21"/>
  <c r="AE221" i="21"/>
  <c r="AF221" i="21"/>
  <c r="AG221" i="21"/>
  <c r="AH221" i="21"/>
  <c r="AI221" i="21"/>
  <c r="AC222" i="21"/>
  <c r="AD222" i="21"/>
  <c r="AE222" i="21"/>
  <c r="AF222" i="21"/>
  <c r="AG222" i="21"/>
  <c r="AH222" i="21"/>
  <c r="AI222" i="21"/>
  <c r="AC223" i="21"/>
  <c r="AD223" i="21"/>
  <c r="AE223" i="21"/>
  <c r="AF223" i="21"/>
  <c r="AG223" i="21"/>
  <c r="AH223" i="21"/>
  <c r="AI223" i="21"/>
  <c r="AC224" i="21"/>
  <c r="AD224" i="21"/>
  <c r="AE224" i="21"/>
  <c r="AF224" i="21"/>
  <c r="AG224" i="21"/>
  <c r="AH224" i="21"/>
  <c r="AI224" i="21"/>
  <c r="AC225" i="21"/>
  <c r="AD225" i="21"/>
  <c r="AE225" i="21"/>
  <c r="AF225" i="21"/>
  <c r="AG225" i="21"/>
  <c r="AH225" i="21"/>
  <c r="AI225" i="21"/>
  <c r="AC226" i="21"/>
  <c r="AD226" i="21"/>
  <c r="AE226" i="21"/>
  <c r="AF226" i="21"/>
  <c r="AG226" i="21"/>
  <c r="AH226" i="21"/>
  <c r="AI226" i="21"/>
  <c r="AC227" i="21"/>
  <c r="AD227" i="21"/>
  <c r="AE227" i="21"/>
  <c r="AF227" i="21"/>
  <c r="AG227" i="21"/>
  <c r="AH227" i="21"/>
  <c r="AI227" i="21"/>
  <c r="AC228" i="21"/>
  <c r="AD228" i="21"/>
  <c r="AE228" i="21"/>
  <c r="AF228" i="21"/>
  <c r="AG228" i="21"/>
  <c r="AH228" i="21"/>
  <c r="AI228" i="21"/>
  <c r="AD229" i="21"/>
  <c r="AE229" i="21"/>
  <c r="AF229" i="21"/>
  <c r="AG229" i="21"/>
  <c r="AH229" i="21"/>
  <c r="AI229" i="21"/>
  <c r="AD215" i="21"/>
  <c r="AE215" i="21"/>
  <c r="AF215" i="21"/>
  <c r="AG215" i="21"/>
  <c r="AH215" i="21"/>
  <c r="AI215" i="21"/>
  <c r="AC215" i="21"/>
  <c r="AC210" i="21"/>
  <c r="AC197" i="21"/>
  <c r="AD197" i="21"/>
  <c r="AE197" i="21"/>
  <c r="AF197" i="21"/>
  <c r="AG197" i="21"/>
  <c r="AH197" i="21"/>
  <c r="AI197" i="21"/>
  <c r="AC198" i="21"/>
  <c r="AD198" i="21"/>
  <c r="AE198" i="21"/>
  <c r="AF198" i="21"/>
  <c r="AG198" i="21"/>
  <c r="AH198" i="21"/>
  <c r="AI198" i="21"/>
  <c r="AC199" i="21"/>
  <c r="AD199" i="21"/>
  <c r="AE199" i="21"/>
  <c r="AF199" i="21"/>
  <c r="AG199" i="21"/>
  <c r="AH199" i="21"/>
  <c r="AI199" i="21"/>
  <c r="AC200" i="21"/>
  <c r="AD200" i="21"/>
  <c r="AE200" i="21"/>
  <c r="AF200" i="21"/>
  <c r="AG200" i="21"/>
  <c r="AH200" i="21"/>
  <c r="AI200" i="21"/>
  <c r="AC201" i="21"/>
  <c r="AD201" i="21"/>
  <c r="AE201" i="21"/>
  <c r="AF201" i="21"/>
  <c r="AG201" i="21"/>
  <c r="AH201" i="21"/>
  <c r="AI201" i="21"/>
  <c r="AC202" i="21"/>
  <c r="AD202" i="21"/>
  <c r="AE202" i="21"/>
  <c r="AF202" i="21"/>
  <c r="AG202" i="21"/>
  <c r="AH202" i="21"/>
  <c r="AI202" i="21"/>
  <c r="AC203" i="21"/>
  <c r="AD203" i="21"/>
  <c r="AE203" i="21"/>
  <c r="AF203" i="21"/>
  <c r="AG203" i="21"/>
  <c r="AH203" i="21"/>
  <c r="AI203" i="21"/>
  <c r="AC204" i="21"/>
  <c r="AD204" i="21"/>
  <c r="AE204" i="21"/>
  <c r="AF204" i="21"/>
  <c r="AG204" i="21"/>
  <c r="AH204" i="21"/>
  <c r="AI204" i="21"/>
  <c r="AC205" i="21"/>
  <c r="AD205" i="21"/>
  <c r="AE205" i="21"/>
  <c r="AF205" i="21"/>
  <c r="AG205" i="21"/>
  <c r="AH205" i="21"/>
  <c r="AI205" i="21"/>
  <c r="AC206" i="21"/>
  <c r="AD206" i="21"/>
  <c r="AE206" i="21"/>
  <c r="AF206" i="21"/>
  <c r="AG206" i="21"/>
  <c r="AH206" i="21"/>
  <c r="AI206" i="21"/>
  <c r="AC207" i="21"/>
  <c r="AD207" i="21"/>
  <c r="AE207" i="21"/>
  <c r="AF207" i="21"/>
  <c r="AG207" i="21"/>
  <c r="AH207" i="21"/>
  <c r="AI207" i="21"/>
  <c r="AC208" i="21"/>
  <c r="AD208" i="21"/>
  <c r="AE208" i="21"/>
  <c r="AF208" i="21"/>
  <c r="AG208" i="21"/>
  <c r="AH208" i="21"/>
  <c r="AI208" i="21"/>
  <c r="AC209" i="21"/>
  <c r="AD209" i="21"/>
  <c r="AE209" i="21"/>
  <c r="AF209" i="21"/>
  <c r="AG209" i="21"/>
  <c r="AH209" i="21"/>
  <c r="AI209" i="21"/>
  <c r="AD210" i="21"/>
  <c r="AE210" i="21"/>
  <c r="AF210" i="21"/>
  <c r="AG210" i="21"/>
  <c r="AH210" i="21"/>
  <c r="AI210" i="21"/>
  <c r="AD196" i="21"/>
  <c r="AE196" i="21"/>
  <c r="AF196" i="21"/>
  <c r="AG196" i="21"/>
  <c r="AH196" i="21"/>
  <c r="AI196" i="21"/>
  <c r="AC196" i="21"/>
  <c r="AC191" i="21"/>
  <c r="AC178" i="21"/>
  <c r="AD178" i="21"/>
  <c r="AE178" i="21"/>
  <c r="AF178" i="21"/>
  <c r="AG178" i="21"/>
  <c r="AH178" i="21"/>
  <c r="AI178" i="21"/>
  <c r="AC179" i="21"/>
  <c r="AD179" i="21"/>
  <c r="AE179" i="21"/>
  <c r="AF179" i="21"/>
  <c r="AG179" i="21"/>
  <c r="AH179" i="21"/>
  <c r="AI179" i="21"/>
  <c r="AC180" i="21"/>
  <c r="AD180" i="21"/>
  <c r="AE180" i="21"/>
  <c r="AF180" i="21"/>
  <c r="AG180" i="21"/>
  <c r="AH180" i="21"/>
  <c r="AI180" i="21"/>
  <c r="AC181" i="21"/>
  <c r="AD181" i="21"/>
  <c r="AE181" i="21"/>
  <c r="AF181" i="21"/>
  <c r="AG181" i="21"/>
  <c r="AH181" i="21"/>
  <c r="AI181" i="21"/>
  <c r="AC182" i="21"/>
  <c r="AD182" i="21"/>
  <c r="AE182" i="21"/>
  <c r="AF182" i="21"/>
  <c r="AG182" i="21"/>
  <c r="AH182" i="21"/>
  <c r="AI182" i="21"/>
  <c r="AC183" i="21"/>
  <c r="AD183" i="21"/>
  <c r="AE183" i="21"/>
  <c r="AF183" i="21"/>
  <c r="AG183" i="21"/>
  <c r="AH183" i="21"/>
  <c r="AI183" i="21"/>
  <c r="AC184" i="21"/>
  <c r="AD184" i="21"/>
  <c r="AE184" i="21"/>
  <c r="AF184" i="21"/>
  <c r="AG184" i="21"/>
  <c r="AH184" i="21"/>
  <c r="AI184" i="21"/>
  <c r="AC185" i="21"/>
  <c r="AD185" i="21"/>
  <c r="AE185" i="21"/>
  <c r="AF185" i="21"/>
  <c r="AG185" i="21"/>
  <c r="AH185" i="21"/>
  <c r="AI185" i="21"/>
  <c r="AC186" i="21"/>
  <c r="AD186" i="21"/>
  <c r="AE186" i="21"/>
  <c r="AF186" i="21"/>
  <c r="AG186" i="21"/>
  <c r="AH186" i="21"/>
  <c r="AI186" i="21"/>
  <c r="AC187" i="21"/>
  <c r="AD187" i="21"/>
  <c r="AE187" i="21"/>
  <c r="AF187" i="21"/>
  <c r="AG187" i="21"/>
  <c r="AH187" i="21"/>
  <c r="AI187" i="21"/>
  <c r="AC188" i="21"/>
  <c r="AD188" i="21"/>
  <c r="AE188" i="21"/>
  <c r="AF188" i="21"/>
  <c r="AG188" i="21"/>
  <c r="AH188" i="21"/>
  <c r="AI188" i="21"/>
  <c r="AC189" i="21"/>
  <c r="AD189" i="21"/>
  <c r="AE189" i="21"/>
  <c r="AF189" i="21"/>
  <c r="AG189" i="21"/>
  <c r="AH189" i="21"/>
  <c r="AI189" i="21"/>
  <c r="AC190" i="21"/>
  <c r="AD190" i="21"/>
  <c r="AE190" i="21"/>
  <c r="AF190" i="21"/>
  <c r="AG190" i="21"/>
  <c r="AH190" i="21"/>
  <c r="AI190" i="21"/>
  <c r="AD191" i="21"/>
  <c r="AE191" i="21"/>
  <c r="AF191" i="21"/>
  <c r="AG191" i="21"/>
  <c r="AH191" i="21"/>
  <c r="AI191" i="21"/>
  <c r="AD177" i="21"/>
  <c r="AE177" i="21"/>
  <c r="AF177" i="21"/>
  <c r="AG177" i="21"/>
  <c r="AH177" i="21"/>
  <c r="AI177" i="21"/>
  <c r="AC177" i="21"/>
  <c r="AC172" i="21"/>
  <c r="AC159" i="21"/>
  <c r="AD159" i="21"/>
  <c r="AE159" i="21"/>
  <c r="AF159" i="21"/>
  <c r="AG159" i="21"/>
  <c r="AH159" i="21"/>
  <c r="AI159" i="21"/>
  <c r="AC160" i="21"/>
  <c r="AD160" i="21"/>
  <c r="AE160" i="21"/>
  <c r="AF160" i="21"/>
  <c r="AG160" i="21"/>
  <c r="AH160" i="21"/>
  <c r="AI160" i="21"/>
  <c r="AC161" i="21"/>
  <c r="AD161" i="21"/>
  <c r="AE161" i="21"/>
  <c r="AF161" i="21"/>
  <c r="AG161" i="21"/>
  <c r="AH161" i="21"/>
  <c r="AI161" i="21"/>
  <c r="AC162" i="21"/>
  <c r="AD162" i="21"/>
  <c r="AE162" i="21"/>
  <c r="AF162" i="21"/>
  <c r="AG162" i="21"/>
  <c r="AH162" i="21"/>
  <c r="AI162" i="21"/>
  <c r="AC163" i="21"/>
  <c r="AD163" i="21"/>
  <c r="AE163" i="21"/>
  <c r="AF163" i="21"/>
  <c r="AG163" i="21"/>
  <c r="AH163" i="21"/>
  <c r="AI163" i="21"/>
  <c r="AC164" i="21"/>
  <c r="AD164" i="21"/>
  <c r="AE164" i="21"/>
  <c r="AF164" i="21"/>
  <c r="AG164" i="21"/>
  <c r="AH164" i="21"/>
  <c r="AI164" i="21"/>
  <c r="AC165" i="21"/>
  <c r="AD165" i="21"/>
  <c r="AE165" i="21"/>
  <c r="AF165" i="21"/>
  <c r="AG165" i="21"/>
  <c r="AH165" i="21"/>
  <c r="AI165" i="21"/>
  <c r="AC166" i="21"/>
  <c r="AD166" i="21"/>
  <c r="AE166" i="21"/>
  <c r="AF166" i="21"/>
  <c r="AG166" i="21"/>
  <c r="AH166" i="21"/>
  <c r="AI166" i="21"/>
  <c r="AC167" i="21"/>
  <c r="AD167" i="21"/>
  <c r="AE167" i="21"/>
  <c r="AF167" i="21"/>
  <c r="AG167" i="21"/>
  <c r="AH167" i="21"/>
  <c r="AI167" i="21"/>
  <c r="AC168" i="21"/>
  <c r="AD168" i="21"/>
  <c r="AE168" i="21"/>
  <c r="AF168" i="21"/>
  <c r="AG168" i="21"/>
  <c r="AH168" i="21"/>
  <c r="AI168" i="21"/>
  <c r="AC169" i="21"/>
  <c r="AD169" i="21"/>
  <c r="AE169" i="21"/>
  <c r="AF169" i="21"/>
  <c r="AG169" i="21"/>
  <c r="AH169" i="21"/>
  <c r="AI169" i="21"/>
  <c r="AC170" i="21"/>
  <c r="AD170" i="21"/>
  <c r="AE170" i="21"/>
  <c r="AF170" i="21"/>
  <c r="AG170" i="21"/>
  <c r="AH170" i="21"/>
  <c r="AI170" i="21"/>
  <c r="AC171" i="21"/>
  <c r="AD171" i="21"/>
  <c r="AE171" i="21"/>
  <c r="AF171" i="21"/>
  <c r="AG171" i="21"/>
  <c r="AH171" i="21"/>
  <c r="AI171" i="21"/>
  <c r="AD172" i="21"/>
  <c r="AE172" i="21"/>
  <c r="AF172" i="21"/>
  <c r="AG172" i="21"/>
  <c r="AH172" i="21"/>
  <c r="AI172" i="21"/>
  <c r="AD158" i="21"/>
  <c r="AE158" i="21"/>
  <c r="AF158" i="21"/>
  <c r="AG158" i="21"/>
  <c r="AH158" i="21"/>
  <c r="AI158" i="21"/>
  <c r="AC158" i="21"/>
  <c r="AC153" i="21"/>
  <c r="AC140" i="21"/>
  <c r="AD140" i="21"/>
  <c r="AE140" i="21"/>
  <c r="AF140" i="21"/>
  <c r="AG140" i="21"/>
  <c r="AH140" i="21"/>
  <c r="AI140" i="21"/>
  <c r="AC141" i="21"/>
  <c r="AD141" i="21"/>
  <c r="AE141" i="21"/>
  <c r="AF141" i="21"/>
  <c r="AG141" i="21"/>
  <c r="AH141" i="21"/>
  <c r="AI141" i="21"/>
  <c r="AC142" i="21"/>
  <c r="AD142" i="21"/>
  <c r="AE142" i="21"/>
  <c r="AF142" i="21"/>
  <c r="AG142" i="21"/>
  <c r="AH142" i="21"/>
  <c r="AI142" i="21"/>
  <c r="AC143" i="21"/>
  <c r="AD143" i="21"/>
  <c r="AE143" i="21"/>
  <c r="AF143" i="21"/>
  <c r="AG143" i="21"/>
  <c r="AH143" i="21"/>
  <c r="AI143" i="21"/>
  <c r="AC144" i="21"/>
  <c r="AD144" i="21"/>
  <c r="AE144" i="21"/>
  <c r="AF144" i="21"/>
  <c r="AG144" i="21"/>
  <c r="AH144" i="21"/>
  <c r="AI144" i="21"/>
  <c r="AC145" i="21"/>
  <c r="AD145" i="21"/>
  <c r="AE145" i="21"/>
  <c r="AF145" i="21"/>
  <c r="AG145" i="21"/>
  <c r="AH145" i="21"/>
  <c r="AI145" i="21"/>
  <c r="AC146" i="21"/>
  <c r="AD146" i="21"/>
  <c r="AE146" i="21"/>
  <c r="AF146" i="21"/>
  <c r="AG146" i="21"/>
  <c r="AH146" i="21"/>
  <c r="AI146" i="21"/>
  <c r="AC147" i="21"/>
  <c r="AD147" i="21"/>
  <c r="AE147" i="21"/>
  <c r="AF147" i="21"/>
  <c r="AG147" i="21"/>
  <c r="AH147" i="21"/>
  <c r="AI147" i="21"/>
  <c r="AC148" i="21"/>
  <c r="AD148" i="21"/>
  <c r="AE148" i="21"/>
  <c r="AF148" i="21"/>
  <c r="AG148" i="21"/>
  <c r="AH148" i="21"/>
  <c r="AI148" i="21"/>
  <c r="AC149" i="21"/>
  <c r="AD149" i="21"/>
  <c r="AE149" i="21"/>
  <c r="AF149" i="21"/>
  <c r="AG149" i="21"/>
  <c r="AH149" i="21"/>
  <c r="AI149" i="21"/>
  <c r="AC150" i="21"/>
  <c r="AD150" i="21"/>
  <c r="AE150" i="21"/>
  <c r="AF150" i="21"/>
  <c r="AG150" i="21"/>
  <c r="AH150" i="21"/>
  <c r="AI150" i="21"/>
  <c r="AC151" i="21"/>
  <c r="AD151" i="21"/>
  <c r="AE151" i="21"/>
  <c r="AF151" i="21"/>
  <c r="AG151" i="21"/>
  <c r="AH151" i="21"/>
  <c r="AI151" i="21"/>
  <c r="AC152" i="21"/>
  <c r="AD152" i="21"/>
  <c r="AE152" i="21"/>
  <c r="AF152" i="21"/>
  <c r="AG152" i="21"/>
  <c r="AH152" i="21"/>
  <c r="AI152" i="21"/>
  <c r="AD153" i="21"/>
  <c r="AE153" i="21"/>
  <c r="AF153" i="21"/>
  <c r="AG153" i="21"/>
  <c r="AH153" i="21"/>
  <c r="AI153" i="21"/>
  <c r="AD139" i="21"/>
  <c r="AE139" i="21"/>
  <c r="AF139" i="21"/>
  <c r="AG139" i="21"/>
  <c r="AH139" i="21"/>
  <c r="AI139" i="21"/>
  <c r="AC139" i="21"/>
  <c r="AC134" i="21"/>
  <c r="AC121" i="21"/>
  <c r="AD121" i="21"/>
  <c r="AE121" i="21"/>
  <c r="AF121" i="21"/>
  <c r="AG121" i="21"/>
  <c r="AH121" i="21"/>
  <c r="AI121" i="21"/>
  <c r="AC122" i="21"/>
  <c r="AD122" i="21"/>
  <c r="AE122" i="21"/>
  <c r="AF122" i="21"/>
  <c r="AG122" i="21"/>
  <c r="AH122" i="21"/>
  <c r="AI122" i="21"/>
  <c r="AC123" i="21"/>
  <c r="AD123" i="21"/>
  <c r="AE123" i="21"/>
  <c r="AF123" i="21"/>
  <c r="AG123" i="21"/>
  <c r="AH123" i="21"/>
  <c r="AI123" i="21"/>
  <c r="AC124" i="21"/>
  <c r="AD124" i="21"/>
  <c r="AE124" i="21"/>
  <c r="AF124" i="21"/>
  <c r="AG124" i="21"/>
  <c r="AH124" i="21"/>
  <c r="AI124" i="21"/>
  <c r="AC125" i="21"/>
  <c r="AD125" i="21"/>
  <c r="AE125" i="21"/>
  <c r="AF125" i="21"/>
  <c r="AG125" i="21"/>
  <c r="AH125" i="21"/>
  <c r="AI125" i="21"/>
  <c r="AC126" i="21"/>
  <c r="AD126" i="21"/>
  <c r="AE126" i="21"/>
  <c r="AF126" i="21"/>
  <c r="AG126" i="21"/>
  <c r="AH126" i="21"/>
  <c r="AI126" i="21"/>
  <c r="AC127" i="21"/>
  <c r="AD127" i="21"/>
  <c r="AE127" i="21"/>
  <c r="AF127" i="21"/>
  <c r="AG127" i="21"/>
  <c r="AH127" i="21"/>
  <c r="AI127" i="21"/>
  <c r="AC128" i="21"/>
  <c r="AD128" i="21"/>
  <c r="AE128" i="21"/>
  <c r="AF128" i="21"/>
  <c r="AG128" i="21"/>
  <c r="AH128" i="21"/>
  <c r="AI128" i="21"/>
  <c r="AC129" i="21"/>
  <c r="AD129" i="21"/>
  <c r="AE129" i="21"/>
  <c r="AF129" i="21"/>
  <c r="AG129" i="21"/>
  <c r="AH129" i="21"/>
  <c r="AI129" i="21"/>
  <c r="AC130" i="21"/>
  <c r="AD130" i="21"/>
  <c r="AE130" i="21"/>
  <c r="AF130" i="21"/>
  <c r="AG130" i="21"/>
  <c r="AH130" i="21"/>
  <c r="AI130" i="21"/>
  <c r="AC131" i="21"/>
  <c r="AD131" i="21"/>
  <c r="AE131" i="21"/>
  <c r="AF131" i="21"/>
  <c r="AG131" i="21"/>
  <c r="AH131" i="21"/>
  <c r="AI131" i="21"/>
  <c r="AC132" i="21"/>
  <c r="AD132" i="21"/>
  <c r="AE132" i="21"/>
  <c r="AF132" i="21"/>
  <c r="AG132" i="21"/>
  <c r="AH132" i="21"/>
  <c r="AI132" i="21"/>
  <c r="AC133" i="21"/>
  <c r="AD133" i="21"/>
  <c r="AE133" i="21"/>
  <c r="AF133" i="21"/>
  <c r="AG133" i="21"/>
  <c r="AH133" i="21"/>
  <c r="AI133" i="21"/>
  <c r="AD134" i="21"/>
  <c r="AE134" i="21"/>
  <c r="AF134" i="21"/>
  <c r="AG134" i="21"/>
  <c r="AH134" i="21"/>
  <c r="AI134" i="21"/>
  <c r="AD120" i="21"/>
  <c r="AE120" i="21"/>
  <c r="AF120" i="21"/>
  <c r="AG120" i="21"/>
  <c r="AH120" i="21"/>
  <c r="AI120" i="21"/>
  <c r="AC120" i="21"/>
  <c r="AC115" i="21"/>
  <c r="AC102" i="21"/>
  <c r="AD102" i="21"/>
  <c r="AE102" i="21"/>
  <c r="AF102" i="21"/>
  <c r="AG102" i="21"/>
  <c r="AH102" i="21"/>
  <c r="AI102" i="21"/>
  <c r="AC103" i="21"/>
  <c r="AD103" i="21"/>
  <c r="AE103" i="21"/>
  <c r="AF103" i="21"/>
  <c r="AG103" i="21"/>
  <c r="AH103" i="21"/>
  <c r="AI103" i="21"/>
  <c r="AC104" i="21"/>
  <c r="AD104" i="21"/>
  <c r="AE104" i="21"/>
  <c r="AF104" i="21"/>
  <c r="AG104" i="21"/>
  <c r="AH104" i="21"/>
  <c r="AI104" i="21"/>
  <c r="AC105" i="21"/>
  <c r="AD105" i="21"/>
  <c r="AE105" i="21"/>
  <c r="AF105" i="21"/>
  <c r="AG105" i="21"/>
  <c r="AH105" i="21"/>
  <c r="AI105" i="21"/>
  <c r="AC106" i="21"/>
  <c r="AD106" i="21"/>
  <c r="AE106" i="21"/>
  <c r="AF106" i="21"/>
  <c r="AG106" i="21"/>
  <c r="AH106" i="21"/>
  <c r="AI106" i="21"/>
  <c r="AC107" i="21"/>
  <c r="AD107" i="21"/>
  <c r="AE107" i="21"/>
  <c r="AF107" i="21"/>
  <c r="AG107" i="21"/>
  <c r="AH107" i="21"/>
  <c r="AI107" i="21"/>
  <c r="AC108" i="21"/>
  <c r="AD108" i="21"/>
  <c r="AE108" i="21"/>
  <c r="AF108" i="21"/>
  <c r="AG108" i="21"/>
  <c r="AH108" i="21"/>
  <c r="AI108" i="21"/>
  <c r="AC109" i="21"/>
  <c r="AD109" i="21"/>
  <c r="AE109" i="21"/>
  <c r="AF109" i="21"/>
  <c r="AG109" i="21"/>
  <c r="AH109" i="21"/>
  <c r="AI109" i="21"/>
  <c r="AC110" i="21"/>
  <c r="AD110" i="21"/>
  <c r="AE110" i="21"/>
  <c r="AF110" i="21"/>
  <c r="AG110" i="21"/>
  <c r="AH110" i="21"/>
  <c r="AI110" i="21"/>
  <c r="AC111" i="21"/>
  <c r="AD111" i="21"/>
  <c r="AE111" i="21"/>
  <c r="AF111" i="21"/>
  <c r="AG111" i="21"/>
  <c r="AH111" i="21"/>
  <c r="AI111" i="21"/>
  <c r="AC112" i="21"/>
  <c r="AD112" i="21"/>
  <c r="AE112" i="21"/>
  <c r="AF112" i="21"/>
  <c r="AG112" i="21"/>
  <c r="AH112" i="21"/>
  <c r="AI112" i="21"/>
  <c r="AC113" i="21"/>
  <c r="AD113" i="21"/>
  <c r="AE113" i="21"/>
  <c r="AF113" i="21"/>
  <c r="AG113" i="21"/>
  <c r="AH113" i="21"/>
  <c r="AI113" i="21"/>
  <c r="AC114" i="21"/>
  <c r="AD114" i="21"/>
  <c r="AE114" i="21"/>
  <c r="AF114" i="21"/>
  <c r="AG114" i="21"/>
  <c r="AH114" i="21"/>
  <c r="AI114" i="21"/>
  <c r="AD115" i="21"/>
  <c r="AE115" i="21"/>
  <c r="AF115" i="21"/>
  <c r="AG115" i="21"/>
  <c r="AH115" i="21"/>
  <c r="AI115" i="21"/>
  <c r="AD101" i="21"/>
  <c r="AE101" i="21"/>
  <c r="AF101" i="21"/>
  <c r="AG101" i="21"/>
  <c r="AH101" i="21"/>
  <c r="AI101" i="21"/>
  <c r="AC101" i="21"/>
  <c r="AC96" i="21"/>
  <c r="AC83" i="21"/>
  <c r="AD83" i="21"/>
  <c r="AE83" i="21"/>
  <c r="AF83" i="21"/>
  <c r="AG83" i="21"/>
  <c r="AH83" i="21"/>
  <c r="AI83" i="21"/>
  <c r="AC84" i="21"/>
  <c r="AD84" i="21"/>
  <c r="AE84" i="21"/>
  <c r="AF84" i="21"/>
  <c r="AG84" i="21"/>
  <c r="AH84" i="21"/>
  <c r="AI84" i="21"/>
  <c r="AC85" i="21"/>
  <c r="AD85" i="21"/>
  <c r="AE85" i="21"/>
  <c r="AF85" i="21"/>
  <c r="AG85" i="21"/>
  <c r="AH85" i="21"/>
  <c r="AI85" i="21"/>
  <c r="AC86" i="21"/>
  <c r="AD86" i="21"/>
  <c r="AE86" i="21"/>
  <c r="AF86" i="21"/>
  <c r="AG86" i="21"/>
  <c r="AH86" i="21"/>
  <c r="AI86" i="21"/>
  <c r="AC87" i="21"/>
  <c r="AD87" i="21"/>
  <c r="AE87" i="21"/>
  <c r="AF87" i="21"/>
  <c r="AG87" i="21"/>
  <c r="AH87" i="21"/>
  <c r="AI87" i="21"/>
  <c r="AC88" i="21"/>
  <c r="AD88" i="21"/>
  <c r="AE88" i="21"/>
  <c r="AF88" i="21"/>
  <c r="AG88" i="21"/>
  <c r="AH88" i="21"/>
  <c r="AI88" i="21"/>
  <c r="AC89" i="21"/>
  <c r="AD89" i="21"/>
  <c r="AE89" i="21"/>
  <c r="AF89" i="21"/>
  <c r="AG89" i="21"/>
  <c r="AH89" i="21"/>
  <c r="AI89" i="21"/>
  <c r="AC90" i="21"/>
  <c r="AD90" i="21"/>
  <c r="AE90" i="21"/>
  <c r="AF90" i="21"/>
  <c r="AG90" i="21"/>
  <c r="AH90" i="21"/>
  <c r="AI90" i="21"/>
  <c r="AC91" i="21"/>
  <c r="AD91" i="21"/>
  <c r="AE91" i="21"/>
  <c r="AF91" i="21"/>
  <c r="AG91" i="21"/>
  <c r="AH91" i="21"/>
  <c r="AI91" i="21"/>
  <c r="AC92" i="21"/>
  <c r="AD92" i="21"/>
  <c r="AE92" i="21"/>
  <c r="AF92" i="21"/>
  <c r="AG92" i="21"/>
  <c r="AH92" i="21"/>
  <c r="AI92" i="21"/>
  <c r="AC93" i="21"/>
  <c r="AD93" i="21"/>
  <c r="AE93" i="21"/>
  <c r="AF93" i="21"/>
  <c r="AG93" i="21"/>
  <c r="AH93" i="21"/>
  <c r="AI93" i="21"/>
  <c r="AC94" i="21"/>
  <c r="AD94" i="21"/>
  <c r="AE94" i="21"/>
  <c r="AF94" i="21"/>
  <c r="AG94" i="21"/>
  <c r="AH94" i="21"/>
  <c r="AI94" i="21"/>
  <c r="AC95" i="21"/>
  <c r="AD95" i="21"/>
  <c r="AE95" i="21"/>
  <c r="AF95" i="21"/>
  <c r="AG95" i="21"/>
  <c r="AH95" i="21"/>
  <c r="AI95" i="21"/>
  <c r="AD96" i="21"/>
  <c r="AE96" i="21"/>
  <c r="AF96" i="21"/>
  <c r="AG96" i="21"/>
  <c r="AH96" i="21"/>
  <c r="AI96" i="21"/>
  <c r="AD82" i="21"/>
  <c r="AE82" i="21"/>
  <c r="AF82" i="21"/>
  <c r="AG82" i="21"/>
  <c r="AH82" i="21"/>
  <c r="AI82" i="21"/>
  <c r="AC82" i="21"/>
  <c r="AC77" i="21"/>
  <c r="AC64" i="21"/>
  <c r="AD64" i="21"/>
  <c r="AE64" i="21"/>
  <c r="AF64" i="21"/>
  <c r="AG64" i="21"/>
  <c r="AH64" i="21"/>
  <c r="AI64" i="21"/>
  <c r="AC65" i="21"/>
  <c r="AD65" i="21"/>
  <c r="AE65" i="21"/>
  <c r="AF65" i="21"/>
  <c r="AG65" i="21"/>
  <c r="AH65" i="21"/>
  <c r="AI65" i="21"/>
  <c r="AC66" i="21"/>
  <c r="AD66" i="21"/>
  <c r="AE66" i="21"/>
  <c r="AF66" i="21"/>
  <c r="AG66" i="21"/>
  <c r="AH66" i="21"/>
  <c r="AI66" i="21"/>
  <c r="AC67" i="21"/>
  <c r="AD67" i="21"/>
  <c r="AE67" i="21"/>
  <c r="AF67" i="21"/>
  <c r="AG67" i="21"/>
  <c r="AH67" i="21"/>
  <c r="AI67" i="21"/>
  <c r="AC68" i="21"/>
  <c r="AD68" i="21"/>
  <c r="AE68" i="21"/>
  <c r="AF68" i="21"/>
  <c r="AG68" i="21"/>
  <c r="AH68" i="21"/>
  <c r="AI68" i="21"/>
  <c r="AC69" i="21"/>
  <c r="AD69" i="21"/>
  <c r="AE69" i="21"/>
  <c r="AF69" i="21"/>
  <c r="AG69" i="21"/>
  <c r="AH69" i="21"/>
  <c r="AI69" i="21"/>
  <c r="AC70" i="21"/>
  <c r="AD70" i="21"/>
  <c r="AE70" i="21"/>
  <c r="AF70" i="21"/>
  <c r="AG70" i="21"/>
  <c r="AH70" i="21"/>
  <c r="AI70" i="21"/>
  <c r="AC71" i="21"/>
  <c r="AD71" i="21"/>
  <c r="AE71" i="21"/>
  <c r="AF71" i="21"/>
  <c r="AG71" i="21"/>
  <c r="AH71" i="21"/>
  <c r="AI71" i="21"/>
  <c r="AC72" i="21"/>
  <c r="AD72" i="21"/>
  <c r="AE72" i="21"/>
  <c r="AF72" i="21"/>
  <c r="AG72" i="21"/>
  <c r="AH72" i="21"/>
  <c r="AI72" i="21"/>
  <c r="AC73" i="21"/>
  <c r="AD73" i="21"/>
  <c r="AE73" i="21"/>
  <c r="AF73" i="21"/>
  <c r="AG73" i="21"/>
  <c r="AH73" i="21"/>
  <c r="AI73" i="21"/>
  <c r="AC74" i="21"/>
  <c r="AD74" i="21"/>
  <c r="AE74" i="21"/>
  <c r="AF74" i="21"/>
  <c r="AG74" i="21"/>
  <c r="AH74" i="21"/>
  <c r="AI74" i="21"/>
  <c r="AC75" i="21"/>
  <c r="AD75" i="21"/>
  <c r="AE75" i="21"/>
  <c r="AF75" i="21"/>
  <c r="AG75" i="21"/>
  <c r="AH75" i="21"/>
  <c r="AI75" i="21"/>
  <c r="AC76" i="21"/>
  <c r="AD76" i="21"/>
  <c r="AE76" i="21"/>
  <c r="AF76" i="21"/>
  <c r="AG76" i="21"/>
  <c r="AH76" i="21"/>
  <c r="AI76" i="21"/>
  <c r="AD77" i="21"/>
  <c r="AE77" i="21"/>
  <c r="AF77" i="21"/>
  <c r="AG77" i="21"/>
  <c r="AH77" i="21"/>
  <c r="AI77" i="21"/>
  <c r="AD63" i="21"/>
  <c r="AE63" i="21"/>
  <c r="AF63" i="21"/>
  <c r="AG63" i="21"/>
  <c r="AH63" i="21"/>
  <c r="AI63" i="21"/>
  <c r="AC63" i="21"/>
  <c r="AC58" i="21"/>
  <c r="AC45" i="21"/>
  <c r="AD45" i="21"/>
  <c r="AE45" i="21"/>
  <c r="AF45" i="21"/>
  <c r="AG45" i="21"/>
  <c r="AH45" i="21"/>
  <c r="AI45" i="21"/>
  <c r="AC46" i="21"/>
  <c r="AD46" i="21"/>
  <c r="AE46" i="21"/>
  <c r="AF46" i="21"/>
  <c r="AG46" i="21"/>
  <c r="AH46" i="21"/>
  <c r="AI46" i="21"/>
  <c r="AC47" i="21"/>
  <c r="AD47" i="21"/>
  <c r="AE47" i="21"/>
  <c r="AF47" i="21"/>
  <c r="AG47" i="21"/>
  <c r="AH47" i="21"/>
  <c r="AI47" i="21"/>
  <c r="AC48" i="21"/>
  <c r="AD48" i="21"/>
  <c r="AE48" i="21"/>
  <c r="AF48" i="21"/>
  <c r="AG48" i="21"/>
  <c r="AH48" i="21"/>
  <c r="AI48" i="21"/>
  <c r="AC49" i="21"/>
  <c r="AD49" i="21"/>
  <c r="AE49" i="21"/>
  <c r="AF49" i="21"/>
  <c r="AG49" i="21"/>
  <c r="AH49" i="21"/>
  <c r="AI49" i="21"/>
  <c r="AC50" i="21"/>
  <c r="AD50" i="21"/>
  <c r="AE50" i="21"/>
  <c r="AF50" i="21"/>
  <c r="AG50" i="21"/>
  <c r="AH50" i="21"/>
  <c r="AI50" i="21"/>
  <c r="AC51" i="21"/>
  <c r="AD51" i="21"/>
  <c r="AE51" i="21"/>
  <c r="AF51" i="21"/>
  <c r="AG51" i="21"/>
  <c r="AH51" i="21"/>
  <c r="AI51" i="21"/>
  <c r="AC52" i="21"/>
  <c r="AD52" i="21"/>
  <c r="AE52" i="21"/>
  <c r="AF52" i="21"/>
  <c r="AG52" i="21"/>
  <c r="AH52" i="21"/>
  <c r="AI52" i="21"/>
  <c r="AC53" i="21"/>
  <c r="AD53" i="21"/>
  <c r="AE53" i="21"/>
  <c r="AF53" i="21"/>
  <c r="AG53" i="21"/>
  <c r="AH53" i="21"/>
  <c r="AI53" i="21"/>
  <c r="AC54" i="21"/>
  <c r="AD54" i="21"/>
  <c r="AE54" i="21"/>
  <c r="AF54" i="21"/>
  <c r="AG54" i="21"/>
  <c r="AH54" i="21"/>
  <c r="AI54" i="21"/>
  <c r="AC55" i="21"/>
  <c r="AD55" i="21"/>
  <c r="AE55" i="21"/>
  <c r="AF55" i="21"/>
  <c r="AG55" i="21"/>
  <c r="AH55" i="21"/>
  <c r="AI55" i="21"/>
  <c r="AC56" i="21"/>
  <c r="AD56" i="21"/>
  <c r="AE56" i="21"/>
  <c r="AF56" i="21"/>
  <c r="AG56" i="21"/>
  <c r="AH56" i="21"/>
  <c r="AI56" i="21"/>
  <c r="AC57" i="21"/>
  <c r="AD57" i="21"/>
  <c r="AE57" i="21"/>
  <c r="AF57" i="21"/>
  <c r="AG57" i="21"/>
  <c r="AH57" i="21"/>
  <c r="AI57" i="21"/>
  <c r="AD58" i="21"/>
  <c r="AE58" i="21"/>
  <c r="AF58" i="21"/>
  <c r="AG58" i="21"/>
  <c r="AH58" i="21"/>
  <c r="AI58" i="21"/>
  <c r="AD44" i="21"/>
  <c r="AE44" i="21"/>
  <c r="AF44" i="21"/>
  <c r="AG44" i="21"/>
  <c r="AH44" i="21"/>
  <c r="AI44" i="21"/>
  <c r="AC44" i="21"/>
  <c r="AC39" i="21"/>
  <c r="AC26" i="21"/>
  <c r="AD26" i="21"/>
  <c r="AE26" i="21"/>
  <c r="AF26" i="21"/>
  <c r="AG26" i="21"/>
  <c r="AH26" i="21"/>
  <c r="AI26" i="21"/>
  <c r="AC27" i="21"/>
  <c r="AD27" i="21"/>
  <c r="AE27" i="21"/>
  <c r="AF27" i="21"/>
  <c r="AG27" i="21"/>
  <c r="AH27" i="21"/>
  <c r="AI27" i="21"/>
  <c r="AC28" i="21"/>
  <c r="AD28" i="21"/>
  <c r="AE28" i="21"/>
  <c r="AF28" i="21"/>
  <c r="AG28" i="21"/>
  <c r="AH28" i="21"/>
  <c r="AI28" i="21"/>
  <c r="AC29" i="21"/>
  <c r="AD29" i="21"/>
  <c r="AE29" i="21"/>
  <c r="AF29" i="21"/>
  <c r="AG29" i="21"/>
  <c r="AH29" i="21"/>
  <c r="AI29" i="21"/>
  <c r="AC30" i="21"/>
  <c r="AD30" i="21"/>
  <c r="AE30" i="21"/>
  <c r="AF30" i="21"/>
  <c r="AG30" i="21"/>
  <c r="AH30" i="21"/>
  <c r="AI30" i="21"/>
  <c r="AC31" i="21"/>
  <c r="AD31" i="21"/>
  <c r="AE31" i="21"/>
  <c r="AF31" i="21"/>
  <c r="AG31" i="21"/>
  <c r="AH31" i="21"/>
  <c r="AI31" i="21"/>
  <c r="AC32" i="21"/>
  <c r="AD32" i="21"/>
  <c r="AE32" i="21"/>
  <c r="AF32" i="21"/>
  <c r="AG32" i="21"/>
  <c r="AH32" i="21"/>
  <c r="AI32" i="21"/>
  <c r="AC33" i="21"/>
  <c r="AD33" i="21"/>
  <c r="AE33" i="21"/>
  <c r="AF33" i="21"/>
  <c r="AG33" i="21"/>
  <c r="AH33" i="21"/>
  <c r="AI33" i="21"/>
  <c r="AC34" i="21"/>
  <c r="AD34" i="21"/>
  <c r="AE34" i="21"/>
  <c r="AF34" i="21"/>
  <c r="AG34" i="21"/>
  <c r="AH34" i="21"/>
  <c r="AI34" i="21"/>
  <c r="AC35" i="21"/>
  <c r="AD35" i="21"/>
  <c r="AE35" i="21"/>
  <c r="AF35" i="21"/>
  <c r="AG35" i="21"/>
  <c r="AH35" i="21"/>
  <c r="AI35" i="21"/>
  <c r="AC36" i="21"/>
  <c r="AD36" i="21"/>
  <c r="AE36" i="21"/>
  <c r="AF36" i="21"/>
  <c r="AG36" i="21"/>
  <c r="AH36" i="21"/>
  <c r="AI36" i="21"/>
  <c r="AC37" i="21"/>
  <c r="AD37" i="21"/>
  <c r="AE37" i="21"/>
  <c r="AF37" i="21"/>
  <c r="AG37" i="21"/>
  <c r="AH37" i="21"/>
  <c r="AI37" i="21"/>
  <c r="AC38" i="21"/>
  <c r="AD38" i="21"/>
  <c r="AE38" i="21"/>
  <c r="AF38" i="21"/>
  <c r="AG38" i="21"/>
  <c r="AH38" i="21"/>
  <c r="AI38" i="21"/>
  <c r="AD39" i="21"/>
  <c r="AE39" i="21"/>
  <c r="AF39" i="21"/>
  <c r="AG39" i="21"/>
  <c r="AH39" i="21"/>
  <c r="AI39" i="21"/>
  <c r="AD25" i="21"/>
  <c r="AE25" i="21"/>
  <c r="AF25" i="21"/>
  <c r="AG25" i="21"/>
  <c r="AH25" i="21"/>
  <c r="AI25" i="21"/>
  <c r="AC25" i="21"/>
  <c r="AC20" i="21"/>
  <c r="AC7" i="21"/>
  <c r="AD7" i="21"/>
  <c r="AE7" i="21"/>
  <c r="AF7" i="21"/>
  <c r="AG7" i="21"/>
  <c r="AH7" i="21"/>
  <c r="AI7" i="21"/>
  <c r="AC8" i="21"/>
  <c r="AD8" i="21"/>
  <c r="AE8" i="21"/>
  <c r="AF8" i="21"/>
  <c r="AG8" i="21"/>
  <c r="AH8" i="21"/>
  <c r="AI8" i="21"/>
  <c r="AC9" i="21"/>
  <c r="AD9" i="21"/>
  <c r="AE9" i="21"/>
  <c r="AF9" i="21"/>
  <c r="AG9" i="21"/>
  <c r="AH9" i="21"/>
  <c r="AI9" i="21"/>
  <c r="AC10" i="21"/>
  <c r="AD10" i="21"/>
  <c r="AE10" i="21"/>
  <c r="AF10" i="21"/>
  <c r="AG10" i="21"/>
  <c r="AH10" i="21"/>
  <c r="AI10" i="21"/>
  <c r="AC11" i="21"/>
  <c r="AD11" i="21"/>
  <c r="AE11" i="21"/>
  <c r="AF11" i="21"/>
  <c r="AG11" i="21"/>
  <c r="AH11" i="21"/>
  <c r="AI11" i="21"/>
  <c r="AC12" i="21"/>
  <c r="AD12" i="21"/>
  <c r="AE12" i="21"/>
  <c r="AF12" i="21"/>
  <c r="AG12" i="21"/>
  <c r="AH12" i="21"/>
  <c r="AI12" i="21"/>
  <c r="AC13" i="21"/>
  <c r="AD13" i="21"/>
  <c r="AE13" i="21"/>
  <c r="AF13" i="21"/>
  <c r="AG13" i="21"/>
  <c r="AH13" i="21"/>
  <c r="AI13" i="21"/>
  <c r="AC14" i="21"/>
  <c r="AD14" i="21"/>
  <c r="AE14" i="21"/>
  <c r="AF14" i="21"/>
  <c r="AG14" i="21"/>
  <c r="AH14" i="21"/>
  <c r="AI14" i="21"/>
  <c r="AC15" i="21"/>
  <c r="AD15" i="21"/>
  <c r="AE15" i="21"/>
  <c r="AF15" i="21"/>
  <c r="AG15" i="21"/>
  <c r="AH15" i="21"/>
  <c r="AI15" i="21"/>
  <c r="AC16" i="21"/>
  <c r="AD16" i="21"/>
  <c r="AE16" i="21"/>
  <c r="AF16" i="21"/>
  <c r="AG16" i="21"/>
  <c r="AH16" i="21"/>
  <c r="AI16" i="21"/>
  <c r="AC17" i="21"/>
  <c r="AD17" i="21"/>
  <c r="AE17" i="21"/>
  <c r="AF17" i="21"/>
  <c r="AG17" i="21"/>
  <c r="AH17" i="21"/>
  <c r="AI17" i="21"/>
  <c r="AC18" i="21"/>
  <c r="AD18" i="21"/>
  <c r="AE18" i="21"/>
  <c r="AF18" i="21"/>
  <c r="AG18" i="21"/>
  <c r="AH18" i="21"/>
  <c r="AI18" i="21"/>
  <c r="AC19" i="21"/>
  <c r="AD19" i="21"/>
  <c r="AE19" i="21"/>
  <c r="AF19" i="21"/>
  <c r="AG19" i="21"/>
  <c r="AH19" i="21"/>
  <c r="AI19" i="21"/>
  <c r="AD20" i="21"/>
  <c r="AE20" i="21"/>
  <c r="AF20" i="21"/>
  <c r="AG20" i="21"/>
  <c r="AH20" i="21"/>
  <c r="AI20" i="21"/>
  <c r="AD6" i="21"/>
  <c r="AE6" i="21"/>
  <c r="AF6" i="21"/>
  <c r="AG6" i="21"/>
  <c r="AH6" i="21"/>
  <c r="AI6" i="21"/>
  <c r="AC6" i="21" l="1"/>
  <c r="T305" i="21"/>
  <c r="T292" i="21"/>
  <c r="U292" i="21"/>
  <c r="V292" i="21"/>
  <c r="W292" i="21"/>
  <c r="X292" i="21"/>
  <c r="Y292" i="21"/>
  <c r="Z292" i="21"/>
  <c r="T293" i="21"/>
  <c r="U293" i="21"/>
  <c r="V293" i="21"/>
  <c r="W293" i="21"/>
  <c r="X293" i="21"/>
  <c r="Y293" i="21"/>
  <c r="Z293" i="21"/>
  <c r="T294" i="21"/>
  <c r="U294" i="21"/>
  <c r="V294" i="21"/>
  <c r="W294" i="21"/>
  <c r="X294" i="21"/>
  <c r="Y294" i="21"/>
  <c r="Z294" i="21"/>
  <c r="T295" i="21"/>
  <c r="U295" i="21"/>
  <c r="V295" i="21"/>
  <c r="W295" i="21"/>
  <c r="X295" i="21"/>
  <c r="Y295" i="21"/>
  <c r="Z295" i="21"/>
  <c r="T296" i="21"/>
  <c r="U296" i="21"/>
  <c r="V296" i="21"/>
  <c r="W296" i="21"/>
  <c r="X296" i="21"/>
  <c r="Y296" i="21"/>
  <c r="Z296" i="21"/>
  <c r="T297" i="21"/>
  <c r="U297" i="21"/>
  <c r="V297" i="21"/>
  <c r="W297" i="21"/>
  <c r="X297" i="21"/>
  <c r="Y297" i="21"/>
  <c r="Z297" i="21"/>
  <c r="T298" i="21"/>
  <c r="U298" i="21"/>
  <c r="V298" i="21"/>
  <c r="W298" i="21"/>
  <c r="X298" i="21"/>
  <c r="Y298" i="21"/>
  <c r="Z298" i="21"/>
  <c r="T299" i="21"/>
  <c r="U299" i="21"/>
  <c r="V299" i="21"/>
  <c r="W299" i="21"/>
  <c r="X299" i="21"/>
  <c r="Y299" i="21"/>
  <c r="Z299" i="21"/>
  <c r="T300" i="21"/>
  <c r="U300" i="21"/>
  <c r="V300" i="21"/>
  <c r="W300" i="21"/>
  <c r="X300" i="21"/>
  <c r="Y300" i="21"/>
  <c r="Z300" i="21"/>
  <c r="T301" i="21"/>
  <c r="U301" i="21"/>
  <c r="V301" i="21"/>
  <c r="W301" i="21"/>
  <c r="X301" i="21"/>
  <c r="Y301" i="21"/>
  <c r="Z301" i="21"/>
  <c r="T302" i="21"/>
  <c r="U302" i="21"/>
  <c r="V302" i="21"/>
  <c r="W302" i="21"/>
  <c r="X302" i="21"/>
  <c r="Y302" i="21"/>
  <c r="Z302" i="21"/>
  <c r="T303" i="21"/>
  <c r="U303" i="21"/>
  <c r="V303" i="21"/>
  <c r="W303" i="21"/>
  <c r="X303" i="21"/>
  <c r="Y303" i="21"/>
  <c r="Z303" i="21"/>
  <c r="T304" i="21"/>
  <c r="U304" i="21"/>
  <c r="V304" i="21"/>
  <c r="W304" i="21"/>
  <c r="X304" i="21"/>
  <c r="Y304" i="21"/>
  <c r="Z304" i="21"/>
  <c r="U305" i="21"/>
  <c r="V305" i="21"/>
  <c r="W305" i="21"/>
  <c r="X305" i="21"/>
  <c r="Y305" i="21"/>
  <c r="Z305" i="21"/>
  <c r="U291" i="21"/>
  <c r="V291" i="21"/>
  <c r="W291" i="21"/>
  <c r="X291" i="21"/>
  <c r="Y291" i="21"/>
  <c r="Z291" i="21"/>
  <c r="T291" i="21"/>
  <c r="T286" i="21"/>
  <c r="T273" i="21"/>
  <c r="U273" i="21"/>
  <c r="V273" i="21"/>
  <c r="W273" i="21"/>
  <c r="X273" i="21"/>
  <c r="Y273" i="21"/>
  <c r="Z273" i="21"/>
  <c r="T274" i="21"/>
  <c r="U274" i="21"/>
  <c r="V274" i="21"/>
  <c r="W274" i="21"/>
  <c r="X274" i="21"/>
  <c r="Y274" i="21"/>
  <c r="Z274" i="21"/>
  <c r="T275" i="21"/>
  <c r="U275" i="21"/>
  <c r="V275" i="21"/>
  <c r="W275" i="21"/>
  <c r="X275" i="21"/>
  <c r="Y275" i="21"/>
  <c r="Z275" i="21"/>
  <c r="T276" i="21"/>
  <c r="U276" i="21"/>
  <c r="V276" i="21"/>
  <c r="W276" i="21"/>
  <c r="X276" i="21"/>
  <c r="Y276" i="21"/>
  <c r="Z276" i="21"/>
  <c r="T277" i="21"/>
  <c r="U277" i="21"/>
  <c r="V277" i="21"/>
  <c r="W277" i="21"/>
  <c r="X277" i="21"/>
  <c r="Y277" i="21"/>
  <c r="Z277" i="21"/>
  <c r="T278" i="21"/>
  <c r="U278" i="21"/>
  <c r="V278" i="21"/>
  <c r="W278" i="21"/>
  <c r="X278" i="21"/>
  <c r="Y278" i="21"/>
  <c r="Z278" i="21"/>
  <c r="T279" i="21"/>
  <c r="U279" i="21"/>
  <c r="V279" i="21"/>
  <c r="W279" i="21"/>
  <c r="X279" i="21"/>
  <c r="Y279" i="21"/>
  <c r="Z279" i="21"/>
  <c r="T280" i="21"/>
  <c r="U280" i="21"/>
  <c r="V280" i="21"/>
  <c r="W280" i="21"/>
  <c r="X280" i="21"/>
  <c r="Y280" i="21"/>
  <c r="Z280" i="21"/>
  <c r="T281" i="21"/>
  <c r="U281" i="21"/>
  <c r="V281" i="21"/>
  <c r="W281" i="21"/>
  <c r="X281" i="21"/>
  <c r="Y281" i="21"/>
  <c r="Z281" i="21"/>
  <c r="T282" i="21"/>
  <c r="U282" i="21"/>
  <c r="V282" i="21"/>
  <c r="W282" i="21"/>
  <c r="X282" i="21"/>
  <c r="Y282" i="21"/>
  <c r="Z282" i="21"/>
  <c r="T283" i="21"/>
  <c r="U283" i="21"/>
  <c r="V283" i="21"/>
  <c r="W283" i="21"/>
  <c r="X283" i="21"/>
  <c r="Y283" i="21"/>
  <c r="Z283" i="21"/>
  <c r="T284" i="21"/>
  <c r="U284" i="21"/>
  <c r="V284" i="21"/>
  <c r="W284" i="21"/>
  <c r="X284" i="21"/>
  <c r="Y284" i="21"/>
  <c r="Z284" i="21"/>
  <c r="T285" i="21"/>
  <c r="U285" i="21"/>
  <c r="V285" i="21"/>
  <c r="W285" i="21"/>
  <c r="X285" i="21"/>
  <c r="Y285" i="21"/>
  <c r="Z285" i="21"/>
  <c r="U286" i="21"/>
  <c r="V286" i="21"/>
  <c r="W286" i="21"/>
  <c r="X286" i="21"/>
  <c r="Y286" i="21"/>
  <c r="Z286" i="21"/>
  <c r="U272" i="21"/>
  <c r="V272" i="21"/>
  <c r="W272" i="21"/>
  <c r="X272" i="21"/>
  <c r="Y272" i="21"/>
  <c r="Z272" i="21"/>
  <c r="T272" i="21"/>
  <c r="T267" i="21"/>
  <c r="T254" i="21"/>
  <c r="U254" i="21"/>
  <c r="V254" i="21"/>
  <c r="W254" i="21"/>
  <c r="X254" i="21"/>
  <c r="Y254" i="21"/>
  <c r="Z254" i="21"/>
  <c r="T255" i="21"/>
  <c r="U255" i="21"/>
  <c r="V255" i="21"/>
  <c r="W255" i="21"/>
  <c r="X255" i="21"/>
  <c r="Y255" i="21"/>
  <c r="Z255" i="21"/>
  <c r="T256" i="21"/>
  <c r="U256" i="21"/>
  <c r="V256" i="21"/>
  <c r="W256" i="21"/>
  <c r="X256" i="21"/>
  <c r="Y256" i="21"/>
  <c r="Z256" i="21"/>
  <c r="T257" i="21"/>
  <c r="U257" i="21"/>
  <c r="V257" i="21"/>
  <c r="W257" i="21"/>
  <c r="X257" i="21"/>
  <c r="Y257" i="21"/>
  <c r="Z257" i="21"/>
  <c r="T258" i="21"/>
  <c r="U258" i="21"/>
  <c r="V258" i="21"/>
  <c r="W258" i="21"/>
  <c r="X258" i="21"/>
  <c r="Y258" i="21"/>
  <c r="Z258" i="21"/>
  <c r="T259" i="21"/>
  <c r="U259" i="21"/>
  <c r="V259" i="21"/>
  <c r="W259" i="21"/>
  <c r="X259" i="21"/>
  <c r="Y259" i="21"/>
  <c r="Z259" i="21"/>
  <c r="T260" i="21"/>
  <c r="U260" i="21"/>
  <c r="V260" i="21"/>
  <c r="W260" i="21"/>
  <c r="X260" i="21"/>
  <c r="Y260" i="21"/>
  <c r="Z260" i="21"/>
  <c r="T261" i="21"/>
  <c r="U261" i="21"/>
  <c r="V261" i="21"/>
  <c r="W261" i="21"/>
  <c r="X261" i="21"/>
  <c r="Y261" i="21"/>
  <c r="Z261" i="21"/>
  <c r="T262" i="21"/>
  <c r="U262" i="21"/>
  <c r="V262" i="21"/>
  <c r="W262" i="21"/>
  <c r="X262" i="21"/>
  <c r="Y262" i="21"/>
  <c r="Z262" i="21"/>
  <c r="T263" i="21"/>
  <c r="U263" i="21"/>
  <c r="V263" i="21"/>
  <c r="W263" i="21"/>
  <c r="X263" i="21"/>
  <c r="Y263" i="21"/>
  <c r="Z263" i="21"/>
  <c r="T264" i="21"/>
  <c r="U264" i="21"/>
  <c r="V264" i="21"/>
  <c r="W264" i="21"/>
  <c r="X264" i="21"/>
  <c r="Y264" i="21"/>
  <c r="Z264" i="21"/>
  <c r="T265" i="21"/>
  <c r="U265" i="21"/>
  <c r="V265" i="21"/>
  <c r="W265" i="21"/>
  <c r="X265" i="21"/>
  <c r="Y265" i="21"/>
  <c r="Z265" i="21"/>
  <c r="T266" i="21"/>
  <c r="U266" i="21"/>
  <c r="V266" i="21"/>
  <c r="W266" i="21"/>
  <c r="X266" i="21"/>
  <c r="Y266" i="21"/>
  <c r="Z266" i="21"/>
  <c r="U267" i="21"/>
  <c r="V267" i="21"/>
  <c r="W267" i="21"/>
  <c r="X267" i="21"/>
  <c r="Y267" i="21"/>
  <c r="Z267" i="21"/>
  <c r="U253" i="21"/>
  <c r="V253" i="21"/>
  <c r="W253" i="21"/>
  <c r="X253" i="21"/>
  <c r="Y253" i="21"/>
  <c r="Z253" i="21"/>
  <c r="T253" i="21"/>
  <c r="T248" i="21"/>
  <c r="T235" i="21"/>
  <c r="U235" i="21"/>
  <c r="V235" i="21"/>
  <c r="W235" i="21"/>
  <c r="X235" i="21"/>
  <c r="Y235" i="21"/>
  <c r="Z235" i="21"/>
  <c r="T236" i="21"/>
  <c r="U236" i="21"/>
  <c r="V236" i="21"/>
  <c r="W236" i="21"/>
  <c r="X236" i="21"/>
  <c r="Y236" i="21"/>
  <c r="Z236" i="21"/>
  <c r="T237" i="21"/>
  <c r="U237" i="21"/>
  <c r="V237" i="21"/>
  <c r="W237" i="21"/>
  <c r="X237" i="21"/>
  <c r="Y237" i="21"/>
  <c r="Z237" i="21"/>
  <c r="T238" i="21"/>
  <c r="U238" i="21"/>
  <c r="V238" i="21"/>
  <c r="W238" i="21"/>
  <c r="X238" i="21"/>
  <c r="Y238" i="21"/>
  <c r="Z238" i="21"/>
  <c r="T239" i="21"/>
  <c r="U239" i="21"/>
  <c r="V239" i="21"/>
  <c r="W239" i="21"/>
  <c r="X239" i="21"/>
  <c r="Y239" i="21"/>
  <c r="Z239" i="21"/>
  <c r="T240" i="21"/>
  <c r="U240" i="21"/>
  <c r="V240" i="21"/>
  <c r="W240" i="21"/>
  <c r="X240" i="21"/>
  <c r="Y240" i="21"/>
  <c r="Z240" i="21"/>
  <c r="T241" i="21"/>
  <c r="U241" i="21"/>
  <c r="V241" i="21"/>
  <c r="W241" i="21"/>
  <c r="X241" i="21"/>
  <c r="Y241" i="21"/>
  <c r="Z241" i="21"/>
  <c r="T242" i="21"/>
  <c r="U242" i="21"/>
  <c r="V242" i="21"/>
  <c r="W242" i="21"/>
  <c r="X242" i="21"/>
  <c r="Y242" i="21"/>
  <c r="Z242" i="21"/>
  <c r="T243" i="21"/>
  <c r="U243" i="21"/>
  <c r="V243" i="21"/>
  <c r="W243" i="21"/>
  <c r="X243" i="21"/>
  <c r="Y243" i="21"/>
  <c r="Z243" i="21"/>
  <c r="T244" i="21"/>
  <c r="U244" i="21"/>
  <c r="V244" i="21"/>
  <c r="W244" i="21"/>
  <c r="X244" i="21"/>
  <c r="Y244" i="21"/>
  <c r="Z244" i="21"/>
  <c r="T245" i="21"/>
  <c r="U245" i="21"/>
  <c r="V245" i="21"/>
  <c r="W245" i="21"/>
  <c r="X245" i="21"/>
  <c r="Y245" i="21"/>
  <c r="Z245" i="21"/>
  <c r="T246" i="21"/>
  <c r="U246" i="21"/>
  <c r="V246" i="21"/>
  <c r="W246" i="21"/>
  <c r="X246" i="21"/>
  <c r="Y246" i="21"/>
  <c r="Z246" i="21"/>
  <c r="T247" i="21"/>
  <c r="U247" i="21"/>
  <c r="V247" i="21"/>
  <c r="W247" i="21"/>
  <c r="X247" i="21"/>
  <c r="Y247" i="21"/>
  <c r="Z247" i="21"/>
  <c r="U248" i="21"/>
  <c r="V248" i="21"/>
  <c r="W248" i="21"/>
  <c r="X248" i="21"/>
  <c r="Y248" i="21"/>
  <c r="Z248" i="21"/>
  <c r="U234" i="21"/>
  <c r="V234" i="21"/>
  <c r="W234" i="21"/>
  <c r="X234" i="21"/>
  <c r="Y234" i="21"/>
  <c r="Z234" i="21"/>
  <c r="T234" i="21"/>
  <c r="T229" i="21"/>
  <c r="T216" i="21"/>
  <c r="U216" i="21"/>
  <c r="V216" i="21"/>
  <c r="W216" i="21"/>
  <c r="X216" i="21"/>
  <c r="Y216" i="21"/>
  <c r="Z216" i="21"/>
  <c r="T217" i="21"/>
  <c r="U217" i="21"/>
  <c r="V217" i="21"/>
  <c r="W217" i="21"/>
  <c r="X217" i="21"/>
  <c r="Y217" i="21"/>
  <c r="Z217" i="21"/>
  <c r="T218" i="21"/>
  <c r="U218" i="21"/>
  <c r="V218" i="21"/>
  <c r="W218" i="21"/>
  <c r="X218" i="21"/>
  <c r="Y218" i="21"/>
  <c r="Z218" i="21"/>
  <c r="T219" i="21"/>
  <c r="U219" i="21"/>
  <c r="V219" i="21"/>
  <c r="W219" i="21"/>
  <c r="X219" i="21"/>
  <c r="Y219" i="21"/>
  <c r="Z219" i="21"/>
  <c r="T220" i="21"/>
  <c r="U220" i="21"/>
  <c r="V220" i="21"/>
  <c r="W220" i="21"/>
  <c r="X220" i="21"/>
  <c r="Y220" i="21"/>
  <c r="Z220" i="21"/>
  <c r="T221" i="21"/>
  <c r="U221" i="21"/>
  <c r="V221" i="21"/>
  <c r="W221" i="21"/>
  <c r="X221" i="21"/>
  <c r="Y221" i="21"/>
  <c r="Z221" i="21"/>
  <c r="T222" i="21"/>
  <c r="U222" i="21"/>
  <c r="V222" i="21"/>
  <c r="W222" i="21"/>
  <c r="X222" i="21"/>
  <c r="Y222" i="21"/>
  <c r="Z222" i="21"/>
  <c r="T223" i="21"/>
  <c r="U223" i="21"/>
  <c r="V223" i="21"/>
  <c r="W223" i="21"/>
  <c r="X223" i="21"/>
  <c r="Y223" i="21"/>
  <c r="Z223" i="21"/>
  <c r="T224" i="21"/>
  <c r="U224" i="21"/>
  <c r="V224" i="21"/>
  <c r="W224" i="21"/>
  <c r="X224" i="21"/>
  <c r="Y224" i="21"/>
  <c r="Z224" i="21"/>
  <c r="T225" i="21"/>
  <c r="U225" i="21"/>
  <c r="V225" i="21"/>
  <c r="W225" i="21"/>
  <c r="X225" i="21"/>
  <c r="Y225" i="21"/>
  <c r="Z225" i="21"/>
  <c r="T226" i="21"/>
  <c r="U226" i="21"/>
  <c r="V226" i="21"/>
  <c r="W226" i="21"/>
  <c r="X226" i="21"/>
  <c r="Y226" i="21"/>
  <c r="Z226" i="21"/>
  <c r="T227" i="21"/>
  <c r="U227" i="21"/>
  <c r="V227" i="21"/>
  <c r="W227" i="21"/>
  <c r="X227" i="21"/>
  <c r="Y227" i="21"/>
  <c r="Z227" i="21"/>
  <c r="T228" i="21"/>
  <c r="U228" i="21"/>
  <c r="V228" i="21"/>
  <c r="W228" i="21"/>
  <c r="X228" i="21"/>
  <c r="Y228" i="21"/>
  <c r="Z228" i="21"/>
  <c r="U229" i="21"/>
  <c r="V229" i="21"/>
  <c r="W229" i="21"/>
  <c r="X229" i="21"/>
  <c r="Y229" i="21"/>
  <c r="Z229" i="21"/>
  <c r="U215" i="21"/>
  <c r="V215" i="21"/>
  <c r="W215" i="21"/>
  <c r="X215" i="21"/>
  <c r="Y215" i="21"/>
  <c r="Z215" i="21"/>
  <c r="T215" i="21"/>
  <c r="T210" i="21"/>
  <c r="T197" i="21"/>
  <c r="U197" i="21"/>
  <c r="V197" i="21"/>
  <c r="W197" i="21"/>
  <c r="X197" i="21"/>
  <c r="Y197" i="21"/>
  <c r="Z197" i="21"/>
  <c r="T198" i="21"/>
  <c r="U198" i="21"/>
  <c r="V198" i="21"/>
  <c r="W198" i="21"/>
  <c r="X198" i="21"/>
  <c r="Y198" i="21"/>
  <c r="Z198" i="21"/>
  <c r="T199" i="21"/>
  <c r="U199" i="21"/>
  <c r="V199" i="21"/>
  <c r="W199" i="21"/>
  <c r="X199" i="21"/>
  <c r="Y199" i="21"/>
  <c r="Z199" i="21"/>
  <c r="T200" i="21"/>
  <c r="U200" i="21"/>
  <c r="V200" i="21"/>
  <c r="W200" i="21"/>
  <c r="X200" i="21"/>
  <c r="Y200" i="21"/>
  <c r="Z200" i="21"/>
  <c r="T201" i="21"/>
  <c r="U201" i="21"/>
  <c r="V201" i="21"/>
  <c r="W201" i="21"/>
  <c r="X201" i="21"/>
  <c r="Y201" i="21"/>
  <c r="Z201" i="21"/>
  <c r="T202" i="21"/>
  <c r="U202" i="21"/>
  <c r="V202" i="21"/>
  <c r="W202" i="21"/>
  <c r="X202" i="21"/>
  <c r="Y202" i="21"/>
  <c r="Z202" i="21"/>
  <c r="T203" i="21"/>
  <c r="U203" i="21"/>
  <c r="V203" i="21"/>
  <c r="W203" i="21"/>
  <c r="X203" i="21"/>
  <c r="Y203" i="21"/>
  <c r="Z203" i="21"/>
  <c r="T204" i="21"/>
  <c r="U204" i="21"/>
  <c r="V204" i="21"/>
  <c r="W204" i="21"/>
  <c r="X204" i="21"/>
  <c r="Y204" i="21"/>
  <c r="Z204" i="21"/>
  <c r="T205" i="21"/>
  <c r="U205" i="21"/>
  <c r="V205" i="21"/>
  <c r="W205" i="21"/>
  <c r="X205" i="21"/>
  <c r="Y205" i="21"/>
  <c r="Z205" i="21"/>
  <c r="T206" i="21"/>
  <c r="U206" i="21"/>
  <c r="V206" i="21"/>
  <c r="W206" i="21"/>
  <c r="X206" i="21"/>
  <c r="Y206" i="21"/>
  <c r="Z206" i="21"/>
  <c r="T207" i="21"/>
  <c r="U207" i="21"/>
  <c r="V207" i="21"/>
  <c r="W207" i="21"/>
  <c r="X207" i="21"/>
  <c r="Y207" i="21"/>
  <c r="Z207" i="21"/>
  <c r="T208" i="21"/>
  <c r="U208" i="21"/>
  <c r="V208" i="21"/>
  <c r="W208" i="21"/>
  <c r="X208" i="21"/>
  <c r="Y208" i="21"/>
  <c r="Z208" i="21"/>
  <c r="T209" i="21"/>
  <c r="U209" i="21"/>
  <c r="V209" i="21"/>
  <c r="W209" i="21"/>
  <c r="X209" i="21"/>
  <c r="Y209" i="21"/>
  <c r="Z209" i="21"/>
  <c r="U210" i="21"/>
  <c r="V210" i="21"/>
  <c r="W210" i="21"/>
  <c r="X210" i="21"/>
  <c r="Y210" i="21"/>
  <c r="Z210" i="21"/>
  <c r="U196" i="21"/>
  <c r="V196" i="21"/>
  <c r="W196" i="21"/>
  <c r="X196" i="21"/>
  <c r="Y196" i="21"/>
  <c r="Z196" i="21"/>
  <c r="T196" i="21"/>
  <c r="T191" i="21"/>
  <c r="T178" i="21"/>
  <c r="U178" i="21"/>
  <c r="V178" i="21"/>
  <c r="W178" i="21"/>
  <c r="X178" i="21"/>
  <c r="Y178" i="21"/>
  <c r="Z178" i="21"/>
  <c r="T179" i="21"/>
  <c r="U179" i="21"/>
  <c r="V179" i="21"/>
  <c r="W179" i="21"/>
  <c r="X179" i="21"/>
  <c r="Y179" i="21"/>
  <c r="Z179" i="21"/>
  <c r="T180" i="21"/>
  <c r="U180" i="21"/>
  <c r="V180" i="21"/>
  <c r="W180" i="21"/>
  <c r="X180" i="21"/>
  <c r="Y180" i="21"/>
  <c r="Z180" i="21"/>
  <c r="T181" i="21"/>
  <c r="U181" i="21"/>
  <c r="V181" i="21"/>
  <c r="W181" i="21"/>
  <c r="X181" i="21"/>
  <c r="Y181" i="21"/>
  <c r="Z181" i="21"/>
  <c r="T182" i="21"/>
  <c r="U182" i="21"/>
  <c r="V182" i="21"/>
  <c r="W182" i="21"/>
  <c r="X182" i="21"/>
  <c r="Y182" i="21"/>
  <c r="Z182" i="21"/>
  <c r="T183" i="21"/>
  <c r="U183" i="21"/>
  <c r="V183" i="21"/>
  <c r="W183" i="21"/>
  <c r="X183" i="21"/>
  <c r="Y183" i="21"/>
  <c r="Z183" i="21"/>
  <c r="T184" i="21"/>
  <c r="U184" i="21"/>
  <c r="V184" i="21"/>
  <c r="W184" i="21"/>
  <c r="X184" i="21"/>
  <c r="Y184" i="21"/>
  <c r="Z184" i="21"/>
  <c r="T185" i="21"/>
  <c r="U185" i="21"/>
  <c r="V185" i="21"/>
  <c r="W185" i="21"/>
  <c r="X185" i="21"/>
  <c r="Y185" i="21"/>
  <c r="Z185" i="21"/>
  <c r="T186" i="21"/>
  <c r="U186" i="21"/>
  <c r="V186" i="21"/>
  <c r="W186" i="21"/>
  <c r="X186" i="21"/>
  <c r="Y186" i="21"/>
  <c r="Z186" i="21"/>
  <c r="T187" i="21"/>
  <c r="U187" i="21"/>
  <c r="V187" i="21"/>
  <c r="W187" i="21"/>
  <c r="X187" i="21"/>
  <c r="Y187" i="21"/>
  <c r="Z187" i="21"/>
  <c r="T188" i="21"/>
  <c r="U188" i="21"/>
  <c r="V188" i="21"/>
  <c r="W188" i="21"/>
  <c r="X188" i="21"/>
  <c r="Y188" i="21"/>
  <c r="Z188" i="21"/>
  <c r="T189" i="21"/>
  <c r="U189" i="21"/>
  <c r="V189" i="21"/>
  <c r="W189" i="21"/>
  <c r="X189" i="21"/>
  <c r="Y189" i="21"/>
  <c r="Z189" i="21"/>
  <c r="T190" i="21"/>
  <c r="U190" i="21"/>
  <c r="V190" i="21"/>
  <c r="W190" i="21"/>
  <c r="X190" i="21"/>
  <c r="Y190" i="21"/>
  <c r="Z190" i="21"/>
  <c r="U191" i="21"/>
  <c r="V191" i="21"/>
  <c r="W191" i="21"/>
  <c r="X191" i="21"/>
  <c r="Y191" i="21"/>
  <c r="Z191" i="21"/>
  <c r="U177" i="21"/>
  <c r="V177" i="21"/>
  <c r="W177" i="21"/>
  <c r="X177" i="21"/>
  <c r="Y177" i="21"/>
  <c r="Z177" i="21"/>
  <c r="T177" i="21"/>
  <c r="T172" i="21"/>
  <c r="T159" i="21"/>
  <c r="U159" i="21"/>
  <c r="V159" i="21"/>
  <c r="W159" i="21"/>
  <c r="X159" i="21"/>
  <c r="Y159" i="21"/>
  <c r="Z159" i="21"/>
  <c r="T160" i="21"/>
  <c r="U160" i="21"/>
  <c r="V160" i="21"/>
  <c r="W160" i="21"/>
  <c r="X160" i="21"/>
  <c r="Y160" i="21"/>
  <c r="Z160" i="21"/>
  <c r="T161" i="21"/>
  <c r="U161" i="21"/>
  <c r="V161" i="21"/>
  <c r="W161" i="21"/>
  <c r="X161" i="21"/>
  <c r="Y161" i="21"/>
  <c r="Z161" i="21"/>
  <c r="T162" i="21"/>
  <c r="U162" i="21"/>
  <c r="V162" i="21"/>
  <c r="W162" i="21"/>
  <c r="X162" i="21"/>
  <c r="Y162" i="21"/>
  <c r="Z162" i="21"/>
  <c r="T163" i="21"/>
  <c r="U163" i="21"/>
  <c r="V163" i="21"/>
  <c r="W163" i="21"/>
  <c r="X163" i="21"/>
  <c r="Y163" i="21"/>
  <c r="Z163" i="21"/>
  <c r="T164" i="21"/>
  <c r="U164" i="21"/>
  <c r="V164" i="21"/>
  <c r="W164" i="21"/>
  <c r="X164" i="21"/>
  <c r="Y164" i="21"/>
  <c r="Z164" i="21"/>
  <c r="T165" i="21"/>
  <c r="U165" i="21"/>
  <c r="V165" i="21"/>
  <c r="W165" i="21"/>
  <c r="X165" i="21"/>
  <c r="Y165" i="21"/>
  <c r="Z165" i="21"/>
  <c r="T166" i="21"/>
  <c r="U166" i="21"/>
  <c r="V166" i="21"/>
  <c r="W166" i="21"/>
  <c r="X166" i="21"/>
  <c r="Y166" i="21"/>
  <c r="Z166" i="21"/>
  <c r="T167" i="21"/>
  <c r="U167" i="21"/>
  <c r="V167" i="21"/>
  <c r="W167" i="21"/>
  <c r="X167" i="21"/>
  <c r="Y167" i="21"/>
  <c r="Z167" i="21"/>
  <c r="T168" i="21"/>
  <c r="U168" i="21"/>
  <c r="V168" i="21"/>
  <c r="W168" i="21"/>
  <c r="X168" i="21"/>
  <c r="Y168" i="21"/>
  <c r="Z168" i="21"/>
  <c r="T169" i="21"/>
  <c r="U169" i="21"/>
  <c r="V169" i="21"/>
  <c r="W169" i="21"/>
  <c r="X169" i="21"/>
  <c r="Y169" i="21"/>
  <c r="Z169" i="21"/>
  <c r="T170" i="21"/>
  <c r="U170" i="21"/>
  <c r="V170" i="21"/>
  <c r="W170" i="21"/>
  <c r="X170" i="21"/>
  <c r="Y170" i="21"/>
  <c r="Z170" i="21"/>
  <c r="T171" i="21"/>
  <c r="U171" i="21"/>
  <c r="V171" i="21"/>
  <c r="W171" i="21"/>
  <c r="X171" i="21"/>
  <c r="Y171" i="21"/>
  <c r="Z171" i="21"/>
  <c r="U172" i="21"/>
  <c r="V172" i="21"/>
  <c r="W172" i="21"/>
  <c r="X172" i="21"/>
  <c r="Y172" i="21"/>
  <c r="Z172" i="21"/>
  <c r="U158" i="21"/>
  <c r="V158" i="21"/>
  <c r="W158" i="21"/>
  <c r="X158" i="21"/>
  <c r="Y158" i="21"/>
  <c r="Z158" i="21"/>
  <c r="T158" i="21"/>
  <c r="T153" i="21"/>
  <c r="T140" i="21"/>
  <c r="U140" i="21"/>
  <c r="V140" i="21"/>
  <c r="W140" i="21"/>
  <c r="X140" i="21"/>
  <c r="Y140" i="21"/>
  <c r="Z140" i="21"/>
  <c r="T141" i="21"/>
  <c r="U141" i="21"/>
  <c r="V141" i="21"/>
  <c r="W141" i="21"/>
  <c r="X141" i="21"/>
  <c r="Y141" i="21"/>
  <c r="Z141" i="21"/>
  <c r="T142" i="21"/>
  <c r="U142" i="21"/>
  <c r="V142" i="21"/>
  <c r="W142" i="21"/>
  <c r="X142" i="21"/>
  <c r="Y142" i="21"/>
  <c r="Z142" i="21"/>
  <c r="T143" i="21"/>
  <c r="U143" i="21"/>
  <c r="V143" i="21"/>
  <c r="W143" i="21"/>
  <c r="X143" i="21"/>
  <c r="Y143" i="21"/>
  <c r="Z143" i="21"/>
  <c r="T144" i="21"/>
  <c r="U144" i="21"/>
  <c r="V144" i="21"/>
  <c r="W144" i="21"/>
  <c r="X144" i="21"/>
  <c r="Y144" i="21"/>
  <c r="Z144" i="21"/>
  <c r="T145" i="21"/>
  <c r="U145" i="21"/>
  <c r="V145" i="21"/>
  <c r="W145" i="21"/>
  <c r="X145" i="21"/>
  <c r="Y145" i="21"/>
  <c r="Z145" i="21"/>
  <c r="T146" i="21"/>
  <c r="U146" i="21"/>
  <c r="V146" i="21"/>
  <c r="W146" i="21"/>
  <c r="X146" i="21"/>
  <c r="Y146" i="21"/>
  <c r="Z146" i="21"/>
  <c r="T147" i="21"/>
  <c r="U147" i="21"/>
  <c r="V147" i="21"/>
  <c r="W147" i="21"/>
  <c r="X147" i="21"/>
  <c r="Y147" i="21"/>
  <c r="Z147" i="21"/>
  <c r="T148" i="21"/>
  <c r="U148" i="21"/>
  <c r="V148" i="21"/>
  <c r="W148" i="21"/>
  <c r="X148" i="21"/>
  <c r="Y148" i="21"/>
  <c r="Z148" i="21"/>
  <c r="T149" i="21"/>
  <c r="U149" i="21"/>
  <c r="V149" i="21"/>
  <c r="W149" i="21"/>
  <c r="X149" i="21"/>
  <c r="Y149" i="21"/>
  <c r="Z149" i="21"/>
  <c r="T150" i="21"/>
  <c r="U150" i="21"/>
  <c r="V150" i="21"/>
  <c r="W150" i="21"/>
  <c r="X150" i="21"/>
  <c r="Y150" i="21"/>
  <c r="Z150" i="21"/>
  <c r="T151" i="21"/>
  <c r="U151" i="21"/>
  <c r="V151" i="21"/>
  <c r="W151" i="21"/>
  <c r="X151" i="21"/>
  <c r="Y151" i="21"/>
  <c r="Z151" i="21"/>
  <c r="T152" i="21"/>
  <c r="U152" i="21"/>
  <c r="V152" i="21"/>
  <c r="W152" i="21"/>
  <c r="X152" i="21"/>
  <c r="Y152" i="21"/>
  <c r="Z152" i="21"/>
  <c r="U153" i="21"/>
  <c r="V153" i="21"/>
  <c r="W153" i="21"/>
  <c r="X153" i="21"/>
  <c r="Y153" i="21"/>
  <c r="Z153" i="21"/>
  <c r="U139" i="21"/>
  <c r="V139" i="21"/>
  <c r="W139" i="21"/>
  <c r="X139" i="21"/>
  <c r="Y139" i="21"/>
  <c r="Z139" i="21"/>
  <c r="T139" i="21"/>
  <c r="T134" i="21"/>
  <c r="T121" i="21"/>
  <c r="U121" i="21"/>
  <c r="V121" i="21"/>
  <c r="W121" i="21"/>
  <c r="X121" i="21"/>
  <c r="Y121" i="21"/>
  <c r="Z121" i="21"/>
  <c r="T122" i="21"/>
  <c r="U122" i="21"/>
  <c r="V122" i="21"/>
  <c r="W122" i="21"/>
  <c r="X122" i="21"/>
  <c r="Y122" i="21"/>
  <c r="Z122" i="21"/>
  <c r="T123" i="21"/>
  <c r="U123" i="21"/>
  <c r="V123" i="21"/>
  <c r="W123" i="21"/>
  <c r="X123" i="21"/>
  <c r="Y123" i="21"/>
  <c r="Z123" i="21"/>
  <c r="T124" i="21"/>
  <c r="U124" i="21"/>
  <c r="V124" i="21"/>
  <c r="W124" i="21"/>
  <c r="X124" i="21"/>
  <c r="Y124" i="21"/>
  <c r="Z124" i="21"/>
  <c r="T125" i="21"/>
  <c r="U125" i="21"/>
  <c r="V125" i="21"/>
  <c r="W125" i="21"/>
  <c r="X125" i="21"/>
  <c r="Y125" i="21"/>
  <c r="Z125" i="21"/>
  <c r="T126" i="21"/>
  <c r="U126" i="21"/>
  <c r="V126" i="21"/>
  <c r="W126" i="21"/>
  <c r="X126" i="21"/>
  <c r="Y126" i="21"/>
  <c r="Z126" i="21"/>
  <c r="T127" i="21"/>
  <c r="U127" i="21"/>
  <c r="V127" i="21"/>
  <c r="W127" i="21"/>
  <c r="X127" i="21"/>
  <c r="Y127" i="21"/>
  <c r="Z127" i="21"/>
  <c r="T128" i="21"/>
  <c r="U128" i="21"/>
  <c r="V128" i="21"/>
  <c r="W128" i="21"/>
  <c r="X128" i="21"/>
  <c r="Y128" i="21"/>
  <c r="Z128" i="21"/>
  <c r="T129" i="21"/>
  <c r="U129" i="21"/>
  <c r="V129" i="21"/>
  <c r="W129" i="21"/>
  <c r="X129" i="21"/>
  <c r="Y129" i="21"/>
  <c r="Z129" i="21"/>
  <c r="T130" i="21"/>
  <c r="U130" i="21"/>
  <c r="V130" i="21"/>
  <c r="W130" i="21"/>
  <c r="X130" i="21"/>
  <c r="Y130" i="21"/>
  <c r="Z130" i="21"/>
  <c r="T131" i="21"/>
  <c r="U131" i="21"/>
  <c r="V131" i="21"/>
  <c r="W131" i="21"/>
  <c r="X131" i="21"/>
  <c r="Y131" i="21"/>
  <c r="Z131" i="21"/>
  <c r="T132" i="21"/>
  <c r="U132" i="21"/>
  <c r="V132" i="21"/>
  <c r="W132" i="21"/>
  <c r="X132" i="21"/>
  <c r="Y132" i="21"/>
  <c r="Z132" i="21"/>
  <c r="T133" i="21"/>
  <c r="U133" i="21"/>
  <c r="V133" i="21"/>
  <c r="W133" i="21"/>
  <c r="X133" i="21"/>
  <c r="Y133" i="21"/>
  <c r="Z133" i="21"/>
  <c r="U134" i="21"/>
  <c r="V134" i="21"/>
  <c r="W134" i="21"/>
  <c r="X134" i="21"/>
  <c r="Y134" i="21"/>
  <c r="Z134" i="21"/>
  <c r="Z120" i="21"/>
  <c r="U120" i="21"/>
  <c r="V120" i="21"/>
  <c r="W120" i="21"/>
  <c r="X120" i="21"/>
  <c r="Y120" i="21"/>
  <c r="T120" i="21"/>
  <c r="T115" i="21"/>
  <c r="T102" i="21"/>
  <c r="U102" i="21"/>
  <c r="V102" i="21"/>
  <c r="W102" i="21"/>
  <c r="X102" i="21"/>
  <c r="Y102" i="21"/>
  <c r="Z102" i="21"/>
  <c r="T103" i="21"/>
  <c r="U103" i="21"/>
  <c r="V103" i="21"/>
  <c r="W103" i="21"/>
  <c r="X103" i="21"/>
  <c r="Y103" i="21"/>
  <c r="Z103" i="21"/>
  <c r="T104" i="21"/>
  <c r="U104" i="21"/>
  <c r="V104" i="21"/>
  <c r="W104" i="21"/>
  <c r="X104" i="21"/>
  <c r="Y104" i="21"/>
  <c r="Z104" i="21"/>
  <c r="T105" i="21"/>
  <c r="U105" i="21"/>
  <c r="V105" i="21"/>
  <c r="W105" i="21"/>
  <c r="X105" i="21"/>
  <c r="Y105" i="21"/>
  <c r="Z105" i="21"/>
  <c r="T106" i="21"/>
  <c r="U106" i="21"/>
  <c r="V106" i="21"/>
  <c r="W106" i="21"/>
  <c r="X106" i="21"/>
  <c r="Y106" i="21"/>
  <c r="Z106" i="21"/>
  <c r="T107" i="21"/>
  <c r="U107" i="21"/>
  <c r="V107" i="21"/>
  <c r="W107" i="21"/>
  <c r="X107" i="21"/>
  <c r="Y107" i="21"/>
  <c r="Z107" i="21"/>
  <c r="T108" i="21"/>
  <c r="U108" i="21"/>
  <c r="V108" i="21"/>
  <c r="W108" i="21"/>
  <c r="X108" i="21"/>
  <c r="Y108" i="21"/>
  <c r="Z108" i="21"/>
  <c r="T109" i="21"/>
  <c r="U109" i="21"/>
  <c r="V109" i="21"/>
  <c r="W109" i="21"/>
  <c r="X109" i="21"/>
  <c r="Y109" i="21"/>
  <c r="Z109" i="21"/>
  <c r="T110" i="21"/>
  <c r="U110" i="21"/>
  <c r="V110" i="21"/>
  <c r="W110" i="21"/>
  <c r="X110" i="21"/>
  <c r="Y110" i="21"/>
  <c r="Z110" i="21"/>
  <c r="T111" i="21"/>
  <c r="U111" i="21"/>
  <c r="V111" i="21"/>
  <c r="W111" i="21"/>
  <c r="X111" i="21"/>
  <c r="Y111" i="21"/>
  <c r="Z111" i="21"/>
  <c r="T112" i="21"/>
  <c r="U112" i="21"/>
  <c r="V112" i="21"/>
  <c r="W112" i="21"/>
  <c r="X112" i="21"/>
  <c r="Y112" i="21"/>
  <c r="Z112" i="21"/>
  <c r="T113" i="21"/>
  <c r="U113" i="21"/>
  <c r="V113" i="21"/>
  <c r="W113" i="21"/>
  <c r="X113" i="21"/>
  <c r="Y113" i="21"/>
  <c r="Z113" i="21"/>
  <c r="T114" i="21"/>
  <c r="U114" i="21"/>
  <c r="V114" i="21"/>
  <c r="W114" i="21"/>
  <c r="X114" i="21"/>
  <c r="Y114" i="21"/>
  <c r="Z114" i="21"/>
  <c r="U115" i="21"/>
  <c r="V115" i="21"/>
  <c r="W115" i="21"/>
  <c r="X115" i="21"/>
  <c r="Y115" i="21"/>
  <c r="Z115" i="21"/>
  <c r="U101" i="21"/>
  <c r="V101" i="21"/>
  <c r="W101" i="21"/>
  <c r="X101" i="21"/>
  <c r="Y101" i="21"/>
  <c r="Z101" i="21"/>
  <c r="T101" i="21"/>
  <c r="T96" i="21"/>
  <c r="U83" i="21"/>
  <c r="V83" i="21"/>
  <c r="W83" i="21"/>
  <c r="X83" i="21"/>
  <c r="Y83" i="21"/>
  <c r="Z83" i="21"/>
  <c r="U84" i="21"/>
  <c r="V84" i="21"/>
  <c r="W84" i="21"/>
  <c r="X84" i="21"/>
  <c r="Y84" i="21"/>
  <c r="Z84" i="21"/>
  <c r="U85" i="21"/>
  <c r="V85" i="21"/>
  <c r="W85" i="21"/>
  <c r="X85" i="21"/>
  <c r="Y85" i="21"/>
  <c r="Z85" i="21"/>
  <c r="U86" i="21"/>
  <c r="V86" i="21"/>
  <c r="W86" i="21"/>
  <c r="X86" i="21"/>
  <c r="Y86" i="21"/>
  <c r="Z86" i="21"/>
  <c r="U87" i="21"/>
  <c r="V87" i="21"/>
  <c r="W87" i="21"/>
  <c r="X87" i="21"/>
  <c r="Y87" i="21"/>
  <c r="Z87" i="21"/>
  <c r="U88" i="21"/>
  <c r="V88" i="21"/>
  <c r="W88" i="21"/>
  <c r="X88" i="21"/>
  <c r="Y88" i="21"/>
  <c r="Z88" i="21"/>
  <c r="U89" i="21"/>
  <c r="V89" i="21"/>
  <c r="W89" i="21"/>
  <c r="X89" i="21"/>
  <c r="Y89" i="21"/>
  <c r="Z89" i="21"/>
  <c r="U90" i="21"/>
  <c r="V90" i="21"/>
  <c r="W90" i="21"/>
  <c r="X90" i="21"/>
  <c r="Y90" i="21"/>
  <c r="Z90" i="21"/>
  <c r="U91" i="21"/>
  <c r="V91" i="21"/>
  <c r="W91" i="21"/>
  <c r="X91" i="21"/>
  <c r="Y91" i="21"/>
  <c r="Z91" i="21"/>
  <c r="U92" i="21"/>
  <c r="V92" i="21"/>
  <c r="W92" i="21"/>
  <c r="X92" i="21"/>
  <c r="Y92" i="21"/>
  <c r="Z92" i="21"/>
  <c r="U93" i="21"/>
  <c r="V93" i="21"/>
  <c r="W93" i="21"/>
  <c r="X93" i="21"/>
  <c r="Y93" i="21"/>
  <c r="Z93" i="21"/>
  <c r="U94" i="21"/>
  <c r="V94" i="21"/>
  <c r="W94" i="21"/>
  <c r="X94" i="21"/>
  <c r="Y94" i="21"/>
  <c r="Z94" i="21"/>
  <c r="U95" i="21"/>
  <c r="V95" i="21"/>
  <c r="W95" i="21"/>
  <c r="X95" i="21"/>
  <c r="Y95" i="21"/>
  <c r="Z95" i="21"/>
  <c r="U96" i="21"/>
  <c r="V96" i="21"/>
  <c r="W96" i="21"/>
  <c r="X96" i="21"/>
  <c r="Y96" i="21"/>
  <c r="Z96" i="21"/>
  <c r="U82" i="21"/>
  <c r="V82" i="21"/>
  <c r="W82" i="21"/>
  <c r="X82" i="21"/>
  <c r="Y82" i="21"/>
  <c r="Z82" i="21"/>
  <c r="T83" i="21"/>
  <c r="T84" i="21"/>
  <c r="T85" i="21"/>
  <c r="T86" i="21"/>
  <c r="T87" i="21"/>
  <c r="T88" i="21"/>
  <c r="T89" i="21"/>
  <c r="T90" i="21"/>
  <c r="T91" i="21"/>
  <c r="T92" i="21"/>
  <c r="T93" i="21"/>
  <c r="T94" i="21"/>
  <c r="T95" i="21"/>
  <c r="T82" i="21"/>
  <c r="T77" i="21"/>
  <c r="U64" i="21"/>
  <c r="V64" i="21"/>
  <c r="W64" i="21"/>
  <c r="X64" i="21"/>
  <c r="Y64" i="21"/>
  <c r="Z64" i="21"/>
  <c r="U65" i="21"/>
  <c r="V65" i="21"/>
  <c r="W65" i="21"/>
  <c r="X65" i="21"/>
  <c r="Y65" i="21"/>
  <c r="Z65" i="21"/>
  <c r="U66" i="21"/>
  <c r="V66" i="21"/>
  <c r="W66" i="21"/>
  <c r="X66" i="21"/>
  <c r="Y66" i="21"/>
  <c r="Z66" i="21"/>
  <c r="U67" i="21"/>
  <c r="V67" i="21"/>
  <c r="W67" i="21"/>
  <c r="X67" i="21"/>
  <c r="Y67" i="21"/>
  <c r="Z67" i="21"/>
  <c r="U68" i="21"/>
  <c r="V68" i="21"/>
  <c r="W68" i="21"/>
  <c r="X68" i="21"/>
  <c r="Y68" i="21"/>
  <c r="Z68" i="21"/>
  <c r="U69" i="21"/>
  <c r="V69" i="21"/>
  <c r="W69" i="21"/>
  <c r="X69" i="21"/>
  <c r="Y69" i="21"/>
  <c r="Z69" i="21"/>
  <c r="U70" i="21"/>
  <c r="V70" i="21"/>
  <c r="W70" i="21"/>
  <c r="X70" i="21"/>
  <c r="Y70" i="21"/>
  <c r="Z70" i="21"/>
  <c r="U71" i="21"/>
  <c r="V71" i="21"/>
  <c r="W71" i="21"/>
  <c r="X71" i="21"/>
  <c r="Y71" i="21"/>
  <c r="Z71" i="21"/>
  <c r="U72" i="21"/>
  <c r="V72" i="21"/>
  <c r="W72" i="21"/>
  <c r="X72" i="21"/>
  <c r="Y72" i="21"/>
  <c r="Z72" i="21"/>
  <c r="U73" i="21"/>
  <c r="V73" i="21"/>
  <c r="W73" i="21"/>
  <c r="X73" i="21"/>
  <c r="Y73" i="21"/>
  <c r="Z73" i="21"/>
  <c r="U74" i="21"/>
  <c r="V74" i="21"/>
  <c r="W74" i="21"/>
  <c r="X74" i="21"/>
  <c r="Y74" i="21"/>
  <c r="Z74" i="21"/>
  <c r="U75" i="21"/>
  <c r="V75" i="21"/>
  <c r="W75" i="21"/>
  <c r="X75" i="21"/>
  <c r="Y75" i="21"/>
  <c r="Z75" i="21"/>
  <c r="U76" i="21"/>
  <c r="V76" i="21"/>
  <c r="W76" i="21"/>
  <c r="X76" i="21"/>
  <c r="Y76" i="21"/>
  <c r="Z76" i="21"/>
  <c r="U77" i="21"/>
  <c r="V77" i="21"/>
  <c r="W77" i="21"/>
  <c r="X77" i="21"/>
  <c r="Y77" i="21"/>
  <c r="Z77" i="21"/>
  <c r="U63" i="21"/>
  <c r="V63" i="21"/>
  <c r="W63" i="21"/>
  <c r="X63" i="21"/>
  <c r="Y63" i="21"/>
  <c r="Z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63" i="21"/>
  <c r="T58" i="21"/>
  <c r="U45" i="21"/>
  <c r="V45" i="21"/>
  <c r="W45" i="21"/>
  <c r="X45" i="21"/>
  <c r="Y45" i="21"/>
  <c r="Z45" i="21"/>
  <c r="U46" i="21"/>
  <c r="V46" i="21"/>
  <c r="W46" i="21"/>
  <c r="X46" i="21"/>
  <c r="Y46" i="21"/>
  <c r="Z46" i="21"/>
  <c r="U47" i="21"/>
  <c r="V47" i="21"/>
  <c r="W47" i="21"/>
  <c r="X47" i="21"/>
  <c r="Y47" i="21"/>
  <c r="Z47" i="21"/>
  <c r="U48" i="21"/>
  <c r="V48" i="21"/>
  <c r="W48" i="21"/>
  <c r="X48" i="21"/>
  <c r="Y48" i="21"/>
  <c r="Z48" i="21"/>
  <c r="U49" i="21"/>
  <c r="V49" i="21"/>
  <c r="W49" i="21"/>
  <c r="X49" i="21"/>
  <c r="Y49" i="21"/>
  <c r="Z49" i="21"/>
  <c r="U50" i="21"/>
  <c r="V50" i="21"/>
  <c r="W50" i="21"/>
  <c r="X50" i="21"/>
  <c r="Y50" i="21"/>
  <c r="Z50" i="21"/>
  <c r="U51" i="21"/>
  <c r="V51" i="21"/>
  <c r="W51" i="21"/>
  <c r="X51" i="21"/>
  <c r="Y51" i="21"/>
  <c r="Z51" i="21"/>
  <c r="U52" i="21"/>
  <c r="V52" i="21"/>
  <c r="W52" i="21"/>
  <c r="X52" i="21"/>
  <c r="Y52" i="21"/>
  <c r="Z52" i="21"/>
  <c r="U53" i="21"/>
  <c r="V53" i="21"/>
  <c r="W53" i="21"/>
  <c r="X53" i="21"/>
  <c r="Y53" i="21"/>
  <c r="Z53" i="21"/>
  <c r="U54" i="21"/>
  <c r="V54" i="21"/>
  <c r="W54" i="21"/>
  <c r="X54" i="21"/>
  <c r="Y54" i="21"/>
  <c r="Z54" i="21"/>
  <c r="U55" i="21"/>
  <c r="V55" i="21"/>
  <c r="W55" i="21"/>
  <c r="X55" i="21"/>
  <c r="Y55" i="21"/>
  <c r="Z55" i="21"/>
  <c r="U56" i="21"/>
  <c r="V56" i="21"/>
  <c r="W56" i="21"/>
  <c r="X56" i="21"/>
  <c r="Y56" i="21"/>
  <c r="Z56" i="21"/>
  <c r="U57" i="21"/>
  <c r="V57" i="21"/>
  <c r="W57" i="21"/>
  <c r="X57" i="21"/>
  <c r="Y57" i="21"/>
  <c r="Z57" i="21"/>
  <c r="U58" i="21"/>
  <c r="V58" i="21"/>
  <c r="W58" i="21"/>
  <c r="X58" i="21"/>
  <c r="Y58" i="21"/>
  <c r="Z58" i="21"/>
  <c r="U44" i="21"/>
  <c r="V44" i="21"/>
  <c r="W44" i="21"/>
  <c r="X44" i="21"/>
  <c r="Y44" i="21"/>
  <c r="Z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44" i="21"/>
  <c r="T39" i="21"/>
  <c r="U26" i="21"/>
  <c r="V26" i="21"/>
  <c r="W26" i="21"/>
  <c r="X26" i="21"/>
  <c r="Y26" i="21"/>
  <c r="Z26" i="21"/>
  <c r="U27" i="21"/>
  <c r="V27" i="21"/>
  <c r="W27" i="21"/>
  <c r="X27" i="21"/>
  <c r="Y27" i="21"/>
  <c r="Z27" i="21"/>
  <c r="U28" i="21"/>
  <c r="V28" i="21"/>
  <c r="W28" i="21"/>
  <c r="X28" i="21"/>
  <c r="Y28" i="21"/>
  <c r="Z28" i="21"/>
  <c r="U29" i="21"/>
  <c r="V29" i="21"/>
  <c r="W29" i="21"/>
  <c r="X29" i="21"/>
  <c r="Y29" i="21"/>
  <c r="Z29" i="21"/>
  <c r="U30" i="21"/>
  <c r="V30" i="21"/>
  <c r="W30" i="21"/>
  <c r="X30" i="21"/>
  <c r="Y30" i="21"/>
  <c r="Z30" i="21"/>
  <c r="U31" i="21"/>
  <c r="V31" i="21"/>
  <c r="W31" i="21"/>
  <c r="X31" i="21"/>
  <c r="Y31" i="21"/>
  <c r="Z31" i="21"/>
  <c r="U32" i="21"/>
  <c r="V32" i="21"/>
  <c r="W32" i="21"/>
  <c r="X32" i="21"/>
  <c r="Y32" i="21"/>
  <c r="Z32" i="21"/>
  <c r="U33" i="21"/>
  <c r="V33" i="21"/>
  <c r="W33" i="21"/>
  <c r="X33" i="21"/>
  <c r="Y33" i="21"/>
  <c r="Z33" i="21"/>
  <c r="U34" i="21"/>
  <c r="V34" i="21"/>
  <c r="W34" i="21"/>
  <c r="X34" i="21"/>
  <c r="Y34" i="21"/>
  <c r="Z34" i="21"/>
  <c r="U35" i="21"/>
  <c r="V35" i="21"/>
  <c r="W35" i="21"/>
  <c r="X35" i="21"/>
  <c r="Y35" i="21"/>
  <c r="Z35" i="21"/>
  <c r="U36" i="21"/>
  <c r="V36" i="21"/>
  <c r="W36" i="21"/>
  <c r="X36" i="21"/>
  <c r="Y36" i="21"/>
  <c r="Z36" i="21"/>
  <c r="U37" i="21"/>
  <c r="V37" i="21"/>
  <c r="W37" i="21"/>
  <c r="X37" i="21"/>
  <c r="Y37" i="21"/>
  <c r="Z37" i="21"/>
  <c r="U38" i="21"/>
  <c r="V38" i="21"/>
  <c r="W38" i="21"/>
  <c r="X38" i="21"/>
  <c r="Y38" i="21"/>
  <c r="Z38" i="21"/>
  <c r="U39" i="21"/>
  <c r="V39" i="21"/>
  <c r="W39" i="21"/>
  <c r="X39" i="21"/>
  <c r="Y39" i="21"/>
  <c r="Z39" i="21"/>
  <c r="U25" i="21"/>
  <c r="V25" i="21"/>
  <c r="W25" i="21"/>
  <c r="X25" i="21"/>
  <c r="Y25" i="21"/>
  <c r="Z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25" i="21"/>
  <c r="T20" i="21"/>
  <c r="U7" i="21"/>
  <c r="V7" i="21"/>
  <c r="W7" i="21"/>
  <c r="X7" i="21"/>
  <c r="Y7" i="21"/>
  <c r="Z7" i="21"/>
  <c r="U8" i="21"/>
  <c r="V8" i="21"/>
  <c r="W8" i="21"/>
  <c r="X8" i="21"/>
  <c r="Y8" i="21"/>
  <c r="Z8" i="21"/>
  <c r="U9" i="21"/>
  <c r="V9" i="21"/>
  <c r="W9" i="21"/>
  <c r="X9" i="21"/>
  <c r="Y9" i="21"/>
  <c r="Z9" i="21"/>
  <c r="U10" i="21"/>
  <c r="V10" i="21"/>
  <c r="W10" i="21"/>
  <c r="X10" i="21"/>
  <c r="Y10" i="21"/>
  <c r="Z10" i="21"/>
  <c r="U11" i="21"/>
  <c r="V11" i="21"/>
  <c r="W11" i="21"/>
  <c r="X11" i="21"/>
  <c r="Y11" i="21"/>
  <c r="Z11" i="21"/>
  <c r="U12" i="21"/>
  <c r="V12" i="21"/>
  <c r="W12" i="21"/>
  <c r="X12" i="21"/>
  <c r="Y12" i="21"/>
  <c r="Z12" i="21"/>
  <c r="U13" i="21"/>
  <c r="V13" i="21"/>
  <c r="W13" i="21"/>
  <c r="X13" i="21"/>
  <c r="Y13" i="21"/>
  <c r="Z13" i="21"/>
  <c r="U14" i="21"/>
  <c r="V14" i="21"/>
  <c r="W14" i="21"/>
  <c r="X14" i="21"/>
  <c r="Y14" i="21"/>
  <c r="Z14" i="21"/>
  <c r="U15" i="21"/>
  <c r="V15" i="21"/>
  <c r="W15" i="21"/>
  <c r="X15" i="21"/>
  <c r="Y15" i="21"/>
  <c r="Z15" i="21"/>
  <c r="U16" i="21"/>
  <c r="V16" i="21"/>
  <c r="W16" i="21"/>
  <c r="X16" i="21"/>
  <c r="Y16" i="21"/>
  <c r="Z16" i="21"/>
  <c r="U17" i="21"/>
  <c r="V17" i="21"/>
  <c r="W17" i="21"/>
  <c r="X17" i="21"/>
  <c r="Y17" i="21"/>
  <c r="Z17" i="21"/>
  <c r="U18" i="21"/>
  <c r="V18" i="21"/>
  <c r="W18" i="21"/>
  <c r="X18" i="21"/>
  <c r="Y18" i="21"/>
  <c r="Z18" i="21"/>
  <c r="U19" i="21"/>
  <c r="V19" i="21"/>
  <c r="W19" i="21"/>
  <c r="X19" i="21"/>
  <c r="Y19" i="21"/>
  <c r="Z19" i="21"/>
  <c r="U20" i="21"/>
  <c r="V20" i="21"/>
  <c r="W20" i="21"/>
  <c r="X20" i="21"/>
  <c r="Y20" i="21"/>
  <c r="Z20" i="21"/>
  <c r="U6" i="21"/>
  <c r="V6" i="21"/>
  <c r="W6" i="21"/>
  <c r="X6" i="21"/>
  <c r="Y6" i="21"/>
  <c r="Z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6" i="21"/>
  <c r="K305" i="21"/>
  <c r="L292" i="21"/>
  <c r="M292" i="21"/>
  <c r="N292" i="21"/>
  <c r="O292" i="21"/>
  <c r="P292" i="21"/>
  <c r="Q292" i="21"/>
  <c r="L293" i="21"/>
  <c r="M293" i="21"/>
  <c r="N293" i="21"/>
  <c r="O293" i="21"/>
  <c r="P293" i="21"/>
  <c r="Q293" i="21"/>
  <c r="L294" i="21"/>
  <c r="M294" i="21"/>
  <c r="N294" i="21"/>
  <c r="O294" i="21"/>
  <c r="P294" i="21"/>
  <c r="Q294" i="21"/>
  <c r="L295" i="21"/>
  <c r="M295" i="21"/>
  <c r="N295" i="21"/>
  <c r="O295" i="21"/>
  <c r="P295" i="21"/>
  <c r="Q295" i="21"/>
  <c r="L296" i="21"/>
  <c r="M296" i="21"/>
  <c r="N296" i="21"/>
  <c r="O296" i="21"/>
  <c r="P296" i="21"/>
  <c r="Q296" i="21"/>
  <c r="L297" i="21"/>
  <c r="M297" i="21"/>
  <c r="N297" i="21"/>
  <c r="O297" i="21"/>
  <c r="P297" i="21"/>
  <c r="Q297" i="21"/>
  <c r="L298" i="21"/>
  <c r="M298" i="21"/>
  <c r="N298" i="21"/>
  <c r="O298" i="21"/>
  <c r="P298" i="21"/>
  <c r="Q298" i="21"/>
  <c r="L299" i="21"/>
  <c r="M299" i="21"/>
  <c r="N299" i="21"/>
  <c r="O299" i="21"/>
  <c r="P299" i="21"/>
  <c r="Q299" i="21"/>
  <c r="L300" i="21"/>
  <c r="M300" i="21"/>
  <c r="N300" i="21"/>
  <c r="O300" i="21"/>
  <c r="P300" i="21"/>
  <c r="Q300" i="21"/>
  <c r="L301" i="21"/>
  <c r="M301" i="21"/>
  <c r="N301" i="21"/>
  <c r="O301" i="21"/>
  <c r="P301" i="21"/>
  <c r="Q301" i="21"/>
  <c r="L302" i="21"/>
  <c r="M302" i="21"/>
  <c r="N302" i="21"/>
  <c r="O302" i="21"/>
  <c r="P302" i="21"/>
  <c r="Q302" i="21"/>
  <c r="L303" i="21"/>
  <c r="M303" i="21"/>
  <c r="N303" i="21"/>
  <c r="O303" i="21"/>
  <c r="P303" i="21"/>
  <c r="Q303" i="21"/>
  <c r="L304" i="21"/>
  <c r="M304" i="21"/>
  <c r="N304" i="21"/>
  <c r="O304" i="21"/>
  <c r="P304" i="21"/>
  <c r="Q304" i="21"/>
  <c r="L305" i="21"/>
  <c r="M305" i="21"/>
  <c r="N305" i="21"/>
  <c r="O305" i="21"/>
  <c r="P305" i="21"/>
  <c r="Q305" i="21"/>
  <c r="L291" i="21"/>
  <c r="M291" i="21"/>
  <c r="N291" i="21"/>
  <c r="O291" i="21"/>
  <c r="P291" i="21"/>
  <c r="Q291" i="21"/>
  <c r="K292" i="21"/>
  <c r="K293" i="21"/>
  <c r="K294" i="21"/>
  <c r="K295" i="21"/>
  <c r="K296" i="21"/>
  <c r="K297" i="21"/>
  <c r="K298" i="21"/>
  <c r="K299" i="21"/>
  <c r="K300" i="21"/>
  <c r="K301" i="21"/>
  <c r="K302" i="21"/>
  <c r="K303" i="21"/>
  <c r="K304" i="21"/>
  <c r="K291" i="21"/>
  <c r="K286" i="21"/>
  <c r="L273" i="21"/>
  <c r="M273" i="21"/>
  <c r="N273" i="21"/>
  <c r="O273" i="21"/>
  <c r="P273" i="21"/>
  <c r="Q273" i="21"/>
  <c r="L274" i="21"/>
  <c r="M274" i="21"/>
  <c r="N274" i="21"/>
  <c r="O274" i="21"/>
  <c r="P274" i="21"/>
  <c r="Q274" i="21"/>
  <c r="L275" i="21"/>
  <c r="M275" i="21"/>
  <c r="N275" i="21"/>
  <c r="O275" i="21"/>
  <c r="P275" i="21"/>
  <c r="Q275" i="21"/>
  <c r="L276" i="21"/>
  <c r="M276" i="21"/>
  <c r="N276" i="21"/>
  <c r="O276" i="21"/>
  <c r="P276" i="21"/>
  <c r="Q276" i="21"/>
  <c r="L277" i="21"/>
  <c r="M277" i="21"/>
  <c r="N277" i="21"/>
  <c r="O277" i="21"/>
  <c r="P277" i="21"/>
  <c r="Q277" i="21"/>
  <c r="L278" i="21"/>
  <c r="M278" i="21"/>
  <c r="N278" i="21"/>
  <c r="O278" i="21"/>
  <c r="P278" i="21"/>
  <c r="Q278" i="21"/>
  <c r="L279" i="21"/>
  <c r="M279" i="21"/>
  <c r="N279" i="21"/>
  <c r="O279" i="21"/>
  <c r="P279" i="21"/>
  <c r="Q279" i="21"/>
  <c r="L280" i="21"/>
  <c r="M280" i="21"/>
  <c r="N280" i="21"/>
  <c r="O280" i="21"/>
  <c r="P280" i="21"/>
  <c r="Q280" i="21"/>
  <c r="L281" i="21"/>
  <c r="M281" i="21"/>
  <c r="N281" i="21"/>
  <c r="O281" i="21"/>
  <c r="P281" i="21"/>
  <c r="Q281" i="21"/>
  <c r="L282" i="21"/>
  <c r="M282" i="21"/>
  <c r="N282" i="21"/>
  <c r="O282" i="21"/>
  <c r="P282" i="21"/>
  <c r="Q282" i="21"/>
  <c r="L283" i="21"/>
  <c r="M283" i="21"/>
  <c r="N283" i="21"/>
  <c r="O283" i="21"/>
  <c r="P283" i="21"/>
  <c r="Q283" i="21"/>
  <c r="L284" i="21"/>
  <c r="M284" i="21"/>
  <c r="N284" i="21"/>
  <c r="O284" i="21"/>
  <c r="P284" i="21"/>
  <c r="Q284" i="21"/>
  <c r="L285" i="21"/>
  <c r="M285" i="21"/>
  <c r="N285" i="21"/>
  <c r="O285" i="21"/>
  <c r="P285" i="21"/>
  <c r="Q285" i="21"/>
  <c r="L286" i="21"/>
  <c r="M286" i="21"/>
  <c r="N286" i="21"/>
  <c r="O286" i="21"/>
  <c r="P286" i="21"/>
  <c r="Q286" i="21"/>
  <c r="L272" i="21"/>
  <c r="M272" i="21"/>
  <c r="N272" i="21"/>
  <c r="O272" i="21"/>
  <c r="P272" i="21"/>
  <c r="Q272" i="21"/>
  <c r="K273" i="21"/>
  <c r="K274" i="21"/>
  <c r="K275" i="21"/>
  <c r="K276" i="21"/>
  <c r="K277" i="21"/>
  <c r="K278" i="21"/>
  <c r="K279" i="21"/>
  <c r="K280" i="21"/>
  <c r="K281" i="21"/>
  <c r="K282" i="21"/>
  <c r="K283" i="21"/>
  <c r="K284" i="21"/>
  <c r="K285" i="21"/>
  <c r="K272" i="21"/>
  <c r="K267" i="21"/>
  <c r="L254" i="21"/>
  <c r="M254" i="21"/>
  <c r="N254" i="21"/>
  <c r="O254" i="21"/>
  <c r="P254" i="21"/>
  <c r="Q254" i="21"/>
  <c r="L255" i="21"/>
  <c r="M255" i="21"/>
  <c r="N255" i="21"/>
  <c r="O255" i="21"/>
  <c r="P255" i="21"/>
  <c r="Q255" i="21"/>
  <c r="L256" i="21"/>
  <c r="M256" i="21"/>
  <c r="N256" i="21"/>
  <c r="O256" i="21"/>
  <c r="P256" i="21"/>
  <c r="Q256" i="21"/>
  <c r="L257" i="21"/>
  <c r="M257" i="21"/>
  <c r="N257" i="21"/>
  <c r="O257" i="21"/>
  <c r="P257" i="21"/>
  <c r="Q257" i="21"/>
  <c r="L258" i="21"/>
  <c r="M258" i="21"/>
  <c r="N258" i="21"/>
  <c r="O258" i="21"/>
  <c r="P258" i="21"/>
  <c r="Q258" i="21"/>
  <c r="L259" i="21"/>
  <c r="M259" i="21"/>
  <c r="N259" i="21"/>
  <c r="O259" i="21"/>
  <c r="P259" i="21"/>
  <c r="Q259" i="21"/>
  <c r="L260" i="21"/>
  <c r="M260" i="21"/>
  <c r="N260" i="21"/>
  <c r="O260" i="21"/>
  <c r="P260" i="21"/>
  <c r="Q260" i="21"/>
  <c r="L261" i="21"/>
  <c r="M261" i="21"/>
  <c r="N261" i="21"/>
  <c r="O261" i="21"/>
  <c r="P261" i="21"/>
  <c r="Q261" i="21"/>
  <c r="L262" i="21"/>
  <c r="M262" i="21"/>
  <c r="N262" i="21"/>
  <c r="O262" i="21"/>
  <c r="P262" i="21"/>
  <c r="Q262" i="21"/>
  <c r="L263" i="21"/>
  <c r="M263" i="21"/>
  <c r="N263" i="21"/>
  <c r="O263" i="21"/>
  <c r="P263" i="21"/>
  <c r="Q263" i="21"/>
  <c r="L264" i="21"/>
  <c r="M264" i="21"/>
  <c r="N264" i="21"/>
  <c r="O264" i="21"/>
  <c r="P264" i="21"/>
  <c r="Q264" i="21"/>
  <c r="L265" i="21"/>
  <c r="M265" i="21"/>
  <c r="N265" i="21"/>
  <c r="O265" i="21"/>
  <c r="P265" i="21"/>
  <c r="Q265" i="21"/>
  <c r="L266" i="21"/>
  <c r="M266" i="21"/>
  <c r="N266" i="21"/>
  <c r="O266" i="21"/>
  <c r="P266" i="21"/>
  <c r="Q266" i="21"/>
  <c r="L267" i="21"/>
  <c r="M267" i="21"/>
  <c r="N267" i="21"/>
  <c r="O267" i="21"/>
  <c r="P267" i="21"/>
  <c r="Q267" i="21"/>
  <c r="L253" i="21"/>
  <c r="M253" i="21"/>
  <c r="N253" i="21"/>
  <c r="O253" i="21"/>
  <c r="P253" i="21"/>
  <c r="Q253" i="21"/>
  <c r="K254" i="21"/>
  <c r="K255" i="21"/>
  <c r="K256" i="21"/>
  <c r="K257" i="21"/>
  <c r="K258" i="21"/>
  <c r="K259" i="21"/>
  <c r="K260" i="21"/>
  <c r="K261" i="21"/>
  <c r="K262" i="21"/>
  <c r="K263" i="21"/>
  <c r="K264" i="21"/>
  <c r="K265" i="21"/>
  <c r="K266" i="21"/>
  <c r="K253" i="21"/>
  <c r="K248" i="21"/>
  <c r="L235" i="21"/>
  <c r="M235" i="21"/>
  <c r="N235" i="21"/>
  <c r="O235" i="21"/>
  <c r="P235" i="21"/>
  <c r="Q235" i="21"/>
  <c r="L236" i="21"/>
  <c r="M236" i="21"/>
  <c r="N236" i="21"/>
  <c r="O236" i="21"/>
  <c r="P236" i="21"/>
  <c r="Q236" i="21"/>
  <c r="L237" i="21"/>
  <c r="M237" i="21"/>
  <c r="N237" i="21"/>
  <c r="O237" i="21"/>
  <c r="P237" i="21"/>
  <c r="Q237" i="21"/>
  <c r="L238" i="21"/>
  <c r="M238" i="21"/>
  <c r="N238" i="21"/>
  <c r="O238" i="21"/>
  <c r="P238" i="21"/>
  <c r="Q238" i="21"/>
  <c r="L239" i="21"/>
  <c r="M239" i="21"/>
  <c r="N239" i="21"/>
  <c r="O239" i="21"/>
  <c r="P239" i="21"/>
  <c r="Q239" i="21"/>
  <c r="L240" i="21"/>
  <c r="M240" i="21"/>
  <c r="N240" i="21"/>
  <c r="O240" i="21"/>
  <c r="P240" i="21"/>
  <c r="Q240" i="21"/>
  <c r="L241" i="21"/>
  <c r="M241" i="21"/>
  <c r="N241" i="21"/>
  <c r="O241" i="21"/>
  <c r="P241" i="21"/>
  <c r="Q241" i="21"/>
  <c r="L242" i="21"/>
  <c r="M242" i="21"/>
  <c r="N242" i="21"/>
  <c r="O242" i="21"/>
  <c r="P242" i="21"/>
  <c r="Q242" i="21"/>
  <c r="L243" i="21"/>
  <c r="M243" i="21"/>
  <c r="N243" i="21"/>
  <c r="O243" i="21"/>
  <c r="P243" i="21"/>
  <c r="Q243" i="21"/>
  <c r="L244" i="21"/>
  <c r="M244" i="21"/>
  <c r="N244" i="21"/>
  <c r="O244" i="21"/>
  <c r="P244" i="21"/>
  <c r="Q244" i="21"/>
  <c r="L245" i="21"/>
  <c r="M245" i="21"/>
  <c r="N245" i="21"/>
  <c r="O245" i="21"/>
  <c r="P245" i="21"/>
  <c r="Q245" i="21"/>
  <c r="L246" i="21"/>
  <c r="M246" i="21"/>
  <c r="N246" i="21"/>
  <c r="O246" i="21"/>
  <c r="P246" i="21"/>
  <c r="Q246" i="21"/>
  <c r="L247" i="21"/>
  <c r="M247" i="21"/>
  <c r="N247" i="21"/>
  <c r="O247" i="21"/>
  <c r="P247" i="21"/>
  <c r="Q247" i="21"/>
  <c r="L248" i="21"/>
  <c r="M248" i="21"/>
  <c r="N248" i="21"/>
  <c r="O248" i="21"/>
  <c r="P248" i="21"/>
  <c r="Q248" i="21"/>
  <c r="L234" i="21"/>
  <c r="M234" i="21"/>
  <c r="N234" i="21"/>
  <c r="O234" i="21"/>
  <c r="P234" i="21"/>
  <c r="Q234" i="21"/>
  <c r="K235" i="21"/>
  <c r="K236" i="21"/>
  <c r="K237" i="21"/>
  <c r="K238" i="21"/>
  <c r="K239" i="21"/>
  <c r="K240" i="21"/>
  <c r="K241" i="21"/>
  <c r="K242" i="21"/>
  <c r="K243" i="21"/>
  <c r="K244" i="21"/>
  <c r="K245" i="21"/>
  <c r="K246" i="21"/>
  <c r="K247" i="21"/>
  <c r="K234" i="21"/>
  <c r="K229" i="21"/>
  <c r="L216" i="21"/>
  <c r="M216" i="21"/>
  <c r="N216" i="21"/>
  <c r="O216" i="21"/>
  <c r="P216" i="21"/>
  <c r="Q216" i="21"/>
  <c r="L217" i="21"/>
  <c r="M217" i="21"/>
  <c r="N217" i="21"/>
  <c r="O217" i="21"/>
  <c r="P217" i="21"/>
  <c r="Q217" i="21"/>
  <c r="L218" i="21"/>
  <c r="M218" i="21"/>
  <c r="N218" i="21"/>
  <c r="O218" i="21"/>
  <c r="P218" i="21"/>
  <c r="Q218" i="21"/>
  <c r="L219" i="21"/>
  <c r="M219" i="21"/>
  <c r="N219" i="21"/>
  <c r="O219" i="21"/>
  <c r="P219" i="21"/>
  <c r="Q219" i="21"/>
  <c r="L220" i="21"/>
  <c r="M220" i="21"/>
  <c r="N220" i="21"/>
  <c r="O220" i="21"/>
  <c r="P220" i="21"/>
  <c r="Q220" i="21"/>
  <c r="L221" i="21"/>
  <c r="M221" i="21"/>
  <c r="N221" i="21"/>
  <c r="O221" i="21"/>
  <c r="P221" i="21"/>
  <c r="Q221" i="21"/>
  <c r="L222" i="21"/>
  <c r="M222" i="21"/>
  <c r="N222" i="21"/>
  <c r="O222" i="21"/>
  <c r="P222" i="21"/>
  <c r="Q222" i="21"/>
  <c r="L223" i="21"/>
  <c r="M223" i="21"/>
  <c r="N223" i="21"/>
  <c r="O223" i="21"/>
  <c r="P223" i="21"/>
  <c r="Q223" i="21"/>
  <c r="L224" i="21"/>
  <c r="M224" i="21"/>
  <c r="N224" i="21"/>
  <c r="O224" i="21"/>
  <c r="P224" i="21"/>
  <c r="Q224" i="21"/>
  <c r="L225" i="21"/>
  <c r="M225" i="21"/>
  <c r="N225" i="21"/>
  <c r="O225" i="21"/>
  <c r="P225" i="21"/>
  <c r="Q225" i="21"/>
  <c r="L226" i="21"/>
  <c r="M226" i="21"/>
  <c r="N226" i="21"/>
  <c r="O226" i="21"/>
  <c r="P226" i="21"/>
  <c r="Q226" i="21"/>
  <c r="L227" i="21"/>
  <c r="M227" i="21"/>
  <c r="N227" i="21"/>
  <c r="O227" i="21"/>
  <c r="P227" i="21"/>
  <c r="Q227" i="21"/>
  <c r="L228" i="21"/>
  <c r="M228" i="21"/>
  <c r="N228" i="21"/>
  <c r="O228" i="21"/>
  <c r="P228" i="21"/>
  <c r="Q228" i="21"/>
  <c r="L229" i="21"/>
  <c r="M229" i="21"/>
  <c r="N229" i="21"/>
  <c r="O229" i="21"/>
  <c r="P229" i="21"/>
  <c r="Q229" i="21"/>
  <c r="L215" i="21"/>
  <c r="M215" i="21"/>
  <c r="N215" i="21"/>
  <c r="O215" i="21"/>
  <c r="P215" i="21"/>
  <c r="Q215" i="21"/>
  <c r="K216" i="21"/>
  <c r="K217" i="21"/>
  <c r="K218" i="21"/>
  <c r="K219" i="21"/>
  <c r="K220" i="21"/>
  <c r="K221" i="21"/>
  <c r="K222" i="21"/>
  <c r="K223" i="21"/>
  <c r="K224" i="21"/>
  <c r="K225" i="21"/>
  <c r="K226" i="21"/>
  <c r="K227" i="21"/>
  <c r="K228" i="21"/>
  <c r="K215" i="21"/>
  <c r="K210" i="21"/>
  <c r="L197" i="21"/>
  <c r="M197" i="21"/>
  <c r="N197" i="21"/>
  <c r="O197" i="21"/>
  <c r="P197" i="21"/>
  <c r="Q197" i="21"/>
  <c r="L198" i="21"/>
  <c r="M198" i="21"/>
  <c r="N198" i="21"/>
  <c r="O198" i="21"/>
  <c r="P198" i="21"/>
  <c r="Q198" i="21"/>
  <c r="L199" i="21"/>
  <c r="M199" i="21"/>
  <c r="N199" i="21"/>
  <c r="O199" i="21"/>
  <c r="P199" i="21"/>
  <c r="Q199" i="21"/>
  <c r="L200" i="21"/>
  <c r="M200" i="21"/>
  <c r="N200" i="21"/>
  <c r="O200" i="21"/>
  <c r="P200" i="21"/>
  <c r="Q200" i="21"/>
  <c r="L201" i="21"/>
  <c r="M201" i="21"/>
  <c r="N201" i="21"/>
  <c r="O201" i="21"/>
  <c r="P201" i="21"/>
  <c r="Q201" i="21"/>
  <c r="L202" i="21"/>
  <c r="M202" i="21"/>
  <c r="N202" i="21"/>
  <c r="O202" i="21"/>
  <c r="P202" i="21"/>
  <c r="Q202" i="21"/>
  <c r="L203" i="21"/>
  <c r="M203" i="21"/>
  <c r="N203" i="21"/>
  <c r="O203" i="21"/>
  <c r="P203" i="21"/>
  <c r="Q203" i="21"/>
  <c r="L204" i="21"/>
  <c r="M204" i="21"/>
  <c r="N204" i="21"/>
  <c r="O204" i="21"/>
  <c r="P204" i="21"/>
  <c r="Q204" i="21"/>
  <c r="L205" i="21"/>
  <c r="M205" i="21"/>
  <c r="N205" i="21"/>
  <c r="O205" i="21"/>
  <c r="P205" i="21"/>
  <c r="Q205" i="21"/>
  <c r="L206" i="21"/>
  <c r="M206" i="21"/>
  <c r="N206" i="21"/>
  <c r="O206" i="21"/>
  <c r="P206" i="21"/>
  <c r="Q206" i="21"/>
  <c r="L207" i="21"/>
  <c r="M207" i="21"/>
  <c r="N207" i="21"/>
  <c r="O207" i="21"/>
  <c r="P207" i="21"/>
  <c r="Q207" i="21"/>
  <c r="L208" i="21"/>
  <c r="M208" i="21"/>
  <c r="N208" i="21"/>
  <c r="O208" i="21"/>
  <c r="P208" i="21"/>
  <c r="Q208" i="21"/>
  <c r="L209" i="21"/>
  <c r="M209" i="21"/>
  <c r="N209" i="21"/>
  <c r="O209" i="21"/>
  <c r="P209" i="21"/>
  <c r="Q209" i="21"/>
  <c r="L210" i="21"/>
  <c r="M210" i="21"/>
  <c r="N210" i="21"/>
  <c r="O210" i="21"/>
  <c r="P210" i="21"/>
  <c r="Q210" i="21"/>
  <c r="L196" i="21"/>
  <c r="M196" i="21"/>
  <c r="N196" i="21"/>
  <c r="O196" i="21"/>
  <c r="P196" i="21"/>
  <c r="Q196" i="21"/>
  <c r="K197" i="21"/>
  <c r="K198" i="21"/>
  <c r="K199" i="21"/>
  <c r="K200" i="21"/>
  <c r="K201" i="21"/>
  <c r="K202" i="21"/>
  <c r="K203" i="21"/>
  <c r="K204" i="21"/>
  <c r="K205" i="21"/>
  <c r="K206" i="21"/>
  <c r="K207" i="21"/>
  <c r="K208" i="21"/>
  <c r="K209" i="21"/>
  <c r="K196" i="21"/>
  <c r="K191" i="21"/>
  <c r="Q178" i="21"/>
  <c r="Q179" i="21"/>
  <c r="Q180" i="21"/>
  <c r="Q181" i="21"/>
  <c r="Q182" i="21"/>
  <c r="Q183" i="21"/>
  <c r="Q184" i="21"/>
  <c r="Q185" i="21"/>
  <c r="Q186" i="21"/>
  <c r="Q187" i="21"/>
  <c r="Q188" i="21"/>
  <c r="Q189" i="21"/>
  <c r="Q190" i="21"/>
  <c r="Q191" i="21"/>
  <c r="P178" i="21"/>
  <c r="P179" i="21"/>
  <c r="P180" i="21"/>
  <c r="P181" i="21"/>
  <c r="P182" i="21"/>
  <c r="P183" i="21"/>
  <c r="P184" i="21"/>
  <c r="P185" i="21"/>
  <c r="P186" i="21"/>
  <c r="P187" i="21"/>
  <c r="P188" i="21"/>
  <c r="P189" i="21"/>
  <c r="P190" i="21"/>
  <c r="P191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M178" i="21"/>
  <c r="M179" i="21"/>
  <c r="M180" i="21"/>
  <c r="M181" i="21"/>
  <c r="M182" i="21"/>
  <c r="M183" i="21"/>
  <c r="M184" i="21"/>
  <c r="M185" i="21"/>
  <c r="M186" i="21"/>
  <c r="M187" i="21"/>
  <c r="M188" i="21"/>
  <c r="M189" i="21"/>
  <c r="M190" i="21"/>
  <c r="M191" i="21"/>
  <c r="L178" i="21"/>
  <c r="L179" i="21"/>
  <c r="L180" i="21"/>
  <c r="L181" i="21"/>
  <c r="L182" i="21"/>
  <c r="L183" i="21"/>
  <c r="L184" i="21"/>
  <c r="L185" i="21"/>
  <c r="L186" i="21"/>
  <c r="L187" i="21"/>
  <c r="L188" i="21"/>
  <c r="L189" i="21"/>
  <c r="L190" i="21"/>
  <c r="L191" i="21"/>
  <c r="L177" i="21"/>
  <c r="M177" i="21"/>
  <c r="N177" i="21"/>
  <c r="O177" i="21"/>
  <c r="P177" i="21"/>
  <c r="Q177" i="21"/>
  <c r="K178" i="21"/>
  <c r="K179" i="21"/>
  <c r="K180" i="21"/>
  <c r="K181" i="21"/>
  <c r="K182" i="21"/>
  <c r="K183" i="21"/>
  <c r="K184" i="21"/>
  <c r="K185" i="21"/>
  <c r="K186" i="21"/>
  <c r="K187" i="21"/>
  <c r="K188" i="21"/>
  <c r="K189" i="21"/>
  <c r="K190" i="21"/>
  <c r="K177" i="21"/>
  <c r="K172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P159" i="21"/>
  <c r="P160" i="21"/>
  <c r="P161" i="21"/>
  <c r="P162" i="21"/>
  <c r="P163" i="21"/>
  <c r="P164" i="21"/>
  <c r="P165" i="21"/>
  <c r="P166" i="21"/>
  <c r="P167" i="21"/>
  <c r="P168" i="21"/>
  <c r="P169" i="21"/>
  <c r="P170" i="21"/>
  <c r="P171" i="21"/>
  <c r="P172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M159" i="2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L159" i="21"/>
  <c r="L160" i="21"/>
  <c r="L161" i="21"/>
  <c r="L162" i="21"/>
  <c r="L163" i="21"/>
  <c r="L164" i="21"/>
  <c r="L165" i="21"/>
  <c r="L166" i="21"/>
  <c r="L167" i="21"/>
  <c r="L168" i="21"/>
  <c r="L169" i="21"/>
  <c r="L170" i="21"/>
  <c r="L171" i="21"/>
  <c r="L172" i="21"/>
  <c r="L158" i="21"/>
  <c r="M158" i="21"/>
  <c r="N158" i="21"/>
  <c r="O158" i="21"/>
  <c r="P158" i="21"/>
  <c r="Q158" i="21"/>
  <c r="K159" i="21"/>
  <c r="K160" i="21"/>
  <c r="K161" i="21"/>
  <c r="K162" i="21"/>
  <c r="K163" i="21"/>
  <c r="K164" i="21"/>
  <c r="K165" i="21"/>
  <c r="K166" i="21"/>
  <c r="K167" i="21"/>
  <c r="K168" i="21"/>
  <c r="K169" i="21"/>
  <c r="K170" i="21"/>
  <c r="K171" i="21"/>
  <c r="K158" i="21"/>
  <c r="K153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P140" i="21"/>
  <c r="P141" i="21"/>
  <c r="P142" i="21"/>
  <c r="P143" i="21"/>
  <c r="P144" i="21"/>
  <c r="P145" i="21"/>
  <c r="P146" i="21"/>
  <c r="P147" i="21"/>
  <c r="P148" i="21"/>
  <c r="P149" i="21"/>
  <c r="P150" i="21"/>
  <c r="P151" i="21"/>
  <c r="P152" i="21"/>
  <c r="P153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M140" i="21"/>
  <c r="M141" i="21"/>
  <c r="M142" i="21"/>
  <c r="M143" i="21"/>
  <c r="M144" i="21"/>
  <c r="M145" i="21"/>
  <c r="M146" i="21"/>
  <c r="M147" i="21"/>
  <c r="M148" i="21"/>
  <c r="M149" i="21"/>
  <c r="M150" i="21"/>
  <c r="M151" i="21"/>
  <c r="M152" i="21"/>
  <c r="M153" i="21"/>
  <c r="L140" i="21"/>
  <c r="L141" i="21"/>
  <c r="L142" i="21"/>
  <c r="L143" i="21"/>
  <c r="L144" i="21"/>
  <c r="L145" i="21"/>
  <c r="L146" i="21"/>
  <c r="L147" i="21"/>
  <c r="L148" i="21"/>
  <c r="L149" i="21"/>
  <c r="L150" i="21"/>
  <c r="L151" i="21"/>
  <c r="L152" i="21"/>
  <c r="L153" i="21"/>
  <c r="L139" i="21"/>
  <c r="M139" i="21"/>
  <c r="N139" i="21"/>
  <c r="O139" i="21"/>
  <c r="P139" i="21"/>
  <c r="Q139" i="21"/>
  <c r="K140" i="21"/>
  <c r="K141" i="21"/>
  <c r="K142" i="21"/>
  <c r="K143" i="21"/>
  <c r="K144" i="21"/>
  <c r="K145" i="21"/>
  <c r="K146" i="21"/>
  <c r="K147" i="21"/>
  <c r="K148" i="21"/>
  <c r="K149" i="21"/>
  <c r="K150" i="21"/>
  <c r="K151" i="21"/>
  <c r="K152" i="21"/>
  <c r="K139" i="21"/>
  <c r="K134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P121" i="21"/>
  <c r="P122" i="21"/>
  <c r="P123" i="21"/>
  <c r="P124" i="21"/>
  <c r="P125" i="21"/>
  <c r="P126" i="21"/>
  <c r="P127" i="21"/>
  <c r="P128" i="21"/>
  <c r="P129" i="21"/>
  <c r="P130" i="21"/>
  <c r="P131" i="21"/>
  <c r="P132" i="21"/>
  <c r="P133" i="21"/>
  <c r="P134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N121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L121" i="21"/>
  <c r="L122" i="21"/>
  <c r="L123" i="21"/>
  <c r="L124" i="21"/>
  <c r="L125" i="21"/>
  <c r="L126" i="21"/>
  <c r="L127" i="21"/>
  <c r="L128" i="21"/>
  <c r="L129" i="21"/>
  <c r="L130" i="21"/>
  <c r="L131" i="21"/>
  <c r="L132" i="21"/>
  <c r="L133" i="21"/>
  <c r="L134" i="21"/>
  <c r="L120" i="21"/>
  <c r="M120" i="21"/>
  <c r="N120" i="21"/>
  <c r="O120" i="21"/>
  <c r="P120" i="21"/>
  <c r="Q120" i="21"/>
  <c r="K121" i="21"/>
  <c r="K122" i="21"/>
  <c r="K123" i="21"/>
  <c r="K124" i="21"/>
  <c r="K125" i="21"/>
  <c r="K126" i="21"/>
  <c r="K127" i="21"/>
  <c r="K128" i="21"/>
  <c r="K129" i="21"/>
  <c r="K130" i="21"/>
  <c r="K131" i="21"/>
  <c r="K132" i="21"/>
  <c r="K133" i="21"/>
  <c r="K120" i="21"/>
  <c r="K115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M102" i="21"/>
  <c r="M103" i="21"/>
  <c r="M104" i="21"/>
  <c r="M105" i="21"/>
  <c r="M106" i="21"/>
  <c r="M107" i="21"/>
  <c r="M108" i="21"/>
  <c r="M109" i="21"/>
  <c r="M110" i="21"/>
  <c r="M111" i="21"/>
  <c r="M112" i="21"/>
  <c r="M113" i="21"/>
  <c r="M114" i="21"/>
  <c r="M115" i="21"/>
  <c r="L102" i="21"/>
  <c r="L103" i="21"/>
  <c r="L104" i="21"/>
  <c r="L105" i="21"/>
  <c r="L106" i="21"/>
  <c r="L107" i="21"/>
  <c r="L108" i="21"/>
  <c r="L109" i="21"/>
  <c r="L110" i="21"/>
  <c r="L111" i="21"/>
  <c r="L112" i="21"/>
  <c r="L113" i="21"/>
  <c r="L114" i="21"/>
  <c r="L115" i="21"/>
  <c r="L101" i="21"/>
  <c r="M101" i="21"/>
  <c r="N101" i="21"/>
  <c r="O101" i="21"/>
  <c r="P101" i="21"/>
  <c r="Q101" i="21"/>
  <c r="K102" i="21"/>
  <c r="K103" i="21"/>
  <c r="K104" i="21"/>
  <c r="K105" i="21"/>
  <c r="K106" i="21"/>
  <c r="K107" i="21"/>
  <c r="K108" i="21"/>
  <c r="K109" i="21"/>
  <c r="K110" i="21"/>
  <c r="K111" i="21"/>
  <c r="K112" i="21"/>
  <c r="K113" i="21"/>
  <c r="K114" i="21"/>
  <c r="K101" i="21"/>
  <c r="K96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82" i="21"/>
  <c r="M82" i="21"/>
  <c r="N82" i="21"/>
  <c r="O82" i="21"/>
  <c r="P82" i="21"/>
  <c r="Q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82" i="21"/>
  <c r="K77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63" i="21"/>
  <c r="M63" i="21"/>
  <c r="N63" i="21"/>
  <c r="O63" i="21"/>
  <c r="P63" i="21"/>
  <c r="Q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63" i="21"/>
  <c r="K58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44" i="21"/>
  <c r="M44" i="21"/>
  <c r="N44" i="21"/>
  <c r="O44" i="21"/>
  <c r="P44" i="21"/>
  <c r="Q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44" i="21"/>
  <c r="K39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25" i="21"/>
  <c r="M25" i="21"/>
  <c r="N25" i="21"/>
  <c r="O25" i="21"/>
  <c r="P25" i="21"/>
  <c r="Q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25" i="21"/>
  <c r="K20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6" i="21"/>
  <c r="M6" i="21"/>
  <c r="N6" i="21"/>
  <c r="O6" i="21"/>
  <c r="P6" i="21"/>
  <c r="Q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6" i="21"/>
  <c r="B305" i="21"/>
  <c r="H292" i="21"/>
  <c r="H293" i="21"/>
  <c r="H294" i="21"/>
  <c r="H295" i="21"/>
  <c r="H296" i="21"/>
  <c r="H297" i="21"/>
  <c r="H298" i="21"/>
  <c r="H299" i="21"/>
  <c r="H300" i="21"/>
  <c r="H301" i="21"/>
  <c r="H302" i="21"/>
  <c r="H303" i="21"/>
  <c r="H304" i="21"/>
  <c r="H305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E292" i="21"/>
  <c r="E293" i="21"/>
  <c r="E294" i="21"/>
  <c r="E295" i="21"/>
  <c r="E296" i="21"/>
  <c r="E297" i="21"/>
  <c r="E298" i="21"/>
  <c r="E299" i="21"/>
  <c r="E300" i="21"/>
  <c r="E301" i="21"/>
  <c r="E302" i="21"/>
  <c r="E303" i="21"/>
  <c r="E304" i="21"/>
  <c r="E305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C292" i="21"/>
  <c r="C293" i="21"/>
  <c r="C294" i="21"/>
  <c r="C295" i="21"/>
  <c r="C296" i="21"/>
  <c r="C297" i="21"/>
  <c r="C298" i="21"/>
  <c r="C299" i="21"/>
  <c r="C300" i="21"/>
  <c r="C301" i="21"/>
  <c r="C302" i="21"/>
  <c r="C303" i="21"/>
  <c r="C304" i="21"/>
  <c r="C305" i="21"/>
  <c r="C291" i="21"/>
  <c r="D291" i="21"/>
  <c r="E291" i="21"/>
  <c r="F291" i="21"/>
  <c r="G291" i="21"/>
  <c r="H291" i="21"/>
  <c r="B292" i="21"/>
  <c r="B293" i="21"/>
  <c r="B294" i="21"/>
  <c r="B295" i="21"/>
  <c r="B296" i="21"/>
  <c r="B297" i="21"/>
  <c r="B298" i="21"/>
  <c r="B299" i="21"/>
  <c r="B300" i="21"/>
  <c r="B301" i="21"/>
  <c r="B302" i="21"/>
  <c r="B303" i="21"/>
  <c r="B304" i="21"/>
  <c r="B291" i="21"/>
  <c r="B286" i="21"/>
  <c r="H273" i="21"/>
  <c r="H274" i="21"/>
  <c r="H275" i="21"/>
  <c r="H276" i="21"/>
  <c r="H277" i="21"/>
  <c r="H278" i="21"/>
  <c r="H279" i="21"/>
  <c r="H280" i="21"/>
  <c r="H281" i="21"/>
  <c r="H282" i="21"/>
  <c r="H283" i="21"/>
  <c r="H284" i="21"/>
  <c r="H285" i="21"/>
  <c r="H286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E273" i="21"/>
  <c r="E274" i="21"/>
  <c r="E275" i="21"/>
  <c r="E276" i="21"/>
  <c r="E277" i="21"/>
  <c r="E278" i="21"/>
  <c r="E279" i="21"/>
  <c r="E280" i="21"/>
  <c r="E281" i="21"/>
  <c r="E282" i="21"/>
  <c r="E283" i="21"/>
  <c r="E284" i="21"/>
  <c r="E285" i="21"/>
  <c r="E286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C273" i="21"/>
  <c r="C274" i="21"/>
  <c r="C275" i="21"/>
  <c r="C276" i="21"/>
  <c r="C277" i="21"/>
  <c r="C278" i="21"/>
  <c r="C279" i="21"/>
  <c r="C280" i="21"/>
  <c r="C281" i="21"/>
  <c r="C282" i="21"/>
  <c r="C283" i="21"/>
  <c r="C284" i="21"/>
  <c r="C285" i="21"/>
  <c r="C286" i="21"/>
  <c r="C272" i="21"/>
  <c r="D272" i="21"/>
  <c r="E272" i="21"/>
  <c r="F272" i="21"/>
  <c r="H272" i="21"/>
  <c r="B273" i="21"/>
  <c r="B274" i="21"/>
  <c r="B275" i="21"/>
  <c r="B276" i="21"/>
  <c r="B277" i="21"/>
  <c r="B278" i="21"/>
  <c r="B279" i="21"/>
  <c r="B280" i="21"/>
  <c r="B281" i="21"/>
  <c r="B282" i="21"/>
  <c r="B283" i="21"/>
  <c r="B284" i="21"/>
  <c r="B285" i="21"/>
  <c r="B272" i="21"/>
  <c r="B267" i="21"/>
  <c r="H254" i="21"/>
  <c r="H255" i="21"/>
  <c r="H256" i="21"/>
  <c r="H257" i="21"/>
  <c r="H258" i="21"/>
  <c r="H259" i="21"/>
  <c r="H260" i="21"/>
  <c r="H261" i="21"/>
  <c r="H262" i="21"/>
  <c r="H263" i="21"/>
  <c r="H264" i="21"/>
  <c r="H265" i="21"/>
  <c r="H266" i="21"/>
  <c r="H267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E254" i="21"/>
  <c r="E255" i="21"/>
  <c r="E256" i="21"/>
  <c r="E257" i="21"/>
  <c r="E258" i="21"/>
  <c r="E259" i="21"/>
  <c r="E260" i="21"/>
  <c r="E261" i="21"/>
  <c r="E262" i="21"/>
  <c r="E263" i="21"/>
  <c r="E264" i="21"/>
  <c r="E265" i="21"/>
  <c r="E266" i="21"/>
  <c r="E267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C254" i="21"/>
  <c r="C255" i="21"/>
  <c r="C256" i="21"/>
  <c r="C257" i="21"/>
  <c r="C258" i="21"/>
  <c r="C259" i="21"/>
  <c r="C260" i="21"/>
  <c r="C261" i="21"/>
  <c r="C262" i="21"/>
  <c r="C263" i="21"/>
  <c r="C264" i="21"/>
  <c r="C265" i="21"/>
  <c r="C266" i="21"/>
  <c r="C267" i="21"/>
  <c r="C253" i="21"/>
  <c r="D253" i="21"/>
  <c r="E253" i="21"/>
  <c r="F253" i="21"/>
  <c r="G253" i="21"/>
  <c r="H253" i="21"/>
  <c r="B254" i="21"/>
  <c r="B255" i="21"/>
  <c r="B256" i="21"/>
  <c r="B257" i="21"/>
  <c r="B258" i="21"/>
  <c r="B259" i="21"/>
  <c r="B260" i="21"/>
  <c r="B261" i="21"/>
  <c r="B262" i="21"/>
  <c r="B263" i="21"/>
  <c r="B264" i="21"/>
  <c r="B265" i="21"/>
  <c r="B266" i="21"/>
  <c r="B253" i="21"/>
  <c r="B248" i="21"/>
  <c r="H235" i="21"/>
  <c r="H236" i="21"/>
  <c r="H237" i="21"/>
  <c r="H238" i="21"/>
  <c r="H239" i="21"/>
  <c r="H240" i="21"/>
  <c r="H241" i="21"/>
  <c r="H242" i="21"/>
  <c r="H243" i="21"/>
  <c r="H244" i="21"/>
  <c r="H245" i="21"/>
  <c r="H246" i="21"/>
  <c r="H247" i="21"/>
  <c r="H248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E248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C235" i="21"/>
  <c r="C236" i="21"/>
  <c r="C237" i="21"/>
  <c r="C238" i="21"/>
  <c r="C239" i="21"/>
  <c r="C240" i="21"/>
  <c r="C241" i="21"/>
  <c r="C242" i="21"/>
  <c r="C243" i="21"/>
  <c r="C244" i="21"/>
  <c r="C245" i="21"/>
  <c r="C246" i="21"/>
  <c r="C247" i="21"/>
  <c r="C248" i="21"/>
  <c r="C234" i="21"/>
  <c r="D234" i="21"/>
  <c r="E234" i="21"/>
  <c r="F234" i="21"/>
  <c r="G234" i="21"/>
  <c r="H234" i="21"/>
  <c r="B235" i="21"/>
  <c r="B236" i="21"/>
  <c r="B237" i="21"/>
  <c r="B238" i="21"/>
  <c r="B239" i="21"/>
  <c r="B240" i="21"/>
  <c r="B241" i="21"/>
  <c r="B242" i="21"/>
  <c r="B243" i="21"/>
  <c r="B244" i="21"/>
  <c r="B245" i="21"/>
  <c r="B246" i="21"/>
  <c r="B247" i="21"/>
  <c r="B234" i="21"/>
  <c r="B229" i="21"/>
  <c r="H216" i="21"/>
  <c r="H217" i="21"/>
  <c r="H218" i="21"/>
  <c r="H219" i="21"/>
  <c r="H220" i="21"/>
  <c r="H221" i="21"/>
  <c r="H222" i="21"/>
  <c r="H223" i="21"/>
  <c r="H224" i="21"/>
  <c r="H225" i="21"/>
  <c r="H226" i="21"/>
  <c r="H227" i="21"/>
  <c r="H228" i="21"/>
  <c r="H229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C216" i="21"/>
  <c r="C217" i="21"/>
  <c r="C218" i="21"/>
  <c r="C219" i="21"/>
  <c r="C220" i="21"/>
  <c r="C221" i="21"/>
  <c r="C222" i="21"/>
  <c r="C223" i="21"/>
  <c r="C224" i="21"/>
  <c r="C225" i="21"/>
  <c r="C226" i="21"/>
  <c r="C227" i="21"/>
  <c r="C228" i="21"/>
  <c r="C229" i="21"/>
  <c r="C215" i="21"/>
  <c r="D215" i="21"/>
  <c r="E215" i="21"/>
  <c r="F215" i="21"/>
  <c r="G215" i="21"/>
  <c r="H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15" i="21"/>
  <c r="B210" i="21"/>
  <c r="H197" i="21"/>
  <c r="H198" i="21"/>
  <c r="H199" i="21"/>
  <c r="H200" i="21"/>
  <c r="H201" i="21"/>
  <c r="H202" i="21"/>
  <c r="H203" i="21"/>
  <c r="H204" i="21"/>
  <c r="H205" i="21"/>
  <c r="H206" i="21"/>
  <c r="H207" i="21"/>
  <c r="H208" i="21"/>
  <c r="H209" i="21"/>
  <c r="H210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C197" i="21"/>
  <c r="C198" i="21"/>
  <c r="C199" i="21"/>
  <c r="C200" i="21"/>
  <c r="C201" i="21"/>
  <c r="C202" i="21"/>
  <c r="C203" i="21"/>
  <c r="C204" i="21"/>
  <c r="C205" i="21"/>
  <c r="C206" i="21"/>
  <c r="C207" i="21"/>
  <c r="C208" i="21"/>
  <c r="C209" i="21"/>
  <c r="C210" i="21"/>
  <c r="C196" i="21"/>
  <c r="D196" i="21"/>
  <c r="E196" i="21"/>
  <c r="F196" i="21"/>
  <c r="G196" i="21"/>
  <c r="H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196" i="21"/>
  <c r="B191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C178" i="21"/>
  <c r="C179" i="21"/>
  <c r="C180" i="21"/>
  <c r="C181" i="21"/>
  <c r="C182" i="21"/>
  <c r="C183" i="21"/>
  <c r="C184" i="21"/>
  <c r="C185" i="21"/>
  <c r="C186" i="21"/>
  <c r="C187" i="21"/>
  <c r="C188" i="21"/>
  <c r="C189" i="21"/>
  <c r="C190" i="21"/>
  <c r="C191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C177" i="21"/>
  <c r="D177" i="21"/>
  <c r="E177" i="21"/>
  <c r="F177" i="21"/>
  <c r="G177" i="21"/>
  <c r="H177" i="21"/>
  <c r="B177" i="21"/>
  <c r="B172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C159" i="21"/>
  <c r="C160" i="21"/>
  <c r="C161" i="21"/>
  <c r="C162" i="21"/>
  <c r="C163" i="21"/>
  <c r="C164" i="21"/>
  <c r="C165" i="21"/>
  <c r="C166" i="21"/>
  <c r="C167" i="21"/>
  <c r="C168" i="21"/>
  <c r="C169" i="21"/>
  <c r="C170" i="21"/>
  <c r="C171" i="21"/>
  <c r="C172" i="21"/>
  <c r="C158" i="21"/>
  <c r="D158" i="21"/>
  <c r="E158" i="21"/>
  <c r="F158" i="21"/>
  <c r="G158" i="21"/>
  <c r="H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58" i="21"/>
  <c r="B153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39" i="21"/>
  <c r="D139" i="21"/>
  <c r="E139" i="21"/>
  <c r="F139" i="21"/>
  <c r="G139" i="21"/>
  <c r="H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39" i="21"/>
  <c r="B134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20" i="21"/>
  <c r="D120" i="21"/>
  <c r="E120" i="21"/>
  <c r="F120" i="21"/>
  <c r="G120" i="21"/>
  <c r="H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20" i="21"/>
  <c r="B115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C101" i="21"/>
  <c r="D101" i="21"/>
  <c r="E101" i="21"/>
  <c r="F101" i="21"/>
  <c r="G101" i="21"/>
  <c r="H101" i="21"/>
  <c r="B101" i="21"/>
  <c r="B96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82" i="21"/>
  <c r="D82" i="21"/>
  <c r="E82" i="21"/>
  <c r="F82" i="21"/>
  <c r="G82" i="21"/>
  <c r="H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82" i="21"/>
  <c r="B77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H63" i="21"/>
  <c r="C63" i="21"/>
  <c r="D63" i="21"/>
  <c r="E63" i="21"/>
  <c r="F63" i="21"/>
  <c r="G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63" i="21"/>
  <c r="B58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44" i="21"/>
  <c r="D44" i="21"/>
  <c r="E44" i="21"/>
  <c r="F44" i="21"/>
  <c r="G44" i="21"/>
  <c r="H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44" i="21"/>
  <c r="B39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25" i="21"/>
  <c r="D25" i="21"/>
  <c r="E25" i="21"/>
  <c r="F25" i="21"/>
  <c r="G25" i="21"/>
  <c r="H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25" i="21"/>
  <c r="B20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C6" i="21"/>
  <c r="D6" i="21"/>
  <c r="E6" i="21"/>
  <c r="F6" i="21"/>
  <c r="G6" i="21"/>
  <c r="H6" i="21"/>
  <c r="B6" i="21"/>
  <c r="B6" i="20"/>
  <c r="B4" i="18"/>
  <c r="BA44" i="17"/>
  <c r="AZ43" i="17"/>
  <c r="BA41" i="17"/>
  <c r="BA35" i="17"/>
  <c r="BA34" i="17"/>
  <c r="BA33" i="17"/>
  <c r="BA32" i="17"/>
  <c r="AZ35" i="17"/>
  <c r="AZ34" i="17"/>
  <c r="AZ33" i="17"/>
  <c r="AZ32" i="17"/>
  <c r="BA26" i="17"/>
  <c r="BA25" i="17"/>
  <c r="BA24" i="17"/>
  <c r="BA23" i="17"/>
  <c r="AZ26" i="17"/>
  <c r="AZ25" i="17"/>
  <c r="AZ24" i="17"/>
  <c r="AZ23" i="17"/>
  <c r="BA17" i="17"/>
  <c r="BA16" i="17"/>
  <c r="BA15" i="17"/>
  <c r="BA14" i="17"/>
  <c r="AZ17" i="17"/>
  <c r="AZ16" i="17"/>
  <c r="AZ15" i="17"/>
  <c r="AZ14" i="17"/>
  <c r="BA6" i="17"/>
  <c r="BA5" i="17"/>
  <c r="BA8" i="17"/>
  <c r="BA7" i="17"/>
  <c r="AZ8" i="17"/>
  <c r="AZ7" i="17"/>
  <c r="AZ6" i="17"/>
  <c r="AZ5" i="17"/>
  <c r="AT35" i="17"/>
  <c r="AT34" i="17"/>
  <c r="AT33" i="17"/>
  <c r="AT32" i="17"/>
  <c r="AS33" i="17"/>
  <c r="AS35" i="17"/>
  <c r="AS34" i="17"/>
  <c r="AS32" i="17"/>
  <c r="AT26" i="17"/>
  <c r="AT25" i="17"/>
  <c r="AT24" i="17"/>
  <c r="AT23" i="17"/>
  <c r="AS26" i="17"/>
  <c r="AS25" i="17"/>
  <c r="AS24" i="17"/>
  <c r="AS23" i="17"/>
  <c r="AT17" i="17"/>
  <c r="AT16" i="17"/>
  <c r="AT15" i="17"/>
  <c r="AT14" i="17"/>
  <c r="AS17" i="17"/>
  <c r="AS16" i="17"/>
  <c r="AS15" i="17"/>
  <c r="AS14" i="17"/>
  <c r="AT8" i="17"/>
  <c r="AT7" i="17"/>
  <c r="AT6" i="17"/>
  <c r="AT5" i="17"/>
  <c r="AS8" i="17"/>
  <c r="AS7" i="17"/>
  <c r="AS6" i="17"/>
  <c r="AS5" i="17"/>
  <c r="AL44" i="17"/>
  <c r="AL43" i="17"/>
  <c r="AL42" i="17"/>
  <c r="AM41" i="17"/>
  <c r="AM35" i="17"/>
  <c r="AM34" i="17"/>
  <c r="AM33" i="17"/>
  <c r="AM32" i="17"/>
  <c r="AL35" i="17"/>
  <c r="AL34" i="17"/>
  <c r="AL33" i="17"/>
  <c r="AL32" i="17"/>
  <c r="AM26" i="17"/>
  <c r="AM25" i="17"/>
  <c r="AM24" i="17"/>
  <c r="AM23" i="17"/>
  <c r="AL26" i="17"/>
  <c r="AL25" i="17"/>
  <c r="AL24" i="17"/>
  <c r="AL23" i="17"/>
  <c r="AM17" i="17"/>
  <c r="AM16" i="17"/>
  <c r="AM15" i="17"/>
  <c r="AM14" i="17"/>
  <c r="AL17" i="17"/>
  <c r="AL16" i="17"/>
  <c r="AL15" i="17"/>
  <c r="AL14" i="17"/>
  <c r="AM8" i="17"/>
  <c r="AM7" i="17"/>
  <c r="AM6" i="17"/>
  <c r="AM5" i="17"/>
  <c r="AL8" i="17"/>
  <c r="AL7" i="17"/>
  <c r="AL6" i="17"/>
  <c r="AL5" i="17"/>
  <c r="AZ44" i="17" l="1"/>
  <c r="AL41" i="17"/>
  <c r="AZ42" i="17"/>
  <c r="BA42" i="17"/>
  <c r="AM44" i="17"/>
  <c r="BA43" i="17"/>
  <c r="AM43" i="17"/>
  <c r="AM42" i="17"/>
  <c r="AZ41" i="17"/>
  <c r="AC153" i="20"/>
  <c r="AI140" i="20"/>
  <c r="AI141" i="20"/>
  <c r="AI142" i="20"/>
  <c r="AI143" i="20"/>
  <c r="AI144" i="20"/>
  <c r="AI145" i="20"/>
  <c r="AI146" i="20"/>
  <c r="AI147" i="20"/>
  <c r="AI148" i="20"/>
  <c r="AI149" i="20"/>
  <c r="AI150" i="20"/>
  <c r="AI151" i="20"/>
  <c r="AI152" i="20"/>
  <c r="AI153" i="20"/>
  <c r="AH140" i="20"/>
  <c r="AH141" i="20"/>
  <c r="AH142" i="20"/>
  <c r="AH143" i="20"/>
  <c r="AH144" i="20"/>
  <c r="AH145" i="20"/>
  <c r="AH146" i="20"/>
  <c r="AH147" i="20"/>
  <c r="AH148" i="20"/>
  <c r="AH149" i="20"/>
  <c r="AH150" i="20"/>
  <c r="AH151" i="20"/>
  <c r="AH152" i="20"/>
  <c r="AH153" i="20"/>
  <c r="AG140" i="20"/>
  <c r="AG141" i="20"/>
  <c r="AG142" i="20"/>
  <c r="AG143" i="20"/>
  <c r="AG144" i="20"/>
  <c r="AG145" i="20"/>
  <c r="AG146" i="20"/>
  <c r="AG147" i="20"/>
  <c r="AG148" i="20"/>
  <c r="AG149" i="20"/>
  <c r="AG150" i="20"/>
  <c r="AG151" i="20"/>
  <c r="AG152" i="20"/>
  <c r="AG153" i="20"/>
  <c r="AF140" i="20"/>
  <c r="AF141" i="20"/>
  <c r="AF142" i="20"/>
  <c r="AF143" i="20"/>
  <c r="AF144" i="20"/>
  <c r="AF145" i="20"/>
  <c r="AF146" i="20"/>
  <c r="AF147" i="20"/>
  <c r="AF148" i="20"/>
  <c r="AF149" i="20"/>
  <c r="AF150" i="20"/>
  <c r="AF151" i="20"/>
  <c r="AF152" i="20"/>
  <c r="AF153" i="20"/>
  <c r="AE140" i="20"/>
  <c r="AE141" i="20"/>
  <c r="AE142" i="20"/>
  <c r="AE143" i="20"/>
  <c r="AE144" i="20"/>
  <c r="AE145" i="20"/>
  <c r="AE146" i="20"/>
  <c r="AE147" i="20"/>
  <c r="AE148" i="20"/>
  <c r="AE149" i="20"/>
  <c r="AE150" i="20"/>
  <c r="AE151" i="20"/>
  <c r="AE152" i="20"/>
  <c r="AE153" i="20"/>
  <c r="AD140" i="20"/>
  <c r="AD141" i="20"/>
  <c r="AD142" i="20"/>
  <c r="AD143" i="20"/>
  <c r="AD144" i="20"/>
  <c r="AD145" i="20"/>
  <c r="AD146" i="20"/>
  <c r="AD147" i="20"/>
  <c r="AD148" i="20"/>
  <c r="AD149" i="20"/>
  <c r="AD150" i="20"/>
  <c r="AD151" i="20"/>
  <c r="AD152" i="20"/>
  <c r="AD153" i="20"/>
  <c r="AD139" i="20"/>
  <c r="AE139" i="20"/>
  <c r="AF139" i="20"/>
  <c r="AG139" i="20"/>
  <c r="AH139" i="20"/>
  <c r="AI139" i="20"/>
  <c r="AC140" i="20"/>
  <c r="AC141" i="20"/>
  <c r="AC142" i="20"/>
  <c r="AC143" i="20"/>
  <c r="AC144" i="20"/>
  <c r="AC145" i="20"/>
  <c r="AC146" i="20"/>
  <c r="AC147" i="20"/>
  <c r="AC148" i="20"/>
  <c r="AC149" i="20"/>
  <c r="AC150" i="20"/>
  <c r="AC151" i="20"/>
  <c r="AC152" i="20"/>
  <c r="AC139" i="20"/>
  <c r="AC134" i="20"/>
  <c r="AI121" i="20"/>
  <c r="AI122" i="20"/>
  <c r="AI123" i="20"/>
  <c r="AI124" i="20"/>
  <c r="AI125" i="20"/>
  <c r="AI126" i="20"/>
  <c r="AI127" i="20"/>
  <c r="AI128" i="20"/>
  <c r="AI129" i="20"/>
  <c r="AI130" i="20"/>
  <c r="AI131" i="20"/>
  <c r="AI132" i="20"/>
  <c r="AI133" i="20"/>
  <c r="AI134" i="20"/>
  <c r="AH121" i="20"/>
  <c r="AH122" i="20"/>
  <c r="AH123" i="20"/>
  <c r="AH124" i="20"/>
  <c r="AH125" i="20"/>
  <c r="AH126" i="20"/>
  <c r="AH127" i="20"/>
  <c r="AH128" i="20"/>
  <c r="AH129" i="20"/>
  <c r="AH130" i="20"/>
  <c r="AH131" i="20"/>
  <c r="AH132" i="20"/>
  <c r="AH133" i="20"/>
  <c r="AH134" i="20"/>
  <c r="AG121" i="20"/>
  <c r="AG122" i="20"/>
  <c r="AG123" i="20"/>
  <c r="AG124" i="20"/>
  <c r="AG125" i="20"/>
  <c r="AG126" i="20"/>
  <c r="AG127" i="20"/>
  <c r="AG128" i="20"/>
  <c r="AG129" i="20"/>
  <c r="AG130" i="20"/>
  <c r="AG131" i="20"/>
  <c r="AG132" i="20"/>
  <c r="AG133" i="20"/>
  <c r="AG134" i="20"/>
  <c r="AF121" i="20"/>
  <c r="AF122" i="20"/>
  <c r="AF123" i="20"/>
  <c r="AF124" i="20"/>
  <c r="AF125" i="20"/>
  <c r="AF126" i="20"/>
  <c r="AF127" i="20"/>
  <c r="AF128" i="20"/>
  <c r="AF129" i="20"/>
  <c r="AF130" i="20"/>
  <c r="AF131" i="20"/>
  <c r="AF132" i="20"/>
  <c r="AF133" i="20"/>
  <c r="AF134" i="20"/>
  <c r="AE121" i="20"/>
  <c r="AE122" i="20"/>
  <c r="AE123" i="20"/>
  <c r="AE124" i="20"/>
  <c r="AE125" i="20"/>
  <c r="AE126" i="20"/>
  <c r="AE127" i="20"/>
  <c r="AE128" i="20"/>
  <c r="AE129" i="20"/>
  <c r="AE130" i="20"/>
  <c r="AE131" i="20"/>
  <c r="AE132" i="20"/>
  <c r="AE133" i="20"/>
  <c r="AE134" i="20"/>
  <c r="AD121" i="20"/>
  <c r="AD122" i="20"/>
  <c r="AD123" i="20"/>
  <c r="AD124" i="20"/>
  <c r="AD125" i="20"/>
  <c r="AD126" i="20"/>
  <c r="AD127" i="20"/>
  <c r="AD128" i="20"/>
  <c r="AD129" i="20"/>
  <c r="AD130" i="20"/>
  <c r="AD131" i="20"/>
  <c r="AD132" i="20"/>
  <c r="AD133" i="20"/>
  <c r="AD134" i="20"/>
  <c r="AD120" i="20"/>
  <c r="AE120" i="20"/>
  <c r="AF120" i="20"/>
  <c r="AG120" i="20"/>
  <c r="AH120" i="20"/>
  <c r="AI120" i="20"/>
  <c r="AC121" i="20"/>
  <c r="AC122" i="20"/>
  <c r="AC123" i="20"/>
  <c r="AC124" i="20"/>
  <c r="AC125" i="20"/>
  <c r="AC126" i="20"/>
  <c r="AC127" i="20"/>
  <c r="AC128" i="20"/>
  <c r="AC129" i="20"/>
  <c r="AC130" i="20"/>
  <c r="AC131" i="20"/>
  <c r="AC132" i="20"/>
  <c r="AC133" i="20"/>
  <c r="AC120" i="20"/>
  <c r="AC115" i="20"/>
  <c r="AI102" i="20"/>
  <c r="AI103" i="20"/>
  <c r="AI104" i="20"/>
  <c r="AI105" i="20"/>
  <c r="AI106" i="20"/>
  <c r="AI107" i="20"/>
  <c r="AI108" i="20"/>
  <c r="AI109" i="20"/>
  <c r="AI110" i="20"/>
  <c r="AI111" i="20"/>
  <c r="AI112" i="20"/>
  <c r="AI113" i="20"/>
  <c r="AI114" i="20"/>
  <c r="AI115" i="20"/>
  <c r="AH102" i="20"/>
  <c r="AH103" i="20"/>
  <c r="AH104" i="20"/>
  <c r="AH105" i="20"/>
  <c r="AH106" i="20"/>
  <c r="AH107" i="20"/>
  <c r="AH108" i="20"/>
  <c r="AH109" i="20"/>
  <c r="AH110" i="20"/>
  <c r="AH111" i="20"/>
  <c r="AH112" i="20"/>
  <c r="AH113" i="20"/>
  <c r="AH114" i="20"/>
  <c r="AH115" i="20"/>
  <c r="AG102" i="20"/>
  <c r="AG103" i="20"/>
  <c r="AG104" i="20"/>
  <c r="AG105" i="20"/>
  <c r="AG106" i="20"/>
  <c r="AG107" i="20"/>
  <c r="AG108" i="20"/>
  <c r="AG109" i="20"/>
  <c r="AG110" i="20"/>
  <c r="AG111" i="20"/>
  <c r="AG112" i="20"/>
  <c r="AG113" i="20"/>
  <c r="AG114" i="20"/>
  <c r="AG115" i="20"/>
  <c r="AF102" i="20"/>
  <c r="AF103" i="20"/>
  <c r="AF104" i="20"/>
  <c r="AF105" i="20"/>
  <c r="AF106" i="20"/>
  <c r="AF107" i="20"/>
  <c r="AF108" i="20"/>
  <c r="AF109" i="20"/>
  <c r="AF110" i="20"/>
  <c r="AF111" i="20"/>
  <c r="AF112" i="20"/>
  <c r="AF113" i="20"/>
  <c r="AF114" i="20"/>
  <c r="AF115" i="20"/>
  <c r="AE102" i="20"/>
  <c r="AE103" i="20"/>
  <c r="AE104" i="20"/>
  <c r="AE105" i="20"/>
  <c r="AE106" i="20"/>
  <c r="AE107" i="20"/>
  <c r="AE108" i="20"/>
  <c r="AE109" i="20"/>
  <c r="AE110" i="20"/>
  <c r="AE111" i="20"/>
  <c r="AE112" i="20"/>
  <c r="AE113" i="20"/>
  <c r="AE114" i="20"/>
  <c r="AE115" i="20"/>
  <c r="AD102" i="20"/>
  <c r="AD103" i="20"/>
  <c r="AD104" i="20"/>
  <c r="AD105" i="20"/>
  <c r="AD106" i="20"/>
  <c r="AD107" i="20"/>
  <c r="AD108" i="20"/>
  <c r="AD109" i="20"/>
  <c r="AD110" i="20"/>
  <c r="AD111" i="20"/>
  <c r="AD112" i="20"/>
  <c r="AD113" i="20"/>
  <c r="AD114" i="20"/>
  <c r="AD115" i="20"/>
  <c r="AD101" i="20"/>
  <c r="AE101" i="20"/>
  <c r="AF101" i="20"/>
  <c r="AG101" i="20"/>
  <c r="AH101" i="20"/>
  <c r="AI101" i="20"/>
  <c r="AC102" i="20"/>
  <c r="AC103" i="20"/>
  <c r="AC104" i="20"/>
  <c r="AC105" i="20"/>
  <c r="AC106" i="20"/>
  <c r="AC107" i="20"/>
  <c r="AC108" i="20"/>
  <c r="AC109" i="20"/>
  <c r="AC110" i="20"/>
  <c r="AC111" i="20"/>
  <c r="AC112" i="20"/>
  <c r="AC113" i="20"/>
  <c r="AC114" i="20"/>
  <c r="AC101" i="20"/>
  <c r="AC96" i="20"/>
  <c r="AI83" i="20"/>
  <c r="AI84" i="20"/>
  <c r="AI85" i="20"/>
  <c r="AI86" i="20"/>
  <c r="AI87" i="20"/>
  <c r="AI88" i="20"/>
  <c r="AI89" i="20"/>
  <c r="AI90" i="20"/>
  <c r="AI91" i="20"/>
  <c r="AI92" i="20"/>
  <c r="AI93" i="20"/>
  <c r="AI94" i="20"/>
  <c r="AI95" i="20"/>
  <c r="AI96" i="20"/>
  <c r="AH83" i="20"/>
  <c r="AH84" i="20"/>
  <c r="AH85" i="20"/>
  <c r="AH86" i="20"/>
  <c r="AH87" i="20"/>
  <c r="AH88" i="20"/>
  <c r="AH89" i="20"/>
  <c r="AH90" i="20"/>
  <c r="AH91" i="20"/>
  <c r="AH92" i="20"/>
  <c r="AH93" i="20"/>
  <c r="AH94" i="20"/>
  <c r="AH95" i="20"/>
  <c r="AH96" i="20"/>
  <c r="AG83" i="20"/>
  <c r="AG84" i="20"/>
  <c r="AG85" i="20"/>
  <c r="AG86" i="20"/>
  <c r="AG87" i="20"/>
  <c r="AG88" i="20"/>
  <c r="AG89" i="20"/>
  <c r="AG90" i="20"/>
  <c r="AG91" i="20"/>
  <c r="AG92" i="20"/>
  <c r="AG93" i="20"/>
  <c r="AG94" i="20"/>
  <c r="AG95" i="20"/>
  <c r="AG96" i="20"/>
  <c r="AF83" i="20"/>
  <c r="AF84" i="20"/>
  <c r="AF85" i="20"/>
  <c r="AF86" i="20"/>
  <c r="AF87" i="20"/>
  <c r="AF88" i="20"/>
  <c r="AF89" i="20"/>
  <c r="AF90" i="20"/>
  <c r="AF91" i="20"/>
  <c r="AF92" i="20"/>
  <c r="AF93" i="20"/>
  <c r="AF94" i="20"/>
  <c r="AF95" i="20"/>
  <c r="AF96" i="20"/>
  <c r="AE83" i="20"/>
  <c r="AE84" i="20"/>
  <c r="AE85" i="20"/>
  <c r="AE86" i="20"/>
  <c r="AE87" i="20"/>
  <c r="AE88" i="20"/>
  <c r="AE89" i="20"/>
  <c r="AE90" i="20"/>
  <c r="AE91" i="20"/>
  <c r="AE92" i="20"/>
  <c r="AE93" i="20"/>
  <c r="AE94" i="20"/>
  <c r="AE95" i="20"/>
  <c r="AE96" i="20"/>
  <c r="AD83" i="20"/>
  <c r="AD84" i="20"/>
  <c r="AD85" i="20"/>
  <c r="AD86" i="20"/>
  <c r="AD87" i="20"/>
  <c r="AD88" i="20"/>
  <c r="AD89" i="20"/>
  <c r="AD90" i="20"/>
  <c r="AD91" i="20"/>
  <c r="AD92" i="20"/>
  <c r="AD93" i="20"/>
  <c r="AD94" i="20"/>
  <c r="AD95" i="20"/>
  <c r="AD96" i="20"/>
  <c r="AD82" i="20"/>
  <c r="AE82" i="20"/>
  <c r="AF82" i="20"/>
  <c r="AG82" i="20"/>
  <c r="AH82" i="20"/>
  <c r="AI82" i="20"/>
  <c r="AC83" i="20"/>
  <c r="AC84" i="20"/>
  <c r="AC85" i="20"/>
  <c r="AC86" i="20"/>
  <c r="AC87" i="20"/>
  <c r="AC88" i="20"/>
  <c r="AC89" i="20"/>
  <c r="AC90" i="20"/>
  <c r="AC91" i="20"/>
  <c r="AC92" i="20"/>
  <c r="AC93" i="20"/>
  <c r="AC94" i="20"/>
  <c r="AC95" i="20"/>
  <c r="AC82" i="20"/>
  <c r="AC77" i="20"/>
  <c r="AI64" i="20"/>
  <c r="AI65" i="20"/>
  <c r="AI66" i="20"/>
  <c r="AI67" i="20"/>
  <c r="AI68" i="20"/>
  <c r="AI69" i="20"/>
  <c r="AI70" i="20"/>
  <c r="AI71" i="20"/>
  <c r="AI72" i="20"/>
  <c r="AI73" i="20"/>
  <c r="AI74" i="20"/>
  <c r="AI75" i="20"/>
  <c r="AI76" i="20"/>
  <c r="AI77" i="20"/>
  <c r="AH64" i="20"/>
  <c r="AH65" i="20"/>
  <c r="AH66" i="20"/>
  <c r="AH67" i="20"/>
  <c r="AH68" i="20"/>
  <c r="AH69" i="20"/>
  <c r="AH70" i="20"/>
  <c r="AH71" i="20"/>
  <c r="AH72" i="20"/>
  <c r="AH73" i="20"/>
  <c r="AH74" i="20"/>
  <c r="AH75" i="20"/>
  <c r="AH76" i="20"/>
  <c r="AH77" i="20"/>
  <c r="AG64" i="20"/>
  <c r="AG65" i="20"/>
  <c r="AG66" i="20"/>
  <c r="AG67" i="20"/>
  <c r="AG68" i="20"/>
  <c r="AG69" i="20"/>
  <c r="AG70" i="20"/>
  <c r="AG71" i="20"/>
  <c r="AG72" i="20"/>
  <c r="AG73" i="20"/>
  <c r="AG74" i="20"/>
  <c r="AG75" i="20"/>
  <c r="AG76" i="20"/>
  <c r="AG77" i="20"/>
  <c r="AF64" i="20"/>
  <c r="AF65" i="20"/>
  <c r="AF66" i="20"/>
  <c r="AF67" i="20"/>
  <c r="AF68" i="20"/>
  <c r="AF69" i="20"/>
  <c r="AF70" i="20"/>
  <c r="AF71" i="20"/>
  <c r="AF72" i="20"/>
  <c r="AF73" i="20"/>
  <c r="AF74" i="20"/>
  <c r="AF75" i="20"/>
  <c r="AF76" i="20"/>
  <c r="AF77" i="20"/>
  <c r="AE64" i="20"/>
  <c r="AE65" i="20"/>
  <c r="AE66" i="20"/>
  <c r="AE67" i="20"/>
  <c r="AE68" i="20"/>
  <c r="AE69" i="20"/>
  <c r="AE70" i="20"/>
  <c r="AE71" i="20"/>
  <c r="AE72" i="20"/>
  <c r="AE73" i="20"/>
  <c r="AE74" i="20"/>
  <c r="AE75" i="20"/>
  <c r="AE76" i="20"/>
  <c r="AE77" i="20"/>
  <c r="AD64" i="20"/>
  <c r="AD65" i="20"/>
  <c r="AD66" i="20"/>
  <c r="AD67" i="20"/>
  <c r="AD68" i="20"/>
  <c r="AD69" i="20"/>
  <c r="AD70" i="20"/>
  <c r="AD71" i="20"/>
  <c r="AD72" i="20"/>
  <c r="AD73" i="20"/>
  <c r="AD74" i="20"/>
  <c r="AD75" i="20"/>
  <c r="AD76" i="20"/>
  <c r="AD77" i="20"/>
  <c r="AD63" i="20"/>
  <c r="AE63" i="20"/>
  <c r="AF63" i="20"/>
  <c r="AG63" i="20"/>
  <c r="AH63" i="20"/>
  <c r="AI63" i="20"/>
  <c r="AC64" i="20"/>
  <c r="AC65" i="20"/>
  <c r="AC66" i="20"/>
  <c r="AC67" i="20"/>
  <c r="AC68" i="20"/>
  <c r="AC69" i="20"/>
  <c r="AC70" i="20"/>
  <c r="AC71" i="20"/>
  <c r="AC72" i="20"/>
  <c r="AC73" i="20"/>
  <c r="AC74" i="20"/>
  <c r="AC75" i="20"/>
  <c r="AC76" i="20"/>
  <c r="AC63" i="20"/>
  <c r="AC58" i="20"/>
  <c r="AI45" i="20"/>
  <c r="AI46" i="20"/>
  <c r="AI47" i="20"/>
  <c r="AI48" i="20"/>
  <c r="AI49" i="20"/>
  <c r="AI50" i="20"/>
  <c r="AI51" i="20"/>
  <c r="AI52" i="20"/>
  <c r="AI53" i="20"/>
  <c r="AI54" i="20"/>
  <c r="AI55" i="20"/>
  <c r="AI56" i="20"/>
  <c r="AI57" i="20"/>
  <c r="AI58" i="20"/>
  <c r="AH45" i="20"/>
  <c r="AH46" i="20"/>
  <c r="AH47" i="20"/>
  <c r="AH48" i="20"/>
  <c r="AH49" i="20"/>
  <c r="AH50" i="20"/>
  <c r="AH51" i="20"/>
  <c r="AH52" i="20"/>
  <c r="AH53" i="20"/>
  <c r="AH54" i="20"/>
  <c r="AH55" i="20"/>
  <c r="AH56" i="20"/>
  <c r="AH57" i="20"/>
  <c r="AH58" i="20"/>
  <c r="AG45" i="20"/>
  <c r="AG46" i="20"/>
  <c r="AG47" i="20"/>
  <c r="AG48" i="20"/>
  <c r="AG49" i="20"/>
  <c r="AG50" i="20"/>
  <c r="AG51" i="20"/>
  <c r="AG52" i="20"/>
  <c r="AG53" i="20"/>
  <c r="AG54" i="20"/>
  <c r="AG55" i="20"/>
  <c r="AG56" i="20"/>
  <c r="AG57" i="20"/>
  <c r="AG58" i="20"/>
  <c r="AF45" i="20"/>
  <c r="AF46" i="20"/>
  <c r="AF47" i="20"/>
  <c r="AF48" i="20"/>
  <c r="AF49" i="20"/>
  <c r="AF50" i="20"/>
  <c r="AF51" i="20"/>
  <c r="AF52" i="20"/>
  <c r="AF53" i="20"/>
  <c r="AF54" i="20"/>
  <c r="AF55" i="20"/>
  <c r="AF56" i="20"/>
  <c r="AF57" i="20"/>
  <c r="AF58" i="20"/>
  <c r="AE45" i="20"/>
  <c r="AE46" i="20"/>
  <c r="AE47" i="20"/>
  <c r="AE48" i="20"/>
  <c r="AE49" i="20"/>
  <c r="AE50" i="20"/>
  <c r="AE51" i="20"/>
  <c r="AE52" i="20"/>
  <c r="AE53" i="20"/>
  <c r="AE54" i="20"/>
  <c r="AE55" i="20"/>
  <c r="AE56" i="20"/>
  <c r="AE57" i="20"/>
  <c r="AE58" i="20"/>
  <c r="AD45" i="20"/>
  <c r="AD46" i="20"/>
  <c r="AD47" i="20"/>
  <c r="AD48" i="20"/>
  <c r="AD49" i="20"/>
  <c r="AD50" i="20"/>
  <c r="AD51" i="20"/>
  <c r="AD52" i="20"/>
  <c r="AD53" i="20"/>
  <c r="AD54" i="20"/>
  <c r="AD55" i="20"/>
  <c r="AD56" i="20"/>
  <c r="AD57" i="20"/>
  <c r="AD58" i="20"/>
  <c r="AD44" i="20"/>
  <c r="AE44" i="20"/>
  <c r="AF44" i="20"/>
  <c r="AG44" i="20"/>
  <c r="AH44" i="20"/>
  <c r="AI44" i="20"/>
  <c r="AC45" i="20"/>
  <c r="AC46" i="20"/>
  <c r="AC47" i="20"/>
  <c r="AC48" i="20"/>
  <c r="AC49" i="20"/>
  <c r="AC50" i="20"/>
  <c r="AC51" i="20"/>
  <c r="AC52" i="20"/>
  <c r="AC53" i="20"/>
  <c r="AC54" i="20"/>
  <c r="AC55" i="20"/>
  <c r="AC56" i="20"/>
  <c r="AC57" i="20"/>
  <c r="AC44" i="20"/>
  <c r="AC39" i="20"/>
  <c r="AI26" i="20"/>
  <c r="AI27" i="20"/>
  <c r="AI28" i="20"/>
  <c r="AI29" i="20"/>
  <c r="AI30" i="20"/>
  <c r="AI31" i="20"/>
  <c r="AI32" i="20"/>
  <c r="AI33" i="20"/>
  <c r="AI34" i="20"/>
  <c r="AI35" i="20"/>
  <c r="AI36" i="20"/>
  <c r="AI37" i="20"/>
  <c r="AI38" i="20"/>
  <c r="AI39" i="20"/>
  <c r="AH26" i="20"/>
  <c r="AH27" i="20"/>
  <c r="AH28" i="20"/>
  <c r="AH29" i="20"/>
  <c r="AH30" i="20"/>
  <c r="AH31" i="20"/>
  <c r="AH32" i="20"/>
  <c r="AH33" i="20"/>
  <c r="AH34" i="20"/>
  <c r="AH35" i="20"/>
  <c r="AH36" i="20"/>
  <c r="AH37" i="20"/>
  <c r="AH38" i="20"/>
  <c r="AH39" i="20"/>
  <c r="AG37" i="20"/>
  <c r="AG38" i="20"/>
  <c r="AG39" i="20"/>
  <c r="AG35" i="20"/>
  <c r="AG36" i="20"/>
  <c r="AG33" i="20"/>
  <c r="AG34" i="20"/>
  <c r="AG32" i="20"/>
  <c r="AG31" i="20"/>
  <c r="AG28" i="20"/>
  <c r="AG29" i="20"/>
  <c r="AG30" i="20"/>
  <c r="AG26" i="20"/>
  <c r="AG27" i="20"/>
  <c r="AF26" i="20"/>
  <c r="AF27" i="20"/>
  <c r="AF28" i="20"/>
  <c r="AF29" i="20"/>
  <c r="AF30" i="20"/>
  <c r="AF31" i="20"/>
  <c r="AF32" i="20"/>
  <c r="AF33" i="20"/>
  <c r="AF34" i="20"/>
  <c r="AF35" i="20"/>
  <c r="AF36" i="20"/>
  <c r="AF37" i="20"/>
  <c r="AF38" i="20"/>
  <c r="AF39" i="20"/>
  <c r="AE26" i="20"/>
  <c r="AE27" i="20"/>
  <c r="AE28" i="20"/>
  <c r="AE29" i="20"/>
  <c r="AE30" i="20"/>
  <c r="AE31" i="20"/>
  <c r="AE32" i="20"/>
  <c r="AE33" i="20"/>
  <c r="AE34" i="20"/>
  <c r="AE35" i="20"/>
  <c r="AE36" i="20"/>
  <c r="AE37" i="20"/>
  <c r="AE38" i="20"/>
  <c r="AE39" i="20"/>
  <c r="AD26" i="20"/>
  <c r="AD27" i="20"/>
  <c r="AD28" i="20"/>
  <c r="AD29" i="20"/>
  <c r="AD30" i="20"/>
  <c r="AD31" i="20"/>
  <c r="AD32" i="20"/>
  <c r="AD33" i="20"/>
  <c r="AD34" i="20"/>
  <c r="AD35" i="20"/>
  <c r="AD36" i="20"/>
  <c r="AD37" i="20"/>
  <c r="AD38" i="20"/>
  <c r="AD39" i="20"/>
  <c r="AD25" i="20"/>
  <c r="AE25" i="20"/>
  <c r="AF25" i="20"/>
  <c r="AG25" i="20"/>
  <c r="AH25" i="20"/>
  <c r="AI25" i="20"/>
  <c r="AC26" i="20"/>
  <c r="AC27" i="20"/>
  <c r="AC28" i="20"/>
  <c r="AC29" i="20"/>
  <c r="AC30" i="20"/>
  <c r="AC31" i="20"/>
  <c r="AC32" i="20"/>
  <c r="AC33" i="20"/>
  <c r="AC34" i="20"/>
  <c r="AC35" i="20"/>
  <c r="AC36" i="20"/>
  <c r="AC37" i="20"/>
  <c r="AC38" i="20"/>
  <c r="AC25" i="20"/>
  <c r="AC20" i="20"/>
  <c r="AI7" i="20"/>
  <c r="AI8" i="20"/>
  <c r="AI9" i="20"/>
  <c r="AI10" i="20"/>
  <c r="AI11" i="20"/>
  <c r="AI12" i="20"/>
  <c r="AI13" i="20"/>
  <c r="AI14" i="20"/>
  <c r="AI15" i="20"/>
  <c r="AI16" i="20"/>
  <c r="AI17" i="20"/>
  <c r="AI18" i="20"/>
  <c r="AI19" i="20"/>
  <c r="AI20" i="20"/>
  <c r="AH7" i="20"/>
  <c r="AH8" i="20"/>
  <c r="AH9" i="20"/>
  <c r="AH10" i="20"/>
  <c r="AH11" i="20"/>
  <c r="AH12" i="20"/>
  <c r="AH13" i="20"/>
  <c r="AH14" i="20"/>
  <c r="AH15" i="20"/>
  <c r="AH16" i="20"/>
  <c r="AH17" i="20"/>
  <c r="AH18" i="20"/>
  <c r="AH19" i="20"/>
  <c r="AH20" i="20"/>
  <c r="AG7" i="20"/>
  <c r="AG8" i="20"/>
  <c r="AG9" i="20"/>
  <c r="AG10" i="20"/>
  <c r="AG11" i="20"/>
  <c r="AG12" i="20"/>
  <c r="AG13" i="20"/>
  <c r="AG14" i="20"/>
  <c r="AG15" i="20"/>
  <c r="AG16" i="20"/>
  <c r="AG17" i="20"/>
  <c r="AG18" i="20"/>
  <c r="AG19" i="20"/>
  <c r="AG20" i="20"/>
  <c r="AF7" i="20"/>
  <c r="AF8" i="20"/>
  <c r="AF9" i="20"/>
  <c r="AF10" i="20"/>
  <c r="AF11" i="20"/>
  <c r="AF12" i="20"/>
  <c r="AF13" i="20"/>
  <c r="AF14" i="20"/>
  <c r="AF15" i="20"/>
  <c r="AF16" i="20"/>
  <c r="AF17" i="20"/>
  <c r="AF18" i="20"/>
  <c r="AF19" i="20"/>
  <c r="AF20" i="20"/>
  <c r="AE7" i="20"/>
  <c r="AE8" i="20"/>
  <c r="AE9" i="20"/>
  <c r="AE10" i="20"/>
  <c r="AE11" i="20"/>
  <c r="AE12" i="20"/>
  <c r="AE13" i="20"/>
  <c r="AE14" i="20"/>
  <c r="AE15" i="20"/>
  <c r="AE16" i="20"/>
  <c r="AE17" i="20"/>
  <c r="AE18" i="20"/>
  <c r="AE19" i="20"/>
  <c r="AE20" i="20"/>
  <c r="AD7" i="20"/>
  <c r="AD8" i="20"/>
  <c r="AD9" i="20"/>
  <c r="AD10" i="20"/>
  <c r="AD11" i="20"/>
  <c r="AD12" i="20"/>
  <c r="AD13" i="20"/>
  <c r="AD14" i="20"/>
  <c r="AD15" i="20"/>
  <c r="AD16" i="20"/>
  <c r="AD17" i="20"/>
  <c r="AD18" i="20"/>
  <c r="AD19" i="20"/>
  <c r="AD20" i="20"/>
  <c r="AD6" i="20"/>
  <c r="AE6" i="20"/>
  <c r="AF6" i="20"/>
  <c r="AG6" i="20"/>
  <c r="AH6" i="20"/>
  <c r="AI6" i="20"/>
  <c r="AC7" i="20"/>
  <c r="AC8" i="20"/>
  <c r="AC9" i="20"/>
  <c r="AC10" i="20"/>
  <c r="AC11" i="20"/>
  <c r="AC12" i="20"/>
  <c r="AC13" i="20"/>
  <c r="AC14" i="20"/>
  <c r="AC15" i="20"/>
  <c r="AC16" i="20"/>
  <c r="AC17" i="20"/>
  <c r="AC18" i="20"/>
  <c r="AC19" i="20"/>
  <c r="AC6" i="20"/>
  <c r="T153" i="20"/>
  <c r="Z140" i="20"/>
  <c r="Z141" i="20"/>
  <c r="Z142" i="20"/>
  <c r="Z143" i="20"/>
  <c r="Z144" i="20"/>
  <c r="Z145" i="20"/>
  <c r="Z146" i="20"/>
  <c r="Z147" i="20"/>
  <c r="Z148" i="20"/>
  <c r="Z149" i="20"/>
  <c r="Z150" i="20"/>
  <c r="Z151" i="20"/>
  <c r="Z152" i="20"/>
  <c r="Z153" i="20"/>
  <c r="Y140" i="20"/>
  <c r="Y141" i="20"/>
  <c r="Y142" i="20"/>
  <c r="Y143" i="20"/>
  <c r="Y144" i="20"/>
  <c r="Y145" i="20"/>
  <c r="Y146" i="20"/>
  <c r="Y147" i="20"/>
  <c r="Y148" i="20"/>
  <c r="Y149" i="20"/>
  <c r="Y150" i="20"/>
  <c r="Y151" i="20"/>
  <c r="Y152" i="20"/>
  <c r="Y153" i="20"/>
  <c r="X140" i="20"/>
  <c r="X141" i="20"/>
  <c r="X142" i="20"/>
  <c r="X143" i="20"/>
  <c r="X144" i="20"/>
  <c r="X145" i="20"/>
  <c r="X146" i="20"/>
  <c r="X147" i="20"/>
  <c r="X148" i="20"/>
  <c r="X149" i="20"/>
  <c r="X150" i="20"/>
  <c r="X151" i="20"/>
  <c r="X152" i="20"/>
  <c r="X153" i="20"/>
  <c r="W140" i="20"/>
  <c r="W141" i="20"/>
  <c r="W142" i="20"/>
  <c r="W143" i="20"/>
  <c r="W144" i="20"/>
  <c r="W145" i="20"/>
  <c r="W146" i="20"/>
  <c r="W147" i="20"/>
  <c r="W148" i="20"/>
  <c r="W149" i="20"/>
  <c r="W150" i="20"/>
  <c r="W151" i="20"/>
  <c r="W152" i="20"/>
  <c r="W153" i="20"/>
  <c r="V140" i="20"/>
  <c r="V141" i="20"/>
  <c r="V142" i="20"/>
  <c r="V143" i="20"/>
  <c r="V144" i="20"/>
  <c r="V145" i="20"/>
  <c r="V146" i="20"/>
  <c r="V147" i="20"/>
  <c r="V148" i="20"/>
  <c r="V149" i="20"/>
  <c r="V150" i="20"/>
  <c r="V151" i="20"/>
  <c r="V152" i="20"/>
  <c r="V153" i="20"/>
  <c r="U140" i="20"/>
  <c r="U141" i="20"/>
  <c r="U142" i="20"/>
  <c r="U143" i="20"/>
  <c r="U144" i="20"/>
  <c r="U145" i="20"/>
  <c r="U146" i="20"/>
  <c r="U147" i="20"/>
  <c r="U148" i="20"/>
  <c r="U149" i="20"/>
  <c r="U150" i="20"/>
  <c r="U151" i="20"/>
  <c r="U152" i="20"/>
  <c r="U153" i="20"/>
  <c r="U139" i="20"/>
  <c r="V139" i="20"/>
  <c r="W139" i="20"/>
  <c r="X139" i="20"/>
  <c r="Y139" i="20"/>
  <c r="Z139" i="20"/>
  <c r="T140" i="20"/>
  <c r="T141" i="20"/>
  <c r="T142" i="20"/>
  <c r="T143" i="20"/>
  <c r="T144" i="20"/>
  <c r="T145" i="20"/>
  <c r="T146" i="20"/>
  <c r="T147" i="20"/>
  <c r="T148" i="20"/>
  <c r="T149" i="20"/>
  <c r="T150" i="20"/>
  <c r="T151" i="20"/>
  <c r="T152" i="20"/>
  <c r="T139" i="20"/>
  <c r="T134" i="20"/>
  <c r="V121" i="20"/>
  <c r="V122" i="20"/>
  <c r="V123" i="20"/>
  <c r="V124" i="20"/>
  <c r="V125" i="20"/>
  <c r="V126" i="20"/>
  <c r="V127" i="20"/>
  <c r="V128" i="20"/>
  <c r="V129" i="20"/>
  <c r="V130" i="20"/>
  <c r="V131" i="20"/>
  <c r="V132" i="20"/>
  <c r="V133" i="20"/>
  <c r="V134" i="20"/>
  <c r="W121" i="20"/>
  <c r="W122" i="20"/>
  <c r="W123" i="20"/>
  <c r="W124" i="20"/>
  <c r="W125" i="20"/>
  <c r="W126" i="20"/>
  <c r="W127" i="20"/>
  <c r="W128" i="20"/>
  <c r="W129" i="20"/>
  <c r="W130" i="20"/>
  <c r="W131" i="20"/>
  <c r="W132" i="20"/>
  <c r="W133" i="20"/>
  <c r="W134" i="20"/>
  <c r="X121" i="20"/>
  <c r="X122" i="20"/>
  <c r="X123" i="20"/>
  <c r="X124" i="20"/>
  <c r="X125" i="20"/>
  <c r="X126" i="20"/>
  <c r="X127" i="20"/>
  <c r="X128" i="20"/>
  <c r="X129" i="20"/>
  <c r="X130" i="20"/>
  <c r="X131" i="20"/>
  <c r="X132" i="20"/>
  <c r="X133" i="20"/>
  <c r="X134" i="20"/>
  <c r="Y121" i="20"/>
  <c r="Y122" i="20"/>
  <c r="Y123" i="20"/>
  <c r="Y124" i="20"/>
  <c r="Y125" i="20"/>
  <c r="Y126" i="20"/>
  <c r="Y127" i="20"/>
  <c r="Y128" i="20"/>
  <c r="Y129" i="20"/>
  <c r="Y130" i="20"/>
  <c r="Y131" i="20"/>
  <c r="Y132" i="20"/>
  <c r="Y133" i="20"/>
  <c r="Y134" i="20"/>
  <c r="Z121" i="20"/>
  <c r="Z122" i="20"/>
  <c r="Z123" i="20"/>
  <c r="Z124" i="20"/>
  <c r="Z125" i="20"/>
  <c r="Z126" i="20"/>
  <c r="Z127" i="20"/>
  <c r="Z128" i="20"/>
  <c r="Z129" i="20"/>
  <c r="Z130" i="20"/>
  <c r="Z131" i="20"/>
  <c r="Z132" i="20"/>
  <c r="Z133" i="20"/>
  <c r="Z134" i="20"/>
  <c r="U121" i="20"/>
  <c r="U122" i="20"/>
  <c r="U123" i="20"/>
  <c r="U124" i="20"/>
  <c r="U125" i="20"/>
  <c r="U126" i="20"/>
  <c r="U127" i="20"/>
  <c r="U128" i="20"/>
  <c r="U129" i="20"/>
  <c r="U130" i="20"/>
  <c r="U131" i="20"/>
  <c r="U132" i="20"/>
  <c r="U133" i="20"/>
  <c r="U134" i="20"/>
  <c r="U120" i="20"/>
  <c r="V120" i="20"/>
  <c r="W120" i="20"/>
  <c r="X120" i="20"/>
  <c r="Y120" i="20"/>
  <c r="Z120" i="20"/>
  <c r="T121" i="20"/>
  <c r="T122" i="20"/>
  <c r="T123" i="20"/>
  <c r="T124" i="20"/>
  <c r="T125" i="20"/>
  <c r="T126" i="20"/>
  <c r="T127" i="20"/>
  <c r="T128" i="20"/>
  <c r="T129" i="20"/>
  <c r="T130" i="20"/>
  <c r="T131" i="20"/>
  <c r="T132" i="20"/>
  <c r="T133" i="20"/>
  <c r="T120" i="20"/>
  <c r="T115" i="20"/>
  <c r="Z102" i="20"/>
  <c r="Z103" i="20"/>
  <c r="Z104" i="20"/>
  <c r="Z105" i="20"/>
  <c r="Z106" i="20"/>
  <c r="Z107" i="20"/>
  <c r="Z108" i="20"/>
  <c r="Z109" i="20"/>
  <c r="Z110" i="20"/>
  <c r="Z111" i="20"/>
  <c r="Z112" i="20"/>
  <c r="Z113" i="20"/>
  <c r="Z114" i="20"/>
  <c r="Z115" i="20"/>
  <c r="Y102" i="20"/>
  <c r="Y103" i="20"/>
  <c r="Y104" i="20"/>
  <c r="Y105" i="20"/>
  <c r="Y106" i="20"/>
  <c r="Y107" i="20"/>
  <c r="Y108" i="20"/>
  <c r="Y109" i="20"/>
  <c r="Y110" i="20"/>
  <c r="Y111" i="20"/>
  <c r="Y112" i="20"/>
  <c r="Y113" i="20"/>
  <c r="Y114" i="20"/>
  <c r="Y115" i="20"/>
  <c r="X102" i="20"/>
  <c r="X103" i="20"/>
  <c r="X104" i="20"/>
  <c r="X105" i="20"/>
  <c r="X106" i="20"/>
  <c r="X107" i="20"/>
  <c r="X108" i="20"/>
  <c r="X109" i="20"/>
  <c r="X110" i="20"/>
  <c r="X111" i="20"/>
  <c r="X112" i="20"/>
  <c r="X113" i="20"/>
  <c r="X114" i="20"/>
  <c r="X115" i="20"/>
  <c r="W102" i="20"/>
  <c r="W103" i="20"/>
  <c r="W104" i="20"/>
  <c r="W105" i="20"/>
  <c r="W106" i="20"/>
  <c r="W107" i="20"/>
  <c r="W108" i="20"/>
  <c r="W109" i="20"/>
  <c r="W110" i="20"/>
  <c r="W111" i="20"/>
  <c r="W112" i="20"/>
  <c r="W113" i="20"/>
  <c r="W114" i="20"/>
  <c r="W115" i="20"/>
  <c r="V102" i="20"/>
  <c r="V103" i="20"/>
  <c r="V104" i="20"/>
  <c r="V105" i="20"/>
  <c r="V106" i="20"/>
  <c r="V107" i="20"/>
  <c r="V108" i="20"/>
  <c r="V109" i="20"/>
  <c r="V110" i="20"/>
  <c r="V111" i="20"/>
  <c r="V112" i="20"/>
  <c r="V113" i="20"/>
  <c r="V114" i="20"/>
  <c r="V115" i="20"/>
  <c r="U102" i="20"/>
  <c r="U103" i="20"/>
  <c r="U104" i="20"/>
  <c r="U105" i="20"/>
  <c r="U106" i="20"/>
  <c r="U107" i="20"/>
  <c r="U108" i="20"/>
  <c r="U109" i="20"/>
  <c r="U110" i="20"/>
  <c r="U111" i="20"/>
  <c r="U112" i="20"/>
  <c r="U113" i="20"/>
  <c r="U114" i="20"/>
  <c r="U115" i="20"/>
  <c r="U101" i="20"/>
  <c r="V101" i="20"/>
  <c r="W101" i="20"/>
  <c r="X101" i="20"/>
  <c r="Y101" i="20"/>
  <c r="Z101" i="20"/>
  <c r="T102" i="20"/>
  <c r="T103" i="20"/>
  <c r="T104" i="20"/>
  <c r="T105" i="20"/>
  <c r="T106" i="20"/>
  <c r="T107" i="20"/>
  <c r="T108" i="20"/>
  <c r="T109" i="20"/>
  <c r="T110" i="20"/>
  <c r="T111" i="20"/>
  <c r="T112" i="20"/>
  <c r="T113" i="20"/>
  <c r="T114" i="20"/>
  <c r="T101" i="20"/>
  <c r="T96" i="20"/>
  <c r="Z83" i="20"/>
  <c r="Z84" i="20"/>
  <c r="Z85" i="20"/>
  <c r="Z86" i="20"/>
  <c r="Z87" i="20"/>
  <c r="Z88" i="20"/>
  <c r="Z89" i="20"/>
  <c r="Z90" i="20"/>
  <c r="Z91" i="20"/>
  <c r="Z92" i="20"/>
  <c r="Z93" i="20"/>
  <c r="Z94" i="20"/>
  <c r="Z95" i="20"/>
  <c r="Z96" i="20"/>
  <c r="Y83" i="20"/>
  <c r="Y84" i="20"/>
  <c r="Y85" i="20"/>
  <c r="Y86" i="20"/>
  <c r="Y87" i="20"/>
  <c r="Y88" i="20"/>
  <c r="Y89" i="20"/>
  <c r="Y90" i="20"/>
  <c r="Y91" i="20"/>
  <c r="Y92" i="20"/>
  <c r="Y93" i="20"/>
  <c r="Y94" i="20"/>
  <c r="Y95" i="20"/>
  <c r="Y96" i="20"/>
  <c r="X83" i="20"/>
  <c r="X84" i="20"/>
  <c r="X85" i="20"/>
  <c r="X86" i="20"/>
  <c r="X87" i="20"/>
  <c r="X88" i="20"/>
  <c r="X89" i="20"/>
  <c r="X90" i="20"/>
  <c r="X91" i="20"/>
  <c r="X92" i="20"/>
  <c r="X93" i="20"/>
  <c r="X94" i="20"/>
  <c r="X95" i="20"/>
  <c r="X96" i="20"/>
  <c r="W83" i="20"/>
  <c r="W84" i="20"/>
  <c r="W85" i="20"/>
  <c r="W86" i="20"/>
  <c r="W87" i="20"/>
  <c r="W88" i="20"/>
  <c r="W89" i="20"/>
  <c r="W90" i="20"/>
  <c r="W91" i="20"/>
  <c r="W92" i="20"/>
  <c r="W93" i="20"/>
  <c r="W94" i="20"/>
  <c r="W95" i="20"/>
  <c r="W96" i="20"/>
  <c r="V83" i="20"/>
  <c r="V84" i="20"/>
  <c r="V85" i="20"/>
  <c r="V86" i="20"/>
  <c r="V87" i="20"/>
  <c r="V88" i="20"/>
  <c r="V89" i="20"/>
  <c r="V90" i="20"/>
  <c r="V91" i="20"/>
  <c r="V92" i="20"/>
  <c r="V93" i="20"/>
  <c r="V94" i="20"/>
  <c r="V95" i="20"/>
  <c r="V96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U96" i="20"/>
  <c r="U82" i="20"/>
  <c r="V82" i="20"/>
  <c r="W82" i="20"/>
  <c r="X82" i="20"/>
  <c r="Y82" i="20"/>
  <c r="Z82" i="20"/>
  <c r="T83" i="20"/>
  <c r="T84" i="20"/>
  <c r="T85" i="20"/>
  <c r="T86" i="20"/>
  <c r="T87" i="20"/>
  <c r="T88" i="20"/>
  <c r="T89" i="20"/>
  <c r="T90" i="20"/>
  <c r="T91" i="20"/>
  <c r="T92" i="20"/>
  <c r="T93" i="20"/>
  <c r="T94" i="20"/>
  <c r="T95" i="20"/>
  <c r="T82" i="20"/>
  <c r="T77" i="20"/>
  <c r="Z64" i="20"/>
  <c r="Z65" i="20"/>
  <c r="Z66" i="20"/>
  <c r="Z67" i="20"/>
  <c r="Z68" i="20"/>
  <c r="Z69" i="20"/>
  <c r="Z70" i="20"/>
  <c r="Z71" i="20"/>
  <c r="Z72" i="20"/>
  <c r="Z73" i="20"/>
  <c r="Z74" i="20"/>
  <c r="Z75" i="20"/>
  <c r="Z76" i="20"/>
  <c r="Z77" i="20"/>
  <c r="Y64" i="20"/>
  <c r="Y65" i="20"/>
  <c r="Y66" i="20"/>
  <c r="Y67" i="20"/>
  <c r="Y68" i="20"/>
  <c r="Y69" i="20"/>
  <c r="Y70" i="20"/>
  <c r="Y71" i="20"/>
  <c r="Y72" i="20"/>
  <c r="Y73" i="20"/>
  <c r="Y74" i="20"/>
  <c r="Y75" i="20"/>
  <c r="Y76" i="20"/>
  <c r="Y77" i="20"/>
  <c r="X64" i="20"/>
  <c r="X65" i="20"/>
  <c r="X66" i="20"/>
  <c r="X67" i="20"/>
  <c r="X68" i="20"/>
  <c r="X69" i="20"/>
  <c r="X70" i="20"/>
  <c r="X71" i="20"/>
  <c r="X72" i="20"/>
  <c r="X73" i="20"/>
  <c r="X74" i="20"/>
  <c r="X75" i="20"/>
  <c r="X76" i="20"/>
  <c r="X77" i="20"/>
  <c r="W64" i="20"/>
  <c r="W65" i="20"/>
  <c r="W66" i="20"/>
  <c r="W67" i="20"/>
  <c r="W68" i="20"/>
  <c r="W69" i="20"/>
  <c r="W70" i="20"/>
  <c r="W71" i="20"/>
  <c r="W72" i="20"/>
  <c r="W73" i="20"/>
  <c r="W74" i="20"/>
  <c r="W75" i="20"/>
  <c r="W76" i="20"/>
  <c r="W77" i="20"/>
  <c r="V64" i="20"/>
  <c r="V65" i="20"/>
  <c r="V66" i="20"/>
  <c r="V67" i="20"/>
  <c r="V68" i="20"/>
  <c r="V69" i="20"/>
  <c r="V70" i="20"/>
  <c r="V71" i="20"/>
  <c r="V72" i="20"/>
  <c r="V73" i="20"/>
  <c r="V74" i="20"/>
  <c r="V75" i="20"/>
  <c r="V76" i="20"/>
  <c r="V77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63" i="20"/>
  <c r="V63" i="20"/>
  <c r="W63" i="20"/>
  <c r="X63" i="20"/>
  <c r="Y63" i="20"/>
  <c r="Z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63" i="20"/>
  <c r="T58" i="20"/>
  <c r="Z45" i="20"/>
  <c r="Z46" i="20"/>
  <c r="Z47" i="20"/>
  <c r="Z48" i="20"/>
  <c r="Z49" i="20"/>
  <c r="Z50" i="20"/>
  <c r="Z51" i="20"/>
  <c r="Z52" i="20"/>
  <c r="Z53" i="20"/>
  <c r="Z54" i="20"/>
  <c r="Z55" i="20"/>
  <c r="Z56" i="20"/>
  <c r="Z57" i="20"/>
  <c r="Z58" i="20"/>
  <c r="Y45" i="20"/>
  <c r="Y46" i="20"/>
  <c r="Y47" i="20"/>
  <c r="Y48" i="20"/>
  <c r="Y49" i="20"/>
  <c r="Y50" i="20"/>
  <c r="Y51" i="20"/>
  <c r="Y52" i="20"/>
  <c r="Y53" i="20"/>
  <c r="Y54" i="20"/>
  <c r="Y55" i="20"/>
  <c r="Y56" i="20"/>
  <c r="Y57" i="20"/>
  <c r="Y58" i="20"/>
  <c r="X45" i="20"/>
  <c r="X46" i="20"/>
  <c r="X47" i="20"/>
  <c r="X48" i="20"/>
  <c r="X49" i="20"/>
  <c r="X50" i="20"/>
  <c r="X51" i="20"/>
  <c r="X52" i="20"/>
  <c r="X53" i="20"/>
  <c r="X54" i="20"/>
  <c r="X55" i="20"/>
  <c r="X56" i="20"/>
  <c r="X57" i="20"/>
  <c r="X58" i="20"/>
  <c r="V56" i="20"/>
  <c r="W45" i="20"/>
  <c r="W46" i="20"/>
  <c r="W47" i="20"/>
  <c r="W48" i="20"/>
  <c r="W49" i="20"/>
  <c r="W50" i="20"/>
  <c r="W51" i="20"/>
  <c r="W52" i="20"/>
  <c r="W53" i="20"/>
  <c r="W54" i="20"/>
  <c r="W55" i="20"/>
  <c r="W56" i="20"/>
  <c r="W57" i="20"/>
  <c r="W58" i="20"/>
  <c r="V45" i="20"/>
  <c r="V46" i="20"/>
  <c r="V47" i="20"/>
  <c r="V48" i="20"/>
  <c r="V49" i="20"/>
  <c r="V50" i="20"/>
  <c r="V51" i="20"/>
  <c r="V52" i="20"/>
  <c r="V53" i="20"/>
  <c r="V54" i="20"/>
  <c r="V55" i="20"/>
  <c r="V57" i="20"/>
  <c r="V58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44" i="20"/>
  <c r="V44" i="20"/>
  <c r="W44" i="20"/>
  <c r="X44" i="20"/>
  <c r="Y44" i="20"/>
  <c r="Z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44" i="20"/>
  <c r="T39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Z38" i="20"/>
  <c r="Z39" i="20"/>
  <c r="Y26" i="20"/>
  <c r="Y27" i="20"/>
  <c r="Y28" i="20"/>
  <c r="Y29" i="20"/>
  <c r="Y30" i="20"/>
  <c r="Y31" i="20"/>
  <c r="Y32" i="20"/>
  <c r="Y33" i="20"/>
  <c r="Y34" i="20"/>
  <c r="Y35" i="20"/>
  <c r="Y36" i="20"/>
  <c r="Y37" i="20"/>
  <c r="Y38" i="20"/>
  <c r="Y39" i="20"/>
  <c r="X26" i="20"/>
  <c r="X27" i="20"/>
  <c r="X28" i="20"/>
  <c r="X29" i="20"/>
  <c r="X30" i="20"/>
  <c r="X31" i="20"/>
  <c r="X32" i="20"/>
  <c r="X33" i="20"/>
  <c r="X34" i="20"/>
  <c r="X35" i="20"/>
  <c r="X36" i="20"/>
  <c r="X37" i="20"/>
  <c r="X38" i="20"/>
  <c r="X39" i="20"/>
  <c r="W38" i="20"/>
  <c r="W39" i="20"/>
  <c r="W26" i="20"/>
  <c r="W27" i="20"/>
  <c r="W28" i="20"/>
  <c r="W29" i="20"/>
  <c r="W30" i="20"/>
  <c r="W31" i="20"/>
  <c r="W32" i="20"/>
  <c r="W33" i="20"/>
  <c r="W34" i="20"/>
  <c r="W35" i="20"/>
  <c r="W36" i="20"/>
  <c r="W37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25" i="20"/>
  <c r="V25" i="20"/>
  <c r="W25" i="20"/>
  <c r="X25" i="20"/>
  <c r="Y25" i="20"/>
  <c r="Z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25" i="20"/>
  <c r="T20" i="20"/>
  <c r="Z7" i="20"/>
  <c r="Z8" i="20"/>
  <c r="Z9" i="20"/>
  <c r="Z10" i="20"/>
  <c r="Z11" i="20"/>
  <c r="Z12" i="20"/>
  <c r="Z13" i="20"/>
  <c r="Z14" i="20"/>
  <c r="Z15" i="20"/>
  <c r="Z16" i="20"/>
  <c r="Z17" i="20"/>
  <c r="Z18" i="20"/>
  <c r="Z19" i="20"/>
  <c r="Z20" i="20"/>
  <c r="Y7" i="20"/>
  <c r="Y8" i="20"/>
  <c r="Y9" i="20"/>
  <c r="Y10" i="20"/>
  <c r="Y11" i="20"/>
  <c r="Y12" i="20"/>
  <c r="Y13" i="20"/>
  <c r="Y14" i="20"/>
  <c r="Y15" i="20"/>
  <c r="Y16" i="20"/>
  <c r="Y17" i="20"/>
  <c r="Y18" i="20"/>
  <c r="Y19" i="20"/>
  <c r="Y20" i="20"/>
  <c r="X7" i="20"/>
  <c r="X8" i="20"/>
  <c r="X9" i="20"/>
  <c r="X10" i="20"/>
  <c r="X11" i="20"/>
  <c r="X12" i="20"/>
  <c r="X13" i="20"/>
  <c r="X14" i="20"/>
  <c r="X15" i="20"/>
  <c r="X16" i="20"/>
  <c r="X17" i="20"/>
  <c r="X18" i="20"/>
  <c r="X19" i="20"/>
  <c r="X20" i="20"/>
  <c r="W7" i="20"/>
  <c r="W8" i="20"/>
  <c r="W9" i="20"/>
  <c r="W10" i="20"/>
  <c r="W11" i="20"/>
  <c r="W12" i="20"/>
  <c r="W13" i="20"/>
  <c r="W14" i="20"/>
  <c r="W15" i="20"/>
  <c r="W16" i="20"/>
  <c r="W17" i="20"/>
  <c r="W18" i="20"/>
  <c r="W19" i="20"/>
  <c r="W20" i="20"/>
  <c r="V7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6" i="20"/>
  <c r="V6" i="20"/>
  <c r="W6" i="20"/>
  <c r="X6" i="20"/>
  <c r="Y6" i="20"/>
  <c r="Z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6" i="20"/>
  <c r="Q153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L139" i="20"/>
  <c r="M139" i="20"/>
  <c r="N139" i="20"/>
  <c r="O139" i="20"/>
  <c r="P139" i="20"/>
  <c r="Q139" i="20"/>
  <c r="K139" i="20"/>
  <c r="K134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20" i="20"/>
  <c r="M120" i="20"/>
  <c r="N120" i="20"/>
  <c r="O120" i="20"/>
  <c r="P120" i="20"/>
  <c r="Q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20" i="20"/>
  <c r="K115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01" i="20"/>
  <c r="M101" i="20"/>
  <c r="N101" i="20"/>
  <c r="O101" i="20"/>
  <c r="P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01" i="20"/>
  <c r="K96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82" i="20"/>
  <c r="M82" i="20"/>
  <c r="N82" i="20"/>
  <c r="O82" i="20"/>
  <c r="P82" i="20"/>
  <c r="Q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82" i="20"/>
  <c r="K77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63" i="20"/>
  <c r="M63" i="20"/>
  <c r="N63" i="20"/>
  <c r="O63" i="20"/>
  <c r="P63" i="20"/>
  <c r="Q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63" i="20"/>
  <c r="K58" i="20"/>
  <c r="Q58" i="20"/>
  <c r="Q59" i="20" s="1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O57" i="20"/>
  <c r="O58" i="20"/>
  <c r="O52" i="20"/>
  <c r="O53" i="20"/>
  <c r="O54" i="20"/>
  <c r="O55" i="20"/>
  <c r="O56" i="20"/>
  <c r="O45" i="20"/>
  <c r="O46" i="20"/>
  <c r="O47" i="20"/>
  <c r="O48" i="20"/>
  <c r="O49" i="20"/>
  <c r="O50" i="20"/>
  <c r="O51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44" i="20"/>
  <c r="N44" i="20"/>
  <c r="O44" i="20"/>
  <c r="P44" i="20"/>
  <c r="Q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44" i="20"/>
  <c r="K53" i="20"/>
  <c r="K54" i="20"/>
  <c r="K55" i="20"/>
  <c r="K56" i="20"/>
  <c r="K57" i="20"/>
  <c r="K45" i="20"/>
  <c r="K46" i="20"/>
  <c r="K47" i="20"/>
  <c r="K48" i="20"/>
  <c r="K49" i="20"/>
  <c r="K50" i="20"/>
  <c r="K51" i="20"/>
  <c r="K52" i="20"/>
  <c r="K44" i="20"/>
  <c r="K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39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20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01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82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63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44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25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B25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6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6" i="20"/>
  <c r="K6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7" i="20"/>
  <c r="B20" i="20"/>
  <c r="B135" i="20" l="1"/>
  <c r="T40" i="20"/>
  <c r="K78" i="20"/>
  <c r="B154" i="20"/>
  <c r="B78" i="20"/>
  <c r="B59" i="20"/>
  <c r="K21" i="20"/>
  <c r="R10" i="18"/>
  <c r="R26" i="18" s="1"/>
  <c r="O10" i="18"/>
  <c r="C2" i="18"/>
  <c r="C18" i="18" s="1"/>
  <c r="BT69" i="17" l="1"/>
  <c r="BT68" i="17"/>
  <c r="BT35" i="17"/>
  <c r="BT34" i="17"/>
  <c r="BT42" i="17"/>
  <c r="BT59" i="17" s="1"/>
  <c r="BT41" i="17"/>
  <c r="BT58" i="17" s="1"/>
  <c r="BT40" i="17"/>
  <c r="BT39" i="17"/>
  <c r="BT56" i="17" s="1"/>
  <c r="BT38" i="17"/>
  <c r="BT55" i="17" s="1"/>
  <c r="BT18" i="17"/>
  <c r="BT17" i="17"/>
  <c r="C9" i="20"/>
  <c r="E11" i="20"/>
  <c r="G13" i="20"/>
  <c r="B16" i="20"/>
  <c r="D18" i="20"/>
  <c r="F20" i="20"/>
  <c r="F21" i="20" s="1"/>
  <c r="H26" i="20"/>
  <c r="C29" i="20"/>
  <c r="E31" i="20"/>
  <c r="G33" i="20"/>
  <c r="B36" i="20"/>
  <c r="D38" i="20"/>
  <c r="AI306" i="21"/>
  <c r="AH306" i="21"/>
  <c r="AG306" i="21"/>
  <c r="AC306" i="21"/>
  <c r="Z306" i="21"/>
  <c r="Y306" i="21"/>
  <c r="X306" i="21"/>
  <c r="T306" i="21"/>
  <c r="Q306" i="21"/>
  <c r="P306" i="21"/>
  <c r="O306" i="21"/>
  <c r="K306" i="21"/>
  <c r="H306" i="21"/>
  <c r="G306" i="21"/>
  <c r="F306" i="21"/>
  <c r="B306" i="21"/>
  <c r="AI287" i="21"/>
  <c r="AH287" i="21"/>
  <c r="AG287" i="21"/>
  <c r="AC287" i="21"/>
  <c r="Z287" i="21"/>
  <c r="Y287" i="21"/>
  <c r="X287" i="21"/>
  <c r="T287" i="21"/>
  <c r="Q287" i="21"/>
  <c r="P287" i="21"/>
  <c r="O287" i="21"/>
  <c r="K287" i="21"/>
  <c r="H287" i="21"/>
  <c r="G287" i="21"/>
  <c r="F287" i="21"/>
  <c r="B287" i="21"/>
  <c r="AI268" i="21"/>
  <c r="AH268" i="21"/>
  <c r="AG268" i="21"/>
  <c r="AC268" i="21"/>
  <c r="Z268" i="21"/>
  <c r="Y268" i="21"/>
  <c r="X268" i="21"/>
  <c r="T268" i="21"/>
  <c r="Q268" i="21"/>
  <c r="P268" i="21"/>
  <c r="O268" i="21"/>
  <c r="K268" i="21"/>
  <c r="H268" i="21"/>
  <c r="G268" i="21"/>
  <c r="F268" i="21"/>
  <c r="B268" i="21"/>
  <c r="AI249" i="21"/>
  <c r="AH249" i="21"/>
  <c r="AG249" i="21"/>
  <c r="AC249" i="21"/>
  <c r="Z249" i="21"/>
  <c r="Y249" i="21"/>
  <c r="X249" i="21"/>
  <c r="BX50" i="17" s="1"/>
  <c r="T249" i="21"/>
  <c r="Q249" i="21"/>
  <c r="P249" i="21"/>
  <c r="O249" i="21"/>
  <c r="K249" i="21"/>
  <c r="H249" i="21"/>
  <c r="G249" i="21"/>
  <c r="F249" i="21"/>
  <c r="B249" i="21"/>
  <c r="AI230" i="21"/>
  <c r="AH230" i="21"/>
  <c r="AG230" i="21"/>
  <c r="AC230" i="21"/>
  <c r="Z230" i="21"/>
  <c r="Y230" i="21"/>
  <c r="X230" i="21"/>
  <c r="T230" i="21"/>
  <c r="Q230" i="21"/>
  <c r="P230" i="21"/>
  <c r="O230" i="21"/>
  <c r="K230" i="21"/>
  <c r="H230" i="21"/>
  <c r="G230" i="21"/>
  <c r="F230" i="21"/>
  <c r="B230" i="21"/>
  <c r="AI211" i="21"/>
  <c r="AH211" i="21"/>
  <c r="AG211" i="21"/>
  <c r="AC211" i="21"/>
  <c r="Z211" i="21"/>
  <c r="Y211" i="21"/>
  <c r="X211" i="21"/>
  <c r="T211" i="21"/>
  <c r="Q211" i="21"/>
  <c r="P211" i="21"/>
  <c r="O211" i="21"/>
  <c r="K211" i="21"/>
  <c r="H211" i="21"/>
  <c r="G211" i="21"/>
  <c r="F211" i="21"/>
  <c r="BX14" i="17" s="1"/>
  <c r="B211" i="21"/>
  <c r="AI192" i="21"/>
  <c r="AH192" i="21"/>
  <c r="AG192" i="21"/>
  <c r="AC192" i="21"/>
  <c r="Z192" i="21"/>
  <c r="Y192" i="21"/>
  <c r="X192" i="21"/>
  <c r="T192" i="21"/>
  <c r="Q192" i="21"/>
  <c r="P192" i="21"/>
  <c r="O192" i="21"/>
  <c r="K192" i="21"/>
  <c r="H192" i="21"/>
  <c r="G192" i="21"/>
  <c r="F192" i="21"/>
  <c r="B192" i="21"/>
  <c r="AI173" i="21"/>
  <c r="AH173" i="21"/>
  <c r="AG173" i="21"/>
  <c r="AC173" i="21"/>
  <c r="Z173" i="21"/>
  <c r="Y173" i="21"/>
  <c r="X173" i="21"/>
  <c r="T173" i="21"/>
  <c r="Q173" i="21"/>
  <c r="P173" i="21"/>
  <c r="O173" i="21"/>
  <c r="K173" i="21"/>
  <c r="H173" i="21"/>
  <c r="G173" i="21"/>
  <c r="F173" i="21"/>
  <c r="B173" i="21"/>
  <c r="AB1" i="21"/>
  <c r="S1" i="21"/>
  <c r="J1" i="21"/>
  <c r="A1" i="21"/>
  <c r="AG154" i="21"/>
  <c r="Z154" i="21"/>
  <c r="AI154" i="21"/>
  <c r="AH154" i="21"/>
  <c r="Y154" i="21"/>
  <c r="X154" i="21"/>
  <c r="Q154" i="21"/>
  <c r="P154" i="21"/>
  <c r="O154" i="21"/>
  <c r="H154" i="21"/>
  <c r="G154" i="21"/>
  <c r="F154" i="21"/>
  <c r="T154" i="21"/>
  <c r="AC154" i="21"/>
  <c r="K154" i="21"/>
  <c r="B154" i="21"/>
  <c r="AH135" i="21"/>
  <c r="X135" i="21"/>
  <c r="Q135" i="21"/>
  <c r="P135" i="21"/>
  <c r="AI135" i="21"/>
  <c r="AG135" i="21"/>
  <c r="Z135" i="21"/>
  <c r="Y135" i="21"/>
  <c r="O135" i="21"/>
  <c r="H135" i="21"/>
  <c r="BY10" i="17" s="1"/>
  <c r="G135" i="21"/>
  <c r="F135" i="21"/>
  <c r="AC135" i="21"/>
  <c r="T135" i="21"/>
  <c r="K135" i="21"/>
  <c r="B135" i="21"/>
  <c r="Q116" i="21"/>
  <c r="P116" i="21"/>
  <c r="O116" i="21"/>
  <c r="AI116" i="21"/>
  <c r="AH116" i="21"/>
  <c r="AG116" i="21"/>
  <c r="Z116" i="21"/>
  <c r="Y116" i="21"/>
  <c r="X116" i="21"/>
  <c r="H116" i="21"/>
  <c r="G116" i="21"/>
  <c r="F116" i="21"/>
  <c r="AC116" i="21"/>
  <c r="T116" i="21"/>
  <c r="K116" i="21"/>
  <c r="B116" i="21"/>
  <c r="Y97" i="21"/>
  <c r="H97" i="21"/>
  <c r="G97" i="21"/>
  <c r="AI97" i="21"/>
  <c r="AH97" i="21"/>
  <c r="AG97" i="21"/>
  <c r="Z97" i="21"/>
  <c r="X97" i="21"/>
  <c r="Q97" i="21"/>
  <c r="P97" i="21"/>
  <c r="O97" i="21"/>
  <c r="F97" i="21"/>
  <c r="AC97" i="21"/>
  <c r="T97" i="21"/>
  <c r="K97" i="21"/>
  <c r="B97" i="21"/>
  <c r="G78" i="21"/>
  <c r="F78" i="21"/>
  <c r="AI78" i="21"/>
  <c r="AH78" i="21"/>
  <c r="AG78" i="21"/>
  <c r="Z78" i="21"/>
  <c r="Y78" i="21"/>
  <c r="X78" i="21"/>
  <c r="Q78" i="21"/>
  <c r="P78" i="21"/>
  <c r="O78" i="21"/>
  <c r="H78" i="21"/>
  <c r="B78" i="21"/>
  <c r="AC78" i="21"/>
  <c r="T78" i="21"/>
  <c r="K78" i="21"/>
  <c r="AI59" i="21"/>
  <c r="AH59" i="21"/>
  <c r="P59" i="21"/>
  <c r="AG59" i="21"/>
  <c r="Z59" i="21"/>
  <c r="Y59" i="21"/>
  <c r="X59" i="21"/>
  <c r="Q59" i="21"/>
  <c r="O59" i="21"/>
  <c r="H59" i="21"/>
  <c r="G59" i="21"/>
  <c r="F59" i="21"/>
  <c r="AC59" i="21"/>
  <c r="T59" i="21"/>
  <c r="K59" i="21"/>
  <c r="B59" i="21"/>
  <c r="AG40" i="21"/>
  <c r="AI40" i="21"/>
  <c r="AH40" i="21"/>
  <c r="Z40" i="21"/>
  <c r="Y40" i="21"/>
  <c r="X40" i="21"/>
  <c r="Q40" i="21"/>
  <c r="P40" i="21"/>
  <c r="O40" i="21"/>
  <c r="H40" i="21"/>
  <c r="G40" i="21"/>
  <c r="F40" i="21"/>
  <c r="AC40" i="21"/>
  <c r="T40" i="21"/>
  <c r="K40" i="21"/>
  <c r="B40" i="21"/>
  <c r="Y21" i="21"/>
  <c r="AI21" i="21"/>
  <c r="AH21" i="21"/>
  <c r="AG21" i="21"/>
  <c r="Z21" i="21"/>
  <c r="X21" i="21"/>
  <c r="Q21" i="21"/>
  <c r="P21" i="21"/>
  <c r="O21" i="21"/>
  <c r="H21" i="21"/>
  <c r="G21" i="21"/>
  <c r="F21" i="21"/>
  <c r="AC21" i="21"/>
  <c r="T21" i="21"/>
  <c r="K21" i="21"/>
  <c r="B21" i="21"/>
  <c r="AB2" i="21"/>
  <c r="S2" i="21"/>
  <c r="J2" i="21"/>
  <c r="A2" i="21"/>
  <c r="B37" i="17"/>
  <c r="B36" i="17"/>
  <c r="B28" i="17"/>
  <c r="B27" i="17"/>
  <c r="B19" i="17"/>
  <c r="B18" i="17"/>
  <c r="B10" i="17"/>
  <c r="B9" i="17"/>
  <c r="F154" i="20"/>
  <c r="G154" i="20"/>
  <c r="F135" i="20"/>
  <c r="G135" i="20"/>
  <c r="F116" i="20"/>
  <c r="F97" i="20"/>
  <c r="F78" i="20"/>
  <c r="F59" i="20"/>
  <c r="B26" i="20"/>
  <c r="C26" i="20"/>
  <c r="D26" i="20"/>
  <c r="E26" i="20"/>
  <c r="F26" i="20"/>
  <c r="G26" i="20"/>
  <c r="B27" i="20"/>
  <c r="C27" i="20"/>
  <c r="D27" i="20"/>
  <c r="E27" i="20"/>
  <c r="F27" i="20"/>
  <c r="G27" i="20"/>
  <c r="H27" i="20"/>
  <c r="B28" i="20"/>
  <c r="C28" i="20"/>
  <c r="D28" i="20"/>
  <c r="E28" i="20"/>
  <c r="F28" i="20"/>
  <c r="G28" i="20"/>
  <c r="H28" i="20"/>
  <c r="B29" i="20"/>
  <c r="D29" i="20"/>
  <c r="E29" i="20"/>
  <c r="F29" i="20"/>
  <c r="G29" i="20"/>
  <c r="H29" i="20"/>
  <c r="B30" i="20"/>
  <c r="C30" i="20"/>
  <c r="D30" i="20"/>
  <c r="E30" i="20"/>
  <c r="F30" i="20"/>
  <c r="G30" i="20"/>
  <c r="H30" i="20"/>
  <c r="B31" i="20"/>
  <c r="C31" i="20"/>
  <c r="D31" i="20"/>
  <c r="F31" i="20"/>
  <c r="G31" i="20"/>
  <c r="H31" i="20"/>
  <c r="B32" i="20"/>
  <c r="C32" i="20"/>
  <c r="D32" i="20"/>
  <c r="E32" i="20"/>
  <c r="F32" i="20"/>
  <c r="G32" i="20"/>
  <c r="H32" i="20"/>
  <c r="B33" i="20"/>
  <c r="C33" i="20"/>
  <c r="D33" i="20"/>
  <c r="E33" i="20"/>
  <c r="F33" i="20"/>
  <c r="H33" i="20"/>
  <c r="B34" i="20"/>
  <c r="C34" i="20"/>
  <c r="D34" i="20"/>
  <c r="E34" i="20"/>
  <c r="F34" i="20"/>
  <c r="G34" i="20"/>
  <c r="H34" i="20"/>
  <c r="B35" i="20"/>
  <c r="C35" i="20"/>
  <c r="D35" i="20"/>
  <c r="E35" i="20"/>
  <c r="F35" i="20"/>
  <c r="G35" i="20"/>
  <c r="H35" i="20"/>
  <c r="C36" i="20"/>
  <c r="D36" i="20"/>
  <c r="E36" i="20"/>
  <c r="F36" i="20"/>
  <c r="G36" i="20"/>
  <c r="H36" i="20"/>
  <c r="B37" i="20"/>
  <c r="C37" i="20"/>
  <c r="D37" i="20"/>
  <c r="E37" i="20"/>
  <c r="F37" i="20"/>
  <c r="G37" i="20"/>
  <c r="H37" i="20"/>
  <c r="B38" i="20"/>
  <c r="C38" i="20"/>
  <c r="E38" i="20"/>
  <c r="F38" i="20"/>
  <c r="G38" i="20"/>
  <c r="H38" i="20"/>
  <c r="B39" i="20"/>
  <c r="C39" i="20"/>
  <c r="D39" i="20"/>
  <c r="E39" i="20"/>
  <c r="F39" i="20"/>
  <c r="F40" i="20" s="1"/>
  <c r="G39" i="20"/>
  <c r="G40" i="20" s="1"/>
  <c r="H39" i="20"/>
  <c r="H40" i="20" s="1"/>
  <c r="C25" i="20"/>
  <c r="D25" i="20"/>
  <c r="E25" i="20"/>
  <c r="F25" i="20"/>
  <c r="G25" i="20"/>
  <c r="H25" i="20"/>
  <c r="B7" i="20"/>
  <c r="C7" i="20"/>
  <c r="D7" i="20"/>
  <c r="E7" i="20"/>
  <c r="F7" i="20"/>
  <c r="G7" i="20"/>
  <c r="H7" i="20"/>
  <c r="B8" i="20"/>
  <c r="C8" i="20"/>
  <c r="D8" i="20"/>
  <c r="E8" i="20"/>
  <c r="F8" i="20"/>
  <c r="G8" i="20"/>
  <c r="H8" i="20"/>
  <c r="B9" i="20"/>
  <c r="D9" i="20"/>
  <c r="E9" i="20"/>
  <c r="F9" i="20"/>
  <c r="G9" i="20"/>
  <c r="H9" i="20"/>
  <c r="B10" i="20"/>
  <c r="C10" i="20"/>
  <c r="D10" i="20"/>
  <c r="E10" i="20"/>
  <c r="F10" i="20"/>
  <c r="G10" i="20"/>
  <c r="H10" i="20"/>
  <c r="B11" i="20"/>
  <c r="C11" i="20"/>
  <c r="D11" i="20"/>
  <c r="F11" i="20"/>
  <c r="G11" i="20"/>
  <c r="H11" i="20"/>
  <c r="B12" i="20"/>
  <c r="C12" i="20"/>
  <c r="D12" i="20"/>
  <c r="E12" i="20"/>
  <c r="F12" i="20"/>
  <c r="G12" i="20"/>
  <c r="H12" i="20"/>
  <c r="B13" i="20"/>
  <c r="C13" i="20"/>
  <c r="D13" i="20"/>
  <c r="E13" i="20"/>
  <c r="F13" i="20"/>
  <c r="H13" i="20"/>
  <c r="B14" i="20"/>
  <c r="C14" i="20"/>
  <c r="D14" i="20"/>
  <c r="E14" i="20"/>
  <c r="F14" i="20"/>
  <c r="G14" i="20"/>
  <c r="H14" i="20"/>
  <c r="B15" i="20"/>
  <c r="C15" i="20"/>
  <c r="D15" i="20"/>
  <c r="E15" i="20"/>
  <c r="F15" i="20"/>
  <c r="G15" i="20"/>
  <c r="H15" i="20"/>
  <c r="C16" i="20"/>
  <c r="D16" i="20"/>
  <c r="E16" i="20"/>
  <c r="F16" i="20"/>
  <c r="G16" i="20"/>
  <c r="H16" i="20"/>
  <c r="B17" i="20"/>
  <c r="C17" i="20"/>
  <c r="D17" i="20"/>
  <c r="E17" i="20"/>
  <c r="F17" i="20"/>
  <c r="G17" i="20"/>
  <c r="H17" i="20"/>
  <c r="B18" i="20"/>
  <c r="C18" i="20"/>
  <c r="E18" i="20"/>
  <c r="F18" i="20"/>
  <c r="G18" i="20"/>
  <c r="H18" i="20"/>
  <c r="B19" i="20"/>
  <c r="C19" i="20"/>
  <c r="D19" i="20"/>
  <c r="E19" i="20"/>
  <c r="F19" i="20"/>
  <c r="G19" i="20"/>
  <c r="H19" i="20"/>
  <c r="C20" i="20"/>
  <c r="D20" i="20"/>
  <c r="E20" i="20"/>
  <c r="G20" i="20"/>
  <c r="G21" i="20" s="1"/>
  <c r="H20" i="20"/>
  <c r="H21" i="20" s="1"/>
  <c r="C6" i="20"/>
  <c r="D6" i="20"/>
  <c r="E6" i="20"/>
  <c r="F6" i="20"/>
  <c r="G6" i="20"/>
  <c r="H6" i="20"/>
  <c r="AB1" i="20"/>
  <c r="S1" i="20"/>
  <c r="J1" i="20"/>
  <c r="A1" i="20"/>
  <c r="AI154" i="20"/>
  <c r="AH154" i="20"/>
  <c r="AG154" i="20"/>
  <c r="Z154" i="20"/>
  <c r="Y154" i="20"/>
  <c r="X154" i="20"/>
  <c r="Q154" i="20"/>
  <c r="P154" i="20"/>
  <c r="O154" i="20"/>
  <c r="H154" i="20"/>
  <c r="T154" i="20"/>
  <c r="AC154" i="20"/>
  <c r="K154" i="20"/>
  <c r="AG135" i="20"/>
  <c r="Q135" i="20"/>
  <c r="P135" i="20"/>
  <c r="AI135" i="20"/>
  <c r="AH135" i="20"/>
  <c r="Z135" i="20"/>
  <c r="Y135" i="20"/>
  <c r="X135" i="20"/>
  <c r="O135" i="20"/>
  <c r="H135" i="20"/>
  <c r="AC135" i="20"/>
  <c r="T135" i="20"/>
  <c r="K135" i="20"/>
  <c r="P116" i="20"/>
  <c r="O116" i="20"/>
  <c r="AI116" i="20"/>
  <c r="AH116" i="20"/>
  <c r="AG116" i="20"/>
  <c r="Z116" i="20"/>
  <c r="Y116" i="20"/>
  <c r="X116" i="20"/>
  <c r="Q116" i="20"/>
  <c r="H116" i="20"/>
  <c r="G116" i="20"/>
  <c r="AC116" i="20"/>
  <c r="T116" i="20"/>
  <c r="K116" i="20"/>
  <c r="H97" i="20"/>
  <c r="G97" i="20"/>
  <c r="AI97" i="20"/>
  <c r="AH97" i="20"/>
  <c r="AG97" i="20"/>
  <c r="Z97" i="20"/>
  <c r="Y97" i="20"/>
  <c r="X97" i="20"/>
  <c r="Q97" i="20"/>
  <c r="P97" i="20"/>
  <c r="O97" i="20"/>
  <c r="AC97" i="20"/>
  <c r="T97" i="20"/>
  <c r="K97" i="20"/>
  <c r="AI78" i="20"/>
  <c r="AH78" i="20"/>
  <c r="AG78" i="20"/>
  <c r="Z78" i="20"/>
  <c r="Y78" i="20"/>
  <c r="X78" i="20"/>
  <c r="Q78" i="20"/>
  <c r="P78" i="20"/>
  <c r="O78" i="20"/>
  <c r="H78" i="20"/>
  <c r="G78" i="20"/>
  <c r="AC78" i="20"/>
  <c r="T78" i="20"/>
  <c r="AI59" i="20"/>
  <c r="AH59" i="20"/>
  <c r="AG59" i="20"/>
  <c r="Z59" i="20"/>
  <c r="Y59" i="20"/>
  <c r="X59" i="20"/>
  <c r="P59" i="20"/>
  <c r="O59" i="20"/>
  <c r="H59" i="20"/>
  <c r="G59" i="20"/>
  <c r="AC59" i="20"/>
  <c r="T59" i="20"/>
  <c r="K59" i="20"/>
  <c r="AG40" i="20"/>
  <c r="AI40" i="20"/>
  <c r="AH40" i="20"/>
  <c r="Z40" i="20"/>
  <c r="Y40" i="20"/>
  <c r="X40" i="20"/>
  <c r="Q40" i="20"/>
  <c r="P40" i="20"/>
  <c r="O40" i="20"/>
  <c r="AC40" i="20"/>
  <c r="K40" i="20"/>
  <c r="AG21" i="20"/>
  <c r="Y21" i="20"/>
  <c r="O21" i="20"/>
  <c r="AI21" i="20"/>
  <c r="AH21" i="20"/>
  <c r="Z21" i="20"/>
  <c r="X21" i="20"/>
  <c r="Q21" i="20"/>
  <c r="P21" i="20"/>
  <c r="AC21" i="20"/>
  <c r="T21" i="20"/>
  <c r="AB2" i="20"/>
  <c r="S2" i="20"/>
  <c r="J2" i="20"/>
  <c r="A2" i="20"/>
  <c r="BY55" i="17" l="1"/>
  <c r="BY60" i="17"/>
  <c r="E16" i="17"/>
  <c r="BX62" i="17"/>
  <c r="BW4" i="17"/>
  <c r="BY50" i="17"/>
  <c r="BW48" i="17"/>
  <c r="BW16" i="17"/>
  <c r="BX48" i="17"/>
  <c r="BW49" i="17"/>
  <c r="BX10" i="17"/>
  <c r="BX78" i="17" s="1"/>
  <c r="BW28" i="17"/>
  <c r="BW50" i="17"/>
  <c r="BV50" i="17" s="1"/>
  <c r="E15" i="17"/>
  <c r="E13" i="17"/>
  <c r="BW62" i="17"/>
  <c r="BW47" i="17"/>
  <c r="BX55" i="17"/>
  <c r="BX39" i="17"/>
  <c r="BX47" i="17"/>
  <c r="BY47" i="17"/>
  <c r="BX25" i="17"/>
  <c r="BX16" i="17"/>
  <c r="BW55" i="17"/>
  <c r="BY64" i="17"/>
  <c r="BY48" i="17"/>
  <c r="BY16" i="17"/>
  <c r="BX49" i="17"/>
  <c r="BU49" i="17" s="1"/>
  <c r="F35" i="17"/>
  <c r="BY29" i="17"/>
  <c r="BY49" i="17"/>
  <c r="BX29" i="17"/>
  <c r="BY22" i="17"/>
  <c r="BX27" i="17"/>
  <c r="BW14" i="17"/>
  <c r="BX33" i="17"/>
  <c r="BY33" i="17"/>
  <c r="BW33" i="17"/>
  <c r="BW26" i="17"/>
  <c r="BW66" i="17"/>
  <c r="BW43" i="17"/>
  <c r="BW31" i="17"/>
  <c r="BX66" i="17"/>
  <c r="BW12" i="17"/>
  <c r="BW80" i="17" s="1"/>
  <c r="BX31" i="17"/>
  <c r="BX82" i="17" s="1"/>
  <c r="BY25" i="17"/>
  <c r="BX12" i="17"/>
  <c r="BX42" i="17"/>
  <c r="BY31" i="17"/>
  <c r="BY12" i="17"/>
  <c r="BW24" i="17"/>
  <c r="BY62" i="17"/>
  <c r="BW29" i="17"/>
  <c r="BX64" i="17"/>
  <c r="B21" i="20"/>
  <c r="G16" i="17"/>
  <c r="D16" i="17" s="1"/>
  <c r="BW11" i="17"/>
  <c r="BX26" i="17"/>
  <c r="BW64" i="17"/>
  <c r="G8" i="17"/>
  <c r="BX40" i="17"/>
  <c r="BW60" i="17"/>
  <c r="BV60" i="17" s="1"/>
  <c r="BY44" i="17"/>
  <c r="F34" i="17"/>
  <c r="BX59" i="17"/>
  <c r="BY26" i="17"/>
  <c r="BX61" i="17"/>
  <c r="BY42" i="17"/>
  <c r="BY45" i="17"/>
  <c r="F25" i="17"/>
  <c r="BW45" i="17"/>
  <c r="BX15" i="17"/>
  <c r="BW46" i="17"/>
  <c r="BY9" i="17"/>
  <c r="BY77" i="17" s="1"/>
  <c r="BW10" i="17"/>
  <c r="BY8" i="17"/>
  <c r="BY11" i="17"/>
  <c r="BY79" i="17" s="1"/>
  <c r="BY23" i="17"/>
  <c r="BW22" i="17"/>
  <c r="BX9" i="17"/>
  <c r="BW15" i="17"/>
  <c r="BX38" i="17"/>
  <c r="BW23" i="17"/>
  <c r="BY24" i="17"/>
  <c r="BW25" i="17"/>
  <c r="BX43" i="17"/>
  <c r="BW27" i="17"/>
  <c r="BX28" i="17"/>
  <c r="BY46" i="17"/>
  <c r="BY13" i="17"/>
  <c r="BY81" i="17" s="1"/>
  <c r="BY15" i="17"/>
  <c r="BX21" i="17"/>
  <c r="BX13" i="17"/>
  <c r="BX81" i="17" s="1"/>
  <c r="BW44" i="17"/>
  <c r="BW63" i="17"/>
  <c r="BW30" i="17"/>
  <c r="BW65" i="17"/>
  <c r="BW32" i="17"/>
  <c r="BW67" i="17"/>
  <c r="BX23" i="17"/>
  <c r="BX11" i="17"/>
  <c r="G15" i="17"/>
  <c r="BY43" i="17"/>
  <c r="BW61" i="17"/>
  <c r="BY27" i="17"/>
  <c r="BY78" i="17" s="1"/>
  <c r="BY28" i="17"/>
  <c r="BX63" i="17"/>
  <c r="BX30" i="17"/>
  <c r="BX65" i="17"/>
  <c r="BX32" i="17"/>
  <c r="BX67" i="17"/>
  <c r="BY14" i="17"/>
  <c r="BW13" i="17"/>
  <c r="BY21" i="17"/>
  <c r="BX46" i="17"/>
  <c r="BX41" i="17"/>
  <c r="F31" i="17"/>
  <c r="BX22" i="17"/>
  <c r="BX60" i="17"/>
  <c r="BX44" i="17"/>
  <c r="BX45" i="17"/>
  <c r="F33" i="17"/>
  <c r="BY57" i="17"/>
  <c r="BW9" i="17"/>
  <c r="BY61" i="17"/>
  <c r="BY66" i="17"/>
  <c r="BY59" i="17"/>
  <c r="BX24" i="17"/>
  <c r="G32" i="17"/>
  <c r="G6" i="17"/>
  <c r="G42" i="17" s="1"/>
  <c r="G25" i="17"/>
  <c r="BW21" i="17"/>
  <c r="BY63" i="17"/>
  <c r="BY30" i="17"/>
  <c r="BY65" i="17"/>
  <c r="BY32" i="17"/>
  <c r="BY67" i="17"/>
  <c r="BX5" i="17"/>
  <c r="BX73" i="17" s="1"/>
  <c r="BX4" i="17"/>
  <c r="BY58" i="17"/>
  <c r="BW59" i="17"/>
  <c r="BX58" i="17"/>
  <c r="BX57" i="17"/>
  <c r="BW58" i="17"/>
  <c r="BW57" i="17"/>
  <c r="BY56" i="17"/>
  <c r="BX56" i="17"/>
  <c r="BW56" i="17"/>
  <c r="BW42" i="17"/>
  <c r="BY41" i="17"/>
  <c r="BW41" i="17"/>
  <c r="BY38" i="17"/>
  <c r="BY39" i="17"/>
  <c r="BY40" i="17"/>
  <c r="BW40" i="17"/>
  <c r="BW39" i="17"/>
  <c r="BW38" i="17"/>
  <c r="BX8" i="17"/>
  <c r="BX76" i="17" s="1"/>
  <c r="BX7" i="17"/>
  <c r="BW8" i="17"/>
  <c r="BY7" i="17"/>
  <c r="BX6" i="17"/>
  <c r="BW7" i="17"/>
  <c r="BY4" i="17"/>
  <c r="BY72" i="17" s="1"/>
  <c r="BY5" i="17"/>
  <c r="BY6" i="17"/>
  <c r="BW6" i="17"/>
  <c r="BW5" i="17"/>
  <c r="G35" i="17"/>
  <c r="E35" i="17"/>
  <c r="G34" i="17"/>
  <c r="G33" i="17"/>
  <c r="E34" i="17"/>
  <c r="F32" i="17"/>
  <c r="E33" i="17"/>
  <c r="E32" i="17"/>
  <c r="G31" i="17"/>
  <c r="E31" i="17"/>
  <c r="F26" i="17"/>
  <c r="G24" i="17"/>
  <c r="G26" i="17"/>
  <c r="E26" i="17"/>
  <c r="E25" i="17"/>
  <c r="F24" i="17"/>
  <c r="E24" i="17"/>
  <c r="G23" i="17"/>
  <c r="F22" i="17"/>
  <c r="F23" i="17"/>
  <c r="E23" i="17"/>
  <c r="G22" i="17"/>
  <c r="E22" i="17"/>
  <c r="G17" i="17"/>
  <c r="F17" i="17"/>
  <c r="E17" i="17"/>
  <c r="F15" i="17"/>
  <c r="F16" i="17"/>
  <c r="C16" i="17" s="1"/>
  <c r="F14" i="17"/>
  <c r="G14" i="17"/>
  <c r="G13" i="17"/>
  <c r="E14" i="17"/>
  <c r="F7" i="17"/>
  <c r="G7" i="17"/>
  <c r="G5" i="17"/>
  <c r="F13" i="17"/>
  <c r="BT72" i="17"/>
  <c r="BT76" i="17"/>
  <c r="BT73" i="17"/>
  <c r="BT75" i="17"/>
  <c r="BT57" i="17"/>
  <c r="F4" i="17"/>
  <c r="F40" i="17" s="1"/>
  <c r="F5" i="17"/>
  <c r="F6" i="17"/>
  <c r="F8" i="17"/>
  <c r="B116" i="20"/>
  <c r="G4" i="17"/>
  <c r="B40" i="20"/>
  <c r="B97" i="20"/>
  <c r="BY83" i="17" l="1"/>
  <c r="BW79" i="17"/>
  <c r="BW73" i="17"/>
  <c r="BX83" i="17"/>
  <c r="BW84" i="17"/>
  <c r="BV16" i="17"/>
  <c r="BY84" i="17"/>
  <c r="BU16" i="17"/>
  <c r="BX84" i="17"/>
  <c r="BY73" i="17"/>
  <c r="BX79" i="17"/>
  <c r="BW72" i="17"/>
  <c r="BW77" i="17"/>
  <c r="BW74" i="17"/>
  <c r="BW75" i="17"/>
  <c r="BU14" i="17"/>
  <c r="BW82" i="17"/>
  <c r="BY74" i="17"/>
  <c r="BY80" i="17"/>
  <c r="BW78" i="17"/>
  <c r="BX74" i="17"/>
  <c r="BY75" i="17"/>
  <c r="BW81" i="17"/>
  <c r="BW83" i="17"/>
  <c r="BX72" i="17"/>
  <c r="BW76" i="17"/>
  <c r="BY82" i="17"/>
  <c r="BX77" i="17"/>
  <c r="BU62" i="17"/>
  <c r="BY76" i="17"/>
  <c r="BX75" i="17"/>
  <c r="BX80" i="17"/>
  <c r="BV49" i="17"/>
  <c r="F43" i="17"/>
  <c r="G44" i="17"/>
  <c r="BU48" i="17"/>
  <c r="G40" i="17"/>
  <c r="G43" i="17"/>
  <c r="BU27" i="17"/>
  <c r="F44" i="17"/>
  <c r="F42" i="17"/>
  <c r="G41" i="17"/>
  <c r="F41" i="17"/>
  <c r="BU42" i="17"/>
  <c r="D15" i="17"/>
  <c r="C15" i="17"/>
  <c r="D13" i="17"/>
  <c r="BU25" i="17"/>
  <c r="BV48" i="17"/>
  <c r="BV29" i="17"/>
  <c r="BV62" i="17"/>
  <c r="BU28" i="17"/>
  <c r="BU50" i="17"/>
  <c r="BV28" i="17"/>
  <c r="BV64" i="17"/>
  <c r="C13" i="17"/>
  <c r="BU31" i="17"/>
  <c r="BU33" i="17"/>
  <c r="BV10" i="17"/>
  <c r="BU43" i="17"/>
  <c r="BV14" i="17"/>
  <c r="BU4" i="17"/>
  <c r="BU47" i="17"/>
  <c r="BV47" i="17"/>
  <c r="E4" i="17"/>
  <c r="BV55" i="17"/>
  <c r="BU55" i="17"/>
  <c r="BV12" i="17"/>
  <c r="BV24" i="17"/>
  <c r="BV59" i="17"/>
  <c r="BU29" i="17"/>
  <c r="BV31" i="17"/>
  <c r="BV33" i="17"/>
  <c r="BU24" i="17"/>
  <c r="BV66" i="17"/>
  <c r="BU66" i="17"/>
  <c r="BU26" i="17"/>
  <c r="BU67" i="17"/>
  <c r="BU12" i="17"/>
  <c r="BV25" i="17"/>
  <c r="BU32" i="17"/>
  <c r="BV27" i="17"/>
  <c r="BV43" i="17"/>
  <c r="BV26" i="17"/>
  <c r="BV65" i="17"/>
  <c r="BU65" i="17"/>
  <c r="BV40" i="17"/>
  <c r="BU40" i="17"/>
  <c r="BU9" i="17"/>
  <c r="BU60" i="17"/>
  <c r="BU44" i="17"/>
  <c r="BV44" i="17"/>
  <c r="C23" i="17"/>
  <c r="D23" i="17"/>
  <c r="BU30" i="17"/>
  <c r="BV30" i="17"/>
  <c r="C35" i="17"/>
  <c r="D35" i="17"/>
  <c r="BV41" i="17"/>
  <c r="BU61" i="17"/>
  <c r="BU38" i="17"/>
  <c r="BV38" i="17"/>
  <c r="BV15" i="17"/>
  <c r="BU15" i="17"/>
  <c r="D25" i="17"/>
  <c r="C25" i="17"/>
  <c r="BV61" i="17"/>
  <c r="BU41" i="17"/>
  <c r="BU59" i="17"/>
  <c r="D32" i="17"/>
  <c r="C32" i="17"/>
  <c r="C34" i="17"/>
  <c r="D34" i="17"/>
  <c r="BU22" i="17"/>
  <c r="BV22" i="17"/>
  <c r="BV39" i="17"/>
  <c r="BU39" i="17"/>
  <c r="BU63" i="17"/>
  <c r="BV63" i="17"/>
  <c r="BU56" i="17"/>
  <c r="BV56" i="17"/>
  <c r="BU21" i="17"/>
  <c r="BV21" i="17"/>
  <c r="BU10" i="17"/>
  <c r="BV58" i="17"/>
  <c r="BU58" i="17"/>
  <c r="BU11" i="17"/>
  <c r="C14" i="17"/>
  <c r="D14" i="17"/>
  <c r="BV11" i="17"/>
  <c r="D26" i="17"/>
  <c r="C26" i="17"/>
  <c r="BV4" i="17"/>
  <c r="BU13" i="17"/>
  <c r="BV9" i="17"/>
  <c r="BU64" i="17"/>
  <c r="C22" i="17"/>
  <c r="D22" i="17"/>
  <c r="D24" i="17"/>
  <c r="C24" i="17"/>
  <c r="BV42" i="17"/>
  <c r="BU46" i="17"/>
  <c r="BV46" i="17"/>
  <c r="BV45" i="17"/>
  <c r="BU45" i="17"/>
  <c r="D33" i="17"/>
  <c r="C33" i="17"/>
  <c r="E5" i="17"/>
  <c r="E41" i="17" s="1"/>
  <c r="D17" i="17"/>
  <c r="C17" i="17"/>
  <c r="D31" i="17"/>
  <c r="C31" i="17"/>
  <c r="BV67" i="17"/>
  <c r="BV32" i="17"/>
  <c r="BV13" i="17"/>
  <c r="BV57" i="17"/>
  <c r="BU57" i="17"/>
  <c r="BU23" i="17"/>
  <c r="BV23" i="17"/>
  <c r="BU8" i="17"/>
  <c r="BV8" i="17"/>
  <c r="BV5" i="17"/>
  <c r="BU5" i="17"/>
  <c r="BU7" i="17"/>
  <c r="BV7" i="17"/>
  <c r="BU6" i="17"/>
  <c r="BV6" i="17"/>
  <c r="BT74" i="17"/>
  <c r="E8" i="17"/>
  <c r="E44" i="17" s="1"/>
  <c r="E6" i="17"/>
  <c r="E42" i="17" s="1"/>
  <c r="E7" i="17"/>
  <c r="E43" i="17" s="1"/>
  <c r="C4" i="17" l="1"/>
  <c r="E40" i="17"/>
  <c r="D4" i="17"/>
  <c r="BV79" i="17"/>
  <c r="BU79" i="17"/>
  <c r="BU76" i="17"/>
  <c r="BV76" i="17"/>
  <c r="BU78" i="17"/>
  <c r="BV78" i="17"/>
  <c r="BU77" i="17"/>
  <c r="BV77" i="17"/>
  <c r="C6" i="17"/>
  <c r="D6" i="17"/>
  <c r="BU74" i="17"/>
  <c r="BV74" i="17"/>
  <c r="BU80" i="17"/>
  <c r="BV80" i="17"/>
  <c r="D8" i="17"/>
  <c r="C8" i="17"/>
  <c r="BU81" i="17"/>
  <c r="BV81" i="17"/>
  <c r="C7" i="17"/>
  <c r="D7" i="17"/>
  <c r="BV83" i="17"/>
  <c r="BU83" i="17"/>
  <c r="BU84" i="17"/>
  <c r="BV84" i="17"/>
  <c r="BV82" i="17"/>
  <c r="BU82" i="17"/>
  <c r="BU73" i="17"/>
  <c r="BV73" i="17"/>
  <c r="C40" i="17"/>
  <c r="D40" i="17"/>
  <c r="BV72" i="17"/>
  <c r="BU72" i="17"/>
  <c r="BV75" i="17"/>
  <c r="BU75" i="17"/>
  <c r="C5" i="17"/>
  <c r="D5" i="17"/>
  <c r="C41" i="17" l="1"/>
  <c r="D41" i="17"/>
  <c r="C42" i="17"/>
  <c r="D42" i="17"/>
  <c r="BU85" i="17"/>
  <c r="C43" i="17"/>
  <c r="D43" i="17"/>
  <c r="BV86" i="17"/>
  <c r="D44" i="17"/>
  <c r="C44" i="17"/>
  <c r="AC140" i="9"/>
  <c r="AD140" i="9"/>
  <c r="AE140" i="9"/>
  <c r="AF140" i="9"/>
  <c r="AG140" i="9"/>
  <c r="AH140" i="9"/>
  <c r="AI140" i="9"/>
  <c r="AC141" i="9"/>
  <c r="AD141" i="9"/>
  <c r="AE141" i="9"/>
  <c r="AF141" i="9"/>
  <c r="AG141" i="9"/>
  <c r="AH141" i="9"/>
  <c r="AI141" i="9"/>
  <c r="AC142" i="9"/>
  <c r="AD142" i="9"/>
  <c r="AE142" i="9"/>
  <c r="AF142" i="9"/>
  <c r="AG142" i="9"/>
  <c r="AH142" i="9"/>
  <c r="AI142" i="9"/>
  <c r="AC143" i="9"/>
  <c r="AD143" i="9"/>
  <c r="AE143" i="9"/>
  <c r="AF143" i="9"/>
  <c r="AG143" i="9"/>
  <c r="AH143" i="9"/>
  <c r="AI143" i="9"/>
  <c r="AC144" i="9"/>
  <c r="AD144" i="9"/>
  <c r="AE144" i="9"/>
  <c r="AF144" i="9"/>
  <c r="AG144" i="9"/>
  <c r="AH144" i="9"/>
  <c r="AI144" i="9"/>
  <c r="AC145" i="9"/>
  <c r="AD145" i="9"/>
  <c r="AE145" i="9"/>
  <c r="AF145" i="9"/>
  <c r="AG145" i="9"/>
  <c r="AH145" i="9"/>
  <c r="AI145" i="9"/>
  <c r="AC146" i="9"/>
  <c r="AD146" i="9"/>
  <c r="AE146" i="9"/>
  <c r="AF146" i="9"/>
  <c r="AG146" i="9"/>
  <c r="AH146" i="9"/>
  <c r="AI146" i="9"/>
  <c r="AC147" i="9"/>
  <c r="AD147" i="9"/>
  <c r="AE147" i="9"/>
  <c r="AF147" i="9"/>
  <c r="AG147" i="9"/>
  <c r="AH147" i="9"/>
  <c r="AI147" i="9"/>
  <c r="AC148" i="9"/>
  <c r="AD148" i="9"/>
  <c r="AE148" i="9"/>
  <c r="AF148" i="9"/>
  <c r="AG148" i="9"/>
  <c r="AH148" i="9"/>
  <c r="AI148" i="9"/>
  <c r="AC149" i="9"/>
  <c r="AD149" i="9"/>
  <c r="AE149" i="9"/>
  <c r="AF149" i="9"/>
  <c r="AG149" i="9"/>
  <c r="AH149" i="9"/>
  <c r="AI149" i="9"/>
  <c r="AC150" i="9"/>
  <c r="AD150" i="9"/>
  <c r="AE150" i="9"/>
  <c r="AF150" i="9"/>
  <c r="AG150" i="9"/>
  <c r="AH150" i="9"/>
  <c r="AI150" i="9"/>
  <c r="AC151" i="9"/>
  <c r="AD151" i="9"/>
  <c r="AE151" i="9"/>
  <c r="AF151" i="9"/>
  <c r="AG151" i="9"/>
  <c r="AH151" i="9"/>
  <c r="AI151" i="9"/>
  <c r="AC152" i="9"/>
  <c r="AD152" i="9"/>
  <c r="AE152" i="9"/>
  <c r="AF152" i="9"/>
  <c r="AG152" i="9"/>
  <c r="AH152" i="9"/>
  <c r="AI152" i="9"/>
  <c r="AC153" i="9"/>
  <c r="AD153" i="9"/>
  <c r="AE153" i="9"/>
  <c r="AF153" i="9"/>
  <c r="AG153" i="9"/>
  <c r="AH153" i="9"/>
  <c r="AI153" i="9"/>
  <c r="AD139" i="9"/>
  <c r="AE139" i="9"/>
  <c r="AF139" i="9"/>
  <c r="AG139" i="9"/>
  <c r="AH139" i="9"/>
  <c r="AI139" i="9"/>
  <c r="AC139" i="9"/>
  <c r="AC121" i="9"/>
  <c r="AD121" i="9"/>
  <c r="AE121" i="9"/>
  <c r="AF121" i="9"/>
  <c r="AG121" i="9"/>
  <c r="AH121" i="9"/>
  <c r="AI121" i="9"/>
  <c r="AC122" i="9"/>
  <c r="AD122" i="9"/>
  <c r="AE122" i="9"/>
  <c r="AF122" i="9"/>
  <c r="AG122" i="9"/>
  <c r="AH122" i="9"/>
  <c r="AI122" i="9"/>
  <c r="AC123" i="9"/>
  <c r="AD123" i="9"/>
  <c r="AE123" i="9"/>
  <c r="AF123" i="9"/>
  <c r="AG123" i="9"/>
  <c r="AH123" i="9"/>
  <c r="AI123" i="9"/>
  <c r="AC124" i="9"/>
  <c r="AD124" i="9"/>
  <c r="AE124" i="9"/>
  <c r="AF124" i="9"/>
  <c r="AG124" i="9"/>
  <c r="AH124" i="9"/>
  <c r="AI124" i="9"/>
  <c r="AC125" i="9"/>
  <c r="AD125" i="9"/>
  <c r="AE125" i="9"/>
  <c r="AF125" i="9"/>
  <c r="AG125" i="9"/>
  <c r="AH125" i="9"/>
  <c r="AI125" i="9"/>
  <c r="AC126" i="9"/>
  <c r="AD126" i="9"/>
  <c r="AE126" i="9"/>
  <c r="AF126" i="9"/>
  <c r="AG126" i="9"/>
  <c r="AH126" i="9"/>
  <c r="AI126" i="9"/>
  <c r="AC127" i="9"/>
  <c r="AD127" i="9"/>
  <c r="AE127" i="9"/>
  <c r="AF127" i="9"/>
  <c r="AG127" i="9"/>
  <c r="AH127" i="9"/>
  <c r="AI127" i="9"/>
  <c r="AC128" i="9"/>
  <c r="AD128" i="9"/>
  <c r="AE128" i="9"/>
  <c r="AF128" i="9"/>
  <c r="AG128" i="9"/>
  <c r="AH128" i="9"/>
  <c r="AI128" i="9"/>
  <c r="AC129" i="9"/>
  <c r="AD129" i="9"/>
  <c r="AE129" i="9"/>
  <c r="AF129" i="9"/>
  <c r="AG129" i="9"/>
  <c r="AH129" i="9"/>
  <c r="AI129" i="9"/>
  <c r="AC130" i="9"/>
  <c r="AD130" i="9"/>
  <c r="AE130" i="9"/>
  <c r="AF130" i="9"/>
  <c r="AG130" i="9"/>
  <c r="AH130" i="9"/>
  <c r="AI130" i="9"/>
  <c r="AC131" i="9"/>
  <c r="AD131" i="9"/>
  <c r="AE131" i="9"/>
  <c r="AF131" i="9"/>
  <c r="AG131" i="9"/>
  <c r="AH131" i="9"/>
  <c r="AI131" i="9"/>
  <c r="AC132" i="9"/>
  <c r="AD132" i="9"/>
  <c r="AE132" i="9"/>
  <c r="AF132" i="9"/>
  <c r="AG132" i="9"/>
  <c r="AH132" i="9"/>
  <c r="AI132" i="9"/>
  <c r="AC133" i="9"/>
  <c r="AD133" i="9"/>
  <c r="AE133" i="9"/>
  <c r="AF133" i="9"/>
  <c r="AG133" i="9"/>
  <c r="AH133" i="9"/>
  <c r="AI133" i="9"/>
  <c r="AC134" i="9"/>
  <c r="AD134" i="9"/>
  <c r="AE134" i="9"/>
  <c r="AF134" i="9"/>
  <c r="AG134" i="9"/>
  <c r="AH134" i="9"/>
  <c r="AI134" i="9"/>
  <c r="AD120" i="9"/>
  <c r="AE120" i="9"/>
  <c r="AF120" i="9"/>
  <c r="AG120" i="9"/>
  <c r="AH120" i="9"/>
  <c r="AI120" i="9"/>
  <c r="AC120" i="9"/>
  <c r="AC102" i="9"/>
  <c r="AD102" i="9"/>
  <c r="AE102" i="9"/>
  <c r="AF102" i="9"/>
  <c r="AG102" i="9"/>
  <c r="AH102" i="9"/>
  <c r="AI102" i="9"/>
  <c r="AC103" i="9"/>
  <c r="AD103" i="9"/>
  <c r="AE103" i="9"/>
  <c r="AF103" i="9"/>
  <c r="AG103" i="9"/>
  <c r="AH103" i="9"/>
  <c r="AI103" i="9"/>
  <c r="AC104" i="9"/>
  <c r="AD104" i="9"/>
  <c r="AE104" i="9"/>
  <c r="AF104" i="9"/>
  <c r="AG104" i="9"/>
  <c r="AH104" i="9"/>
  <c r="AI104" i="9"/>
  <c r="AC105" i="9"/>
  <c r="AD105" i="9"/>
  <c r="AE105" i="9"/>
  <c r="AF105" i="9"/>
  <c r="AG105" i="9"/>
  <c r="AH105" i="9"/>
  <c r="AI105" i="9"/>
  <c r="AC106" i="9"/>
  <c r="AD106" i="9"/>
  <c r="AE106" i="9"/>
  <c r="AF106" i="9"/>
  <c r="AG106" i="9"/>
  <c r="AH106" i="9"/>
  <c r="AI106" i="9"/>
  <c r="AC107" i="9"/>
  <c r="AD107" i="9"/>
  <c r="AE107" i="9"/>
  <c r="AF107" i="9"/>
  <c r="AG107" i="9"/>
  <c r="AH107" i="9"/>
  <c r="AI107" i="9"/>
  <c r="AC108" i="9"/>
  <c r="AD108" i="9"/>
  <c r="AE108" i="9"/>
  <c r="AF108" i="9"/>
  <c r="AG108" i="9"/>
  <c r="AH108" i="9"/>
  <c r="AI108" i="9"/>
  <c r="AC109" i="9"/>
  <c r="AD109" i="9"/>
  <c r="AE109" i="9"/>
  <c r="AF109" i="9"/>
  <c r="AG109" i="9"/>
  <c r="AH109" i="9"/>
  <c r="AI109" i="9"/>
  <c r="AC110" i="9"/>
  <c r="AD110" i="9"/>
  <c r="AE110" i="9"/>
  <c r="AF110" i="9"/>
  <c r="AG110" i="9"/>
  <c r="AH110" i="9"/>
  <c r="AI110" i="9"/>
  <c r="AC111" i="9"/>
  <c r="AD111" i="9"/>
  <c r="AE111" i="9"/>
  <c r="AF111" i="9"/>
  <c r="AG111" i="9"/>
  <c r="AH111" i="9"/>
  <c r="AI111" i="9"/>
  <c r="AC112" i="9"/>
  <c r="AD112" i="9"/>
  <c r="AE112" i="9"/>
  <c r="AF112" i="9"/>
  <c r="AG112" i="9"/>
  <c r="AH112" i="9"/>
  <c r="AI112" i="9"/>
  <c r="AC113" i="9"/>
  <c r="AD113" i="9"/>
  <c r="AE113" i="9"/>
  <c r="AF113" i="9"/>
  <c r="AG113" i="9"/>
  <c r="AH113" i="9"/>
  <c r="AI113" i="9"/>
  <c r="AC114" i="9"/>
  <c r="AD114" i="9"/>
  <c r="AE114" i="9"/>
  <c r="AF114" i="9"/>
  <c r="AG114" i="9"/>
  <c r="AH114" i="9"/>
  <c r="AI114" i="9"/>
  <c r="AC115" i="9"/>
  <c r="AD115" i="9"/>
  <c r="AE115" i="9"/>
  <c r="AF115" i="9"/>
  <c r="AG115" i="9"/>
  <c r="AH115" i="9"/>
  <c r="AI115" i="9"/>
  <c r="AD101" i="9"/>
  <c r="AE101" i="9"/>
  <c r="AF101" i="9"/>
  <c r="AG101" i="9"/>
  <c r="AH101" i="9"/>
  <c r="AI101" i="9"/>
  <c r="AC101" i="9"/>
  <c r="AC83" i="9"/>
  <c r="AD83" i="9"/>
  <c r="AE83" i="9"/>
  <c r="AF83" i="9"/>
  <c r="AG83" i="9"/>
  <c r="AH83" i="9"/>
  <c r="AI83" i="9"/>
  <c r="AC84" i="9"/>
  <c r="AD84" i="9"/>
  <c r="AE84" i="9"/>
  <c r="AF84" i="9"/>
  <c r="AG84" i="9"/>
  <c r="AH84" i="9"/>
  <c r="AI84" i="9"/>
  <c r="AC85" i="9"/>
  <c r="AD85" i="9"/>
  <c r="AE85" i="9"/>
  <c r="AF85" i="9"/>
  <c r="AG85" i="9"/>
  <c r="AH85" i="9"/>
  <c r="AI85" i="9"/>
  <c r="AC86" i="9"/>
  <c r="AD86" i="9"/>
  <c r="AE86" i="9"/>
  <c r="AF86" i="9"/>
  <c r="AG86" i="9"/>
  <c r="AH86" i="9"/>
  <c r="AI86" i="9"/>
  <c r="AC87" i="9"/>
  <c r="AD87" i="9"/>
  <c r="AE87" i="9"/>
  <c r="AF87" i="9"/>
  <c r="AG87" i="9"/>
  <c r="AH87" i="9"/>
  <c r="AI87" i="9"/>
  <c r="AC88" i="9"/>
  <c r="AD88" i="9"/>
  <c r="AE88" i="9"/>
  <c r="AF88" i="9"/>
  <c r="AG88" i="9"/>
  <c r="AH88" i="9"/>
  <c r="AI88" i="9"/>
  <c r="AC89" i="9"/>
  <c r="AD89" i="9"/>
  <c r="AE89" i="9"/>
  <c r="AF89" i="9"/>
  <c r="AG89" i="9"/>
  <c r="AH89" i="9"/>
  <c r="AI89" i="9"/>
  <c r="AC90" i="9"/>
  <c r="AD90" i="9"/>
  <c r="AE90" i="9"/>
  <c r="AF90" i="9"/>
  <c r="AG90" i="9"/>
  <c r="AH90" i="9"/>
  <c r="AI90" i="9"/>
  <c r="AC91" i="9"/>
  <c r="AD91" i="9"/>
  <c r="AE91" i="9"/>
  <c r="AF91" i="9"/>
  <c r="AG91" i="9"/>
  <c r="AH91" i="9"/>
  <c r="AI91" i="9"/>
  <c r="AC92" i="9"/>
  <c r="AD92" i="9"/>
  <c r="AE92" i="9"/>
  <c r="AF92" i="9"/>
  <c r="AG92" i="9"/>
  <c r="AH92" i="9"/>
  <c r="AI92" i="9"/>
  <c r="AC93" i="9"/>
  <c r="AD93" i="9"/>
  <c r="AE93" i="9"/>
  <c r="AF93" i="9"/>
  <c r="AG93" i="9"/>
  <c r="AH93" i="9"/>
  <c r="AI93" i="9"/>
  <c r="AC94" i="9"/>
  <c r="AD94" i="9"/>
  <c r="AE94" i="9"/>
  <c r="AF94" i="9"/>
  <c r="AG94" i="9"/>
  <c r="AH94" i="9"/>
  <c r="AI94" i="9"/>
  <c r="AC95" i="9"/>
  <c r="AD95" i="9"/>
  <c r="AE95" i="9"/>
  <c r="AF95" i="9"/>
  <c r="AG95" i="9"/>
  <c r="AH95" i="9"/>
  <c r="AI95" i="9"/>
  <c r="AC96" i="9"/>
  <c r="AD96" i="9"/>
  <c r="AE96" i="9"/>
  <c r="AF96" i="9"/>
  <c r="AG96" i="9"/>
  <c r="AH96" i="9"/>
  <c r="AI96" i="9"/>
  <c r="AD82" i="9"/>
  <c r="AE82" i="9"/>
  <c r="AF82" i="9"/>
  <c r="AG82" i="9"/>
  <c r="AH82" i="9"/>
  <c r="AI82" i="9"/>
  <c r="AC82" i="9"/>
  <c r="AC64" i="9"/>
  <c r="AD64" i="9"/>
  <c r="AE64" i="9"/>
  <c r="AF64" i="9"/>
  <c r="AG64" i="9"/>
  <c r="AH64" i="9"/>
  <c r="AI64" i="9"/>
  <c r="AC65" i="9"/>
  <c r="AD65" i="9"/>
  <c r="AE65" i="9"/>
  <c r="AF65" i="9"/>
  <c r="AG65" i="9"/>
  <c r="AH65" i="9"/>
  <c r="AI65" i="9"/>
  <c r="AC66" i="9"/>
  <c r="AD66" i="9"/>
  <c r="AE66" i="9"/>
  <c r="AF66" i="9"/>
  <c r="AG66" i="9"/>
  <c r="AH66" i="9"/>
  <c r="AI66" i="9"/>
  <c r="AC67" i="9"/>
  <c r="AD67" i="9"/>
  <c r="AE67" i="9"/>
  <c r="AF67" i="9"/>
  <c r="AG67" i="9"/>
  <c r="AH67" i="9"/>
  <c r="AI67" i="9"/>
  <c r="AC68" i="9"/>
  <c r="AD68" i="9"/>
  <c r="AE68" i="9"/>
  <c r="AF68" i="9"/>
  <c r="AG68" i="9"/>
  <c r="AH68" i="9"/>
  <c r="AI68" i="9"/>
  <c r="AC69" i="9"/>
  <c r="AD69" i="9"/>
  <c r="AE69" i="9"/>
  <c r="AF69" i="9"/>
  <c r="AG69" i="9"/>
  <c r="AH69" i="9"/>
  <c r="AI69" i="9"/>
  <c r="AC70" i="9"/>
  <c r="AD70" i="9"/>
  <c r="AE70" i="9"/>
  <c r="AF70" i="9"/>
  <c r="AG70" i="9"/>
  <c r="AH70" i="9"/>
  <c r="AI70" i="9"/>
  <c r="AC71" i="9"/>
  <c r="AD71" i="9"/>
  <c r="AE71" i="9"/>
  <c r="AF71" i="9"/>
  <c r="AG71" i="9"/>
  <c r="AH71" i="9"/>
  <c r="AI71" i="9"/>
  <c r="AC72" i="9"/>
  <c r="AD72" i="9"/>
  <c r="AE72" i="9"/>
  <c r="AF72" i="9"/>
  <c r="AG72" i="9"/>
  <c r="AH72" i="9"/>
  <c r="AI72" i="9"/>
  <c r="AC73" i="9"/>
  <c r="AD73" i="9"/>
  <c r="AE73" i="9"/>
  <c r="AF73" i="9"/>
  <c r="AG73" i="9"/>
  <c r="AH73" i="9"/>
  <c r="AI73" i="9"/>
  <c r="AC74" i="9"/>
  <c r="AD74" i="9"/>
  <c r="AE74" i="9"/>
  <c r="AF74" i="9"/>
  <c r="AG74" i="9"/>
  <c r="AH74" i="9"/>
  <c r="AI74" i="9"/>
  <c r="AC75" i="9"/>
  <c r="AD75" i="9"/>
  <c r="AE75" i="9"/>
  <c r="AF75" i="9"/>
  <c r="AG75" i="9"/>
  <c r="AH75" i="9"/>
  <c r="AI75" i="9"/>
  <c r="AC76" i="9"/>
  <c r="AD76" i="9"/>
  <c r="AE76" i="9"/>
  <c r="AF76" i="9"/>
  <c r="AG76" i="9"/>
  <c r="AH76" i="9"/>
  <c r="AI76" i="9"/>
  <c r="AC77" i="9"/>
  <c r="AD77" i="9"/>
  <c r="AE77" i="9"/>
  <c r="AF77" i="9"/>
  <c r="AG77" i="9"/>
  <c r="AH77" i="9"/>
  <c r="AI77" i="9"/>
  <c r="AD63" i="9"/>
  <c r="AE63" i="9"/>
  <c r="AF63" i="9"/>
  <c r="AG63" i="9"/>
  <c r="AH63" i="9"/>
  <c r="AI63" i="9"/>
  <c r="AC63" i="9"/>
  <c r="AC45" i="9"/>
  <c r="AD45" i="9"/>
  <c r="AE45" i="9"/>
  <c r="AF45" i="9"/>
  <c r="AG45" i="9"/>
  <c r="AH45" i="9"/>
  <c r="AI45" i="9"/>
  <c r="AC46" i="9"/>
  <c r="AD46" i="9"/>
  <c r="AE46" i="9"/>
  <c r="AF46" i="9"/>
  <c r="AG46" i="9"/>
  <c r="AH46" i="9"/>
  <c r="AI46" i="9"/>
  <c r="AC47" i="9"/>
  <c r="AD47" i="9"/>
  <c r="AE47" i="9"/>
  <c r="AF47" i="9"/>
  <c r="AG47" i="9"/>
  <c r="AH47" i="9"/>
  <c r="AI47" i="9"/>
  <c r="AC48" i="9"/>
  <c r="AD48" i="9"/>
  <c r="AE48" i="9"/>
  <c r="AF48" i="9"/>
  <c r="AG48" i="9"/>
  <c r="AH48" i="9"/>
  <c r="AI48" i="9"/>
  <c r="AC49" i="9"/>
  <c r="AD49" i="9"/>
  <c r="AE49" i="9"/>
  <c r="AF49" i="9"/>
  <c r="AG49" i="9"/>
  <c r="AH49" i="9"/>
  <c r="AI49" i="9"/>
  <c r="AC50" i="9"/>
  <c r="AD50" i="9"/>
  <c r="AE50" i="9"/>
  <c r="AF50" i="9"/>
  <c r="AG50" i="9"/>
  <c r="AH50" i="9"/>
  <c r="AI50" i="9"/>
  <c r="AC51" i="9"/>
  <c r="AD51" i="9"/>
  <c r="AE51" i="9"/>
  <c r="AF51" i="9"/>
  <c r="AG51" i="9"/>
  <c r="AH51" i="9"/>
  <c r="AI51" i="9"/>
  <c r="AC52" i="9"/>
  <c r="AD52" i="9"/>
  <c r="AE52" i="9"/>
  <c r="AF52" i="9"/>
  <c r="AG52" i="9"/>
  <c r="AH52" i="9"/>
  <c r="AI52" i="9"/>
  <c r="AC53" i="9"/>
  <c r="AD53" i="9"/>
  <c r="AE53" i="9"/>
  <c r="AF53" i="9"/>
  <c r="AG53" i="9"/>
  <c r="AH53" i="9"/>
  <c r="AI53" i="9"/>
  <c r="AC54" i="9"/>
  <c r="AD54" i="9"/>
  <c r="AE54" i="9"/>
  <c r="AF54" i="9"/>
  <c r="AG54" i="9"/>
  <c r="AH54" i="9"/>
  <c r="AI54" i="9"/>
  <c r="AC55" i="9"/>
  <c r="AD55" i="9"/>
  <c r="AE55" i="9"/>
  <c r="AF55" i="9"/>
  <c r="AG55" i="9"/>
  <c r="AH55" i="9"/>
  <c r="AI55" i="9"/>
  <c r="AC56" i="9"/>
  <c r="AD56" i="9"/>
  <c r="AE56" i="9"/>
  <c r="AF56" i="9"/>
  <c r="AG56" i="9"/>
  <c r="AH56" i="9"/>
  <c r="AI56" i="9"/>
  <c r="AC57" i="9"/>
  <c r="AD57" i="9"/>
  <c r="AE57" i="9"/>
  <c r="AF57" i="9"/>
  <c r="AG57" i="9"/>
  <c r="AH57" i="9"/>
  <c r="AI57" i="9"/>
  <c r="AC58" i="9"/>
  <c r="AD58" i="9"/>
  <c r="AE58" i="9"/>
  <c r="AF58" i="9"/>
  <c r="AG58" i="9"/>
  <c r="AH58" i="9"/>
  <c r="AI58" i="9"/>
  <c r="AD44" i="9"/>
  <c r="AE44" i="9"/>
  <c r="AF44" i="9"/>
  <c r="AG44" i="9"/>
  <c r="AH44" i="9"/>
  <c r="AI44" i="9"/>
  <c r="AC44" i="9"/>
  <c r="AC26" i="9"/>
  <c r="AD26" i="9"/>
  <c r="AE26" i="9"/>
  <c r="AF26" i="9"/>
  <c r="AG26" i="9"/>
  <c r="AH26" i="9"/>
  <c r="AI26" i="9"/>
  <c r="AC27" i="9"/>
  <c r="AD27" i="9"/>
  <c r="AE27" i="9"/>
  <c r="AF27" i="9"/>
  <c r="AG27" i="9"/>
  <c r="AH27" i="9"/>
  <c r="AI27" i="9"/>
  <c r="AC28" i="9"/>
  <c r="AD28" i="9"/>
  <c r="AE28" i="9"/>
  <c r="AF28" i="9"/>
  <c r="AG28" i="9"/>
  <c r="AH28" i="9"/>
  <c r="AI28" i="9"/>
  <c r="AC29" i="9"/>
  <c r="AD29" i="9"/>
  <c r="AE29" i="9"/>
  <c r="AF29" i="9"/>
  <c r="AG29" i="9"/>
  <c r="AH29" i="9"/>
  <c r="AI29" i="9"/>
  <c r="AC30" i="9"/>
  <c r="AD30" i="9"/>
  <c r="AE30" i="9"/>
  <c r="AF30" i="9"/>
  <c r="AG30" i="9"/>
  <c r="AH30" i="9"/>
  <c r="AI30" i="9"/>
  <c r="AC31" i="9"/>
  <c r="AD31" i="9"/>
  <c r="AE31" i="9"/>
  <c r="AF31" i="9"/>
  <c r="AG31" i="9"/>
  <c r="AH31" i="9"/>
  <c r="AI31" i="9"/>
  <c r="AC32" i="9"/>
  <c r="AD32" i="9"/>
  <c r="AE32" i="9"/>
  <c r="AF32" i="9"/>
  <c r="AG32" i="9"/>
  <c r="AH32" i="9"/>
  <c r="AI32" i="9"/>
  <c r="AC33" i="9"/>
  <c r="AD33" i="9"/>
  <c r="AE33" i="9"/>
  <c r="AF33" i="9"/>
  <c r="AG33" i="9"/>
  <c r="AH33" i="9"/>
  <c r="AI33" i="9"/>
  <c r="AC34" i="9"/>
  <c r="AD34" i="9"/>
  <c r="AE34" i="9"/>
  <c r="AF34" i="9"/>
  <c r="AG34" i="9"/>
  <c r="AH34" i="9"/>
  <c r="AI34" i="9"/>
  <c r="AC35" i="9"/>
  <c r="AD35" i="9"/>
  <c r="AE35" i="9"/>
  <c r="AF35" i="9"/>
  <c r="AG35" i="9"/>
  <c r="AH35" i="9"/>
  <c r="AI35" i="9"/>
  <c r="AC36" i="9"/>
  <c r="AD36" i="9"/>
  <c r="AE36" i="9"/>
  <c r="AF36" i="9"/>
  <c r="AG36" i="9"/>
  <c r="AH36" i="9"/>
  <c r="AI36" i="9"/>
  <c r="AC37" i="9"/>
  <c r="AD37" i="9"/>
  <c r="AE37" i="9"/>
  <c r="AF37" i="9"/>
  <c r="AG37" i="9"/>
  <c r="AH37" i="9"/>
  <c r="AI37" i="9"/>
  <c r="AC38" i="9"/>
  <c r="AD38" i="9"/>
  <c r="AE38" i="9"/>
  <c r="AF38" i="9"/>
  <c r="AG38" i="9"/>
  <c r="AH38" i="9"/>
  <c r="AI38" i="9"/>
  <c r="AC39" i="9"/>
  <c r="AD39" i="9"/>
  <c r="AE39" i="9"/>
  <c r="AF39" i="9"/>
  <c r="AG39" i="9"/>
  <c r="AH39" i="9"/>
  <c r="AI39" i="9"/>
  <c r="AD25" i="9"/>
  <c r="AE25" i="9"/>
  <c r="AF25" i="9"/>
  <c r="AG25" i="9"/>
  <c r="AH25" i="9"/>
  <c r="AI25" i="9"/>
  <c r="AC25" i="9"/>
  <c r="AC7" i="9"/>
  <c r="AD7" i="9"/>
  <c r="AE7" i="9"/>
  <c r="AF7" i="9"/>
  <c r="AG7" i="9"/>
  <c r="AH7" i="9"/>
  <c r="AI7" i="9"/>
  <c r="AC8" i="9"/>
  <c r="AD8" i="9"/>
  <c r="AE8" i="9"/>
  <c r="AF8" i="9"/>
  <c r="AG8" i="9"/>
  <c r="AH8" i="9"/>
  <c r="AI8" i="9"/>
  <c r="AC9" i="9"/>
  <c r="AD9" i="9"/>
  <c r="AE9" i="9"/>
  <c r="AF9" i="9"/>
  <c r="AG9" i="9"/>
  <c r="AH9" i="9"/>
  <c r="AI9" i="9"/>
  <c r="AC10" i="9"/>
  <c r="AD10" i="9"/>
  <c r="AE10" i="9"/>
  <c r="AF10" i="9"/>
  <c r="AG10" i="9"/>
  <c r="AH10" i="9"/>
  <c r="AI10" i="9"/>
  <c r="AC11" i="9"/>
  <c r="AD11" i="9"/>
  <c r="AE11" i="9"/>
  <c r="AF11" i="9"/>
  <c r="AG11" i="9"/>
  <c r="AH11" i="9"/>
  <c r="AI11" i="9"/>
  <c r="AC12" i="9"/>
  <c r="AD12" i="9"/>
  <c r="AE12" i="9"/>
  <c r="AF12" i="9"/>
  <c r="AG12" i="9"/>
  <c r="AH12" i="9"/>
  <c r="AI12" i="9"/>
  <c r="AC13" i="9"/>
  <c r="AD13" i="9"/>
  <c r="AE13" i="9"/>
  <c r="AF13" i="9"/>
  <c r="AG13" i="9"/>
  <c r="AH13" i="9"/>
  <c r="AI13" i="9"/>
  <c r="AC14" i="9"/>
  <c r="AD14" i="9"/>
  <c r="AE14" i="9"/>
  <c r="AF14" i="9"/>
  <c r="AG14" i="9"/>
  <c r="AH14" i="9"/>
  <c r="AI14" i="9"/>
  <c r="AC15" i="9"/>
  <c r="AD15" i="9"/>
  <c r="AE15" i="9"/>
  <c r="AF15" i="9"/>
  <c r="AG15" i="9"/>
  <c r="AH15" i="9"/>
  <c r="AI15" i="9"/>
  <c r="AC16" i="9"/>
  <c r="AD16" i="9"/>
  <c r="AE16" i="9"/>
  <c r="AF16" i="9"/>
  <c r="AG16" i="9"/>
  <c r="AH16" i="9"/>
  <c r="AI16" i="9"/>
  <c r="AC17" i="9"/>
  <c r="AD17" i="9"/>
  <c r="AE17" i="9"/>
  <c r="AF17" i="9"/>
  <c r="AG17" i="9"/>
  <c r="AH17" i="9"/>
  <c r="AI17" i="9"/>
  <c r="AC18" i="9"/>
  <c r="AD18" i="9"/>
  <c r="AE18" i="9"/>
  <c r="AF18" i="9"/>
  <c r="AG18" i="9"/>
  <c r="AH18" i="9"/>
  <c r="AI18" i="9"/>
  <c r="AC19" i="9"/>
  <c r="AD19" i="9"/>
  <c r="AE19" i="9"/>
  <c r="AF19" i="9"/>
  <c r="AG19" i="9"/>
  <c r="AH19" i="9"/>
  <c r="AI19" i="9"/>
  <c r="AC20" i="9"/>
  <c r="AD20" i="9"/>
  <c r="AE20" i="9"/>
  <c r="AF20" i="9"/>
  <c r="AG20" i="9"/>
  <c r="AH20" i="9"/>
  <c r="AI20" i="9"/>
  <c r="AD6" i="9"/>
  <c r="AE6" i="9"/>
  <c r="AF6" i="9"/>
  <c r="AG6" i="9"/>
  <c r="AH6" i="9"/>
  <c r="AI6" i="9"/>
  <c r="AC6" i="9"/>
  <c r="T140" i="9"/>
  <c r="U140" i="9"/>
  <c r="V140" i="9"/>
  <c r="W140" i="9"/>
  <c r="X140" i="9"/>
  <c r="Y140" i="9"/>
  <c r="Z140" i="9"/>
  <c r="T141" i="9"/>
  <c r="U141" i="9"/>
  <c r="V141" i="9"/>
  <c r="W141" i="9"/>
  <c r="X141" i="9"/>
  <c r="Y141" i="9"/>
  <c r="Z141" i="9"/>
  <c r="T142" i="9"/>
  <c r="U142" i="9"/>
  <c r="V142" i="9"/>
  <c r="W142" i="9"/>
  <c r="X142" i="9"/>
  <c r="Y142" i="9"/>
  <c r="Z142" i="9"/>
  <c r="T143" i="9"/>
  <c r="U143" i="9"/>
  <c r="V143" i="9"/>
  <c r="W143" i="9"/>
  <c r="X143" i="9"/>
  <c r="Y143" i="9"/>
  <c r="Z143" i="9"/>
  <c r="T144" i="9"/>
  <c r="U144" i="9"/>
  <c r="V144" i="9"/>
  <c r="W144" i="9"/>
  <c r="X144" i="9"/>
  <c r="Y144" i="9"/>
  <c r="Z144" i="9"/>
  <c r="T145" i="9"/>
  <c r="U145" i="9"/>
  <c r="V145" i="9"/>
  <c r="W145" i="9"/>
  <c r="X145" i="9"/>
  <c r="Y145" i="9"/>
  <c r="Z145" i="9"/>
  <c r="T146" i="9"/>
  <c r="U146" i="9"/>
  <c r="V146" i="9"/>
  <c r="W146" i="9"/>
  <c r="X146" i="9"/>
  <c r="Y146" i="9"/>
  <c r="Z146" i="9"/>
  <c r="T147" i="9"/>
  <c r="U147" i="9"/>
  <c r="V147" i="9"/>
  <c r="W147" i="9"/>
  <c r="X147" i="9"/>
  <c r="Y147" i="9"/>
  <c r="Z147" i="9"/>
  <c r="T148" i="9"/>
  <c r="U148" i="9"/>
  <c r="V148" i="9"/>
  <c r="W148" i="9"/>
  <c r="X148" i="9"/>
  <c r="Y148" i="9"/>
  <c r="Z148" i="9"/>
  <c r="T149" i="9"/>
  <c r="U149" i="9"/>
  <c r="V149" i="9"/>
  <c r="W149" i="9"/>
  <c r="X149" i="9"/>
  <c r="Y149" i="9"/>
  <c r="Z149" i="9"/>
  <c r="T150" i="9"/>
  <c r="U150" i="9"/>
  <c r="V150" i="9"/>
  <c r="W150" i="9"/>
  <c r="X150" i="9"/>
  <c r="Y150" i="9"/>
  <c r="Z150" i="9"/>
  <c r="T151" i="9"/>
  <c r="U151" i="9"/>
  <c r="V151" i="9"/>
  <c r="W151" i="9"/>
  <c r="X151" i="9"/>
  <c r="Y151" i="9"/>
  <c r="Z151" i="9"/>
  <c r="T152" i="9"/>
  <c r="U152" i="9"/>
  <c r="V152" i="9"/>
  <c r="W152" i="9"/>
  <c r="X152" i="9"/>
  <c r="Y152" i="9"/>
  <c r="Z152" i="9"/>
  <c r="T153" i="9"/>
  <c r="U153" i="9"/>
  <c r="V153" i="9"/>
  <c r="W153" i="9"/>
  <c r="X153" i="9"/>
  <c r="Y153" i="9"/>
  <c r="Z153" i="9"/>
  <c r="U139" i="9"/>
  <c r="V139" i="9"/>
  <c r="W139" i="9"/>
  <c r="X139" i="9"/>
  <c r="Y139" i="9"/>
  <c r="Z139" i="9"/>
  <c r="T139" i="9"/>
  <c r="T121" i="9"/>
  <c r="U121" i="9"/>
  <c r="V121" i="9"/>
  <c r="W121" i="9"/>
  <c r="X121" i="9"/>
  <c r="Y121" i="9"/>
  <c r="Z121" i="9"/>
  <c r="T122" i="9"/>
  <c r="U122" i="9"/>
  <c r="V122" i="9"/>
  <c r="W122" i="9"/>
  <c r="X122" i="9"/>
  <c r="Y122" i="9"/>
  <c r="Z122" i="9"/>
  <c r="T123" i="9"/>
  <c r="U123" i="9"/>
  <c r="V123" i="9"/>
  <c r="W123" i="9"/>
  <c r="X123" i="9"/>
  <c r="Y123" i="9"/>
  <c r="Z123" i="9"/>
  <c r="T124" i="9"/>
  <c r="U124" i="9"/>
  <c r="V124" i="9"/>
  <c r="W124" i="9"/>
  <c r="X124" i="9"/>
  <c r="Y124" i="9"/>
  <c r="Z124" i="9"/>
  <c r="T125" i="9"/>
  <c r="U125" i="9"/>
  <c r="V125" i="9"/>
  <c r="W125" i="9"/>
  <c r="X125" i="9"/>
  <c r="Y125" i="9"/>
  <c r="Z125" i="9"/>
  <c r="T126" i="9"/>
  <c r="U126" i="9"/>
  <c r="V126" i="9"/>
  <c r="W126" i="9"/>
  <c r="X126" i="9"/>
  <c r="Y126" i="9"/>
  <c r="Z126" i="9"/>
  <c r="T127" i="9"/>
  <c r="U127" i="9"/>
  <c r="V127" i="9"/>
  <c r="W127" i="9"/>
  <c r="X127" i="9"/>
  <c r="Y127" i="9"/>
  <c r="Z127" i="9"/>
  <c r="T128" i="9"/>
  <c r="U128" i="9"/>
  <c r="V128" i="9"/>
  <c r="W128" i="9"/>
  <c r="X128" i="9"/>
  <c r="Y128" i="9"/>
  <c r="Z128" i="9"/>
  <c r="T129" i="9"/>
  <c r="U129" i="9"/>
  <c r="V129" i="9"/>
  <c r="W129" i="9"/>
  <c r="X129" i="9"/>
  <c r="Y129" i="9"/>
  <c r="Z129" i="9"/>
  <c r="T130" i="9"/>
  <c r="U130" i="9"/>
  <c r="V130" i="9"/>
  <c r="W130" i="9"/>
  <c r="X130" i="9"/>
  <c r="Y130" i="9"/>
  <c r="Z130" i="9"/>
  <c r="T131" i="9"/>
  <c r="U131" i="9"/>
  <c r="V131" i="9"/>
  <c r="W131" i="9"/>
  <c r="X131" i="9"/>
  <c r="Y131" i="9"/>
  <c r="Z131" i="9"/>
  <c r="T132" i="9"/>
  <c r="U132" i="9"/>
  <c r="V132" i="9"/>
  <c r="W132" i="9"/>
  <c r="X132" i="9"/>
  <c r="Y132" i="9"/>
  <c r="Z132" i="9"/>
  <c r="T133" i="9"/>
  <c r="U133" i="9"/>
  <c r="V133" i="9"/>
  <c r="W133" i="9"/>
  <c r="X133" i="9"/>
  <c r="Y133" i="9"/>
  <c r="Z133" i="9"/>
  <c r="T134" i="9"/>
  <c r="U134" i="9"/>
  <c r="V134" i="9"/>
  <c r="W134" i="9"/>
  <c r="X134" i="9"/>
  <c r="Y134" i="9"/>
  <c r="Z134" i="9"/>
  <c r="U120" i="9"/>
  <c r="V120" i="9"/>
  <c r="W120" i="9"/>
  <c r="X120" i="9"/>
  <c r="Y120" i="9"/>
  <c r="Z120" i="9"/>
  <c r="T120" i="9"/>
  <c r="T102" i="9"/>
  <c r="U102" i="9"/>
  <c r="V102" i="9"/>
  <c r="W102" i="9"/>
  <c r="X102" i="9"/>
  <c r="Y102" i="9"/>
  <c r="Z102" i="9"/>
  <c r="T103" i="9"/>
  <c r="U103" i="9"/>
  <c r="V103" i="9"/>
  <c r="W103" i="9"/>
  <c r="X103" i="9"/>
  <c r="Y103" i="9"/>
  <c r="Z103" i="9"/>
  <c r="T104" i="9"/>
  <c r="U104" i="9"/>
  <c r="V104" i="9"/>
  <c r="W104" i="9"/>
  <c r="X104" i="9"/>
  <c r="Y104" i="9"/>
  <c r="Z104" i="9"/>
  <c r="T105" i="9"/>
  <c r="U105" i="9"/>
  <c r="V105" i="9"/>
  <c r="W105" i="9"/>
  <c r="X105" i="9"/>
  <c r="Y105" i="9"/>
  <c r="Z105" i="9"/>
  <c r="T106" i="9"/>
  <c r="U106" i="9"/>
  <c r="V106" i="9"/>
  <c r="W106" i="9"/>
  <c r="X106" i="9"/>
  <c r="Y106" i="9"/>
  <c r="Z106" i="9"/>
  <c r="T107" i="9"/>
  <c r="U107" i="9"/>
  <c r="V107" i="9"/>
  <c r="W107" i="9"/>
  <c r="X107" i="9"/>
  <c r="Y107" i="9"/>
  <c r="Z107" i="9"/>
  <c r="T108" i="9"/>
  <c r="U108" i="9"/>
  <c r="V108" i="9"/>
  <c r="W108" i="9"/>
  <c r="X108" i="9"/>
  <c r="Y108" i="9"/>
  <c r="Z108" i="9"/>
  <c r="T109" i="9"/>
  <c r="U109" i="9"/>
  <c r="V109" i="9"/>
  <c r="W109" i="9"/>
  <c r="X109" i="9"/>
  <c r="Y109" i="9"/>
  <c r="Z109" i="9"/>
  <c r="T110" i="9"/>
  <c r="U110" i="9"/>
  <c r="V110" i="9"/>
  <c r="W110" i="9"/>
  <c r="X110" i="9"/>
  <c r="Y110" i="9"/>
  <c r="Z110" i="9"/>
  <c r="T111" i="9"/>
  <c r="U111" i="9"/>
  <c r="V111" i="9"/>
  <c r="W111" i="9"/>
  <c r="X111" i="9"/>
  <c r="Y111" i="9"/>
  <c r="Z111" i="9"/>
  <c r="T112" i="9"/>
  <c r="U112" i="9"/>
  <c r="V112" i="9"/>
  <c r="W112" i="9"/>
  <c r="X112" i="9"/>
  <c r="Y112" i="9"/>
  <c r="Z112" i="9"/>
  <c r="T113" i="9"/>
  <c r="U113" i="9"/>
  <c r="V113" i="9"/>
  <c r="W113" i="9"/>
  <c r="X113" i="9"/>
  <c r="Y113" i="9"/>
  <c r="Z113" i="9"/>
  <c r="T114" i="9"/>
  <c r="U114" i="9"/>
  <c r="V114" i="9"/>
  <c r="W114" i="9"/>
  <c r="X114" i="9"/>
  <c r="Y114" i="9"/>
  <c r="Z114" i="9"/>
  <c r="T115" i="9"/>
  <c r="U115" i="9"/>
  <c r="V115" i="9"/>
  <c r="W115" i="9"/>
  <c r="X115" i="9"/>
  <c r="Y115" i="9"/>
  <c r="Z115" i="9"/>
  <c r="U101" i="9"/>
  <c r="V101" i="9"/>
  <c r="W101" i="9"/>
  <c r="X101" i="9"/>
  <c r="Y101" i="9"/>
  <c r="Z101" i="9"/>
  <c r="T101" i="9"/>
  <c r="T83" i="9"/>
  <c r="U83" i="9"/>
  <c r="V83" i="9"/>
  <c r="W83" i="9"/>
  <c r="X83" i="9"/>
  <c r="Y83" i="9"/>
  <c r="Z83" i="9"/>
  <c r="T84" i="9"/>
  <c r="U84" i="9"/>
  <c r="V84" i="9"/>
  <c r="W84" i="9"/>
  <c r="X84" i="9"/>
  <c r="Y84" i="9"/>
  <c r="Z84" i="9"/>
  <c r="T85" i="9"/>
  <c r="U85" i="9"/>
  <c r="V85" i="9"/>
  <c r="W85" i="9"/>
  <c r="X85" i="9"/>
  <c r="Y85" i="9"/>
  <c r="Z85" i="9"/>
  <c r="T86" i="9"/>
  <c r="U86" i="9"/>
  <c r="V86" i="9"/>
  <c r="W86" i="9"/>
  <c r="X86" i="9"/>
  <c r="Y86" i="9"/>
  <c r="Z86" i="9"/>
  <c r="T87" i="9"/>
  <c r="U87" i="9"/>
  <c r="V87" i="9"/>
  <c r="W87" i="9"/>
  <c r="X87" i="9"/>
  <c r="Y87" i="9"/>
  <c r="Z87" i="9"/>
  <c r="T88" i="9"/>
  <c r="U88" i="9"/>
  <c r="V88" i="9"/>
  <c r="W88" i="9"/>
  <c r="X88" i="9"/>
  <c r="Y88" i="9"/>
  <c r="Z88" i="9"/>
  <c r="T89" i="9"/>
  <c r="U89" i="9"/>
  <c r="V89" i="9"/>
  <c r="W89" i="9"/>
  <c r="X89" i="9"/>
  <c r="Y89" i="9"/>
  <c r="Z89" i="9"/>
  <c r="T90" i="9"/>
  <c r="U90" i="9"/>
  <c r="V90" i="9"/>
  <c r="W90" i="9"/>
  <c r="X90" i="9"/>
  <c r="Y90" i="9"/>
  <c r="Z90" i="9"/>
  <c r="T91" i="9"/>
  <c r="U91" i="9"/>
  <c r="V91" i="9"/>
  <c r="W91" i="9"/>
  <c r="X91" i="9"/>
  <c r="Y91" i="9"/>
  <c r="Z91" i="9"/>
  <c r="T92" i="9"/>
  <c r="U92" i="9"/>
  <c r="V92" i="9"/>
  <c r="W92" i="9"/>
  <c r="X92" i="9"/>
  <c r="Y92" i="9"/>
  <c r="Z92" i="9"/>
  <c r="T93" i="9"/>
  <c r="U93" i="9"/>
  <c r="V93" i="9"/>
  <c r="W93" i="9"/>
  <c r="X93" i="9"/>
  <c r="Y93" i="9"/>
  <c r="Z93" i="9"/>
  <c r="T94" i="9"/>
  <c r="U94" i="9"/>
  <c r="V94" i="9"/>
  <c r="W94" i="9"/>
  <c r="X94" i="9"/>
  <c r="Y94" i="9"/>
  <c r="Z94" i="9"/>
  <c r="T95" i="9"/>
  <c r="U95" i="9"/>
  <c r="V95" i="9"/>
  <c r="W95" i="9"/>
  <c r="X95" i="9"/>
  <c r="Y95" i="9"/>
  <c r="Z95" i="9"/>
  <c r="T96" i="9"/>
  <c r="U96" i="9"/>
  <c r="V96" i="9"/>
  <c r="W96" i="9"/>
  <c r="X96" i="9"/>
  <c r="Y96" i="9"/>
  <c r="Z96" i="9"/>
  <c r="U82" i="9"/>
  <c r="V82" i="9"/>
  <c r="W82" i="9"/>
  <c r="X82" i="9"/>
  <c r="Y82" i="9"/>
  <c r="Z82" i="9"/>
  <c r="T82" i="9"/>
  <c r="T64" i="9"/>
  <c r="U64" i="9"/>
  <c r="V64" i="9"/>
  <c r="W64" i="9"/>
  <c r="X64" i="9"/>
  <c r="Y64" i="9"/>
  <c r="Z64" i="9"/>
  <c r="T65" i="9"/>
  <c r="U65" i="9"/>
  <c r="V65" i="9"/>
  <c r="W65" i="9"/>
  <c r="X65" i="9"/>
  <c r="Y65" i="9"/>
  <c r="Z65" i="9"/>
  <c r="T66" i="9"/>
  <c r="U66" i="9"/>
  <c r="V66" i="9"/>
  <c r="W66" i="9"/>
  <c r="X66" i="9"/>
  <c r="Y66" i="9"/>
  <c r="Z66" i="9"/>
  <c r="T67" i="9"/>
  <c r="U67" i="9"/>
  <c r="V67" i="9"/>
  <c r="W67" i="9"/>
  <c r="X67" i="9"/>
  <c r="Y67" i="9"/>
  <c r="Z67" i="9"/>
  <c r="T68" i="9"/>
  <c r="U68" i="9"/>
  <c r="V68" i="9"/>
  <c r="W68" i="9"/>
  <c r="X68" i="9"/>
  <c r="Y68" i="9"/>
  <c r="Z68" i="9"/>
  <c r="T69" i="9"/>
  <c r="U69" i="9"/>
  <c r="V69" i="9"/>
  <c r="W69" i="9"/>
  <c r="X69" i="9"/>
  <c r="Y69" i="9"/>
  <c r="Z69" i="9"/>
  <c r="T70" i="9"/>
  <c r="U70" i="9"/>
  <c r="V70" i="9"/>
  <c r="W70" i="9"/>
  <c r="X70" i="9"/>
  <c r="Y70" i="9"/>
  <c r="Z70" i="9"/>
  <c r="T71" i="9"/>
  <c r="U71" i="9"/>
  <c r="V71" i="9"/>
  <c r="W71" i="9"/>
  <c r="X71" i="9"/>
  <c r="Y71" i="9"/>
  <c r="Z71" i="9"/>
  <c r="T72" i="9"/>
  <c r="U72" i="9"/>
  <c r="V72" i="9"/>
  <c r="W72" i="9"/>
  <c r="X72" i="9"/>
  <c r="Y72" i="9"/>
  <c r="Z72" i="9"/>
  <c r="T73" i="9"/>
  <c r="U73" i="9"/>
  <c r="V73" i="9"/>
  <c r="W73" i="9"/>
  <c r="X73" i="9"/>
  <c r="Y73" i="9"/>
  <c r="Z73" i="9"/>
  <c r="T74" i="9"/>
  <c r="U74" i="9"/>
  <c r="V74" i="9"/>
  <c r="W74" i="9"/>
  <c r="X74" i="9"/>
  <c r="Y74" i="9"/>
  <c r="Z74" i="9"/>
  <c r="T75" i="9"/>
  <c r="U75" i="9"/>
  <c r="V75" i="9"/>
  <c r="W75" i="9"/>
  <c r="X75" i="9"/>
  <c r="Y75" i="9"/>
  <c r="Z75" i="9"/>
  <c r="T76" i="9"/>
  <c r="U76" i="9"/>
  <c r="V76" i="9"/>
  <c r="W76" i="9"/>
  <c r="X76" i="9"/>
  <c r="Y76" i="9"/>
  <c r="Z76" i="9"/>
  <c r="T77" i="9"/>
  <c r="U77" i="9"/>
  <c r="V77" i="9"/>
  <c r="W77" i="9"/>
  <c r="X77" i="9"/>
  <c r="Y77" i="9"/>
  <c r="Z77" i="9"/>
  <c r="U63" i="9"/>
  <c r="V63" i="9"/>
  <c r="W63" i="9"/>
  <c r="X63" i="9"/>
  <c r="Y63" i="9"/>
  <c r="Z63" i="9"/>
  <c r="T63" i="9"/>
  <c r="T45" i="9"/>
  <c r="U45" i="9"/>
  <c r="V45" i="9"/>
  <c r="W45" i="9"/>
  <c r="X45" i="9"/>
  <c r="Y45" i="9"/>
  <c r="Z45" i="9"/>
  <c r="T46" i="9"/>
  <c r="U46" i="9"/>
  <c r="V46" i="9"/>
  <c r="W46" i="9"/>
  <c r="X46" i="9"/>
  <c r="Y46" i="9"/>
  <c r="Z46" i="9"/>
  <c r="T47" i="9"/>
  <c r="U47" i="9"/>
  <c r="V47" i="9"/>
  <c r="W47" i="9"/>
  <c r="X47" i="9"/>
  <c r="Y47" i="9"/>
  <c r="Z47" i="9"/>
  <c r="T48" i="9"/>
  <c r="U48" i="9"/>
  <c r="V48" i="9"/>
  <c r="W48" i="9"/>
  <c r="X48" i="9"/>
  <c r="Y48" i="9"/>
  <c r="Z48" i="9"/>
  <c r="T49" i="9"/>
  <c r="U49" i="9"/>
  <c r="V49" i="9"/>
  <c r="W49" i="9"/>
  <c r="X49" i="9"/>
  <c r="Y49" i="9"/>
  <c r="Z49" i="9"/>
  <c r="T50" i="9"/>
  <c r="U50" i="9"/>
  <c r="V50" i="9"/>
  <c r="W50" i="9"/>
  <c r="X50" i="9"/>
  <c r="Y50" i="9"/>
  <c r="Z50" i="9"/>
  <c r="T51" i="9"/>
  <c r="U51" i="9"/>
  <c r="V51" i="9"/>
  <c r="W51" i="9"/>
  <c r="X51" i="9"/>
  <c r="Y51" i="9"/>
  <c r="Z51" i="9"/>
  <c r="T52" i="9"/>
  <c r="U52" i="9"/>
  <c r="V52" i="9"/>
  <c r="W52" i="9"/>
  <c r="X52" i="9"/>
  <c r="Y52" i="9"/>
  <c r="Z52" i="9"/>
  <c r="T53" i="9"/>
  <c r="U53" i="9"/>
  <c r="V53" i="9"/>
  <c r="W53" i="9"/>
  <c r="X53" i="9"/>
  <c r="Y53" i="9"/>
  <c r="Z53" i="9"/>
  <c r="T54" i="9"/>
  <c r="U54" i="9"/>
  <c r="V54" i="9"/>
  <c r="W54" i="9"/>
  <c r="X54" i="9"/>
  <c r="Y54" i="9"/>
  <c r="Z54" i="9"/>
  <c r="T55" i="9"/>
  <c r="U55" i="9"/>
  <c r="V55" i="9"/>
  <c r="W55" i="9"/>
  <c r="X55" i="9"/>
  <c r="Y55" i="9"/>
  <c r="Z55" i="9"/>
  <c r="T56" i="9"/>
  <c r="U56" i="9"/>
  <c r="V56" i="9"/>
  <c r="W56" i="9"/>
  <c r="X56" i="9"/>
  <c r="Y56" i="9"/>
  <c r="Z56" i="9"/>
  <c r="T57" i="9"/>
  <c r="U57" i="9"/>
  <c r="V57" i="9"/>
  <c r="W57" i="9"/>
  <c r="X57" i="9"/>
  <c r="Y57" i="9"/>
  <c r="Z57" i="9"/>
  <c r="T58" i="9"/>
  <c r="U58" i="9"/>
  <c r="V58" i="9"/>
  <c r="W58" i="9"/>
  <c r="X58" i="9"/>
  <c r="Y58" i="9"/>
  <c r="Z58" i="9"/>
  <c r="U44" i="9"/>
  <c r="V44" i="9"/>
  <c r="W44" i="9"/>
  <c r="X44" i="9"/>
  <c r="Y44" i="9"/>
  <c r="Z44" i="9"/>
  <c r="T44" i="9"/>
  <c r="T26" i="9"/>
  <c r="U26" i="9"/>
  <c r="V26" i="9"/>
  <c r="W26" i="9"/>
  <c r="X26" i="9"/>
  <c r="Y26" i="9"/>
  <c r="Z26" i="9"/>
  <c r="T27" i="9"/>
  <c r="U27" i="9"/>
  <c r="V27" i="9"/>
  <c r="W27" i="9"/>
  <c r="X27" i="9"/>
  <c r="Y27" i="9"/>
  <c r="Z27" i="9"/>
  <c r="T28" i="9"/>
  <c r="U28" i="9"/>
  <c r="V28" i="9"/>
  <c r="W28" i="9"/>
  <c r="X28" i="9"/>
  <c r="Y28" i="9"/>
  <c r="Z28" i="9"/>
  <c r="T29" i="9"/>
  <c r="U29" i="9"/>
  <c r="V29" i="9"/>
  <c r="W29" i="9"/>
  <c r="X29" i="9"/>
  <c r="Y29" i="9"/>
  <c r="Z29" i="9"/>
  <c r="T30" i="9"/>
  <c r="U30" i="9"/>
  <c r="V30" i="9"/>
  <c r="W30" i="9"/>
  <c r="X30" i="9"/>
  <c r="Y30" i="9"/>
  <c r="Z30" i="9"/>
  <c r="T31" i="9"/>
  <c r="U31" i="9"/>
  <c r="V31" i="9"/>
  <c r="W31" i="9"/>
  <c r="X31" i="9"/>
  <c r="Y31" i="9"/>
  <c r="Z31" i="9"/>
  <c r="T32" i="9"/>
  <c r="U32" i="9"/>
  <c r="V32" i="9"/>
  <c r="W32" i="9"/>
  <c r="X32" i="9"/>
  <c r="Y32" i="9"/>
  <c r="Z32" i="9"/>
  <c r="T33" i="9"/>
  <c r="U33" i="9"/>
  <c r="V33" i="9"/>
  <c r="W33" i="9"/>
  <c r="X33" i="9"/>
  <c r="Y33" i="9"/>
  <c r="Z33" i="9"/>
  <c r="T34" i="9"/>
  <c r="U34" i="9"/>
  <c r="V34" i="9"/>
  <c r="W34" i="9"/>
  <c r="X34" i="9"/>
  <c r="Y34" i="9"/>
  <c r="Z34" i="9"/>
  <c r="T35" i="9"/>
  <c r="U35" i="9"/>
  <c r="V35" i="9"/>
  <c r="W35" i="9"/>
  <c r="X35" i="9"/>
  <c r="Y35" i="9"/>
  <c r="Z35" i="9"/>
  <c r="T36" i="9"/>
  <c r="U36" i="9"/>
  <c r="V36" i="9"/>
  <c r="W36" i="9"/>
  <c r="X36" i="9"/>
  <c r="Y36" i="9"/>
  <c r="Z36" i="9"/>
  <c r="T37" i="9"/>
  <c r="U37" i="9"/>
  <c r="V37" i="9"/>
  <c r="W37" i="9"/>
  <c r="X37" i="9"/>
  <c r="Y37" i="9"/>
  <c r="Z37" i="9"/>
  <c r="T38" i="9"/>
  <c r="U38" i="9"/>
  <c r="V38" i="9"/>
  <c r="W38" i="9"/>
  <c r="X38" i="9"/>
  <c r="Y38" i="9"/>
  <c r="Z38" i="9"/>
  <c r="T39" i="9"/>
  <c r="U39" i="9"/>
  <c r="V39" i="9"/>
  <c r="W39" i="9"/>
  <c r="X39" i="9"/>
  <c r="Y39" i="9"/>
  <c r="Z39" i="9"/>
  <c r="U25" i="9"/>
  <c r="V25" i="9"/>
  <c r="W25" i="9"/>
  <c r="X25" i="9"/>
  <c r="Y25" i="9"/>
  <c r="Z25" i="9"/>
  <c r="T25" i="9"/>
  <c r="T7" i="9"/>
  <c r="U7" i="9"/>
  <c r="V7" i="9"/>
  <c r="W7" i="9"/>
  <c r="X7" i="9"/>
  <c r="Y7" i="9"/>
  <c r="Z7" i="9"/>
  <c r="T8" i="9"/>
  <c r="U8" i="9"/>
  <c r="V8" i="9"/>
  <c r="W8" i="9"/>
  <c r="X8" i="9"/>
  <c r="Y8" i="9"/>
  <c r="Z8" i="9"/>
  <c r="T9" i="9"/>
  <c r="U9" i="9"/>
  <c r="V9" i="9"/>
  <c r="W9" i="9"/>
  <c r="X9" i="9"/>
  <c r="Y9" i="9"/>
  <c r="Z9" i="9"/>
  <c r="T10" i="9"/>
  <c r="U10" i="9"/>
  <c r="V10" i="9"/>
  <c r="W10" i="9"/>
  <c r="X10" i="9"/>
  <c r="Y10" i="9"/>
  <c r="Z10" i="9"/>
  <c r="T11" i="9"/>
  <c r="U11" i="9"/>
  <c r="V11" i="9"/>
  <c r="W11" i="9"/>
  <c r="X11" i="9"/>
  <c r="Y11" i="9"/>
  <c r="Z11" i="9"/>
  <c r="T12" i="9"/>
  <c r="U12" i="9"/>
  <c r="V12" i="9"/>
  <c r="W12" i="9"/>
  <c r="X12" i="9"/>
  <c r="Y12" i="9"/>
  <c r="Z12" i="9"/>
  <c r="T13" i="9"/>
  <c r="U13" i="9"/>
  <c r="V13" i="9"/>
  <c r="W13" i="9"/>
  <c r="X13" i="9"/>
  <c r="Y13" i="9"/>
  <c r="Z13" i="9"/>
  <c r="T14" i="9"/>
  <c r="U14" i="9"/>
  <c r="V14" i="9"/>
  <c r="W14" i="9"/>
  <c r="X14" i="9"/>
  <c r="Y14" i="9"/>
  <c r="Z14" i="9"/>
  <c r="T15" i="9"/>
  <c r="U15" i="9"/>
  <c r="V15" i="9"/>
  <c r="W15" i="9"/>
  <c r="X15" i="9"/>
  <c r="Y15" i="9"/>
  <c r="Z15" i="9"/>
  <c r="T16" i="9"/>
  <c r="U16" i="9"/>
  <c r="V16" i="9"/>
  <c r="W16" i="9"/>
  <c r="X16" i="9"/>
  <c r="Y16" i="9"/>
  <c r="Z16" i="9"/>
  <c r="T17" i="9"/>
  <c r="U17" i="9"/>
  <c r="V17" i="9"/>
  <c r="W17" i="9"/>
  <c r="X17" i="9"/>
  <c r="Y17" i="9"/>
  <c r="Z17" i="9"/>
  <c r="T18" i="9"/>
  <c r="U18" i="9"/>
  <c r="V18" i="9"/>
  <c r="W18" i="9"/>
  <c r="X18" i="9"/>
  <c r="Y18" i="9"/>
  <c r="Z18" i="9"/>
  <c r="T19" i="9"/>
  <c r="U19" i="9"/>
  <c r="V19" i="9"/>
  <c r="W19" i="9"/>
  <c r="X19" i="9"/>
  <c r="Y19" i="9"/>
  <c r="Z19" i="9"/>
  <c r="T20" i="9"/>
  <c r="U20" i="9"/>
  <c r="V20" i="9"/>
  <c r="W20" i="9"/>
  <c r="X20" i="9"/>
  <c r="Y20" i="9"/>
  <c r="Z20" i="9"/>
  <c r="U6" i="9"/>
  <c r="V6" i="9"/>
  <c r="W6" i="9"/>
  <c r="X6" i="9"/>
  <c r="Y6" i="9"/>
  <c r="Z6" i="9"/>
  <c r="T6" i="9"/>
  <c r="K140" i="9"/>
  <c r="L140" i="9"/>
  <c r="M140" i="9"/>
  <c r="N140" i="9"/>
  <c r="O140" i="9"/>
  <c r="P140" i="9"/>
  <c r="Q140" i="9"/>
  <c r="K141" i="9"/>
  <c r="L141" i="9"/>
  <c r="M141" i="9"/>
  <c r="N141" i="9"/>
  <c r="O141" i="9"/>
  <c r="P141" i="9"/>
  <c r="Q141" i="9"/>
  <c r="K142" i="9"/>
  <c r="L142" i="9"/>
  <c r="M142" i="9"/>
  <c r="N142" i="9"/>
  <c r="O142" i="9"/>
  <c r="P142" i="9"/>
  <c r="Q142" i="9"/>
  <c r="K143" i="9"/>
  <c r="L143" i="9"/>
  <c r="M143" i="9"/>
  <c r="N143" i="9"/>
  <c r="O143" i="9"/>
  <c r="P143" i="9"/>
  <c r="Q143" i="9"/>
  <c r="K144" i="9"/>
  <c r="L144" i="9"/>
  <c r="M144" i="9"/>
  <c r="N144" i="9"/>
  <c r="O144" i="9"/>
  <c r="P144" i="9"/>
  <c r="Q144" i="9"/>
  <c r="K145" i="9"/>
  <c r="L145" i="9"/>
  <c r="M145" i="9"/>
  <c r="N145" i="9"/>
  <c r="O145" i="9"/>
  <c r="P145" i="9"/>
  <c r="Q145" i="9"/>
  <c r="K146" i="9"/>
  <c r="L146" i="9"/>
  <c r="M146" i="9"/>
  <c r="N146" i="9"/>
  <c r="O146" i="9"/>
  <c r="P146" i="9"/>
  <c r="Q146" i="9"/>
  <c r="K147" i="9"/>
  <c r="L147" i="9"/>
  <c r="M147" i="9"/>
  <c r="N147" i="9"/>
  <c r="O147" i="9"/>
  <c r="P147" i="9"/>
  <c r="Q147" i="9"/>
  <c r="K148" i="9"/>
  <c r="L148" i="9"/>
  <c r="M148" i="9"/>
  <c r="N148" i="9"/>
  <c r="O148" i="9"/>
  <c r="P148" i="9"/>
  <c r="Q148" i="9"/>
  <c r="K149" i="9"/>
  <c r="L149" i="9"/>
  <c r="M149" i="9"/>
  <c r="N149" i="9"/>
  <c r="O149" i="9"/>
  <c r="P149" i="9"/>
  <c r="Q149" i="9"/>
  <c r="K150" i="9"/>
  <c r="L150" i="9"/>
  <c r="M150" i="9"/>
  <c r="N150" i="9"/>
  <c r="O150" i="9"/>
  <c r="P150" i="9"/>
  <c r="Q150" i="9"/>
  <c r="K151" i="9"/>
  <c r="L151" i="9"/>
  <c r="M151" i="9"/>
  <c r="N151" i="9"/>
  <c r="O151" i="9"/>
  <c r="P151" i="9"/>
  <c r="Q151" i="9"/>
  <c r="K152" i="9"/>
  <c r="L152" i="9"/>
  <c r="M152" i="9"/>
  <c r="N152" i="9"/>
  <c r="O152" i="9"/>
  <c r="P152" i="9"/>
  <c r="Q152" i="9"/>
  <c r="K153" i="9"/>
  <c r="L153" i="9"/>
  <c r="M153" i="9"/>
  <c r="N153" i="9"/>
  <c r="O153" i="9"/>
  <c r="P153" i="9"/>
  <c r="Q153" i="9"/>
  <c r="L139" i="9"/>
  <c r="M139" i="9"/>
  <c r="N139" i="9"/>
  <c r="O139" i="9"/>
  <c r="P139" i="9"/>
  <c r="Q139" i="9"/>
  <c r="K139" i="9"/>
  <c r="K121" i="9"/>
  <c r="L121" i="9"/>
  <c r="M121" i="9"/>
  <c r="N121" i="9"/>
  <c r="O121" i="9"/>
  <c r="P121" i="9"/>
  <c r="Q121" i="9"/>
  <c r="K122" i="9"/>
  <c r="L122" i="9"/>
  <c r="M122" i="9"/>
  <c r="N122" i="9"/>
  <c r="O122" i="9"/>
  <c r="P122" i="9"/>
  <c r="Q122" i="9"/>
  <c r="K123" i="9"/>
  <c r="L123" i="9"/>
  <c r="M123" i="9"/>
  <c r="N123" i="9"/>
  <c r="O123" i="9"/>
  <c r="P123" i="9"/>
  <c r="Q123" i="9"/>
  <c r="K124" i="9"/>
  <c r="L124" i="9"/>
  <c r="M124" i="9"/>
  <c r="N124" i="9"/>
  <c r="O124" i="9"/>
  <c r="P124" i="9"/>
  <c r="Q124" i="9"/>
  <c r="K125" i="9"/>
  <c r="L125" i="9"/>
  <c r="M125" i="9"/>
  <c r="N125" i="9"/>
  <c r="O125" i="9"/>
  <c r="P125" i="9"/>
  <c r="Q125" i="9"/>
  <c r="K126" i="9"/>
  <c r="L126" i="9"/>
  <c r="M126" i="9"/>
  <c r="N126" i="9"/>
  <c r="O126" i="9"/>
  <c r="P126" i="9"/>
  <c r="Q126" i="9"/>
  <c r="K127" i="9"/>
  <c r="L127" i="9"/>
  <c r="M127" i="9"/>
  <c r="N127" i="9"/>
  <c r="O127" i="9"/>
  <c r="P127" i="9"/>
  <c r="Q127" i="9"/>
  <c r="K128" i="9"/>
  <c r="L128" i="9"/>
  <c r="M128" i="9"/>
  <c r="N128" i="9"/>
  <c r="O128" i="9"/>
  <c r="P128" i="9"/>
  <c r="Q128" i="9"/>
  <c r="K129" i="9"/>
  <c r="L129" i="9"/>
  <c r="M129" i="9"/>
  <c r="N129" i="9"/>
  <c r="O129" i="9"/>
  <c r="P129" i="9"/>
  <c r="Q129" i="9"/>
  <c r="K130" i="9"/>
  <c r="L130" i="9"/>
  <c r="M130" i="9"/>
  <c r="N130" i="9"/>
  <c r="O130" i="9"/>
  <c r="P130" i="9"/>
  <c r="Q130" i="9"/>
  <c r="K131" i="9"/>
  <c r="L131" i="9"/>
  <c r="M131" i="9"/>
  <c r="N131" i="9"/>
  <c r="O131" i="9"/>
  <c r="P131" i="9"/>
  <c r="Q131" i="9"/>
  <c r="K132" i="9"/>
  <c r="L132" i="9"/>
  <c r="M132" i="9"/>
  <c r="N132" i="9"/>
  <c r="O132" i="9"/>
  <c r="P132" i="9"/>
  <c r="Q132" i="9"/>
  <c r="K133" i="9"/>
  <c r="L133" i="9"/>
  <c r="M133" i="9"/>
  <c r="N133" i="9"/>
  <c r="O133" i="9"/>
  <c r="P133" i="9"/>
  <c r="Q133" i="9"/>
  <c r="K134" i="9"/>
  <c r="L134" i="9"/>
  <c r="M134" i="9"/>
  <c r="N134" i="9"/>
  <c r="O134" i="9"/>
  <c r="P134" i="9"/>
  <c r="Q134" i="9"/>
  <c r="L120" i="9"/>
  <c r="M120" i="9"/>
  <c r="N120" i="9"/>
  <c r="O120" i="9"/>
  <c r="P120" i="9"/>
  <c r="Q120" i="9"/>
  <c r="K120" i="9"/>
  <c r="K102" i="9"/>
  <c r="L102" i="9"/>
  <c r="M102" i="9"/>
  <c r="N102" i="9"/>
  <c r="O102" i="9"/>
  <c r="P102" i="9"/>
  <c r="Q102" i="9"/>
  <c r="K103" i="9"/>
  <c r="L103" i="9"/>
  <c r="M103" i="9"/>
  <c r="N103" i="9"/>
  <c r="O103" i="9"/>
  <c r="P103" i="9"/>
  <c r="Q103" i="9"/>
  <c r="K104" i="9"/>
  <c r="L104" i="9"/>
  <c r="M104" i="9"/>
  <c r="N104" i="9"/>
  <c r="O104" i="9"/>
  <c r="P104" i="9"/>
  <c r="Q104" i="9"/>
  <c r="K105" i="9"/>
  <c r="L105" i="9"/>
  <c r="M105" i="9"/>
  <c r="N105" i="9"/>
  <c r="O105" i="9"/>
  <c r="P105" i="9"/>
  <c r="Q105" i="9"/>
  <c r="K106" i="9"/>
  <c r="L106" i="9"/>
  <c r="M106" i="9"/>
  <c r="N106" i="9"/>
  <c r="O106" i="9"/>
  <c r="P106" i="9"/>
  <c r="Q106" i="9"/>
  <c r="K107" i="9"/>
  <c r="L107" i="9"/>
  <c r="M107" i="9"/>
  <c r="N107" i="9"/>
  <c r="O107" i="9"/>
  <c r="P107" i="9"/>
  <c r="Q107" i="9"/>
  <c r="K108" i="9"/>
  <c r="L108" i="9"/>
  <c r="M108" i="9"/>
  <c r="N108" i="9"/>
  <c r="O108" i="9"/>
  <c r="P108" i="9"/>
  <c r="Q108" i="9"/>
  <c r="K109" i="9"/>
  <c r="L109" i="9"/>
  <c r="M109" i="9"/>
  <c r="N109" i="9"/>
  <c r="O109" i="9"/>
  <c r="P109" i="9"/>
  <c r="Q109" i="9"/>
  <c r="K110" i="9"/>
  <c r="L110" i="9"/>
  <c r="M110" i="9"/>
  <c r="N110" i="9"/>
  <c r="O110" i="9"/>
  <c r="P110" i="9"/>
  <c r="Q110" i="9"/>
  <c r="K111" i="9"/>
  <c r="L111" i="9"/>
  <c r="M111" i="9"/>
  <c r="N111" i="9"/>
  <c r="O111" i="9"/>
  <c r="P111" i="9"/>
  <c r="Q111" i="9"/>
  <c r="K112" i="9"/>
  <c r="L112" i="9"/>
  <c r="M112" i="9"/>
  <c r="N112" i="9"/>
  <c r="O112" i="9"/>
  <c r="P112" i="9"/>
  <c r="Q112" i="9"/>
  <c r="K113" i="9"/>
  <c r="L113" i="9"/>
  <c r="M113" i="9"/>
  <c r="N113" i="9"/>
  <c r="O113" i="9"/>
  <c r="P113" i="9"/>
  <c r="Q113" i="9"/>
  <c r="K114" i="9"/>
  <c r="L114" i="9"/>
  <c r="M114" i="9"/>
  <c r="N114" i="9"/>
  <c r="O114" i="9"/>
  <c r="P114" i="9"/>
  <c r="Q114" i="9"/>
  <c r="K115" i="9"/>
  <c r="L115" i="9"/>
  <c r="M115" i="9"/>
  <c r="N115" i="9"/>
  <c r="O115" i="9"/>
  <c r="P115" i="9"/>
  <c r="Q115" i="9"/>
  <c r="L101" i="9"/>
  <c r="M101" i="9"/>
  <c r="N101" i="9"/>
  <c r="O101" i="9"/>
  <c r="P101" i="9"/>
  <c r="Q101" i="9"/>
  <c r="K101" i="9"/>
  <c r="K83" i="9"/>
  <c r="L83" i="9"/>
  <c r="M83" i="9"/>
  <c r="N83" i="9"/>
  <c r="O83" i="9"/>
  <c r="P83" i="9"/>
  <c r="Q83" i="9"/>
  <c r="K84" i="9"/>
  <c r="L84" i="9"/>
  <c r="M84" i="9"/>
  <c r="N84" i="9"/>
  <c r="O84" i="9"/>
  <c r="P84" i="9"/>
  <c r="Q84" i="9"/>
  <c r="K85" i="9"/>
  <c r="L85" i="9"/>
  <c r="M85" i="9"/>
  <c r="N85" i="9"/>
  <c r="O85" i="9"/>
  <c r="P85" i="9"/>
  <c r="Q85" i="9"/>
  <c r="K86" i="9"/>
  <c r="L86" i="9"/>
  <c r="M86" i="9"/>
  <c r="N86" i="9"/>
  <c r="O86" i="9"/>
  <c r="P86" i="9"/>
  <c r="Q86" i="9"/>
  <c r="K87" i="9"/>
  <c r="L87" i="9"/>
  <c r="M87" i="9"/>
  <c r="N87" i="9"/>
  <c r="O87" i="9"/>
  <c r="P87" i="9"/>
  <c r="Q87" i="9"/>
  <c r="K88" i="9"/>
  <c r="L88" i="9"/>
  <c r="M88" i="9"/>
  <c r="N88" i="9"/>
  <c r="O88" i="9"/>
  <c r="P88" i="9"/>
  <c r="Q88" i="9"/>
  <c r="K89" i="9"/>
  <c r="L89" i="9"/>
  <c r="M89" i="9"/>
  <c r="N89" i="9"/>
  <c r="O89" i="9"/>
  <c r="P89" i="9"/>
  <c r="Q89" i="9"/>
  <c r="K90" i="9"/>
  <c r="L90" i="9"/>
  <c r="M90" i="9"/>
  <c r="N90" i="9"/>
  <c r="O90" i="9"/>
  <c r="P90" i="9"/>
  <c r="Q90" i="9"/>
  <c r="K91" i="9"/>
  <c r="L91" i="9"/>
  <c r="M91" i="9"/>
  <c r="N91" i="9"/>
  <c r="O91" i="9"/>
  <c r="P91" i="9"/>
  <c r="Q91" i="9"/>
  <c r="K92" i="9"/>
  <c r="L92" i="9"/>
  <c r="M92" i="9"/>
  <c r="N92" i="9"/>
  <c r="O92" i="9"/>
  <c r="P92" i="9"/>
  <c r="Q92" i="9"/>
  <c r="K93" i="9"/>
  <c r="L93" i="9"/>
  <c r="M93" i="9"/>
  <c r="N93" i="9"/>
  <c r="O93" i="9"/>
  <c r="P93" i="9"/>
  <c r="Q93" i="9"/>
  <c r="K94" i="9"/>
  <c r="L94" i="9"/>
  <c r="M94" i="9"/>
  <c r="N94" i="9"/>
  <c r="O94" i="9"/>
  <c r="P94" i="9"/>
  <c r="Q94" i="9"/>
  <c r="K95" i="9"/>
  <c r="L95" i="9"/>
  <c r="M95" i="9"/>
  <c r="N95" i="9"/>
  <c r="O95" i="9"/>
  <c r="P95" i="9"/>
  <c r="Q95" i="9"/>
  <c r="K96" i="9"/>
  <c r="L96" i="9"/>
  <c r="M96" i="9"/>
  <c r="N96" i="9"/>
  <c r="O96" i="9"/>
  <c r="P96" i="9"/>
  <c r="Q96" i="9"/>
  <c r="L82" i="9"/>
  <c r="M82" i="9"/>
  <c r="N82" i="9"/>
  <c r="O82" i="9"/>
  <c r="P82" i="9"/>
  <c r="Q82" i="9"/>
  <c r="K82" i="9"/>
  <c r="K64" i="9"/>
  <c r="L64" i="9"/>
  <c r="M64" i="9"/>
  <c r="N64" i="9"/>
  <c r="O64" i="9"/>
  <c r="P64" i="9"/>
  <c r="Q64" i="9"/>
  <c r="K65" i="9"/>
  <c r="L65" i="9"/>
  <c r="M65" i="9"/>
  <c r="N65" i="9"/>
  <c r="O65" i="9"/>
  <c r="P65" i="9"/>
  <c r="Q65" i="9"/>
  <c r="K66" i="9"/>
  <c r="L66" i="9"/>
  <c r="M66" i="9"/>
  <c r="N66" i="9"/>
  <c r="O66" i="9"/>
  <c r="P66" i="9"/>
  <c r="Q66" i="9"/>
  <c r="K67" i="9"/>
  <c r="L67" i="9"/>
  <c r="M67" i="9"/>
  <c r="N67" i="9"/>
  <c r="O67" i="9"/>
  <c r="P67" i="9"/>
  <c r="Q67" i="9"/>
  <c r="K68" i="9"/>
  <c r="L68" i="9"/>
  <c r="M68" i="9"/>
  <c r="N68" i="9"/>
  <c r="O68" i="9"/>
  <c r="P68" i="9"/>
  <c r="Q68" i="9"/>
  <c r="K69" i="9"/>
  <c r="L69" i="9"/>
  <c r="M69" i="9"/>
  <c r="N69" i="9"/>
  <c r="O69" i="9"/>
  <c r="P69" i="9"/>
  <c r="Q69" i="9"/>
  <c r="K70" i="9"/>
  <c r="L70" i="9"/>
  <c r="M70" i="9"/>
  <c r="N70" i="9"/>
  <c r="O70" i="9"/>
  <c r="P70" i="9"/>
  <c r="Q70" i="9"/>
  <c r="K71" i="9"/>
  <c r="L71" i="9"/>
  <c r="M71" i="9"/>
  <c r="N71" i="9"/>
  <c r="O71" i="9"/>
  <c r="P71" i="9"/>
  <c r="Q71" i="9"/>
  <c r="K72" i="9"/>
  <c r="L72" i="9"/>
  <c r="M72" i="9"/>
  <c r="N72" i="9"/>
  <c r="O72" i="9"/>
  <c r="P72" i="9"/>
  <c r="Q72" i="9"/>
  <c r="K73" i="9"/>
  <c r="L73" i="9"/>
  <c r="M73" i="9"/>
  <c r="N73" i="9"/>
  <c r="O73" i="9"/>
  <c r="P73" i="9"/>
  <c r="Q73" i="9"/>
  <c r="K74" i="9"/>
  <c r="L74" i="9"/>
  <c r="M74" i="9"/>
  <c r="N74" i="9"/>
  <c r="O74" i="9"/>
  <c r="P74" i="9"/>
  <c r="Q74" i="9"/>
  <c r="K75" i="9"/>
  <c r="L75" i="9"/>
  <c r="M75" i="9"/>
  <c r="N75" i="9"/>
  <c r="O75" i="9"/>
  <c r="P75" i="9"/>
  <c r="Q75" i="9"/>
  <c r="K76" i="9"/>
  <c r="L76" i="9"/>
  <c r="M76" i="9"/>
  <c r="N76" i="9"/>
  <c r="O76" i="9"/>
  <c r="P76" i="9"/>
  <c r="Q76" i="9"/>
  <c r="K77" i="9"/>
  <c r="L77" i="9"/>
  <c r="M77" i="9"/>
  <c r="N77" i="9"/>
  <c r="O77" i="9"/>
  <c r="P77" i="9"/>
  <c r="Q77" i="9"/>
  <c r="L63" i="9"/>
  <c r="M63" i="9"/>
  <c r="N63" i="9"/>
  <c r="O63" i="9"/>
  <c r="P63" i="9"/>
  <c r="Q63" i="9"/>
  <c r="K63" i="9"/>
  <c r="K45" i="9"/>
  <c r="L45" i="9"/>
  <c r="M45" i="9"/>
  <c r="N45" i="9"/>
  <c r="O45" i="9"/>
  <c r="P45" i="9"/>
  <c r="Q45" i="9"/>
  <c r="K46" i="9"/>
  <c r="L46" i="9"/>
  <c r="M46" i="9"/>
  <c r="N46" i="9"/>
  <c r="O46" i="9"/>
  <c r="P46" i="9"/>
  <c r="Q46" i="9"/>
  <c r="K47" i="9"/>
  <c r="L47" i="9"/>
  <c r="M47" i="9"/>
  <c r="N47" i="9"/>
  <c r="O47" i="9"/>
  <c r="P47" i="9"/>
  <c r="Q47" i="9"/>
  <c r="K48" i="9"/>
  <c r="L48" i="9"/>
  <c r="M48" i="9"/>
  <c r="N48" i="9"/>
  <c r="O48" i="9"/>
  <c r="P48" i="9"/>
  <c r="Q48" i="9"/>
  <c r="K49" i="9"/>
  <c r="L49" i="9"/>
  <c r="M49" i="9"/>
  <c r="N49" i="9"/>
  <c r="O49" i="9"/>
  <c r="P49" i="9"/>
  <c r="Q49" i="9"/>
  <c r="K50" i="9"/>
  <c r="L50" i="9"/>
  <c r="M50" i="9"/>
  <c r="N50" i="9"/>
  <c r="O50" i="9"/>
  <c r="P50" i="9"/>
  <c r="Q50" i="9"/>
  <c r="K51" i="9"/>
  <c r="L51" i="9"/>
  <c r="M51" i="9"/>
  <c r="N51" i="9"/>
  <c r="O51" i="9"/>
  <c r="P51" i="9"/>
  <c r="Q51" i="9"/>
  <c r="K52" i="9"/>
  <c r="L52" i="9"/>
  <c r="M52" i="9"/>
  <c r="N52" i="9"/>
  <c r="O52" i="9"/>
  <c r="P52" i="9"/>
  <c r="Q52" i="9"/>
  <c r="K53" i="9"/>
  <c r="L53" i="9"/>
  <c r="M53" i="9"/>
  <c r="N53" i="9"/>
  <c r="O53" i="9"/>
  <c r="P53" i="9"/>
  <c r="Q53" i="9"/>
  <c r="K54" i="9"/>
  <c r="L54" i="9"/>
  <c r="M54" i="9"/>
  <c r="N54" i="9"/>
  <c r="O54" i="9"/>
  <c r="P54" i="9"/>
  <c r="Q54" i="9"/>
  <c r="K55" i="9"/>
  <c r="L55" i="9"/>
  <c r="M55" i="9"/>
  <c r="N55" i="9"/>
  <c r="O55" i="9"/>
  <c r="P55" i="9"/>
  <c r="Q55" i="9"/>
  <c r="K56" i="9"/>
  <c r="L56" i="9"/>
  <c r="M56" i="9"/>
  <c r="N56" i="9"/>
  <c r="O56" i="9"/>
  <c r="P56" i="9"/>
  <c r="Q56" i="9"/>
  <c r="K57" i="9"/>
  <c r="L57" i="9"/>
  <c r="M57" i="9"/>
  <c r="N57" i="9"/>
  <c r="O57" i="9"/>
  <c r="P57" i="9"/>
  <c r="Q57" i="9"/>
  <c r="K58" i="9"/>
  <c r="L58" i="9"/>
  <c r="M58" i="9"/>
  <c r="N58" i="9"/>
  <c r="O58" i="9"/>
  <c r="P58" i="9"/>
  <c r="Q58" i="9"/>
  <c r="L44" i="9"/>
  <c r="M44" i="9"/>
  <c r="N44" i="9"/>
  <c r="O44" i="9"/>
  <c r="P44" i="9"/>
  <c r="Q44" i="9"/>
  <c r="K44" i="9"/>
  <c r="K26" i="9"/>
  <c r="L26" i="9"/>
  <c r="M26" i="9"/>
  <c r="N26" i="9"/>
  <c r="O26" i="9"/>
  <c r="P26" i="9"/>
  <c r="Q26" i="9"/>
  <c r="K27" i="9"/>
  <c r="L27" i="9"/>
  <c r="M27" i="9"/>
  <c r="N27" i="9"/>
  <c r="O27" i="9"/>
  <c r="P27" i="9"/>
  <c r="Q27" i="9"/>
  <c r="K28" i="9"/>
  <c r="L28" i="9"/>
  <c r="M28" i="9"/>
  <c r="N28" i="9"/>
  <c r="O28" i="9"/>
  <c r="P28" i="9"/>
  <c r="Q28" i="9"/>
  <c r="K29" i="9"/>
  <c r="L29" i="9"/>
  <c r="M29" i="9"/>
  <c r="N29" i="9"/>
  <c r="O29" i="9"/>
  <c r="P29" i="9"/>
  <c r="Q29" i="9"/>
  <c r="K30" i="9"/>
  <c r="L30" i="9"/>
  <c r="M30" i="9"/>
  <c r="N30" i="9"/>
  <c r="O30" i="9"/>
  <c r="P30" i="9"/>
  <c r="Q30" i="9"/>
  <c r="K31" i="9"/>
  <c r="L31" i="9"/>
  <c r="M31" i="9"/>
  <c r="N31" i="9"/>
  <c r="O31" i="9"/>
  <c r="P31" i="9"/>
  <c r="Q31" i="9"/>
  <c r="K32" i="9"/>
  <c r="L32" i="9"/>
  <c r="M32" i="9"/>
  <c r="N32" i="9"/>
  <c r="O32" i="9"/>
  <c r="P32" i="9"/>
  <c r="Q32" i="9"/>
  <c r="K33" i="9"/>
  <c r="L33" i="9"/>
  <c r="M33" i="9"/>
  <c r="N33" i="9"/>
  <c r="O33" i="9"/>
  <c r="P33" i="9"/>
  <c r="Q33" i="9"/>
  <c r="K34" i="9"/>
  <c r="L34" i="9"/>
  <c r="M34" i="9"/>
  <c r="N34" i="9"/>
  <c r="O34" i="9"/>
  <c r="P34" i="9"/>
  <c r="Q34" i="9"/>
  <c r="K35" i="9"/>
  <c r="L35" i="9"/>
  <c r="M35" i="9"/>
  <c r="N35" i="9"/>
  <c r="O35" i="9"/>
  <c r="P35" i="9"/>
  <c r="Q35" i="9"/>
  <c r="K36" i="9"/>
  <c r="L36" i="9"/>
  <c r="M36" i="9"/>
  <c r="N36" i="9"/>
  <c r="O36" i="9"/>
  <c r="P36" i="9"/>
  <c r="Q36" i="9"/>
  <c r="K37" i="9"/>
  <c r="L37" i="9"/>
  <c r="M37" i="9"/>
  <c r="N37" i="9"/>
  <c r="O37" i="9"/>
  <c r="P37" i="9"/>
  <c r="Q37" i="9"/>
  <c r="K38" i="9"/>
  <c r="L38" i="9"/>
  <c r="M38" i="9"/>
  <c r="N38" i="9"/>
  <c r="O38" i="9"/>
  <c r="P38" i="9"/>
  <c r="Q38" i="9"/>
  <c r="K39" i="9"/>
  <c r="L39" i="9"/>
  <c r="M39" i="9"/>
  <c r="N39" i="9"/>
  <c r="O39" i="9"/>
  <c r="P39" i="9"/>
  <c r="Q39" i="9"/>
  <c r="L25" i="9"/>
  <c r="M25" i="9"/>
  <c r="N25" i="9"/>
  <c r="O25" i="9"/>
  <c r="P25" i="9"/>
  <c r="Q25" i="9"/>
  <c r="K25" i="9"/>
  <c r="K7" i="9"/>
  <c r="L7" i="9"/>
  <c r="M7" i="9"/>
  <c r="N7" i="9"/>
  <c r="O7" i="9"/>
  <c r="P7" i="9"/>
  <c r="Q7" i="9"/>
  <c r="K8" i="9"/>
  <c r="L8" i="9"/>
  <c r="M8" i="9"/>
  <c r="N8" i="9"/>
  <c r="O8" i="9"/>
  <c r="P8" i="9"/>
  <c r="Q8" i="9"/>
  <c r="K9" i="9"/>
  <c r="L9" i="9"/>
  <c r="M9" i="9"/>
  <c r="N9" i="9"/>
  <c r="O9" i="9"/>
  <c r="P9" i="9"/>
  <c r="Q9" i="9"/>
  <c r="K10" i="9"/>
  <c r="L10" i="9"/>
  <c r="M10" i="9"/>
  <c r="N10" i="9"/>
  <c r="O10" i="9"/>
  <c r="P10" i="9"/>
  <c r="Q10" i="9"/>
  <c r="K11" i="9"/>
  <c r="L11" i="9"/>
  <c r="M11" i="9"/>
  <c r="N11" i="9"/>
  <c r="O11" i="9"/>
  <c r="P11" i="9"/>
  <c r="Q11" i="9"/>
  <c r="K12" i="9"/>
  <c r="L12" i="9"/>
  <c r="M12" i="9"/>
  <c r="N12" i="9"/>
  <c r="O12" i="9"/>
  <c r="P12" i="9"/>
  <c r="Q12" i="9"/>
  <c r="K13" i="9"/>
  <c r="L13" i="9"/>
  <c r="M13" i="9"/>
  <c r="N13" i="9"/>
  <c r="O13" i="9"/>
  <c r="P13" i="9"/>
  <c r="Q13" i="9"/>
  <c r="K14" i="9"/>
  <c r="L14" i="9"/>
  <c r="M14" i="9"/>
  <c r="N14" i="9"/>
  <c r="O14" i="9"/>
  <c r="P14" i="9"/>
  <c r="Q14" i="9"/>
  <c r="K15" i="9"/>
  <c r="L15" i="9"/>
  <c r="M15" i="9"/>
  <c r="N15" i="9"/>
  <c r="O15" i="9"/>
  <c r="P15" i="9"/>
  <c r="Q15" i="9"/>
  <c r="K16" i="9"/>
  <c r="L16" i="9"/>
  <c r="M16" i="9"/>
  <c r="N16" i="9"/>
  <c r="O16" i="9"/>
  <c r="P16" i="9"/>
  <c r="Q16" i="9"/>
  <c r="K17" i="9"/>
  <c r="L17" i="9"/>
  <c r="M17" i="9"/>
  <c r="N17" i="9"/>
  <c r="O17" i="9"/>
  <c r="P17" i="9"/>
  <c r="Q17" i="9"/>
  <c r="K18" i="9"/>
  <c r="L18" i="9"/>
  <c r="M18" i="9"/>
  <c r="N18" i="9"/>
  <c r="O18" i="9"/>
  <c r="P18" i="9"/>
  <c r="Q18" i="9"/>
  <c r="K19" i="9"/>
  <c r="L19" i="9"/>
  <c r="M19" i="9"/>
  <c r="N19" i="9"/>
  <c r="O19" i="9"/>
  <c r="P19" i="9"/>
  <c r="Q19" i="9"/>
  <c r="K20" i="9"/>
  <c r="L20" i="9"/>
  <c r="M20" i="9"/>
  <c r="N20" i="9"/>
  <c r="O20" i="9"/>
  <c r="P20" i="9"/>
  <c r="Q20" i="9"/>
  <c r="L6" i="9"/>
  <c r="M6" i="9"/>
  <c r="N6" i="9"/>
  <c r="O6" i="9"/>
  <c r="P6" i="9"/>
  <c r="Q6" i="9"/>
  <c r="K6" i="9"/>
  <c r="B140" i="9"/>
  <c r="C140" i="9"/>
  <c r="D140" i="9"/>
  <c r="E140" i="9"/>
  <c r="F140" i="9"/>
  <c r="G140" i="9"/>
  <c r="H140" i="9"/>
  <c r="B141" i="9"/>
  <c r="C141" i="9"/>
  <c r="D141" i="9"/>
  <c r="E141" i="9"/>
  <c r="F141" i="9"/>
  <c r="G141" i="9"/>
  <c r="H141" i="9"/>
  <c r="B142" i="9"/>
  <c r="C142" i="9"/>
  <c r="D142" i="9"/>
  <c r="E142" i="9"/>
  <c r="F142" i="9"/>
  <c r="G142" i="9"/>
  <c r="H142" i="9"/>
  <c r="B143" i="9"/>
  <c r="C143" i="9"/>
  <c r="D143" i="9"/>
  <c r="E143" i="9"/>
  <c r="F143" i="9"/>
  <c r="G143" i="9"/>
  <c r="H143" i="9"/>
  <c r="B144" i="9"/>
  <c r="C144" i="9"/>
  <c r="D144" i="9"/>
  <c r="E144" i="9"/>
  <c r="F144" i="9"/>
  <c r="G144" i="9"/>
  <c r="H144" i="9"/>
  <c r="B145" i="9"/>
  <c r="C145" i="9"/>
  <c r="D145" i="9"/>
  <c r="E145" i="9"/>
  <c r="F145" i="9"/>
  <c r="G145" i="9"/>
  <c r="H145" i="9"/>
  <c r="B146" i="9"/>
  <c r="C146" i="9"/>
  <c r="D146" i="9"/>
  <c r="E146" i="9"/>
  <c r="F146" i="9"/>
  <c r="G146" i="9"/>
  <c r="H146" i="9"/>
  <c r="B147" i="9"/>
  <c r="C147" i="9"/>
  <c r="D147" i="9"/>
  <c r="E147" i="9"/>
  <c r="F147" i="9"/>
  <c r="G147" i="9"/>
  <c r="H147" i="9"/>
  <c r="B148" i="9"/>
  <c r="C148" i="9"/>
  <c r="D148" i="9"/>
  <c r="E148" i="9"/>
  <c r="F148" i="9"/>
  <c r="G148" i="9"/>
  <c r="H148" i="9"/>
  <c r="B149" i="9"/>
  <c r="C149" i="9"/>
  <c r="D149" i="9"/>
  <c r="E149" i="9"/>
  <c r="F149" i="9"/>
  <c r="G149" i="9"/>
  <c r="H149" i="9"/>
  <c r="B150" i="9"/>
  <c r="C150" i="9"/>
  <c r="D150" i="9"/>
  <c r="E150" i="9"/>
  <c r="F150" i="9"/>
  <c r="G150" i="9"/>
  <c r="H150" i="9"/>
  <c r="B151" i="9"/>
  <c r="C151" i="9"/>
  <c r="D151" i="9"/>
  <c r="E151" i="9"/>
  <c r="F151" i="9"/>
  <c r="G151" i="9"/>
  <c r="H151" i="9"/>
  <c r="B152" i="9"/>
  <c r="C152" i="9"/>
  <c r="D152" i="9"/>
  <c r="E152" i="9"/>
  <c r="F152" i="9"/>
  <c r="G152" i="9"/>
  <c r="H152" i="9"/>
  <c r="B153" i="9"/>
  <c r="C153" i="9"/>
  <c r="D153" i="9"/>
  <c r="E153" i="9"/>
  <c r="F153" i="9"/>
  <c r="G153" i="9"/>
  <c r="H153" i="9"/>
  <c r="C139" i="9"/>
  <c r="D139" i="9"/>
  <c r="E139" i="9"/>
  <c r="F139" i="9"/>
  <c r="G139" i="9"/>
  <c r="H139" i="9"/>
  <c r="B139" i="9"/>
  <c r="B121" i="9"/>
  <c r="C121" i="9"/>
  <c r="D121" i="9"/>
  <c r="E121" i="9"/>
  <c r="F121" i="9"/>
  <c r="G121" i="9"/>
  <c r="H121" i="9"/>
  <c r="B122" i="9"/>
  <c r="C122" i="9"/>
  <c r="D122" i="9"/>
  <c r="E122" i="9"/>
  <c r="F122" i="9"/>
  <c r="G122" i="9"/>
  <c r="H122" i="9"/>
  <c r="B123" i="9"/>
  <c r="C123" i="9"/>
  <c r="D123" i="9"/>
  <c r="E123" i="9"/>
  <c r="F123" i="9"/>
  <c r="G123" i="9"/>
  <c r="H123" i="9"/>
  <c r="B124" i="9"/>
  <c r="C124" i="9"/>
  <c r="D124" i="9"/>
  <c r="E124" i="9"/>
  <c r="F124" i="9"/>
  <c r="G124" i="9"/>
  <c r="H124" i="9"/>
  <c r="B125" i="9"/>
  <c r="C125" i="9"/>
  <c r="D125" i="9"/>
  <c r="E125" i="9"/>
  <c r="F125" i="9"/>
  <c r="G125" i="9"/>
  <c r="H125" i="9"/>
  <c r="B126" i="9"/>
  <c r="C126" i="9"/>
  <c r="D126" i="9"/>
  <c r="E126" i="9"/>
  <c r="F126" i="9"/>
  <c r="G126" i="9"/>
  <c r="H126" i="9"/>
  <c r="B127" i="9"/>
  <c r="C127" i="9"/>
  <c r="D127" i="9"/>
  <c r="E127" i="9"/>
  <c r="F127" i="9"/>
  <c r="G127" i="9"/>
  <c r="H127" i="9"/>
  <c r="B128" i="9"/>
  <c r="C128" i="9"/>
  <c r="D128" i="9"/>
  <c r="E128" i="9"/>
  <c r="F128" i="9"/>
  <c r="G128" i="9"/>
  <c r="H128" i="9"/>
  <c r="B129" i="9"/>
  <c r="C129" i="9"/>
  <c r="D129" i="9"/>
  <c r="E129" i="9"/>
  <c r="F129" i="9"/>
  <c r="G129" i="9"/>
  <c r="H129" i="9"/>
  <c r="B130" i="9"/>
  <c r="C130" i="9"/>
  <c r="D130" i="9"/>
  <c r="E130" i="9"/>
  <c r="F130" i="9"/>
  <c r="G130" i="9"/>
  <c r="H130" i="9"/>
  <c r="B131" i="9"/>
  <c r="C131" i="9"/>
  <c r="D131" i="9"/>
  <c r="E131" i="9"/>
  <c r="F131" i="9"/>
  <c r="G131" i="9"/>
  <c r="H131" i="9"/>
  <c r="B132" i="9"/>
  <c r="C132" i="9"/>
  <c r="D132" i="9"/>
  <c r="E132" i="9"/>
  <c r="F132" i="9"/>
  <c r="G132" i="9"/>
  <c r="H132" i="9"/>
  <c r="B133" i="9"/>
  <c r="C133" i="9"/>
  <c r="D133" i="9"/>
  <c r="E133" i="9"/>
  <c r="F133" i="9"/>
  <c r="G133" i="9"/>
  <c r="H133" i="9"/>
  <c r="B134" i="9"/>
  <c r="C134" i="9"/>
  <c r="D134" i="9"/>
  <c r="E134" i="9"/>
  <c r="F134" i="9"/>
  <c r="G134" i="9"/>
  <c r="H134" i="9"/>
  <c r="C120" i="9"/>
  <c r="D120" i="9"/>
  <c r="E120" i="9"/>
  <c r="F120" i="9"/>
  <c r="G120" i="9"/>
  <c r="H120" i="9"/>
  <c r="B120" i="9"/>
  <c r="B102" i="9"/>
  <c r="C102" i="9"/>
  <c r="D102" i="9"/>
  <c r="E102" i="9"/>
  <c r="F102" i="9"/>
  <c r="G102" i="9"/>
  <c r="H102" i="9"/>
  <c r="B103" i="9"/>
  <c r="C103" i="9"/>
  <c r="D103" i="9"/>
  <c r="E103" i="9"/>
  <c r="F103" i="9"/>
  <c r="G103" i="9"/>
  <c r="H103" i="9"/>
  <c r="B104" i="9"/>
  <c r="C104" i="9"/>
  <c r="D104" i="9"/>
  <c r="E104" i="9"/>
  <c r="F104" i="9"/>
  <c r="G104" i="9"/>
  <c r="H104" i="9"/>
  <c r="B105" i="9"/>
  <c r="C105" i="9"/>
  <c r="D105" i="9"/>
  <c r="E105" i="9"/>
  <c r="F105" i="9"/>
  <c r="G105" i="9"/>
  <c r="H105" i="9"/>
  <c r="B106" i="9"/>
  <c r="C106" i="9"/>
  <c r="D106" i="9"/>
  <c r="E106" i="9"/>
  <c r="F106" i="9"/>
  <c r="G106" i="9"/>
  <c r="H106" i="9"/>
  <c r="B107" i="9"/>
  <c r="C107" i="9"/>
  <c r="D107" i="9"/>
  <c r="E107" i="9"/>
  <c r="F107" i="9"/>
  <c r="G107" i="9"/>
  <c r="H107" i="9"/>
  <c r="B108" i="9"/>
  <c r="C108" i="9"/>
  <c r="D108" i="9"/>
  <c r="E108" i="9"/>
  <c r="F108" i="9"/>
  <c r="G108" i="9"/>
  <c r="H108" i="9"/>
  <c r="B109" i="9"/>
  <c r="C109" i="9"/>
  <c r="D109" i="9"/>
  <c r="E109" i="9"/>
  <c r="F109" i="9"/>
  <c r="G109" i="9"/>
  <c r="H109" i="9"/>
  <c r="B110" i="9"/>
  <c r="C110" i="9"/>
  <c r="D110" i="9"/>
  <c r="E110" i="9"/>
  <c r="F110" i="9"/>
  <c r="G110" i="9"/>
  <c r="H110" i="9"/>
  <c r="B111" i="9"/>
  <c r="C111" i="9"/>
  <c r="D111" i="9"/>
  <c r="E111" i="9"/>
  <c r="F111" i="9"/>
  <c r="G111" i="9"/>
  <c r="H111" i="9"/>
  <c r="B112" i="9"/>
  <c r="C112" i="9"/>
  <c r="D112" i="9"/>
  <c r="E112" i="9"/>
  <c r="F112" i="9"/>
  <c r="G112" i="9"/>
  <c r="H112" i="9"/>
  <c r="B113" i="9"/>
  <c r="C113" i="9"/>
  <c r="D113" i="9"/>
  <c r="E113" i="9"/>
  <c r="F113" i="9"/>
  <c r="G113" i="9"/>
  <c r="H113" i="9"/>
  <c r="B114" i="9"/>
  <c r="C114" i="9"/>
  <c r="D114" i="9"/>
  <c r="E114" i="9"/>
  <c r="F114" i="9"/>
  <c r="G114" i="9"/>
  <c r="H114" i="9"/>
  <c r="B115" i="9"/>
  <c r="C115" i="9"/>
  <c r="D115" i="9"/>
  <c r="E115" i="9"/>
  <c r="F115" i="9"/>
  <c r="G115" i="9"/>
  <c r="H115" i="9"/>
  <c r="C101" i="9"/>
  <c r="D101" i="9"/>
  <c r="E101" i="9"/>
  <c r="F101" i="9"/>
  <c r="G101" i="9"/>
  <c r="H101" i="9"/>
  <c r="B101" i="9"/>
  <c r="B83" i="9"/>
  <c r="C83" i="9"/>
  <c r="D83" i="9"/>
  <c r="E83" i="9"/>
  <c r="F83" i="9"/>
  <c r="G83" i="9"/>
  <c r="H83" i="9"/>
  <c r="B84" i="9"/>
  <c r="C84" i="9"/>
  <c r="D84" i="9"/>
  <c r="E84" i="9"/>
  <c r="F84" i="9"/>
  <c r="G84" i="9"/>
  <c r="H84" i="9"/>
  <c r="B85" i="9"/>
  <c r="C85" i="9"/>
  <c r="D85" i="9"/>
  <c r="E85" i="9"/>
  <c r="F85" i="9"/>
  <c r="G85" i="9"/>
  <c r="H85" i="9"/>
  <c r="B86" i="9"/>
  <c r="C86" i="9"/>
  <c r="D86" i="9"/>
  <c r="E86" i="9"/>
  <c r="F86" i="9"/>
  <c r="G86" i="9"/>
  <c r="H86" i="9"/>
  <c r="B87" i="9"/>
  <c r="C87" i="9"/>
  <c r="D87" i="9"/>
  <c r="E87" i="9"/>
  <c r="F87" i="9"/>
  <c r="G87" i="9"/>
  <c r="H87" i="9"/>
  <c r="B88" i="9"/>
  <c r="C88" i="9"/>
  <c r="D88" i="9"/>
  <c r="E88" i="9"/>
  <c r="F88" i="9"/>
  <c r="G88" i="9"/>
  <c r="H88" i="9"/>
  <c r="B89" i="9"/>
  <c r="C89" i="9"/>
  <c r="D89" i="9"/>
  <c r="E89" i="9"/>
  <c r="F89" i="9"/>
  <c r="G89" i="9"/>
  <c r="H89" i="9"/>
  <c r="B90" i="9"/>
  <c r="C90" i="9"/>
  <c r="D90" i="9"/>
  <c r="E90" i="9"/>
  <c r="F90" i="9"/>
  <c r="G90" i="9"/>
  <c r="H90" i="9"/>
  <c r="B91" i="9"/>
  <c r="C91" i="9"/>
  <c r="D91" i="9"/>
  <c r="E91" i="9"/>
  <c r="F91" i="9"/>
  <c r="G91" i="9"/>
  <c r="H91" i="9"/>
  <c r="B92" i="9"/>
  <c r="C92" i="9"/>
  <c r="D92" i="9"/>
  <c r="E92" i="9"/>
  <c r="F92" i="9"/>
  <c r="G92" i="9"/>
  <c r="H92" i="9"/>
  <c r="B93" i="9"/>
  <c r="C93" i="9"/>
  <c r="D93" i="9"/>
  <c r="E93" i="9"/>
  <c r="F93" i="9"/>
  <c r="G93" i="9"/>
  <c r="H93" i="9"/>
  <c r="B94" i="9"/>
  <c r="C94" i="9"/>
  <c r="D94" i="9"/>
  <c r="E94" i="9"/>
  <c r="F94" i="9"/>
  <c r="G94" i="9"/>
  <c r="H94" i="9"/>
  <c r="B95" i="9"/>
  <c r="C95" i="9"/>
  <c r="D95" i="9"/>
  <c r="E95" i="9"/>
  <c r="F95" i="9"/>
  <c r="G95" i="9"/>
  <c r="H95" i="9"/>
  <c r="B96" i="9"/>
  <c r="C96" i="9"/>
  <c r="D96" i="9"/>
  <c r="E96" i="9"/>
  <c r="F96" i="9"/>
  <c r="G96" i="9"/>
  <c r="H96" i="9"/>
  <c r="C82" i="9"/>
  <c r="D82" i="9"/>
  <c r="E82" i="9"/>
  <c r="F82" i="9"/>
  <c r="G82" i="9"/>
  <c r="H82" i="9"/>
  <c r="B82" i="9"/>
  <c r="B64" i="9"/>
  <c r="C64" i="9"/>
  <c r="D64" i="9"/>
  <c r="E64" i="9"/>
  <c r="F64" i="9"/>
  <c r="G64" i="9"/>
  <c r="H64" i="9"/>
  <c r="B65" i="9"/>
  <c r="C65" i="9"/>
  <c r="D65" i="9"/>
  <c r="E65" i="9"/>
  <c r="F65" i="9"/>
  <c r="G65" i="9"/>
  <c r="H65" i="9"/>
  <c r="B66" i="9"/>
  <c r="C66" i="9"/>
  <c r="D66" i="9"/>
  <c r="E66" i="9"/>
  <c r="F66" i="9"/>
  <c r="G66" i="9"/>
  <c r="H66" i="9"/>
  <c r="B67" i="9"/>
  <c r="C67" i="9"/>
  <c r="D67" i="9"/>
  <c r="E67" i="9"/>
  <c r="F67" i="9"/>
  <c r="G67" i="9"/>
  <c r="H67" i="9"/>
  <c r="B68" i="9"/>
  <c r="C68" i="9"/>
  <c r="D68" i="9"/>
  <c r="E68" i="9"/>
  <c r="F68" i="9"/>
  <c r="G68" i="9"/>
  <c r="H68" i="9"/>
  <c r="B69" i="9"/>
  <c r="C69" i="9"/>
  <c r="D69" i="9"/>
  <c r="E69" i="9"/>
  <c r="F69" i="9"/>
  <c r="G69" i="9"/>
  <c r="H69" i="9"/>
  <c r="B70" i="9"/>
  <c r="C70" i="9"/>
  <c r="D70" i="9"/>
  <c r="E70" i="9"/>
  <c r="F70" i="9"/>
  <c r="G70" i="9"/>
  <c r="H70" i="9"/>
  <c r="B71" i="9"/>
  <c r="C71" i="9"/>
  <c r="D71" i="9"/>
  <c r="E71" i="9"/>
  <c r="F71" i="9"/>
  <c r="G71" i="9"/>
  <c r="H71" i="9"/>
  <c r="B72" i="9"/>
  <c r="C72" i="9"/>
  <c r="D72" i="9"/>
  <c r="E72" i="9"/>
  <c r="F72" i="9"/>
  <c r="G72" i="9"/>
  <c r="H72" i="9"/>
  <c r="B73" i="9"/>
  <c r="C73" i="9"/>
  <c r="D73" i="9"/>
  <c r="E73" i="9"/>
  <c r="F73" i="9"/>
  <c r="G73" i="9"/>
  <c r="H73" i="9"/>
  <c r="B74" i="9"/>
  <c r="C74" i="9"/>
  <c r="D74" i="9"/>
  <c r="E74" i="9"/>
  <c r="F74" i="9"/>
  <c r="G74" i="9"/>
  <c r="H74" i="9"/>
  <c r="B75" i="9"/>
  <c r="C75" i="9"/>
  <c r="D75" i="9"/>
  <c r="E75" i="9"/>
  <c r="F75" i="9"/>
  <c r="G75" i="9"/>
  <c r="H75" i="9"/>
  <c r="B76" i="9"/>
  <c r="C76" i="9"/>
  <c r="D76" i="9"/>
  <c r="E76" i="9"/>
  <c r="F76" i="9"/>
  <c r="G76" i="9"/>
  <c r="H76" i="9"/>
  <c r="B77" i="9"/>
  <c r="C77" i="9"/>
  <c r="D77" i="9"/>
  <c r="E77" i="9"/>
  <c r="F77" i="9"/>
  <c r="G77" i="9"/>
  <c r="H77" i="9"/>
  <c r="C63" i="9"/>
  <c r="D63" i="9"/>
  <c r="E63" i="9"/>
  <c r="F63" i="9"/>
  <c r="G63" i="9"/>
  <c r="H63" i="9"/>
  <c r="B63" i="9"/>
  <c r="B45" i="9"/>
  <c r="C45" i="9"/>
  <c r="D45" i="9"/>
  <c r="E45" i="9"/>
  <c r="F45" i="9"/>
  <c r="G45" i="9"/>
  <c r="H45" i="9"/>
  <c r="B46" i="9"/>
  <c r="C46" i="9"/>
  <c r="D46" i="9"/>
  <c r="E46" i="9"/>
  <c r="F46" i="9"/>
  <c r="G46" i="9"/>
  <c r="H46" i="9"/>
  <c r="B47" i="9"/>
  <c r="C47" i="9"/>
  <c r="D47" i="9"/>
  <c r="E47" i="9"/>
  <c r="F47" i="9"/>
  <c r="G47" i="9"/>
  <c r="H47" i="9"/>
  <c r="B48" i="9"/>
  <c r="C48" i="9"/>
  <c r="D48" i="9"/>
  <c r="E48" i="9"/>
  <c r="F48" i="9"/>
  <c r="G48" i="9"/>
  <c r="H48" i="9"/>
  <c r="B49" i="9"/>
  <c r="C49" i="9"/>
  <c r="D49" i="9"/>
  <c r="E49" i="9"/>
  <c r="F49" i="9"/>
  <c r="G49" i="9"/>
  <c r="H49" i="9"/>
  <c r="B50" i="9"/>
  <c r="C50" i="9"/>
  <c r="D50" i="9"/>
  <c r="E50" i="9"/>
  <c r="F50" i="9"/>
  <c r="G50" i="9"/>
  <c r="H50" i="9"/>
  <c r="B51" i="9"/>
  <c r="C51" i="9"/>
  <c r="D51" i="9"/>
  <c r="E51" i="9"/>
  <c r="F51" i="9"/>
  <c r="G51" i="9"/>
  <c r="H51" i="9"/>
  <c r="B52" i="9"/>
  <c r="C52" i="9"/>
  <c r="D52" i="9"/>
  <c r="E52" i="9"/>
  <c r="F52" i="9"/>
  <c r="G52" i="9"/>
  <c r="H52" i="9"/>
  <c r="B53" i="9"/>
  <c r="C53" i="9"/>
  <c r="D53" i="9"/>
  <c r="E53" i="9"/>
  <c r="F53" i="9"/>
  <c r="G53" i="9"/>
  <c r="H53" i="9"/>
  <c r="B54" i="9"/>
  <c r="C54" i="9"/>
  <c r="D54" i="9"/>
  <c r="E54" i="9"/>
  <c r="F54" i="9"/>
  <c r="G54" i="9"/>
  <c r="H54" i="9"/>
  <c r="B55" i="9"/>
  <c r="C55" i="9"/>
  <c r="D55" i="9"/>
  <c r="E55" i="9"/>
  <c r="F55" i="9"/>
  <c r="G55" i="9"/>
  <c r="H55" i="9"/>
  <c r="B56" i="9"/>
  <c r="C56" i="9"/>
  <c r="D56" i="9"/>
  <c r="E56" i="9"/>
  <c r="F56" i="9"/>
  <c r="G56" i="9"/>
  <c r="H56" i="9"/>
  <c r="B57" i="9"/>
  <c r="C57" i="9"/>
  <c r="D57" i="9"/>
  <c r="E57" i="9"/>
  <c r="F57" i="9"/>
  <c r="G57" i="9"/>
  <c r="H57" i="9"/>
  <c r="B58" i="9"/>
  <c r="C58" i="9"/>
  <c r="D58" i="9"/>
  <c r="E58" i="9"/>
  <c r="F58" i="9"/>
  <c r="G58" i="9"/>
  <c r="H58" i="9"/>
  <c r="C44" i="9"/>
  <c r="D44" i="9"/>
  <c r="E44" i="9"/>
  <c r="F44" i="9"/>
  <c r="G44" i="9"/>
  <c r="H44" i="9"/>
  <c r="B44" i="9"/>
  <c r="B26" i="9"/>
  <c r="C26" i="9"/>
  <c r="D26" i="9"/>
  <c r="E26" i="9"/>
  <c r="F26" i="9"/>
  <c r="G26" i="9"/>
  <c r="H26" i="9"/>
  <c r="B27" i="9"/>
  <c r="C27" i="9"/>
  <c r="D27" i="9"/>
  <c r="E27" i="9"/>
  <c r="F27" i="9"/>
  <c r="G27" i="9"/>
  <c r="H27" i="9"/>
  <c r="B28" i="9"/>
  <c r="C28" i="9"/>
  <c r="D28" i="9"/>
  <c r="E28" i="9"/>
  <c r="F28" i="9"/>
  <c r="G28" i="9"/>
  <c r="H28" i="9"/>
  <c r="B29" i="9"/>
  <c r="C29" i="9"/>
  <c r="D29" i="9"/>
  <c r="E29" i="9"/>
  <c r="F29" i="9"/>
  <c r="G29" i="9"/>
  <c r="H29" i="9"/>
  <c r="B30" i="9"/>
  <c r="C30" i="9"/>
  <c r="D30" i="9"/>
  <c r="E30" i="9"/>
  <c r="F30" i="9"/>
  <c r="G30" i="9"/>
  <c r="H30" i="9"/>
  <c r="B31" i="9"/>
  <c r="C31" i="9"/>
  <c r="D31" i="9"/>
  <c r="E31" i="9"/>
  <c r="F31" i="9"/>
  <c r="G31" i="9"/>
  <c r="H31" i="9"/>
  <c r="B32" i="9"/>
  <c r="C32" i="9"/>
  <c r="D32" i="9"/>
  <c r="E32" i="9"/>
  <c r="F32" i="9"/>
  <c r="G32" i="9"/>
  <c r="H32" i="9"/>
  <c r="B33" i="9"/>
  <c r="C33" i="9"/>
  <c r="D33" i="9"/>
  <c r="E33" i="9"/>
  <c r="F33" i="9"/>
  <c r="G33" i="9"/>
  <c r="H33" i="9"/>
  <c r="B34" i="9"/>
  <c r="C34" i="9"/>
  <c r="D34" i="9"/>
  <c r="E34" i="9"/>
  <c r="F34" i="9"/>
  <c r="G34" i="9"/>
  <c r="H34" i="9"/>
  <c r="B35" i="9"/>
  <c r="C35" i="9"/>
  <c r="D35" i="9"/>
  <c r="E35" i="9"/>
  <c r="F35" i="9"/>
  <c r="G35" i="9"/>
  <c r="H35" i="9"/>
  <c r="B36" i="9"/>
  <c r="C36" i="9"/>
  <c r="D36" i="9"/>
  <c r="E36" i="9"/>
  <c r="F36" i="9"/>
  <c r="G36" i="9"/>
  <c r="H36" i="9"/>
  <c r="B37" i="9"/>
  <c r="C37" i="9"/>
  <c r="D37" i="9"/>
  <c r="E37" i="9"/>
  <c r="F37" i="9"/>
  <c r="G37" i="9"/>
  <c r="H37" i="9"/>
  <c r="B38" i="9"/>
  <c r="C38" i="9"/>
  <c r="D38" i="9"/>
  <c r="E38" i="9"/>
  <c r="F38" i="9"/>
  <c r="G38" i="9"/>
  <c r="H38" i="9"/>
  <c r="B39" i="9"/>
  <c r="C39" i="9"/>
  <c r="D39" i="9"/>
  <c r="E39" i="9"/>
  <c r="F39" i="9"/>
  <c r="G39" i="9"/>
  <c r="H39" i="9"/>
  <c r="C25" i="9"/>
  <c r="D25" i="9"/>
  <c r="E25" i="9"/>
  <c r="F25" i="9"/>
  <c r="G25" i="9"/>
  <c r="H25" i="9"/>
  <c r="B25" i="9"/>
  <c r="B7" i="9"/>
  <c r="C7" i="9"/>
  <c r="D7" i="9"/>
  <c r="E7" i="9"/>
  <c r="F7" i="9"/>
  <c r="G7" i="9"/>
  <c r="H7" i="9"/>
  <c r="B8" i="9"/>
  <c r="C8" i="9"/>
  <c r="D8" i="9"/>
  <c r="E8" i="9"/>
  <c r="F8" i="9"/>
  <c r="G8" i="9"/>
  <c r="H8" i="9"/>
  <c r="B9" i="9"/>
  <c r="C9" i="9"/>
  <c r="D9" i="9"/>
  <c r="E9" i="9"/>
  <c r="F9" i="9"/>
  <c r="G9" i="9"/>
  <c r="H9" i="9"/>
  <c r="B10" i="9"/>
  <c r="C10" i="9"/>
  <c r="D10" i="9"/>
  <c r="E10" i="9"/>
  <c r="F10" i="9"/>
  <c r="G10" i="9"/>
  <c r="H10" i="9"/>
  <c r="B11" i="9"/>
  <c r="C11" i="9"/>
  <c r="D11" i="9"/>
  <c r="E11" i="9"/>
  <c r="F11" i="9"/>
  <c r="G11" i="9"/>
  <c r="H11" i="9"/>
  <c r="B12" i="9"/>
  <c r="C12" i="9"/>
  <c r="D12" i="9"/>
  <c r="E12" i="9"/>
  <c r="F12" i="9"/>
  <c r="G12" i="9"/>
  <c r="H12" i="9"/>
  <c r="B13" i="9"/>
  <c r="C13" i="9"/>
  <c r="D13" i="9"/>
  <c r="E13" i="9"/>
  <c r="F13" i="9"/>
  <c r="G13" i="9"/>
  <c r="H13" i="9"/>
  <c r="B14" i="9"/>
  <c r="C14" i="9"/>
  <c r="D14" i="9"/>
  <c r="E14" i="9"/>
  <c r="F14" i="9"/>
  <c r="G14" i="9"/>
  <c r="H14" i="9"/>
  <c r="B15" i="9"/>
  <c r="C15" i="9"/>
  <c r="D15" i="9"/>
  <c r="E15" i="9"/>
  <c r="F15" i="9"/>
  <c r="G15" i="9"/>
  <c r="H15" i="9"/>
  <c r="B16" i="9"/>
  <c r="C16" i="9"/>
  <c r="D16" i="9"/>
  <c r="E16" i="9"/>
  <c r="F16" i="9"/>
  <c r="G16" i="9"/>
  <c r="H16" i="9"/>
  <c r="B17" i="9"/>
  <c r="C17" i="9"/>
  <c r="D17" i="9"/>
  <c r="E17" i="9"/>
  <c r="F17" i="9"/>
  <c r="G17" i="9"/>
  <c r="H17" i="9"/>
  <c r="B18" i="9"/>
  <c r="C18" i="9"/>
  <c r="D18" i="9"/>
  <c r="E18" i="9"/>
  <c r="F18" i="9"/>
  <c r="G18" i="9"/>
  <c r="H18" i="9"/>
  <c r="B19" i="9"/>
  <c r="C19" i="9"/>
  <c r="D19" i="9"/>
  <c r="E19" i="9"/>
  <c r="F19" i="9"/>
  <c r="G19" i="9"/>
  <c r="H19" i="9"/>
  <c r="B20" i="9"/>
  <c r="C20" i="9"/>
  <c r="D20" i="9"/>
  <c r="E20" i="9"/>
  <c r="F20" i="9"/>
  <c r="G20" i="9"/>
  <c r="H20" i="9"/>
  <c r="C6" i="9"/>
  <c r="D6" i="9"/>
  <c r="E6" i="9"/>
  <c r="F6" i="9"/>
  <c r="G6" i="9"/>
  <c r="H6" i="9"/>
  <c r="B6" i="9"/>
  <c r="AC140" i="13"/>
  <c r="AD140" i="13"/>
  <c r="AE140" i="13"/>
  <c r="AF140" i="13"/>
  <c r="AG140" i="13"/>
  <c r="AH140" i="13"/>
  <c r="AI140" i="13"/>
  <c r="AC141" i="13"/>
  <c r="AD141" i="13"/>
  <c r="AE141" i="13"/>
  <c r="AF141" i="13"/>
  <c r="AG141" i="13"/>
  <c r="AH141" i="13"/>
  <c r="AI141" i="13"/>
  <c r="AC142" i="13"/>
  <c r="AD142" i="13"/>
  <c r="AE142" i="13"/>
  <c r="AF142" i="13"/>
  <c r="AG142" i="13"/>
  <c r="AH142" i="13"/>
  <c r="AI142" i="13"/>
  <c r="AC143" i="13"/>
  <c r="AD143" i="13"/>
  <c r="AE143" i="13"/>
  <c r="AF143" i="13"/>
  <c r="AG143" i="13"/>
  <c r="AH143" i="13"/>
  <c r="AI143" i="13"/>
  <c r="AC144" i="13"/>
  <c r="AD144" i="13"/>
  <c r="AE144" i="13"/>
  <c r="AF144" i="13"/>
  <c r="AG144" i="13"/>
  <c r="AH144" i="13"/>
  <c r="AI144" i="13"/>
  <c r="AC145" i="13"/>
  <c r="AD145" i="13"/>
  <c r="AE145" i="13"/>
  <c r="AF145" i="13"/>
  <c r="AG145" i="13"/>
  <c r="AH145" i="13"/>
  <c r="AI145" i="13"/>
  <c r="AC146" i="13"/>
  <c r="AD146" i="13"/>
  <c r="AE146" i="13"/>
  <c r="AF146" i="13"/>
  <c r="AG146" i="13"/>
  <c r="AH146" i="13"/>
  <c r="AI146" i="13"/>
  <c r="AC147" i="13"/>
  <c r="AD147" i="13"/>
  <c r="AE147" i="13"/>
  <c r="AF147" i="13"/>
  <c r="AG147" i="13"/>
  <c r="AH147" i="13"/>
  <c r="AI147" i="13"/>
  <c r="AC148" i="13"/>
  <c r="AD148" i="13"/>
  <c r="AE148" i="13"/>
  <c r="AF148" i="13"/>
  <c r="AG148" i="13"/>
  <c r="AH148" i="13"/>
  <c r="AI148" i="13"/>
  <c r="AC149" i="13"/>
  <c r="AD149" i="13"/>
  <c r="AE149" i="13"/>
  <c r="AF149" i="13"/>
  <c r="AG149" i="13"/>
  <c r="AH149" i="13"/>
  <c r="AI149" i="13"/>
  <c r="AC150" i="13"/>
  <c r="AD150" i="13"/>
  <c r="AE150" i="13"/>
  <c r="AF150" i="13"/>
  <c r="AG150" i="13"/>
  <c r="AH150" i="13"/>
  <c r="AI150" i="13"/>
  <c r="AC151" i="13"/>
  <c r="AD151" i="13"/>
  <c r="AE151" i="13"/>
  <c r="AF151" i="13"/>
  <c r="AG151" i="13"/>
  <c r="AH151" i="13"/>
  <c r="AI151" i="13"/>
  <c r="AC152" i="13"/>
  <c r="AD152" i="13"/>
  <c r="AE152" i="13"/>
  <c r="AF152" i="13"/>
  <c r="AG152" i="13"/>
  <c r="AH152" i="13"/>
  <c r="AI152" i="13"/>
  <c r="AC153" i="13"/>
  <c r="AD153" i="13"/>
  <c r="AE153" i="13"/>
  <c r="AF153" i="13"/>
  <c r="AG153" i="13"/>
  <c r="AH153" i="13"/>
  <c r="AI153" i="13"/>
  <c r="AD139" i="13"/>
  <c r="AE139" i="13"/>
  <c r="AF139" i="13"/>
  <c r="AG139" i="13"/>
  <c r="AH139" i="13"/>
  <c r="AI139" i="13"/>
  <c r="AC139" i="13"/>
  <c r="AC121" i="13"/>
  <c r="AD121" i="13"/>
  <c r="AE121" i="13"/>
  <c r="AF121" i="13"/>
  <c r="AG121" i="13"/>
  <c r="AH121" i="13"/>
  <c r="AI121" i="13"/>
  <c r="AC122" i="13"/>
  <c r="AD122" i="13"/>
  <c r="AE122" i="13"/>
  <c r="AF122" i="13"/>
  <c r="AG122" i="13"/>
  <c r="AH122" i="13"/>
  <c r="AI122" i="13"/>
  <c r="AC123" i="13"/>
  <c r="AD123" i="13"/>
  <c r="AE123" i="13"/>
  <c r="AF123" i="13"/>
  <c r="AG123" i="13"/>
  <c r="AH123" i="13"/>
  <c r="AI123" i="13"/>
  <c r="AC124" i="13"/>
  <c r="AD124" i="13"/>
  <c r="AE124" i="13"/>
  <c r="AF124" i="13"/>
  <c r="AG124" i="13"/>
  <c r="AH124" i="13"/>
  <c r="AI124" i="13"/>
  <c r="AC125" i="13"/>
  <c r="AD125" i="13"/>
  <c r="AE125" i="13"/>
  <c r="AF125" i="13"/>
  <c r="AG125" i="13"/>
  <c r="AH125" i="13"/>
  <c r="AI125" i="13"/>
  <c r="AC126" i="13"/>
  <c r="AD126" i="13"/>
  <c r="AE126" i="13"/>
  <c r="AF126" i="13"/>
  <c r="AG126" i="13"/>
  <c r="AH126" i="13"/>
  <c r="AI126" i="13"/>
  <c r="AC127" i="13"/>
  <c r="AD127" i="13"/>
  <c r="AE127" i="13"/>
  <c r="AF127" i="13"/>
  <c r="AG127" i="13"/>
  <c r="AH127" i="13"/>
  <c r="AI127" i="13"/>
  <c r="AC128" i="13"/>
  <c r="AD128" i="13"/>
  <c r="AE128" i="13"/>
  <c r="AF128" i="13"/>
  <c r="AG128" i="13"/>
  <c r="AH128" i="13"/>
  <c r="AI128" i="13"/>
  <c r="AC129" i="13"/>
  <c r="AD129" i="13"/>
  <c r="AE129" i="13"/>
  <c r="AF129" i="13"/>
  <c r="AG129" i="13"/>
  <c r="AH129" i="13"/>
  <c r="AI129" i="13"/>
  <c r="AC130" i="13"/>
  <c r="AD130" i="13"/>
  <c r="AE130" i="13"/>
  <c r="AF130" i="13"/>
  <c r="AG130" i="13"/>
  <c r="AH130" i="13"/>
  <c r="AI130" i="13"/>
  <c r="AC131" i="13"/>
  <c r="AD131" i="13"/>
  <c r="AE131" i="13"/>
  <c r="AF131" i="13"/>
  <c r="AG131" i="13"/>
  <c r="AH131" i="13"/>
  <c r="AI131" i="13"/>
  <c r="AC132" i="13"/>
  <c r="AD132" i="13"/>
  <c r="AE132" i="13"/>
  <c r="AF132" i="13"/>
  <c r="AG132" i="13"/>
  <c r="AH132" i="13"/>
  <c r="AI132" i="13"/>
  <c r="AC133" i="13"/>
  <c r="AD133" i="13"/>
  <c r="AE133" i="13"/>
  <c r="AF133" i="13"/>
  <c r="AG133" i="13"/>
  <c r="AH133" i="13"/>
  <c r="AI133" i="13"/>
  <c r="AC134" i="13"/>
  <c r="AD134" i="13"/>
  <c r="AE134" i="13"/>
  <c r="AF134" i="13"/>
  <c r="AG134" i="13"/>
  <c r="AH134" i="13"/>
  <c r="AI134" i="13"/>
  <c r="AD120" i="13"/>
  <c r="AE120" i="13"/>
  <c r="AF120" i="13"/>
  <c r="AG120" i="13"/>
  <c r="AH120" i="13"/>
  <c r="AI120" i="13"/>
  <c r="AC120" i="13"/>
  <c r="AC102" i="13"/>
  <c r="AD102" i="13"/>
  <c r="AE102" i="13"/>
  <c r="AF102" i="13"/>
  <c r="AG102" i="13"/>
  <c r="AH102" i="13"/>
  <c r="AI102" i="13"/>
  <c r="AC103" i="13"/>
  <c r="AD103" i="13"/>
  <c r="AE103" i="13"/>
  <c r="AF103" i="13"/>
  <c r="AG103" i="13"/>
  <c r="AH103" i="13"/>
  <c r="AI103" i="13"/>
  <c r="AC104" i="13"/>
  <c r="AD104" i="13"/>
  <c r="AE104" i="13"/>
  <c r="AF104" i="13"/>
  <c r="AG104" i="13"/>
  <c r="AH104" i="13"/>
  <c r="AI104" i="13"/>
  <c r="AC105" i="13"/>
  <c r="AD105" i="13"/>
  <c r="AE105" i="13"/>
  <c r="AF105" i="13"/>
  <c r="AG105" i="13"/>
  <c r="AH105" i="13"/>
  <c r="AI105" i="13"/>
  <c r="AC106" i="13"/>
  <c r="AD106" i="13"/>
  <c r="AE106" i="13"/>
  <c r="AF106" i="13"/>
  <c r="AG106" i="13"/>
  <c r="AH106" i="13"/>
  <c r="AI106" i="13"/>
  <c r="AC107" i="13"/>
  <c r="AD107" i="13"/>
  <c r="AE107" i="13"/>
  <c r="AF107" i="13"/>
  <c r="AG107" i="13"/>
  <c r="AH107" i="13"/>
  <c r="AI107" i="13"/>
  <c r="AC108" i="13"/>
  <c r="AD108" i="13"/>
  <c r="AE108" i="13"/>
  <c r="AF108" i="13"/>
  <c r="AG108" i="13"/>
  <c r="AH108" i="13"/>
  <c r="AI108" i="13"/>
  <c r="AC109" i="13"/>
  <c r="AD109" i="13"/>
  <c r="AE109" i="13"/>
  <c r="AF109" i="13"/>
  <c r="AG109" i="13"/>
  <c r="AH109" i="13"/>
  <c r="AI109" i="13"/>
  <c r="AC110" i="13"/>
  <c r="AD110" i="13"/>
  <c r="AE110" i="13"/>
  <c r="AF110" i="13"/>
  <c r="AG110" i="13"/>
  <c r="AH110" i="13"/>
  <c r="AI110" i="13"/>
  <c r="AC111" i="13"/>
  <c r="AD111" i="13"/>
  <c r="AE111" i="13"/>
  <c r="AF111" i="13"/>
  <c r="AG111" i="13"/>
  <c r="AH111" i="13"/>
  <c r="AI111" i="13"/>
  <c r="AC112" i="13"/>
  <c r="AD112" i="13"/>
  <c r="AE112" i="13"/>
  <c r="AF112" i="13"/>
  <c r="AG112" i="13"/>
  <c r="AH112" i="13"/>
  <c r="AI112" i="13"/>
  <c r="AC113" i="13"/>
  <c r="AD113" i="13"/>
  <c r="AE113" i="13"/>
  <c r="AF113" i="13"/>
  <c r="AG113" i="13"/>
  <c r="AH113" i="13"/>
  <c r="AI113" i="13"/>
  <c r="AC114" i="13"/>
  <c r="AD114" i="13"/>
  <c r="AE114" i="13"/>
  <c r="AF114" i="13"/>
  <c r="AG114" i="13"/>
  <c r="AH114" i="13"/>
  <c r="AI114" i="13"/>
  <c r="AC115" i="13"/>
  <c r="AD115" i="13"/>
  <c r="AE115" i="13"/>
  <c r="AF115" i="13"/>
  <c r="AG115" i="13"/>
  <c r="AH115" i="13"/>
  <c r="AI115" i="13"/>
  <c r="AD101" i="13"/>
  <c r="AE101" i="13"/>
  <c r="AF101" i="13"/>
  <c r="AG101" i="13"/>
  <c r="AH101" i="13"/>
  <c r="AI101" i="13"/>
  <c r="AC101" i="13"/>
  <c r="AC83" i="13"/>
  <c r="AD83" i="13"/>
  <c r="AE83" i="13"/>
  <c r="AF83" i="13"/>
  <c r="AG83" i="13"/>
  <c r="AH83" i="13"/>
  <c r="AI83" i="13"/>
  <c r="AC84" i="13"/>
  <c r="AD84" i="13"/>
  <c r="AE84" i="13"/>
  <c r="AF84" i="13"/>
  <c r="AG84" i="13"/>
  <c r="AH84" i="13"/>
  <c r="AI84" i="13"/>
  <c r="AC85" i="13"/>
  <c r="AD85" i="13"/>
  <c r="AE85" i="13"/>
  <c r="AF85" i="13"/>
  <c r="AG85" i="13"/>
  <c r="AH85" i="13"/>
  <c r="AI85" i="13"/>
  <c r="AC86" i="13"/>
  <c r="AD86" i="13"/>
  <c r="AE86" i="13"/>
  <c r="AF86" i="13"/>
  <c r="AG86" i="13"/>
  <c r="AH86" i="13"/>
  <c r="AI86" i="13"/>
  <c r="AC87" i="13"/>
  <c r="AD87" i="13"/>
  <c r="AE87" i="13"/>
  <c r="AF87" i="13"/>
  <c r="AG87" i="13"/>
  <c r="AH87" i="13"/>
  <c r="AI87" i="13"/>
  <c r="AC88" i="13"/>
  <c r="AD88" i="13"/>
  <c r="AE88" i="13"/>
  <c r="AF88" i="13"/>
  <c r="AG88" i="13"/>
  <c r="AH88" i="13"/>
  <c r="AI88" i="13"/>
  <c r="AC89" i="13"/>
  <c r="AD89" i="13"/>
  <c r="AE89" i="13"/>
  <c r="AF89" i="13"/>
  <c r="AG89" i="13"/>
  <c r="AH89" i="13"/>
  <c r="AI89" i="13"/>
  <c r="AC90" i="13"/>
  <c r="AD90" i="13"/>
  <c r="AE90" i="13"/>
  <c r="AF90" i="13"/>
  <c r="AG90" i="13"/>
  <c r="AH90" i="13"/>
  <c r="AI90" i="13"/>
  <c r="AC91" i="13"/>
  <c r="AD91" i="13"/>
  <c r="AE91" i="13"/>
  <c r="AF91" i="13"/>
  <c r="AG91" i="13"/>
  <c r="AH91" i="13"/>
  <c r="AI91" i="13"/>
  <c r="AC92" i="13"/>
  <c r="AD92" i="13"/>
  <c r="AE92" i="13"/>
  <c r="AF92" i="13"/>
  <c r="AG92" i="13"/>
  <c r="AH92" i="13"/>
  <c r="AI92" i="13"/>
  <c r="AC93" i="13"/>
  <c r="AD93" i="13"/>
  <c r="AE93" i="13"/>
  <c r="AF93" i="13"/>
  <c r="AG93" i="13"/>
  <c r="AH93" i="13"/>
  <c r="AI93" i="13"/>
  <c r="AC94" i="13"/>
  <c r="AD94" i="13"/>
  <c r="AE94" i="13"/>
  <c r="AF94" i="13"/>
  <c r="AG94" i="13"/>
  <c r="AH94" i="13"/>
  <c r="AI94" i="13"/>
  <c r="AC95" i="13"/>
  <c r="AD95" i="13"/>
  <c r="AE95" i="13"/>
  <c r="AF95" i="13"/>
  <c r="AG95" i="13"/>
  <c r="AH95" i="13"/>
  <c r="AI95" i="13"/>
  <c r="AC96" i="13"/>
  <c r="AD96" i="13"/>
  <c r="AE96" i="13"/>
  <c r="AF96" i="13"/>
  <c r="AG96" i="13"/>
  <c r="AH96" i="13"/>
  <c r="AI96" i="13"/>
  <c r="AD82" i="13"/>
  <c r="AE82" i="13"/>
  <c r="AF82" i="13"/>
  <c r="AG82" i="13"/>
  <c r="AH82" i="13"/>
  <c r="AI82" i="13"/>
  <c r="AC82" i="13"/>
  <c r="AC64" i="13"/>
  <c r="AD64" i="13"/>
  <c r="AE64" i="13"/>
  <c r="AF64" i="13"/>
  <c r="AG64" i="13"/>
  <c r="AH64" i="13"/>
  <c r="AI64" i="13"/>
  <c r="AC65" i="13"/>
  <c r="AD65" i="13"/>
  <c r="AE65" i="13"/>
  <c r="AF65" i="13"/>
  <c r="AG65" i="13"/>
  <c r="AH65" i="13"/>
  <c r="AI65" i="13"/>
  <c r="AC66" i="13"/>
  <c r="AD66" i="13"/>
  <c r="AE66" i="13"/>
  <c r="AF66" i="13"/>
  <c r="AG66" i="13"/>
  <c r="AH66" i="13"/>
  <c r="AI66" i="13"/>
  <c r="AC67" i="13"/>
  <c r="AD67" i="13"/>
  <c r="AE67" i="13"/>
  <c r="AF67" i="13"/>
  <c r="AG67" i="13"/>
  <c r="AH67" i="13"/>
  <c r="AI67" i="13"/>
  <c r="AC68" i="13"/>
  <c r="AD68" i="13"/>
  <c r="AE68" i="13"/>
  <c r="AF68" i="13"/>
  <c r="AG68" i="13"/>
  <c r="AH68" i="13"/>
  <c r="AI68" i="13"/>
  <c r="AC69" i="13"/>
  <c r="AD69" i="13"/>
  <c r="AE69" i="13"/>
  <c r="AF69" i="13"/>
  <c r="AG69" i="13"/>
  <c r="AH69" i="13"/>
  <c r="AI69" i="13"/>
  <c r="AC70" i="13"/>
  <c r="AD70" i="13"/>
  <c r="AE70" i="13"/>
  <c r="AF70" i="13"/>
  <c r="AG70" i="13"/>
  <c r="AH70" i="13"/>
  <c r="AI70" i="13"/>
  <c r="AC71" i="13"/>
  <c r="AD71" i="13"/>
  <c r="AE71" i="13"/>
  <c r="AF71" i="13"/>
  <c r="AG71" i="13"/>
  <c r="AH71" i="13"/>
  <c r="AI71" i="13"/>
  <c r="AC72" i="13"/>
  <c r="AD72" i="13"/>
  <c r="AE72" i="13"/>
  <c r="AF72" i="13"/>
  <c r="AG72" i="13"/>
  <c r="AH72" i="13"/>
  <c r="AI72" i="13"/>
  <c r="AC73" i="13"/>
  <c r="AD73" i="13"/>
  <c r="AE73" i="13"/>
  <c r="AF73" i="13"/>
  <c r="AG73" i="13"/>
  <c r="AH73" i="13"/>
  <c r="AI73" i="13"/>
  <c r="AC74" i="13"/>
  <c r="AD74" i="13"/>
  <c r="AE74" i="13"/>
  <c r="AF74" i="13"/>
  <c r="AG74" i="13"/>
  <c r="AH74" i="13"/>
  <c r="AI74" i="13"/>
  <c r="AC75" i="13"/>
  <c r="AD75" i="13"/>
  <c r="AE75" i="13"/>
  <c r="AF75" i="13"/>
  <c r="AG75" i="13"/>
  <c r="AH75" i="13"/>
  <c r="AI75" i="13"/>
  <c r="AC76" i="13"/>
  <c r="AD76" i="13"/>
  <c r="AE76" i="13"/>
  <c r="AF76" i="13"/>
  <c r="AG76" i="13"/>
  <c r="AH76" i="13"/>
  <c r="AI76" i="13"/>
  <c r="AC77" i="13"/>
  <c r="AD77" i="13"/>
  <c r="AE77" i="13"/>
  <c r="AF77" i="13"/>
  <c r="AG77" i="13"/>
  <c r="AH77" i="13"/>
  <c r="AI77" i="13"/>
  <c r="AD63" i="13"/>
  <c r="AE63" i="13"/>
  <c r="AF63" i="13"/>
  <c r="AG63" i="13"/>
  <c r="AH63" i="13"/>
  <c r="AI63" i="13"/>
  <c r="AC63" i="13"/>
  <c r="AC45" i="13"/>
  <c r="AD45" i="13"/>
  <c r="AE45" i="13"/>
  <c r="AF45" i="13"/>
  <c r="AG45" i="13"/>
  <c r="AH45" i="13"/>
  <c r="AI45" i="13"/>
  <c r="AC46" i="13"/>
  <c r="AD46" i="13"/>
  <c r="AE46" i="13"/>
  <c r="AF46" i="13"/>
  <c r="AG46" i="13"/>
  <c r="AH46" i="13"/>
  <c r="AI46" i="13"/>
  <c r="AC47" i="13"/>
  <c r="AD47" i="13"/>
  <c r="AE47" i="13"/>
  <c r="AF47" i="13"/>
  <c r="AG47" i="13"/>
  <c r="AH47" i="13"/>
  <c r="AI47" i="13"/>
  <c r="AC48" i="13"/>
  <c r="AD48" i="13"/>
  <c r="AE48" i="13"/>
  <c r="AF48" i="13"/>
  <c r="AG48" i="13"/>
  <c r="AH48" i="13"/>
  <c r="AI48" i="13"/>
  <c r="AC49" i="13"/>
  <c r="AD49" i="13"/>
  <c r="AE49" i="13"/>
  <c r="AF49" i="13"/>
  <c r="AG49" i="13"/>
  <c r="AH49" i="13"/>
  <c r="AI49" i="13"/>
  <c r="AC50" i="13"/>
  <c r="AD50" i="13"/>
  <c r="AE50" i="13"/>
  <c r="AF50" i="13"/>
  <c r="AG50" i="13"/>
  <c r="AH50" i="13"/>
  <c r="AI50" i="13"/>
  <c r="AC51" i="13"/>
  <c r="AD51" i="13"/>
  <c r="AE51" i="13"/>
  <c r="AF51" i="13"/>
  <c r="AG51" i="13"/>
  <c r="AH51" i="13"/>
  <c r="AI51" i="13"/>
  <c r="AC52" i="13"/>
  <c r="AD52" i="13"/>
  <c r="AE52" i="13"/>
  <c r="AF52" i="13"/>
  <c r="AG52" i="13"/>
  <c r="AH52" i="13"/>
  <c r="AI52" i="13"/>
  <c r="AC53" i="13"/>
  <c r="AD53" i="13"/>
  <c r="AE53" i="13"/>
  <c r="AF53" i="13"/>
  <c r="AG53" i="13"/>
  <c r="AH53" i="13"/>
  <c r="AI53" i="13"/>
  <c r="AC54" i="13"/>
  <c r="AD54" i="13"/>
  <c r="AE54" i="13"/>
  <c r="AF54" i="13"/>
  <c r="AG54" i="13"/>
  <c r="AH54" i="13"/>
  <c r="AI54" i="13"/>
  <c r="AC55" i="13"/>
  <c r="AD55" i="13"/>
  <c r="AE55" i="13"/>
  <c r="AF55" i="13"/>
  <c r="AG55" i="13"/>
  <c r="AH55" i="13"/>
  <c r="AI55" i="13"/>
  <c r="AC56" i="13"/>
  <c r="AD56" i="13"/>
  <c r="AE56" i="13"/>
  <c r="AF56" i="13"/>
  <c r="AG56" i="13"/>
  <c r="AH56" i="13"/>
  <c r="AI56" i="13"/>
  <c r="AC57" i="13"/>
  <c r="AD57" i="13"/>
  <c r="AE57" i="13"/>
  <c r="AF57" i="13"/>
  <c r="AG57" i="13"/>
  <c r="AH57" i="13"/>
  <c r="AI57" i="13"/>
  <c r="AC58" i="13"/>
  <c r="AD58" i="13"/>
  <c r="AE58" i="13"/>
  <c r="AF58" i="13"/>
  <c r="AG58" i="13"/>
  <c r="AH58" i="13"/>
  <c r="AI58" i="13"/>
  <c r="AD44" i="13"/>
  <c r="AE44" i="13"/>
  <c r="AF44" i="13"/>
  <c r="AG44" i="13"/>
  <c r="AH44" i="13"/>
  <c r="AI44" i="13"/>
  <c r="AC44" i="13"/>
  <c r="AC26" i="13"/>
  <c r="AD26" i="13"/>
  <c r="AE26" i="13"/>
  <c r="AF26" i="13"/>
  <c r="AG26" i="13"/>
  <c r="AH26" i="13"/>
  <c r="AI26" i="13"/>
  <c r="AC27" i="13"/>
  <c r="AD27" i="13"/>
  <c r="AE27" i="13"/>
  <c r="AF27" i="13"/>
  <c r="AG27" i="13"/>
  <c r="AH27" i="13"/>
  <c r="AI27" i="13"/>
  <c r="AC28" i="13"/>
  <c r="AD28" i="13"/>
  <c r="AE28" i="13"/>
  <c r="AF28" i="13"/>
  <c r="AG28" i="13"/>
  <c r="AH28" i="13"/>
  <c r="AI28" i="13"/>
  <c r="AC29" i="13"/>
  <c r="AD29" i="13"/>
  <c r="AE29" i="13"/>
  <c r="AF29" i="13"/>
  <c r="AG29" i="13"/>
  <c r="AH29" i="13"/>
  <c r="AI29" i="13"/>
  <c r="AC30" i="13"/>
  <c r="AD30" i="13"/>
  <c r="AE30" i="13"/>
  <c r="AF30" i="13"/>
  <c r="AG30" i="13"/>
  <c r="AH30" i="13"/>
  <c r="AI30" i="13"/>
  <c r="AC31" i="13"/>
  <c r="AD31" i="13"/>
  <c r="AE31" i="13"/>
  <c r="AF31" i="13"/>
  <c r="AG31" i="13"/>
  <c r="AH31" i="13"/>
  <c r="AI31" i="13"/>
  <c r="AC32" i="13"/>
  <c r="AD32" i="13"/>
  <c r="AE32" i="13"/>
  <c r="AF32" i="13"/>
  <c r="AG32" i="13"/>
  <c r="AH32" i="13"/>
  <c r="AI32" i="13"/>
  <c r="AC33" i="13"/>
  <c r="AD33" i="13"/>
  <c r="AE33" i="13"/>
  <c r="AF33" i="13"/>
  <c r="AG33" i="13"/>
  <c r="AH33" i="13"/>
  <c r="AI33" i="13"/>
  <c r="AC34" i="13"/>
  <c r="AD34" i="13"/>
  <c r="AE34" i="13"/>
  <c r="AF34" i="13"/>
  <c r="AG34" i="13"/>
  <c r="AH34" i="13"/>
  <c r="AI34" i="13"/>
  <c r="AC35" i="13"/>
  <c r="AD35" i="13"/>
  <c r="AE35" i="13"/>
  <c r="AF35" i="13"/>
  <c r="AG35" i="13"/>
  <c r="AH35" i="13"/>
  <c r="AI35" i="13"/>
  <c r="AC36" i="13"/>
  <c r="AD36" i="13"/>
  <c r="AE36" i="13"/>
  <c r="AF36" i="13"/>
  <c r="AG36" i="13"/>
  <c r="AH36" i="13"/>
  <c r="AI36" i="13"/>
  <c r="AC37" i="13"/>
  <c r="AD37" i="13"/>
  <c r="AE37" i="13"/>
  <c r="AF37" i="13"/>
  <c r="AG37" i="13"/>
  <c r="AH37" i="13"/>
  <c r="AI37" i="13"/>
  <c r="AC38" i="13"/>
  <c r="AD38" i="13"/>
  <c r="AE38" i="13"/>
  <c r="AF38" i="13"/>
  <c r="AG38" i="13"/>
  <c r="AH38" i="13"/>
  <c r="AI38" i="13"/>
  <c r="AC39" i="13"/>
  <c r="AD39" i="13"/>
  <c r="AE39" i="13"/>
  <c r="AF39" i="13"/>
  <c r="AG39" i="13"/>
  <c r="AH39" i="13"/>
  <c r="AI39" i="13"/>
  <c r="AD25" i="13"/>
  <c r="AE25" i="13"/>
  <c r="AF25" i="13"/>
  <c r="AG25" i="13"/>
  <c r="AH25" i="13"/>
  <c r="AI25" i="13"/>
  <c r="AC25" i="13"/>
  <c r="AC7" i="13"/>
  <c r="AD7" i="13"/>
  <c r="AE7" i="13"/>
  <c r="AF7" i="13"/>
  <c r="AG7" i="13"/>
  <c r="AH7" i="13"/>
  <c r="AI7" i="13"/>
  <c r="AC8" i="13"/>
  <c r="AD8" i="13"/>
  <c r="AE8" i="13"/>
  <c r="AF8" i="13"/>
  <c r="AG8" i="13"/>
  <c r="AH8" i="13"/>
  <c r="AI8" i="13"/>
  <c r="AC9" i="13"/>
  <c r="AD9" i="13"/>
  <c r="AE9" i="13"/>
  <c r="AF9" i="13"/>
  <c r="AG9" i="13"/>
  <c r="AH9" i="13"/>
  <c r="AI9" i="13"/>
  <c r="AC10" i="13"/>
  <c r="AD10" i="13"/>
  <c r="AE10" i="13"/>
  <c r="AF10" i="13"/>
  <c r="AG10" i="13"/>
  <c r="AH10" i="13"/>
  <c r="AI10" i="13"/>
  <c r="AC11" i="13"/>
  <c r="AD11" i="13"/>
  <c r="AE11" i="13"/>
  <c r="AF11" i="13"/>
  <c r="AG11" i="13"/>
  <c r="AH11" i="13"/>
  <c r="AI11" i="13"/>
  <c r="AC12" i="13"/>
  <c r="AD12" i="13"/>
  <c r="AE12" i="13"/>
  <c r="AF12" i="13"/>
  <c r="AG12" i="13"/>
  <c r="AH12" i="13"/>
  <c r="AI12" i="13"/>
  <c r="AC13" i="13"/>
  <c r="AD13" i="13"/>
  <c r="AE13" i="13"/>
  <c r="AF13" i="13"/>
  <c r="AG13" i="13"/>
  <c r="AH13" i="13"/>
  <c r="AI13" i="13"/>
  <c r="AC14" i="13"/>
  <c r="AD14" i="13"/>
  <c r="AE14" i="13"/>
  <c r="AF14" i="13"/>
  <c r="AG14" i="13"/>
  <c r="AH14" i="13"/>
  <c r="AI14" i="13"/>
  <c r="AC15" i="13"/>
  <c r="AD15" i="13"/>
  <c r="AE15" i="13"/>
  <c r="AF15" i="13"/>
  <c r="AG15" i="13"/>
  <c r="AH15" i="13"/>
  <c r="AI15" i="13"/>
  <c r="AC16" i="13"/>
  <c r="AD16" i="13"/>
  <c r="AE16" i="13"/>
  <c r="AF16" i="13"/>
  <c r="AG16" i="13"/>
  <c r="AH16" i="13"/>
  <c r="AI16" i="13"/>
  <c r="AC17" i="13"/>
  <c r="AD17" i="13"/>
  <c r="AE17" i="13"/>
  <c r="AF17" i="13"/>
  <c r="AG17" i="13"/>
  <c r="AH17" i="13"/>
  <c r="AI17" i="13"/>
  <c r="AC18" i="13"/>
  <c r="AD18" i="13"/>
  <c r="AE18" i="13"/>
  <c r="AF18" i="13"/>
  <c r="AG18" i="13"/>
  <c r="AH18" i="13"/>
  <c r="AI18" i="13"/>
  <c r="AC19" i="13"/>
  <c r="AD19" i="13"/>
  <c r="AE19" i="13"/>
  <c r="AF19" i="13"/>
  <c r="AG19" i="13"/>
  <c r="AH19" i="13"/>
  <c r="AI19" i="13"/>
  <c r="AC20" i="13"/>
  <c r="AD20" i="13"/>
  <c r="AE20" i="13"/>
  <c r="AF20" i="13"/>
  <c r="AG20" i="13"/>
  <c r="AH20" i="13"/>
  <c r="AI20" i="13"/>
  <c r="AD6" i="13"/>
  <c r="AE6" i="13"/>
  <c r="AF6" i="13"/>
  <c r="AG6" i="13"/>
  <c r="AH6" i="13"/>
  <c r="AI6" i="13"/>
  <c r="AC6" i="13"/>
  <c r="T140" i="13"/>
  <c r="U140" i="13"/>
  <c r="V140" i="13"/>
  <c r="W140" i="13"/>
  <c r="X140" i="13"/>
  <c r="Y140" i="13"/>
  <c r="Z140" i="13"/>
  <c r="T141" i="13"/>
  <c r="U141" i="13"/>
  <c r="V141" i="13"/>
  <c r="W141" i="13"/>
  <c r="X141" i="13"/>
  <c r="Y141" i="13"/>
  <c r="Z141" i="13"/>
  <c r="T142" i="13"/>
  <c r="U142" i="13"/>
  <c r="V142" i="13"/>
  <c r="W142" i="13"/>
  <c r="X142" i="13"/>
  <c r="Y142" i="13"/>
  <c r="Z142" i="13"/>
  <c r="T143" i="13"/>
  <c r="U143" i="13"/>
  <c r="V143" i="13"/>
  <c r="W143" i="13"/>
  <c r="X143" i="13"/>
  <c r="Y143" i="13"/>
  <c r="Z143" i="13"/>
  <c r="T144" i="13"/>
  <c r="U144" i="13"/>
  <c r="V144" i="13"/>
  <c r="W144" i="13"/>
  <c r="X144" i="13"/>
  <c r="Y144" i="13"/>
  <c r="Z144" i="13"/>
  <c r="T145" i="13"/>
  <c r="U145" i="13"/>
  <c r="V145" i="13"/>
  <c r="W145" i="13"/>
  <c r="X145" i="13"/>
  <c r="Y145" i="13"/>
  <c r="Z145" i="13"/>
  <c r="T146" i="13"/>
  <c r="U146" i="13"/>
  <c r="V146" i="13"/>
  <c r="W146" i="13"/>
  <c r="X146" i="13"/>
  <c r="Y146" i="13"/>
  <c r="Z146" i="13"/>
  <c r="T147" i="13"/>
  <c r="U147" i="13"/>
  <c r="V147" i="13"/>
  <c r="W147" i="13"/>
  <c r="X147" i="13"/>
  <c r="Y147" i="13"/>
  <c r="Z147" i="13"/>
  <c r="T148" i="13"/>
  <c r="U148" i="13"/>
  <c r="V148" i="13"/>
  <c r="W148" i="13"/>
  <c r="X148" i="13"/>
  <c r="Y148" i="13"/>
  <c r="Z148" i="13"/>
  <c r="T149" i="13"/>
  <c r="U149" i="13"/>
  <c r="V149" i="13"/>
  <c r="W149" i="13"/>
  <c r="X149" i="13"/>
  <c r="Y149" i="13"/>
  <c r="Z149" i="13"/>
  <c r="T150" i="13"/>
  <c r="U150" i="13"/>
  <c r="V150" i="13"/>
  <c r="W150" i="13"/>
  <c r="X150" i="13"/>
  <c r="Y150" i="13"/>
  <c r="Z150" i="13"/>
  <c r="T151" i="13"/>
  <c r="U151" i="13"/>
  <c r="V151" i="13"/>
  <c r="W151" i="13"/>
  <c r="X151" i="13"/>
  <c r="Y151" i="13"/>
  <c r="Z151" i="13"/>
  <c r="T152" i="13"/>
  <c r="U152" i="13"/>
  <c r="V152" i="13"/>
  <c r="W152" i="13"/>
  <c r="X152" i="13"/>
  <c r="Y152" i="13"/>
  <c r="Z152" i="13"/>
  <c r="T153" i="13"/>
  <c r="U153" i="13"/>
  <c r="V153" i="13"/>
  <c r="W153" i="13"/>
  <c r="X153" i="13"/>
  <c r="Y153" i="13"/>
  <c r="Z153" i="13"/>
  <c r="U139" i="13"/>
  <c r="V139" i="13"/>
  <c r="W139" i="13"/>
  <c r="X139" i="13"/>
  <c r="Y139" i="13"/>
  <c r="Z139" i="13"/>
  <c r="T139" i="13"/>
  <c r="T121" i="13"/>
  <c r="U121" i="13"/>
  <c r="V121" i="13"/>
  <c r="W121" i="13"/>
  <c r="X121" i="13"/>
  <c r="Y121" i="13"/>
  <c r="Z121" i="13"/>
  <c r="T122" i="13"/>
  <c r="U122" i="13"/>
  <c r="V122" i="13"/>
  <c r="W122" i="13"/>
  <c r="X122" i="13"/>
  <c r="Y122" i="13"/>
  <c r="Z122" i="13"/>
  <c r="T123" i="13"/>
  <c r="U123" i="13"/>
  <c r="V123" i="13"/>
  <c r="W123" i="13"/>
  <c r="X123" i="13"/>
  <c r="Y123" i="13"/>
  <c r="Z123" i="13"/>
  <c r="T124" i="13"/>
  <c r="U124" i="13"/>
  <c r="V124" i="13"/>
  <c r="W124" i="13"/>
  <c r="X124" i="13"/>
  <c r="Y124" i="13"/>
  <c r="Z124" i="13"/>
  <c r="T125" i="13"/>
  <c r="U125" i="13"/>
  <c r="V125" i="13"/>
  <c r="W125" i="13"/>
  <c r="X125" i="13"/>
  <c r="Y125" i="13"/>
  <c r="Z125" i="13"/>
  <c r="T126" i="13"/>
  <c r="U126" i="13"/>
  <c r="V126" i="13"/>
  <c r="W126" i="13"/>
  <c r="X126" i="13"/>
  <c r="Y126" i="13"/>
  <c r="Z126" i="13"/>
  <c r="T127" i="13"/>
  <c r="U127" i="13"/>
  <c r="V127" i="13"/>
  <c r="W127" i="13"/>
  <c r="X127" i="13"/>
  <c r="Y127" i="13"/>
  <c r="Z127" i="13"/>
  <c r="T128" i="13"/>
  <c r="U128" i="13"/>
  <c r="V128" i="13"/>
  <c r="W128" i="13"/>
  <c r="X128" i="13"/>
  <c r="Y128" i="13"/>
  <c r="Z128" i="13"/>
  <c r="T129" i="13"/>
  <c r="U129" i="13"/>
  <c r="V129" i="13"/>
  <c r="W129" i="13"/>
  <c r="X129" i="13"/>
  <c r="Y129" i="13"/>
  <c r="Z129" i="13"/>
  <c r="T130" i="13"/>
  <c r="U130" i="13"/>
  <c r="V130" i="13"/>
  <c r="W130" i="13"/>
  <c r="X130" i="13"/>
  <c r="Y130" i="13"/>
  <c r="Z130" i="13"/>
  <c r="T131" i="13"/>
  <c r="U131" i="13"/>
  <c r="V131" i="13"/>
  <c r="W131" i="13"/>
  <c r="X131" i="13"/>
  <c r="Y131" i="13"/>
  <c r="Z131" i="13"/>
  <c r="T132" i="13"/>
  <c r="U132" i="13"/>
  <c r="V132" i="13"/>
  <c r="W132" i="13"/>
  <c r="X132" i="13"/>
  <c r="Y132" i="13"/>
  <c r="Z132" i="13"/>
  <c r="T133" i="13"/>
  <c r="U133" i="13"/>
  <c r="V133" i="13"/>
  <c r="W133" i="13"/>
  <c r="X133" i="13"/>
  <c r="Y133" i="13"/>
  <c r="Z133" i="13"/>
  <c r="T134" i="13"/>
  <c r="U134" i="13"/>
  <c r="V134" i="13"/>
  <c r="W134" i="13"/>
  <c r="X134" i="13"/>
  <c r="Y134" i="13"/>
  <c r="Z134" i="13"/>
  <c r="U120" i="13"/>
  <c r="V120" i="13"/>
  <c r="W120" i="13"/>
  <c r="X120" i="13"/>
  <c r="Y120" i="13"/>
  <c r="Z120" i="13"/>
  <c r="T120" i="13"/>
  <c r="T102" i="13"/>
  <c r="U102" i="13"/>
  <c r="V102" i="13"/>
  <c r="W102" i="13"/>
  <c r="X102" i="13"/>
  <c r="Y102" i="13"/>
  <c r="Z102" i="13"/>
  <c r="T103" i="13"/>
  <c r="U103" i="13"/>
  <c r="V103" i="13"/>
  <c r="W103" i="13"/>
  <c r="X103" i="13"/>
  <c r="Y103" i="13"/>
  <c r="Z103" i="13"/>
  <c r="T104" i="13"/>
  <c r="U104" i="13"/>
  <c r="V104" i="13"/>
  <c r="W104" i="13"/>
  <c r="X104" i="13"/>
  <c r="Y104" i="13"/>
  <c r="Z104" i="13"/>
  <c r="T105" i="13"/>
  <c r="U105" i="13"/>
  <c r="V105" i="13"/>
  <c r="W105" i="13"/>
  <c r="X105" i="13"/>
  <c r="Y105" i="13"/>
  <c r="Z105" i="13"/>
  <c r="T106" i="13"/>
  <c r="U106" i="13"/>
  <c r="V106" i="13"/>
  <c r="W106" i="13"/>
  <c r="X106" i="13"/>
  <c r="Y106" i="13"/>
  <c r="Z106" i="13"/>
  <c r="T107" i="13"/>
  <c r="U107" i="13"/>
  <c r="V107" i="13"/>
  <c r="W107" i="13"/>
  <c r="X107" i="13"/>
  <c r="Y107" i="13"/>
  <c r="Z107" i="13"/>
  <c r="T108" i="13"/>
  <c r="U108" i="13"/>
  <c r="V108" i="13"/>
  <c r="W108" i="13"/>
  <c r="X108" i="13"/>
  <c r="Y108" i="13"/>
  <c r="Z108" i="13"/>
  <c r="T109" i="13"/>
  <c r="U109" i="13"/>
  <c r="V109" i="13"/>
  <c r="W109" i="13"/>
  <c r="X109" i="13"/>
  <c r="Y109" i="13"/>
  <c r="Z109" i="13"/>
  <c r="T110" i="13"/>
  <c r="U110" i="13"/>
  <c r="V110" i="13"/>
  <c r="W110" i="13"/>
  <c r="X110" i="13"/>
  <c r="Y110" i="13"/>
  <c r="Z110" i="13"/>
  <c r="T111" i="13"/>
  <c r="U111" i="13"/>
  <c r="V111" i="13"/>
  <c r="W111" i="13"/>
  <c r="X111" i="13"/>
  <c r="Y111" i="13"/>
  <c r="Z111" i="13"/>
  <c r="T112" i="13"/>
  <c r="U112" i="13"/>
  <c r="V112" i="13"/>
  <c r="W112" i="13"/>
  <c r="X112" i="13"/>
  <c r="Y112" i="13"/>
  <c r="Z112" i="13"/>
  <c r="T113" i="13"/>
  <c r="U113" i="13"/>
  <c r="V113" i="13"/>
  <c r="W113" i="13"/>
  <c r="X113" i="13"/>
  <c r="Y113" i="13"/>
  <c r="Z113" i="13"/>
  <c r="T114" i="13"/>
  <c r="U114" i="13"/>
  <c r="V114" i="13"/>
  <c r="W114" i="13"/>
  <c r="X114" i="13"/>
  <c r="Y114" i="13"/>
  <c r="Z114" i="13"/>
  <c r="T115" i="13"/>
  <c r="U115" i="13"/>
  <c r="V115" i="13"/>
  <c r="W115" i="13"/>
  <c r="X115" i="13"/>
  <c r="Y115" i="13"/>
  <c r="Z115" i="13"/>
  <c r="U101" i="13"/>
  <c r="V101" i="13"/>
  <c r="W101" i="13"/>
  <c r="X101" i="13"/>
  <c r="Y101" i="13"/>
  <c r="Z101" i="13"/>
  <c r="T101" i="13"/>
  <c r="T83" i="13"/>
  <c r="U83" i="13"/>
  <c r="V83" i="13"/>
  <c r="W83" i="13"/>
  <c r="X83" i="13"/>
  <c r="Y83" i="13"/>
  <c r="Z83" i="13"/>
  <c r="T84" i="13"/>
  <c r="U84" i="13"/>
  <c r="V84" i="13"/>
  <c r="W84" i="13"/>
  <c r="X84" i="13"/>
  <c r="Y84" i="13"/>
  <c r="Z84" i="13"/>
  <c r="T85" i="13"/>
  <c r="U85" i="13"/>
  <c r="V85" i="13"/>
  <c r="W85" i="13"/>
  <c r="X85" i="13"/>
  <c r="Y85" i="13"/>
  <c r="Z85" i="13"/>
  <c r="T86" i="13"/>
  <c r="U86" i="13"/>
  <c r="V86" i="13"/>
  <c r="W86" i="13"/>
  <c r="X86" i="13"/>
  <c r="Y86" i="13"/>
  <c r="Z86" i="13"/>
  <c r="T87" i="13"/>
  <c r="U87" i="13"/>
  <c r="V87" i="13"/>
  <c r="W87" i="13"/>
  <c r="X87" i="13"/>
  <c r="Y87" i="13"/>
  <c r="Z87" i="13"/>
  <c r="T88" i="13"/>
  <c r="U88" i="13"/>
  <c r="V88" i="13"/>
  <c r="W88" i="13"/>
  <c r="X88" i="13"/>
  <c r="Y88" i="13"/>
  <c r="Z88" i="13"/>
  <c r="T89" i="13"/>
  <c r="U89" i="13"/>
  <c r="V89" i="13"/>
  <c r="W89" i="13"/>
  <c r="X89" i="13"/>
  <c r="Y89" i="13"/>
  <c r="Z89" i="13"/>
  <c r="T90" i="13"/>
  <c r="U90" i="13"/>
  <c r="V90" i="13"/>
  <c r="W90" i="13"/>
  <c r="X90" i="13"/>
  <c r="Y90" i="13"/>
  <c r="Z90" i="13"/>
  <c r="T91" i="13"/>
  <c r="U91" i="13"/>
  <c r="V91" i="13"/>
  <c r="W91" i="13"/>
  <c r="X91" i="13"/>
  <c r="Y91" i="13"/>
  <c r="Z91" i="13"/>
  <c r="T92" i="13"/>
  <c r="U92" i="13"/>
  <c r="V92" i="13"/>
  <c r="W92" i="13"/>
  <c r="X92" i="13"/>
  <c r="Y92" i="13"/>
  <c r="Z92" i="13"/>
  <c r="T93" i="13"/>
  <c r="U93" i="13"/>
  <c r="V93" i="13"/>
  <c r="W93" i="13"/>
  <c r="X93" i="13"/>
  <c r="Y93" i="13"/>
  <c r="Z93" i="13"/>
  <c r="T94" i="13"/>
  <c r="U94" i="13"/>
  <c r="V94" i="13"/>
  <c r="W94" i="13"/>
  <c r="X94" i="13"/>
  <c r="Y94" i="13"/>
  <c r="Z94" i="13"/>
  <c r="T95" i="13"/>
  <c r="U95" i="13"/>
  <c r="V95" i="13"/>
  <c r="W95" i="13"/>
  <c r="X95" i="13"/>
  <c r="Y95" i="13"/>
  <c r="Z95" i="13"/>
  <c r="T96" i="13"/>
  <c r="U96" i="13"/>
  <c r="V96" i="13"/>
  <c r="W96" i="13"/>
  <c r="X96" i="13"/>
  <c r="Y96" i="13"/>
  <c r="Z96" i="13"/>
  <c r="U82" i="13"/>
  <c r="V82" i="13"/>
  <c r="W82" i="13"/>
  <c r="X82" i="13"/>
  <c r="Y82" i="13"/>
  <c r="Z82" i="13"/>
  <c r="T82" i="13"/>
  <c r="T64" i="13"/>
  <c r="U64" i="13"/>
  <c r="V64" i="13"/>
  <c r="W64" i="13"/>
  <c r="X64" i="13"/>
  <c r="Y64" i="13"/>
  <c r="Z64" i="13"/>
  <c r="T65" i="13"/>
  <c r="U65" i="13"/>
  <c r="V65" i="13"/>
  <c r="W65" i="13"/>
  <c r="X65" i="13"/>
  <c r="Y65" i="13"/>
  <c r="Z65" i="13"/>
  <c r="T66" i="13"/>
  <c r="U66" i="13"/>
  <c r="V66" i="13"/>
  <c r="W66" i="13"/>
  <c r="X66" i="13"/>
  <c r="Y66" i="13"/>
  <c r="Z66" i="13"/>
  <c r="T67" i="13"/>
  <c r="U67" i="13"/>
  <c r="V67" i="13"/>
  <c r="W67" i="13"/>
  <c r="X67" i="13"/>
  <c r="Y67" i="13"/>
  <c r="Z67" i="13"/>
  <c r="T68" i="13"/>
  <c r="U68" i="13"/>
  <c r="V68" i="13"/>
  <c r="W68" i="13"/>
  <c r="X68" i="13"/>
  <c r="Y68" i="13"/>
  <c r="Z68" i="13"/>
  <c r="T69" i="13"/>
  <c r="U69" i="13"/>
  <c r="V69" i="13"/>
  <c r="W69" i="13"/>
  <c r="X69" i="13"/>
  <c r="Y69" i="13"/>
  <c r="Z69" i="13"/>
  <c r="T70" i="13"/>
  <c r="U70" i="13"/>
  <c r="V70" i="13"/>
  <c r="W70" i="13"/>
  <c r="X70" i="13"/>
  <c r="Y70" i="13"/>
  <c r="Z70" i="13"/>
  <c r="T71" i="13"/>
  <c r="U71" i="13"/>
  <c r="V71" i="13"/>
  <c r="W71" i="13"/>
  <c r="X71" i="13"/>
  <c r="Y71" i="13"/>
  <c r="Z71" i="13"/>
  <c r="T72" i="13"/>
  <c r="U72" i="13"/>
  <c r="V72" i="13"/>
  <c r="W72" i="13"/>
  <c r="X72" i="13"/>
  <c r="Y72" i="13"/>
  <c r="Z72" i="13"/>
  <c r="T73" i="13"/>
  <c r="U73" i="13"/>
  <c r="V73" i="13"/>
  <c r="W73" i="13"/>
  <c r="X73" i="13"/>
  <c r="Y73" i="13"/>
  <c r="Z73" i="13"/>
  <c r="T74" i="13"/>
  <c r="U74" i="13"/>
  <c r="V74" i="13"/>
  <c r="W74" i="13"/>
  <c r="X74" i="13"/>
  <c r="Y74" i="13"/>
  <c r="Z74" i="13"/>
  <c r="T75" i="13"/>
  <c r="U75" i="13"/>
  <c r="V75" i="13"/>
  <c r="W75" i="13"/>
  <c r="X75" i="13"/>
  <c r="Y75" i="13"/>
  <c r="Z75" i="13"/>
  <c r="T76" i="13"/>
  <c r="U76" i="13"/>
  <c r="V76" i="13"/>
  <c r="W76" i="13"/>
  <c r="X76" i="13"/>
  <c r="Y76" i="13"/>
  <c r="Z76" i="13"/>
  <c r="T77" i="13"/>
  <c r="U77" i="13"/>
  <c r="V77" i="13"/>
  <c r="W77" i="13"/>
  <c r="X77" i="13"/>
  <c r="Y77" i="13"/>
  <c r="Z77" i="13"/>
  <c r="U63" i="13"/>
  <c r="V63" i="13"/>
  <c r="W63" i="13"/>
  <c r="X63" i="13"/>
  <c r="Y63" i="13"/>
  <c r="Z63" i="13"/>
  <c r="T63" i="13"/>
  <c r="T45" i="13"/>
  <c r="U45" i="13"/>
  <c r="V45" i="13"/>
  <c r="W45" i="13"/>
  <c r="X45" i="13"/>
  <c r="Y45" i="13"/>
  <c r="Z45" i="13"/>
  <c r="T46" i="13"/>
  <c r="U46" i="13"/>
  <c r="V46" i="13"/>
  <c r="W46" i="13"/>
  <c r="X46" i="13"/>
  <c r="Y46" i="13"/>
  <c r="Z46" i="13"/>
  <c r="T47" i="13"/>
  <c r="U47" i="13"/>
  <c r="V47" i="13"/>
  <c r="W47" i="13"/>
  <c r="X47" i="13"/>
  <c r="Y47" i="13"/>
  <c r="Z47" i="13"/>
  <c r="T48" i="13"/>
  <c r="U48" i="13"/>
  <c r="V48" i="13"/>
  <c r="W48" i="13"/>
  <c r="X48" i="13"/>
  <c r="Y48" i="13"/>
  <c r="Z48" i="13"/>
  <c r="T49" i="13"/>
  <c r="U49" i="13"/>
  <c r="V49" i="13"/>
  <c r="W49" i="13"/>
  <c r="X49" i="13"/>
  <c r="Y49" i="13"/>
  <c r="Z49" i="13"/>
  <c r="T50" i="13"/>
  <c r="U50" i="13"/>
  <c r="V50" i="13"/>
  <c r="W50" i="13"/>
  <c r="X50" i="13"/>
  <c r="Y50" i="13"/>
  <c r="Z50" i="13"/>
  <c r="T51" i="13"/>
  <c r="U51" i="13"/>
  <c r="V51" i="13"/>
  <c r="W51" i="13"/>
  <c r="X51" i="13"/>
  <c r="Y51" i="13"/>
  <c r="Z51" i="13"/>
  <c r="T52" i="13"/>
  <c r="U52" i="13"/>
  <c r="V52" i="13"/>
  <c r="W52" i="13"/>
  <c r="X52" i="13"/>
  <c r="Y52" i="13"/>
  <c r="Z52" i="13"/>
  <c r="T53" i="13"/>
  <c r="U53" i="13"/>
  <c r="V53" i="13"/>
  <c r="W53" i="13"/>
  <c r="X53" i="13"/>
  <c r="Y53" i="13"/>
  <c r="Z53" i="13"/>
  <c r="T54" i="13"/>
  <c r="U54" i="13"/>
  <c r="V54" i="13"/>
  <c r="W54" i="13"/>
  <c r="X54" i="13"/>
  <c r="Y54" i="13"/>
  <c r="Z54" i="13"/>
  <c r="T55" i="13"/>
  <c r="U55" i="13"/>
  <c r="V55" i="13"/>
  <c r="W55" i="13"/>
  <c r="X55" i="13"/>
  <c r="Y55" i="13"/>
  <c r="Z55" i="13"/>
  <c r="T56" i="13"/>
  <c r="U56" i="13"/>
  <c r="V56" i="13"/>
  <c r="W56" i="13"/>
  <c r="X56" i="13"/>
  <c r="Y56" i="13"/>
  <c r="Z56" i="13"/>
  <c r="T57" i="13"/>
  <c r="U57" i="13"/>
  <c r="V57" i="13"/>
  <c r="W57" i="13"/>
  <c r="X57" i="13"/>
  <c r="Y57" i="13"/>
  <c r="Z57" i="13"/>
  <c r="T58" i="13"/>
  <c r="U58" i="13"/>
  <c r="V58" i="13"/>
  <c r="W58" i="13"/>
  <c r="X58" i="13"/>
  <c r="Y58" i="13"/>
  <c r="Z58" i="13"/>
  <c r="U44" i="13"/>
  <c r="V44" i="13"/>
  <c r="W44" i="13"/>
  <c r="X44" i="13"/>
  <c r="Y44" i="13"/>
  <c r="Z44" i="13"/>
  <c r="T44" i="13"/>
  <c r="T26" i="13"/>
  <c r="U26" i="13"/>
  <c r="V26" i="13"/>
  <c r="W26" i="13"/>
  <c r="X26" i="13"/>
  <c r="Y26" i="13"/>
  <c r="Z26" i="13"/>
  <c r="T27" i="13"/>
  <c r="U27" i="13"/>
  <c r="V27" i="13"/>
  <c r="W27" i="13"/>
  <c r="X27" i="13"/>
  <c r="Y27" i="13"/>
  <c r="Z27" i="13"/>
  <c r="T28" i="13"/>
  <c r="U28" i="13"/>
  <c r="V28" i="13"/>
  <c r="W28" i="13"/>
  <c r="X28" i="13"/>
  <c r="Y28" i="13"/>
  <c r="Z28" i="13"/>
  <c r="T29" i="13"/>
  <c r="U29" i="13"/>
  <c r="V29" i="13"/>
  <c r="W29" i="13"/>
  <c r="X29" i="13"/>
  <c r="Y29" i="13"/>
  <c r="Z29" i="13"/>
  <c r="T30" i="13"/>
  <c r="U30" i="13"/>
  <c r="V30" i="13"/>
  <c r="W30" i="13"/>
  <c r="X30" i="13"/>
  <c r="Y30" i="13"/>
  <c r="Z30" i="13"/>
  <c r="T31" i="13"/>
  <c r="U31" i="13"/>
  <c r="V31" i="13"/>
  <c r="W31" i="13"/>
  <c r="X31" i="13"/>
  <c r="Y31" i="13"/>
  <c r="Z31" i="13"/>
  <c r="T32" i="13"/>
  <c r="U32" i="13"/>
  <c r="V32" i="13"/>
  <c r="W32" i="13"/>
  <c r="X32" i="13"/>
  <c r="Y32" i="13"/>
  <c r="Z32" i="13"/>
  <c r="T33" i="13"/>
  <c r="U33" i="13"/>
  <c r="V33" i="13"/>
  <c r="W33" i="13"/>
  <c r="X33" i="13"/>
  <c r="Y33" i="13"/>
  <c r="Z33" i="13"/>
  <c r="T34" i="13"/>
  <c r="U34" i="13"/>
  <c r="V34" i="13"/>
  <c r="W34" i="13"/>
  <c r="X34" i="13"/>
  <c r="Y34" i="13"/>
  <c r="Z34" i="13"/>
  <c r="T35" i="13"/>
  <c r="U35" i="13"/>
  <c r="V35" i="13"/>
  <c r="W35" i="13"/>
  <c r="X35" i="13"/>
  <c r="Y35" i="13"/>
  <c r="Z35" i="13"/>
  <c r="T36" i="13"/>
  <c r="U36" i="13"/>
  <c r="V36" i="13"/>
  <c r="W36" i="13"/>
  <c r="X36" i="13"/>
  <c r="Y36" i="13"/>
  <c r="Z36" i="13"/>
  <c r="T37" i="13"/>
  <c r="U37" i="13"/>
  <c r="V37" i="13"/>
  <c r="W37" i="13"/>
  <c r="X37" i="13"/>
  <c r="Y37" i="13"/>
  <c r="Z37" i="13"/>
  <c r="T38" i="13"/>
  <c r="U38" i="13"/>
  <c r="V38" i="13"/>
  <c r="W38" i="13"/>
  <c r="X38" i="13"/>
  <c r="Y38" i="13"/>
  <c r="Z38" i="13"/>
  <c r="T39" i="13"/>
  <c r="U39" i="13"/>
  <c r="V39" i="13"/>
  <c r="W39" i="13"/>
  <c r="X39" i="13"/>
  <c r="Y39" i="13"/>
  <c r="Z39" i="13"/>
  <c r="U25" i="13"/>
  <c r="V25" i="13"/>
  <c r="W25" i="13"/>
  <c r="X25" i="13"/>
  <c r="Y25" i="13"/>
  <c r="Z25" i="13"/>
  <c r="T25" i="13"/>
  <c r="T7" i="13"/>
  <c r="U7" i="13"/>
  <c r="V7" i="13"/>
  <c r="W7" i="13"/>
  <c r="X7" i="13"/>
  <c r="Y7" i="13"/>
  <c r="Z7" i="13"/>
  <c r="T8" i="13"/>
  <c r="U8" i="13"/>
  <c r="V8" i="13"/>
  <c r="W8" i="13"/>
  <c r="X8" i="13"/>
  <c r="Y8" i="13"/>
  <c r="Z8" i="13"/>
  <c r="T9" i="13"/>
  <c r="U9" i="13"/>
  <c r="V9" i="13"/>
  <c r="W9" i="13"/>
  <c r="X9" i="13"/>
  <c r="Y9" i="13"/>
  <c r="Z9" i="13"/>
  <c r="T10" i="13"/>
  <c r="U10" i="13"/>
  <c r="V10" i="13"/>
  <c r="W10" i="13"/>
  <c r="X10" i="13"/>
  <c r="Y10" i="13"/>
  <c r="Z10" i="13"/>
  <c r="T11" i="13"/>
  <c r="U11" i="13"/>
  <c r="V11" i="13"/>
  <c r="W11" i="13"/>
  <c r="X11" i="13"/>
  <c r="Y11" i="13"/>
  <c r="Z11" i="13"/>
  <c r="T12" i="13"/>
  <c r="U12" i="13"/>
  <c r="V12" i="13"/>
  <c r="W12" i="13"/>
  <c r="X12" i="13"/>
  <c r="Y12" i="13"/>
  <c r="Z12" i="13"/>
  <c r="T13" i="13"/>
  <c r="U13" i="13"/>
  <c r="V13" i="13"/>
  <c r="W13" i="13"/>
  <c r="X13" i="13"/>
  <c r="Y13" i="13"/>
  <c r="Z13" i="13"/>
  <c r="T14" i="13"/>
  <c r="U14" i="13"/>
  <c r="V14" i="13"/>
  <c r="W14" i="13"/>
  <c r="X14" i="13"/>
  <c r="Y14" i="13"/>
  <c r="Z14" i="13"/>
  <c r="T15" i="13"/>
  <c r="U15" i="13"/>
  <c r="V15" i="13"/>
  <c r="W15" i="13"/>
  <c r="X15" i="13"/>
  <c r="Y15" i="13"/>
  <c r="Z15" i="13"/>
  <c r="T16" i="13"/>
  <c r="U16" i="13"/>
  <c r="V16" i="13"/>
  <c r="W16" i="13"/>
  <c r="X16" i="13"/>
  <c r="Y16" i="13"/>
  <c r="Z16" i="13"/>
  <c r="T17" i="13"/>
  <c r="U17" i="13"/>
  <c r="V17" i="13"/>
  <c r="W17" i="13"/>
  <c r="X17" i="13"/>
  <c r="Y17" i="13"/>
  <c r="Z17" i="13"/>
  <c r="T18" i="13"/>
  <c r="U18" i="13"/>
  <c r="V18" i="13"/>
  <c r="W18" i="13"/>
  <c r="X18" i="13"/>
  <c r="Y18" i="13"/>
  <c r="Z18" i="13"/>
  <c r="T19" i="13"/>
  <c r="U19" i="13"/>
  <c r="V19" i="13"/>
  <c r="W19" i="13"/>
  <c r="X19" i="13"/>
  <c r="Y19" i="13"/>
  <c r="Z19" i="13"/>
  <c r="T20" i="13"/>
  <c r="U20" i="13"/>
  <c r="V20" i="13"/>
  <c r="W20" i="13"/>
  <c r="X20" i="13"/>
  <c r="Y20" i="13"/>
  <c r="Z20" i="13"/>
  <c r="U6" i="13"/>
  <c r="V6" i="13"/>
  <c r="W6" i="13"/>
  <c r="X6" i="13"/>
  <c r="Y6" i="13"/>
  <c r="Z6" i="13"/>
  <c r="T6" i="13"/>
  <c r="K140" i="13"/>
  <c r="L140" i="13"/>
  <c r="M140" i="13"/>
  <c r="N140" i="13"/>
  <c r="O140" i="13"/>
  <c r="P140" i="13"/>
  <c r="Q140" i="13"/>
  <c r="K141" i="13"/>
  <c r="L141" i="13"/>
  <c r="M141" i="13"/>
  <c r="N141" i="13"/>
  <c r="O141" i="13"/>
  <c r="P141" i="13"/>
  <c r="Q141" i="13"/>
  <c r="K142" i="13"/>
  <c r="L142" i="13"/>
  <c r="M142" i="13"/>
  <c r="N142" i="13"/>
  <c r="O142" i="13"/>
  <c r="P142" i="13"/>
  <c r="Q142" i="13"/>
  <c r="K143" i="13"/>
  <c r="L143" i="13"/>
  <c r="M143" i="13"/>
  <c r="N143" i="13"/>
  <c r="O143" i="13"/>
  <c r="P143" i="13"/>
  <c r="Q143" i="13"/>
  <c r="K144" i="13"/>
  <c r="L144" i="13"/>
  <c r="M144" i="13"/>
  <c r="N144" i="13"/>
  <c r="O144" i="13"/>
  <c r="P144" i="13"/>
  <c r="Q144" i="13"/>
  <c r="K145" i="13"/>
  <c r="L145" i="13"/>
  <c r="M145" i="13"/>
  <c r="N145" i="13"/>
  <c r="O145" i="13"/>
  <c r="P145" i="13"/>
  <c r="Q145" i="13"/>
  <c r="K146" i="13"/>
  <c r="L146" i="13"/>
  <c r="M146" i="13"/>
  <c r="N146" i="13"/>
  <c r="O146" i="13"/>
  <c r="P146" i="13"/>
  <c r="Q146" i="13"/>
  <c r="K147" i="13"/>
  <c r="L147" i="13"/>
  <c r="M147" i="13"/>
  <c r="N147" i="13"/>
  <c r="O147" i="13"/>
  <c r="P147" i="13"/>
  <c r="Q147" i="13"/>
  <c r="K148" i="13"/>
  <c r="L148" i="13"/>
  <c r="M148" i="13"/>
  <c r="N148" i="13"/>
  <c r="O148" i="13"/>
  <c r="P148" i="13"/>
  <c r="Q148" i="13"/>
  <c r="K149" i="13"/>
  <c r="L149" i="13"/>
  <c r="M149" i="13"/>
  <c r="N149" i="13"/>
  <c r="O149" i="13"/>
  <c r="P149" i="13"/>
  <c r="Q149" i="13"/>
  <c r="K150" i="13"/>
  <c r="L150" i="13"/>
  <c r="M150" i="13"/>
  <c r="N150" i="13"/>
  <c r="O150" i="13"/>
  <c r="P150" i="13"/>
  <c r="Q150" i="13"/>
  <c r="K151" i="13"/>
  <c r="L151" i="13"/>
  <c r="M151" i="13"/>
  <c r="N151" i="13"/>
  <c r="O151" i="13"/>
  <c r="P151" i="13"/>
  <c r="Q151" i="13"/>
  <c r="K152" i="13"/>
  <c r="L152" i="13"/>
  <c r="M152" i="13"/>
  <c r="N152" i="13"/>
  <c r="O152" i="13"/>
  <c r="P152" i="13"/>
  <c r="Q152" i="13"/>
  <c r="K153" i="13"/>
  <c r="L153" i="13"/>
  <c r="M153" i="13"/>
  <c r="N153" i="13"/>
  <c r="O153" i="13"/>
  <c r="P153" i="13"/>
  <c r="Q153" i="13"/>
  <c r="L139" i="13"/>
  <c r="M139" i="13"/>
  <c r="N139" i="13"/>
  <c r="O139" i="13"/>
  <c r="P139" i="13"/>
  <c r="Q139" i="13"/>
  <c r="K139" i="13"/>
  <c r="K121" i="13"/>
  <c r="L121" i="13"/>
  <c r="M121" i="13"/>
  <c r="N121" i="13"/>
  <c r="O121" i="13"/>
  <c r="P121" i="13"/>
  <c r="Q121" i="13"/>
  <c r="K122" i="13"/>
  <c r="L122" i="13"/>
  <c r="M122" i="13"/>
  <c r="N122" i="13"/>
  <c r="O122" i="13"/>
  <c r="P122" i="13"/>
  <c r="Q122" i="13"/>
  <c r="K123" i="13"/>
  <c r="L123" i="13"/>
  <c r="M123" i="13"/>
  <c r="N123" i="13"/>
  <c r="O123" i="13"/>
  <c r="P123" i="13"/>
  <c r="Q123" i="13"/>
  <c r="K124" i="13"/>
  <c r="L124" i="13"/>
  <c r="M124" i="13"/>
  <c r="N124" i="13"/>
  <c r="O124" i="13"/>
  <c r="P124" i="13"/>
  <c r="Q124" i="13"/>
  <c r="K125" i="13"/>
  <c r="L125" i="13"/>
  <c r="M125" i="13"/>
  <c r="N125" i="13"/>
  <c r="O125" i="13"/>
  <c r="P125" i="13"/>
  <c r="Q125" i="13"/>
  <c r="K126" i="13"/>
  <c r="L126" i="13"/>
  <c r="M126" i="13"/>
  <c r="N126" i="13"/>
  <c r="O126" i="13"/>
  <c r="P126" i="13"/>
  <c r="Q126" i="13"/>
  <c r="K127" i="13"/>
  <c r="L127" i="13"/>
  <c r="M127" i="13"/>
  <c r="N127" i="13"/>
  <c r="O127" i="13"/>
  <c r="P127" i="13"/>
  <c r="Q127" i="13"/>
  <c r="K128" i="13"/>
  <c r="L128" i="13"/>
  <c r="M128" i="13"/>
  <c r="N128" i="13"/>
  <c r="O128" i="13"/>
  <c r="P128" i="13"/>
  <c r="Q128" i="13"/>
  <c r="K129" i="13"/>
  <c r="L129" i="13"/>
  <c r="M129" i="13"/>
  <c r="N129" i="13"/>
  <c r="O129" i="13"/>
  <c r="P129" i="13"/>
  <c r="Q129" i="13"/>
  <c r="K130" i="13"/>
  <c r="L130" i="13"/>
  <c r="M130" i="13"/>
  <c r="N130" i="13"/>
  <c r="O130" i="13"/>
  <c r="P130" i="13"/>
  <c r="Q130" i="13"/>
  <c r="K131" i="13"/>
  <c r="L131" i="13"/>
  <c r="M131" i="13"/>
  <c r="N131" i="13"/>
  <c r="O131" i="13"/>
  <c r="P131" i="13"/>
  <c r="Q131" i="13"/>
  <c r="K132" i="13"/>
  <c r="L132" i="13"/>
  <c r="M132" i="13"/>
  <c r="N132" i="13"/>
  <c r="O132" i="13"/>
  <c r="P132" i="13"/>
  <c r="Q132" i="13"/>
  <c r="K133" i="13"/>
  <c r="L133" i="13"/>
  <c r="M133" i="13"/>
  <c r="N133" i="13"/>
  <c r="O133" i="13"/>
  <c r="P133" i="13"/>
  <c r="Q133" i="13"/>
  <c r="K134" i="13"/>
  <c r="L134" i="13"/>
  <c r="M134" i="13"/>
  <c r="N134" i="13"/>
  <c r="O134" i="13"/>
  <c r="P134" i="13"/>
  <c r="Q134" i="13"/>
  <c r="L120" i="13"/>
  <c r="M120" i="13"/>
  <c r="N120" i="13"/>
  <c r="O120" i="13"/>
  <c r="P120" i="13"/>
  <c r="Q120" i="13"/>
  <c r="K120" i="13"/>
  <c r="K102" i="13"/>
  <c r="L102" i="13"/>
  <c r="M102" i="13"/>
  <c r="N102" i="13"/>
  <c r="O102" i="13"/>
  <c r="P102" i="13"/>
  <c r="Q102" i="13"/>
  <c r="K103" i="13"/>
  <c r="L103" i="13"/>
  <c r="M103" i="13"/>
  <c r="N103" i="13"/>
  <c r="O103" i="13"/>
  <c r="P103" i="13"/>
  <c r="Q103" i="13"/>
  <c r="K104" i="13"/>
  <c r="L104" i="13"/>
  <c r="M104" i="13"/>
  <c r="N104" i="13"/>
  <c r="O104" i="13"/>
  <c r="P104" i="13"/>
  <c r="Q104" i="13"/>
  <c r="K105" i="13"/>
  <c r="L105" i="13"/>
  <c r="M105" i="13"/>
  <c r="N105" i="13"/>
  <c r="O105" i="13"/>
  <c r="P105" i="13"/>
  <c r="Q105" i="13"/>
  <c r="K106" i="13"/>
  <c r="L106" i="13"/>
  <c r="M106" i="13"/>
  <c r="N106" i="13"/>
  <c r="O106" i="13"/>
  <c r="P106" i="13"/>
  <c r="Q106" i="13"/>
  <c r="K107" i="13"/>
  <c r="L107" i="13"/>
  <c r="M107" i="13"/>
  <c r="N107" i="13"/>
  <c r="O107" i="13"/>
  <c r="P107" i="13"/>
  <c r="Q107" i="13"/>
  <c r="K108" i="13"/>
  <c r="L108" i="13"/>
  <c r="M108" i="13"/>
  <c r="N108" i="13"/>
  <c r="O108" i="13"/>
  <c r="P108" i="13"/>
  <c r="Q108" i="13"/>
  <c r="K109" i="13"/>
  <c r="L109" i="13"/>
  <c r="M109" i="13"/>
  <c r="N109" i="13"/>
  <c r="O109" i="13"/>
  <c r="P109" i="13"/>
  <c r="Q109" i="13"/>
  <c r="K110" i="13"/>
  <c r="L110" i="13"/>
  <c r="M110" i="13"/>
  <c r="N110" i="13"/>
  <c r="O110" i="13"/>
  <c r="P110" i="13"/>
  <c r="Q110" i="13"/>
  <c r="K111" i="13"/>
  <c r="L111" i="13"/>
  <c r="M111" i="13"/>
  <c r="N111" i="13"/>
  <c r="O111" i="13"/>
  <c r="P111" i="13"/>
  <c r="Q111" i="13"/>
  <c r="K112" i="13"/>
  <c r="L112" i="13"/>
  <c r="M112" i="13"/>
  <c r="N112" i="13"/>
  <c r="O112" i="13"/>
  <c r="P112" i="13"/>
  <c r="Q112" i="13"/>
  <c r="K113" i="13"/>
  <c r="L113" i="13"/>
  <c r="M113" i="13"/>
  <c r="N113" i="13"/>
  <c r="O113" i="13"/>
  <c r="P113" i="13"/>
  <c r="Q113" i="13"/>
  <c r="K114" i="13"/>
  <c r="L114" i="13"/>
  <c r="M114" i="13"/>
  <c r="N114" i="13"/>
  <c r="O114" i="13"/>
  <c r="P114" i="13"/>
  <c r="Q114" i="13"/>
  <c r="K115" i="13"/>
  <c r="L115" i="13"/>
  <c r="M115" i="13"/>
  <c r="N115" i="13"/>
  <c r="O115" i="13"/>
  <c r="P115" i="13"/>
  <c r="Q115" i="13"/>
  <c r="L101" i="13"/>
  <c r="M101" i="13"/>
  <c r="N101" i="13"/>
  <c r="O101" i="13"/>
  <c r="P101" i="13"/>
  <c r="Q101" i="13"/>
  <c r="K101" i="13"/>
  <c r="K83" i="13"/>
  <c r="L83" i="13"/>
  <c r="M83" i="13"/>
  <c r="N83" i="13"/>
  <c r="O83" i="13"/>
  <c r="P83" i="13"/>
  <c r="Q83" i="13"/>
  <c r="K84" i="13"/>
  <c r="L84" i="13"/>
  <c r="M84" i="13"/>
  <c r="N84" i="13"/>
  <c r="O84" i="13"/>
  <c r="P84" i="13"/>
  <c r="Q84" i="13"/>
  <c r="K85" i="13"/>
  <c r="L85" i="13"/>
  <c r="M85" i="13"/>
  <c r="N85" i="13"/>
  <c r="O85" i="13"/>
  <c r="P85" i="13"/>
  <c r="Q85" i="13"/>
  <c r="K86" i="13"/>
  <c r="L86" i="13"/>
  <c r="M86" i="13"/>
  <c r="N86" i="13"/>
  <c r="O86" i="13"/>
  <c r="P86" i="13"/>
  <c r="Q86" i="13"/>
  <c r="K87" i="13"/>
  <c r="L87" i="13"/>
  <c r="M87" i="13"/>
  <c r="N87" i="13"/>
  <c r="O87" i="13"/>
  <c r="P87" i="13"/>
  <c r="Q87" i="13"/>
  <c r="K88" i="13"/>
  <c r="L88" i="13"/>
  <c r="M88" i="13"/>
  <c r="N88" i="13"/>
  <c r="O88" i="13"/>
  <c r="P88" i="13"/>
  <c r="Q88" i="13"/>
  <c r="K89" i="13"/>
  <c r="L89" i="13"/>
  <c r="M89" i="13"/>
  <c r="N89" i="13"/>
  <c r="O89" i="13"/>
  <c r="P89" i="13"/>
  <c r="Q89" i="13"/>
  <c r="K90" i="13"/>
  <c r="L90" i="13"/>
  <c r="M90" i="13"/>
  <c r="N90" i="13"/>
  <c r="O90" i="13"/>
  <c r="P90" i="13"/>
  <c r="Q90" i="13"/>
  <c r="K91" i="13"/>
  <c r="L91" i="13"/>
  <c r="M91" i="13"/>
  <c r="N91" i="13"/>
  <c r="O91" i="13"/>
  <c r="P91" i="13"/>
  <c r="Q91" i="13"/>
  <c r="K92" i="13"/>
  <c r="L92" i="13"/>
  <c r="M92" i="13"/>
  <c r="N92" i="13"/>
  <c r="O92" i="13"/>
  <c r="P92" i="13"/>
  <c r="Q92" i="13"/>
  <c r="K93" i="13"/>
  <c r="L93" i="13"/>
  <c r="M93" i="13"/>
  <c r="N93" i="13"/>
  <c r="O93" i="13"/>
  <c r="P93" i="13"/>
  <c r="Q93" i="13"/>
  <c r="K94" i="13"/>
  <c r="L94" i="13"/>
  <c r="M94" i="13"/>
  <c r="N94" i="13"/>
  <c r="O94" i="13"/>
  <c r="P94" i="13"/>
  <c r="Q94" i="13"/>
  <c r="K95" i="13"/>
  <c r="L95" i="13"/>
  <c r="M95" i="13"/>
  <c r="N95" i="13"/>
  <c r="O95" i="13"/>
  <c r="P95" i="13"/>
  <c r="Q95" i="13"/>
  <c r="K96" i="13"/>
  <c r="L96" i="13"/>
  <c r="M96" i="13"/>
  <c r="N96" i="13"/>
  <c r="O96" i="13"/>
  <c r="P96" i="13"/>
  <c r="Q96" i="13"/>
  <c r="L82" i="13"/>
  <c r="M82" i="13"/>
  <c r="N82" i="13"/>
  <c r="O82" i="13"/>
  <c r="P82" i="13"/>
  <c r="Q82" i="13"/>
  <c r="K82" i="13"/>
  <c r="K64" i="13"/>
  <c r="L64" i="13"/>
  <c r="M64" i="13"/>
  <c r="N64" i="13"/>
  <c r="O64" i="13"/>
  <c r="P64" i="13"/>
  <c r="Q64" i="13"/>
  <c r="K65" i="13"/>
  <c r="L65" i="13"/>
  <c r="M65" i="13"/>
  <c r="N65" i="13"/>
  <c r="O65" i="13"/>
  <c r="P65" i="13"/>
  <c r="Q65" i="13"/>
  <c r="K66" i="13"/>
  <c r="L66" i="13"/>
  <c r="M66" i="13"/>
  <c r="N66" i="13"/>
  <c r="O66" i="13"/>
  <c r="P66" i="13"/>
  <c r="Q66" i="13"/>
  <c r="K67" i="13"/>
  <c r="L67" i="13"/>
  <c r="M67" i="13"/>
  <c r="N67" i="13"/>
  <c r="O67" i="13"/>
  <c r="P67" i="13"/>
  <c r="Q67" i="13"/>
  <c r="K68" i="13"/>
  <c r="L68" i="13"/>
  <c r="M68" i="13"/>
  <c r="N68" i="13"/>
  <c r="O68" i="13"/>
  <c r="P68" i="13"/>
  <c r="Q68" i="13"/>
  <c r="K69" i="13"/>
  <c r="L69" i="13"/>
  <c r="M69" i="13"/>
  <c r="N69" i="13"/>
  <c r="O69" i="13"/>
  <c r="P69" i="13"/>
  <c r="Q69" i="13"/>
  <c r="K70" i="13"/>
  <c r="L70" i="13"/>
  <c r="M70" i="13"/>
  <c r="N70" i="13"/>
  <c r="O70" i="13"/>
  <c r="P70" i="13"/>
  <c r="Q70" i="13"/>
  <c r="K71" i="13"/>
  <c r="L71" i="13"/>
  <c r="M71" i="13"/>
  <c r="N71" i="13"/>
  <c r="O71" i="13"/>
  <c r="P71" i="13"/>
  <c r="Q71" i="13"/>
  <c r="K72" i="13"/>
  <c r="L72" i="13"/>
  <c r="M72" i="13"/>
  <c r="N72" i="13"/>
  <c r="O72" i="13"/>
  <c r="P72" i="13"/>
  <c r="Q72" i="13"/>
  <c r="K73" i="13"/>
  <c r="L73" i="13"/>
  <c r="M73" i="13"/>
  <c r="N73" i="13"/>
  <c r="O73" i="13"/>
  <c r="P73" i="13"/>
  <c r="Q73" i="13"/>
  <c r="K74" i="13"/>
  <c r="L74" i="13"/>
  <c r="M74" i="13"/>
  <c r="N74" i="13"/>
  <c r="O74" i="13"/>
  <c r="P74" i="13"/>
  <c r="Q74" i="13"/>
  <c r="K75" i="13"/>
  <c r="L75" i="13"/>
  <c r="M75" i="13"/>
  <c r="N75" i="13"/>
  <c r="O75" i="13"/>
  <c r="P75" i="13"/>
  <c r="Q75" i="13"/>
  <c r="K76" i="13"/>
  <c r="L76" i="13"/>
  <c r="M76" i="13"/>
  <c r="N76" i="13"/>
  <c r="O76" i="13"/>
  <c r="P76" i="13"/>
  <c r="Q76" i="13"/>
  <c r="K77" i="13"/>
  <c r="L77" i="13"/>
  <c r="M77" i="13"/>
  <c r="N77" i="13"/>
  <c r="O77" i="13"/>
  <c r="P77" i="13"/>
  <c r="Q77" i="13"/>
  <c r="L63" i="13"/>
  <c r="M63" i="13"/>
  <c r="N63" i="13"/>
  <c r="O63" i="13"/>
  <c r="P63" i="13"/>
  <c r="Q63" i="13"/>
  <c r="K63" i="13"/>
  <c r="K45" i="13"/>
  <c r="L45" i="13"/>
  <c r="M45" i="13"/>
  <c r="N45" i="13"/>
  <c r="O45" i="13"/>
  <c r="P45" i="13"/>
  <c r="Q45" i="13"/>
  <c r="K46" i="13"/>
  <c r="L46" i="13"/>
  <c r="M46" i="13"/>
  <c r="N46" i="13"/>
  <c r="O46" i="13"/>
  <c r="P46" i="13"/>
  <c r="Q46" i="13"/>
  <c r="K47" i="13"/>
  <c r="L47" i="13"/>
  <c r="M47" i="13"/>
  <c r="N47" i="13"/>
  <c r="O47" i="13"/>
  <c r="P47" i="13"/>
  <c r="Q47" i="13"/>
  <c r="K48" i="13"/>
  <c r="L48" i="13"/>
  <c r="M48" i="13"/>
  <c r="N48" i="13"/>
  <c r="O48" i="13"/>
  <c r="P48" i="13"/>
  <c r="Q48" i="13"/>
  <c r="K49" i="13"/>
  <c r="L49" i="13"/>
  <c r="M49" i="13"/>
  <c r="N49" i="13"/>
  <c r="O49" i="13"/>
  <c r="P49" i="13"/>
  <c r="Q49" i="13"/>
  <c r="K50" i="13"/>
  <c r="L50" i="13"/>
  <c r="M50" i="13"/>
  <c r="N50" i="13"/>
  <c r="O50" i="13"/>
  <c r="P50" i="13"/>
  <c r="Q50" i="13"/>
  <c r="K51" i="13"/>
  <c r="L51" i="13"/>
  <c r="M51" i="13"/>
  <c r="N51" i="13"/>
  <c r="O51" i="13"/>
  <c r="P51" i="13"/>
  <c r="Q51" i="13"/>
  <c r="K52" i="13"/>
  <c r="L52" i="13"/>
  <c r="M52" i="13"/>
  <c r="N52" i="13"/>
  <c r="O52" i="13"/>
  <c r="P52" i="13"/>
  <c r="Q52" i="13"/>
  <c r="K53" i="13"/>
  <c r="L53" i="13"/>
  <c r="M53" i="13"/>
  <c r="N53" i="13"/>
  <c r="O53" i="13"/>
  <c r="P53" i="13"/>
  <c r="Q53" i="13"/>
  <c r="K54" i="13"/>
  <c r="L54" i="13"/>
  <c r="M54" i="13"/>
  <c r="N54" i="13"/>
  <c r="O54" i="13"/>
  <c r="P54" i="13"/>
  <c r="Q54" i="13"/>
  <c r="K55" i="13"/>
  <c r="L55" i="13"/>
  <c r="M55" i="13"/>
  <c r="N55" i="13"/>
  <c r="O55" i="13"/>
  <c r="P55" i="13"/>
  <c r="Q55" i="13"/>
  <c r="K56" i="13"/>
  <c r="L56" i="13"/>
  <c r="M56" i="13"/>
  <c r="N56" i="13"/>
  <c r="O56" i="13"/>
  <c r="P56" i="13"/>
  <c r="Q56" i="13"/>
  <c r="K57" i="13"/>
  <c r="L57" i="13"/>
  <c r="M57" i="13"/>
  <c r="N57" i="13"/>
  <c r="O57" i="13"/>
  <c r="P57" i="13"/>
  <c r="Q57" i="13"/>
  <c r="K58" i="13"/>
  <c r="L58" i="13"/>
  <c r="M58" i="13"/>
  <c r="N58" i="13"/>
  <c r="O58" i="13"/>
  <c r="P58" i="13"/>
  <c r="Q58" i="13"/>
  <c r="L44" i="13"/>
  <c r="M44" i="13"/>
  <c r="N44" i="13"/>
  <c r="O44" i="13"/>
  <c r="P44" i="13"/>
  <c r="Q44" i="13"/>
  <c r="K44" i="13"/>
  <c r="K26" i="13"/>
  <c r="L26" i="13"/>
  <c r="M26" i="13"/>
  <c r="N26" i="13"/>
  <c r="O26" i="13"/>
  <c r="P26" i="13"/>
  <c r="Q26" i="13"/>
  <c r="K27" i="13"/>
  <c r="L27" i="13"/>
  <c r="M27" i="13"/>
  <c r="N27" i="13"/>
  <c r="O27" i="13"/>
  <c r="P27" i="13"/>
  <c r="Q27" i="13"/>
  <c r="K28" i="13"/>
  <c r="L28" i="13"/>
  <c r="M28" i="13"/>
  <c r="N28" i="13"/>
  <c r="O28" i="13"/>
  <c r="P28" i="13"/>
  <c r="Q28" i="13"/>
  <c r="K29" i="13"/>
  <c r="L29" i="13"/>
  <c r="M29" i="13"/>
  <c r="N29" i="13"/>
  <c r="O29" i="13"/>
  <c r="P29" i="13"/>
  <c r="Q29" i="13"/>
  <c r="K30" i="13"/>
  <c r="L30" i="13"/>
  <c r="M30" i="13"/>
  <c r="N30" i="13"/>
  <c r="O30" i="13"/>
  <c r="P30" i="13"/>
  <c r="Q30" i="13"/>
  <c r="K31" i="13"/>
  <c r="L31" i="13"/>
  <c r="M31" i="13"/>
  <c r="N31" i="13"/>
  <c r="O31" i="13"/>
  <c r="P31" i="13"/>
  <c r="Q31" i="13"/>
  <c r="K32" i="13"/>
  <c r="L32" i="13"/>
  <c r="M32" i="13"/>
  <c r="N32" i="13"/>
  <c r="O32" i="13"/>
  <c r="P32" i="13"/>
  <c r="Q32" i="13"/>
  <c r="K33" i="13"/>
  <c r="L33" i="13"/>
  <c r="M33" i="13"/>
  <c r="N33" i="13"/>
  <c r="O33" i="13"/>
  <c r="P33" i="13"/>
  <c r="Q33" i="13"/>
  <c r="K34" i="13"/>
  <c r="L34" i="13"/>
  <c r="M34" i="13"/>
  <c r="N34" i="13"/>
  <c r="O34" i="13"/>
  <c r="P34" i="13"/>
  <c r="Q34" i="13"/>
  <c r="K35" i="13"/>
  <c r="L35" i="13"/>
  <c r="M35" i="13"/>
  <c r="N35" i="13"/>
  <c r="O35" i="13"/>
  <c r="P35" i="13"/>
  <c r="Q35" i="13"/>
  <c r="K36" i="13"/>
  <c r="L36" i="13"/>
  <c r="M36" i="13"/>
  <c r="N36" i="13"/>
  <c r="O36" i="13"/>
  <c r="P36" i="13"/>
  <c r="Q36" i="13"/>
  <c r="K37" i="13"/>
  <c r="L37" i="13"/>
  <c r="M37" i="13"/>
  <c r="N37" i="13"/>
  <c r="O37" i="13"/>
  <c r="P37" i="13"/>
  <c r="Q37" i="13"/>
  <c r="K38" i="13"/>
  <c r="L38" i="13"/>
  <c r="M38" i="13"/>
  <c r="N38" i="13"/>
  <c r="O38" i="13"/>
  <c r="P38" i="13"/>
  <c r="Q38" i="13"/>
  <c r="K39" i="13"/>
  <c r="L39" i="13"/>
  <c r="M39" i="13"/>
  <c r="N39" i="13"/>
  <c r="O39" i="13"/>
  <c r="P39" i="13"/>
  <c r="Q39" i="13"/>
  <c r="L25" i="13"/>
  <c r="M25" i="13"/>
  <c r="N25" i="13"/>
  <c r="O25" i="13"/>
  <c r="P25" i="13"/>
  <c r="Q25" i="13"/>
  <c r="K25" i="13"/>
  <c r="K7" i="13"/>
  <c r="L7" i="13"/>
  <c r="M7" i="13"/>
  <c r="N7" i="13"/>
  <c r="O7" i="13"/>
  <c r="P7" i="13"/>
  <c r="Q7" i="13"/>
  <c r="K8" i="13"/>
  <c r="L8" i="13"/>
  <c r="M8" i="13"/>
  <c r="N8" i="13"/>
  <c r="O8" i="13"/>
  <c r="P8" i="13"/>
  <c r="Q8" i="13"/>
  <c r="K9" i="13"/>
  <c r="L9" i="13"/>
  <c r="M9" i="13"/>
  <c r="N9" i="13"/>
  <c r="O9" i="13"/>
  <c r="P9" i="13"/>
  <c r="Q9" i="13"/>
  <c r="K10" i="13"/>
  <c r="L10" i="13"/>
  <c r="M10" i="13"/>
  <c r="N10" i="13"/>
  <c r="O10" i="13"/>
  <c r="P10" i="13"/>
  <c r="Q10" i="13"/>
  <c r="K11" i="13"/>
  <c r="L11" i="13"/>
  <c r="M11" i="13"/>
  <c r="N11" i="13"/>
  <c r="O11" i="13"/>
  <c r="P11" i="13"/>
  <c r="Q11" i="13"/>
  <c r="K12" i="13"/>
  <c r="L12" i="13"/>
  <c r="M12" i="13"/>
  <c r="N12" i="13"/>
  <c r="O12" i="13"/>
  <c r="P12" i="13"/>
  <c r="Q12" i="13"/>
  <c r="K13" i="13"/>
  <c r="L13" i="13"/>
  <c r="M13" i="13"/>
  <c r="N13" i="13"/>
  <c r="O13" i="13"/>
  <c r="P13" i="13"/>
  <c r="Q13" i="13"/>
  <c r="K14" i="13"/>
  <c r="L14" i="13"/>
  <c r="M14" i="13"/>
  <c r="N14" i="13"/>
  <c r="O14" i="13"/>
  <c r="P14" i="13"/>
  <c r="Q14" i="13"/>
  <c r="K15" i="13"/>
  <c r="L15" i="13"/>
  <c r="M15" i="13"/>
  <c r="N15" i="13"/>
  <c r="O15" i="13"/>
  <c r="P15" i="13"/>
  <c r="Q15" i="13"/>
  <c r="K16" i="13"/>
  <c r="L16" i="13"/>
  <c r="M16" i="13"/>
  <c r="N16" i="13"/>
  <c r="O16" i="13"/>
  <c r="P16" i="13"/>
  <c r="Q16" i="13"/>
  <c r="K17" i="13"/>
  <c r="L17" i="13"/>
  <c r="M17" i="13"/>
  <c r="N17" i="13"/>
  <c r="O17" i="13"/>
  <c r="P17" i="13"/>
  <c r="Q17" i="13"/>
  <c r="K18" i="13"/>
  <c r="L18" i="13"/>
  <c r="M18" i="13"/>
  <c r="N18" i="13"/>
  <c r="O18" i="13"/>
  <c r="P18" i="13"/>
  <c r="Q18" i="13"/>
  <c r="K19" i="13"/>
  <c r="L19" i="13"/>
  <c r="M19" i="13"/>
  <c r="N19" i="13"/>
  <c r="O19" i="13"/>
  <c r="P19" i="13"/>
  <c r="Q19" i="13"/>
  <c r="K20" i="13"/>
  <c r="L20" i="13"/>
  <c r="M20" i="13"/>
  <c r="N20" i="13"/>
  <c r="O20" i="13"/>
  <c r="P20" i="13"/>
  <c r="Q20" i="13"/>
  <c r="L6" i="13"/>
  <c r="M6" i="13"/>
  <c r="N6" i="13"/>
  <c r="O6" i="13"/>
  <c r="P6" i="13"/>
  <c r="Q6" i="13"/>
  <c r="K6" i="13"/>
  <c r="B140" i="13"/>
  <c r="C140" i="13"/>
  <c r="D140" i="13"/>
  <c r="E140" i="13"/>
  <c r="F140" i="13"/>
  <c r="G140" i="13"/>
  <c r="H140" i="13"/>
  <c r="B141" i="13"/>
  <c r="C141" i="13"/>
  <c r="D141" i="13"/>
  <c r="E141" i="13"/>
  <c r="F141" i="13"/>
  <c r="G141" i="13"/>
  <c r="H141" i="13"/>
  <c r="B142" i="13"/>
  <c r="C142" i="13"/>
  <c r="D142" i="13"/>
  <c r="E142" i="13"/>
  <c r="F142" i="13"/>
  <c r="G142" i="13"/>
  <c r="H142" i="13"/>
  <c r="B143" i="13"/>
  <c r="C143" i="13"/>
  <c r="D143" i="13"/>
  <c r="E143" i="13"/>
  <c r="F143" i="13"/>
  <c r="G143" i="13"/>
  <c r="H143" i="13"/>
  <c r="B144" i="13"/>
  <c r="C144" i="13"/>
  <c r="D144" i="13"/>
  <c r="E144" i="13"/>
  <c r="F144" i="13"/>
  <c r="G144" i="13"/>
  <c r="H144" i="13"/>
  <c r="B145" i="13"/>
  <c r="C145" i="13"/>
  <c r="D145" i="13"/>
  <c r="E145" i="13"/>
  <c r="F145" i="13"/>
  <c r="G145" i="13"/>
  <c r="H145" i="13"/>
  <c r="B146" i="13"/>
  <c r="C146" i="13"/>
  <c r="D146" i="13"/>
  <c r="E146" i="13"/>
  <c r="F146" i="13"/>
  <c r="G146" i="13"/>
  <c r="H146" i="13"/>
  <c r="B147" i="13"/>
  <c r="C147" i="13"/>
  <c r="D147" i="13"/>
  <c r="E147" i="13"/>
  <c r="F147" i="13"/>
  <c r="G147" i="13"/>
  <c r="H147" i="13"/>
  <c r="B148" i="13"/>
  <c r="C148" i="13"/>
  <c r="D148" i="13"/>
  <c r="E148" i="13"/>
  <c r="F148" i="13"/>
  <c r="G148" i="13"/>
  <c r="H148" i="13"/>
  <c r="B149" i="13"/>
  <c r="C149" i="13"/>
  <c r="D149" i="13"/>
  <c r="E149" i="13"/>
  <c r="F149" i="13"/>
  <c r="G149" i="13"/>
  <c r="H149" i="13"/>
  <c r="B150" i="13"/>
  <c r="C150" i="13"/>
  <c r="D150" i="13"/>
  <c r="E150" i="13"/>
  <c r="F150" i="13"/>
  <c r="G150" i="13"/>
  <c r="H150" i="13"/>
  <c r="B151" i="13"/>
  <c r="C151" i="13"/>
  <c r="D151" i="13"/>
  <c r="E151" i="13"/>
  <c r="F151" i="13"/>
  <c r="G151" i="13"/>
  <c r="H151" i="13"/>
  <c r="B152" i="13"/>
  <c r="C152" i="13"/>
  <c r="D152" i="13"/>
  <c r="E152" i="13"/>
  <c r="F152" i="13"/>
  <c r="G152" i="13"/>
  <c r="H152" i="13"/>
  <c r="B153" i="13"/>
  <c r="C153" i="13"/>
  <c r="D153" i="13"/>
  <c r="E153" i="13"/>
  <c r="F153" i="13"/>
  <c r="G153" i="13"/>
  <c r="H153" i="13"/>
  <c r="C139" i="13"/>
  <c r="D139" i="13"/>
  <c r="E139" i="13"/>
  <c r="F139" i="13"/>
  <c r="G139" i="13"/>
  <c r="H139" i="13"/>
  <c r="B139" i="13"/>
  <c r="B121" i="13"/>
  <c r="C121" i="13"/>
  <c r="D121" i="13"/>
  <c r="E121" i="13"/>
  <c r="F121" i="13"/>
  <c r="G121" i="13"/>
  <c r="H121" i="13"/>
  <c r="B122" i="13"/>
  <c r="C122" i="13"/>
  <c r="D122" i="13"/>
  <c r="E122" i="13"/>
  <c r="F122" i="13"/>
  <c r="G122" i="13"/>
  <c r="H122" i="13"/>
  <c r="B123" i="13"/>
  <c r="C123" i="13"/>
  <c r="D123" i="13"/>
  <c r="E123" i="13"/>
  <c r="F123" i="13"/>
  <c r="G123" i="13"/>
  <c r="H123" i="13"/>
  <c r="B124" i="13"/>
  <c r="C124" i="13"/>
  <c r="D124" i="13"/>
  <c r="E124" i="13"/>
  <c r="F124" i="13"/>
  <c r="G124" i="13"/>
  <c r="H124" i="13"/>
  <c r="B125" i="13"/>
  <c r="C125" i="13"/>
  <c r="D125" i="13"/>
  <c r="E125" i="13"/>
  <c r="F125" i="13"/>
  <c r="G125" i="13"/>
  <c r="H125" i="13"/>
  <c r="B126" i="13"/>
  <c r="C126" i="13"/>
  <c r="D126" i="13"/>
  <c r="E126" i="13"/>
  <c r="F126" i="13"/>
  <c r="G126" i="13"/>
  <c r="H126" i="13"/>
  <c r="B127" i="13"/>
  <c r="C127" i="13"/>
  <c r="D127" i="13"/>
  <c r="E127" i="13"/>
  <c r="F127" i="13"/>
  <c r="G127" i="13"/>
  <c r="H127" i="13"/>
  <c r="B128" i="13"/>
  <c r="C128" i="13"/>
  <c r="D128" i="13"/>
  <c r="E128" i="13"/>
  <c r="F128" i="13"/>
  <c r="G128" i="13"/>
  <c r="H128" i="13"/>
  <c r="B129" i="13"/>
  <c r="C129" i="13"/>
  <c r="D129" i="13"/>
  <c r="E129" i="13"/>
  <c r="F129" i="13"/>
  <c r="G129" i="13"/>
  <c r="H129" i="13"/>
  <c r="B130" i="13"/>
  <c r="C130" i="13"/>
  <c r="D130" i="13"/>
  <c r="E130" i="13"/>
  <c r="F130" i="13"/>
  <c r="G130" i="13"/>
  <c r="H130" i="13"/>
  <c r="B131" i="13"/>
  <c r="C131" i="13"/>
  <c r="D131" i="13"/>
  <c r="E131" i="13"/>
  <c r="F131" i="13"/>
  <c r="G131" i="13"/>
  <c r="H131" i="13"/>
  <c r="B132" i="13"/>
  <c r="C132" i="13"/>
  <c r="D132" i="13"/>
  <c r="E132" i="13"/>
  <c r="F132" i="13"/>
  <c r="G132" i="13"/>
  <c r="H132" i="13"/>
  <c r="B133" i="13"/>
  <c r="C133" i="13"/>
  <c r="D133" i="13"/>
  <c r="E133" i="13"/>
  <c r="F133" i="13"/>
  <c r="G133" i="13"/>
  <c r="H133" i="13"/>
  <c r="B134" i="13"/>
  <c r="C134" i="13"/>
  <c r="D134" i="13"/>
  <c r="E134" i="13"/>
  <c r="F134" i="13"/>
  <c r="G134" i="13"/>
  <c r="H134" i="13"/>
  <c r="C120" i="13"/>
  <c r="D120" i="13"/>
  <c r="E120" i="13"/>
  <c r="F120" i="13"/>
  <c r="G120" i="13"/>
  <c r="H120" i="13"/>
  <c r="B120" i="13"/>
  <c r="B102" i="13"/>
  <c r="C102" i="13"/>
  <c r="D102" i="13"/>
  <c r="E102" i="13"/>
  <c r="F102" i="13"/>
  <c r="G102" i="13"/>
  <c r="H102" i="13"/>
  <c r="B103" i="13"/>
  <c r="C103" i="13"/>
  <c r="D103" i="13"/>
  <c r="E103" i="13"/>
  <c r="F103" i="13"/>
  <c r="G103" i="13"/>
  <c r="H103" i="13"/>
  <c r="B104" i="13"/>
  <c r="C104" i="13"/>
  <c r="D104" i="13"/>
  <c r="E104" i="13"/>
  <c r="F104" i="13"/>
  <c r="G104" i="13"/>
  <c r="H104" i="13"/>
  <c r="B105" i="13"/>
  <c r="C105" i="13"/>
  <c r="D105" i="13"/>
  <c r="E105" i="13"/>
  <c r="F105" i="13"/>
  <c r="G105" i="13"/>
  <c r="H105" i="13"/>
  <c r="B106" i="13"/>
  <c r="C106" i="13"/>
  <c r="D106" i="13"/>
  <c r="E106" i="13"/>
  <c r="F106" i="13"/>
  <c r="G106" i="13"/>
  <c r="H106" i="13"/>
  <c r="B107" i="13"/>
  <c r="C107" i="13"/>
  <c r="D107" i="13"/>
  <c r="E107" i="13"/>
  <c r="F107" i="13"/>
  <c r="G107" i="13"/>
  <c r="H107" i="13"/>
  <c r="B108" i="13"/>
  <c r="C108" i="13"/>
  <c r="D108" i="13"/>
  <c r="E108" i="13"/>
  <c r="F108" i="13"/>
  <c r="G108" i="13"/>
  <c r="H108" i="13"/>
  <c r="B109" i="13"/>
  <c r="C109" i="13"/>
  <c r="D109" i="13"/>
  <c r="E109" i="13"/>
  <c r="F109" i="13"/>
  <c r="G109" i="13"/>
  <c r="H109" i="13"/>
  <c r="B110" i="13"/>
  <c r="C110" i="13"/>
  <c r="D110" i="13"/>
  <c r="E110" i="13"/>
  <c r="F110" i="13"/>
  <c r="G110" i="13"/>
  <c r="H110" i="13"/>
  <c r="B111" i="13"/>
  <c r="C111" i="13"/>
  <c r="D111" i="13"/>
  <c r="E111" i="13"/>
  <c r="F111" i="13"/>
  <c r="G111" i="13"/>
  <c r="H111" i="13"/>
  <c r="B112" i="13"/>
  <c r="C112" i="13"/>
  <c r="D112" i="13"/>
  <c r="E112" i="13"/>
  <c r="F112" i="13"/>
  <c r="G112" i="13"/>
  <c r="H112" i="13"/>
  <c r="B113" i="13"/>
  <c r="C113" i="13"/>
  <c r="D113" i="13"/>
  <c r="E113" i="13"/>
  <c r="F113" i="13"/>
  <c r="G113" i="13"/>
  <c r="H113" i="13"/>
  <c r="B114" i="13"/>
  <c r="C114" i="13"/>
  <c r="D114" i="13"/>
  <c r="E114" i="13"/>
  <c r="F114" i="13"/>
  <c r="G114" i="13"/>
  <c r="H114" i="13"/>
  <c r="B115" i="13"/>
  <c r="C115" i="13"/>
  <c r="D115" i="13"/>
  <c r="E115" i="13"/>
  <c r="F115" i="13"/>
  <c r="G115" i="13"/>
  <c r="H115" i="13"/>
  <c r="C101" i="13"/>
  <c r="D101" i="13"/>
  <c r="E101" i="13"/>
  <c r="F101" i="13"/>
  <c r="G101" i="13"/>
  <c r="H101" i="13"/>
  <c r="B101" i="13"/>
  <c r="B83" i="13"/>
  <c r="C83" i="13"/>
  <c r="D83" i="13"/>
  <c r="E83" i="13"/>
  <c r="F83" i="13"/>
  <c r="G83" i="13"/>
  <c r="H83" i="13"/>
  <c r="B84" i="13"/>
  <c r="C84" i="13"/>
  <c r="D84" i="13"/>
  <c r="E84" i="13"/>
  <c r="F84" i="13"/>
  <c r="G84" i="13"/>
  <c r="H84" i="13"/>
  <c r="B85" i="13"/>
  <c r="C85" i="13"/>
  <c r="D85" i="13"/>
  <c r="E85" i="13"/>
  <c r="F85" i="13"/>
  <c r="G85" i="13"/>
  <c r="H85" i="13"/>
  <c r="B86" i="13"/>
  <c r="C86" i="13"/>
  <c r="D86" i="13"/>
  <c r="E86" i="13"/>
  <c r="F86" i="13"/>
  <c r="G86" i="13"/>
  <c r="H86" i="13"/>
  <c r="B87" i="13"/>
  <c r="C87" i="13"/>
  <c r="D87" i="13"/>
  <c r="E87" i="13"/>
  <c r="F87" i="13"/>
  <c r="G87" i="13"/>
  <c r="H87" i="13"/>
  <c r="B88" i="13"/>
  <c r="C88" i="13"/>
  <c r="D88" i="13"/>
  <c r="E88" i="13"/>
  <c r="F88" i="13"/>
  <c r="G88" i="13"/>
  <c r="H88" i="13"/>
  <c r="B89" i="13"/>
  <c r="C89" i="13"/>
  <c r="D89" i="13"/>
  <c r="E89" i="13"/>
  <c r="F89" i="13"/>
  <c r="G89" i="13"/>
  <c r="H89" i="13"/>
  <c r="B90" i="13"/>
  <c r="C90" i="13"/>
  <c r="D90" i="13"/>
  <c r="E90" i="13"/>
  <c r="F90" i="13"/>
  <c r="G90" i="13"/>
  <c r="H90" i="13"/>
  <c r="B91" i="13"/>
  <c r="C91" i="13"/>
  <c r="D91" i="13"/>
  <c r="E91" i="13"/>
  <c r="F91" i="13"/>
  <c r="G91" i="13"/>
  <c r="H91" i="13"/>
  <c r="B92" i="13"/>
  <c r="C92" i="13"/>
  <c r="D92" i="13"/>
  <c r="E92" i="13"/>
  <c r="F92" i="13"/>
  <c r="G92" i="13"/>
  <c r="H92" i="13"/>
  <c r="B93" i="13"/>
  <c r="C93" i="13"/>
  <c r="D93" i="13"/>
  <c r="E93" i="13"/>
  <c r="F93" i="13"/>
  <c r="G93" i="13"/>
  <c r="H93" i="13"/>
  <c r="B94" i="13"/>
  <c r="C94" i="13"/>
  <c r="D94" i="13"/>
  <c r="E94" i="13"/>
  <c r="F94" i="13"/>
  <c r="G94" i="13"/>
  <c r="H94" i="13"/>
  <c r="B95" i="13"/>
  <c r="C95" i="13"/>
  <c r="D95" i="13"/>
  <c r="E95" i="13"/>
  <c r="F95" i="13"/>
  <c r="G95" i="13"/>
  <c r="H95" i="13"/>
  <c r="B96" i="13"/>
  <c r="C96" i="13"/>
  <c r="D96" i="13"/>
  <c r="E96" i="13"/>
  <c r="F96" i="13"/>
  <c r="G96" i="13"/>
  <c r="H96" i="13"/>
  <c r="C82" i="13"/>
  <c r="D82" i="13"/>
  <c r="E82" i="13"/>
  <c r="F82" i="13"/>
  <c r="G82" i="13"/>
  <c r="H82" i="13"/>
  <c r="B82" i="13"/>
  <c r="B64" i="13"/>
  <c r="C64" i="13"/>
  <c r="D64" i="13"/>
  <c r="E64" i="13"/>
  <c r="F64" i="13"/>
  <c r="G64" i="13"/>
  <c r="H64" i="13"/>
  <c r="B65" i="13"/>
  <c r="C65" i="13"/>
  <c r="D65" i="13"/>
  <c r="E65" i="13"/>
  <c r="F65" i="13"/>
  <c r="G65" i="13"/>
  <c r="H65" i="13"/>
  <c r="B66" i="13"/>
  <c r="C66" i="13"/>
  <c r="D66" i="13"/>
  <c r="E66" i="13"/>
  <c r="F66" i="13"/>
  <c r="G66" i="13"/>
  <c r="H66" i="13"/>
  <c r="B67" i="13"/>
  <c r="C67" i="13"/>
  <c r="D67" i="13"/>
  <c r="E67" i="13"/>
  <c r="F67" i="13"/>
  <c r="G67" i="13"/>
  <c r="H67" i="13"/>
  <c r="B68" i="13"/>
  <c r="C68" i="13"/>
  <c r="D68" i="13"/>
  <c r="E68" i="13"/>
  <c r="F68" i="13"/>
  <c r="G68" i="13"/>
  <c r="H68" i="13"/>
  <c r="B69" i="13"/>
  <c r="C69" i="13"/>
  <c r="D69" i="13"/>
  <c r="E69" i="13"/>
  <c r="F69" i="13"/>
  <c r="G69" i="13"/>
  <c r="H69" i="13"/>
  <c r="B70" i="13"/>
  <c r="C70" i="13"/>
  <c r="D70" i="13"/>
  <c r="E70" i="13"/>
  <c r="F70" i="13"/>
  <c r="G70" i="13"/>
  <c r="H70" i="13"/>
  <c r="B71" i="13"/>
  <c r="C71" i="13"/>
  <c r="D71" i="13"/>
  <c r="E71" i="13"/>
  <c r="F71" i="13"/>
  <c r="G71" i="13"/>
  <c r="H71" i="13"/>
  <c r="B72" i="13"/>
  <c r="C72" i="13"/>
  <c r="D72" i="13"/>
  <c r="E72" i="13"/>
  <c r="F72" i="13"/>
  <c r="G72" i="13"/>
  <c r="H72" i="13"/>
  <c r="B73" i="13"/>
  <c r="C73" i="13"/>
  <c r="D73" i="13"/>
  <c r="E73" i="13"/>
  <c r="F73" i="13"/>
  <c r="G73" i="13"/>
  <c r="H73" i="13"/>
  <c r="B74" i="13"/>
  <c r="C74" i="13"/>
  <c r="D74" i="13"/>
  <c r="E74" i="13"/>
  <c r="F74" i="13"/>
  <c r="G74" i="13"/>
  <c r="H74" i="13"/>
  <c r="B75" i="13"/>
  <c r="C75" i="13"/>
  <c r="D75" i="13"/>
  <c r="E75" i="13"/>
  <c r="F75" i="13"/>
  <c r="G75" i="13"/>
  <c r="H75" i="13"/>
  <c r="B76" i="13"/>
  <c r="C76" i="13"/>
  <c r="D76" i="13"/>
  <c r="E76" i="13"/>
  <c r="F76" i="13"/>
  <c r="G76" i="13"/>
  <c r="H76" i="13"/>
  <c r="B77" i="13"/>
  <c r="C77" i="13"/>
  <c r="D77" i="13"/>
  <c r="E77" i="13"/>
  <c r="F77" i="13"/>
  <c r="G77" i="13"/>
  <c r="H77" i="13"/>
  <c r="C63" i="13"/>
  <c r="D63" i="13"/>
  <c r="E63" i="13"/>
  <c r="F63" i="13"/>
  <c r="G63" i="13"/>
  <c r="H63" i="13"/>
  <c r="B63" i="13"/>
  <c r="B45" i="13"/>
  <c r="C45" i="13"/>
  <c r="D45" i="13"/>
  <c r="E45" i="13"/>
  <c r="F45" i="13"/>
  <c r="G45" i="13"/>
  <c r="H45" i="13"/>
  <c r="B46" i="13"/>
  <c r="C46" i="13"/>
  <c r="D46" i="13"/>
  <c r="E46" i="13"/>
  <c r="F46" i="13"/>
  <c r="G46" i="13"/>
  <c r="H46" i="13"/>
  <c r="B47" i="13"/>
  <c r="C47" i="13"/>
  <c r="D47" i="13"/>
  <c r="E47" i="13"/>
  <c r="F47" i="13"/>
  <c r="G47" i="13"/>
  <c r="H47" i="13"/>
  <c r="B48" i="13"/>
  <c r="C48" i="13"/>
  <c r="D48" i="13"/>
  <c r="E48" i="13"/>
  <c r="F48" i="13"/>
  <c r="G48" i="13"/>
  <c r="H48" i="13"/>
  <c r="B49" i="13"/>
  <c r="C49" i="13"/>
  <c r="D49" i="13"/>
  <c r="E49" i="13"/>
  <c r="F49" i="13"/>
  <c r="G49" i="13"/>
  <c r="H49" i="13"/>
  <c r="B50" i="13"/>
  <c r="C50" i="13"/>
  <c r="D50" i="13"/>
  <c r="E50" i="13"/>
  <c r="F50" i="13"/>
  <c r="G50" i="13"/>
  <c r="H50" i="13"/>
  <c r="B51" i="13"/>
  <c r="C51" i="13"/>
  <c r="D51" i="13"/>
  <c r="E51" i="13"/>
  <c r="F51" i="13"/>
  <c r="G51" i="13"/>
  <c r="H51" i="13"/>
  <c r="B52" i="13"/>
  <c r="C52" i="13"/>
  <c r="D52" i="13"/>
  <c r="E52" i="13"/>
  <c r="F52" i="13"/>
  <c r="G52" i="13"/>
  <c r="H52" i="13"/>
  <c r="B53" i="13"/>
  <c r="C53" i="13"/>
  <c r="D53" i="13"/>
  <c r="E53" i="13"/>
  <c r="F53" i="13"/>
  <c r="G53" i="13"/>
  <c r="H53" i="13"/>
  <c r="B54" i="13"/>
  <c r="C54" i="13"/>
  <c r="D54" i="13"/>
  <c r="E54" i="13"/>
  <c r="F54" i="13"/>
  <c r="G54" i="13"/>
  <c r="H54" i="13"/>
  <c r="B55" i="13"/>
  <c r="C55" i="13"/>
  <c r="D55" i="13"/>
  <c r="E55" i="13"/>
  <c r="F55" i="13"/>
  <c r="G55" i="13"/>
  <c r="H55" i="13"/>
  <c r="B56" i="13"/>
  <c r="C56" i="13"/>
  <c r="D56" i="13"/>
  <c r="E56" i="13"/>
  <c r="F56" i="13"/>
  <c r="G56" i="13"/>
  <c r="H56" i="13"/>
  <c r="B57" i="13"/>
  <c r="C57" i="13"/>
  <c r="D57" i="13"/>
  <c r="E57" i="13"/>
  <c r="F57" i="13"/>
  <c r="G57" i="13"/>
  <c r="H57" i="13"/>
  <c r="B58" i="13"/>
  <c r="C58" i="13"/>
  <c r="D58" i="13"/>
  <c r="E58" i="13"/>
  <c r="F58" i="13"/>
  <c r="G58" i="13"/>
  <c r="H58" i="13"/>
  <c r="C44" i="13"/>
  <c r="D44" i="13"/>
  <c r="E44" i="13"/>
  <c r="F44" i="13"/>
  <c r="G44" i="13"/>
  <c r="H44" i="13"/>
  <c r="B44" i="13"/>
  <c r="B26" i="13"/>
  <c r="C26" i="13"/>
  <c r="D26" i="13"/>
  <c r="E26" i="13"/>
  <c r="F26" i="13"/>
  <c r="G26" i="13"/>
  <c r="H26" i="13"/>
  <c r="B27" i="13"/>
  <c r="C27" i="13"/>
  <c r="D27" i="13"/>
  <c r="E27" i="13"/>
  <c r="F27" i="13"/>
  <c r="G27" i="13"/>
  <c r="H27" i="13"/>
  <c r="B28" i="13"/>
  <c r="C28" i="13"/>
  <c r="D28" i="13"/>
  <c r="E28" i="13"/>
  <c r="F28" i="13"/>
  <c r="G28" i="13"/>
  <c r="H28" i="13"/>
  <c r="B29" i="13"/>
  <c r="C29" i="13"/>
  <c r="D29" i="13"/>
  <c r="E29" i="13"/>
  <c r="F29" i="13"/>
  <c r="G29" i="13"/>
  <c r="H29" i="13"/>
  <c r="B30" i="13"/>
  <c r="C30" i="13"/>
  <c r="D30" i="13"/>
  <c r="E30" i="13"/>
  <c r="F30" i="13"/>
  <c r="G30" i="13"/>
  <c r="H30" i="13"/>
  <c r="B31" i="13"/>
  <c r="C31" i="13"/>
  <c r="D31" i="13"/>
  <c r="E31" i="13"/>
  <c r="F31" i="13"/>
  <c r="G31" i="13"/>
  <c r="H31" i="13"/>
  <c r="B32" i="13"/>
  <c r="C32" i="13"/>
  <c r="D32" i="13"/>
  <c r="E32" i="13"/>
  <c r="F32" i="13"/>
  <c r="G32" i="13"/>
  <c r="H32" i="13"/>
  <c r="B33" i="13"/>
  <c r="C33" i="13"/>
  <c r="D33" i="13"/>
  <c r="E33" i="13"/>
  <c r="F33" i="13"/>
  <c r="G33" i="13"/>
  <c r="H33" i="13"/>
  <c r="B34" i="13"/>
  <c r="C34" i="13"/>
  <c r="D34" i="13"/>
  <c r="E34" i="13"/>
  <c r="F34" i="13"/>
  <c r="G34" i="13"/>
  <c r="H34" i="13"/>
  <c r="B35" i="13"/>
  <c r="C35" i="13"/>
  <c r="D35" i="13"/>
  <c r="E35" i="13"/>
  <c r="F35" i="13"/>
  <c r="G35" i="13"/>
  <c r="H35" i="13"/>
  <c r="B36" i="13"/>
  <c r="C36" i="13"/>
  <c r="D36" i="13"/>
  <c r="E36" i="13"/>
  <c r="F36" i="13"/>
  <c r="G36" i="13"/>
  <c r="H36" i="13"/>
  <c r="B37" i="13"/>
  <c r="C37" i="13"/>
  <c r="D37" i="13"/>
  <c r="E37" i="13"/>
  <c r="F37" i="13"/>
  <c r="G37" i="13"/>
  <c r="H37" i="13"/>
  <c r="B38" i="13"/>
  <c r="C38" i="13"/>
  <c r="D38" i="13"/>
  <c r="E38" i="13"/>
  <c r="F38" i="13"/>
  <c r="G38" i="13"/>
  <c r="H38" i="13"/>
  <c r="B39" i="13"/>
  <c r="C39" i="13"/>
  <c r="D39" i="13"/>
  <c r="E39" i="13"/>
  <c r="F39" i="13"/>
  <c r="G39" i="13"/>
  <c r="H39" i="13"/>
  <c r="C25" i="13"/>
  <c r="D25" i="13"/>
  <c r="E25" i="13"/>
  <c r="F25" i="13"/>
  <c r="G25" i="13"/>
  <c r="H25" i="13"/>
  <c r="B25" i="13"/>
  <c r="B7" i="13"/>
  <c r="C7" i="13"/>
  <c r="D7" i="13"/>
  <c r="E7" i="13"/>
  <c r="F7" i="13"/>
  <c r="G7" i="13"/>
  <c r="H7" i="13"/>
  <c r="B8" i="13"/>
  <c r="C8" i="13"/>
  <c r="D8" i="13"/>
  <c r="E8" i="13"/>
  <c r="F8" i="13"/>
  <c r="G8" i="13"/>
  <c r="H8" i="13"/>
  <c r="B9" i="13"/>
  <c r="C9" i="13"/>
  <c r="D9" i="13"/>
  <c r="E9" i="13"/>
  <c r="F9" i="13"/>
  <c r="G9" i="13"/>
  <c r="H9" i="13"/>
  <c r="B10" i="13"/>
  <c r="C10" i="13"/>
  <c r="D10" i="13"/>
  <c r="E10" i="13"/>
  <c r="F10" i="13"/>
  <c r="G10" i="13"/>
  <c r="H10" i="13"/>
  <c r="B11" i="13"/>
  <c r="C11" i="13"/>
  <c r="D11" i="13"/>
  <c r="E11" i="13"/>
  <c r="F11" i="13"/>
  <c r="G11" i="13"/>
  <c r="H11" i="13"/>
  <c r="B12" i="13"/>
  <c r="C12" i="13"/>
  <c r="D12" i="13"/>
  <c r="E12" i="13"/>
  <c r="F12" i="13"/>
  <c r="G12" i="13"/>
  <c r="H12" i="13"/>
  <c r="B13" i="13"/>
  <c r="C13" i="13"/>
  <c r="D13" i="13"/>
  <c r="E13" i="13"/>
  <c r="F13" i="13"/>
  <c r="G13" i="13"/>
  <c r="H13" i="13"/>
  <c r="B14" i="13"/>
  <c r="C14" i="13"/>
  <c r="D14" i="13"/>
  <c r="E14" i="13"/>
  <c r="F14" i="13"/>
  <c r="G14" i="13"/>
  <c r="H14" i="13"/>
  <c r="B15" i="13"/>
  <c r="C15" i="13"/>
  <c r="D15" i="13"/>
  <c r="E15" i="13"/>
  <c r="F15" i="13"/>
  <c r="G15" i="13"/>
  <c r="H15" i="13"/>
  <c r="B16" i="13"/>
  <c r="C16" i="13"/>
  <c r="D16" i="13"/>
  <c r="E16" i="13"/>
  <c r="F16" i="13"/>
  <c r="G16" i="13"/>
  <c r="H16" i="13"/>
  <c r="B17" i="13"/>
  <c r="C17" i="13"/>
  <c r="D17" i="13"/>
  <c r="E17" i="13"/>
  <c r="F17" i="13"/>
  <c r="G17" i="13"/>
  <c r="H17" i="13"/>
  <c r="B18" i="13"/>
  <c r="C18" i="13"/>
  <c r="D18" i="13"/>
  <c r="E18" i="13"/>
  <c r="F18" i="13"/>
  <c r="G18" i="13"/>
  <c r="H18" i="13"/>
  <c r="B19" i="13"/>
  <c r="C19" i="13"/>
  <c r="D19" i="13"/>
  <c r="E19" i="13"/>
  <c r="F19" i="13"/>
  <c r="G19" i="13"/>
  <c r="H19" i="13"/>
  <c r="B20" i="13"/>
  <c r="C20" i="13"/>
  <c r="D20" i="13"/>
  <c r="E20" i="13"/>
  <c r="F20" i="13"/>
  <c r="G20" i="13"/>
  <c r="H20" i="13"/>
  <c r="C6" i="13"/>
  <c r="D6" i="13"/>
  <c r="E6" i="13"/>
  <c r="F6" i="13"/>
  <c r="G6" i="13"/>
  <c r="H6" i="13"/>
  <c r="B6" i="13"/>
  <c r="AC64" i="14"/>
  <c r="AD64" i="14"/>
  <c r="AE64" i="14"/>
  <c r="AF64" i="14"/>
  <c r="AG64" i="14"/>
  <c r="AH64" i="14"/>
  <c r="AI64" i="14"/>
  <c r="AC65" i="14"/>
  <c r="AD65" i="14"/>
  <c r="AE65" i="14"/>
  <c r="AF65" i="14"/>
  <c r="AG65" i="14"/>
  <c r="AH65" i="14"/>
  <c r="AI65" i="14"/>
  <c r="AC66" i="14"/>
  <c r="AD66" i="14"/>
  <c r="AE66" i="14"/>
  <c r="AF66" i="14"/>
  <c r="AG66" i="14"/>
  <c r="AH66" i="14"/>
  <c r="AI66" i="14"/>
  <c r="AC67" i="14"/>
  <c r="AD67" i="14"/>
  <c r="AE67" i="14"/>
  <c r="AF67" i="14"/>
  <c r="AG67" i="14"/>
  <c r="AH67" i="14"/>
  <c r="AI67" i="14"/>
  <c r="AC68" i="14"/>
  <c r="AD68" i="14"/>
  <c r="AE68" i="14"/>
  <c r="AF68" i="14"/>
  <c r="AG68" i="14"/>
  <c r="AH68" i="14"/>
  <c r="AI68" i="14"/>
  <c r="AC69" i="14"/>
  <c r="AD69" i="14"/>
  <c r="AE69" i="14"/>
  <c r="AF69" i="14"/>
  <c r="AG69" i="14"/>
  <c r="AH69" i="14"/>
  <c r="AI69" i="14"/>
  <c r="AC70" i="14"/>
  <c r="AD70" i="14"/>
  <c r="AE70" i="14"/>
  <c r="AF70" i="14"/>
  <c r="AG70" i="14"/>
  <c r="AH70" i="14"/>
  <c r="AI70" i="14"/>
  <c r="AC71" i="14"/>
  <c r="AD71" i="14"/>
  <c r="AE71" i="14"/>
  <c r="AF71" i="14"/>
  <c r="AG71" i="14"/>
  <c r="AH71" i="14"/>
  <c r="AI71" i="14"/>
  <c r="AC72" i="14"/>
  <c r="AD72" i="14"/>
  <c r="AE72" i="14"/>
  <c r="AF72" i="14"/>
  <c r="AG72" i="14"/>
  <c r="AH72" i="14"/>
  <c r="AI72" i="14"/>
  <c r="AC73" i="14"/>
  <c r="AD73" i="14"/>
  <c r="AE73" i="14"/>
  <c r="AF73" i="14"/>
  <c r="AG73" i="14"/>
  <c r="AH73" i="14"/>
  <c r="AI73" i="14"/>
  <c r="AC74" i="14"/>
  <c r="AD74" i="14"/>
  <c r="AE74" i="14"/>
  <c r="AF74" i="14"/>
  <c r="AG74" i="14"/>
  <c r="AH74" i="14"/>
  <c r="AI74" i="14"/>
  <c r="AC75" i="14"/>
  <c r="AD75" i="14"/>
  <c r="AE75" i="14"/>
  <c r="AF75" i="14"/>
  <c r="AG75" i="14"/>
  <c r="AH75" i="14"/>
  <c r="AI75" i="14"/>
  <c r="AC76" i="14"/>
  <c r="AD76" i="14"/>
  <c r="AE76" i="14"/>
  <c r="AF76" i="14"/>
  <c r="AG76" i="14"/>
  <c r="AH76" i="14"/>
  <c r="AI76" i="14"/>
  <c r="AC77" i="14"/>
  <c r="AD77" i="14"/>
  <c r="AE77" i="14"/>
  <c r="AF77" i="14"/>
  <c r="AG77" i="14"/>
  <c r="AH77" i="14"/>
  <c r="AI77" i="14"/>
  <c r="AD63" i="14"/>
  <c r="AE63" i="14"/>
  <c r="AF63" i="14"/>
  <c r="AG63" i="14"/>
  <c r="AH63" i="14"/>
  <c r="AI63" i="14"/>
  <c r="AC63" i="14"/>
  <c r="AC45" i="14"/>
  <c r="AD45" i="14"/>
  <c r="AE45" i="14"/>
  <c r="AF45" i="14"/>
  <c r="AG45" i="14"/>
  <c r="AH45" i="14"/>
  <c r="AI45" i="14"/>
  <c r="AC46" i="14"/>
  <c r="AD46" i="14"/>
  <c r="AE46" i="14"/>
  <c r="AF46" i="14"/>
  <c r="AG46" i="14"/>
  <c r="AH46" i="14"/>
  <c r="AI46" i="14"/>
  <c r="AC47" i="14"/>
  <c r="AD47" i="14"/>
  <c r="AE47" i="14"/>
  <c r="AF47" i="14"/>
  <c r="AG47" i="14"/>
  <c r="AH47" i="14"/>
  <c r="AI47" i="14"/>
  <c r="AC48" i="14"/>
  <c r="AD48" i="14"/>
  <c r="AE48" i="14"/>
  <c r="AF48" i="14"/>
  <c r="AG48" i="14"/>
  <c r="AH48" i="14"/>
  <c r="AI48" i="14"/>
  <c r="AC49" i="14"/>
  <c r="AD49" i="14"/>
  <c r="AE49" i="14"/>
  <c r="AF49" i="14"/>
  <c r="AG49" i="14"/>
  <c r="AH49" i="14"/>
  <c r="AI49" i="14"/>
  <c r="AC50" i="14"/>
  <c r="AD50" i="14"/>
  <c r="AE50" i="14"/>
  <c r="AF50" i="14"/>
  <c r="AG50" i="14"/>
  <c r="AH50" i="14"/>
  <c r="AI50" i="14"/>
  <c r="AC51" i="14"/>
  <c r="AD51" i="14"/>
  <c r="AE51" i="14"/>
  <c r="AF51" i="14"/>
  <c r="AG51" i="14"/>
  <c r="AH51" i="14"/>
  <c r="AI51" i="14"/>
  <c r="AC52" i="14"/>
  <c r="AD52" i="14"/>
  <c r="AE52" i="14"/>
  <c r="AF52" i="14"/>
  <c r="AG52" i="14"/>
  <c r="AH52" i="14"/>
  <c r="AI52" i="14"/>
  <c r="AC53" i="14"/>
  <c r="AD53" i="14"/>
  <c r="AE53" i="14"/>
  <c r="AF53" i="14"/>
  <c r="AG53" i="14"/>
  <c r="AH53" i="14"/>
  <c r="AI53" i="14"/>
  <c r="AC54" i="14"/>
  <c r="AD54" i="14"/>
  <c r="AE54" i="14"/>
  <c r="AF54" i="14"/>
  <c r="AG54" i="14"/>
  <c r="AH54" i="14"/>
  <c r="AI54" i="14"/>
  <c r="AC55" i="14"/>
  <c r="AD55" i="14"/>
  <c r="AE55" i="14"/>
  <c r="AF55" i="14"/>
  <c r="AG55" i="14"/>
  <c r="AH55" i="14"/>
  <c r="AI55" i="14"/>
  <c r="AC56" i="14"/>
  <c r="AD56" i="14"/>
  <c r="AE56" i="14"/>
  <c r="AF56" i="14"/>
  <c r="AG56" i="14"/>
  <c r="AH56" i="14"/>
  <c r="AI56" i="14"/>
  <c r="AC57" i="14"/>
  <c r="AD57" i="14"/>
  <c r="AE57" i="14"/>
  <c r="AF57" i="14"/>
  <c r="AG57" i="14"/>
  <c r="AH57" i="14"/>
  <c r="AI57" i="14"/>
  <c r="AC58" i="14"/>
  <c r="AD58" i="14"/>
  <c r="AE58" i="14"/>
  <c r="AF58" i="14"/>
  <c r="AG58" i="14"/>
  <c r="AH58" i="14"/>
  <c r="AI58" i="14"/>
  <c r="AD44" i="14"/>
  <c r="AE44" i="14"/>
  <c r="AF44" i="14"/>
  <c r="AG44" i="14"/>
  <c r="AH44" i="14"/>
  <c r="AI44" i="14"/>
  <c r="AC44" i="14"/>
  <c r="AC26" i="14"/>
  <c r="AD26" i="14"/>
  <c r="AE26" i="14"/>
  <c r="AF26" i="14"/>
  <c r="AG26" i="14"/>
  <c r="AH26" i="14"/>
  <c r="AI26" i="14"/>
  <c r="AC27" i="14"/>
  <c r="AD27" i="14"/>
  <c r="AE27" i="14"/>
  <c r="AF27" i="14"/>
  <c r="AG27" i="14"/>
  <c r="AH27" i="14"/>
  <c r="AI27" i="14"/>
  <c r="AC28" i="14"/>
  <c r="AD28" i="14"/>
  <c r="AE28" i="14"/>
  <c r="AF28" i="14"/>
  <c r="AG28" i="14"/>
  <c r="AH28" i="14"/>
  <c r="AI28" i="14"/>
  <c r="AC29" i="14"/>
  <c r="AD29" i="14"/>
  <c r="AE29" i="14"/>
  <c r="AF29" i="14"/>
  <c r="AG29" i="14"/>
  <c r="AH29" i="14"/>
  <c r="AI29" i="14"/>
  <c r="AC30" i="14"/>
  <c r="AD30" i="14"/>
  <c r="AE30" i="14"/>
  <c r="AF30" i="14"/>
  <c r="AG30" i="14"/>
  <c r="AH30" i="14"/>
  <c r="AI30" i="14"/>
  <c r="AC31" i="14"/>
  <c r="AD31" i="14"/>
  <c r="AE31" i="14"/>
  <c r="AF31" i="14"/>
  <c r="AG31" i="14"/>
  <c r="AH31" i="14"/>
  <c r="AI31" i="14"/>
  <c r="AC32" i="14"/>
  <c r="AD32" i="14"/>
  <c r="AE32" i="14"/>
  <c r="AF32" i="14"/>
  <c r="AG32" i="14"/>
  <c r="AH32" i="14"/>
  <c r="AI32" i="14"/>
  <c r="AC33" i="14"/>
  <c r="AD33" i="14"/>
  <c r="AE33" i="14"/>
  <c r="AF33" i="14"/>
  <c r="AG33" i="14"/>
  <c r="AH33" i="14"/>
  <c r="AI33" i="14"/>
  <c r="AC34" i="14"/>
  <c r="AD34" i="14"/>
  <c r="AE34" i="14"/>
  <c r="AF34" i="14"/>
  <c r="AG34" i="14"/>
  <c r="AH34" i="14"/>
  <c r="AI34" i="14"/>
  <c r="AC35" i="14"/>
  <c r="AD35" i="14"/>
  <c r="AE35" i="14"/>
  <c r="AF35" i="14"/>
  <c r="AG35" i="14"/>
  <c r="AH35" i="14"/>
  <c r="AI35" i="14"/>
  <c r="AC36" i="14"/>
  <c r="AD36" i="14"/>
  <c r="AE36" i="14"/>
  <c r="AF36" i="14"/>
  <c r="AG36" i="14"/>
  <c r="AH36" i="14"/>
  <c r="AI36" i="14"/>
  <c r="AC37" i="14"/>
  <c r="AD37" i="14"/>
  <c r="AE37" i="14"/>
  <c r="AF37" i="14"/>
  <c r="AG37" i="14"/>
  <c r="AH37" i="14"/>
  <c r="AI37" i="14"/>
  <c r="AC38" i="14"/>
  <c r="AD38" i="14"/>
  <c r="AE38" i="14"/>
  <c r="AF38" i="14"/>
  <c r="AG38" i="14"/>
  <c r="AH38" i="14"/>
  <c r="AI38" i="14"/>
  <c r="AC39" i="14"/>
  <c r="AD39" i="14"/>
  <c r="AE39" i="14"/>
  <c r="AF39" i="14"/>
  <c r="AG39" i="14"/>
  <c r="AH39" i="14"/>
  <c r="AI39" i="14"/>
  <c r="AD25" i="14"/>
  <c r="AE25" i="14"/>
  <c r="AF25" i="14"/>
  <c r="AG25" i="14"/>
  <c r="AH25" i="14"/>
  <c r="AI25" i="14"/>
  <c r="AC25" i="14"/>
  <c r="AC7" i="14"/>
  <c r="AD7" i="14"/>
  <c r="AE7" i="14"/>
  <c r="AF7" i="14"/>
  <c r="AG7" i="14"/>
  <c r="AH7" i="14"/>
  <c r="AI7" i="14"/>
  <c r="AC8" i="14"/>
  <c r="AD8" i="14"/>
  <c r="AE8" i="14"/>
  <c r="AF8" i="14"/>
  <c r="AG8" i="14"/>
  <c r="AH8" i="14"/>
  <c r="AI8" i="14"/>
  <c r="AC9" i="14"/>
  <c r="AD9" i="14"/>
  <c r="AE9" i="14"/>
  <c r="AF9" i="14"/>
  <c r="AG9" i="14"/>
  <c r="AH9" i="14"/>
  <c r="AI9" i="14"/>
  <c r="AC10" i="14"/>
  <c r="AD10" i="14"/>
  <c r="AE10" i="14"/>
  <c r="AF10" i="14"/>
  <c r="AG10" i="14"/>
  <c r="AH10" i="14"/>
  <c r="AI10" i="14"/>
  <c r="AC11" i="14"/>
  <c r="AD11" i="14"/>
  <c r="AE11" i="14"/>
  <c r="AF11" i="14"/>
  <c r="AG11" i="14"/>
  <c r="AH11" i="14"/>
  <c r="AI11" i="14"/>
  <c r="AC12" i="14"/>
  <c r="AD12" i="14"/>
  <c r="AE12" i="14"/>
  <c r="AF12" i="14"/>
  <c r="AG12" i="14"/>
  <c r="AH12" i="14"/>
  <c r="AI12" i="14"/>
  <c r="AC13" i="14"/>
  <c r="AD13" i="14"/>
  <c r="AE13" i="14"/>
  <c r="AF13" i="14"/>
  <c r="AG13" i="14"/>
  <c r="AH13" i="14"/>
  <c r="AI13" i="14"/>
  <c r="AC14" i="14"/>
  <c r="AD14" i="14"/>
  <c r="AE14" i="14"/>
  <c r="AF14" i="14"/>
  <c r="AG14" i="14"/>
  <c r="AH14" i="14"/>
  <c r="AI14" i="14"/>
  <c r="AC15" i="14"/>
  <c r="AD15" i="14"/>
  <c r="AE15" i="14"/>
  <c r="AF15" i="14"/>
  <c r="AG15" i="14"/>
  <c r="AH15" i="14"/>
  <c r="AI15" i="14"/>
  <c r="AC16" i="14"/>
  <c r="AD16" i="14"/>
  <c r="AE16" i="14"/>
  <c r="AF16" i="14"/>
  <c r="AG16" i="14"/>
  <c r="AH16" i="14"/>
  <c r="AI16" i="14"/>
  <c r="AC17" i="14"/>
  <c r="AD17" i="14"/>
  <c r="AE17" i="14"/>
  <c r="AF17" i="14"/>
  <c r="AG17" i="14"/>
  <c r="AH17" i="14"/>
  <c r="AI17" i="14"/>
  <c r="AC18" i="14"/>
  <c r="AD18" i="14"/>
  <c r="AE18" i="14"/>
  <c r="AF18" i="14"/>
  <c r="AG18" i="14"/>
  <c r="AH18" i="14"/>
  <c r="AI18" i="14"/>
  <c r="AC19" i="14"/>
  <c r="AD19" i="14"/>
  <c r="AE19" i="14"/>
  <c r="AF19" i="14"/>
  <c r="AG19" i="14"/>
  <c r="AH19" i="14"/>
  <c r="AI19" i="14"/>
  <c r="AC20" i="14"/>
  <c r="AD20" i="14"/>
  <c r="AE20" i="14"/>
  <c r="AF20" i="14"/>
  <c r="AG20" i="14"/>
  <c r="AH20" i="14"/>
  <c r="AI20" i="14"/>
  <c r="AD6" i="14"/>
  <c r="AE6" i="14"/>
  <c r="AF6" i="14"/>
  <c r="AG6" i="14"/>
  <c r="AH6" i="14"/>
  <c r="AI6" i="14"/>
  <c r="AC6" i="14"/>
  <c r="T64" i="14"/>
  <c r="U64" i="14"/>
  <c r="V64" i="14"/>
  <c r="W64" i="14"/>
  <c r="X64" i="14"/>
  <c r="Y64" i="14"/>
  <c r="Z64" i="14"/>
  <c r="T65" i="14"/>
  <c r="U65" i="14"/>
  <c r="V65" i="14"/>
  <c r="W65" i="14"/>
  <c r="X65" i="14"/>
  <c r="Y65" i="14"/>
  <c r="Z65" i="14"/>
  <c r="T66" i="14"/>
  <c r="U66" i="14"/>
  <c r="V66" i="14"/>
  <c r="W66" i="14"/>
  <c r="X66" i="14"/>
  <c r="Y66" i="14"/>
  <c r="Z66" i="14"/>
  <c r="T67" i="14"/>
  <c r="U67" i="14"/>
  <c r="V67" i="14"/>
  <c r="W67" i="14"/>
  <c r="X67" i="14"/>
  <c r="Y67" i="14"/>
  <c r="Z67" i="14"/>
  <c r="T68" i="14"/>
  <c r="U68" i="14"/>
  <c r="V68" i="14"/>
  <c r="W68" i="14"/>
  <c r="X68" i="14"/>
  <c r="Y68" i="14"/>
  <c r="Z68" i="14"/>
  <c r="T69" i="14"/>
  <c r="U69" i="14"/>
  <c r="V69" i="14"/>
  <c r="W69" i="14"/>
  <c r="X69" i="14"/>
  <c r="Y69" i="14"/>
  <c r="Z69" i="14"/>
  <c r="T70" i="14"/>
  <c r="U70" i="14"/>
  <c r="V70" i="14"/>
  <c r="W70" i="14"/>
  <c r="X70" i="14"/>
  <c r="Y70" i="14"/>
  <c r="Z70" i="14"/>
  <c r="T71" i="14"/>
  <c r="U71" i="14"/>
  <c r="V71" i="14"/>
  <c r="W71" i="14"/>
  <c r="X71" i="14"/>
  <c r="Y71" i="14"/>
  <c r="Z71" i="14"/>
  <c r="T72" i="14"/>
  <c r="U72" i="14"/>
  <c r="V72" i="14"/>
  <c r="W72" i="14"/>
  <c r="X72" i="14"/>
  <c r="Y72" i="14"/>
  <c r="Z72" i="14"/>
  <c r="T73" i="14"/>
  <c r="U73" i="14"/>
  <c r="V73" i="14"/>
  <c r="W73" i="14"/>
  <c r="X73" i="14"/>
  <c r="Y73" i="14"/>
  <c r="Z73" i="14"/>
  <c r="T74" i="14"/>
  <c r="U74" i="14"/>
  <c r="V74" i="14"/>
  <c r="W74" i="14"/>
  <c r="X74" i="14"/>
  <c r="Y74" i="14"/>
  <c r="Z74" i="14"/>
  <c r="T75" i="14"/>
  <c r="U75" i="14"/>
  <c r="V75" i="14"/>
  <c r="W75" i="14"/>
  <c r="X75" i="14"/>
  <c r="Y75" i="14"/>
  <c r="Z75" i="14"/>
  <c r="T76" i="14"/>
  <c r="U76" i="14"/>
  <c r="V76" i="14"/>
  <c r="W76" i="14"/>
  <c r="X76" i="14"/>
  <c r="Y76" i="14"/>
  <c r="Z76" i="14"/>
  <c r="T77" i="14"/>
  <c r="U77" i="14"/>
  <c r="V77" i="14"/>
  <c r="W77" i="14"/>
  <c r="X77" i="14"/>
  <c r="Y77" i="14"/>
  <c r="Z77" i="14"/>
  <c r="U63" i="14"/>
  <c r="V63" i="14"/>
  <c r="W63" i="14"/>
  <c r="X63" i="14"/>
  <c r="Y63" i="14"/>
  <c r="Z63" i="14"/>
  <c r="T63" i="14"/>
  <c r="T45" i="14"/>
  <c r="U45" i="14"/>
  <c r="V45" i="14"/>
  <c r="W45" i="14"/>
  <c r="X45" i="14"/>
  <c r="Y45" i="14"/>
  <c r="Z45" i="14"/>
  <c r="T46" i="14"/>
  <c r="U46" i="14"/>
  <c r="V46" i="14"/>
  <c r="W46" i="14"/>
  <c r="X46" i="14"/>
  <c r="Y46" i="14"/>
  <c r="Z46" i="14"/>
  <c r="T47" i="14"/>
  <c r="U47" i="14"/>
  <c r="V47" i="14"/>
  <c r="W47" i="14"/>
  <c r="X47" i="14"/>
  <c r="Y47" i="14"/>
  <c r="Z47" i="14"/>
  <c r="T48" i="14"/>
  <c r="U48" i="14"/>
  <c r="V48" i="14"/>
  <c r="W48" i="14"/>
  <c r="X48" i="14"/>
  <c r="Y48" i="14"/>
  <c r="Z48" i="14"/>
  <c r="T49" i="14"/>
  <c r="U49" i="14"/>
  <c r="V49" i="14"/>
  <c r="W49" i="14"/>
  <c r="X49" i="14"/>
  <c r="Y49" i="14"/>
  <c r="Z49" i="14"/>
  <c r="T50" i="14"/>
  <c r="U50" i="14"/>
  <c r="V50" i="14"/>
  <c r="W50" i="14"/>
  <c r="X50" i="14"/>
  <c r="Y50" i="14"/>
  <c r="Z50" i="14"/>
  <c r="T51" i="14"/>
  <c r="U51" i="14"/>
  <c r="V51" i="14"/>
  <c r="W51" i="14"/>
  <c r="X51" i="14"/>
  <c r="Y51" i="14"/>
  <c r="Z51" i="14"/>
  <c r="T52" i="14"/>
  <c r="U52" i="14"/>
  <c r="V52" i="14"/>
  <c r="W52" i="14"/>
  <c r="X52" i="14"/>
  <c r="Y52" i="14"/>
  <c r="Z52" i="14"/>
  <c r="T53" i="14"/>
  <c r="U53" i="14"/>
  <c r="V53" i="14"/>
  <c r="W53" i="14"/>
  <c r="X53" i="14"/>
  <c r="Y53" i="14"/>
  <c r="Z53" i="14"/>
  <c r="T54" i="14"/>
  <c r="U54" i="14"/>
  <c r="V54" i="14"/>
  <c r="W54" i="14"/>
  <c r="X54" i="14"/>
  <c r="Y54" i="14"/>
  <c r="Z54" i="14"/>
  <c r="T55" i="14"/>
  <c r="U55" i="14"/>
  <c r="V55" i="14"/>
  <c r="W55" i="14"/>
  <c r="X55" i="14"/>
  <c r="Y55" i="14"/>
  <c r="Z55" i="14"/>
  <c r="T56" i="14"/>
  <c r="U56" i="14"/>
  <c r="V56" i="14"/>
  <c r="W56" i="14"/>
  <c r="X56" i="14"/>
  <c r="Y56" i="14"/>
  <c r="Z56" i="14"/>
  <c r="T57" i="14"/>
  <c r="U57" i="14"/>
  <c r="V57" i="14"/>
  <c r="W57" i="14"/>
  <c r="X57" i="14"/>
  <c r="Y57" i="14"/>
  <c r="Z57" i="14"/>
  <c r="T58" i="14"/>
  <c r="U58" i="14"/>
  <c r="V58" i="14"/>
  <c r="W58" i="14"/>
  <c r="X58" i="14"/>
  <c r="Y58" i="14"/>
  <c r="Z58" i="14"/>
  <c r="U44" i="14"/>
  <c r="V44" i="14"/>
  <c r="W44" i="14"/>
  <c r="X44" i="14"/>
  <c r="Y44" i="14"/>
  <c r="Z44" i="14"/>
  <c r="T44" i="14"/>
  <c r="T26" i="14"/>
  <c r="U26" i="14"/>
  <c r="V26" i="14"/>
  <c r="W26" i="14"/>
  <c r="X26" i="14"/>
  <c r="Y26" i="14"/>
  <c r="Z26" i="14"/>
  <c r="T27" i="14"/>
  <c r="U27" i="14"/>
  <c r="V27" i="14"/>
  <c r="W27" i="14"/>
  <c r="X27" i="14"/>
  <c r="Y27" i="14"/>
  <c r="Z27" i="14"/>
  <c r="T28" i="14"/>
  <c r="U28" i="14"/>
  <c r="V28" i="14"/>
  <c r="W28" i="14"/>
  <c r="X28" i="14"/>
  <c r="Y28" i="14"/>
  <c r="Z28" i="14"/>
  <c r="T29" i="14"/>
  <c r="U29" i="14"/>
  <c r="V29" i="14"/>
  <c r="W29" i="14"/>
  <c r="X29" i="14"/>
  <c r="Y29" i="14"/>
  <c r="Z29" i="14"/>
  <c r="T30" i="14"/>
  <c r="U30" i="14"/>
  <c r="V30" i="14"/>
  <c r="W30" i="14"/>
  <c r="X30" i="14"/>
  <c r="Y30" i="14"/>
  <c r="Z30" i="14"/>
  <c r="T31" i="14"/>
  <c r="U31" i="14"/>
  <c r="V31" i="14"/>
  <c r="W31" i="14"/>
  <c r="X31" i="14"/>
  <c r="Y31" i="14"/>
  <c r="Z31" i="14"/>
  <c r="T32" i="14"/>
  <c r="U32" i="14"/>
  <c r="V32" i="14"/>
  <c r="W32" i="14"/>
  <c r="X32" i="14"/>
  <c r="Y32" i="14"/>
  <c r="Z32" i="14"/>
  <c r="T33" i="14"/>
  <c r="U33" i="14"/>
  <c r="V33" i="14"/>
  <c r="W33" i="14"/>
  <c r="X33" i="14"/>
  <c r="Y33" i="14"/>
  <c r="Z33" i="14"/>
  <c r="T34" i="14"/>
  <c r="U34" i="14"/>
  <c r="V34" i="14"/>
  <c r="W34" i="14"/>
  <c r="X34" i="14"/>
  <c r="Y34" i="14"/>
  <c r="Z34" i="14"/>
  <c r="T35" i="14"/>
  <c r="U35" i="14"/>
  <c r="V35" i="14"/>
  <c r="W35" i="14"/>
  <c r="X35" i="14"/>
  <c r="Y35" i="14"/>
  <c r="Z35" i="14"/>
  <c r="T36" i="14"/>
  <c r="U36" i="14"/>
  <c r="V36" i="14"/>
  <c r="W36" i="14"/>
  <c r="X36" i="14"/>
  <c r="Y36" i="14"/>
  <c r="Z36" i="14"/>
  <c r="T37" i="14"/>
  <c r="U37" i="14"/>
  <c r="V37" i="14"/>
  <c r="W37" i="14"/>
  <c r="X37" i="14"/>
  <c r="Y37" i="14"/>
  <c r="Z37" i="14"/>
  <c r="T38" i="14"/>
  <c r="U38" i="14"/>
  <c r="V38" i="14"/>
  <c r="W38" i="14"/>
  <c r="X38" i="14"/>
  <c r="Y38" i="14"/>
  <c r="Z38" i="14"/>
  <c r="T39" i="14"/>
  <c r="U39" i="14"/>
  <c r="V39" i="14"/>
  <c r="W39" i="14"/>
  <c r="X39" i="14"/>
  <c r="Y39" i="14"/>
  <c r="Z39" i="14"/>
  <c r="U25" i="14"/>
  <c r="V25" i="14"/>
  <c r="W25" i="14"/>
  <c r="X25" i="14"/>
  <c r="Y25" i="14"/>
  <c r="Z25" i="14"/>
  <c r="T25" i="14"/>
  <c r="T7" i="14"/>
  <c r="U7" i="14"/>
  <c r="V7" i="14"/>
  <c r="W7" i="14"/>
  <c r="X7" i="14"/>
  <c r="Y7" i="14"/>
  <c r="Z7" i="14"/>
  <c r="T8" i="14"/>
  <c r="U8" i="14"/>
  <c r="V8" i="14"/>
  <c r="W8" i="14"/>
  <c r="X8" i="14"/>
  <c r="Y8" i="14"/>
  <c r="Z8" i="14"/>
  <c r="T9" i="14"/>
  <c r="U9" i="14"/>
  <c r="V9" i="14"/>
  <c r="W9" i="14"/>
  <c r="X9" i="14"/>
  <c r="Y9" i="14"/>
  <c r="Z9" i="14"/>
  <c r="T10" i="14"/>
  <c r="U10" i="14"/>
  <c r="V10" i="14"/>
  <c r="W10" i="14"/>
  <c r="X10" i="14"/>
  <c r="Y10" i="14"/>
  <c r="Z10" i="14"/>
  <c r="T11" i="14"/>
  <c r="U11" i="14"/>
  <c r="V11" i="14"/>
  <c r="W11" i="14"/>
  <c r="X11" i="14"/>
  <c r="Y11" i="14"/>
  <c r="Z11" i="14"/>
  <c r="T12" i="14"/>
  <c r="U12" i="14"/>
  <c r="V12" i="14"/>
  <c r="W12" i="14"/>
  <c r="X12" i="14"/>
  <c r="Y12" i="14"/>
  <c r="Z12" i="14"/>
  <c r="T13" i="14"/>
  <c r="U13" i="14"/>
  <c r="V13" i="14"/>
  <c r="W13" i="14"/>
  <c r="X13" i="14"/>
  <c r="Y13" i="14"/>
  <c r="Z13" i="14"/>
  <c r="T14" i="14"/>
  <c r="U14" i="14"/>
  <c r="V14" i="14"/>
  <c r="W14" i="14"/>
  <c r="X14" i="14"/>
  <c r="Y14" i="14"/>
  <c r="Z14" i="14"/>
  <c r="T15" i="14"/>
  <c r="U15" i="14"/>
  <c r="V15" i="14"/>
  <c r="W15" i="14"/>
  <c r="X15" i="14"/>
  <c r="Y15" i="14"/>
  <c r="Z15" i="14"/>
  <c r="T16" i="14"/>
  <c r="U16" i="14"/>
  <c r="V16" i="14"/>
  <c r="W16" i="14"/>
  <c r="X16" i="14"/>
  <c r="Y16" i="14"/>
  <c r="Z16" i="14"/>
  <c r="T17" i="14"/>
  <c r="U17" i="14"/>
  <c r="V17" i="14"/>
  <c r="W17" i="14"/>
  <c r="X17" i="14"/>
  <c r="Y17" i="14"/>
  <c r="Z17" i="14"/>
  <c r="T18" i="14"/>
  <c r="U18" i="14"/>
  <c r="V18" i="14"/>
  <c r="W18" i="14"/>
  <c r="X18" i="14"/>
  <c r="Y18" i="14"/>
  <c r="Z18" i="14"/>
  <c r="T19" i="14"/>
  <c r="U19" i="14"/>
  <c r="V19" i="14"/>
  <c r="W19" i="14"/>
  <c r="X19" i="14"/>
  <c r="Y19" i="14"/>
  <c r="Z19" i="14"/>
  <c r="T20" i="14"/>
  <c r="U20" i="14"/>
  <c r="V20" i="14"/>
  <c r="W20" i="14"/>
  <c r="X20" i="14"/>
  <c r="Y20" i="14"/>
  <c r="Z20" i="14"/>
  <c r="U6" i="14"/>
  <c r="V6" i="14"/>
  <c r="W6" i="14"/>
  <c r="X6" i="14"/>
  <c r="Y6" i="14"/>
  <c r="Z6" i="14"/>
  <c r="T6" i="14"/>
  <c r="K64" i="14"/>
  <c r="L64" i="14"/>
  <c r="M64" i="14"/>
  <c r="N64" i="14"/>
  <c r="O64" i="14"/>
  <c r="P64" i="14"/>
  <c r="Q64" i="14"/>
  <c r="K65" i="14"/>
  <c r="L65" i="14"/>
  <c r="M65" i="14"/>
  <c r="N65" i="14"/>
  <c r="O65" i="14"/>
  <c r="P65" i="14"/>
  <c r="Q65" i="14"/>
  <c r="K66" i="14"/>
  <c r="L66" i="14"/>
  <c r="M66" i="14"/>
  <c r="N66" i="14"/>
  <c r="O66" i="14"/>
  <c r="P66" i="14"/>
  <c r="Q66" i="14"/>
  <c r="K67" i="14"/>
  <c r="L67" i="14"/>
  <c r="M67" i="14"/>
  <c r="N67" i="14"/>
  <c r="O67" i="14"/>
  <c r="P67" i="14"/>
  <c r="Q67" i="14"/>
  <c r="K68" i="14"/>
  <c r="L68" i="14"/>
  <c r="M68" i="14"/>
  <c r="N68" i="14"/>
  <c r="O68" i="14"/>
  <c r="P68" i="14"/>
  <c r="Q68" i="14"/>
  <c r="K69" i="14"/>
  <c r="L69" i="14"/>
  <c r="M69" i="14"/>
  <c r="N69" i="14"/>
  <c r="O69" i="14"/>
  <c r="P69" i="14"/>
  <c r="Q69" i="14"/>
  <c r="K70" i="14"/>
  <c r="L70" i="14"/>
  <c r="M70" i="14"/>
  <c r="N70" i="14"/>
  <c r="O70" i="14"/>
  <c r="P70" i="14"/>
  <c r="Q70" i="14"/>
  <c r="K71" i="14"/>
  <c r="L71" i="14"/>
  <c r="M71" i="14"/>
  <c r="N71" i="14"/>
  <c r="O71" i="14"/>
  <c r="P71" i="14"/>
  <c r="Q71" i="14"/>
  <c r="K72" i="14"/>
  <c r="L72" i="14"/>
  <c r="M72" i="14"/>
  <c r="N72" i="14"/>
  <c r="O72" i="14"/>
  <c r="P72" i="14"/>
  <c r="Q72" i="14"/>
  <c r="K73" i="14"/>
  <c r="L73" i="14"/>
  <c r="M73" i="14"/>
  <c r="N73" i="14"/>
  <c r="O73" i="14"/>
  <c r="P73" i="14"/>
  <c r="Q73" i="14"/>
  <c r="K74" i="14"/>
  <c r="L74" i="14"/>
  <c r="M74" i="14"/>
  <c r="N74" i="14"/>
  <c r="O74" i="14"/>
  <c r="P74" i="14"/>
  <c r="Q74" i="14"/>
  <c r="K75" i="14"/>
  <c r="L75" i="14"/>
  <c r="M75" i="14"/>
  <c r="N75" i="14"/>
  <c r="O75" i="14"/>
  <c r="P75" i="14"/>
  <c r="Q75" i="14"/>
  <c r="K76" i="14"/>
  <c r="L76" i="14"/>
  <c r="M76" i="14"/>
  <c r="N76" i="14"/>
  <c r="O76" i="14"/>
  <c r="P76" i="14"/>
  <c r="Q76" i="14"/>
  <c r="K77" i="14"/>
  <c r="L77" i="14"/>
  <c r="M77" i="14"/>
  <c r="N77" i="14"/>
  <c r="O77" i="14"/>
  <c r="P77" i="14"/>
  <c r="Q77" i="14"/>
  <c r="L63" i="14"/>
  <c r="M63" i="14"/>
  <c r="N63" i="14"/>
  <c r="O63" i="14"/>
  <c r="P63" i="14"/>
  <c r="Q63" i="14"/>
  <c r="K63" i="14"/>
  <c r="K45" i="14"/>
  <c r="L45" i="14"/>
  <c r="M45" i="14"/>
  <c r="N45" i="14"/>
  <c r="O45" i="14"/>
  <c r="P45" i="14"/>
  <c r="Q45" i="14"/>
  <c r="K46" i="14"/>
  <c r="L46" i="14"/>
  <c r="M46" i="14"/>
  <c r="N46" i="14"/>
  <c r="O46" i="14"/>
  <c r="P46" i="14"/>
  <c r="Q46" i="14"/>
  <c r="K47" i="14"/>
  <c r="L47" i="14"/>
  <c r="M47" i="14"/>
  <c r="N47" i="14"/>
  <c r="O47" i="14"/>
  <c r="P47" i="14"/>
  <c r="Q47" i="14"/>
  <c r="K48" i="14"/>
  <c r="L48" i="14"/>
  <c r="M48" i="14"/>
  <c r="N48" i="14"/>
  <c r="O48" i="14"/>
  <c r="P48" i="14"/>
  <c r="Q48" i="14"/>
  <c r="K49" i="14"/>
  <c r="L49" i="14"/>
  <c r="M49" i="14"/>
  <c r="N49" i="14"/>
  <c r="O49" i="14"/>
  <c r="P49" i="14"/>
  <c r="Q49" i="14"/>
  <c r="K50" i="14"/>
  <c r="L50" i="14"/>
  <c r="M50" i="14"/>
  <c r="N50" i="14"/>
  <c r="O50" i="14"/>
  <c r="P50" i="14"/>
  <c r="Q50" i="14"/>
  <c r="K51" i="14"/>
  <c r="L51" i="14"/>
  <c r="M51" i="14"/>
  <c r="N51" i="14"/>
  <c r="O51" i="14"/>
  <c r="P51" i="14"/>
  <c r="Q51" i="14"/>
  <c r="K52" i="14"/>
  <c r="L52" i="14"/>
  <c r="M52" i="14"/>
  <c r="N52" i="14"/>
  <c r="O52" i="14"/>
  <c r="P52" i="14"/>
  <c r="Q52" i="14"/>
  <c r="K53" i="14"/>
  <c r="L53" i="14"/>
  <c r="M53" i="14"/>
  <c r="N53" i="14"/>
  <c r="O53" i="14"/>
  <c r="P53" i="14"/>
  <c r="Q53" i="14"/>
  <c r="K54" i="14"/>
  <c r="L54" i="14"/>
  <c r="M54" i="14"/>
  <c r="N54" i="14"/>
  <c r="O54" i="14"/>
  <c r="P54" i="14"/>
  <c r="Q54" i="14"/>
  <c r="K55" i="14"/>
  <c r="L55" i="14"/>
  <c r="M55" i="14"/>
  <c r="N55" i="14"/>
  <c r="O55" i="14"/>
  <c r="P55" i="14"/>
  <c r="Q55" i="14"/>
  <c r="K56" i="14"/>
  <c r="L56" i="14"/>
  <c r="M56" i="14"/>
  <c r="N56" i="14"/>
  <c r="O56" i="14"/>
  <c r="P56" i="14"/>
  <c r="Q56" i="14"/>
  <c r="K57" i="14"/>
  <c r="L57" i="14"/>
  <c r="M57" i="14"/>
  <c r="N57" i="14"/>
  <c r="O57" i="14"/>
  <c r="P57" i="14"/>
  <c r="Q57" i="14"/>
  <c r="K58" i="14"/>
  <c r="L58" i="14"/>
  <c r="M58" i="14"/>
  <c r="N58" i="14"/>
  <c r="O58" i="14"/>
  <c r="P58" i="14"/>
  <c r="Q58" i="14"/>
  <c r="L44" i="14"/>
  <c r="M44" i="14"/>
  <c r="N44" i="14"/>
  <c r="O44" i="14"/>
  <c r="P44" i="14"/>
  <c r="Q44" i="14"/>
  <c r="K44" i="14"/>
  <c r="K26" i="14"/>
  <c r="L26" i="14"/>
  <c r="M26" i="14"/>
  <c r="N26" i="14"/>
  <c r="O26" i="14"/>
  <c r="P26" i="14"/>
  <c r="Q26" i="14"/>
  <c r="K27" i="14"/>
  <c r="L27" i="14"/>
  <c r="M27" i="14"/>
  <c r="N27" i="14"/>
  <c r="O27" i="14"/>
  <c r="P27" i="14"/>
  <c r="Q27" i="14"/>
  <c r="K28" i="14"/>
  <c r="L28" i="14"/>
  <c r="M28" i="14"/>
  <c r="N28" i="14"/>
  <c r="O28" i="14"/>
  <c r="P28" i="14"/>
  <c r="Q28" i="14"/>
  <c r="K29" i="14"/>
  <c r="L29" i="14"/>
  <c r="M29" i="14"/>
  <c r="N29" i="14"/>
  <c r="O29" i="14"/>
  <c r="P29" i="14"/>
  <c r="Q29" i="14"/>
  <c r="K30" i="14"/>
  <c r="L30" i="14"/>
  <c r="M30" i="14"/>
  <c r="N30" i="14"/>
  <c r="O30" i="14"/>
  <c r="P30" i="14"/>
  <c r="Q30" i="14"/>
  <c r="K31" i="14"/>
  <c r="L31" i="14"/>
  <c r="M31" i="14"/>
  <c r="N31" i="14"/>
  <c r="O31" i="14"/>
  <c r="P31" i="14"/>
  <c r="Q31" i="14"/>
  <c r="K32" i="14"/>
  <c r="L32" i="14"/>
  <c r="M32" i="14"/>
  <c r="N32" i="14"/>
  <c r="O32" i="14"/>
  <c r="P32" i="14"/>
  <c r="Q32" i="14"/>
  <c r="K33" i="14"/>
  <c r="L33" i="14"/>
  <c r="M33" i="14"/>
  <c r="N33" i="14"/>
  <c r="O33" i="14"/>
  <c r="P33" i="14"/>
  <c r="Q33" i="14"/>
  <c r="K34" i="14"/>
  <c r="L34" i="14"/>
  <c r="M34" i="14"/>
  <c r="N34" i="14"/>
  <c r="O34" i="14"/>
  <c r="P34" i="14"/>
  <c r="Q34" i="14"/>
  <c r="K35" i="14"/>
  <c r="L35" i="14"/>
  <c r="M35" i="14"/>
  <c r="N35" i="14"/>
  <c r="O35" i="14"/>
  <c r="P35" i="14"/>
  <c r="Q35" i="14"/>
  <c r="K36" i="14"/>
  <c r="L36" i="14"/>
  <c r="M36" i="14"/>
  <c r="N36" i="14"/>
  <c r="O36" i="14"/>
  <c r="P36" i="14"/>
  <c r="Q36" i="14"/>
  <c r="K37" i="14"/>
  <c r="L37" i="14"/>
  <c r="M37" i="14"/>
  <c r="N37" i="14"/>
  <c r="O37" i="14"/>
  <c r="P37" i="14"/>
  <c r="Q37" i="14"/>
  <c r="K38" i="14"/>
  <c r="L38" i="14"/>
  <c r="M38" i="14"/>
  <c r="N38" i="14"/>
  <c r="O38" i="14"/>
  <c r="P38" i="14"/>
  <c r="Q38" i="14"/>
  <c r="K39" i="14"/>
  <c r="L39" i="14"/>
  <c r="M39" i="14"/>
  <c r="N39" i="14"/>
  <c r="O39" i="14"/>
  <c r="P39" i="14"/>
  <c r="Q39" i="14"/>
  <c r="L25" i="14"/>
  <c r="M25" i="14"/>
  <c r="N25" i="14"/>
  <c r="O25" i="14"/>
  <c r="P25" i="14"/>
  <c r="Q25" i="14"/>
  <c r="K25" i="14"/>
  <c r="K7" i="14"/>
  <c r="L7" i="14"/>
  <c r="M7" i="14"/>
  <c r="N7" i="14"/>
  <c r="O7" i="14"/>
  <c r="P7" i="14"/>
  <c r="Q7" i="14"/>
  <c r="K8" i="14"/>
  <c r="L8" i="14"/>
  <c r="M8" i="14"/>
  <c r="N8" i="14"/>
  <c r="O8" i="14"/>
  <c r="P8" i="14"/>
  <c r="Q8" i="14"/>
  <c r="K9" i="14"/>
  <c r="L9" i="14"/>
  <c r="M9" i="14"/>
  <c r="N9" i="14"/>
  <c r="O9" i="14"/>
  <c r="P9" i="14"/>
  <c r="Q9" i="14"/>
  <c r="K10" i="14"/>
  <c r="L10" i="14"/>
  <c r="M10" i="14"/>
  <c r="N10" i="14"/>
  <c r="O10" i="14"/>
  <c r="P10" i="14"/>
  <c r="Q10" i="14"/>
  <c r="K11" i="14"/>
  <c r="L11" i="14"/>
  <c r="M11" i="14"/>
  <c r="N11" i="14"/>
  <c r="O11" i="14"/>
  <c r="P11" i="14"/>
  <c r="Q11" i="14"/>
  <c r="K12" i="14"/>
  <c r="L12" i="14"/>
  <c r="M12" i="14"/>
  <c r="N12" i="14"/>
  <c r="O12" i="14"/>
  <c r="P12" i="14"/>
  <c r="Q12" i="14"/>
  <c r="K13" i="14"/>
  <c r="L13" i="14"/>
  <c r="M13" i="14"/>
  <c r="N13" i="14"/>
  <c r="O13" i="14"/>
  <c r="P13" i="14"/>
  <c r="Q13" i="14"/>
  <c r="K14" i="14"/>
  <c r="L14" i="14"/>
  <c r="M14" i="14"/>
  <c r="N14" i="14"/>
  <c r="O14" i="14"/>
  <c r="P14" i="14"/>
  <c r="Q14" i="14"/>
  <c r="K15" i="14"/>
  <c r="L15" i="14"/>
  <c r="M15" i="14"/>
  <c r="N15" i="14"/>
  <c r="O15" i="14"/>
  <c r="P15" i="14"/>
  <c r="Q15" i="14"/>
  <c r="K16" i="14"/>
  <c r="L16" i="14"/>
  <c r="M16" i="14"/>
  <c r="N16" i="14"/>
  <c r="O16" i="14"/>
  <c r="P16" i="14"/>
  <c r="Q16" i="14"/>
  <c r="K17" i="14"/>
  <c r="L17" i="14"/>
  <c r="M17" i="14"/>
  <c r="N17" i="14"/>
  <c r="O17" i="14"/>
  <c r="P17" i="14"/>
  <c r="Q17" i="14"/>
  <c r="K18" i="14"/>
  <c r="L18" i="14"/>
  <c r="M18" i="14"/>
  <c r="N18" i="14"/>
  <c r="O18" i="14"/>
  <c r="P18" i="14"/>
  <c r="Q18" i="14"/>
  <c r="K19" i="14"/>
  <c r="L19" i="14"/>
  <c r="M19" i="14"/>
  <c r="N19" i="14"/>
  <c r="O19" i="14"/>
  <c r="P19" i="14"/>
  <c r="Q19" i="14"/>
  <c r="K20" i="14"/>
  <c r="L20" i="14"/>
  <c r="M20" i="14"/>
  <c r="N20" i="14"/>
  <c r="O20" i="14"/>
  <c r="P20" i="14"/>
  <c r="Q20" i="14"/>
  <c r="L6" i="14"/>
  <c r="M6" i="14"/>
  <c r="N6" i="14"/>
  <c r="O6" i="14"/>
  <c r="P6" i="14"/>
  <c r="Q6" i="14"/>
  <c r="K6" i="14"/>
  <c r="B64" i="14"/>
  <c r="C64" i="14"/>
  <c r="D64" i="14"/>
  <c r="E64" i="14"/>
  <c r="F64" i="14"/>
  <c r="G64" i="14"/>
  <c r="H64" i="14"/>
  <c r="B65" i="14"/>
  <c r="C65" i="14"/>
  <c r="D65" i="14"/>
  <c r="E65" i="14"/>
  <c r="F65" i="14"/>
  <c r="G65" i="14"/>
  <c r="H65" i="14"/>
  <c r="B66" i="14"/>
  <c r="C66" i="14"/>
  <c r="D66" i="14"/>
  <c r="E66" i="14"/>
  <c r="F66" i="14"/>
  <c r="G66" i="14"/>
  <c r="H66" i="14"/>
  <c r="B67" i="14"/>
  <c r="C67" i="14"/>
  <c r="D67" i="14"/>
  <c r="E67" i="14"/>
  <c r="F67" i="14"/>
  <c r="G67" i="14"/>
  <c r="H67" i="14"/>
  <c r="B68" i="14"/>
  <c r="C68" i="14"/>
  <c r="D68" i="14"/>
  <c r="E68" i="14"/>
  <c r="F68" i="14"/>
  <c r="G68" i="14"/>
  <c r="H68" i="14"/>
  <c r="B69" i="14"/>
  <c r="C69" i="14"/>
  <c r="D69" i="14"/>
  <c r="E69" i="14"/>
  <c r="F69" i="14"/>
  <c r="G69" i="14"/>
  <c r="H69" i="14"/>
  <c r="B70" i="14"/>
  <c r="C70" i="14"/>
  <c r="D70" i="14"/>
  <c r="E70" i="14"/>
  <c r="F70" i="14"/>
  <c r="G70" i="14"/>
  <c r="H70" i="14"/>
  <c r="B71" i="14"/>
  <c r="C71" i="14"/>
  <c r="D71" i="14"/>
  <c r="E71" i="14"/>
  <c r="F71" i="14"/>
  <c r="G71" i="14"/>
  <c r="H71" i="14"/>
  <c r="B72" i="14"/>
  <c r="C72" i="14"/>
  <c r="D72" i="14"/>
  <c r="E72" i="14"/>
  <c r="F72" i="14"/>
  <c r="G72" i="14"/>
  <c r="H72" i="14"/>
  <c r="B73" i="14"/>
  <c r="C73" i="14"/>
  <c r="D73" i="14"/>
  <c r="E73" i="14"/>
  <c r="F73" i="14"/>
  <c r="G73" i="14"/>
  <c r="H73" i="14"/>
  <c r="B74" i="14"/>
  <c r="C74" i="14"/>
  <c r="D74" i="14"/>
  <c r="E74" i="14"/>
  <c r="F74" i="14"/>
  <c r="G74" i="14"/>
  <c r="H74" i="14"/>
  <c r="B75" i="14"/>
  <c r="C75" i="14"/>
  <c r="D75" i="14"/>
  <c r="E75" i="14"/>
  <c r="F75" i="14"/>
  <c r="G75" i="14"/>
  <c r="H75" i="14"/>
  <c r="B76" i="14"/>
  <c r="C76" i="14"/>
  <c r="D76" i="14"/>
  <c r="E76" i="14"/>
  <c r="F76" i="14"/>
  <c r="G76" i="14"/>
  <c r="H76" i="14"/>
  <c r="B77" i="14"/>
  <c r="C77" i="14"/>
  <c r="D77" i="14"/>
  <c r="E77" i="14"/>
  <c r="F77" i="14"/>
  <c r="G77" i="14"/>
  <c r="H77" i="14"/>
  <c r="C63" i="14"/>
  <c r="D63" i="14"/>
  <c r="E63" i="14"/>
  <c r="F63" i="14"/>
  <c r="G63" i="14"/>
  <c r="H63" i="14"/>
  <c r="B63" i="14"/>
  <c r="B45" i="14"/>
  <c r="C45" i="14"/>
  <c r="D45" i="14"/>
  <c r="E45" i="14"/>
  <c r="F45" i="14"/>
  <c r="G45" i="14"/>
  <c r="H45" i="14"/>
  <c r="B46" i="14"/>
  <c r="C46" i="14"/>
  <c r="D46" i="14"/>
  <c r="E46" i="14"/>
  <c r="F46" i="14"/>
  <c r="G46" i="14"/>
  <c r="H46" i="14"/>
  <c r="B47" i="14"/>
  <c r="C47" i="14"/>
  <c r="D47" i="14"/>
  <c r="E47" i="14"/>
  <c r="F47" i="14"/>
  <c r="G47" i="14"/>
  <c r="H47" i="14"/>
  <c r="B48" i="14"/>
  <c r="C48" i="14"/>
  <c r="D48" i="14"/>
  <c r="E48" i="14"/>
  <c r="F48" i="14"/>
  <c r="G48" i="14"/>
  <c r="H48" i="14"/>
  <c r="B49" i="14"/>
  <c r="C49" i="14"/>
  <c r="D49" i="14"/>
  <c r="E49" i="14"/>
  <c r="F49" i="14"/>
  <c r="G49" i="14"/>
  <c r="H49" i="14"/>
  <c r="B50" i="14"/>
  <c r="C50" i="14"/>
  <c r="D50" i="14"/>
  <c r="E50" i="14"/>
  <c r="F50" i="14"/>
  <c r="G50" i="14"/>
  <c r="H50" i="14"/>
  <c r="B51" i="14"/>
  <c r="C51" i="14"/>
  <c r="D51" i="14"/>
  <c r="E51" i="14"/>
  <c r="F51" i="14"/>
  <c r="G51" i="14"/>
  <c r="H51" i="14"/>
  <c r="B52" i="14"/>
  <c r="C52" i="14"/>
  <c r="D52" i="14"/>
  <c r="E52" i="14"/>
  <c r="F52" i="14"/>
  <c r="G52" i="14"/>
  <c r="H52" i="14"/>
  <c r="B53" i="14"/>
  <c r="C53" i="14"/>
  <c r="D53" i="14"/>
  <c r="E53" i="14"/>
  <c r="F53" i="14"/>
  <c r="G53" i="14"/>
  <c r="H53" i="14"/>
  <c r="B54" i="14"/>
  <c r="C54" i="14"/>
  <c r="D54" i="14"/>
  <c r="E54" i="14"/>
  <c r="F54" i="14"/>
  <c r="G54" i="14"/>
  <c r="H54" i="14"/>
  <c r="B55" i="14"/>
  <c r="C55" i="14"/>
  <c r="D55" i="14"/>
  <c r="E55" i="14"/>
  <c r="F55" i="14"/>
  <c r="G55" i="14"/>
  <c r="H55" i="14"/>
  <c r="B56" i="14"/>
  <c r="C56" i="14"/>
  <c r="D56" i="14"/>
  <c r="E56" i="14"/>
  <c r="F56" i="14"/>
  <c r="G56" i="14"/>
  <c r="H56" i="14"/>
  <c r="B57" i="14"/>
  <c r="C57" i="14"/>
  <c r="D57" i="14"/>
  <c r="E57" i="14"/>
  <c r="F57" i="14"/>
  <c r="G57" i="14"/>
  <c r="H57" i="14"/>
  <c r="B58" i="14"/>
  <c r="C58" i="14"/>
  <c r="D58" i="14"/>
  <c r="E58" i="14"/>
  <c r="F58" i="14"/>
  <c r="G58" i="14"/>
  <c r="H58" i="14"/>
  <c r="C44" i="14"/>
  <c r="D44" i="14"/>
  <c r="E44" i="14"/>
  <c r="F44" i="14"/>
  <c r="G44" i="14"/>
  <c r="H44" i="14"/>
  <c r="B44" i="14"/>
  <c r="B26" i="14"/>
  <c r="C26" i="14"/>
  <c r="D26" i="14"/>
  <c r="E26" i="14"/>
  <c r="F26" i="14"/>
  <c r="G26" i="14"/>
  <c r="H26" i="14"/>
  <c r="B27" i="14"/>
  <c r="C27" i="14"/>
  <c r="D27" i="14"/>
  <c r="E27" i="14"/>
  <c r="F27" i="14"/>
  <c r="G27" i="14"/>
  <c r="H27" i="14"/>
  <c r="B28" i="14"/>
  <c r="C28" i="14"/>
  <c r="D28" i="14"/>
  <c r="E28" i="14"/>
  <c r="F28" i="14"/>
  <c r="G28" i="14"/>
  <c r="H28" i="14"/>
  <c r="B29" i="14"/>
  <c r="C29" i="14"/>
  <c r="D29" i="14"/>
  <c r="E29" i="14"/>
  <c r="F29" i="14"/>
  <c r="G29" i="14"/>
  <c r="H29" i="14"/>
  <c r="B30" i="14"/>
  <c r="C30" i="14"/>
  <c r="D30" i="14"/>
  <c r="E30" i="14"/>
  <c r="F30" i="14"/>
  <c r="G30" i="14"/>
  <c r="H30" i="14"/>
  <c r="B31" i="14"/>
  <c r="C31" i="14"/>
  <c r="D31" i="14"/>
  <c r="E31" i="14"/>
  <c r="F31" i="14"/>
  <c r="G31" i="14"/>
  <c r="H31" i="14"/>
  <c r="B32" i="14"/>
  <c r="C32" i="14"/>
  <c r="D32" i="14"/>
  <c r="E32" i="14"/>
  <c r="F32" i="14"/>
  <c r="G32" i="14"/>
  <c r="H32" i="14"/>
  <c r="B33" i="14"/>
  <c r="C33" i="14"/>
  <c r="D33" i="14"/>
  <c r="E33" i="14"/>
  <c r="F33" i="14"/>
  <c r="G33" i="14"/>
  <c r="H33" i="14"/>
  <c r="B34" i="14"/>
  <c r="C34" i="14"/>
  <c r="D34" i="14"/>
  <c r="E34" i="14"/>
  <c r="F34" i="14"/>
  <c r="G34" i="14"/>
  <c r="H34" i="14"/>
  <c r="B35" i="14"/>
  <c r="C35" i="14"/>
  <c r="D35" i="14"/>
  <c r="E35" i="14"/>
  <c r="F35" i="14"/>
  <c r="G35" i="14"/>
  <c r="H35" i="14"/>
  <c r="B36" i="14"/>
  <c r="C36" i="14"/>
  <c r="D36" i="14"/>
  <c r="E36" i="14"/>
  <c r="F36" i="14"/>
  <c r="G36" i="14"/>
  <c r="H36" i="14"/>
  <c r="B37" i="14"/>
  <c r="C37" i="14"/>
  <c r="D37" i="14"/>
  <c r="E37" i="14"/>
  <c r="F37" i="14"/>
  <c r="G37" i="14"/>
  <c r="H37" i="14"/>
  <c r="B38" i="14"/>
  <c r="C38" i="14"/>
  <c r="D38" i="14"/>
  <c r="E38" i="14"/>
  <c r="F38" i="14"/>
  <c r="G38" i="14"/>
  <c r="H38" i="14"/>
  <c r="B39" i="14"/>
  <c r="C39" i="14"/>
  <c r="D39" i="14"/>
  <c r="E39" i="14"/>
  <c r="F39" i="14"/>
  <c r="G39" i="14"/>
  <c r="H39" i="14"/>
  <c r="C25" i="14"/>
  <c r="D25" i="14"/>
  <c r="E25" i="14"/>
  <c r="F25" i="14"/>
  <c r="G25" i="14"/>
  <c r="H25" i="14"/>
  <c r="B25" i="14"/>
  <c r="B7" i="14"/>
  <c r="C7" i="14"/>
  <c r="D7" i="14"/>
  <c r="E7" i="14"/>
  <c r="F7" i="14"/>
  <c r="G7" i="14"/>
  <c r="H7" i="14"/>
  <c r="B8" i="14"/>
  <c r="C8" i="14"/>
  <c r="D8" i="14"/>
  <c r="E8" i="14"/>
  <c r="F8" i="14"/>
  <c r="G8" i="14"/>
  <c r="H8" i="14"/>
  <c r="B9" i="14"/>
  <c r="C9" i="14"/>
  <c r="D9" i="14"/>
  <c r="E9" i="14"/>
  <c r="F9" i="14"/>
  <c r="G9" i="14"/>
  <c r="H9" i="14"/>
  <c r="B10" i="14"/>
  <c r="C10" i="14"/>
  <c r="D10" i="14"/>
  <c r="E10" i="14"/>
  <c r="F10" i="14"/>
  <c r="G10" i="14"/>
  <c r="H10" i="14"/>
  <c r="B11" i="14"/>
  <c r="C11" i="14"/>
  <c r="D11" i="14"/>
  <c r="E11" i="14"/>
  <c r="F11" i="14"/>
  <c r="G11" i="14"/>
  <c r="H11" i="14"/>
  <c r="B12" i="14"/>
  <c r="C12" i="14"/>
  <c r="D12" i="14"/>
  <c r="E12" i="14"/>
  <c r="F12" i="14"/>
  <c r="G12" i="14"/>
  <c r="H12" i="14"/>
  <c r="B13" i="14"/>
  <c r="C13" i="14"/>
  <c r="D13" i="14"/>
  <c r="E13" i="14"/>
  <c r="F13" i="14"/>
  <c r="G13" i="14"/>
  <c r="H13" i="14"/>
  <c r="B14" i="14"/>
  <c r="C14" i="14"/>
  <c r="D14" i="14"/>
  <c r="E14" i="14"/>
  <c r="F14" i="14"/>
  <c r="G14" i="14"/>
  <c r="H14" i="14"/>
  <c r="B15" i="14"/>
  <c r="C15" i="14"/>
  <c r="D15" i="14"/>
  <c r="E15" i="14"/>
  <c r="F15" i="14"/>
  <c r="G15" i="14"/>
  <c r="H15" i="14"/>
  <c r="B16" i="14"/>
  <c r="C16" i="14"/>
  <c r="D16" i="14"/>
  <c r="E16" i="14"/>
  <c r="F16" i="14"/>
  <c r="G16" i="14"/>
  <c r="H16" i="14"/>
  <c r="B17" i="14"/>
  <c r="C17" i="14"/>
  <c r="D17" i="14"/>
  <c r="E17" i="14"/>
  <c r="F17" i="14"/>
  <c r="G17" i="14"/>
  <c r="H17" i="14"/>
  <c r="B18" i="14"/>
  <c r="C18" i="14"/>
  <c r="D18" i="14"/>
  <c r="E18" i="14"/>
  <c r="F18" i="14"/>
  <c r="G18" i="14"/>
  <c r="H18" i="14"/>
  <c r="B19" i="14"/>
  <c r="C19" i="14"/>
  <c r="D19" i="14"/>
  <c r="E19" i="14"/>
  <c r="F19" i="14"/>
  <c r="G19" i="14"/>
  <c r="H19" i="14"/>
  <c r="B20" i="14"/>
  <c r="C20" i="14"/>
  <c r="D20" i="14"/>
  <c r="E20" i="14"/>
  <c r="F20" i="14"/>
  <c r="G20" i="14"/>
  <c r="H20" i="14"/>
  <c r="C6" i="14"/>
  <c r="D6" i="14"/>
  <c r="E6" i="14"/>
  <c r="F6" i="14"/>
  <c r="G6" i="14"/>
  <c r="H6" i="14"/>
  <c r="B6" i="14"/>
  <c r="AC64" i="15"/>
  <c r="AD64" i="15"/>
  <c r="AE64" i="15"/>
  <c r="AF64" i="15"/>
  <c r="AG64" i="15"/>
  <c r="AH64" i="15"/>
  <c r="AI64" i="15"/>
  <c r="AC65" i="15"/>
  <c r="AD65" i="15"/>
  <c r="AE65" i="15"/>
  <c r="AF65" i="15"/>
  <c r="AG65" i="15"/>
  <c r="AH65" i="15"/>
  <c r="AI65" i="15"/>
  <c r="AC66" i="15"/>
  <c r="AD66" i="15"/>
  <c r="AE66" i="15"/>
  <c r="AF66" i="15"/>
  <c r="AG66" i="15"/>
  <c r="AH66" i="15"/>
  <c r="AI66" i="15"/>
  <c r="AC67" i="15"/>
  <c r="AD67" i="15"/>
  <c r="AE67" i="15"/>
  <c r="AF67" i="15"/>
  <c r="AG67" i="15"/>
  <c r="AH67" i="15"/>
  <c r="AI67" i="15"/>
  <c r="AC68" i="15"/>
  <c r="AD68" i="15"/>
  <c r="AE68" i="15"/>
  <c r="AF68" i="15"/>
  <c r="AG68" i="15"/>
  <c r="AH68" i="15"/>
  <c r="AI68" i="15"/>
  <c r="AC69" i="15"/>
  <c r="AD69" i="15"/>
  <c r="AE69" i="15"/>
  <c r="AF69" i="15"/>
  <c r="AG69" i="15"/>
  <c r="AH69" i="15"/>
  <c r="AI69" i="15"/>
  <c r="AC70" i="15"/>
  <c r="AD70" i="15"/>
  <c r="AE70" i="15"/>
  <c r="AF70" i="15"/>
  <c r="AG70" i="15"/>
  <c r="AH70" i="15"/>
  <c r="AI70" i="15"/>
  <c r="AC71" i="15"/>
  <c r="AD71" i="15"/>
  <c r="AE71" i="15"/>
  <c r="AF71" i="15"/>
  <c r="AG71" i="15"/>
  <c r="AH71" i="15"/>
  <c r="AI71" i="15"/>
  <c r="AC72" i="15"/>
  <c r="AD72" i="15"/>
  <c r="AE72" i="15"/>
  <c r="AF72" i="15"/>
  <c r="AG72" i="15"/>
  <c r="AH72" i="15"/>
  <c r="AI72" i="15"/>
  <c r="AC73" i="15"/>
  <c r="AD73" i="15"/>
  <c r="AE73" i="15"/>
  <c r="AF73" i="15"/>
  <c r="AG73" i="15"/>
  <c r="AH73" i="15"/>
  <c r="AI73" i="15"/>
  <c r="AC74" i="15"/>
  <c r="AD74" i="15"/>
  <c r="AE74" i="15"/>
  <c r="AF74" i="15"/>
  <c r="AG74" i="15"/>
  <c r="AH74" i="15"/>
  <c r="AI74" i="15"/>
  <c r="AC75" i="15"/>
  <c r="AD75" i="15"/>
  <c r="AE75" i="15"/>
  <c r="AF75" i="15"/>
  <c r="AG75" i="15"/>
  <c r="AH75" i="15"/>
  <c r="AI75" i="15"/>
  <c r="AC76" i="15"/>
  <c r="AD76" i="15"/>
  <c r="AE76" i="15"/>
  <c r="AF76" i="15"/>
  <c r="AG76" i="15"/>
  <c r="AH76" i="15"/>
  <c r="AI76" i="15"/>
  <c r="AC77" i="15"/>
  <c r="AD77" i="15"/>
  <c r="AE77" i="15"/>
  <c r="AF77" i="15"/>
  <c r="AG77" i="15"/>
  <c r="AH77" i="15"/>
  <c r="AI77" i="15"/>
  <c r="AD63" i="15"/>
  <c r="AE63" i="15"/>
  <c r="AF63" i="15"/>
  <c r="AG63" i="15"/>
  <c r="AH63" i="15"/>
  <c r="AI63" i="15"/>
  <c r="AC63" i="15"/>
  <c r="AC45" i="15"/>
  <c r="AD45" i="15"/>
  <c r="AE45" i="15"/>
  <c r="AF45" i="15"/>
  <c r="AG45" i="15"/>
  <c r="AH45" i="15"/>
  <c r="AI45" i="15"/>
  <c r="AC46" i="15"/>
  <c r="AD46" i="15"/>
  <c r="AE46" i="15"/>
  <c r="AF46" i="15"/>
  <c r="AG46" i="15"/>
  <c r="AH46" i="15"/>
  <c r="AI46" i="15"/>
  <c r="AC47" i="15"/>
  <c r="AD47" i="15"/>
  <c r="AE47" i="15"/>
  <c r="AF47" i="15"/>
  <c r="AG47" i="15"/>
  <c r="AH47" i="15"/>
  <c r="AI47" i="15"/>
  <c r="AC48" i="15"/>
  <c r="AD48" i="15"/>
  <c r="AE48" i="15"/>
  <c r="AF48" i="15"/>
  <c r="AG48" i="15"/>
  <c r="AH48" i="15"/>
  <c r="AI48" i="15"/>
  <c r="AC49" i="15"/>
  <c r="AD49" i="15"/>
  <c r="AE49" i="15"/>
  <c r="AF49" i="15"/>
  <c r="AG49" i="15"/>
  <c r="AH49" i="15"/>
  <c r="AI49" i="15"/>
  <c r="AC50" i="15"/>
  <c r="AD50" i="15"/>
  <c r="AE50" i="15"/>
  <c r="AF50" i="15"/>
  <c r="AG50" i="15"/>
  <c r="AH50" i="15"/>
  <c r="AI50" i="15"/>
  <c r="AC51" i="15"/>
  <c r="AD51" i="15"/>
  <c r="AE51" i="15"/>
  <c r="AF51" i="15"/>
  <c r="AG51" i="15"/>
  <c r="AH51" i="15"/>
  <c r="AI51" i="15"/>
  <c r="AC52" i="15"/>
  <c r="AD52" i="15"/>
  <c r="AE52" i="15"/>
  <c r="AF52" i="15"/>
  <c r="AG52" i="15"/>
  <c r="AH52" i="15"/>
  <c r="AI52" i="15"/>
  <c r="AC53" i="15"/>
  <c r="AD53" i="15"/>
  <c r="AE53" i="15"/>
  <c r="AF53" i="15"/>
  <c r="AG53" i="15"/>
  <c r="AH53" i="15"/>
  <c r="AI53" i="15"/>
  <c r="AC54" i="15"/>
  <c r="AD54" i="15"/>
  <c r="AE54" i="15"/>
  <c r="AF54" i="15"/>
  <c r="AG54" i="15"/>
  <c r="AH54" i="15"/>
  <c r="AI54" i="15"/>
  <c r="AC55" i="15"/>
  <c r="AD55" i="15"/>
  <c r="AE55" i="15"/>
  <c r="AF55" i="15"/>
  <c r="AG55" i="15"/>
  <c r="AH55" i="15"/>
  <c r="AI55" i="15"/>
  <c r="AC56" i="15"/>
  <c r="AD56" i="15"/>
  <c r="AE56" i="15"/>
  <c r="AF56" i="15"/>
  <c r="AG56" i="15"/>
  <c r="AH56" i="15"/>
  <c r="AI56" i="15"/>
  <c r="AC57" i="15"/>
  <c r="AD57" i="15"/>
  <c r="AE57" i="15"/>
  <c r="AF57" i="15"/>
  <c r="AG57" i="15"/>
  <c r="AH57" i="15"/>
  <c r="AI57" i="15"/>
  <c r="AC58" i="15"/>
  <c r="AD58" i="15"/>
  <c r="AE58" i="15"/>
  <c r="AF58" i="15"/>
  <c r="AG58" i="15"/>
  <c r="AH58" i="15"/>
  <c r="AI58" i="15"/>
  <c r="AD44" i="15"/>
  <c r="AE44" i="15"/>
  <c r="AF44" i="15"/>
  <c r="AG44" i="15"/>
  <c r="AH44" i="15"/>
  <c r="AI44" i="15"/>
  <c r="AC44" i="15"/>
  <c r="AC26" i="15"/>
  <c r="AD26" i="15"/>
  <c r="AE26" i="15"/>
  <c r="AF26" i="15"/>
  <c r="AG26" i="15"/>
  <c r="AH26" i="15"/>
  <c r="AI26" i="15"/>
  <c r="AC27" i="15"/>
  <c r="AD27" i="15"/>
  <c r="AE27" i="15"/>
  <c r="AF27" i="15"/>
  <c r="AG27" i="15"/>
  <c r="AH27" i="15"/>
  <c r="AI27" i="15"/>
  <c r="AC28" i="15"/>
  <c r="AD28" i="15"/>
  <c r="AE28" i="15"/>
  <c r="AF28" i="15"/>
  <c r="AG28" i="15"/>
  <c r="AH28" i="15"/>
  <c r="AI28" i="15"/>
  <c r="AC29" i="15"/>
  <c r="AD29" i="15"/>
  <c r="AE29" i="15"/>
  <c r="AF29" i="15"/>
  <c r="AG29" i="15"/>
  <c r="AH29" i="15"/>
  <c r="AI29" i="15"/>
  <c r="AC30" i="15"/>
  <c r="AD30" i="15"/>
  <c r="AE30" i="15"/>
  <c r="AF30" i="15"/>
  <c r="AG30" i="15"/>
  <c r="AH30" i="15"/>
  <c r="AI30" i="15"/>
  <c r="AC31" i="15"/>
  <c r="AD31" i="15"/>
  <c r="AE31" i="15"/>
  <c r="AF31" i="15"/>
  <c r="AG31" i="15"/>
  <c r="AH31" i="15"/>
  <c r="AI31" i="15"/>
  <c r="AC32" i="15"/>
  <c r="AD32" i="15"/>
  <c r="AE32" i="15"/>
  <c r="AF32" i="15"/>
  <c r="AG32" i="15"/>
  <c r="AH32" i="15"/>
  <c r="AI32" i="15"/>
  <c r="AC33" i="15"/>
  <c r="AD33" i="15"/>
  <c r="AE33" i="15"/>
  <c r="AF33" i="15"/>
  <c r="AG33" i="15"/>
  <c r="AH33" i="15"/>
  <c r="AI33" i="15"/>
  <c r="AC34" i="15"/>
  <c r="AD34" i="15"/>
  <c r="AE34" i="15"/>
  <c r="AF34" i="15"/>
  <c r="AG34" i="15"/>
  <c r="AH34" i="15"/>
  <c r="AI34" i="15"/>
  <c r="AC35" i="15"/>
  <c r="AD35" i="15"/>
  <c r="AE35" i="15"/>
  <c r="AF35" i="15"/>
  <c r="AG35" i="15"/>
  <c r="AH35" i="15"/>
  <c r="AI35" i="15"/>
  <c r="AC36" i="15"/>
  <c r="AD36" i="15"/>
  <c r="AE36" i="15"/>
  <c r="AF36" i="15"/>
  <c r="AG36" i="15"/>
  <c r="AH36" i="15"/>
  <c r="AI36" i="15"/>
  <c r="AC37" i="15"/>
  <c r="AD37" i="15"/>
  <c r="AE37" i="15"/>
  <c r="AF37" i="15"/>
  <c r="AG37" i="15"/>
  <c r="AH37" i="15"/>
  <c r="AI37" i="15"/>
  <c r="AC38" i="15"/>
  <c r="AD38" i="15"/>
  <c r="AE38" i="15"/>
  <c r="AF38" i="15"/>
  <c r="AG38" i="15"/>
  <c r="AH38" i="15"/>
  <c r="AI38" i="15"/>
  <c r="AC39" i="15"/>
  <c r="AD39" i="15"/>
  <c r="AE39" i="15"/>
  <c r="AF39" i="15"/>
  <c r="AG39" i="15"/>
  <c r="AH39" i="15"/>
  <c r="AI39" i="15"/>
  <c r="AD25" i="15"/>
  <c r="AE25" i="15"/>
  <c r="AF25" i="15"/>
  <c r="AG25" i="15"/>
  <c r="AH25" i="15"/>
  <c r="AI25" i="15"/>
  <c r="AC25" i="15"/>
  <c r="AC7" i="15"/>
  <c r="AD7" i="15"/>
  <c r="AE7" i="15"/>
  <c r="AF7" i="15"/>
  <c r="AG7" i="15"/>
  <c r="AH7" i="15"/>
  <c r="AI7" i="15"/>
  <c r="AC8" i="15"/>
  <c r="AD8" i="15"/>
  <c r="AE8" i="15"/>
  <c r="AF8" i="15"/>
  <c r="AG8" i="15"/>
  <c r="AH8" i="15"/>
  <c r="AI8" i="15"/>
  <c r="AC9" i="15"/>
  <c r="AD9" i="15"/>
  <c r="AE9" i="15"/>
  <c r="AF9" i="15"/>
  <c r="AG9" i="15"/>
  <c r="AH9" i="15"/>
  <c r="AI9" i="15"/>
  <c r="AC10" i="15"/>
  <c r="AD10" i="15"/>
  <c r="AE10" i="15"/>
  <c r="AF10" i="15"/>
  <c r="AG10" i="15"/>
  <c r="AH10" i="15"/>
  <c r="AI10" i="15"/>
  <c r="AC11" i="15"/>
  <c r="AD11" i="15"/>
  <c r="AE11" i="15"/>
  <c r="AF11" i="15"/>
  <c r="AG11" i="15"/>
  <c r="AH11" i="15"/>
  <c r="AI11" i="15"/>
  <c r="AC12" i="15"/>
  <c r="AD12" i="15"/>
  <c r="AE12" i="15"/>
  <c r="AF12" i="15"/>
  <c r="AG12" i="15"/>
  <c r="AH12" i="15"/>
  <c r="AI12" i="15"/>
  <c r="AC13" i="15"/>
  <c r="AD13" i="15"/>
  <c r="AE13" i="15"/>
  <c r="AF13" i="15"/>
  <c r="AG13" i="15"/>
  <c r="AH13" i="15"/>
  <c r="AI13" i="15"/>
  <c r="AC14" i="15"/>
  <c r="AD14" i="15"/>
  <c r="AE14" i="15"/>
  <c r="AF14" i="15"/>
  <c r="AG14" i="15"/>
  <c r="AH14" i="15"/>
  <c r="AI14" i="15"/>
  <c r="AC15" i="15"/>
  <c r="AD15" i="15"/>
  <c r="AE15" i="15"/>
  <c r="AF15" i="15"/>
  <c r="AG15" i="15"/>
  <c r="AH15" i="15"/>
  <c r="AI15" i="15"/>
  <c r="AC16" i="15"/>
  <c r="AD16" i="15"/>
  <c r="AE16" i="15"/>
  <c r="AF16" i="15"/>
  <c r="AG16" i="15"/>
  <c r="AH16" i="15"/>
  <c r="AI16" i="15"/>
  <c r="AC17" i="15"/>
  <c r="AD17" i="15"/>
  <c r="AE17" i="15"/>
  <c r="AF17" i="15"/>
  <c r="AG17" i="15"/>
  <c r="AH17" i="15"/>
  <c r="AI17" i="15"/>
  <c r="AC18" i="15"/>
  <c r="AD18" i="15"/>
  <c r="AE18" i="15"/>
  <c r="AF18" i="15"/>
  <c r="AG18" i="15"/>
  <c r="AH18" i="15"/>
  <c r="AI18" i="15"/>
  <c r="AC19" i="15"/>
  <c r="AD19" i="15"/>
  <c r="AE19" i="15"/>
  <c r="AF19" i="15"/>
  <c r="AG19" i="15"/>
  <c r="AH19" i="15"/>
  <c r="AI19" i="15"/>
  <c r="AC20" i="15"/>
  <c r="AD20" i="15"/>
  <c r="AE20" i="15"/>
  <c r="AF20" i="15"/>
  <c r="AG20" i="15"/>
  <c r="AH20" i="15"/>
  <c r="AI20" i="15"/>
  <c r="AD6" i="15"/>
  <c r="AE6" i="15"/>
  <c r="AF6" i="15"/>
  <c r="AG6" i="15"/>
  <c r="AH6" i="15"/>
  <c r="AI6" i="15"/>
  <c r="AC6" i="15"/>
  <c r="T64" i="15"/>
  <c r="U64" i="15"/>
  <c r="V64" i="15"/>
  <c r="W64" i="15"/>
  <c r="X64" i="15"/>
  <c r="Y64" i="15"/>
  <c r="Z64" i="15"/>
  <c r="T65" i="15"/>
  <c r="U65" i="15"/>
  <c r="V65" i="15"/>
  <c r="W65" i="15"/>
  <c r="X65" i="15"/>
  <c r="Y65" i="15"/>
  <c r="Z65" i="15"/>
  <c r="T66" i="15"/>
  <c r="U66" i="15"/>
  <c r="V66" i="15"/>
  <c r="W66" i="15"/>
  <c r="X66" i="15"/>
  <c r="Y66" i="15"/>
  <c r="Z66" i="15"/>
  <c r="T67" i="15"/>
  <c r="U67" i="15"/>
  <c r="V67" i="15"/>
  <c r="W67" i="15"/>
  <c r="X67" i="15"/>
  <c r="Y67" i="15"/>
  <c r="Z67" i="15"/>
  <c r="T68" i="15"/>
  <c r="U68" i="15"/>
  <c r="V68" i="15"/>
  <c r="W68" i="15"/>
  <c r="X68" i="15"/>
  <c r="Y68" i="15"/>
  <c r="Z68" i="15"/>
  <c r="T69" i="15"/>
  <c r="U69" i="15"/>
  <c r="V69" i="15"/>
  <c r="W69" i="15"/>
  <c r="X69" i="15"/>
  <c r="Y69" i="15"/>
  <c r="Z69" i="15"/>
  <c r="T70" i="15"/>
  <c r="U70" i="15"/>
  <c r="V70" i="15"/>
  <c r="W70" i="15"/>
  <c r="X70" i="15"/>
  <c r="Y70" i="15"/>
  <c r="Z70" i="15"/>
  <c r="T71" i="15"/>
  <c r="U71" i="15"/>
  <c r="V71" i="15"/>
  <c r="W71" i="15"/>
  <c r="X71" i="15"/>
  <c r="Y71" i="15"/>
  <c r="Z71" i="15"/>
  <c r="T72" i="15"/>
  <c r="U72" i="15"/>
  <c r="V72" i="15"/>
  <c r="W72" i="15"/>
  <c r="X72" i="15"/>
  <c r="Y72" i="15"/>
  <c r="Z72" i="15"/>
  <c r="T73" i="15"/>
  <c r="U73" i="15"/>
  <c r="V73" i="15"/>
  <c r="W73" i="15"/>
  <c r="X73" i="15"/>
  <c r="Y73" i="15"/>
  <c r="Z73" i="15"/>
  <c r="T74" i="15"/>
  <c r="U74" i="15"/>
  <c r="V74" i="15"/>
  <c r="W74" i="15"/>
  <c r="X74" i="15"/>
  <c r="Y74" i="15"/>
  <c r="Z74" i="15"/>
  <c r="T75" i="15"/>
  <c r="U75" i="15"/>
  <c r="V75" i="15"/>
  <c r="W75" i="15"/>
  <c r="X75" i="15"/>
  <c r="Y75" i="15"/>
  <c r="Z75" i="15"/>
  <c r="T76" i="15"/>
  <c r="U76" i="15"/>
  <c r="V76" i="15"/>
  <c r="W76" i="15"/>
  <c r="X76" i="15"/>
  <c r="Y76" i="15"/>
  <c r="Z76" i="15"/>
  <c r="T77" i="15"/>
  <c r="U77" i="15"/>
  <c r="V77" i="15"/>
  <c r="W77" i="15"/>
  <c r="X77" i="15"/>
  <c r="Y77" i="15"/>
  <c r="Z77" i="15"/>
  <c r="U63" i="15"/>
  <c r="V63" i="15"/>
  <c r="W63" i="15"/>
  <c r="X63" i="15"/>
  <c r="Y63" i="15"/>
  <c r="Z63" i="15"/>
  <c r="T63" i="15"/>
  <c r="T45" i="15"/>
  <c r="U45" i="15"/>
  <c r="V45" i="15"/>
  <c r="W45" i="15"/>
  <c r="X45" i="15"/>
  <c r="Y45" i="15"/>
  <c r="Z45" i="15"/>
  <c r="T46" i="15"/>
  <c r="U46" i="15"/>
  <c r="V46" i="15"/>
  <c r="W46" i="15"/>
  <c r="X46" i="15"/>
  <c r="Y46" i="15"/>
  <c r="Z46" i="15"/>
  <c r="T47" i="15"/>
  <c r="U47" i="15"/>
  <c r="V47" i="15"/>
  <c r="W47" i="15"/>
  <c r="X47" i="15"/>
  <c r="Y47" i="15"/>
  <c r="Z47" i="15"/>
  <c r="T48" i="15"/>
  <c r="U48" i="15"/>
  <c r="V48" i="15"/>
  <c r="W48" i="15"/>
  <c r="X48" i="15"/>
  <c r="Y48" i="15"/>
  <c r="Z48" i="15"/>
  <c r="T49" i="15"/>
  <c r="U49" i="15"/>
  <c r="V49" i="15"/>
  <c r="W49" i="15"/>
  <c r="X49" i="15"/>
  <c r="Y49" i="15"/>
  <c r="Z49" i="15"/>
  <c r="T50" i="15"/>
  <c r="U50" i="15"/>
  <c r="V50" i="15"/>
  <c r="W50" i="15"/>
  <c r="X50" i="15"/>
  <c r="Y50" i="15"/>
  <c r="Z50" i="15"/>
  <c r="T51" i="15"/>
  <c r="U51" i="15"/>
  <c r="V51" i="15"/>
  <c r="W51" i="15"/>
  <c r="X51" i="15"/>
  <c r="Y51" i="15"/>
  <c r="Z51" i="15"/>
  <c r="T52" i="15"/>
  <c r="U52" i="15"/>
  <c r="V52" i="15"/>
  <c r="W52" i="15"/>
  <c r="X52" i="15"/>
  <c r="Y52" i="15"/>
  <c r="Z52" i="15"/>
  <c r="T53" i="15"/>
  <c r="U53" i="15"/>
  <c r="V53" i="15"/>
  <c r="W53" i="15"/>
  <c r="X53" i="15"/>
  <c r="Y53" i="15"/>
  <c r="Z53" i="15"/>
  <c r="T54" i="15"/>
  <c r="U54" i="15"/>
  <c r="V54" i="15"/>
  <c r="W54" i="15"/>
  <c r="X54" i="15"/>
  <c r="Y54" i="15"/>
  <c r="Z54" i="15"/>
  <c r="T55" i="15"/>
  <c r="U55" i="15"/>
  <c r="V55" i="15"/>
  <c r="W55" i="15"/>
  <c r="X55" i="15"/>
  <c r="Y55" i="15"/>
  <c r="Z55" i="15"/>
  <c r="T56" i="15"/>
  <c r="U56" i="15"/>
  <c r="V56" i="15"/>
  <c r="W56" i="15"/>
  <c r="X56" i="15"/>
  <c r="Y56" i="15"/>
  <c r="Z56" i="15"/>
  <c r="T57" i="15"/>
  <c r="U57" i="15"/>
  <c r="V57" i="15"/>
  <c r="W57" i="15"/>
  <c r="X57" i="15"/>
  <c r="Y57" i="15"/>
  <c r="Z57" i="15"/>
  <c r="T58" i="15"/>
  <c r="U58" i="15"/>
  <c r="V58" i="15"/>
  <c r="W58" i="15"/>
  <c r="X58" i="15"/>
  <c r="Y58" i="15"/>
  <c r="Z58" i="15"/>
  <c r="U44" i="15"/>
  <c r="V44" i="15"/>
  <c r="W44" i="15"/>
  <c r="X44" i="15"/>
  <c r="Y44" i="15"/>
  <c r="Z44" i="15"/>
  <c r="T44" i="15"/>
  <c r="T26" i="15"/>
  <c r="U26" i="15"/>
  <c r="V26" i="15"/>
  <c r="W26" i="15"/>
  <c r="X26" i="15"/>
  <c r="Y26" i="15"/>
  <c r="Z26" i="15"/>
  <c r="T27" i="15"/>
  <c r="U27" i="15"/>
  <c r="V27" i="15"/>
  <c r="W27" i="15"/>
  <c r="X27" i="15"/>
  <c r="Y27" i="15"/>
  <c r="Z27" i="15"/>
  <c r="T28" i="15"/>
  <c r="U28" i="15"/>
  <c r="V28" i="15"/>
  <c r="W28" i="15"/>
  <c r="X28" i="15"/>
  <c r="Y28" i="15"/>
  <c r="Z28" i="15"/>
  <c r="T29" i="15"/>
  <c r="U29" i="15"/>
  <c r="V29" i="15"/>
  <c r="W29" i="15"/>
  <c r="X29" i="15"/>
  <c r="Y29" i="15"/>
  <c r="Z29" i="15"/>
  <c r="T30" i="15"/>
  <c r="U30" i="15"/>
  <c r="V30" i="15"/>
  <c r="W30" i="15"/>
  <c r="X30" i="15"/>
  <c r="Y30" i="15"/>
  <c r="Z30" i="15"/>
  <c r="T31" i="15"/>
  <c r="U31" i="15"/>
  <c r="V31" i="15"/>
  <c r="W31" i="15"/>
  <c r="X31" i="15"/>
  <c r="Y31" i="15"/>
  <c r="Z31" i="15"/>
  <c r="T32" i="15"/>
  <c r="U32" i="15"/>
  <c r="V32" i="15"/>
  <c r="W32" i="15"/>
  <c r="X32" i="15"/>
  <c r="Y32" i="15"/>
  <c r="Z32" i="15"/>
  <c r="T33" i="15"/>
  <c r="U33" i="15"/>
  <c r="V33" i="15"/>
  <c r="W33" i="15"/>
  <c r="X33" i="15"/>
  <c r="Y33" i="15"/>
  <c r="Z33" i="15"/>
  <c r="T34" i="15"/>
  <c r="U34" i="15"/>
  <c r="V34" i="15"/>
  <c r="W34" i="15"/>
  <c r="X34" i="15"/>
  <c r="Y34" i="15"/>
  <c r="Z34" i="15"/>
  <c r="T35" i="15"/>
  <c r="U35" i="15"/>
  <c r="V35" i="15"/>
  <c r="W35" i="15"/>
  <c r="X35" i="15"/>
  <c r="Y35" i="15"/>
  <c r="Z35" i="15"/>
  <c r="T36" i="15"/>
  <c r="U36" i="15"/>
  <c r="V36" i="15"/>
  <c r="W36" i="15"/>
  <c r="X36" i="15"/>
  <c r="Y36" i="15"/>
  <c r="Z36" i="15"/>
  <c r="T37" i="15"/>
  <c r="U37" i="15"/>
  <c r="V37" i="15"/>
  <c r="W37" i="15"/>
  <c r="X37" i="15"/>
  <c r="Y37" i="15"/>
  <c r="Z37" i="15"/>
  <c r="T38" i="15"/>
  <c r="U38" i="15"/>
  <c r="V38" i="15"/>
  <c r="W38" i="15"/>
  <c r="X38" i="15"/>
  <c r="Y38" i="15"/>
  <c r="Z38" i="15"/>
  <c r="T39" i="15"/>
  <c r="U39" i="15"/>
  <c r="V39" i="15"/>
  <c r="W39" i="15"/>
  <c r="X39" i="15"/>
  <c r="Y39" i="15"/>
  <c r="Z39" i="15"/>
  <c r="U25" i="15"/>
  <c r="V25" i="15"/>
  <c r="W25" i="15"/>
  <c r="X25" i="15"/>
  <c r="Y25" i="15"/>
  <c r="Z25" i="15"/>
  <c r="T25" i="15"/>
  <c r="T7" i="15"/>
  <c r="U7" i="15"/>
  <c r="V7" i="15"/>
  <c r="W7" i="15"/>
  <c r="X7" i="15"/>
  <c r="Y7" i="15"/>
  <c r="Z7" i="15"/>
  <c r="T8" i="15"/>
  <c r="U8" i="15"/>
  <c r="V8" i="15"/>
  <c r="W8" i="15"/>
  <c r="X8" i="15"/>
  <c r="Y8" i="15"/>
  <c r="Z8" i="15"/>
  <c r="T9" i="15"/>
  <c r="U9" i="15"/>
  <c r="V9" i="15"/>
  <c r="W9" i="15"/>
  <c r="X9" i="15"/>
  <c r="Y9" i="15"/>
  <c r="Z9" i="15"/>
  <c r="T10" i="15"/>
  <c r="U10" i="15"/>
  <c r="V10" i="15"/>
  <c r="W10" i="15"/>
  <c r="X10" i="15"/>
  <c r="Y10" i="15"/>
  <c r="Z10" i="15"/>
  <c r="T11" i="15"/>
  <c r="U11" i="15"/>
  <c r="V11" i="15"/>
  <c r="W11" i="15"/>
  <c r="X11" i="15"/>
  <c r="Y11" i="15"/>
  <c r="Z11" i="15"/>
  <c r="T12" i="15"/>
  <c r="U12" i="15"/>
  <c r="V12" i="15"/>
  <c r="W12" i="15"/>
  <c r="X12" i="15"/>
  <c r="Y12" i="15"/>
  <c r="Z12" i="15"/>
  <c r="T13" i="15"/>
  <c r="U13" i="15"/>
  <c r="V13" i="15"/>
  <c r="W13" i="15"/>
  <c r="X13" i="15"/>
  <c r="Y13" i="15"/>
  <c r="Z13" i="15"/>
  <c r="T14" i="15"/>
  <c r="U14" i="15"/>
  <c r="V14" i="15"/>
  <c r="W14" i="15"/>
  <c r="X14" i="15"/>
  <c r="Y14" i="15"/>
  <c r="Z14" i="15"/>
  <c r="T15" i="15"/>
  <c r="U15" i="15"/>
  <c r="V15" i="15"/>
  <c r="W15" i="15"/>
  <c r="X15" i="15"/>
  <c r="Y15" i="15"/>
  <c r="Z15" i="15"/>
  <c r="T16" i="15"/>
  <c r="U16" i="15"/>
  <c r="V16" i="15"/>
  <c r="W16" i="15"/>
  <c r="X16" i="15"/>
  <c r="Y16" i="15"/>
  <c r="Z16" i="15"/>
  <c r="T17" i="15"/>
  <c r="U17" i="15"/>
  <c r="V17" i="15"/>
  <c r="W17" i="15"/>
  <c r="X17" i="15"/>
  <c r="Y17" i="15"/>
  <c r="Z17" i="15"/>
  <c r="T18" i="15"/>
  <c r="U18" i="15"/>
  <c r="V18" i="15"/>
  <c r="W18" i="15"/>
  <c r="X18" i="15"/>
  <c r="Y18" i="15"/>
  <c r="Z18" i="15"/>
  <c r="T19" i="15"/>
  <c r="U19" i="15"/>
  <c r="V19" i="15"/>
  <c r="W19" i="15"/>
  <c r="X19" i="15"/>
  <c r="Y19" i="15"/>
  <c r="Z19" i="15"/>
  <c r="T20" i="15"/>
  <c r="U20" i="15"/>
  <c r="V20" i="15"/>
  <c r="W20" i="15"/>
  <c r="X20" i="15"/>
  <c r="Y20" i="15"/>
  <c r="Z20" i="15"/>
  <c r="U6" i="15"/>
  <c r="V6" i="15"/>
  <c r="W6" i="15"/>
  <c r="X6" i="15"/>
  <c r="Y6" i="15"/>
  <c r="Z6" i="15"/>
  <c r="T6" i="15"/>
  <c r="K64" i="15"/>
  <c r="L64" i="15"/>
  <c r="M64" i="15"/>
  <c r="N64" i="15"/>
  <c r="O64" i="15"/>
  <c r="P64" i="15"/>
  <c r="Q64" i="15"/>
  <c r="K65" i="15"/>
  <c r="L65" i="15"/>
  <c r="M65" i="15"/>
  <c r="N65" i="15"/>
  <c r="O65" i="15"/>
  <c r="P65" i="15"/>
  <c r="Q65" i="15"/>
  <c r="K66" i="15"/>
  <c r="L66" i="15"/>
  <c r="M66" i="15"/>
  <c r="N66" i="15"/>
  <c r="O66" i="15"/>
  <c r="P66" i="15"/>
  <c r="Q66" i="15"/>
  <c r="K67" i="15"/>
  <c r="L67" i="15"/>
  <c r="M67" i="15"/>
  <c r="N67" i="15"/>
  <c r="O67" i="15"/>
  <c r="P67" i="15"/>
  <c r="Q67" i="15"/>
  <c r="K68" i="15"/>
  <c r="L68" i="15"/>
  <c r="M68" i="15"/>
  <c r="N68" i="15"/>
  <c r="O68" i="15"/>
  <c r="P68" i="15"/>
  <c r="Q68" i="15"/>
  <c r="K69" i="15"/>
  <c r="L69" i="15"/>
  <c r="M69" i="15"/>
  <c r="N69" i="15"/>
  <c r="O69" i="15"/>
  <c r="P69" i="15"/>
  <c r="Q69" i="15"/>
  <c r="K70" i="15"/>
  <c r="L70" i="15"/>
  <c r="M70" i="15"/>
  <c r="N70" i="15"/>
  <c r="O70" i="15"/>
  <c r="P70" i="15"/>
  <c r="Q70" i="15"/>
  <c r="K71" i="15"/>
  <c r="L71" i="15"/>
  <c r="M71" i="15"/>
  <c r="N71" i="15"/>
  <c r="O71" i="15"/>
  <c r="P71" i="15"/>
  <c r="Q71" i="15"/>
  <c r="K72" i="15"/>
  <c r="L72" i="15"/>
  <c r="M72" i="15"/>
  <c r="N72" i="15"/>
  <c r="O72" i="15"/>
  <c r="P72" i="15"/>
  <c r="Q72" i="15"/>
  <c r="K73" i="15"/>
  <c r="L73" i="15"/>
  <c r="M73" i="15"/>
  <c r="N73" i="15"/>
  <c r="O73" i="15"/>
  <c r="P73" i="15"/>
  <c r="Q73" i="15"/>
  <c r="K74" i="15"/>
  <c r="L74" i="15"/>
  <c r="M74" i="15"/>
  <c r="N74" i="15"/>
  <c r="O74" i="15"/>
  <c r="P74" i="15"/>
  <c r="Q74" i="15"/>
  <c r="K75" i="15"/>
  <c r="L75" i="15"/>
  <c r="M75" i="15"/>
  <c r="N75" i="15"/>
  <c r="O75" i="15"/>
  <c r="P75" i="15"/>
  <c r="Q75" i="15"/>
  <c r="K76" i="15"/>
  <c r="L76" i="15"/>
  <c r="M76" i="15"/>
  <c r="N76" i="15"/>
  <c r="O76" i="15"/>
  <c r="P76" i="15"/>
  <c r="Q76" i="15"/>
  <c r="K77" i="15"/>
  <c r="L77" i="15"/>
  <c r="M77" i="15"/>
  <c r="N77" i="15"/>
  <c r="O77" i="15"/>
  <c r="P77" i="15"/>
  <c r="Q77" i="15"/>
  <c r="L63" i="15"/>
  <c r="M63" i="15"/>
  <c r="N63" i="15"/>
  <c r="O63" i="15"/>
  <c r="P63" i="15"/>
  <c r="Q63" i="15"/>
  <c r="K63" i="15"/>
  <c r="K45" i="15"/>
  <c r="L45" i="15"/>
  <c r="M45" i="15"/>
  <c r="N45" i="15"/>
  <c r="O45" i="15"/>
  <c r="P45" i="15"/>
  <c r="Q45" i="15"/>
  <c r="K46" i="15"/>
  <c r="L46" i="15"/>
  <c r="M46" i="15"/>
  <c r="N46" i="15"/>
  <c r="O46" i="15"/>
  <c r="P46" i="15"/>
  <c r="Q46" i="15"/>
  <c r="K47" i="15"/>
  <c r="L47" i="15"/>
  <c r="M47" i="15"/>
  <c r="N47" i="15"/>
  <c r="O47" i="15"/>
  <c r="P47" i="15"/>
  <c r="Q47" i="15"/>
  <c r="K48" i="15"/>
  <c r="L48" i="15"/>
  <c r="M48" i="15"/>
  <c r="N48" i="15"/>
  <c r="O48" i="15"/>
  <c r="P48" i="15"/>
  <c r="Q48" i="15"/>
  <c r="K49" i="15"/>
  <c r="L49" i="15"/>
  <c r="M49" i="15"/>
  <c r="N49" i="15"/>
  <c r="O49" i="15"/>
  <c r="P49" i="15"/>
  <c r="Q49" i="15"/>
  <c r="K50" i="15"/>
  <c r="L50" i="15"/>
  <c r="M50" i="15"/>
  <c r="N50" i="15"/>
  <c r="O50" i="15"/>
  <c r="P50" i="15"/>
  <c r="Q50" i="15"/>
  <c r="K51" i="15"/>
  <c r="L51" i="15"/>
  <c r="M51" i="15"/>
  <c r="N51" i="15"/>
  <c r="O51" i="15"/>
  <c r="P51" i="15"/>
  <c r="Q51" i="15"/>
  <c r="K52" i="15"/>
  <c r="L52" i="15"/>
  <c r="M52" i="15"/>
  <c r="N52" i="15"/>
  <c r="O52" i="15"/>
  <c r="P52" i="15"/>
  <c r="Q52" i="15"/>
  <c r="K53" i="15"/>
  <c r="L53" i="15"/>
  <c r="M53" i="15"/>
  <c r="N53" i="15"/>
  <c r="O53" i="15"/>
  <c r="P53" i="15"/>
  <c r="Q53" i="15"/>
  <c r="K54" i="15"/>
  <c r="L54" i="15"/>
  <c r="M54" i="15"/>
  <c r="N54" i="15"/>
  <c r="O54" i="15"/>
  <c r="P54" i="15"/>
  <c r="Q54" i="15"/>
  <c r="K55" i="15"/>
  <c r="L55" i="15"/>
  <c r="M55" i="15"/>
  <c r="N55" i="15"/>
  <c r="O55" i="15"/>
  <c r="P55" i="15"/>
  <c r="Q55" i="15"/>
  <c r="K56" i="15"/>
  <c r="L56" i="15"/>
  <c r="M56" i="15"/>
  <c r="N56" i="15"/>
  <c r="O56" i="15"/>
  <c r="P56" i="15"/>
  <c r="Q56" i="15"/>
  <c r="K57" i="15"/>
  <c r="L57" i="15"/>
  <c r="M57" i="15"/>
  <c r="N57" i="15"/>
  <c r="O57" i="15"/>
  <c r="P57" i="15"/>
  <c r="Q57" i="15"/>
  <c r="K58" i="15"/>
  <c r="L58" i="15"/>
  <c r="M58" i="15"/>
  <c r="N58" i="15"/>
  <c r="O58" i="15"/>
  <c r="P58" i="15"/>
  <c r="Q58" i="15"/>
  <c r="L44" i="15"/>
  <c r="M44" i="15"/>
  <c r="N44" i="15"/>
  <c r="O44" i="15"/>
  <c r="P44" i="15"/>
  <c r="Q44" i="15"/>
  <c r="K44" i="15"/>
  <c r="K26" i="15"/>
  <c r="L26" i="15"/>
  <c r="M26" i="15"/>
  <c r="N26" i="15"/>
  <c r="O26" i="15"/>
  <c r="P26" i="15"/>
  <c r="Q26" i="15"/>
  <c r="K27" i="15"/>
  <c r="L27" i="15"/>
  <c r="M27" i="15"/>
  <c r="N27" i="15"/>
  <c r="O27" i="15"/>
  <c r="P27" i="15"/>
  <c r="Q27" i="15"/>
  <c r="K28" i="15"/>
  <c r="L28" i="15"/>
  <c r="M28" i="15"/>
  <c r="N28" i="15"/>
  <c r="O28" i="15"/>
  <c r="P28" i="15"/>
  <c r="Q28" i="15"/>
  <c r="K29" i="15"/>
  <c r="L29" i="15"/>
  <c r="M29" i="15"/>
  <c r="N29" i="15"/>
  <c r="O29" i="15"/>
  <c r="P29" i="15"/>
  <c r="Q29" i="15"/>
  <c r="K30" i="15"/>
  <c r="L30" i="15"/>
  <c r="M30" i="15"/>
  <c r="N30" i="15"/>
  <c r="O30" i="15"/>
  <c r="P30" i="15"/>
  <c r="Q30" i="15"/>
  <c r="K31" i="15"/>
  <c r="L31" i="15"/>
  <c r="M31" i="15"/>
  <c r="N31" i="15"/>
  <c r="O31" i="15"/>
  <c r="P31" i="15"/>
  <c r="Q31" i="15"/>
  <c r="K32" i="15"/>
  <c r="L32" i="15"/>
  <c r="M32" i="15"/>
  <c r="N32" i="15"/>
  <c r="O32" i="15"/>
  <c r="P32" i="15"/>
  <c r="Q32" i="15"/>
  <c r="K33" i="15"/>
  <c r="L33" i="15"/>
  <c r="M33" i="15"/>
  <c r="N33" i="15"/>
  <c r="O33" i="15"/>
  <c r="P33" i="15"/>
  <c r="Q33" i="15"/>
  <c r="K34" i="15"/>
  <c r="L34" i="15"/>
  <c r="M34" i="15"/>
  <c r="N34" i="15"/>
  <c r="O34" i="15"/>
  <c r="P34" i="15"/>
  <c r="Q34" i="15"/>
  <c r="K35" i="15"/>
  <c r="L35" i="15"/>
  <c r="M35" i="15"/>
  <c r="N35" i="15"/>
  <c r="O35" i="15"/>
  <c r="P35" i="15"/>
  <c r="Q35" i="15"/>
  <c r="K36" i="15"/>
  <c r="L36" i="15"/>
  <c r="M36" i="15"/>
  <c r="N36" i="15"/>
  <c r="O36" i="15"/>
  <c r="P36" i="15"/>
  <c r="Q36" i="15"/>
  <c r="K37" i="15"/>
  <c r="L37" i="15"/>
  <c r="M37" i="15"/>
  <c r="N37" i="15"/>
  <c r="O37" i="15"/>
  <c r="P37" i="15"/>
  <c r="Q37" i="15"/>
  <c r="K38" i="15"/>
  <c r="L38" i="15"/>
  <c r="M38" i="15"/>
  <c r="N38" i="15"/>
  <c r="O38" i="15"/>
  <c r="P38" i="15"/>
  <c r="Q38" i="15"/>
  <c r="K39" i="15"/>
  <c r="L39" i="15"/>
  <c r="M39" i="15"/>
  <c r="N39" i="15"/>
  <c r="O39" i="15"/>
  <c r="P39" i="15"/>
  <c r="Q39" i="15"/>
  <c r="L25" i="15"/>
  <c r="M25" i="15"/>
  <c r="N25" i="15"/>
  <c r="O25" i="15"/>
  <c r="P25" i="15"/>
  <c r="Q25" i="15"/>
  <c r="K25" i="15"/>
  <c r="K7" i="15"/>
  <c r="L7" i="15"/>
  <c r="M7" i="15"/>
  <c r="N7" i="15"/>
  <c r="O7" i="15"/>
  <c r="P7" i="15"/>
  <c r="Q7" i="15"/>
  <c r="K8" i="15"/>
  <c r="L8" i="15"/>
  <c r="M8" i="15"/>
  <c r="N8" i="15"/>
  <c r="O8" i="15"/>
  <c r="P8" i="15"/>
  <c r="Q8" i="15"/>
  <c r="K9" i="15"/>
  <c r="L9" i="15"/>
  <c r="M9" i="15"/>
  <c r="N9" i="15"/>
  <c r="O9" i="15"/>
  <c r="P9" i="15"/>
  <c r="Q9" i="15"/>
  <c r="K10" i="15"/>
  <c r="L10" i="15"/>
  <c r="M10" i="15"/>
  <c r="N10" i="15"/>
  <c r="O10" i="15"/>
  <c r="P10" i="15"/>
  <c r="Q10" i="15"/>
  <c r="K11" i="15"/>
  <c r="L11" i="15"/>
  <c r="M11" i="15"/>
  <c r="N11" i="15"/>
  <c r="O11" i="15"/>
  <c r="P11" i="15"/>
  <c r="Q11" i="15"/>
  <c r="K12" i="15"/>
  <c r="L12" i="15"/>
  <c r="M12" i="15"/>
  <c r="N12" i="15"/>
  <c r="O12" i="15"/>
  <c r="P12" i="15"/>
  <c r="Q12" i="15"/>
  <c r="K13" i="15"/>
  <c r="L13" i="15"/>
  <c r="M13" i="15"/>
  <c r="N13" i="15"/>
  <c r="O13" i="15"/>
  <c r="P13" i="15"/>
  <c r="Q13" i="15"/>
  <c r="K14" i="15"/>
  <c r="L14" i="15"/>
  <c r="M14" i="15"/>
  <c r="N14" i="15"/>
  <c r="O14" i="15"/>
  <c r="P14" i="15"/>
  <c r="Q14" i="15"/>
  <c r="K15" i="15"/>
  <c r="L15" i="15"/>
  <c r="M15" i="15"/>
  <c r="N15" i="15"/>
  <c r="O15" i="15"/>
  <c r="P15" i="15"/>
  <c r="Q15" i="15"/>
  <c r="K16" i="15"/>
  <c r="L16" i="15"/>
  <c r="M16" i="15"/>
  <c r="N16" i="15"/>
  <c r="O16" i="15"/>
  <c r="P16" i="15"/>
  <c r="Q16" i="15"/>
  <c r="K17" i="15"/>
  <c r="L17" i="15"/>
  <c r="M17" i="15"/>
  <c r="N17" i="15"/>
  <c r="O17" i="15"/>
  <c r="P17" i="15"/>
  <c r="Q17" i="15"/>
  <c r="K18" i="15"/>
  <c r="L18" i="15"/>
  <c r="M18" i="15"/>
  <c r="N18" i="15"/>
  <c r="O18" i="15"/>
  <c r="P18" i="15"/>
  <c r="Q18" i="15"/>
  <c r="K19" i="15"/>
  <c r="L19" i="15"/>
  <c r="M19" i="15"/>
  <c r="N19" i="15"/>
  <c r="O19" i="15"/>
  <c r="P19" i="15"/>
  <c r="Q19" i="15"/>
  <c r="K20" i="15"/>
  <c r="L20" i="15"/>
  <c r="M20" i="15"/>
  <c r="N20" i="15"/>
  <c r="O20" i="15"/>
  <c r="P20" i="15"/>
  <c r="Q20" i="15"/>
  <c r="L6" i="15"/>
  <c r="M6" i="15"/>
  <c r="N6" i="15"/>
  <c r="O6" i="15"/>
  <c r="P6" i="15"/>
  <c r="Q6" i="15"/>
  <c r="K6" i="15"/>
  <c r="B64" i="15"/>
  <c r="C64" i="15"/>
  <c r="D64" i="15"/>
  <c r="E64" i="15"/>
  <c r="F64" i="15"/>
  <c r="G64" i="15"/>
  <c r="H64" i="15"/>
  <c r="B65" i="15"/>
  <c r="C65" i="15"/>
  <c r="D65" i="15"/>
  <c r="E65" i="15"/>
  <c r="F65" i="15"/>
  <c r="G65" i="15"/>
  <c r="H65" i="15"/>
  <c r="B66" i="15"/>
  <c r="C66" i="15"/>
  <c r="D66" i="15"/>
  <c r="E66" i="15"/>
  <c r="F66" i="15"/>
  <c r="G66" i="15"/>
  <c r="H66" i="15"/>
  <c r="B67" i="15"/>
  <c r="C67" i="15"/>
  <c r="D67" i="15"/>
  <c r="E67" i="15"/>
  <c r="F67" i="15"/>
  <c r="G67" i="15"/>
  <c r="H67" i="15"/>
  <c r="B68" i="15"/>
  <c r="C68" i="15"/>
  <c r="D68" i="15"/>
  <c r="E68" i="15"/>
  <c r="F68" i="15"/>
  <c r="G68" i="15"/>
  <c r="H68" i="15"/>
  <c r="B69" i="15"/>
  <c r="C69" i="15"/>
  <c r="D69" i="15"/>
  <c r="E69" i="15"/>
  <c r="F69" i="15"/>
  <c r="G69" i="15"/>
  <c r="H69" i="15"/>
  <c r="B70" i="15"/>
  <c r="C70" i="15"/>
  <c r="D70" i="15"/>
  <c r="E70" i="15"/>
  <c r="F70" i="15"/>
  <c r="G70" i="15"/>
  <c r="H70" i="15"/>
  <c r="B71" i="15"/>
  <c r="C71" i="15"/>
  <c r="D71" i="15"/>
  <c r="E71" i="15"/>
  <c r="F71" i="15"/>
  <c r="G71" i="15"/>
  <c r="H71" i="15"/>
  <c r="B72" i="15"/>
  <c r="C72" i="15"/>
  <c r="D72" i="15"/>
  <c r="E72" i="15"/>
  <c r="F72" i="15"/>
  <c r="G72" i="15"/>
  <c r="H72" i="15"/>
  <c r="B73" i="15"/>
  <c r="C73" i="15"/>
  <c r="D73" i="15"/>
  <c r="E73" i="15"/>
  <c r="F73" i="15"/>
  <c r="G73" i="15"/>
  <c r="H73" i="15"/>
  <c r="B74" i="15"/>
  <c r="C74" i="15"/>
  <c r="D74" i="15"/>
  <c r="E74" i="15"/>
  <c r="F74" i="15"/>
  <c r="G74" i="15"/>
  <c r="H74" i="15"/>
  <c r="B75" i="15"/>
  <c r="C75" i="15"/>
  <c r="D75" i="15"/>
  <c r="E75" i="15"/>
  <c r="F75" i="15"/>
  <c r="G75" i="15"/>
  <c r="H75" i="15"/>
  <c r="B76" i="15"/>
  <c r="C76" i="15"/>
  <c r="D76" i="15"/>
  <c r="E76" i="15"/>
  <c r="F76" i="15"/>
  <c r="G76" i="15"/>
  <c r="H76" i="15"/>
  <c r="B77" i="15"/>
  <c r="C77" i="15"/>
  <c r="D77" i="15"/>
  <c r="E77" i="15"/>
  <c r="F77" i="15"/>
  <c r="G77" i="15"/>
  <c r="H77" i="15"/>
  <c r="C63" i="15"/>
  <c r="D63" i="15"/>
  <c r="E63" i="15"/>
  <c r="F63" i="15"/>
  <c r="G63" i="15"/>
  <c r="H63" i="15"/>
  <c r="B63" i="15"/>
  <c r="B45" i="15"/>
  <c r="C45" i="15"/>
  <c r="D45" i="15"/>
  <c r="E45" i="15"/>
  <c r="F45" i="15"/>
  <c r="G45" i="15"/>
  <c r="H45" i="15"/>
  <c r="B46" i="15"/>
  <c r="C46" i="15"/>
  <c r="D46" i="15"/>
  <c r="E46" i="15"/>
  <c r="F46" i="15"/>
  <c r="G46" i="15"/>
  <c r="H46" i="15"/>
  <c r="B47" i="15"/>
  <c r="C47" i="15"/>
  <c r="D47" i="15"/>
  <c r="E47" i="15"/>
  <c r="F47" i="15"/>
  <c r="G47" i="15"/>
  <c r="H47" i="15"/>
  <c r="B48" i="15"/>
  <c r="C48" i="15"/>
  <c r="D48" i="15"/>
  <c r="E48" i="15"/>
  <c r="F48" i="15"/>
  <c r="G48" i="15"/>
  <c r="H48" i="15"/>
  <c r="B49" i="15"/>
  <c r="C49" i="15"/>
  <c r="D49" i="15"/>
  <c r="E49" i="15"/>
  <c r="F49" i="15"/>
  <c r="G49" i="15"/>
  <c r="H49" i="15"/>
  <c r="B50" i="15"/>
  <c r="C50" i="15"/>
  <c r="D50" i="15"/>
  <c r="E50" i="15"/>
  <c r="F50" i="15"/>
  <c r="G50" i="15"/>
  <c r="H50" i="15"/>
  <c r="B51" i="15"/>
  <c r="C51" i="15"/>
  <c r="D51" i="15"/>
  <c r="E51" i="15"/>
  <c r="F51" i="15"/>
  <c r="G51" i="15"/>
  <c r="H51" i="15"/>
  <c r="B52" i="15"/>
  <c r="C52" i="15"/>
  <c r="D52" i="15"/>
  <c r="E52" i="15"/>
  <c r="F52" i="15"/>
  <c r="G52" i="15"/>
  <c r="H52" i="15"/>
  <c r="B53" i="15"/>
  <c r="C53" i="15"/>
  <c r="D53" i="15"/>
  <c r="E53" i="15"/>
  <c r="F53" i="15"/>
  <c r="G53" i="15"/>
  <c r="H53" i="15"/>
  <c r="B54" i="15"/>
  <c r="C54" i="15"/>
  <c r="D54" i="15"/>
  <c r="E54" i="15"/>
  <c r="F54" i="15"/>
  <c r="G54" i="15"/>
  <c r="H54" i="15"/>
  <c r="B55" i="15"/>
  <c r="C55" i="15"/>
  <c r="D55" i="15"/>
  <c r="E55" i="15"/>
  <c r="F55" i="15"/>
  <c r="G55" i="15"/>
  <c r="H55" i="15"/>
  <c r="B56" i="15"/>
  <c r="C56" i="15"/>
  <c r="D56" i="15"/>
  <c r="E56" i="15"/>
  <c r="F56" i="15"/>
  <c r="G56" i="15"/>
  <c r="H56" i="15"/>
  <c r="B57" i="15"/>
  <c r="C57" i="15"/>
  <c r="D57" i="15"/>
  <c r="E57" i="15"/>
  <c r="F57" i="15"/>
  <c r="G57" i="15"/>
  <c r="H57" i="15"/>
  <c r="B58" i="15"/>
  <c r="C58" i="15"/>
  <c r="D58" i="15"/>
  <c r="E58" i="15"/>
  <c r="F58" i="15"/>
  <c r="G58" i="15"/>
  <c r="H58" i="15"/>
  <c r="C44" i="15"/>
  <c r="D44" i="15"/>
  <c r="E44" i="15"/>
  <c r="F44" i="15"/>
  <c r="G44" i="15"/>
  <c r="H44" i="15"/>
  <c r="B44" i="15"/>
  <c r="B26" i="15"/>
  <c r="C26" i="15"/>
  <c r="D26" i="15"/>
  <c r="E26" i="15"/>
  <c r="F26" i="15"/>
  <c r="G26" i="15"/>
  <c r="H26" i="15"/>
  <c r="B27" i="15"/>
  <c r="C27" i="15"/>
  <c r="D27" i="15"/>
  <c r="E27" i="15"/>
  <c r="F27" i="15"/>
  <c r="G27" i="15"/>
  <c r="H27" i="15"/>
  <c r="B28" i="15"/>
  <c r="C28" i="15"/>
  <c r="D28" i="15"/>
  <c r="E28" i="15"/>
  <c r="F28" i="15"/>
  <c r="G28" i="15"/>
  <c r="H28" i="15"/>
  <c r="B29" i="15"/>
  <c r="C29" i="15"/>
  <c r="D29" i="15"/>
  <c r="E29" i="15"/>
  <c r="F29" i="15"/>
  <c r="G29" i="15"/>
  <c r="H29" i="15"/>
  <c r="B30" i="15"/>
  <c r="C30" i="15"/>
  <c r="D30" i="15"/>
  <c r="E30" i="15"/>
  <c r="F30" i="15"/>
  <c r="G30" i="15"/>
  <c r="H30" i="15"/>
  <c r="B31" i="15"/>
  <c r="C31" i="15"/>
  <c r="D31" i="15"/>
  <c r="E31" i="15"/>
  <c r="F31" i="15"/>
  <c r="G31" i="15"/>
  <c r="H31" i="15"/>
  <c r="B32" i="15"/>
  <c r="C32" i="15"/>
  <c r="D32" i="15"/>
  <c r="E32" i="15"/>
  <c r="F32" i="15"/>
  <c r="G32" i="15"/>
  <c r="H32" i="15"/>
  <c r="B33" i="15"/>
  <c r="C33" i="15"/>
  <c r="D33" i="15"/>
  <c r="E33" i="15"/>
  <c r="F33" i="15"/>
  <c r="G33" i="15"/>
  <c r="H33" i="15"/>
  <c r="B34" i="15"/>
  <c r="C34" i="15"/>
  <c r="D34" i="15"/>
  <c r="E34" i="15"/>
  <c r="F34" i="15"/>
  <c r="G34" i="15"/>
  <c r="H34" i="15"/>
  <c r="B35" i="15"/>
  <c r="C35" i="15"/>
  <c r="D35" i="15"/>
  <c r="E35" i="15"/>
  <c r="F35" i="15"/>
  <c r="G35" i="15"/>
  <c r="H35" i="15"/>
  <c r="B36" i="15"/>
  <c r="C36" i="15"/>
  <c r="D36" i="15"/>
  <c r="E36" i="15"/>
  <c r="F36" i="15"/>
  <c r="G36" i="15"/>
  <c r="H36" i="15"/>
  <c r="B37" i="15"/>
  <c r="C37" i="15"/>
  <c r="D37" i="15"/>
  <c r="E37" i="15"/>
  <c r="F37" i="15"/>
  <c r="G37" i="15"/>
  <c r="H37" i="15"/>
  <c r="B38" i="15"/>
  <c r="C38" i="15"/>
  <c r="D38" i="15"/>
  <c r="E38" i="15"/>
  <c r="F38" i="15"/>
  <c r="G38" i="15"/>
  <c r="H38" i="15"/>
  <c r="B39" i="15"/>
  <c r="C39" i="15"/>
  <c r="D39" i="15"/>
  <c r="E39" i="15"/>
  <c r="F39" i="15"/>
  <c r="G39" i="15"/>
  <c r="H39" i="15"/>
  <c r="C25" i="15"/>
  <c r="D25" i="15"/>
  <c r="E25" i="15"/>
  <c r="F25" i="15"/>
  <c r="G25" i="15"/>
  <c r="H25" i="15"/>
  <c r="B25" i="15"/>
  <c r="B7" i="15"/>
  <c r="C7" i="15"/>
  <c r="D7" i="15"/>
  <c r="E7" i="15"/>
  <c r="F7" i="15"/>
  <c r="G7" i="15"/>
  <c r="H7" i="15"/>
  <c r="B8" i="15"/>
  <c r="C8" i="15"/>
  <c r="D8" i="15"/>
  <c r="E8" i="15"/>
  <c r="F8" i="15"/>
  <c r="G8" i="15"/>
  <c r="H8" i="15"/>
  <c r="B9" i="15"/>
  <c r="C9" i="15"/>
  <c r="D9" i="15"/>
  <c r="E9" i="15"/>
  <c r="F9" i="15"/>
  <c r="G9" i="15"/>
  <c r="H9" i="15"/>
  <c r="B10" i="15"/>
  <c r="C10" i="15"/>
  <c r="D10" i="15"/>
  <c r="E10" i="15"/>
  <c r="F10" i="15"/>
  <c r="G10" i="15"/>
  <c r="H10" i="15"/>
  <c r="B11" i="15"/>
  <c r="C11" i="15"/>
  <c r="D11" i="15"/>
  <c r="E11" i="15"/>
  <c r="F11" i="15"/>
  <c r="G11" i="15"/>
  <c r="H11" i="15"/>
  <c r="B12" i="15"/>
  <c r="C12" i="15"/>
  <c r="D12" i="15"/>
  <c r="E12" i="15"/>
  <c r="F12" i="15"/>
  <c r="G12" i="15"/>
  <c r="H12" i="15"/>
  <c r="B13" i="15"/>
  <c r="C13" i="15"/>
  <c r="D13" i="15"/>
  <c r="E13" i="15"/>
  <c r="F13" i="15"/>
  <c r="G13" i="15"/>
  <c r="H13" i="15"/>
  <c r="B14" i="15"/>
  <c r="C14" i="15"/>
  <c r="D14" i="15"/>
  <c r="E14" i="15"/>
  <c r="F14" i="15"/>
  <c r="G14" i="15"/>
  <c r="H14" i="15"/>
  <c r="B15" i="15"/>
  <c r="C15" i="15"/>
  <c r="D15" i="15"/>
  <c r="E15" i="15"/>
  <c r="F15" i="15"/>
  <c r="G15" i="15"/>
  <c r="H15" i="15"/>
  <c r="B16" i="15"/>
  <c r="C16" i="15"/>
  <c r="D16" i="15"/>
  <c r="E16" i="15"/>
  <c r="F16" i="15"/>
  <c r="G16" i="15"/>
  <c r="H16" i="15"/>
  <c r="B17" i="15"/>
  <c r="C17" i="15"/>
  <c r="D17" i="15"/>
  <c r="E17" i="15"/>
  <c r="F17" i="15"/>
  <c r="G17" i="15"/>
  <c r="H17" i="15"/>
  <c r="B18" i="15"/>
  <c r="C18" i="15"/>
  <c r="D18" i="15"/>
  <c r="E18" i="15"/>
  <c r="F18" i="15"/>
  <c r="G18" i="15"/>
  <c r="H18" i="15"/>
  <c r="B19" i="15"/>
  <c r="C19" i="15"/>
  <c r="D19" i="15"/>
  <c r="E19" i="15"/>
  <c r="F19" i="15"/>
  <c r="G19" i="15"/>
  <c r="H19" i="15"/>
  <c r="B20" i="15"/>
  <c r="C20" i="15"/>
  <c r="D20" i="15"/>
  <c r="E20" i="15"/>
  <c r="F20" i="15"/>
  <c r="G20" i="15"/>
  <c r="H20" i="15"/>
  <c r="C6" i="15"/>
  <c r="D6" i="15"/>
  <c r="E6" i="15"/>
  <c r="F6" i="15"/>
  <c r="G6" i="15"/>
  <c r="H6" i="15"/>
  <c r="B6" i="15"/>
  <c r="AC64" i="16"/>
  <c r="AD64" i="16"/>
  <c r="AE64" i="16"/>
  <c r="AF64" i="16"/>
  <c r="AG64" i="16"/>
  <c r="AH64" i="16"/>
  <c r="AI64" i="16"/>
  <c r="AC65" i="16"/>
  <c r="AD65" i="16"/>
  <c r="AE65" i="16"/>
  <c r="AF65" i="16"/>
  <c r="AG65" i="16"/>
  <c r="AH65" i="16"/>
  <c r="AI65" i="16"/>
  <c r="AC66" i="16"/>
  <c r="AD66" i="16"/>
  <c r="AE66" i="16"/>
  <c r="AF66" i="16"/>
  <c r="AG66" i="16"/>
  <c r="AH66" i="16"/>
  <c r="AI66" i="16"/>
  <c r="AC67" i="16"/>
  <c r="AD67" i="16"/>
  <c r="AE67" i="16"/>
  <c r="AF67" i="16"/>
  <c r="AG67" i="16"/>
  <c r="AH67" i="16"/>
  <c r="AI67" i="16"/>
  <c r="AC68" i="16"/>
  <c r="AD68" i="16"/>
  <c r="AE68" i="16"/>
  <c r="AF68" i="16"/>
  <c r="AG68" i="16"/>
  <c r="AH68" i="16"/>
  <c r="AI68" i="16"/>
  <c r="AC69" i="16"/>
  <c r="AD69" i="16"/>
  <c r="AE69" i="16"/>
  <c r="AF69" i="16"/>
  <c r="AG69" i="16"/>
  <c r="AH69" i="16"/>
  <c r="AI69" i="16"/>
  <c r="AC70" i="16"/>
  <c r="AD70" i="16"/>
  <c r="AE70" i="16"/>
  <c r="AF70" i="16"/>
  <c r="AG70" i="16"/>
  <c r="AH70" i="16"/>
  <c r="AI70" i="16"/>
  <c r="AC71" i="16"/>
  <c r="AD71" i="16"/>
  <c r="AE71" i="16"/>
  <c r="AF71" i="16"/>
  <c r="AG71" i="16"/>
  <c r="AH71" i="16"/>
  <c r="AI71" i="16"/>
  <c r="AC72" i="16"/>
  <c r="AD72" i="16"/>
  <c r="AE72" i="16"/>
  <c r="AF72" i="16"/>
  <c r="AG72" i="16"/>
  <c r="AH72" i="16"/>
  <c r="AI72" i="16"/>
  <c r="AC73" i="16"/>
  <c r="AD73" i="16"/>
  <c r="AE73" i="16"/>
  <c r="AF73" i="16"/>
  <c r="AG73" i="16"/>
  <c r="AH73" i="16"/>
  <c r="AI73" i="16"/>
  <c r="AC74" i="16"/>
  <c r="AD74" i="16"/>
  <c r="AE74" i="16"/>
  <c r="AF74" i="16"/>
  <c r="AG74" i="16"/>
  <c r="AH74" i="16"/>
  <c r="AI74" i="16"/>
  <c r="AC75" i="16"/>
  <c r="AD75" i="16"/>
  <c r="AE75" i="16"/>
  <c r="AF75" i="16"/>
  <c r="AG75" i="16"/>
  <c r="AH75" i="16"/>
  <c r="AI75" i="16"/>
  <c r="AC76" i="16"/>
  <c r="AD76" i="16"/>
  <c r="AE76" i="16"/>
  <c r="AF76" i="16"/>
  <c r="AG76" i="16"/>
  <c r="AH76" i="16"/>
  <c r="AI76" i="16"/>
  <c r="AC77" i="16"/>
  <c r="AD77" i="16"/>
  <c r="AE77" i="16"/>
  <c r="AF77" i="16"/>
  <c r="AG77" i="16"/>
  <c r="AH77" i="16"/>
  <c r="AI77" i="16"/>
  <c r="AD63" i="16"/>
  <c r="AE63" i="16"/>
  <c r="AF63" i="16"/>
  <c r="AG63" i="16"/>
  <c r="AH63" i="16"/>
  <c r="AI63" i="16"/>
  <c r="AC63" i="16"/>
  <c r="AC45" i="16"/>
  <c r="AD45" i="16"/>
  <c r="AE45" i="16"/>
  <c r="AF45" i="16"/>
  <c r="AG45" i="16"/>
  <c r="AH45" i="16"/>
  <c r="AI45" i="16"/>
  <c r="AC46" i="16"/>
  <c r="AD46" i="16"/>
  <c r="AE46" i="16"/>
  <c r="AF46" i="16"/>
  <c r="AG46" i="16"/>
  <c r="AH46" i="16"/>
  <c r="AI46" i="16"/>
  <c r="AC47" i="16"/>
  <c r="AD47" i="16"/>
  <c r="AE47" i="16"/>
  <c r="AF47" i="16"/>
  <c r="AG47" i="16"/>
  <c r="AH47" i="16"/>
  <c r="AI47" i="16"/>
  <c r="AC48" i="16"/>
  <c r="AD48" i="16"/>
  <c r="AE48" i="16"/>
  <c r="AF48" i="16"/>
  <c r="AG48" i="16"/>
  <c r="AH48" i="16"/>
  <c r="AI48" i="16"/>
  <c r="AC49" i="16"/>
  <c r="AD49" i="16"/>
  <c r="AE49" i="16"/>
  <c r="AF49" i="16"/>
  <c r="AG49" i="16"/>
  <c r="AH49" i="16"/>
  <c r="AI49" i="16"/>
  <c r="AC50" i="16"/>
  <c r="AD50" i="16"/>
  <c r="AE50" i="16"/>
  <c r="AF50" i="16"/>
  <c r="AG50" i="16"/>
  <c r="AH50" i="16"/>
  <c r="AI50" i="16"/>
  <c r="AC51" i="16"/>
  <c r="AD51" i="16"/>
  <c r="AE51" i="16"/>
  <c r="AF51" i="16"/>
  <c r="AG51" i="16"/>
  <c r="AH51" i="16"/>
  <c r="AI51" i="16"/>
  <c r="AC52" i="16"/>
  <c r="AD52" i="16"/>
  <c r="AE52" i="16"/>
  <c r="AF52" i="16"/>
  <c r="AG52" i="16"/>
  <c r="AH52" i="16"/>
  <c r="AI52" i="16"/>
  <c r="AC53" i="16"/>
  <c r="AD53" i="16"/>
  <c r="AE53" i="16"/>
  <c r="AF53" i="16"/>
  <c r="AG53" i="16"/>
  <c r="AH53" i="16"/>
  <c r="AI53" i="16"/>
  <c r="AC54" i="16"/>
  <c r="AD54" i="16"/>
  <c r="AE54" i="16"/>
  <c r="AF54" i="16"/>
  <c r="AG54" i="16"/>
  <c r="AH54" i="16"/>
  <c r="AI54" i="16"/>
  <c r="AC55" i="16"/>
  <c r="AD55" i="16"/>
  <c r="AE55" i="16"/>
  <c r="AF55" i="16"/>
  <c r="AG55" i="16"/>
  <c r="AH55" i="16"/>
  <c r="AI55" i="16"/>
  <c r="AC56" i="16"/>
  <c r="AD56" i="16"/>
  <c r="AE56" i="16"/>
  <c r="AF56" i="16"/>
  <c r="AG56" i="16"/>
  <c r="AH56" i="16"/>
  <c r="AI56" i="16"/>
  <c r="AC57" i="16"/>
  <c r="AD57" i="16"/>
  <c r="AE57" i="16"/>
  <c r="AF57" i="16"/>
  <c r="AG57" i="16"/>
  <c r="AH57" i="16"/>
  <c r="AI57" i="16"/>
  <c r="AC58" i="16"/>
  <c r="AD58" i="16"/>
  <c r="AE58" i="16"/>
  <c r="AF58" i="16"/>
  <c r="AG58" i="16"/>
  <c r="AH58" i="16"/>
  <c r="AI58" i="16"/>
  <c r="AD44" i="16"/>
  <c r="AE44" i="16"/>
  <c r="AF44" i="16"/>
  <c r="AG44" i="16"/>
  <c r="AH44" i="16"/>
  <c r="AI44" i="16"/>
  <c r="AC44" i="16"/>
  <c r="AC26" i="16"/>
  <c r="AD26" i="16"/>
  <c r="AE26" i="16"/>
  <c r="AF26" i="16"/>
  <c r="AG26" i="16"/>
  <c r="AH26" i="16"/>
  <c r="AI26" i="16"/>
  <c r="AC27" i="16"/>
  <c r="AD27" i="16"/>
  <c r="AE27" i="16"/>
  <c r="AF27" i="16"/>
  <c r="AG27" i="16"/>
  <c r="AH27" i="16"/>
  <c r="AI27" i="16"/>
  <c r="AC28" i="16"/>
  <c r="AD28" i="16"/>
  <c r="AE28" i="16"/>
  <c r="AF28" i="16"/>
  <c r="AG28" i="16"/>
  <c r="AH28" i="16"/>
  <c r="AI28" i="16"/>
  <c r="AC29" i="16"/>
  <c r="AD29" i="16"/>
  <c r="AE29" i="16"/>
  <c r="AF29" i="16"/>
  <c r="AG29" i="16"/>
  <c r="AH29" i="16"/>
  <c r="AI29" i="16"/>
  <c r="AC30" i="16"/>
  <c r="AD30" i="16"/>
  <c r="AE30" i="16"/>
  <c r="AF30" i="16"/>
  <c r="AG30" i="16"/>
  <c r="AH30" i="16"/>
  <c r="AI30" i="16"/>
  <c r="AC31" i="16"/>
  <c r="AD31" i="16"/>
  <c r="AE31" i="16"/>
  <c r="AF31" i="16"/>
  <c r="AG31" i="16"/>
  <c r="AH31" i="16"/>
  <c r="AI31" i="16"/>
  <c r="AC32" i="16"/>
  <c r="AD32" i="16"/>
  <c r="AE32" i="16"/>
  <c r="AF32" i="16"/>
  <c r="AG32" i="16"/>
  <c r="AH32" i="16"/>
  <c r="AI32" i="16"/>
  <c r="AC33" i="16"/>
  <c r="AD33" i="16"/>
  <c r="AE33" i="16"/>
  <c r="AF33" i="16"/>
  <c r="AG33" i="16"/>
  <c r="AH33" i="16"/>
  <c r="AI33" i="16"/>
  <c r="AC34" i="16"/>
  <c r="AD34" i="16"/>
  <c r="AE34" i="16"/>
  <c r="AF34" i="16"/>
  <c r="AG34" i="16"/>
  <c r="AH34" i="16"/>
  <c r="AI34" i="16"/>
  <c r="AC35" i="16"/>
  <c r="AD35" i="16"/>
  <c r="AE35" i="16"/>
  <c r="AF35" i="16"/>
  <c r="AG35" i="16"/>
  <c r="AH35" i="16"/>
  <c r="AI35" i="16"/>
  <c r="AC36" i="16"/>
  <c r="AD36" i="16"/>
  <c r="AE36" i="16"/>
  <c r="AF36" i="16"/>
  <c r="AG36" i="16"/>
  <c r="AH36" i="16"/>
  <c r="AI36" i="16"/>
  <c r="AC37" i="16"/>
  <c r="AD37" i="16"/>
  <c r="AE37" i="16"/>
  <c r="AF37" i="16"/>
  <c r="AG37" i="16"/>
  <c r="AH37" i="16"/>
  <c r="AI37" i="16"/>
  <c r="AC38" i="16"/>
  <c r="AD38" i="16"/>
  <c r="AE38" i="16"/>
  <c r="AF38" i="16"/>
  <c r="AG38" i="16"/>
  <c r="AH38" i="16"/>
  <c r="AI38" i="16"/>
  <c r="AC39" i="16"/>
  <c r="AD39" i="16"/>
  <c r="AE39" i="16"/>
  <c r="AF39" i="16"/>
  <c r="AG39" i="16"/>
  <c r="AH39" i="16"/>
  <c r="AI39" i="16"/>
  <c r="AD25" i="16"/>
  <c r="AE25" i="16"/>
  <c r="AF25" i="16"/>
  <c r="AG25" i="16"/>
  <c r="AH25" i="16"/>
  <c r="AI25" i="16"/>
  <c r="AC25" i="16"/>
  <c r="AC7" i="16"/>
  <c r="AD7" i="16"/>
  <c r="AE7" i="16"/>
  <c r="AF7" i="16"/>
  <c r="AG7" i="16"/>
  <c r="AH7" i="16"/>
  <c r="AI7" i="16"/>
  <c r="AC8" i="16"/>
  <c r="AD8" i="16"/>
  <c r="AE8" i="16"/>
  <c r="AF8" i="16"/>
  <c r="AG8" i="16"/>
  <c r="AH8" i="16"/>
  <c r="AI8" i="16"/>
  <c r="AC9" i="16"/>
  <c r="AD9" i="16"/>
  <c r="AE9" i="16"/>
  <c r="AF9" i="16"/>
  <c r="AG9" i="16"/>
  <c r="AH9" i="16"/>
  <c r="AI9" i="16"/>
  <c r="AC10" i="16"/>
  <c r="AD10" i="16"/>
  <c r="AE10" i="16"/>
  <c r="AF10" i="16"/>
  <c r="AG10" i="16"/>
  <c r="AH10" i="16"/>
  <c r="AI10" i="16"/>
  <c r="AC11" i="16"/>
  <c r="AD11" i="16"/>
  <c r="AE11" i="16"/>
  <c r="AF11" i="16"/>
  <c r="AG11" i="16"/>
  <c r="AH11" i="16"/>
  <c r="AI11" i="16"/>
  <c r="AC12" i="16"/>
  <c r="AD12" i="16"/>
  <c r="AE12" i="16"/>
  <c r="AF12" i="16"/>
  <c r="AG12" i="16"/>
  <c r="AH12" i="16"/>
  <c r="AI12" i="16"/>
  <c r="AC13" i="16"/>
  <c r="AD13" i="16"/>
  <c r="AE13" i="16"/>
  <c r="AF13" i="16"/>
  <c r="AG13" i="16"/>
  <c r="AH13" i="16"/>
  <c r="AI13" i="16"/>
  <c r="AC14" i="16"/>
  <c r="AD14" i="16"/>
  <c r="AE14" i="16"/>
  <c r="AF14" i="16"/>
  <c r="AG14" i="16"/>
  <c r="AH14" i="16"/>
  <c r="AI14" i="16"/>
  <c r="AC15" i="16"/>
  <c r="AD15" i="16"/>
  <c r="AE15" i="16"/>
  <c r="AF15" i="16"/>
  <c r="AG15" i="16"/>
  <c r="AH15" i="16"/>
  <c r="AI15" i="16"/>
  <c r="AC16" i="16"/>
  <c r="AD16" i="16"/>
  <c r="AE16" i="16"/>
  <c r="AF16" i="16"/>
  <c r="AG16" i="16"/>
  <c r="AH16" i="16"/>
  <c r="AI16" i="16"/>
  <c r="AC17" i="16"/>
  <c r="AD17" i="16"/>
  <c r="AE17" i="16"/>
  <c r="AF17" i="16"/>
  <c r="AG17" i="16"/>
  <c r="AH17" i="16"/>
  <c r="AI17" i="16"/>
  <c r="AC18" i="16"/>
  <c r="AD18" i="16"/>
  <c r="AE18" i="16"/>
  <c r="AF18" i="16"/>
  <c r="AG18" i="16"/>
  <c r="AH18" i="16"/>
  <c r="AI18" i="16"/>
  <c r="AC19" i="16"/>
  <c r="AD19" i="16"/>
  <c r="AE19" i="16"/>
  <c r="AF19" i="16"/>
  <c r="AG19" i="16"/>
  <c r="AH19" i="16"/>
  <c r="AI19" i="16"/>
  <c r="AC20" i="16"/>
  <c r="AD20" i="16"/>
  <c r="AE20" i="16"/>
  <c r="AF20" i="16"/>
  <c r="AG20" i="16"/>
  <c r="AH20" i="16"/>
  <c r="AI20" i="16"/>
  <c r="AD6" i="16"/>
  <c r="AE6" i="16"/>
  <c r="AF6" i="16"/>
  <c r="AG6" i="16"/>
  <c r="AH6" i="16"/>
  <c r="AI6" i="16"/>
  <c r="AC6" i="16"/>
  <c r="T64" i="16"/>
  <c r="U64" i="16"/>
  <c r="V64" i="16"/>
  <c r="W64" i="16"/>
  <c r="X64" i="16"/>
  <c r="Y64" i="16"/>
  <c r="Z64" i="16"/>
  <c r="T65" i="16"/>
  <c r="U65" i="16"/>
  <c r="V65" i="16"/>
  <c r="W65" i="16"/>
  <c r="X65" i="16"/>
  <c r="Y65" i="16"/>
  <c r="Z65" i="16"/>
  <c r="T66" i="16"/>
  <c r="U66" i="16"/>
  <c r="V66" i="16"/>
  <c r="W66" i="16"/>
  <c r="X66" i="16"/>
  <c r="Y66" i="16"/>
  <c r="Z66" i="16"/>
  <c r="T67" i="16"/>
  <c r="U67" i="16"/>
  <c r="V67" i="16"/>
  <c r="W67" i="16"/>
  <c r="X67" i="16"/>
  <c r="Y67" i="16"/>
  <c r="Z67" i="16"/>
  <c r="T68" i="16"/>
  <c r="U68" i="16"/>
  <c r="V68" i="16"/>
  <c r="W68" i="16"/>
  <c r="X68" i="16"/>
  <c r="Y68" i="16"/>
  <c r="Z68" i="16"/>
  <c r="T69" i="16"/>
  <c r="U69" i="16"/>
  <c r="V69" i="16"/>
  <c r="W69" i="16"/>
  <c r="X69" i="16"/>
  <c r="Y69" i="16"/>
  <c r="Z69" i="16"/>
  <c r="T70" i="16"/>
  <c r="U70" i="16"/>
  <c r="V70" i="16"/>
  <c r="W70" i="16"/>
  <c r="X70" i="16"/>
  <c r="Y70" i="16"/>
  <c r="Z70" i="16"/>
  <c r="T71" i="16"/>
  <c r="U71" i="16"/>
  <c r="V71" i="16"/>
  <c r="W71" i="16"/>
  <c r="X71" i="16"/>
  <c r="Y71" i="16"/>
  <c r="Z71" i="16"/>
  <c r="T72" i="16"/>
  <c r="U72" i="16"/>
  <c r="V72" i="16"/>
  <c r="W72" i="16"/>
  <c r="X72" i="16"/>
  <c r="Y72" i="16"/>
  <c r="Z72" i="16"/>
  <c r="T73" i="16"/>
  <c r="U73" i="16"/>
  <c r="V73" i="16"/>
  <c r="W73" i="16"/>
  <c r="X73" i="16"/>
  <c r="Y73" i="16"/>
  <c r="Z73" i="16"/>
  <c r="T74" i="16"/>
  <c r="U74" i="16"/>
  <c r="V74" i="16"/>
  <c r="W74" i="16"/>
  <c r="X74" i="16"/>
  <c r="Y74" i="16"/>
  <c r="Z74" i="16"/>
  <c r="T75" i="16"/>
  <c r="U75" i="16"/>
  <c r="V75" i="16"/>
  <c r="W75" i="16"/>
  <c r="X75" i="16"/>
  <c r="Y75" i="16"/>
  <c r="Z75" i="16"/>
  <c r="T76" i="16"/>
  <c r="U76" i="16"/>
  <c r="V76" i="16"/>
  <c r="W76" i="16"/>
  <c r="X76" i="16"/>
  <c r="Y76" i="16"/>
  <c r="Z76" i="16"/>
  <c r="T77" i="16"/>
  <c r="U77" i="16"/>
  <c r="V77" i="16"/>
  <c r="W77" i="16"/>
  <c r="X77" i="16"/>
  <c r="Y77" i="16"/>
  <c r="Z77" i="16"/>
  <c r="U63" i="16"/>
  <c r="V63" i="16"/>
  <c r="W63" i="16"/>
  <c r="X63" i="16"/>
  <c r="Y63" i="16"/>
  <c r="Z63" i="16"/>
  <c r="T63" i="16"/>
  <c r="T45" i="16"/>
  <c r="U45" i="16"/>
  <c r="V45" i="16"/>
  <c r="W45" i="16"/>
  <c r="X45" i="16"/>
  <c r="Y45" i="16"/>
  <c r="Z45" i="16"/>
  <c r="T46" i="16"/>
  <c r="U46" i="16"/>
  <c r="V46" i="16"/>
  <c r="W46" i="16"/>
  <c r="X46" i="16"/>
  <c r="Y46" i="16"/>
  <c r="Z46" i="16"/>
  <c r="T47" i="16"/>
  <c r="U47" i="16"/>
  <c r="V47" i="16"/>
  <c r="W47" i="16"/>
  <c r="X47" i="16"/>
  <c r="Y47" i="16"/>
  <c r="Z47" i="16"/>
  <c r="T48" i="16"/>
  <c r="U48" i="16"/>
  <c r="V48" i="16"/>
  <c r="W48" i="16"/>
  <c r="X48" i="16"/>
  <c r="Y48" i="16"/>
  <c r="Z48" i="16"/>
  <c r="T49" i="16"/>
  <c r="U49" i="16"/>
  <c r="V49" i="16"/>
  <c r="W49" i="16"/>
  <c r="X49" i="16"/>
  <c r="Y49" i="16"/>
  <c r="Z49" i="16"/>
  <c r="T50" i="16"/>
  <c r="U50" i="16"/>
  <c r="V50" i="16"/>
  <c r="W50" i="16"/>
  <c r="X50" i="16"/>
  <c r="Y50" i="16"/>
  <c r="Z50" i="16"/>
  <c r="T51" i="16"/>
  <c r="U51" i="16"/>
  <c r="V51" i="16"/>
  <c r="W51" i="16"/>
  <c r="X51" i="16"/>
  <c r="Y51" i="16"/>
  <c r="Z51" i="16"/>
  <c r="T52" i="16"/>
  <c r="U52" i="16"/>
  <c r="V52" i="16"/>
  <c r="W52" i="16"/>
  <c r="X52" i="16"/>
  <c r="Y52" i="16"/>
  <c r="Z52" i="16"/>
  <c r="T53" i="16"/>
  <c r="U53" i="16"/>
  <c r="V53" i="16"/>
  <c r="W53" i="16"/>
  <c r="X53" i="16"/>
  <c r="Y53" i="16"/>
  <c r="Z53" i="16"/>
  <c r="T54" i="16"/>
  <c r="U54" i="16"/>
  <c r="V54" i="16"/>
  <c r="W54" i="16"/>
  <c r="X54" i="16"/>
  <c r="Y54" i="16"/>
  <c r="Z54" i="16"/>
  <c r="T55" i="16"/>
  <c r="U55" i="16"/>
  <c r="V55" i="16"/>
  <c r="W55" i="16"/>
  <c r="X55" i="16"/>
  <c r="Y55" i="16"/>
  <c r="Z55" i="16"/>
  <c r="T56" i="16"/>
  <c r="U56" i="16"/>
  <c r="V56" i="16"/>
  <c r="W56" i="16"/>
  <c r="X56" i="16"/>
  <c r="Y56" i="16"/>
  <c r="Z56" i="16"/>
  <c r="T57" i="16"/>
  <c r="U57" i="16"/>
  <c r="V57" i="16"/>
  <c r="W57" i="16"/>
  <c r="X57" i="16"/>
  <c r="Y57" i="16"/>
  <c r="Z57" i="16"/>
  <c r="T58" i="16"/>
  <c r="U58" i="16"/>
  <c r="V58" i="16"/>
  <c r="W58" i="16"/>
  <c r="X58" i="16"/>
  <c r="Y58" i="16"/>
  <c r="Z58" i="16"/>
  <c r="U44" i="16"/>
  <c r="V44" i="16"/>
  <c r="W44" i="16"/>
  <c r="X44" i="16"/>
  <c r="Y44" i="16"/>
  <c r="Z44" i="16"/>
  <c r="T44" i="16"/>
  <c r="T26" i="16"/>
  <c r="U26" i="16"/>
  <c r="V26" i="16"/>
  <c r="W26" i="16"/>
  <c r="X26" i="16"/>
  <c r="Y26" i="16"/>
  <c r="Z26" i="16"/>
  <c r="T27" i="16"/>
  <c r="U27" i="16"/>
  <c r="V27" i="16"/>
  <c r="W27" i="16"/>
  <c r="X27" i="16"/>
  <c r="Y27" i="16"/>
  <c r="Z27" i="16"/>
  <c r="T28" i="16"/>
  <c r="U28" i="16"/>
  <c r="V28" i="16"/>
  <c r="W28" i="16"/>
  <c r="X28" i="16"/>
  <c r="Y28" i="16"/>
  <c r="Z28" i="16"/>
  <c r="T29" i="16"/>
  <c r="U29" i="16"/>
  <c r="V29" i="16"/>
  <c r="W29" i="16"/>
  <c r="X29" i="16"/>
  <c r="Y29" i="16"/>
  <c r="Z29" i="16"/>
  <c r="T30" i="16"/>
  <c r="U30" i="16"/>
  <c r="V30" i="16"/>
  <c r="W30" i="16"/>
  <c r="X30" i="16"/>
  <c r="Y30" i="16"/>
  <c r="Z30" i="16"/>
  <c r="T31" i="16"/>
  <c r="U31" i="16"/>
  <c r="V31" i="16"/>
  <c r="W31" i="16"/>
  <c r="X31" i="16"/>
  <c r="Y31" i="16"/>
  <c r="Z31" i="16"/>
  <c r="T32" i="16"/>
  <c r="U32" i="16"/>
  <c r="V32" i="16"/>
  <c r="W32" i="16"/>
  <c r="X32" i="16"/>
  <c r="Y32" i="16"/>
  <c r="Z32" i="16"/>
  <c r="T33" i="16"/>
  <c r="U33" i="16"/>
  <c r="V33" i="16"/>
  <c r="W33" i="16"/>
  <c r="X33" i="16"/>
  <c r="Y33" i="16"/>
  <c r="Z33" i="16"/>
  <c r="T34" i="16"/>
  <c r="U34" i="16"/>
  <c r="V34" i="16"/>
  <c r="W34" i="16"/>
  <c r="X34" i="16"/>
  <c r="Y34" i="16"/>
  <c r="Z34" i="16"/>
  <c r="T35" i="16"/>
  <c r="U35" i="16"/>
  <c r="V35" i="16"/>
  <c r="W35" i="16"/>
  <c r="X35" i="16"/>
  <c r="Y35" i="16"/>
  <c r="Z35" i="16"/>
  <c r="T36" i="16"/>
  <c r="U36" i="16"/>
  <c r="V36" i="16"/>
  <c r="W36" i="16"/>
  <c r="X36" i="16"/>
  <c r="Y36" i="16"/>
  <c r="Z36" i="16"/>
  <c r="T37" i="16"/>
  <c r="U37" i="16"/>
  <c r="V37" i="16"/>
  <c r="W37" i="16"/>
  <c r="X37" i="16"/>
  <c r="Y37" i="16"/>
  <c r="Z37" i="16"/>
  <c r="T38" i="16"/>
  <c r="U38" i="16"/>
  <c r="V38" i="16"/>
  <c r="W38" i="16"/>
  <c r="X38" i="16"/>
  <c r="Y38" i="16"/>
  <c r="Z38" i="16"/>
  <c r="T39" i="16"/>
  <c r="U39" i="16"/>
  <c r="V39" i="16"/>
  <c r="W39" i="16"/>
  <c r="X39" i="16"/>
  <c r="Y39" i="16"/>
  <c r="Z39" i="16"/>
  <c r="U25" i="16"/>
  <c r="V25" i="16"/>
  <c r="W25" i="16"/>
  <c r="X25" i="16"/>
  <c r="Y25" i="16"/>
  <c r="Z25" i="16"/>
  <c r="T25" i="16"/>
  <c r="T7" i="16"/>
  <c r="U7" i="16"/>
  <c r="V7" i="16"/>
  <c r="W7" i="16"/>
  <c r="X7" i="16"/>
  <c r="Y7" i="16"/>
  <c r="Z7" i="16"/>
  <c r="T8" i="16"/>
  <c r="U8" i="16"/>
  <c r="V8" i="16"/>
  <c r="W8" i="16"/>
  <c r="X8" i="16"/>
  <c r="Y8" i="16"/>
  <c r="Z8" i="16"/>
  <c r="T9" i="16"/>
  <c r="U9" i="16"/>
  <c r="V9" i="16"/>
  <c r="W9" i="16"/>
  <c r="X9" i="16"/>
  <c r="Y9" i="16"/>
  <c r="Z9" i="16"/>
  <c r="T10" i="16"/>
  <c r="U10" i="16"/>
  <c r="V10" i="16"/>
  <c r="W10" i="16"/>
  <c r="X10" i="16"/>
  <c r="Y10" i="16"/>
  <c r="Z10" i="16"/>
  <c r="T11" i="16"/>
  <c r="U11" i="16"/>
  <c r="V11" i="16"/>
  <c r="W11" i="16"/>
  <c r="X11" i="16"/>
  <c r="Y11" i="16"/>
  <c r="Z11" i="16"/>
  <c r="T12" i="16"/>
  <c r="U12" i="16"/>
  <c r="V12" i="16"/>
  <c r="W12" i="16"/>
  <c r="X12" i="16"/>
  <c r="Y12" i="16"/>
  <c r="Z12" i="16"/>
  <c r="T13" i="16"/>
  <c r="U13" i="16"/>
  <c r="V13" i="16"/>
  <c r="W13" i="16"/>
  <c r="X13" i="16"/>
  <c r="Y13" i="16"/>
  <c r="Z13" i="16"/>
  <c r="T14" i="16"/>
  <c r="U14" i="16"/>
  <c r="V14" i="16"/>
  <c r="W14" i="16"/>
  <c r="X14" i="16"/>
  <c r="Y14" i="16"/>
  <c r="Z14" i="16"/>
  <c r="T15" i="16"/>
  <c r="U15" i="16"/>
  <c r="V15" i="16"/>
  <c r="W15" i="16"/>
  <c r="X15" i="16"/>
  <c r="Y15" i="16"/>
  <c r="Z15" i="16"/>
  <c r="T16" i="16"/>
  <c r="U16" i="16"/>
  <c r="V16" i="16"/>
  <c r="W16" i="16"/>
  <c r="X16" i="16"/>
  <c r="Y16" i="16"/>
  <c r="Z16" i="16"/>
  <c r="T17" i="16"/>
  <c r="U17" i="16"/>
  <c r="V17" i="16"/>
  <c r="W17" i="16"/>
  <c r="X17" i="16"/>
  <c r="Y17" i="16"/>
  <c r="Z17" i="16"/>
  <c r="T18" i="16"/>
  <c r="U18" i="16"/>
  <c r="V18" i="16"/>
  <c r="W18" i="16"/>
  <c r="X18" i="16"/>
  <c r="Y18" i="16"/>
  <c r="Z18" i="16"/>
  <c r="T19" i="16"/>
  <c r="U19" i="16"/>
  <c r="V19" i="16"/>
  <c r="W19" i="16"/>
  <c r="X19" i="16"/>
  <c r="Y19" i="16"/>
  <c r="Z19" i="16"/>
  <c r="T20" i="16"/>
  <c r="U20" i="16"/>
  <c r="V20" i="16"/>
  <c r="W20" i="16"/>
  <c r="X20" i="16"/>
  <c r="Y20" i="16"/>
  <c r="Z20" i="16"/>
  <c r="U6" i="16"/>
  <c r="V6" i="16"/>
  <c r="W6" i="16"/>
  <c r="X6" i="16"/>
  <c r="Y6" i="16"/>
  <c r="Z6" i="16"/>
  <c r="T6" i="16"/>
  <c r="K64" i="16"/>
  <c r="L64" i="16"/>
  <c r="M64" i="16"/>
  <c r="N64" i="16"/>
  <c r="O64" i="16"/>
  <c r="P64" i="16"/>
  <c r="Q64" i="16"/>
  <c r="K65" i="16"/>
  <c r="L65" i="16"/>
  <c r="M65" i="16"/>
  <c r="N65" i="16"/>
  <c r="O65" i="16"/>
  <c r="P65" i="16"/>
  <c r="Q65" i="16"/>
  <c r="K66" i="16"/>
  <c r="L66" i="16"/>
  <c r="M66" i="16"/>
  <c r="N66" i="16"/>
  <c r="O66" i="16"/>
  <c r="P66" i="16"/>
  <c r="Q66" i="16"/>
  <c r="K67" i="16"/>
  <c r="L67" i="16"/>
  <c r="M67" i="16"/>
  <c r="N67" i="16"/>
  <c r="O67" i="16"/>
  <c r="P67" i="16"/>
  <c r="Q67" i="16"/>
  <c r="K68" i="16"/>
  <c r="L68" i="16"/>
  <c r="M68" i="16"/>
  <c r="N68" i="16"/>
  <c r="O68" i="16"/>
  <c r="P68" i="16"/>
  <c r="Q68" i="16"/>
  <c r="K69" i="16"/>
  <c r="L69" i="16"/>
  <c r="M69" i="16"/>
  <c r="N69" i="16"/>
  <c r="O69" i="16"/>
  <c r="P69" i="16"/>
  <c r="Q69" i="16"/>
  <c r="K70" i="16"/>
  <c r="L70" i="16"/>
  <c r="M70" i="16"/>
  <c r="N70" i="16"/>
  <c r="O70" i="16"/>
  <c r="P70" i="16"/>
  <c r="Q70" i="16"/>
  <c r="K71" i="16"/>
  <c r="L71" i="16"/>
  <c r="M71" i="16"/>
  <c r="N71" i="16"/>
  <c r="O71" i="16"/>
  <c r="P71" i="16"/>
  <c r="Q71" i="16"/>
  <c r="K72" i="16"/>
  <c r="L72" i="16"/>
  <c r="M72" i="16"/>
  <c r="N72" i="16"/>
  <c r="O72" i="16"/>
  <c r="P72" i="16"/>
  <c r="Q72" i="16"/>
  <c r="K73" i="16"/>
  <c r="L73" i="16"/>
  <c r="M73" i="16"/>
  <c r="N73" i="16"/>
  <c r="O73" i="16"/>
  <c r="P73" i="16"/>
  <c r="Q73" i="16"/>
  <c r="K74" i="16"/>
  <c r="L74" i="16"/>
  <c r="M74" i="16"/>
  <c r="N74" i="16"/>
  <c r="O74" i="16"/>
  <c r="P74" i="16"/>
  <c r="Q74" i="16"/>
  <c r="K75" i="16"/>
  <c r="L75" i="16"/>
  <c r="M75" i="16"/>
  <c r="N75" i="16"/>
  <c r="O75" i="16"/>
  <c r="P75" i="16"/>
  <c r="Q75" i="16"/>
  <c r="K76" i="16"/>
  <c r="L76" i="16"/>
  <c r="M76" i="16"/>
  <c r="N76" i="16"/>
  <c r="O76" i="16"/>
  <c r="P76" i="16"/>
  <c r="Q76" i="16"/>
  <c r="K77" i="16"/>
  <c r="L77" i="16"/>
  <c r="M77" i="16"/>
  <c r="N77" i="16"/>
  <c r="O77" i="16"/>
  <c r="P77" i="16"/>
  <c r="Q77" i="16"/>
  <c r="L63" i="16"/>
  <c r="M63" i="16"/>
  <c r="N63" i="16"/>
  <c r="O63" i="16"/>
  <c r="P63" i="16"/>
  <c r="Q63" i="16"/>
  <c r="K63" i="16"/>
  <c r="K45" i="16"/>
  <c r="L45" i="16"/>
  <c r="M45" i="16"/>
  <c r="N45" i="16"/>
  <c r="O45" i="16"/>
  <c r="P45" i="16"/>
  <c r="Q45" i="16"/>
  <c r="K46" i="16"/>
  <c r="L46" i="16"/>
  <c r="M46" i="16"/>
  <c r="N46" i="16"/>
  <c r="O46" i="16"/>
  <c r="P46" i="16"/>
  <c r="Q46" i="16"/>
  <c r="K47" i="16"/>
  <c r="L47" i="16"/>
  <c r="M47" i="16"/>
  <c r="N47" i="16"/>
  <c r="O47" i="16"/>
  <c r="P47" i="16"/>
  <c r="Q47" i="16"/>
  <c r="K48" i="16"/>
  <c r="L48" i="16"/>
  <c r="M48" i="16"/>
  <c r="N48" i="16"/>
  <c r="O48" i="16"/>
  <c r="P48" i="16"/>
  <c r="Q48" i="16"/>
  <c r="K49" i="16"/>
  <c r="L49" i="16"/>
  <c r="M49" i="16"/>
  <c r="N49" i="16"/>
  <c r="O49" i="16"/>
  <c r="P49" i="16"/>
  <c r="Q49" i="16"/>
  <c r="K50" i="16"/>
  <c r="L50" i="16"/>
  <c r="M50" i="16"/>
  <c r="N50" i="16"/>
  <c r="O50" i="16"/>
  <c r="P50" i="16"/>
  <c r="Q50" i="16"/>
  <c r="K51" i="16"/>
  <c r="L51" i="16"/>
  <c r="M51" i="16"/>
  <c r="N51" i="16"/>
  <c r="O51" i="16"/>
  <c r="P51" i="16"/>
  <c r="Q51" i="16"/>
  <c r="K52" i="16"/>
  <c r="L52" i="16"/>
  <c r="M52" i="16"/>
  <c r="N52" i="16"/>
  <c r="O52" i="16"/>
  <c r="P52" i="16"/>
  <c r="Q52" i="16"/>
  <c r="K53" i="16"/>
  <c r="L53" i="16"/>
  <c r="M53" i="16"/>
  <c r="N53" i="16"/>
  <c r="O53" i="16"/>
  <c r="P53" i="16"/>
  <c r="Q53" i="16"/>
  <c r="K54" i="16"/>
  <c r="L54" i="16"/>
  <c r="M54" i="16"/>
  <c r="N54" i="16"/>
  <c r="O54" i="16"/>
  <c r="P54" i="16"/>
  <c r="Q54" i="16"/>
  <c r="K55" i="16"/>
  <c r="L55" i="16"/>
  <c r="M55" i="16"/>
  <c r="N55" i="16"/>
  <c r="O55" i="16"/>
  <c r="P55" i="16"/>
  <c r="Q55" i="16"/>
  <c r="K56" i="16"/>
  <c r="L56" i="16"/>
  <c r="M56" i="16"/>
  <c r="N56" i="16"/>
  <c r="O56" i="16"/>
  <c r="P56" i="16"/>
  <c r="Q56" i="16"/>
  <c r="K57" i="16"/>
  <c r="L57" i="16"/>
  <c r="M57" i="16"/>
  <c r="N57" i="16"/>
  <c r="O57" i="16"/>
  <c r="P57" i="16"/>
  <c r="Q57" i="16"/>
  <c r="K58" i="16"/>
  <c r="L58" i="16"/>
  <c r="M58" i="16"/>
  <c r="N58" i="16"/>
  <c r="O58" i="16"/>
  <c r="P58" i="16"/>
  <c r="Q58" i="16"/>
  <c r="L44" i="16"/>
  <c r="M44" i="16"/>
  <c r="N44" i="16"/>
  <c r="O44" i="16"/>
  <c r="P44" i="16"/>
  <c r="Q44" i="16"/>
  <c r="K44" i="16"/>
  <c r="K26" i="16"/>
  <c r="L26" i="16"/>
  <c r="M26" i="16"/>
  <c r="N26" i="16"/>
  <c r="O26" i="16"/>
  <c r="P26" i="16"/>
  <c r="Q26" i="16"/>
  <c r="K27" i="16"/>
  <c r="L27" i="16"/>
  <c r="M27" i="16"/>
  <c r="N27" i="16"/>
  <c r="O27" i="16"/>
  <c r="P27" i="16"/>
  <c r="Q27" i="16"/>
  <c r="K28" i="16"/>
  <c r="L28" i="16"/>
  <c r="M28" i="16"/>
  <c r="N28" i="16"/>
  <c r="O28" i="16"/>
  <c r="P28" i="16"/>
  <c r="Q28" i="16"/>
  <c r="K29" i="16"/>
  <c r="L29" i="16"/>
  <c r="M29" i="16"/>
  <c r="N29" i="16"/>
  <c r="O29" i="16"/>
  <c r="P29" i="16"/>
  <c r="Q29" i="16"/>
  <c r="K30" i="16"/>
  <c r="L30" i="16"/>
  <c r="M30" i="16"/>
  <c r="N30" i="16"/>
  <c r="O30" i="16"/>
  <c r="P30" i="16"/>
  <c r="Q30" i="16"/>
  <c r="K31" i="16"/>
  <c r="L31" i="16"/>
  <c r="M31" i="16"/>
  <c r="N31" i="16"/>
  <c r="O31" i="16"/>
  <c r="P31" i="16"/>
  <c r="Q31" i="16"/>
  <c r="K32" i="16"/>
  <c r="L32" i="16"/>
  <c r="M32" i="16"/>
  <c r="N32" i="16"/>
  <c r="O32" i="16"/>
  <c r="P32" i="16"/>
  <c r="Q32" i="16"/>
  <c r="K33" i="16"/>
  <c r="L33" i="16"/>
  <c r="M33" i="16"/>
  <c r="N33" i="16"/>
  <c r="O33" i="16"/>
  <c r="P33" i="16"/>
  <c r="Q33" i="16"/>
  <c r="K34" i="16"/>
  <c r="L34" i="16"/>
  <c r="M34" i="16"/>
  <c r="N34" i="16"/>
  <c r="O34" i="16"/>
  <c r="P34" i="16"/>
  <c r="Q34" i="16"/>
  <c r="K35" i="16"/>
  <c r="L35" i="16"/>
  <c r="M35" i="16"/>
  <c r="N35" i="16"/>
  <c r="O35" i="16"/>
  <c r="P35" i="16"/>
  <c r="Q35" i="16"/>
  <c r="K36" i="16"/>
  <c r="L36" i="16"/>
  <c r="M36" i="16"/>
  <c r="N36" i="16"/>
  <c r="O36" i="16"/>
  <c r="P36" i="16"/>
  <c r="Q36" i="16"/>
  <c r="K37" i="16"/>
  <c r="L37" i="16"/>
  <c r="M37" i="16"/>
  <c r="N37" i="16"/>
  <c r="O37" i="16"/>
  <c r="P37" i="16"/>
  <c r="Q37" i="16"/>
  <c r="K38" i="16"/>
  <c r="L38" i="16"/>
  <c r="M38" i="16"/>
  <c r="N38" i="16"/>
  <c r="O38" i="16"/>
  <c r="P38" i="16"/>
  <c r="Q38" i="16"/>
  <c r="K39" i="16"/>
  <c r="L39" i="16"/>
  <c r="M39" i="16"/>
  <c r="N39" i="16"/>
  <c r="O39" i="16"/>
  <c r="P39" i="16"/>
  <c r="Q39" i="16"/>
  <c r="L25" i="16"/>
  <c r="M25" i="16"/>
  <c r="N25" i="16"/>
  <c r="O25" i="16"/>
  <c r="P25" i="16"/>
  <c r="Q25" i="16"/>
  <c r="K25" i="16"/>
  <c r="K7" i="16"/>
  <c r="L7" i="16"/>
  <c r="M7" i="16"/>
  <c r="N7" i="16"/>
  <c r="O7" i="16"/>
  <c r="P7" i="16"/>
  <c r="Q7" i="16"/>
  <c r="K8" i="16"/>
  <c r="L8" i="16"/>
  <c r="M8" i="16"/>
  <c r="N8" i="16"/>
  <c r="O8" i="16"/>
  <c r="P8" i="16"/>
  <c r="Q8" i="16"/>
  <c r="K9" i="16"/>
  <c r="L9" i="16"/>
  <c r="M9" i="16"/>
  <c r="N9" i="16"/>
  <c r="O9" i="16"/>
  <c r="P9" i="16"/>
  <c r="Q9" i="16"/>
  <c r="K10" i="16"/>
  <c r="L10" i="16"/>
  <c r="M10" i="16"/>
  <c r="N10" i="16"/>
  <c r="O10" i="16"/>
  <c r="P10" i="16"/>
  <c r="Q10" i="16"/>
  <c r="K11" i="16"/>
  <c r="L11" i="16"/>
  <c r="M11" i="16"/>
  <c r="N11" i="16"/>
  <c r="O11" i="16"/>
  <c r="P11" i="16"/>
  <c r="Q11" i="16"/>
  <c r="K12" i="16"/>
  <c r="L12" i="16"/>
  <c r="M12" i="16"/>
  <c r="N12" i="16"/>
  <c r="O12" i="16"/>
  <c r="P12" i="16"/>
  <c r="Q12" i="16"/>
  <c r="K13" i="16"/>
  <c r="L13" i="16"/>
  <c r="M13" i="16"/>
  <c r="N13" i="16"/>
  <c r="O13" i="16"/>
  <c r="P13" i="16"/>
  <c r="Q13" i="16"/>
  <c r="K14" i="16"/>
  <c r="L14" i="16"/>
  <c r="M14" i="16"/>
  <c r="N14" i="16"/>
  <c r="O14" i="16"/>
  <c r="P14" i="16"/>
  <c r="Q14" i="16"/>
  <c r="K15" i="16"/>
  <c r="L15" i="16"/>
  <c r="M15" i="16"/>
  <c r="N15" i="16"/>
  <c r="O15" i="16"/>
  <c r="P15" i="16"/>
  <c r="Q15" i="16"/>
  <c r="K16" i="16"/>
  <c r="L16" i="16"/>
  <c r="M16" i="16"/>
  <c r="N16" i="16"/>
  <c r="O16" i="16"/>
  <c r="P16" i="16"/>
  <c r="Q16" i="16"/>
  <c r="K17" i="16"/>
  <c r="L17" i="16"/>
  <c r="M17" i="16"/>
  <c r="N17" i="16"/>
  <c r="O17" i="16"/>
  <c r="P17" i="16"/>
  <c r="Q17" i="16"/>
  <c r="K18" i="16"/>
  <c r="L18" i="16"/>
  <c r="M18" i="16"/>
  <c r="N18" i="16"/>
  <c r="O18" i="16"/>
  <c r="P18" i="16"/>
  <c r="Q18" i="16"/>
  <c r="K19" i="16"/>
  <c r="L19" i="16"/>
  <c r="M19" i="16"/>
  <c r="N19" i="16"/>
  <c r="O19" i="16"/>
  <c r="P19" i="16"/>
  <c r="Q19" i="16"/>
  <c r="K20" i="16"/>
  <c r="L20" i="16"/>
  <c r="M20" i="16"/>
  <c r="N20" i="16"/>
  <c r="O20" i="16"/>
  <c r="P20" i="16"/>
  <c r="Q20" i="16"/>
  <c r="L6" i="16"/>
  <c r="M6" i="16"/>
  <c r="N6" i="16"/>
  <c r="O6" i="16"/>
  <c r="P6" i="16"/>
  <c r="Q6" i="16"/>
  <c r="K6" i="16"/>
  <c r="B64" i="16"/>
  <c r="C64" i="16"/>
  <c r="D64" i="16"/>
  <c r="E64" i="16"/>
  <c r="F64" i="16"/>
  <c r="G64" i="16"/>
  <c r="H64" i="16"/>
  <c r="B65" i="16"/>
  <c r="C65" i="16"/>
  <c r="D65" i="16"/>
  <c r="E65" i="16"/>
  <c r="F65" i="16"/>
  <c r="G65" i="16"/>
  <c r="H65" i="16"/>
  <c r="B66" i="16"/>
  <c r="C66" i="16"/>
  <c r="D66" i="16"/>
  <c r="E66" i="16"/>
  <c r="F66" i="16"/>
  <c r="G66" i="16"/>
  <c r="H66" i="16"/>
  <c r="B67" i="16"/>
  <c r="C67" i="16"/>
  <c r="D67" i="16"/>
  <c r="E67" i="16"/>
  <c r="F67" i="16"/>
  <c r="G67" i="16"/>
  <c r="H67" i="16"/>
  <c r="B68" i="16"/>
  <c r="C68" i="16"/>
  <c r="D68" i="16"/>
  <c r="E68" i="16"/>
  <c r="F68" i="16"/>
  <c r="G68" i="16"/>
  <c r="H68" i="16"/>
  <c r="B69" i="16"/>
  <c r="C69" i="16"/>
  <c r="D69" i="16"/>
  <c r="E69" i="16"/>
  <c r="F69" i="16"/>
  <c r="G69" i="16"/>
  <c r="H69" i="16"/>
  <c r="B70" i="16"/>
  <c r="C70" i="16"/>
  <c r="D70" i="16"/>
  <c r="E70" i="16"/>
  <c r="F70" i="16"/>
  <c r="G70" i="16"/>
  <c r="H70" i="16"/>
  <c r="B71" i="16"/>
  <c r="C71" i="16"/>
  <c r="D71" i="16"/>
  <c r="E71" i="16"/>
  <c r="F71" i="16"/>
  <c r="G71" i="16"/>
  <c r="H71" i="16"/>
  <c r="B72" i="16"/>
  <c r="C72" i="16"/>
  <c r="D72" i="16"/>
  <c r="E72" i="16"/>
  <c r="F72" i="16"/>
  <c r="G72" i="16"/>
  <c r="H72" i="16"/>
  <c r="B73" i="16"/>
  <c r="C73" i="16"/>
  <c r="D73" i="16"/>
  <c r="E73" i="16"/>
  <c r="F73" i="16"/>
  <c r="G73" i="16"/>
  <c r="H73" i="16"/>
  <c r="B74" i="16"/>
  <c r="C74" i="16"/>
  <c r="D74" i="16"/>
  <c r="E74" i="16"/>
  <c r="F74" i="16"/>
  <c r="G74" i="16"/>
  <c r="H74" i="16"/>
  <c r="B75" i="16"/>
  <c r="C75" i="16"/>
  <c r="D75" i="16"/>
  <c r="E75" i="16"/>
  <c r="F75" i="16"/>
  <c r="G75" i="16"/>
  <c r="H75" i="16"/>
  <c r="B76" i="16"/>
  <c r="C76" i="16"/>
  <c r="D76" i="16"/>
  <c r="E76" i="16"/>
  <c r="F76" i="16"/>
  <c r="G76" i="16"/>
  <c r="H76" i="16"/>
  <c r="B77" i="16"/>
  <c r="C77" i="16"/>
  <c r="D77" i="16"/>
  <c r="E77" i="16"/>
  <c r="F77" i="16"/>
  <c r="G77" i="16"/>
  <c r="H77" i="16"/>
  <c r="C63" i="16"/>
  <c r="D63" i="16"/>
  <c r="E63" i="16"/>
  <c r="F63" i="16"/>
  <c r="G63" i="16"/>
  <c r="H63" i="16"/>
  <c r="B63" i="16"/>
  <c r="B45" i="16"/>
  <c r="C45" i="16"/>
  <c r="D45" i="16"/>
  <c r="E45" i="16"/>
  <c r="F45" i="16"/>
  <c r="G45" i="16"/>
  <c r="H45" i="16"/>
  <c r="B46" i="16"/>
  <c r="C46" i="16"/>
  <c r="D46" i="16"/>
  <c r="E46" i="16"/>
  <c r="F46" i="16"/>
  <c r="G46" i="16"/>
  <c r="H46" i="16"/>
  <c r="B47" i="16"/>
  <c r="C47" i="16"/>
  <c r="D47" i="16"/>
  <c r="E47" i="16"/>
  <c r="F47" i="16"/>
  <c r="G47" i="16"/>
  <c r="H47" i="16"/>
  <c r="B48" i="16"/>
  <c r="C48" i="16"/>
  <c r="D48" i="16"/>
  <c r="E48" i="16"/>
  <c r="F48" i="16"/>
  <c r="G48" i="16"/>
  <c r="H48" i="16"/>
  <c r="B49" i="16"/>
  <c r="C49" i="16"/>
  <c r="D49" i="16"/>
  <c r="E49" i="16"/>
  <c r="F49" i="16"/>
  <c r="G49" i="16"/>
  <c r="H49" i="16"/>
  <c r="B50" i="16"/>
  <c r="C50" i="16"/>
  <c r="D50" i="16"/>
  <c r="E50" i="16"/>
  <c r="F50" i="16"/>
  <c r="G50" i="16"/>
  <c r="H50" i="16"/>
  <c r="B51" i="16"/>
  <c r="C51" i="16"/>
  <c r="D51" i="16"/>
  <c r="E51" i="16"/>
  <c r="F51" i="16"/>
  <c r="G51" i="16"/>
  <c r="H51" i="16"/>
  <c r="B52" i="16"/>
  <c r="C52" i="16"/>
  <c r="D52" i="16"/>
  <c r="E52" i="16"/>
  <c r="F52" i="16"/>
  <c r="G52" i="16"/>
  <c r="H52" i="16"/>
  <c r="B53" i="16"/>
  <c r="C53" i="16"/>
  <c r="D53" i="16"/>
  <c r="E53" i="16"/>
  <c r="F53" i="16"/>
  <c r="G53" i="16"/>
  <c r="H53" i="16"/>
  <c r="B54" i="16"/>
  <c r="C54" i="16"/>
  <c r="D54" i="16"/>
  <c r="E54" i="16"/>
  <c r="F54" i="16"/>
  <c r="G54" i="16"/>
  <c r="H54" i="16"/>
  <c r="B55" i="16"/>
  <c r="C55" i="16"/>
  <c r="D55" i="16"/>
  <c r="E55" i="16"/>
  <c r="F55" i="16"/>
  <c r="G55" i="16"/>
  <c r="H55" i="16"/>
  <c r="B56" i="16"/>
  <c r="C56" i="16"/>
  <c r="D56" i="16"/>
  <c r="E56" i="16"/>
  <c r="F56" i="16"/>
  <c r="G56" i="16"/>
  <c r="H56" i="16"/>
  <c r="B57" i="16"/>
  <c r="C57" i="16"/>
  <c r="D57" i="16"/>
  <c r="E57" i="16"/>
  <c r="F57" i="16"/>
  <c r="G57" i="16"/>
  <c r="H57" i="16"/>
  <c r="B58" i="16"/>
  <c r="C58" i="16"/>
  <c r="D58" i="16"/>
  <c r="E58" i="16"/>
  <c r="F58" i="16"/>
  <c r="G58" i="16"/>
  <c r="H58" i="16"/>
  <c r="C44" i="16"/>
  <c r="D44" i="16"/>
  <c r="E44" i="16"/>
  <c r="F44" i="16"/>
  <c r="G44" i="16"/>
  <c r="H44" i="16"/>
  <c r="B44" i="16"/>
  <c r="B26" i="16"/>
  <c r="C26" i="16"/>
  <c r="D26" i="16"/>
  <c r="E26" i="16"/>
  <c r="F26" i="16"/>
  <c r="G26" i="16"/>
  <c r="H26" i="16"/>
  <c r="B27" i="16"/>
  <c r="C27" i="16"/>
  <c r="D27" i="16"/>
  <c r="E27" i="16"/>
  <c r="F27" i="16"/>
  <c r="G27" i="16"/>
  <c r="H27" i="16"/>
  <c r="B28" i="16"/>
  <c r="C28" i="16"/>
  <c r="D28" i="16"/>
  <c r="E28" i="16"/>
  <c r="F28" i="16"/>
  <c r="G28" i="16"/>
  <c r="H28" i="16"/>
  <c r="B29" i="16"/>
  <c r="C29" i="16"/>
  <c r="D29" i="16"/>
  <c r="E29" i="16"/>
  <c r="F29" i="16"/>
  <c r="G29" i="16"/>
  <c r="H29" i="16"/>
  <c r="B30" i="16"/>
  <c r="C30" i="16"/>
  <c r="D30" i="16"/>
  <c r="E30" i="16"/>
  <c r="F30" i="16"/>
  <c r="G30" i="16"/>
  <c r="H30" i="16"/>
  <c r="B31" i="16"/>
  <c r="C31" i="16"/>
  <c r="D31" i="16"/>
  <c r="E31" i="16"/>
  <c r="F31" i="16"/>
  <c r="G31" i="16"/>
  <c r="H31" i="16"/>
  <c r="B32" i="16"/>
  <c r="C32" i="16"/>
  <c r="D32" i="16"/>
  <c r="E32" i="16"/>
  <c r="F32" i="16"/>
  <c r="G32" i="16"/>
  <c r="H32" i="16"/>
  <c r="B33" i="16"/>
  <c r="C33" i="16"/>
  <c r="D33" i="16"/>
  <c r="E33" i="16"/>
  <c r="F33" i="16"/>
  <c r="G33" i="16"/>
  <c r="H33" i="16"/>
  <c r="B34" i="16"/>
  <c r="C34" i="16"/>
  <c r="D34" i="16"/>
  <c r="E34" i="16"/>
  <c r="F34" i="16"/>
  <c r="G34" i="16"/>
  <c r="H34" i="16"/>
  <c r="B35" i="16"/>
  <c r="C35" i="16"/>
  <c r="D35" i="16"/>
  <c r="E35" i="16"/>
  <c r="F35" i="16"/>
  <c r="G35" i="16"/>
  <c r="H35" i="16"/>
  <c r="B36" i="16"/>
  <c r="C36" i="16"/>
  <c r="D36" i="16"/>
  <c r="E36" i="16"/>
  <c r="F36" i="16"/>
  <c r="G36" i="16"/>
  <c r="H36" i="16"/>
  <c r="B37" i="16"/>
  <c r="C37" i="16"/>
  <c r="D37" i="16"/>
  <c r="E37" i="16"/>
  <c r="F37" i="16"/>
  <c r="G37" i="16"/>
  <c r="H37" i="16"/>
  <c r="B38" i="16"/>
  <c r="C38" i="16"/>
  <c r="D38" i="16"/>
  <c r="E38" i="16"/>
  <c r="F38" i="16"/>
  <c r="G38" i="16"/>
  <c r="H38" i="16"/>
  <c r="B39" i="16"/>
  <c r="C39" i="16"/>
  <c r="D39" i="16"/>
  <c r="E39" i="16"/>
  <c r="F39" i="16"/>
  <c r="G39" i="16"/>
  <c r="H39" i="16"/>
  <c r="C25" i="16"/>
  <c r="D25" i="16"/>
  <c r="E25" i="16"/>
  <c r="F25" i="16"/>
  <c r="G25" i="16"/>
  <c r="H25" i="16"/>
  <c r="B25" i="16"/>
  <c r="B7" i="16"/>
  <c r="C7" i="16"/>
  <c r="D7" i="16"/>
  <c r="E7" i="16"/>
  <c r="F7" i="16"/>
  <c r="G7" i="16"/>
  <c r="H7" i="16"/>
  <c r="B8" i="16"/>
  <c r="C8" i="16"/>
  <c r="D8" i="16"/>
  <c r="E8" i="16"/>
  <c r="F8" i="16"/>
  <c r="G8" i="16"/>
  <c r="H8" i="16"/>
  <c r="B9" i="16"/>
  <c r="C9" i="16"/>
  <c r="D9" i="16"/>
  <c r="E9" i="16"/>
  <c r="F9" i="16"/>
  <c r="G9" i="16"/>
  <c r="H9" i="16"/>
  <c r="B10" i="16"/>
  <c r="C10" i="16"/>
  <c r="D10" i="16"/>
  <c r="E10" i="16"/>
  <c r="F10" i="16"/>
  <c r="G10" i="16"/>
  <c r="H10" i="16"/>
  <c r="B11" i="16"/>
  <c r="C11" i="16"/>
  <c r="D11" i="16"/>
  <c r="E11" i="16"/>
  <c r="F11" i="16"/>
  <c r="G11" i="16"/>
  <c r="H11" i="16"/>
  <c r="B12" i="16"/>
  <c r="C12" i="16"/>
  <c r="D12" i="16"/>
  <c r="E12" i="16"/>
  <c r="F12" i="16"/>
  <c r="G12" i="16"/>
  <c r="H12" i="16"/>
  <c r="B13" i="16"/>
  <c r="C13" i="16"/>
  <c r="D13" i="16"/>
  <c r="E13" i="16"/>
  <c r="F13" i="16"/>
  <c r="G13" i="16"/>
  <c r="H13" i="16"/>
  <c r="B14" i="16"/>
  <c r="C14" i="16"/>
  <c r="D14" i="16"/>
  <c r="E14" i="16"/>
  <c r="F14" i="16"/>
  <c r="G14" i="16"/>
  <c r="H14" i="16"/>
  <c r="B15" i="16"/>
  <c r="C15" i="16"/>
  <c r="D15" i="16"/>
  <c r="E15" i="16"/>
  <c r="F15" i="16"/>
  <c r="G15" i="16"/>
  <c r="H15" i="16"/>
  <c r="B16" i="16"/>
  <c r="C16" i="16"/>
  <c r="D16" i="16"/>
  <c r="E16" i="16"/>
  <c r="F16" i="16"/>
  <c r="G16" i="16"/>
  <c r="H16" i="16"/>
  <c r="B17" i="16"/>
  <c r="C17" i="16"/>
  <c r="D17" i="16"/>
  <c r="E17" i="16"/>
  <c r="F17" i="16"/>
  <c r="G17" i="16"/>
  <c r="H17" i="16"/>
  <c r="B18" i="16"/>
  <c r="C18" i="16"/>
  <c r="D18" i="16"/>
  <c r="E18" i="16"/>
  <c r="F18" i="16"/>
  <c r="G18" i="16"/>
  <c r="H18" i="16"/>
  <c r="B19" i="16"/>
  <c r="C19" i="16"/>
  <c r="D19" i="16"/>
  <c r="E19" i="16"/>
  <c r="F19" i="16"/>
  <c r="G19" i="16"/>
  <c r="H19" i="16"/>
  <c r="B20" i="16"/>
  <c r="C20" i="16"/>
  <c r="D20" i="16"/>
  <c r="E20" i="16"/>
  <c r="F20" i="16"/>
  <c r="G20" i="16"/>
  <c r="H20" i="16"/>
  <c r="C6" i="16"/>
  <c r="D6" i="16"/>
  <c r="E6" i="16"/>
  <c r="F6" i="16"/>
  <c r="G6" i="16"/>
  <c r="H6" i="16"/>
  <c r="B6" i="16"/>
  <c r="AC140" i="8"/>
  <c r="AD140" i="8"/>
  <c r="AE140" i="8"/>
  <c r="AF140" i="8"/>
  <c r="AG140" i="8"/>
  <c r="AH140" i="8"/>
  <c r="AI140" i="8"/>
  <c r="AC141" i="8"/>
  <c r="AD141" i="8"/>
  <c r="AE141" i="8"/>
  <c r="AF141" i="8"/>
  <c r="AG141" i="8"/>
  <c r="AH141" i="8"/>
  <c r="AI141" i="8"/>
  <c r="AC142" i="8"/>
  <c r="AD142" i="8"/>
  <c r="AE142" i="8"/>
  <c r="AF142" i="8"/>
  <c r="AG142" i="8"/>
  <c r="AH142" i="8"/>
  <c r="AI142" i="8"/>
  <c r="AC143" i="8"/>
  <c r="AD143" i="8"/>
  <c r="AE143" i="8"/>
  <c r="AF143" i="8"/>
  <c r="AG143" i="8"/>
  <c r="AH143" i="8"/>
  <c r="AI143" i="8"/>
  <c r="AC144" i="8"/>
  <c r="AD144" i="8"/>
  <c r="AE144" i="8"/>
  <c r="AF144" i="8"/>
  <c r="AG144" i="8"/>
  <c r="AH144" i="8"/>
  <c r="AI144" i="8"/>
  <c r="AC145" i="8"/>
  <c r="AD145" i="8"/>
  <c r="AE145" i="8"/>
  <c r="AF145" i="8"/>
  <c r="AG145" i="8"/>
  <c r="AH145" i="8"/>
  <c r="AI145" i="8"/>
  <c r="AC146" i="8"/>
  <c r="AD146" i="8"/>
  <c r="AE146" i="8"/>
  <c r="AF146" i="8"/>
  <c r="AG146" i="8"/>
  <c r="AH146" i="8"/>
  <c r="AI146" i="8"/>
  <c r="AC147" i="8"/>
  <c r="AD147" i="8"/>
  <c r="AE147" i="8"/>
  <c r="AF147" i="8"/>
  <c r="AG147" i="8"/>
  <c r="AH147" i="8"/>
  <c r="AI147" i="8"/>
  <c r="AC148" i="8"/>
  <c r="AD148" i="8"/>
  <c r="AE148" i="8"/>
  <c r="AF148" i="8"/>
  <c r="AG148" i="8"/>
  <c r="AH148" i="8"/>
  <c r="AI148" i="8"/>
  <c r="AC149" i="8"/>
  <c r="AD149" i="8"/>
  <c r="AE149" i="8"/>
  <c r="AF149" i="8"/>
  <c r="AG149" i="8"/>
  <c r="AH149" i="8"/>
  <c r="AI149" i="8"/>
  <c r="AC150" i="8"/>
  <c r="AD150" i="8"/>
  <c r="AE150" i="8"/>
  <c r="AF150" i="8"/>
  <c r="AG150" i="8"/>
  <c r="AH150" i="8"/>
  <c r="AI150" i="8"/>
  <c r="AC151" i="8"/>
  <c r="AD151" i="8"/>
  <c r="AE151" i="8"/>
  <c r="AF151" i="8"/>
  <c r="AG151" i="8"/>
  <c r="AH151" i="8"/>
  <c r="AI151" i="8"/>
  <c r="AC152" i="8"/>
  <c r="AD152" i="8"/>
  <c r="AE152" i="8"/>
  <c r="AF152" i="8"/>
  <c r="AG152" i="8"/>
  <c r="AH152" i="8"/>
  <c r="AI152" i="8"/>
  <c r="AC153" i="8"/>
  <c r="AD153" i="8"/>
  <c r="AE153" i="8"/>
  <c r="AF153" i="8"/>
  <c r="AG153" i="8"/>
  <c r="AH153" i="8"/>
  <c r="AI153" i="8"/>
  <c r="AD139" i="8"/>
  <c r="AE139" i="8"/>
  <c r="AF139" i="8"/>
  <c r="AG139" i="8"/>
  <c r="AH139" i="8"/>
  <c r="AI139" i="8"/>
  <c r="AC139" i="8"/>
  <c r="AC121" i="8"/>
  <c r="AD121" i="8"/>
  <c r="AE121" i="8"/>
  <c r="AF121" i="8"/>
  <c r="AG121" i="8"/>
  <c r="AH121" i="8"/>
  <c r="AI121" i="8"/>
  <c r="AC122" i="8"/>
  <c r="AD122" i="8"/>
  <c r="AE122" i="8"/>
  <c r="AF122" i="8"/>
  <c r="AG122" i="8"/>
  <c r="AH122" i="8"/>
  <c r="AI122" i="8"/>
  <c r="AC123" i="8"/>
  <c r="AD123" i="8"/>
  <c r="AE123" i="8"/>
  <c r="AF123" i="8"/>
  <c r="AG123" i="8"/>
  <c r="AH123" i="8"/>
  <c r="AI123" i="8"/>
  <c r="AC124" i="8"/>
  <c r="AD124" i="8"/>
  <c r="AE124" i="8"/>
  <c r="AF124" i="8"/>
  <c r="AG124" i="8"/>
  <c r="AH124" i="8"/>
  <c r="AI124" i="8"/>
  <c r="AC125" i="8"/>
  <c r="AD125" i="8"/>
  <c r="AE125" i="8"/>
  <c r="AF125" i="8"/>
  <c r="AG125" i="8"/>
  <c r="AH125" i="8"/>
  <c r="AI125" i="8"/>
  <c r="AC126" i="8"/>
  <c r="AD126" i="8"/>
  <c r="AE126" i="8"/>
  <c r="AF126" i="8"/>
  <c r="AG126" i="8"/>
  <c r="AH126" i="8"/>
  <c r="AI126" i="8"/>
  <c r="AC127" i="8"/>
  <c r="AD127" i="8"/>
  <c r="AE127" i="8"/>
  <c r="AF127" i="8"/>
  <c r="AG127" i="8"/>
  <c r="AH127" i="8"/>
  <c r="AI127" i="8"/>
  <c r="AC128" i="8"/>
  <c r="AD128" i="8"/>
  <c r="AE128" i="8"/>
  <c r="AF128" i="8"/>
  <c r="AG128" i="8"/>
  <c r="AH128" i="8"/>
  <c r="AI128" i="8"/>
  <c r="AC129" i="8"/>
  <c r="AD129" i="8"/>
  <c r="AE129" i="8"/>
  <c r="AF129" i="8"/>
  <c r="AG129" i="8"/>
  <c r="AH129" i="8"/>
  <c r="AI129" i="8"/>
  <c r="AC130" i="8"/>
  <c r="AD130" i="8"/>
  <c r="AE130" i="8"/>
  <c r="AF130" i="8"/>
  <c r="AG130" i="8"/>
  <c r="AH130" i="8"/>
  <c r="AI130" i="8"/>
  <c r="AC131" i="8"/>
  <c r="AD131" i="8"/>
  <c r="AE131" i="8"/>
  <c r="AF131" i="8"/>
  <c r="AG131" i="8"/>
  <c r="AH131" i="8"/>
  <c r="AI131" i="8"/>
  <c r="AC132" i="8"/>
  <c r="AD132" i="8"/>
  <c r="AE132" i="8"/>
  <c r="AF132" i="8"/>
  <c r="AG132" i="8"/>
  <c r="AH132" i="8"/>
  <c r="AI132" i="8"/>
  <c r="AC133" i="8"/>
  <c r="AD133" i="8"/>
  <c r="AE133" i="8"/>
  <c r="AF133" i="8"/>
  <c r="AG133" i="8"/>
  <c r="AH133" i="8"/>
  <c r="AI133" i="8"/>
  <c r="AC134" i="8"/>
  <c r="AD134" i="8"/>
  <c r="AE134" i="8"/>
  <c r="AF134" i="8"/>
  <c r="AG134" i="8"/>
  <c r="AH134" i="8"/>
  <c r="AI134" i="8"/>
  <c r="AD120" i="8"/>
  <c r="AE120" i="8"/>
  <c r="AF120" i="8"/>
  <c r="AG120" i="8"/>
  <c r="AH120" i="8"/>
  <c r="AI120" i="8"/>
  <c r="AC120" i="8"/>
  <c r="AC102" i="8"/>
  <c r="AD102" i="8"/>
  <c r="AE102" i="8"/>
  <c r="AF102" i="8"/>
  <c r="AG102" i="8"/>
  <c r="AH102" i="8"/>
  <c r="AI102" i="8"/>
  <c r="AC103" i="8"/>
  <c r="AD103" i="8"/>
  <c r="AE103" i="8"/>
  <c r="AF103" i="8"/>
  <c r="AG103" i="8"/>
  <c r="AH103" i="8"/>
  <c r="AI103" i="8"/>
  <c r="AC104" i="8"/>
  <c r="AD104" i="8"/>
  <c r="AE104" i="8"/>
  <c r="AF104" i="8"/>
  <c r="AG104" i="8"/>
  <c r="AH104" i="8"/>
  <c r="AI104" i="8"/>
  <c r="AC105" i="8"/>
  <c r="AD105" i="8"/>
  <c r="AE105" i="8"/>
  <c r="AF105" i="8"/>
  <c r="AG105" i="8"/>
  <c r="AH105" i="8"/>
  <c r="AI105" i="8"/>
  <c r="AC106" i="8"/>
  <c r="AD106" i="8"/>
  <c r="AE106" i="8"/>
  <c r="AF106" i="8"/>
  <c r="AG106" i="8"/>
  <c r="AH106" i="8"/>
  <c r="AI106" i="8"/>
  <c r="AC107" i="8"/>
  <c r="AD107" i="8"/>
  <c r="AE107" i="8"/>
  <c r="AF107" i="8"/>
  <c r="AG107" i="8"/>
  <c r="AH107" i="8"/>
  <c r="AI107" i="8"/>
  <c r="AC108" i="8"/>
  <c r="AD108" i="8"/>
  <c r="AE108" i="8"/>
  <c r="AF108" i="8"/>
  <c r="AG108" i="8"/>
  <c r="AH108" i="8"/>
  <c r="AI108" i="8"/>
  <c r="AC109" i="8"/>
  <c r="AD109" i="8"/>
  <c r="AE109" i="8"/>
  <c r="AF109" i="8"/>
  <c r="AG109" i="8"/>
  <c r="AH109" i="8"/>
  <c r="AI109" i="8"/>
  <c r="AC110" i="8"/>
  <c r="AD110" i="8"/>
  <c r="AE110" i="8"/>
  <c r="AF110" i="8"/>
  <c r="AG110" i="8"/>
  <c r="AH110" i="8"/>
  <c r="AI110" i="8"/>
  <c r="AC111" i="8"/>
  <c r="AD111" i="8"/>
  <c r="AE111" i="8"/>
  <c r="AF111" i="8"/>
  <c r="AG111" i="8"/>
  <c r="AH111" i="8"/>
  <c r="AI111" i="8"/>
  <c r="AC112" i="8"/>
  <c r="AD112" i="8"/>
  <c r="AE112" i="8"/>
  <c r="AF112" i="8"/>
  <c r="AG112" i="8"/>
  <c r="AH112" i="8"/>
  <c r="AI112" i="8"/>
  <c r="AC113" i="8"/>
  <c r="AD113" i="8"/>
  <c r="AE113" i="8"/>
  <c r="AF113" i="8"/>
  <c r="AG113" i="8"/>
  <c r="AH113" i="8"/>
  <c r="AI113" i="8"/>
  <c r="AC114" i="8"/>
  <c r="AD114" i="8"/>
  <c r="AE114" i="8"/>
  <c r="AF114" i="8"/>
  <c r="AG114" i="8"/>
  <c r="AH114" i="8"/>
  <c r="AI114" i="8"/>
  <c r="AC115" i="8"/>
  <c r="AD115" i="8"/>
  <c r="AE115" i="8"/>
  <c r="AF115" i="8"/>
  <c r="AG115" i="8"/>
  <c r="AH115" i="8"/>
  <c r="AI115" i="8"/>
  <c r="AD101" i="8"/>
  <c r="AE101" i="8"/>
  <c r="AF101" i="8"/>
  <c r="AG101" i="8"/>
  <c r="AH101" i="8"/>
  <c r="AI101" i="8"/>
  <c r="AC101" i="8"/>
  <c r="AC83" i="8"/>
  <c r="AD83" i="8"/>
  <c r="AE83" i="8"/>
  <c r="AF83" i="8"/>
  <c r="AG83" i="8"/>
  <c r="AH83" i="8"/>
  <c r="AI83" i="8"/>
  <c r="AC84" i="8"/>
  <c r="AD84" i="8"/>
  <c r="AE84" i="8"/>
  <c r="AF84" i="8"/>
  <c r="AG84" i="8"/>
  <c r="AH84" i="8"/>
  <c r="AI84" i="8"/>
  <c r="AC85" i="8"/>
  <c r="AD85" i="8"/>
  <c r="AE85" i="8"/>
  <c r="AF85" i="8"/>
  <c r="AG85" i="8"/>
  <c r="AH85" i="8"/>
  <c r="AI85" i="8"/>
  <c r="AC86" i="8"/>
  <c r="AD86" i="8"/>
  <c r="AE86" i="8"/>
  <c r="AF86" i="8"/>
  <c r="AG86" i="8"/>
  <c r="AH86" i="8"/>
  <c r="AI86" i="8"/>
  <c r="AC87" i="8"/>
  <c r="AD87" i="8"/>
  <c r="AE87" i="8"/>
  <c r="AF87" i="8"/>
  <c r="AG87" i="8"/>
  <c r="AH87" i="8"/>
  <c r="AI87" i="8"/>
  <c r="AC88" i="8"/>
  <c r="AD88" i="8"/>
  <c r="AE88" i="8"/>
  <c r="AF88" i="8"/>
  <c r="AG88" i="8"/>
  <c r="AH88" i="8"/>
  <c r="AI88" i="8"/>
  <c r="AC89" i="8"/>
  <c r="AD89" i="8"/>
  <c r="AE89" i="8"/>
  <c r="AF89" i="8"/>
  <c r="AG89" i="8"/>
  <c r="AH89" i="8"/>
  <c r="AI89" i="8"/>
  <c r="AC90" i="8"/>
  <c r="AD90" i="8"/>
  <c r="AE90" i="8"/>
  <c r="AF90" i="8"/>
  <c r="AG90" i="8"/>
  <c r="AH90" i="8"/>
  <c r="AI90" i="8"/>
  <c r="AC91" i="8"/>
  <c r="AD91" i="8"/>
  <c r="AE91" i="8"/>
  <c r="AF91" i="8"/>
  <c r="AG91" i="8"/>
  <c r="AH91" i="8"/>
  <c r="AI91" i="8"/>
  <c r="AC92" i="8"/>
  <c r="AD92" i="8"/>
  <c r="AE92" i="8"/>
  <c r="AF92" i="8"/>
  <c r="AG92" i="8"/>
  <c r="AH92" i="8"/>
  <c r="AI92" i="8"/>
  <c r="AC93" i="8"/>
  <c r="AD93" i="8"/>
  <c r="AE93" i="8"/>
  <c r="AF93" i="8"/>
  <c r="AG93" i="8"/>
  <c r="AH93" i="8"/>
  <c r="AI93" i="8"/>
  <c r="AC94" i="8"/>
  <c r="AD94" i="8"/>
  <c r="AE94" i="8"/>
  <c r="AF94" i="8"/>
  <c r="AG94" i="8"/>
  <c r="AH94" i="8"/>
  <c r="AI94" i="8"/>
  <c r="AC95" i="8"/>
  <c r="AD95" i="8"/>
  <c r="AE95" i="8"/>
  <c r="AF95" i="8"/>
  <c r="AG95" i="8"/>
  <c r="AH95" i="8"/>
  <c r="AI95" i="8"/>
  <c r="AC96" i="8"/>
  <c r="AD96" i="8"/>
  <c r="AE96" i="8"/>
  <c r="AF96" i="8"/>
  <c r="AG96" i="8"/>
  <c r="AH96" i="8"/>
  <c r="AI96" i="8"/>
  <c r="AD82" i="8"/>
  <c r="AE82" i="8"/>
  <c r="AF82" i="8"/>
  <c r="AG82" i="8"/>
  <c r="AH82" i="8"/>
  <c r="AI82" i="8"/>
  <c r="AC82" i="8"/>
  <c r="AC64" i="8"/>
  <c r="AD64" i="8"/>
  <c r="AE64" i="8"/>
  <c r="AF64" i="8"/>
  <c r="AG64" i="8"/>
  <c r="AH64" i="8"/>
  <c r="AI64" i="8"/>
  <c r="AC65" i="8"/>
  <c r="AD65" i="8"/>
  <c r="AE65" i="8"/>
  <c r="AF65" i="8"/>
  <c r="AG65" i="8"/>
  <c r="AH65" i="8"/>
  <c r="AI65" i="8"/>
  <c r="AC66" i="8"/>
  <c r="AD66" i="8"/>
  <c r="AE66" i="8"/>
  <c r="AF66" i="8"/>
  <c r="AG66" i="8"/>
  <c r="AH66" i="8"/>
  <c r="AI66" i="8"/>
  <c r="AC67" i="8"/>
  <c r="AD67" i="8"/>
  <c r="AE67" i="8"/>
  <c r="AF67" i="8"/>
  <c r="AG67" i="8"/>
  <c r="AH67" i="8"/>
  <c r="AI67" i="8"/>
  <c r="AC68" i="8"/>
  <c r="AD68" i="8"/>
  <c r="AE68" i="8"/>
  <c r="AF68" i="8"/>
  <c r="AG68" i="8"/>
  <c r="AH68" i="8"/>
  <c r="AI68" i="8"/>
  <c r="AC69" i="8"/>
  <c r="AD69" i="8"/>
  <c r="AE69" i="8"/>
  <c r="AF69" i="8"/>
  <c r="AG69" i="8"/>
  <c r="AH69" i="8"/>
  <c r="AI69" i="8"/>
  <c r="AC70" i="8"/>
  <c r="AD70" i="8"/>
  <c r="AE70" i="8"/>
  <c r="AF70" i="8"/>
  <c r="AG70" i="8"/>
  <c r="AH70" i="8"/>
  <c r="AI70" i="8"/>
  <c r="AC71" i="8"/>
  <c r="AD71" i="8"/>
  <c r="AE71" i="8"/>
  <c r="AF71" i="8"/>
  <c r="AG71" i="8"/>
  <c r="AH71" i="8"/>
  <c r="AI71" i="8"/>
  <c r="AC72" i="8"/>
  <c r="AD72" i="8"/>
  <c r="AE72" i="8"/>
  <c r="AF72" i="8"/>
  <c r="AG72" i="8"/>
  <c r="AH72" i="8"/>
  <c r="AI72" i="8"/>
  <c r="AC73" i="8"/>
  <c r="AD73" i="8"/>
  <c r="AE73" i="8"/>
  <c r="AF73" i="8"/>
  <c r="AG73" i="8"/>
  <c r="AH73" i="8"/>
  <c r="AI73" i="8"/>
  <c r="AC74" i="8"/>
  <c r="AD74" i="8"/>
  <c r="AE74" i="8"/>
  <c r="AF74" i="8"/>
  <c r="AG74" i="8"/>
  <c r="AH74" i="8"/>
  <c r="AI74" i="8"/>
  <c r="AC75" i="8"/>
  <c r="AD75" i="8"/>
  <c r="AE75" i="8"/>
  <c r="AF75" i="8"/>
  <c r="AG75" i="8"/>
  <c r="AH75" i="8"/>
  <c r="AI75" i="8"/>
  <c r="AC76" i="8"/>
  <c r="AD76" i="8"/>
  <c r="AE76" i="8"/>
  <c r="AF76" i="8"/>
  <c r="AG76" i="8"/>
  <c r="AH76" i="8"/>
  <c r="AI76" i="8"/>
  <c r="AC77" i="8"/>
  <c r="AD77" i="8"/>
  <c r="AE77" i="8"/>
  <c r="AF77" i="8"/>
  <c r="AG77" i="8"/>
  <c r="AH77" i="8"/>
  <c r="AI77" i="8"/>
  <c r="AD63" i="8"/>
  <c r="AE63" i="8"/>
  <c r="AF63" i="8"/>
  <c r="AG63" i="8"/>
  <c r="AH63" i="8"/>
  <c r="AI63" i="8"/>
  <c r="AC63" i="8"/>
  <c r="AC45" i="8"/>
  <c r="AD45" i="8"/>
  <c r="AE45" i="8"/>
  <c r="AF45" i="8"/>
  <c r="AG45" i="8"/>
  <c r="AH45" i="8"/>
  <c r="AI45" i="8"/>
  <c r="AC46" i="8"/>
  <c r="AD46" i="8"/>
  <c r="AE46" i="8"/>
  <c r="AF46" i="8"/>
  <c r="AG46" i="8"/>
  <c r="AH46" i="8"/>
  <c r="AI46" i="8"/>
  <c r="AC47" i="8"/>
  <c r="AD47" i="8"/>
  <c r="AE47" i="8"/>
  <c r="AF47" i="8"/>
  <c r="AG47" i="8"/>
  <c r="AH47" i="8"/>
  <c r="AI47" i="8"/>
  <c r="AC48" i="8"/>
  <c r="AD48" i="8"/>
  <c r="AE48" i="8"/>
  <c r="AF48" i="8"/>
  <c r="AG48" i="8"/>
  <c r="AH48" i="8"/>
  <c r="AI48" i="8"/>
  <c r="AC49" i="8"/>
  <c r="AD49" i="8"/>
  <c r="AE49" i="8"/>
  <c r="AF49" i="8"/>
  <c r="AG49" i="8"/>
  <c r="AH49" i="8"/>
  <c r="AI49" i="8"/>
  <c r="AC50" i="8"/>
  <c r="AD50" i="8"/>
  <c r="AE50" i="8"/>
  <c r="AF50" i="8"/>
  <c r="AG50" i="8"/>
  <c r="AH50" i="8"/>
  <c r="AI50" i="8"/>
  <c r="AC51" i="8"/>
  <c r="AD51" i="8"/>
  <c r="AE51" i="8"/>
  <c r="AF51" i="8"/>
  <c r="AG51" i="8"/>
  <c r="AH51" i="8"/>
  <c r="AI51" i="8"/>
  <c r="AC52" i="8"/>
  <c r="AD52" i="8"/>
  <c r="AE52" i="8"/>
  <c r="AF52" i="8"/>
  <c r="AG52" i="8"/>
  <c r="AH52" i="8"/>
  <c r="AI52" i="8"/>
  <c r="AC53" i="8"/>
  <c r="AD53" i="8"/>
  <c r="AE53" i="8"/>
  <c r="AF53" i="8"/>
  <c r="AG53" i="8"/>
  <c r="AH53" i="8"/>
  <c r="AI53" i="8"/>
  <c r="AC54" i="8"/>
  <c r="AD54" i="8"/>
  <c r="AE54" i="8"/>
  <c r="AF54" i="8"/>
  <c r="AG54" i="8"/>
  <c r="AH54" i="8"/>
  <c r="AI54" i="8"/>
  <c r="AC55" i="8"/>
  <c r="AD55" i="8"/>
  <c r="AE55" i="8"/>
  <c r="AF55" i="8"/>
  <c r="AG55" i="8"/>
  <c r="AH55" i="8"/>
  <c r="AI55" i="8"/>
  <c r="AC56" i="8"/>
  <c r="AD56" i="8"/>
  <c r="AE56" i="8"/>
  <c r="AF56" i="8"/>
  <c r="AG56" i="8"/>
  <c r="AH56" i="8"/>
  <c r="AI56" i="8"/>
  <c r="AC57" i="8"/>
  <c r="AD57" i="8"/>
  <c r="AE57" i="8"/>
  <c r="AF57" i="8"/>
  <c r="AG57" i="8"/>
  <c r="AH57" i="8"/>
  <c r="AI57" i="8"/>
  <c r="AC58" i="8"/>
  <c r="AD58" i="8"/>
  <c r="AE58" i="8"/>
  <c r="AF58" i="8"/>
  <c r="AG58" i="8"/>
  <c r="AH58" i="8"/>
  <c r="AI58" i="8"/>
  <c r="AD44" i="8"/>
  <c r="AE44" i="8"/>
  <c r="AF44" i="8"/>
  <c r="AG44" i="8"/>
  <c r="AH44" i="8"/>
  <c r="AI44" i="8"/>
  <c r="AC44" i="8"/>
  <c r="AC26" i="8"/>
  <c r="AD26" i="8"/>
  <c r="AE26" i="8"/>
  <c r="AF26" i="8"/>
  <c r="AG26" i="8"/>
  <c r="AH26" i="8"/>
  <c r="AI26" i="8"/>
  <c r="AC27" i="8"/>
  <c r="AD27" i="8"/>
  <c r="AE27" i="8"/>
  <c r="AF27" i="8"/>
  <c r="AG27" i="8"/>
  <c r="AH27" i="8"/>
  <c r="AI27" i="8"/>
  <c r="AC28" i="8"/>
  <c r="AD28" i="8"/>
  <c r="AE28" i="8"/>
  <c r="AF28" i="8"/>
  <c r="AG28" i="8"/>
  <c r="AH28" i="8"/>
  <c r="AI28" i="8"/>
  <c r="AC29" i="8"/>
  <c r="AD29" i="8"/>
  <c r="AE29" i="8"/>
  <c r="AF29" i="8"/>
  <c r="AG29" i="8"/>
  <c r="AH29" i="8"/>
  <c r="AI29" i="8"/>
  <c r="AC30" i="8"/>
  <c r="AD30" i="8"/>
  <c r="AE30" i="8"/>
  <c r="AF30" i="8"/>
  <c r="AG30" i="8"/>
  <c r="AH30" i="8"/>
  <c r="AI30" i="8"/>
  <c r="AC31" i="8"/>
  <c r="AD31" i="8"/>
  <c r="AE31" i="8"/>
  <c r="AF31" i="8"/>
  <c r="AG31" i="8"/>
  <c r="AH31" i="8"/>
  <c r="AI31" i="8"/>
  <c r="AC32" i="8"/>
  <c r="AD32" i="8"/>
  <c r="AE32" i="8"/>
  <c r="AF32" i="8"/>
  <c r="AG32" i="8"/>
  <c r="AH32" i="8"/>
  <c r="AI32" i="8"/>
  <c r="AC33" i="8"/>
  <c r="AD33" i="8"/>
  <c r="AE33" i="8"/>
  <c r="AF33" i="8"/>
  <c r="AG33" i="8"/>
  <c r="AH33" i="8"/>
  <c r="AI33" i="8"/>
  <c r="AC34" i="8"/>
  <c r="AD34" i="8"/>
  <c r="AE34" i="8"/>
  <c r="AF34" i="8"/>
  <c r="AG34" i="8"/>
  <c r="AH34" i="8"/>
  <c r="AI34" i="8"/>
  <c r="AC35" i="8"/>
  <c r="AD35" i="8"/>
  <c r="AE35" i="8"/>
  <c r="AF35" i="8"/>
  <c r="AG35" i="8"/>
  <c r="AH35" i="8"/>
  <c r="AI35" i="8"/>
  <c r="AC36" i="8"/>
  <c r="AD36" i="8"/>
  <c r="AE36" i="8"/>
  <c r="AF36" i="8"/>
  <c r="AG36" i="8"/>
  <c r="AH36" i="8"/>
  <c r="AI36" i="8"/>
  <c r="AC37" i="8"/>
  <c r="AD37" i="8"/>
  <c r="AE37" i="8"/>
  <c r="AF37" i="8"/>
  <c r="AG37" i="8"/>
  <c r="AH37" i="8"/>
  <c r="AI37" i="8"/>
  <c r="AC38" i="8"/>
  <c r="AD38" i="8"/>
  <c r="AE38" i="8"/>
  <c r="AF38" i="8"/>
  <c r="AG38" i="8"/>
  <c r="AH38" i="8"/>
  <c r="AI38" i="8"/>
  <c r="AC39" i="8"/>
  <c r="AD39" i="8"/>
  <c r="AE39" i="8"/>
  <c r="AF39" i="8"/>
  <c r="AG39" i="8"/>
  <c r="AH39" i="8"/>
  <c r="AI39" i="8"/>
  <c r="AD25" i="8"/>
  <c r="AE25" i="8"/>
  <c r="AF25" i="8"/>
  <c r="AG25" i="8"/>
  <c r="AH25" i="8"/>
  <c r="AI25" i="8"/>
  <c r="AC25" i="8"/>
  <c r="AC7" i="8"/>
  <c r="AD7" i="8"/>
  <c r="AE7" i="8"/>
  <c r="AF7" i="8"/>
  <c r="AG7" i="8"/>
  <c r="AH7" i="8"/>
  <c r="AI7" i="8"/>
  <c r="AC8" i="8"/>
  <c r="AD8" i="8"/>
  <c r="AE8" i="8"/>
  <c r="AF8" i="8"/>
  <c r="AG8" i="8"/>
  <c r="AH8" i="8"/>
  <c r="AI8" i="8"/>
  <c r="AC9" i="8"/>
  <c r="AD9" i="8"/>
  <c r="AE9" i="8"/>
  <c r="AF9" i="8"/>
  <c r="AG9" i="8"/>
  <c r="AH9" i="8"/>
  <c r="AI9" i="8"/>
  <c r="AC10" i="8"/>
  <c r="AD10" i="8"/>
  <c r="AE10" i="8"/>
  <c r="AF10" i="8"/>
  <c r="AG10" i="8"/>
  <c r="AH10" i="8"/>
  <c r="AI10" i="8"/>
  <c r="AC11" i="8"/>
  <c r="AD11" i="8"/>
  <c r="AE11" i="8"/>
  <c r="AF11" i="8"/>
  <c r="AG11" i="8"/>
  <c r="AH11" i="8"/>
  <c r="AI11" i="8"/>
  <c r="AC12" i="8"/>
  <c r="AD12" i="8"/>
  <c r="AE12" i="8"/>
  <c r="AF12" i="8"/>
  <c r="AG12" i="8"/>
  <c r="AH12" i="8"/>
  <c r="AI12" i="8"/>
  <c r="AC13" i="8"/>
  <c r="AD13" i="8"/>
  <c r="AE13" i="8"/>
  <c r="AF13" i="8"/>
  <c r="AG13" i="8"/>
  <c r="AH13" i="8"/>
  <c r="AI13" i="8"/>
  <c r="AC14" i="8"/>
  <c r="AD14" i="8"/>
  <c r="AE14" i="8"/>
  <c r="AF14" i="8"/>
  <c r="AG14" i="8"/>
  <c r="AH14" i="8"/>
  <c r="AI14" i="8"/>
  <c r="AC15" i="8"/>
  <c r="AD15" i="8"/>
  <c r="AE15" i="8"/>
  <c r="AF15" i="8"/>
  <c r="AG15" i="8"/>
  <c r="AH15" i="8"/>
  <c r="AI15" i="8"/>
  <c r="AC16" i="8"/>
  <c r="AD16" i="8"/>
  <c r="AE16" i="8"/>
  <c r="AF16" i="8"/>
  <c r="AG16" i="8"/>
  <c r="AH16" i="8"/>
  <c r="AI16" i="8"/>
  <c r="AC17" i="8"/>
  <c r="AD17" i="8"/>
  <c r="AE17" i="8"/>
  <c r="AF17" i="8"/>
  <c r="AG17" i="8"/>
  <c r="AH17" i="8"/>
  <c r="AI17" i="8"/>
  <c r="AC18" i="8"/>
  <c r="AD18" i="8"/>
  <c r="AE18" i="8"/>
  <c r="AF18" i="8"/>
  <c r="AG18" i="8"/>
  <c r="AH18" i="8"/>
  <c r="AI18" i="8"/>
  <c r="AC19" i="8"/>
  <c r="AD19" i="8"/>
  <c r="AE19" i="8"/>
  <c r="AF19" i="8"/>
  <c r="AG19" i="8"/>
  <c r="AH19" i="8"/>
  <c r="AI19" i="8"/>
  <c r="AC20" i="8"/>
  <c r="AD20" i="8"/>
  <c r="AE20" i="8"/>
  <c r="AF20" i="8"/>
  <c r="AG20" i="8"/>
  <c r="AH20" i="8"/>
  <c r="AI20" i="8"/>
  <c r="AD6" i="8"/>
  <c r="AE6" i="8"/>
  <c r="AF6" i="8"/>
  <c r="AG6" i="8"/>
  <c r="AH6" i="8"/>
  <c r="AI6" i="8"/>
  <c r="AC6" i="8"/>
  <c r="T140" i="8"/>
  <c r="U140" i="8"/>
  <c r="V140" i="8"/>
  <c r="W140" i="8"/>
  <c r="X140" i="8"/>
  <c r="Y140" i="8"/>
  <c r="Z140" i="8"/>
  <c r="T141" i="8"/>
  <c r="U141" i="8"/>
  <c r="V141" i="8"/>
  <c r="W141" i="8"/>
  <c r="X141" i="8"/>
  <c r="Y141" i="8"/>
  <c r="Z141" i="8"/>
  <c r="T142" i="8"/>
  <c r="U142" i="8"/>
  <c r="V142" i="8"/>
  <c r="W142" i="8"/>
  <c r="X142" i="8"/>
  <c r="Y142" i="8"/>
  <c r="Z142" i="8"/>
  <c r="T143" i="8"/>
  <c r="U143" i="8"/>
  <c r="V143" i="8"/>
  <c r="W143" i="8"/>
  <c r="X143" i="8"/>
  <c r="Y143" i="8"/>
  <c r="Z143" i="8"/>
  <c r="T144" i="8"/>
  <c r="U144" i="8"/>
  <c r="V144" i="8"/>
  <c r="W144" i="8"/>
  <c r="X144" i="8"/>
  <c r="Y144" i="8"/>
  <c r="Z144" i="8"/>
  <c r="T145" i="8"/>
  <c r="U145" i="8"/>
  <c r="V145" i="8"/>
  <c r="W145" i="8"/>
  <c r="X145" i="8"/>
  <c r="Y145" i="8"/>
  <c r="Z145" i="8"/>
  <c r="T146" i="8"/>
  <c r="U146" i="8"/>
  <c r="V146" i="8"/>
  <c r="W146" i="8"/>
  <c r="X146" i="8"/>
  <c r="Y146" i="8"/>
  <c r="Z146" i="8"/>
  <c r="T147" i="8"/>
  <c r="U147" i="8"/>
  <c r="V147" i="8"/>
  <c r="W147" i="8"/>
  <c r="X147" i="8"/>
  <c r="Y147" i="8"/>
  <c r="Z147" i="8"/>
  <c r="T148" i="8"/>
  <c r="U148" i="8"/>
  <c r="V148" i="8"/>
  <c r="W148" i="8"/>
  <c r="X148" i="8"/>
  <c r="Y148" i="8"/>
  <c r="Z148" i="8"/>
  <c r="T149" i="8"/>
  <c r="U149" i="8"/>
  <c r="V149" i="8"/>
  <c r="W149" i="8"/>
  <c r="X149" i="8"/>
  <c r="Y149" i="8"/>
  <c r="Z149" i="8"/>
  <c r="T150" i="8"/>
  <c r="U150" i="8"/>
  <c r="V150" i="8"/>
  <c r="W150" i="8"/>
  <c r="X150" i="8"/>
  <c r="Y150" i="8"/>
  <c r="Z150" i="8"/>
  <c r="T151" i="8"/>
  <c r="U151" i="8"/>
  <c r="V151" i="8"/>
  <c r="W151" i="8"/>
  <c r="X151" i="8"/>
  <c r="Y151" i="8"/>
  <c r="Z151" i="8"/>
  <c r="T152" i="8"/>
  <c r="U152" i="8"/>
  <c r="V152" i="8"/>
  <c r="W152" i="8"/>
  <c r="X152" i="8"/>
  <c r="Y152" i="8"/>
  <c r="Z152" i="8"/>
  <c r="T153" i="8"/>
  <c r="U153" i="8"/>
  <c r="V153" i="8"/>
  <c r="W153" i="8"/>
  <c r="X153" i="8"/>
  <c r="Y153" i="8"/>
  <c r="Z153" i="8"/>
  <c r="U139" i="8"/>
  <c r="V139" i="8"/>
  <c r="W139" i="8"/>
  <c r="X139" i="8"/>
  <c r="Y139" i="8"/>
  <c r="Z139" i="8"/>
  <c r="T139" i="8"/>
  <c r="T121" i="8"/>
  <c r="U121" i="8"/>
  <c r="V121" i="8"/>
  <c r="W121" i="8"/>
  <c r="X121" i="8"/>
  <c r="Y121" i="8"/>
  <c r="Z121" i="8"/>
  <c r="T122" i="8"/>
  <c r="U122" i="8"/>
  <c r="V122" i="8"/>
  <c r="W122" i="8"/>
  <c r="X122" i="8"/>
  <c r="Y122" i="8"/>
  <c r="Z122" i="8"/>
  <c r="T123" i="8"/>
  <c r="U123" i="8"/>
  <c r="V123" i="8"/>
  <c r="W123" i="8"/>
  <c r="X123" i="8"/>
  <c r="Y123" i="8"/>
  <c r="Z123" i="8"/>
  <c r="T124" i="8"/>
  <c r="U124" i="8"/>
  <c r="V124" i="8"/>
  <c r="W124" i="8"/>
  <c r="X124" i="8"/>
  <c r="Y124" i="8"/>
  <c r="Z124" i="8"/>
  <c r="T125" i="8"/>
  <c r="U125" i="8"/>
  <c r="V125" i="8"/>
  <c r="W125" i="8"/>
  <c r="X125" i="8"/>
  <c r="Y125" i="8"/>
  <c r="Z125" i="8"/>
  <c r="T126" i="8"/>
  <c r="U126" i="8"/>
  <c r="V126" i="8"/>
  <c r="W126" i="8"/>
  <c r="X126" i="8"/>
  <c r="Y126" i="8"/>
  <c r="Z126" i="8"/>
  <c r="T127" i="8"/>
  <c r="U127" i="8"/>
  <c r="V127" i="8"/>
  <c r="W127" i="8"/>
  <c r="X127" i="8"/>
  <c r="Y127" i="8"/>
  <c r="Z127" i="8"/>
  <c r="T128" i="8"/>
  <c r="U128" i="8"/>
  <c r="V128" i="8"/>
  <c r="W128" i="8"/>
  <c r="X128" i="8"/>
  <c r="Y128" i="8"/>
  <c r="Z128" i="8"/>
  <c r="T129" i="8"/>
  <c r="U129" i="8"/>
  <c r="V129" i="8"/>
  <c r="W129" i="8"/>
  <c r="X129" i="8"/>
  <c r="Y129" i="8"/>
  <c r="Z129" i="8"/>
  <c r="T130" i="8"/>
  <c r="U130" i="8"/>
  <c r="V130" i="8"/>
  <c r="W130" i="8"/>
  <c r="X130" i="8"/>
  <c r="Y130" i="8"/>
  <c r="Z130" i="8"/>
  <c r="T131" i="8"/>
  <c r="U131" i="8"/>
  <c r="V131" i="8"/>
  <c r="W131" i="8"/>
  <c r="X131" i="8"/>
  <c r="Y131" i="8"/>
  <c r="Z131" i="8"/>
  <c r="T132" i="8"/>
  <c r="U132" i="8"/>
  <c r="V132" i="8"/>
  <c r="W132" i="8"/>
  <c r="X132" i="8"/>
  <c r="Y132" i="8"/>
  <c r="Z132" i="8"/>
  <c r="T133" i="8"/>
  <c r="U133" i="8"/>
  <c r="V133" i="8"/>
  <c r="W133" i="8"/>
  <c r="X133" i="8"/>
  <c r="Y133" i="8"/>
  <c r="Z133" i="8"/>
  <c r="T134" i="8"/>
  <c r="U134" i="8"/>
  <c r="V134" i="8"/>
  <c r="W134" i="8"/>
  <c r="X134" i="8"/>
  <c r="Y134" i="8"/>
  <c r="Z134" i="8"/>
  <c r="U120" i="8"/>
  <c r="V120" i="8"/>
  <c r="W120" i="8"/>
  <c r="X120" i="8"/>
  <c r="Y120" i="8"/>
  <c r="Z120" i="8"/>
  <c r="T120" i="8"/>
  <c r="T102" i="8"/>
  <c r="U102" i="8"/>
  <c r="V102" i="8"/>
  <c r="W102" i="8"/>
  <c r="X102" i="8"/>
  <c r="Y102" i="8"/>
  <c r="Z102" i="8"/>
  <c r="T103" i="8"/>
  <c r="U103" i="8"/>
  <c r="V103" i="8"/>
  <c r="W103" i="8"/>
  <c r="X103" i="8"/>
  <c r="Y103" i="8"/>
  <c r="Z103" i="8"/>
  <c r="T104" i="8"/>
  <c r="U104" i="8"/>
  <c r="V104" i="8"/>
  <c r="W104" i="8"/>
  <c r="X104" i="8"/>
  <c r="Y104" i="8"/>
  <c r="Z104" i="8"/>
  <c r="T105" i="8"/>
  <c r="U105" i="8"/>
  <c r="V105" i="8"/>
  <c r="W105" i="8"/>
  <c r="X105" i="8"/>
  <c r="Y105" i="8"/>
  <c r="Z105" i="8"/>
  <c r="T106" i="8"/>
  <c r="U106" i="8"/>
  <c r="V106" i="8"/>
  <c r="W106" i="8"/>
  <c r="X106" i="8"/>
  <c r="Y106" i="8"/>
  <c r="Z106" i="8"/>
  <c r="T107" i="8"/>
  <c r="U107" i="8"/>
  <c r="V107" i="8"/>
  <c r="W107" i="8"/>
  <c r="X107" i="8"/>
  <c r="Y107" i="8"/>
  <c r="Z107" i="8"/>
  <c r="T108" i="8"/>
  <c r="U108" i="8"/>
  <c r="V108" i="8"/>
  <c r="W108" i="8"/>
  <c r="X108" i="8"/>
  <c r="Y108" i="8"/>
  <c r="Z108" i="8"/>
  <c r="T109" i="8"/>
  <c r="U109" i="8"/>
  <c r="V109" i="8"/>
  <c r="W109" i="8"/>
  <c r="X109" i="8"/>
  <c r="Y109" i="8"/>
  <c r="Z109" i="8"/>
  <c r="T110" i="8"/>
  <c r="U110" i="8"/>
  <c r="V110" i="8"/>
  <c r="W110" i="8"/>
  <c r="X110" i="8"/>
  <c r="Y110" i="8"/>
  <c r="Z110" i="8"/>
  <c r="T111" i="8"/>
  <c r="U111" i="8"/>
  <c r="V111" i="8"/>
  <c r="W111" i="8"/>
  <c r="X111" i="8"/>
  <c r="Y111" i="8"/>
  <c r="Z111" i="8"/>
  <c r="T112" i="8"/>
  <c r="U112" i="8"/>
  <c r="V112" i="8"/>
  <c r="W112" i="8"/>
  <c r="X112" i="8"/>
  <c r="Y112" i="8"/>
  <c r="Z112" i="8"/>
  <c r="T113" i="8"/>
  <c r="U113" i="8"/>
  <c r="V113" i="8"/>
  <c r="W113" i="8"/>
  <c r="X113" i="8"/>
  <c r="Y113" i="8"/>
  <c r="Z113" i="8"/>
  <c r="T114" i="8"/>
  <c r="U114" i="8"/>
  <c r="V114" i="8"/>
  <c r="W114" i="8"/>
  <c r="X114" i="8"/>
  <c r="Y114" i="8"/>
  <c r="Z114" i="8"/>
  <c r="T115" i="8"/>
  <c r="U115" i="8"/>
  <c r="V115" i="8"/>
  <c r="W115" i="8"/>
  <c r="X115" i="8"/>
  <c r="Y115" i="8"/>
  <c r="Z115" i="8"/>
  <c r="U101" i="8"/>
  <c r="V101" i="8"/>
  <c r="W101" i="8"/>
  <c r="X101" i="8"/>
  <c r="Y101" i="8"/>
  <c r="Z101" i="8"/>
  <c r="T101" i="8"/>
  <c r="T83" i="8"/>
  <c r="U83" i="8"/>
  <c r="V83" i="8"/>
  <c r="W83" i="8"/>
  <c r="X83" i="8"/>
  <c r="Y83" i="8"/>
  <c r="Z83" i="8"/>
  <c r="T84" i="8"/>
  <c r="U84" i="8"/>
  <c r="V84" i="8"/>
  <c r="W84" i="8"/>
  <c r="X84" i="8"/>
  <c r="Y84" i="8"/>
  <c r="Z84" i="8"/>
  <c r="T85" i="8"/>
  <c r="U85" i="8"/>
  <c r="V85" i="8"/>
  <c r="W85" i="8"/>
  <c r="X85" i="8"/>
  <c r="Y85" i="8"/>
  <c r="Z85" i="8"/>
  <c r="T86" i="8"/>
  <c r="U86" i="8"/>
  <c r="V86" i="8"/>
  <c r="W86" i="8"/>
  <c r="X86" i="8"/>
  <c r="Y86" i="8"/>
  <c r="Z86" i="8"/>
  <c r="T87" i="8"/>
  <c r="U87" i="8"/>
  <c r="V87" i="8"/>
  <c r="W87" i="8"/>
  <c r="X87" i="8"/>
  <c r="Y87" i="8"/>
  <c r="Z87" i="8"/>
  <c r="T88" i="8"/>
  <c r="U88" i="8"/>
  <c r="V88" i="8"/>
  <c r="W88" i="8"/>
  <c r="X88" i="8"/>
  <c r="Y88" i="8"/>
  <c r="Z88" i="8"/>
  <c r="T89" i="8"/>
  <c r="U89" i="8"/>
  <c r="V89" i="8"/>
  <c r="W89" i="8"/>
  <c r="X89" i="8"/>
  <c r="Y89" i="8"/>
  <c r="Z89" i="8"/>
  <c r="T90" i="8"/>
  <c r="U90" i="8"/>
  <c r="V90" i="8"/>
  <c r="W90" i="8"/>
  <c r="X90" i="8"/>
  <c r="Y90" i="8"/>
  <c r="Z90" i="8"/>
  <c r="T91" i="8"/>
  <c r="U91" i="8"/>
  <c r="V91" i="8"/>
  <c r="W91" i="8"/>
  <c r="X91" i="8"/>
  <c r="Y91" i="8"/>
  <c r="Z91" i="8"/>
  <c r="T92" i="8"/>
  <c r="U92" i="8"/>
  <c r="V92" i="8"/>
  <c r="W92" i="8"/>
  <c r="X92" i="8"/>
  <c r="Y92" i="8"/>
  <c r="Z92" i="8"/>
  <c r="T93" i="8"/>
  <c r="U93" i="8"/>
  <c r="V93" i="8"/>
  <c r="W93" i="8"/>
  <c r="X93" i="8"/>
  <c r="Y93" i="8"/>
  <c r="Z93" i="8"/>
  <c r="T94" i="8"/>
  <c r="U94" i="8"/>
  <c r="V94" i="8"/>
  <c r="W94" i="8"/>
  <c r="X94" i="8"/>
  <c r="Y94" i="8"/>
  <c r="Z94" i="8"/>
  <c r="T95" i="8"/>
  <c r="U95" i="8"/>
  <c r="V95" i="8"/>
  <c r="W95" i="8"/>
  <c r="X95" i="8"/>
  <c r="Y95" i="8"/>
  <c r="Z95" i="8"/>
  <c r="T96" i="8"/>
  <c r="U96" i="8"/>
  <c r="V96" i="8"/>
  <c r="W96" i="8"/>
  <c r="X96" i="8"/>
  <c r="Y96" i="8"/>
  <c r="Z96" i="8"/>
  <c r="U82" i="8"/>
  <c r="V82" i="8"/>
  <c r="W82" i="8"/>
  <c r="X82" i="8"/>
  <c r="Y82" i="8"/>
  <c r="Z82" i="8"/>
  <c r="T82" i="8"/>
  <c r="T64" i="8"/>
  <c r="U64" i="8"/>
  <c r="V64" i="8"/>
  <c r="W64" i="8"/>
  <c r="X64" i="8"/>
  <c r="Y64" i="8"/>
  <c r="Z64" i="8"/>
  <c r="T65" i="8"/>
  <c r="U65" i="8"/>
  <c r="V65" i="8"/>
  <c r="W65" i="8"/>
  <c r="X65" i="8"/>
  <c r="Y65" i="8"/>
  <c r="Z65" i="8"/>
  <c r="T66" i="8"/>
  <c r="U66" i="8"/>
  <c r="V66" i="8"/>
  <c r="W66" i="8"/>
  <c r="X66" i="8"/>
  <c r="Y66" i="8"/>
  <c r="Z66" i="8"/>
  <c r="T67" i="8"/>
  <c r="U67" i="8"/>
  <c r="V67" i="8"/>
  <c r="W67" i="8"/>
  <c r="X67" i="8"/>
  <c r="Y67" i="8"/>
  <c r="Z67" i="8"/>
  <c r="T68" i="8"/>
  <c r="U68" i="8"/>
  <c r="V68" i="8"/>
  <c r="W68" i="8"/>
  <c r="X68" i="8"/>
  <c r="Y68" i="8"/>
  <c r="Z68" i="8"/>
  <c r="T69" i="8"/>
  <c r="U69" i="8"/>
  <c r="V69" i="8"/>
  <c r="W69" i="8"/>
  <c r="X69" i="8"/>
  <c r="Y69" i="8"/>
  <c r="Z69" i="8"/>
  <c r="T70" i="8"/>
  <c r="U70" i="8"/>
  <c r="V70" i="8"/>
  <c r="W70" i="8"/>
  <c r="X70" i="8"/>
  <c r="Y70" i="8"/>
  <c r="Z70" i="8"/>
  <c r="T71" i="8"/>
  <c r="U71" i="8"/>
  <c r="V71" i="8"/>
  <c r="W71" i="8"/>
  <c r="X71" i="8"/>
  <c r="Y71" i="8"/>
  <c r="Z71" i="8"/>
  <c r="T72" i="8"/>
  <c r="U72" i="8"/>
  <c r="V72" i="8"/>
  <c r="W72" i="8"/>
  <c r="X72" i="8"/>
  <c r="Y72" i="8"/>
  <c r="Z72" i="8"/>
  <c r="T73" i="8"/>
  <c r="U73" i="8"/>
  <c r="V73" i="8"/>
  <c r="W73" i="8"/>
  <c r="X73" i="8"/>
  <c r="Y73" i="8"/>
  <c r="Z73" i="8"/>
  <c r="T74" i="8"/>
  <c r="U74" i="8"/>
  <c r="V74" i="8"/>
  <c r="W74" i="8"/>
  <c r="X74" i="8"/>
  <c r="Y74" i="8"/>
  <c r="Z74" i="8"/>
  <c r="T75" i="8"/>
  <c r="U75" i="8"/>
  <c r="V75" i="8"/>
  <c r="W75" i="8"/>
  <c r="X75" i="8"/>
  <c r="Y75" i="8"/>
  <c r="Z75" i="8"/>
  <c r="T76" i="8"/>
  <c r="U76" i="8"/>
  <c r="V76" i="8"/>
  <c r="W76" i="8"/>
  <c r="X76" i="8"/>
  <c r="Y76" i="8"/>
  <c r="Z76" i="8"/>
  <c r="T77" i="8"/>
  <c r="U77" i="8"/>
  <c r="V77" i="8"/>
  <c r="W77" i="8"/>
  <c r="X77" i="8"/>
  <c r="Y77" i="8"/>
  <c r="Z77" i="8"/>
  <c r="U63" i="8"/>
  <c r="V63" i="8"/>
  <c r="W63" i="8"/>
  <c r="X63" i="8"/>
  <c r="Y63" i="8"/>
  <c r="Z63" i="8"/>
  <c r="T63" i="8"/>
  <c r="T45" i="8"/>
  <c r="U45" i="8"/>
  <c r="V45" i="8"/>
  <c r="W45" i="8"/>
  <c r="X45" i="8"/>
  <c r="Y45" i="8"/>
  <c r="Z45" i="8"/>
  <c r="T46" i="8"/>
  <c r="U46" i="8"/>
  <c r="V46" i="8"/>
  <c r="W46" i="8"/>
  <c r="X46" i="8"/>
  <c r="Y46" i="8"/>
  <c r="Z46" i="8"/>
  <c r="T47" i="8"/>
  <c r="U47" i="8"/>
  <c r="V47" i="8"/>
  <c r="W47" i="8"/>
  <c r="X47" i="8"/>
  <c r="Y47" i="8"/>
  <c r="Z47" i="8"/>
  <c r="T48" i="8"/>
  <c r="U48" i="8"/>
  <c r="V48" i="8"/>
  <c r="W48" i="8"/>
  <c r="X48" i="8"/>
  <c r="Y48" i="8"/>
  <c r="Z48" i="8"/>
  <c r="T49" i="8"/>
  <c r="U49" i="8"/>
  <c r="V49" i="8"/>
  <c r="W49" i="8"/>
  <c r="X49" i="8"/>
  <c r="Y49" i="8"/>
  <c r="Z49" i="8"/>
  <c r="T50" i="8"/>
  <c r="U50" i="8"/>
  <c r="V50" i="8"/>
  <c r="W50" i="8"/>
  <c r="X50" i="8"/>
  <c r="Y50" i="8"/>
  <c r="Z50" i="8"/>
  <c r="T51" i="8"/>
  <c r="U51" i="8"/>
  <c r="V51" i="8"/>
  <c r="W51" i="8"/>
  <c r="X51" i="8"/>
  <c r="Y51" i="8"/>
  <c r="Z51" i="8"/>
  <c r="T52" i="8"/>
  <c r="U52" i="8"/>
  <c r="V52" i="8"/>
  <c r="W52" i="8"/>
  <c r="X52" i="8"/>
  <c r="Y52" i="8"/>
  <c r="Z52" i="8"/>
  <c r="T53" i="8"/>
  <c r="U53" i="8"/>
  <c r="V53" i="8"/>
  <c r="W53" i="8"/>
  <c r="X53" i="8"/>
  <c r="Y53" i="8"/>
  <c r="Z53" i="8"/>
  <c r="T54" i="8"/>
  <c r="U54" i="8"/>
  <c r="V54" i="8"/>
  <c r="W54" i="8"/>
  <c r="X54" i="8"/>
  <c r="Y54" i="8"/>
  <c r="Z54" i="8"/>
  <c r="T55" i="8"/>
  <c r="U55" i="8"/>
  <c r="V55" i="8"/>
  <c r="W55" i="8"/>
  <c r="X55" i="8"/>
  <c r="Y55" i="8"/>
  <c r="Z55" i="8"/>
  <c r="T56" i="8"/>
  <c r="U56" i="8"/>
  <c r="V56" i="8"/>
  <c r="W56" i="8"/>
  <c r="X56" i="8"/>
  <c r="Y56" i="8"/>
  <c r="Z56" i="8"/>
  <c r="T57" i="8"/>
  <c r="U57" i="8"/>
  <c r="V57" i="8"/>
  <c r="W57" i="8"/>
  <c r="X57" i="8"/>
  <c r="Y57" i="8"/>
  <c r="Z57" i="8"/>
  <c r="T58" i="8"/>
  <c r="U58" i="8"/>
  <c r="V58" i="8"/>
  <c r="W58" i="8"/>
  <c r="X58" i="8"/>
  <c r="Y58" i="8"/>
  <c r="Z58" i="8"/>
  <c r="U44" i="8"/>
  <c r="V44" i="8"/>
  <c r="W44" i="8"/>
  <c r="X44" i="8"/>
  <c r="Y44" i="8"/>
  <c r="Z44" i="8"/>
  <c r="T44" i="8"/>
  <c r="T26" i="8"/>
  <c r="U26" i="8"/>
  <c r="V26" i="8"/>
  <c r="W26" i="8"/>
  <c r="X26" i="8"/>
  <c r="Y26" i="8"/>
  <c r="Z26" i="8"/>
  <c r="T27" i="8"/>
  <c r="U27" i="8"/>
  <c r="V27" i="8"/>
  <c r="W27" i="8"/>
  <c r="X27" i="8"/>
  <c r="Y27" i="8"/>
  <c r="Z27" i="8"/>
  <c r="T28" i="8"/>
  <c r="U28" i="8"/>
  <c r="V28" i="8"/>
  <c r="W28" i="8"/>
  <c r="X28" i="8"/>
  <c r="Y28" i="8"/>
  <c r="Z28" i="8"/>
  <c r="T29" i="8"/>
  <c r="U29" i="8"/>
  <c r="V29" i="8"/>
  <c r="W29" i="8"/>
  <c r="X29" i="8"/>
  <c r="Y29" i="8"/>
  <c r="Z29" i="8"/>
  <c r="T30" i="8"/>
  <c r="U30" i="8"/>
  <c r="V30" i="8"/>
  <c r="W30" i="8"/>
  <c r="X30" i="8"/>
  <c r="Y30" i="8"/>
  <c r="Z30" i="8"/>
  <c r="T31" i="8"/>
  <c r="U31" i="8"/>
  <c r="V31" i="8"/>
  <c r="W31" i="8"/>
  <c r="X31" i="8"/>
  <c r="Y31" i="8"/>
  <c r="Z31" i="8"/>
  <c r="T32" i="8"/>
  <c r="U32" i="8"/>
  <c r="V32" i="8"/>
  <c r="W32" i="8"/>
  <c r="X32" i="8"/>
  <c r="Y32" i="8"/>
  <c r="Z32" i="8"/>
  <c r="T33" i="8"/>
  <c r="U33" i="8"/>
  <c r="V33" i="8"/>
  <c r="W33" i="8"/>
  <c r="X33" i="8"/>
  <c r="Y33" i="8"/>
  <c r="Z33" i="8"/>
  <c r="T34" i="8"/>
  <c r="U34" i="8"/>
  <c r="V34" i="8"/>
  <c r="W34" i="8"/>
  <c r="X34" i="8"/>
  <c r="Y34" i="8"/>
  <c r="Z34" i="8"/>
  <c r="T35" i="8"/>
  <c r="U35" i="8"/>
  <c r="V35" i="8"/>
  <c r="W35" i="8"/>
  <c r="X35" i="8"/>
  <c r="Y35" i="8"/>
  <c r="Z35" i="8"/>
  <c r="T36" i="8"/>
  <c r="U36" i="8"/>
  <c r="V36" i="8"/>
  <c r="W36" i="8"/>
  <c r="X36" i="8"/>
  <c r="Y36" i="8"/>
  <c r="Z36" i="8"/>
  <c r="T37" i="8"/>
  <c r="U37" i="8"/>
  <c r="V37" i="8"/>
  <c r="W37" i="8"/>
  <c r="X37" i="8"/>
  <c r="Y37" i="8"/>
  <c r="Z37" i="8"/>
  <c r="T38" i="8"/>
  <c r="U38" i="8"/>
  <c r="V38" i="8"/>
  <c r="W38" i="8"/>
  <c r="X38" i="8"/>
  <c r="Y38" i="8"/>
  <c r="Z38" i="8"/>
  <c r="T39" i="8"/>
  <c r="U39" i="8"/>
  <c r="V39" i="8"/>
  <c r="W39" i="8"/>
  <c r="X39" i="8"/>
  <c r="Y39" i="8"/>
  <c r="Z39" i="8"/>
  <c r="U25" i="8"/>
  <c r="V25" i="8"/>
  <c r="W25" i="8"/>
  <c r="X25" i="8"/>
  <c r="Y25" i="8"/>
  <c r="Z25" i="8"/>
  <c r="T25" i="8"/>
  <c r="T7" i="8"/>
  <c r="U7" i="8"/>
  <c r="V7" i="8"/>
  <c r="W7" i="8"/>
  <c r="X7" i="8"/>
  <c r="Y7" i="8"/>
  <c r="Z7" i="8"/>
  <c r="T8" i="8"/>
  <c r="U8" i="8"/>
  <c r="V8" i="8"/>
  <c r="W8" i="8"/>
  <c r="X8" i="8"/>
  <c r="Y8" i="8"/>
  <c r="Z8" i="8"/>
  <c r="T9" i="8"/>
  <c r="U9" i="8"/>
  <c r="V9" i="8"/>
  <c r="W9" i="8"/>
  <c r="X9" i="8"/>
  <c r="Y9" i="8"/>
  <c r="Z9" i="8"/>
  <c r="T10" i="8"/>
  <c r="U10" i="8"/>
  <c r="V10" i="8"/>
  <c r="W10" i="8"/>
  <c r="X10" i="8"/>
  <c r="Y10" i="8"/>
  <c r="Z10" i="8"/>
  <c r="T11" i="8"/>
  <c r="U11" i="8"/>
  <c r="V11" i="8"/>
  <c r="W11" i="8"/>
  <c r="X11" i="8"/>
  <c r="Y11" i="8"/>
  <c r="Z11" i="8"/>
  <c r="T12" i="8"/>
  <c r="U12" i="8"/>
  <c r="V12" i="8"/>
  <c r="W12" i="8"/>
  <c r="X12" i="8"/>
  <c r="Y12" i="8"/>
  <c r="Z12" i="8"/>
  <c r="T13" i="8"/>
  <c r="U13" i="8"/>
  <c r="V13" i="8"/>
  <c r="W13" i="8"/>
  <c r="X13" i="8"/>
  <c r="Y13" i="8"/>
  <c r="Z13" i="8"/>
  <c r="T14" i="8"/>
  <c r="U14" i="8"/>
  <c r="V14" i="8"/>
  <c r="W14" i="8"/>
  <c r="X14" i="8"/>
  <c r="Y14" i="8"/>
  <c r="Z14" i="8"/>
  <c r="T15" i="8"/>
  <c r="U15" i="8"/>
  <c r="V15" i="8"/>
  <c r="W15" i="8"/>
  <c r="X15" i="8"/>
  <c r="Y15" i="8"/>
  <c r="Z15" i="8"/>
  <c r="T16" i="8"/>
  <c r="U16" i="8"/>
  <c r="V16" i="8"/>
  <c r="W16" i="8"/>
  <c r="X16" i="8"/>
  <c r="Y16" i="8"/>
  <c r="Z16" i="8"/>
  <c r="T17" i="8"/>
  <c r="U17" i="8"/>
  <c r="V17" i="8"/>
  <c r="W17" i="8"/>
  <c r="X17" i="8"/>
  <c r="Y17" i="8"/>
  <c r="Z17" i="8"/>
  <c r="T18" i="8"/>
  <c r="U18" i="8"/>
  <c r="V18" i="8"/>
  <c r="W18" i="8"/>
  <c r="X18" i="8"/>
  <c r="Y18" i="8"/>
  <c r="Z18" i="8"/>
  <c r="T19" i="8"/>
  <c r="U19" i="8"/>
  <c r="V19" i="8"/>
  <c r="W19" i="8"/>
  <c r="X19" i="8"/>
  <c r="Y19" i="8"/>
  <c r="Z19" i="8"/>
  <c r="T20" i="8"/>
  <c r="U20" i="8"/>
  <c r="V20" i="8"/>
  <c r="W20" i="8"/>
  <c r="X20" i="8"/>
  <c r="Y20" i="8"/>
  <c r="Z20" i="8"/>
  <c r="U6" i="8"/>
  <c r="V6" i="8"/>
  <c r="W6" i="8"/>
  <c r="X6" i="8"/>
  <c r="Y6" i="8"/>
  <c r="Z6" i="8"/>
  <c r="T6" i="8"/>
  <c r="K140" i="8"/>
  <c r="L140" i="8"/>
  <c r="M140" i="8"/>
  <c r="N140" i="8"/>
  <c r="O140" i="8"/>
  <c r="P140" i="8"/>
  <c r="Q140" i="8"/>
  <c r="K141" i="8"/>
  <c r="L141" i="8"/>
  <c r="M141" i="8"/>
  <c r="N141" i="8"/>
  <c r="O141" i="8"/>
  <c r="P141" i="8"/>
  <c r="Q141" i="8"/>
  <c r="K142" i="8"/>
  <c r="L142" i="8"/>
  <c r="M142" i="8"/>
  <c r="N142" i="8"/>
  <c r="O142" i="8"/>
  <c r="P142" i="8"/>
  <c r="Q142" i="8"/>
  <c r="K143" i="8"/>
  <c r="L143" i="8"/>
  <c r="M143" i="8"/>
  <c r="N143" i="8"/>
  <c r="O143" i="8"/>
  <c r="P143" i="8"/>
  <c r="Q143" i="8"/>
  <c r="K144" i="8"/>
  <c r="L144" i="8"/>
  <c r="M144" i="8"/>
  <c r="N144" i="8"/>
  <c r="O144" i="8"/>
  <c r="P144" i="8"/>
  <c r="Q144" i="8"/>
  <c r="K145" i="8"/>
  <c r="L145" i="8"/>
  <c r="M145" i="8"/>
  <c r="N145" i="8"/>
  <c r="O145" i="8"/>
  <c r="P145" i="8"/>
  <c r="Q145" i="8"/>
  <c r="K146" i="8"/>
  <c r="L146" i="8"/>
  <c r="M146" i="8"/>
  <c r="N146" i="8"/>
  <c r="O146" i="8"/>
  <c r="P146" i="8"/>
  <c r="Q146" i="8"/>
  <c r="K147" i="8"/>
  <c r="L147" i="8"/>
  <c r="M147" i="8"/>
  <c r="N147" i="8"/>
  <c r="O147" i="8"/>
  <c r="P147" i="8"/>
  <c r="Q147" i="8"/>
  <c r="K148" i="8"/>
  <c r="L148" i="8"/>
  <c r="M148" i="8"/>
  <c r="N148" i="8"/>
  <c r="O148" i="8"/>
  <c r="P148" i="8"/>
  <c r="Q148" i="8"/>
  <c r="K149" i="8"/>
  <c r="L149" i="8"/>
  <c r="M149" i="8"/>
  <c r="N149" i="8"/>
  <c r="O149" i="8"/>
  <c r="P149" i="8"/>
  <c r="Q149" i="8"/>
  <c r="K150" i="8"/>
  <c r="L150" i="8"/>
  <c r="M150" i="8"/>
  <c r="N150" i="8"/>
  <c r="O150" i="8"/>
  <c r="P150" i="8"/>
  <c r="Q150" i="8"/>
  <c r="K151" i="8"/>
  <c r="L151" i="8"/>
  <c r="M151" i="8"/>
  <c r="N151" i="8"/>
  <c r="O151" i="8"/>
  <c r="P151" i="8"/>
  <c r="Q151" i="8"/>
  <c r="K152" i="8"/>
  <c r="L152" i="8"/>
  <c r="M152" i="8"/>
  <c r="N152" i="8"/>
  <c r="O152" i="8"/>
  <c r="P152" i="8"/>
  <c r="Q152" i="8"/>
  <c r="K153" i="8"/>
  <c r="L153" i="8"/>
  <c r="M153" i="8"/>
  <c r="N153" i="8"/>
  <c r="O153" i="8"/>
  <c r="P153" i="8"/>
  <c r="Q153" i="8"/>
  <c r="L139" i="8"/>
  <c r="M139" i="8"/>
  <c r="N139" i="8"/>
  <c r="O139" i="8"/>
  <c r="P139" i="8"/>
  <c r="Q139" i="8"/>
  <c r="K139" i="8"/>
  <c r="K121" i="8"/>
  <c r="L121" i="8"/>
  <c r="M121" i="8"/>
  <c r="N121" i="8"/>
  <c r="O121" i="8"/>
  <c r="P121" i="8"/>
  <c r="Q121" i="8"/>
  <c r="K122" i="8"/>
  <c r="L122" i="8"/>
  <c r="M122" i="8"/>
  <c r="N122" i="8"/>
  <c r="O122" i="8"/>
  <c r="P122" i="8"/>
  <c r="Q122" i="8"/>
  <c r="K123" i="8"/>
  <c r="L123" i="8"/>
  <c r="M123" i="8"/>
  <c r="N123" i="8"/>
  <c r="O123" i="8"/>
  <c r="P123" i="8"/>
  <c r="Q123" i="8"/>
  <c r="K124" i="8"/>
  <c r="L124" i="8"/>
  <c r="M124" i="8"/>
  <c r="N124" i="8"/>
  <c r="O124" i="8"/>
  <c r="P124" i="8"/>
  <c r="Q124" i="8"/>
  <c r="K125" i="8"/>
  <c r="L125" i="8"/>
  <c r="M125" i="8"/>
  <c r="N125" i="8"/>
  <c r="O125" i="8"/>
  <c r="P125" i="8"/>
  <c r="Q125" i="8"/>
  <c r="K126" i="8"/>
  <c r="L126" i="8"/>
  <c r="M126" i="8"/>
  <c r="N126" i="8"/>
  <c r="O126" i="8"/>
  <c r="P126" i="8"/>
  <c r="Q126" i="8"/>
  <c r="K127" i="8"/>
  <c r="L127" i="8"/>
  <c r="M127" i="8"/>
  <c r="N127" i="8"/>
  <c r="O127" i="8"/>
  <c r="P127" i="8"/>
  <c r="Q127" i="8"/>
  <c r="K128" i="8"/>
  <c r="L128" i="8"/>
  <c r="M128" i="8"/>
  <c r="N128" i="8"/>
  <c r="O128" i="8"/>
  <c r="P128" i="8"/>
  <c r="Q128" i="8"/>
  <c r="K129" i="8"/>
  <c r="L129" i="8"/>
  <c r="M129" i="8"/>
  <c r="N129" i="8"/>
  <c r="O129" i="8"/>
  <c r="P129" i="8"/>
  <c r="Q129" i="8"/>
  <c r="K130" i="8"/>
  <c r="L130" i="8"/>
  <c r="M130" i="8"/>
  <c r="N130" i="8"/>
  <c r="O130" i="8"/>
  <c r="P130" i="8"/>
  <c r="Q130" i="8"/>
  <c r="K131" i="8"/>
  <c r="L131" i="8"/>
  <c r="M131" i="8"/>
  <c r="N131" i="8"/>
  <c r="O131" i="8"/>
  <c r="P131" i="8"/>
  <c r="Q131" i="8"/>
  <c r="K132" i="8"/>
  <c r="L132" i="8"/>
  <c r="M132" i="8"/>
  <c r="N132" i="8"/>
  <c r="O132" i="8"/>
  <c r="P132" i="8"/>
  <c r="Q132" i="8"/>
  <c r="K133" i="8"/>
  <c r="L133" i="8"/>
  <c r="M133" i="8"/>
  <c r="N133" i="8"/>
  <c r="O133" i="8"/>
  <c r="P133" i="8"/>
  <c r="Q133" i="8"/>
  <c r="K134" i="8"/>
  <c r="L134" i="8"/>
  <c r="M134" i="8"/>
  <c r="N134" i="8"/>
  <c r="O134" i="8"/>
  <c r="P134" i="8"/>
  <c r="Q134" i="8"/>
  <c r="L120" i="8"/>
  <c r="M120" i="8"/>
  <c r="N120" i="8"/>
  <c r="O120" i="8"/>
  <c r="P120" i="8"/>
  <c r="Q120" i="8"/>
  <c r="K120" i="8"/>
  <c r="K102" i="8"/>
  <c r="L102" i="8"/>
  <c r="M102" i="8"/>
  <c r="N102" i="8"/>
  <c r="O102" i="8"/>
  <c r="P102" i="8"/>
  <c r="Q102" i="8"/>
  <c r="K103" i="8"/>
  <c r="L103" i="8"/>
  <c r="M103" i="8"/>
  <c r="N103" i="8"/>
  <c r="O103" i="8"/>
  <c r="P103" i="8"/>
  <c r="Q103" i="8"/>
  <c r="K104" i="8"/>
  <c r="L104" i="8"/>
  <c r="M104" i="8"/>
  <c r="N104" i="8"/>
  <c r="O104" i="8"/>
  <c r="P104" i="8"/>
  <c r="Q104" i="8"/>
  <c r="K105" i="8"/>
  <c r="L105" i="8"/>
  <c r="M105" i="8"/>
  <c r="N105" i="8"/>
  <c r="O105" i="8"/>
  <c r="P105" i="8"/>
  <c r="Q105" i="8"/>
  <c r="K106" i="8"/>
  <c r="L106" i="8"/>
  <c r="M106" i="8"/>
  <c r="N106" i="8"/>
  <c r="O106" i="8"/>
  <c r="P106" i="8"/>
  <c r="Q106" i="8"/>
  <c r="K107" i="8"/>
  <c r="L107" i="8"/>
  <c r="M107" i="8"/>
  <c r="N107" i="8"/>
  <c r="O107" i="8"/>
  <c r="P107" i="8"/>
  <c r="Q107" i="8"/>
  <c r="K108" i="8"/>
  <c r="L108" i="8"/>
  <c r="M108" i="8"/>
  <c r="N108" i="8"/>
  <c r="O108" i="8"/>
  <c r="P108" i="8"/>
  <c r="Q108" i="8"/>
  <c r="K109" i="8"/>
  <c r="L109" i="8"/>
  <c r="M109" i="8"/>
  <c r="N109" i="8"/>
  <c r="O109" i="8"/>
  <c r="P109" i="8"/>
  <c r="Q109" i="8"/>
  <c r="K110" i="8"/>
  <c r="L110" i="8"/>
  <c r="M110" i="8"/>
  <c r="N110" i="8"/>
  <c r="O110" i="8"/>
  <c r="P110" i="8"/>
  <c r="Q110" i="8"/>
  <c r="K111" i="8"/>
  <c r="L111" i="8"/>
  <c r="M111" i="8"/>
  <c r="N111" i="8"/>
  <c r="O111" i="8"/>
  <c r="P111" i="8"/>
  <c r="Q111" i="8"/>
  <c r="K112" i="8"/>
  <c r="L112" i="8"/>
  <c r="M112" i="8"/>
  <c r="N112" i="8"/>
  <c r="O112" i="8"/>
  <c r="P112" i="8"/>
  <c r="Q112" i="8"/>
  <c r="K113" i="8"/>
  <c r="L113" i="8"/>
  <c r="M113" i="8"/>
  <c r="N113" i="8"/>
  <c r="O113" i="8"/>
  <c r="P113" i="8"/>
  <c r="Q113" i="8"/>
  <c r="K114" i="8"/>
  <c r="L114" i="8"/>
  <c r="M114" i="8"/>
  <c r="N114" i="8"/>
  <c r="O114" i="8"/>
  <c r="P114" i="8"/>
  <c r="Q114" i="8"/>
  <c r="K115" i="8"/>
  <c r="L115" i="8"/>
  <c r="M115" i="8"/>
  <c r="N115" i="8"/>
  <c r="O115" i="8"/>
  <c r="P115" i="8"/>
  <c r="Q115" i="8"/>
  <c r="L101" i="8"/>
  <c r="M101" i="8"/>
  <c r="N101" i="8"/>
  <c r="O101" i="8"/>
  <c r="P101" i="8"/>
  <c r="Q101" i="8"/>
  <c r="K101" i="8"/>
  <c r="K83" i="8"/>
  <c r="L83" i="8"/>
  <c r="M83" i="8"/>
  <c r="N83" i="8"/>
  <c r="O83" i="8"/>
  <c r="P83" i="8"/>
  <c r="Q83" i="8"/>
  <c r="K84" i="8"/>
  <c r="L84" i="8"/>
  <c r="M84" i="8"/>
  <c r="N84" i="8"/>
  <c r="O84" i="8"/>
  <c r="P84" i="8"/>
  <c r="Q84" i="8"/>
  <c r="K85" i="8"/>
  <c r="L85" i="8"/>
  <c r="M85" i="8"/>
  <c r="N85" i="8"/>
  <c r="O85" i="8"/>
  <c r="P85" i="8"/>
  <c r="Q85" i="8"/>
  <c r="K86" i="8"/>
  <c r="L86" i="8"/>
  <c r="M86" i="8"/>
  <c r="N86" i="8"/>
  <c r="O86" i="8"/>
  <c r="P86" i="8"/>
  <c r="Q86" i="8"/>
  <c r="K87" i="8"/>
  <c r="L87" i="8"/>
  <c r="M87" i="8"/>
  <c r="N87" i="8"/>
  <c r="O87" i="8"/>
  <c r="P87" i="8"/>
  <c r="Q87" i="8"/>
  <c r="K88" i="8"/>
  <c r="L88" i="8"/>
  <c r="M88" i="8"/>
  <c r="N88" i="8"/>
  <c r="O88" i="8"/>
  <c r="P88" i="8"/>
  <c r="Q88" i="8"/>
  <c r="K89" i="8"/>
  <c r="L89" i="8"/>
  <c r="M89" i="8"/>
  <c r="N89" i="8"/>
  <c r="O89" i="8"/>
  <c r="P89" i="8"/>
  <c r="Q89" i="8"/>
  <c r="K90" i="8"/>
  <c r="L90" i="8"/>
  <c r="M90" i="8"/>
  <c r="N90" i="8"/>
  <c r="O90" i="8"/>
  <c r="P90" i="8"/>
  <c r="Q90" i="8"/>
  <c r="K91" i="8"/>
  <c r="L91" i="8"/>
  <c r="M91" i="8"/>
  <c r="N91" i="8"/>
  <c r="O91" i="8"/>
  <c r="P91" i="8"/>
  <c r="Q91" i="8"/>
  <c r="K92" i="8"/>
  <c r="L92" i="8"/>
  <c r="M92" i="8"/>
  <c r="N92" i="8"/>
  <c r="O92" i="8"/>
  <c r="P92" i="8"/>
  <c r="Q92" i="8"/>
  <c r="K93" i="8"/>
  <c r="L93" i="8"/>
  <c r="M93" i="8"/>
  <c r="N93" i="8"/>
  <c r="O93" i="8"/>
  <c r="P93" i="8"/>
  <c r="Q93" i="8"/>
  <c r="K94" i="8"/>
  <c r="L94" i="8"/>
  <c r="M94" i="8"/>
  <c r="N94" i="8"/>
  <c r="O94" i="8"/>
  <c r="P94" i="8"/>
  <c r="Q94" i="8"/>
  <c r="K95" i="8"/>
  <c r="L95" i="8"/>
  <c r="M95" i="8"/>
  <c r="N95" i="8"/>
  <c r="O95" i="8"/>
  <c r="P95" i="8"/>
  <c r="Q95" i="8"/>
  <c r="K96" i="8"/>
  <c r="L96" i="8"/>
  <c r="M96" i="8"/>
  <c r="N96" i="8"/>
  <c r="O96" i="8"/>
  <c r="P96" i="8"/>
  <c r="Q96" i="8"/>
  <c r="L82" i="8"/>
  <c r="M82" i="8"/>
  <c r="N82" i="8"/>
  <c r="O82" i="8"/>
  <c r="P82" i="8"/>
  <c r="Q82" i="8"/>
  <c r="K82" i="8"/>
  <c r="K64" i="8"/>
  <c r="L64" i="8"/>
  <c r="M64" i="8"/>
  <c r="N64" i="8"/>
  <c r="O64" i="8"/>
  <c r="P64" i="8"/>
  <c r="Q64" i="8"/>
  <c r="K65" i="8"/>
  <c r="L65" i="8"/>
  <c r="M65" i="8"/>
  <c r="N65" i="8"/>
  <c r="O65" i="8"/>
  <c r="P65" i="8"/>
  <c r="Q65" i="8"/>
  <c r="K66" i="8"/>
  <c r="L66" i="8"/>
  <c r="M66" i="8"/>
  <c r="N66" i="8"/>
  <c r="O66" i="8"/>
  <c r="P66" i="8"/>
  <c r="Q66" i="8"/>
  <c r="K67" i="8"/>
  <c r="L67" i="8"/>
  <c r="M67" i="8"/>
  <c r="N67" i="8"/>
  <c r="O67" i="8"/>
  <c r="P67" i="8"/>
  <c r="Q67" i="8"/>
  <c r="K68" i="8"/>
  <c r="L68" i="8"/>
  <c r="M68" i="8"/>
  <c r="N68" i="8"/>
  <c r="O68" i="8"/>
  <c r="P68" i="8"/>
  <c r="Q68" i="8"/>
  <c r="K69" i="8"/>
  <c r="L69" i="8"/>
  <c r="M69" i="8"/>
  <c r="N69" i="8"/>
  <c r="O69" i="8"/>
  <c r="P69" i="8"/>
  <c r="Q69" i="8"/>
  <c r="K70" i="8"/>
  <c r="L70" i="8"/>
  <c r="M70" i="8"/>
  <c r="N70" i="8"/>
  <c r="O70" i="8"/>
  <c r="P70" i="8"/>
  <c r="Q70" i="8"/>
  <c r="K71" i="8"/>
  <c r="L71" i="8"/>
  <c r="M71" i="8"/>
  <c r="N71" i="8"/>
  <c r="O71" i="8"/>
  <c r="P71" i="8"/>
  <c r="Q71" i="8"/>
  <c r="K72" i="8"/>
  <c r="L72" i="8"/>
  <c r="M72" i="8"/>
  <c r="N72" i="8"/>
  <c r="O72" i="8"/>
  <c r="P72" i="8"/>
  <c r="Q72" i="8"/>
  <c r="K73" i="8"/>
  <c r="L73" i="8"/>
  <c r="M73" i="8"/>
  <c r="N73" i="8"/>
  <c r="O73" i="8"/>
  <c r="P73" i="8"/>
  <c r="Q73" i="8"/>
  <c r="K74" i="8"/>
  <c r="L74" i="8"/>
  <c r="M74" i="8"/>
  <c r="N74" i="8"/>
  <c r="O74" i="8"/>
  <c r="P74" i="8"/>
  <c r="Q74" i="8"/>
  <c r="K75" i="8"/>
  <c r="L75" i="8"/>
  <c r="M75" i="8"/>
  <c r="N75" i="8"/>
  <c r="O75" i="8"/>
  <c r="P75" i="8"/>
  <c r="Q75" i="8"/>
  <c r="K76" i="8"/>
  <c r="L76" i="8"/>
  <c r="M76" i="8"/>
  <c r="N76" i="8"/>
  <c r="O76" i="8"/>
  <c r="P76" i="8"/>
  <c r="Q76" i="8"/>
  <c r="K77" i="8"/>
  <c r="L77" i="8"/>
  <c r="M77" i="8"/>
  <c r="N77" i="8"/>
  <c r="O77" i="8"/>
  <c r="P77" i="8"/>
  <c r="Q77" i="8"/>
  <c r="L63" i="8"/>
  <c r="M63" i="8"/>
  <c r="N63" i="8"/>
  <c r="O63" i="8"/>
  <c r="P63" i="8"/>
  <c r="Q63" i="8"/>
  <c r="K63" i="8"/>
  <c r="K45" i="8"/>
  <c r="L45" i="8"/>
  <c r="M45" i="8"/>
  <c r="N45" i="8"/>
  <c r="O45" i="8"/>
  <c r="P45" i="8"/>
  <c r="Q45" i="8"/>
  <c r="K46" i="8"/>
  <c r="L46" i="8"/>
  <c r="M46" i="8"/>
  <c r="N46" i="8"/>
  <c r="O46" i="8"/>
  <c r="P46" i="8"/>
  <c r="Q46" i="8"/>
  <c r="K47" i="8"/>
  <c r="L47" i="8"/>
  <c r="M47" i="8"/>
  <c r="N47" i="8"/>
  <c r="O47" i="8"/>
  <c r="P47" i="8"/>
  <c r="Q47" i="8"/>
  <c r="K48" i="8"/>
  <c r="L48" i="8"/>
  <c r="M48" i="8"/>
  <c r="N48" i="8"/>
  <c r="O48" i="8"/>
  <c r="P48" i="8"/>
  <c r="Q48" i="8"/>
  <c r="K49" i="8"/>
  <c r="L49" i="8"/>
  <c r="M49" i="8"/>
  <c r="N49" i="8"/>
  <c r="O49" i="8"/>
  <c r="P49" i="8"/>
  <c r="Q49" i="8"/>
  <c r="K50" i="8"/>
  <c r="L50" i="8"/>
  <c r="M50" i="8"/>
  <c r="N50" i="8"/>
  <c r="O50" i="8"/>
  <c r="P50" i="8"/>
  <c r="Q50" i="8"/>
  <c r="K51" i="8"/>
  <c r="L51" i="8"/>
  <c r="M51" i="8"/>
  <c r="N51" i="8"/>
  <c r="O51" i="8"/>
  <c r="P51" i="8"/>
  <c r="Q51" i="8"/>
  <c r="K52" i="8"/>
  <c r="L52" i="8"/>
  <c r="M52" i="8"/>
  <c r="N52" i="8"/>
  <c r="O52" i="8"/>
  <c r="P52" i="8"/>
  <c r="Q52" i="8"/>
  <c r="K53" i="8"/>
  <c r="L53" i="8"/>
  <c r="M53" i="8"/>
  <c r="N53" i="8"/>
  <c r="O53" i="8"/>
  <c r="P53" i="8"/>
  <c r="Q53" i="8"/>
  <c r="K54" i="8"/>
  <c r="L54" i="8"/>
  <c r="M54" i="8"/>
  <c r="N54" i="8"/>
  <c r="O54" i="8"/>
  <c r="P54" i="8"/>
  <c r="Q54" i="8"/>
  <c r="K55" i="8"/>
  <c r="L55" i="8"/>
  <c r="M55" i="8"/>
  <c r="N55" i="8"/>
  <c r="O55" i="8"/>
  <c r="P55" i="8"/>
  <c r="Q55" i="8"/>
  <c r="K56" i="8"/>
  <c r="L56" i="8"/>
  <c r="M56" i="8"/>
  <c r="N56" i="8"/>
  <c r="O56" i="8"/>
  <c r="P56" i="8"/>
  <c r="Q56" i="8"/>
  <c r="K57" i="8"/>
  <c r="L57" i="8"/>
  <c r="M57" i="8"/>
  <c r="N57" i="8"/>
  <c r="O57" i="8"/>
  <c r="P57" i="8"/>
  <c r="Q57" i="8"/>
  <c r="K58" i="8"/>
  <c r="L58" i="8"/>
  <c r="M58" i="8"/>
  <c r="N58" i="8"/>
  <c r="O58" i="8"/>
  <c r="P58" i="8"/>
  <c r="Q58" i="8"/>
  <c r="L44" i="8"/>
  <c r="M44" i="8"/>
  <c r="N44" i="8"/>
  <c r="O44" i="8"/>
  <c r="P44" i="8"/>
  <c r="Q44" i="8"/>
  <c r="K44" i="8"/>
  <c r="K26" i="8"/>
  <c r="L26" i="8"/>
  <c r="M26" i="8"/>
  <c r="N26" i="8"/>
  <c r="O26" i="8"/>
  <c r="P26" i="8"/>
  <c r="Q26" i="8"/>
  <c r="K27" i="8"/>
  <c r="L27" i="8"/>
  <c r="M27" i="8"/>
  <c r="N27" i="8"/>
  <c r="O27" i="8"/>
  <c r="P27" i="8"/>
  <c r="Q27" i="8"/>
  <c r="K28" i="8"/>
  <c r="L28" i="8"/>
  <c r="M28" i="8"/>
  <c r="N28" i="8"/>
  <c r="O28" i="8"/>
  <c r="P28" i="8"/>
  <c r="Q28" i="8"/>
  <c r="K29" i="8"/>
  <c r="L29" i="8"/>
  <c r="M29" i="8"/>
  <c r="N29" i="8"/>
  <c r="O29" i="8"/>
  <c r="P29" i="8"/>
  <c r="Q29" i="8"/>
  <c r="K30" i="8"/>
  <c r="L30" i="8"/>
  <c r="M30" i="8"/>
  <c r="N30" i="8"/>
  <c r="O30" i="8"/>
  <c r="P30" i="8"/>
  <c r="Q30" i="8"/>
  <c r="K31" i="8"/>
  <c r="L31" i="8"/>
  <c r="M31" i="8"/>
  <c r="N31" i="8"/>
  <c r="O31" i="8"/>
  <c r="P31" i="8"/>
  <c r="Q31" i="8"/>
  <c r="K32" i="8"/>
  <c r="L32" i="8"/>
  <c r="M32" i="8"/>
  <c r="N32" i="8"/>
  <c r="O32" i="8"/>
  <c r="P32" i="8"/>
  <c r="Q32" i="8"/>
  <c r="K33" i="8"/>
  <c r="L33" i="8"/>
  <c r="M33" i="8"/>
  <c r="N33" i="8"/>
  <c r="O33" i="8"/>
  <c r="P33" i="8"/>
  <c r="Q33" i="8"/>
  <c r="K34" i="8"/>
  <c r="L34" i="8"/>
  <c r="M34" i="8"/>
  <c r="N34" i="8"/>
  <c r="O34" i="8"/>
  <c r="P34" i="8"/>
  <c r="Q34" i="8"/>
  <c r="K35" i="8"/>
  <c r="L35" i="8"/>
  <c r="M35" i="8"/>
  <c r="N35" i="8"/>
  <c r="O35" i="8"/>
  <c r="P35" i="8"/>
  <c r="Q35" i="8"/>
  <c r="K36" i="8"/>
  <c r="L36" i="8"/>
  <c r="M36" i="8"/>
  <c r="N36" i="8"/>
  <c r="O36" i="8"/>
  <c r="P36" i="8"/>
  <c r="Q36" i="8"/>
  <c r="K37" i="8"/>
  <c r="L37" i="8"/>
  <c r="M37" i="8"/>
  <c r="N37" i="8"/>
  <c r="O37" i="8"/>
  <c r="P37" i="8"/>
  <c r="Q37" i="8"/>
  <c r="K38" i="8"/>
  <c r="L38" i="8"/>
  <c r="M38" i="8"/>
  <c r="N38" i="8"/>
  <c r="O38" i="8"/>
  <c r="P38" i="8"/>
  <c r="Q38" i="8"/>
  <c r="K39" i="8"/>
  <c r="L39" i="8"/>
  <c r="M39" i="8"/>
  <c r="N39" i="8"/>
  <c r="O39" i="8"/>
  <c r="P39" i="8"/>
  <c r="Q39" i="8"/>
  <c r="L25" i="8"/>
  <c r="M25" i="8"/>
  <c r="N25" i="8"/>
  <c r="O25" i="8"/>
  <c r="P25" i="8"/>
  <c r="Q25" i="8"/>
  <c r="K25" i="8"/>
  <c r="K7" i="8"/>
  <c r="L7" i="8"/>
  <c r="M7" i="8"/>
  <c r="N7" i="8"/>
  <c r="O7" i="8"/>
  <c r="P7" i="8"/>
  <c r="Q7" i="8"/>
  <c r="K8" i="8"/>
  <c r="L8" i="8"/>
  <c r="M8" i="8"/>
  <c r="N8" i="8"/>
  <c r="O8" i="8"/>
  <c r="P8" i="8"/>
  <c r="Q8" i="8"/>
  <c r="K9" i="8"/>
  <c r="L9" i="8"/>
  <c r="M9" i="8"/>
  <c r="N9" i="8"/>
  <c r="O9" i="8"/>
  <c r="P9" i="8"/>
  <c r="Q9" i="8"/>
  <c r="K10" i="8"/>
  <c r="L10" i="8"/>
  <c r="M10" i="8"/>
  <c r="N10" i="8"/>
  <c r="O10" i="8"/>
  <c r="P10" i="8"/>
  <c r="Q10" i="8"/>
  <c r="K11" i="8"/>
  <c r="L11" i="8"/>
  <c r="M11" i="8"/>
  <c r="N11" i="8"/>
  <c r="O11" i="8"/>
  <c r="P11" i="8"/>
  <c r="Q11" i="8"/>
  <c r="K12" i="8"/>
  <c r="L12" i="8"/>
  <c r="M12" i="8"/>
  <c r="N12" i="8"/>
  <c r="O12" i="8"/>
  <c r="P12" i="8"/>
  <c r="Q12" i="8"/>
  <c r="K13" i="8"/>
  <c r="L13" i="8"/>
  <c r="M13" i="8"/>
  <c r="N13" i="8"/>
  <c r="O13" i="8"/>
  <c r="P13" i="8"/>
  <c r="Q13" i="8"/>
  <c r="K14" i="8"/>
  <c r="L14" i="8"/>
  <c r="M14" i="8"/>
  <c r="N14" i="8"/>
  <c r="O14" i="8"/>
  <c r="P14" i="8"/>
  <c r="Q14" i="8"/>
  <c r="K15" i="8"/>
  <c r="L15" i="8"/>
  <c r="M15" i="8"/>
  <c r="N15" i="8"/>
  <c r="O15" i="8"/>
  <c r="P15" i="8"/>
  <c r="Q15" i="8"/>
  <c r="K16" i="8"/>
  <c r="L16" i="8"/>
  <c r="M16" i="8"/>
  <c r="N16" i="8"/>
  <c r="O16" i="8"/>
  <c r="P16" i="8"/>
  <c r="Q16" i="8"/>
  <c r="K17" i="8"/>
  <c r="L17" i="8"/>
  <c r="M17" i="8"/>
  <c r="N17" i="8"/>
  <c r="O17" i="8"/>
  <c r="P17" i="8"/>
  <c r="Q17" i="8"/>
  <c r="K18" i="8"/>
  <c r="L18" i="8"/>
  <c r="M18" i="8"/>
  <c r="N18" i="8"/>
  <c r="O18" i="8"/>
  <c r="P18" i="8"/>
  <c r="Q18" i="8"/>
  <c r="K19" i="8"/>
  <c r="L19" i="8"/>
  <c r="M19" i="8"/>
  <c r="N19" i="8"/>
  <c r="O19" i="8"/>
  <c r="P19" i="8"/>
  <c r="Q19" i="8"/>
  <c r="K20" i="8"/>
  <c r="L20" i="8"/>
  <c r="M20" i="8"/>
  <c r="N20" i="8"/>
  <c r="O20" i="8"/>
  <c r="P20" i="8"/>
  <c r="Q20" i="8"/>
  <c r="L6" i="8"/>
  <c r="M6" i="8"/>
  <c r="N6" i="8"/>
  <c r="O6" i="8"/>
  <c r="P6" i="8"/>
  <c r="Q6" i="8"/>
  <c r="K6" i="8"/>
  <c r="B140" i="8"/>
  <c r="C140" i="8"/>
  <c r="D140" i="8"/>
  <c r="E140" i="8"/>
  <c r="F140" i="8"/>
  <c r="G140" i="8"/>
  <c r="H140" i="8"/>
  <c r="B141" i="8"/>
  <c r="C141" i="8"/>
  <c r="D141" i="8"/>
  <c r="E141" i="8"/>
  <c r="F141" i="8"/>
  <c r="G141" i="8"/>
  <c r="H141" i="8"/>
  <c r="B142" i="8"/>
  <c r="C142" i="8"/>
  <c r="D142" i="8"/>
  <c r="E142" i="8"/>
  <c r="F142" i="8"/>
  <c r="G142" i="8"/>
  <c r="H142" i="8"/>
  <c r="B143" i="8"/>
  <c r="C143" i="8"/>
  <c r="D143" i="8"/>
  <c r="E143" i="8"/>
  <c r="F143" i="8"/>
  <c r="G143" i="8"/>
  <c r="H143" i="8"/>
  <c r="B144" i="8"/>
  <c r="C144" i="8"/>
  <c r="D144" i="8"/>
  <c r="E144" i="8"/>
  <c r="F144" i="8"/>
  <c r="G144" i="8"/>
  <c r="H144" i="8"/>
  <c r="B145" i="8"/>
  <c r="C145" i="8"/>
  <c r="D145" i="8"/>
  <c r="E145" i="8"/>
  <c r="F145" i="8"/>
  <c r="G145" i="8"/>
  <c r="H145" i="8"/>
  <c r="B146" i="8"/>
  <c r="C146" i="8"/>
  <c r="D146" i="8"/>
  <c r="E146" i="8"/>
  <c r="F146" i="8"/>
  <c r="G146" i="8"/>
  <c r="H146" i="8"/>
  <c r="B147" i="8"/>
  <c r="C147" i="8"/>
  <c r="D147" i="8"/>
  <c r="E147" i="8"/>
  <c r="F147" i="8"/>
  <c r="G147" i="8"/>
  <c r="H147" i="8"/>
  <c r="B148" i="8"/>
  <c r="C148" i="8"/>
  <c r="D148" i="8"/>
  <c r="E148" i="8"/>
  <c r="F148" i="8"/>
  <c r="G148" i="8"/>
  <c r="H148" i="8"/>
  <c r="B149" i="8"/>
  <c r="C149" i="8"/>
  <c r="D149" i="8"/>
  <c r="E149" i="8"/>
  <c r="F149" i="8"/>
  <c r="G149" i="8"/>
  <c r="H149" i="8"/>
  <c r="B150" i="8"/>
  <c r="C150" i="8"/>
  <c r="D150" i="8"/>
  <c r="E150" i="8"/>
  <c r="F150" i="8"/>
  <c r="G150" i="8"/>
  <c r="H150" i="8"/>
  <c r="B151" i="8"/>
  <c r="C151" i="8"/>
  <c r="D151" i="8"/>
  <c r="E151" i="8"/>
  <c r="F151" i="8"/>
  <c r="G151" i="8"/>
  <c r="H151" i="8"/>
  <c r="B152" i="8"/>
  <c r="C152" i="8"/>
  <c r="D152" i="8"/>
  <c r="E152" i="8"/>
  <c r="F152" i="8"/>
  <c r="G152" i="8"/>
  <c r="H152" i="8"/>
  <c r="B153" i="8"/>
  <c r="C153" i="8"/>
  <c r="D153" i="8"/>
  <c r="E153" i="8"/>
  <c r="F153" i="8"/>
  <c r="G153" i="8"/>
  <c r="H153" i="8"/>
  <c r="C139" i="8"/>
  <c r="D139" i="8"/>
  <c r="E139" i="8"/>
  <c r="F139" i="8"/>
  <c r="G139" i="8"/>
  <c r="H139" i="8"/>
  <c r="B139" i="8"/>
  <c r="B121" i="8"/>
  <c r="C121" i="8"/>
  <c r="D121" i="8"/>
  <c r="E121" i="8"/>
  <c r="F121" i="8"/>
  <c r="G121" i="8"/>
  <c r="H121" i="8"/>
  <c r="B122" i="8"/>
  <c r="C122" i="8"/>
  <c r="D122" i="8"/>
  <c r="E122" i="8"/>
  <c r="F122" i="8"/>
  <c r="G122" i="8"/>
  <c r="H122" i="8"/>
  <c r="B123" i="8"/>
  <c r="C123" i="8"/>
  <c r="D123" i="8"/>
  <c r="E123" i="8"/>
  <c r="F123" i="8"/>
  <c r="G123" i="8"/>
  <c r="H123" i="8"/>
  <c r="B124" i="8"/>
  <c r="C124" i="8"/>
  <c r="D124" i="8"/>
  <c r="E124" i="8"/>
  <c r="F124" i="8"/>
  <c r="G124" i="8"/>
  <c r="H124" i="8"/>
  <c r="B125" i="8"/>
  <c r="C125" i="8"/>
  <c r="D125" i="8"/>
  <c r="E125" i="8"/>
  <c r="F125" i="8"/>
  <c r="G125" i="8"/>
  <c r="H125" i="8"/>
  <c r="B126" i="8"/>
  <c r="C126" i="8"/>
  <c r="D126" i="8"/>
  <c r="E126" i="8"/>
  <c r="F126" i="8"/>
  <c r="G126" i="8"/>
  <c r="H126" i="8"/>
  <c r="B127" i="8"/>
  <c r="C127" i="8"/>
  <c r="D127" i="8"/>
  <c r="E127" i="8"/>
  <c r="F127" i="8"/>
  <c r="G127" i="8"/>
  <c r="H127" i="8"/>
  <c r="B128" i="8"/>
  <c r="C128" i="8"/>
  <c r="D128" i="8"/>
  <c r="E128" i="8"/>
  <c r="F128" i="8"/>
  <c r="G128" i="8"/>
  <c r="H128" i="8"/>
  <c r="B129" i="8"/>
  <c r="C129" i="8"/>
  <c r="D129" i="8"/>
  <c r="E129" i="8"/>
  <c r="F129" i="8"/>
  <c r="G129" i="8"/>
  <c r="H129" i="8"/>
  <c r="B130" i="8"/>
  <c r="C130" i="8"/>
  <c r="D130" i="8"/>
  <c r="E130" i="8"/>
  <c r="F130" i="8"/>
  <c r="G130" i="8"/>
  <c r="H130" i="8"/>
  <c r="B131" i="8"/>
  <c r="C131" i="8"/>
  <c r="D131" i="8"/>
  <c r="E131" i="8"/>
  <c r="F131" i="8"/>
  <c r="G131" i="8"/>
  <c r="H131" i="8"/>
  <c r="B132" i="8"/>
  <c r="C132" i="8"/>
  <c r="D132" i="8"/>
  <c r="E132" i="8"/>
  <c r="F132" i="8"/>
  <c r="G132" i="8"/>
  <c r="H132" i="8"/>
  <c r="B133" i="8"/>
  <c r="C133" i="8"/>
  <c r="D133" i="8"/>
  <c r="E133" i="8"/>
  <c r="F133" i="8"/>
  <c r="G133" i="8"/>
  <c r="H133" i="8"/>
  <c r="B134" i="8"/>
  <c r="C134" i="8"/>
  <c r="D134" i="8"/>
  <c r="E134" i="8"/>
  <c r="F134" i="8"/>
  <c r="G134" i="8"/>
  <c r="H134" i="8"/>
  <c r="C120" i="8"/>
  <c r="D120" i="8"/>
  <c r="E120" i="8"/>
  <c r="F120" i="8"/>
  <c r="G120" i="8"/>
  <c r="H120" i="8"/>
  <c r="B120" i="8"/>
  <c r="B102" i="8"/>
  <c r="C102" i="8"/>
  <c r="D102" i="8"/>
  <c r="E102" i="8"/>
  <c r="F102" i="8"/>
  <c r="G102" i="8"/>
  <c r="H102" i="8"/>
  <c r="B103" i="8"/>
  <c r="C103" i="8"/>
  <c r="D103" i="8"/>
  <c r="E103" i="8"/>
  <c r="F103" i="8"/>
  <c r="G103" i="8"/>
  <c r="H103" i="8"/>
  <c r="B104" i="8"/>
  <c r="C104" i="8"/>
  <c r="D104" i="8"/>
  <c r="E104" i="8"/>
  <c r="F104" i="8"/>
  <c r="G104" i="8"/>
  <c r="H104" i="8"/>
  <c r="B105" i="8"/>
  <c r="C105" i="8"/>
  <c r="D105" i="8"/>
  <c r="E105" i="8"/>
  <c r="F105" i="8"/>
  <c r="G105" i="8"/>
  <c r="H105" i="8"/>
  <c r="B106" i="8"/>
  <c r="C106" i="8"/>
  <c r="D106" i="8"/>
  <c r="E106" i="8"/>
  <c r="F106" i="8"/>
  <c r="G106" i="8"/>
  <c r="H106" i="8"/>
  <c r="B107" i="8"/>
  <c r="C107" i="8"/>
  <c r="D107" i="8"/>
  <c r="E107" i="8"/>
  <c r="F107" i="8"/>
  <c r="G107" i="8"/>
  <c r="H107" i="8"/>
  <c r="B108" i="8"/>
  <c r="C108" i="8"/>
  <c r="D108" i="8"/>
  <c r="E108" i="8"/>
  <c r="F108" i="8"/>
  <c r="G108" i="8"/>
  <c r="H108" i="8"/>
  <c r="B109" i="8"/>
  <c r="C109" i="8"/>
  <c r="D109" i="8"/>
  <c r="E109" i="8"/>
  <c r="F109" i="8"/>
  <c r="G109" i="8"/>
  <c r="H109" i="8"/>
  <c r="B110" i="8"/>
  <c r="C110" i="8"/>
  <c r="D110" i="8"/>
  <c r="E110" i="8"/>
  <c r="F110" i="8"/>
  <c r="G110" i="8"/>
  <c r="H110" i="8"/>
  <c r="B111" i="8"/>
  <c r="C111" i="8"/>
  <c r="D111" i="8"/>
  <c r="E111" i="8"/>
  <c r="F111" i="8"/>
  <c r="G111" i="8"/>
  <c r="H111" i="8"/>
  <c r="B112" i="8"/>
  <c r="C112" i="8"/>
  <c r="D112" i="8"/>
  <c r="E112" i="8"/>
  <c r="F112" i="8"/>
  <c r="G112" i="8"/>
  <c r="H112" i="8"/>
  <c r="B113" i="8"/>
  <c r="C113" i="8"/>
  <c r="D113" i="8"/>
  <c r="E113" i="8"/>
  <c r="F113" i="8"/>
  <c r="G113" i="8"/>
  <c r="H113" i="8"/>
  <c r="B114" i="8"/>
  <c r="C114" i="8"/>
  <c r="D114" i="8"/>
  <c r="E114" i="8"/>
  <c r="F114" i="8"/>
  <c r="G114" i="8"/>
  <c r="H114" i="8"/>
  <c r="B115" i="8"/>
  <c r="C115" i="8"/>
  <c r="D115" i="8"/>
  <c r="E115" i="8"/>
  <c r="F115" i="8"/>
  <c r="G115" i="8"/>
  <c r="H115" i="8"/>
  <c r="C101" i="8"/>
  <c r="D101" i="8"/>
  <c r="E101" i="8"/>
  <c r="F101" i="8"/>
  <c r="G101" i="8"/>
  <c r="H101" i="8"/>
  <c r="B101" i="8"/>
  <c r="B83" i="8"/>
  <c r="C83" i="8"/>
  <c r="D83" i="8"/>
  <c r="E83" i="8"/>
  <c r="F83" i="8"/>
  <c r="G83" i="8"/>
  <c r="H83" i="8"/>
  <c r="B84" i="8"/>
  <c r="C84" i="8"/>
  <c r="D84" i="8"/>
  <c r="E84" i="8"/>
  <c r="F84" i="8"/>
  <c r="G84" i="8"/>
  <c r="H84" i="8"/>
  <c r="B85" i="8"/>
  <c r="C85" i="8"/>
  <c r="D85" i="8"/>
  <c r="E85" i="8"/>
  <c r="F85" i="8"/>
  <c r="G85" i="8"/>
  <c r="H85" i="8"/>
  <c r="B86" i="8"/>
  <c r="C86" i="8"/>
  <c r="D86" i="8"/>
  <c r="E86" i="8"/>
  <c r="F86" i="8"/>
  <c r="G86" i="8"/>
  <c r="H86" i="8"/>
  <c r="B87" i="8"/>
  <c r="C87" i="8"/>
  <c r="D87" i="8"/>
  <c r="E87" i="8"/>
  <c r="F87" i="8"/>
  <c r="G87" i="8"/>
  <c r="H87" i="8"/>
  <c r="B88" i="8"/>
  <c r="C88" i="8"/>
  <c r="D88" i="8"/>
  <c r="E88" i="8"/>
  <c r="F88" i="8"/>
  <c r="G88" i="8"/>
  <c r="H88" i="8"/>
  <c r="B89" i="8"/>
  <c r="C89" i="8"/>
  <c r="D89" i="8"/>
  <c r="E89" i="8"/>
  <c r="F89" i="8"/>
  <c r="G89" i="8"/>
  <c r="H89" i="8"/>
  <c r="B90" i="8"/>
  <c r="C90" i="8"/>
  <c r="D90" i="8"/>
  <c r="E90" i="8"/>
  <c r="F90" i="8"/>
  <c r="G90" i="8"/>
  <c r="H90" i="8"/>
  <c r="B91" i="8"/>
  <c r="C91" i="8"/>
  <c r="D91" i="8"/>
  <c r="E91" i="8"/>
  <c r="F91" i="8"/>
  <c r="G91" i="8"/>
  <c r="H91" i="8"/>
  <c r="B92" i="8"/>
  <c r="C92" i="8"/>
  <c r="D92" i="8"/>
  <c r="E92" i="8"/>
  <c r="F92" i="8"/>
  <c r="G92" i="8"/>
  <c r="H92" i="8"/>
  <c r="B93" i="8"/>
  <c r="C93" i="8"/>
  <c r="D93" i="8"/>
  <c r="E93" i="8"/>
  <c r="F93" i="8"/>
  <c r="G93" i="8"/>
  <c r="H93" i="8"/>
  <c r="B94" i="8"/>
  <c r="C94" i="8"/>
  <c r="D94" i="8"/>
  <c r="E94" i="8"/>
  <c r="F94" i="8"/>
  <c r="G94" i="8"/>
  <c r="H94" i="8"/>
  <c r="B95" i="8"/>
  <c r="C95" i="8"/>
  <c r="D95" i="8"/>
  <c r="E95" i="8"/>
  <c r="F95" i="8"/>
  <c r="G95" i="8"/>
  <c r="H95" i="8"/>
  <c r="B96" i="8"/>
  <c r="C96" i="8"/>
  <c r="D96" i="8"/>
  <c r="E96" i="8"/>
  <c r="F96" i="8"/>
  <c r="G96" i="8"/>
  <c r="H96" i="8"/>
  <c r="C82" i="8"/>
  <c r="D82" i="8"/>
  <c r="E82" i="8"/>
  <c r="F82" i="8"/>
  <c r="G82" i="8"/>
  <c r="H82" i="8"/>
  <c r="B82" i="8"/>
  <c r="B64" i="8"/>
  <c r="C64" i="8"/>
  <c r="D64" i="8"/>
  <c r="E64" i="8"/>
  <c r="F64" i="8"/>
  <c r="G64" i="8"/>
  <c r="H64" i="8"/>
  <c r="B65" i="8"/>
  <c r="C65" i="8"/>
  <c r="D65" i="8"/>
  <c r="E65" i="8"/>
  <c r="F65" i="8"/>
  <c r="G65" i="8"/>
  <c r="H65" i="8"/>
  <c r="B66" i="8"/>
  <c r="C66" i="8"/>
  <c r="D66" i="8"/>
  <c r="E66" i="8"/>
  <c r="F66" i="8"/>
  <c r="G66" i="8"/>
  <c r="H66" i="8"/>
  <c r="B67" i="8"/>
  <c r="C67" i="8"/>
  <c r="D67" i="8"/>
  <c r="E67" i="8"/>
  <c r="F67" i="8"/>
  <c r="G67" i="8"/>
  <c r="H67" i="8"/>
  <c r="B68" i="8"/>
  <c r="C68" i="8"/>
  <c r="D68" i="8"/>
  <c r="E68" i="8"/>
  <c r="F68" i="8"/>
  <c r="G68" i="8"/>
  <c r="H68" i="8"/>
  <c r="B69" i="8"/>
  <c r="C69" i="8"/>
  <c r="D69" i="8"/>
  <c r="E69" i="8"/>
  <c r="F69" i="8"/>
  <c r="G69" i="8"/>
  <c r="H69" i="8"/>
  <c r="B70" i="8"/>
  <c r="C70" i="8"/>
  <c r="D70" i="8"/>
  <c r="E70" i="8"/>
  <c r="F70" i="8"/>
  <c r="G70" i="8"/>
  <c r="H70" i="8"/>
  <c r="B71" i="8"/>
  <c r="C71" i="8"/>
  <c r="D71" i="8"/>
  <c r="E71" i="8"/>
  <c r="F71" i="8"/>
  <c r="G71" i="8"/>
  <c r="H71" i="8"/>
  <c r="B72" i="8"/>
  <c r="C72" i="8"/>
  <c r="D72" i="8"/>
  <c r="E72" i="8"/>
  <c r="F72" i="8"/>
  <c r="G72" i="8"/>
  <c r="H72" i="8"/>
  <c r="B73" i="8"/>
  <c r="C73" i="8"/>
  <c r="D73" i="8"/>
  <c r="E73" i="8"/>
  <c r="F73" i="8"/>
  <c r="G73" i="8"/>
  <c r="H73" i="8"/>
  <c r="B74" i="8"/>
  <c r="C74" i="8"/>
  <c r="D74" i="8"/>
  <c r="E74" i="8"/>
  <c r="F74" i="8"/>
  <c r="G74" i="8"/>
  <c r="H74" i="8"/>
  <c r="B75" i="8"/>
  <c r="C75" i="8"/>
  <c r="D75" i="8"/>
  <c r="E75" i="8"/>
  <c r="F75" i="8"/>
  <c r="G75" i="8"/>
  <c r="H75" i="8"/>
  <c r="B76" i="8"/>
  <c r="C76" i="8"/>
  <c r="D76" i="8"/>
  <c r="E76" i="8"/>
  <c r="F76" i="8"/>
  <c r="G76" i="8"/>
  <c r="H76" i="8"/>
  <c r="B77" i="8"/>
  <c r="C77" i="8"/>
  <c r="D77" i="8"/>
  <c r="E77" i="8"/>
  <c r="F77" i="8"/>
  <c r="G77" i="8"/>
  <c r="H77" i="8"/>
  <c r="C63" i="8"/>
  <c r="D63" i="8"/>
  <c r="E63" i="8"/>
  <c r="F63" i="8"/>
  <c r="G63" i="8"/>
  <c r="H63" i="8"/>
  <c r="B63" i="8"/>
  <c r="B45" i="8"/>
  <c r="C45" i="8"/>
  <c r="D45" i="8"/>
  <c r="E45" i="8"/>
  <c r="F45" i="8"/>
  <c r="G45" i="8"/>
  <c r="H45" i="8"/>
  <c r="B46" i="8"/>
  <c r="C46" i="8"/>
  <c r="D46" i="8"/>
  <c r="E46" i="8"/>
  <c r="F46" i="8"/>
  <c r="G46" i="8"/>
  <c r="H46" i="8"/>
  <c r="B47" i="8"/>
  <c r="C47" i="8"/>
  <c r="D47" i="8"/>
  <c r="E47" i="8"/>
  <c r="F47" i="8"/>
  <c r="G47" i="8"/>
  <c r="H47" i="8"/>
  <c r="B48" i="8"/>
  <c r="C48" i="8"/>
  <c r="D48" i="8"/>
  <c r="E48" i="8"/>
  <c r="F48" i="8"/>
  <c r="G48" i="8"/>
  <c r="H48" i="8"/>
  <c r="B49" i="8"/>
  <c r="C49" i="8"/>
  <c r="D49" i="8"/>
  <c r="E49" i="8"/>
  <c r="F49" i="8"/>
  <c r="G49" i="8"/>
  <c r="H49" i="8"/>
  <c r="B50" i="8"/>
  <c r="C50" i="8"/>
  <c r="D50" i="8"/>
  <c r="E50" i="8"/>
  <c r="F50" i="8"/>
  <c r="G50" i="8"/>
  <c r="H50" i="8"/>
  <c r="B51" i="8"/>
  <c r="C51" i="8"/>
  <c r="D51" i="8"/>
  <c r="E51" i="8"/>
  <c r="F51" i="8"/>
  <c r="G51" i="8"/>
  <c r="H51" i="8"/>
  <c r="B52" i="8"/>
  <c r="C52" i="8"/>
  <c r="D52" i="8"/>
  <c r="E52" i="8"/>
  <c r="F52" i="8"/>
  <c r="G52" i="8"/>
  <c r="H52" i="8"/>
  <c r="B53" i="8"/>
  <c r="C53" i="8"/>
  <c r="D53" i="8"/>
  <c r="E53" i="8"/>
  <c r="F53" i="8"/>
  <c r="G53" i="8"/>
  <c r="H53" i="8"/>
  <c r="B54" i="8"/>
  <c r="C54" i="8"/>
  <c r="D54" i="8"/>
  <c r="E54" i="8"/>
  <c r="F54" i="8"/>
  <c r="G54" i="8"/>
  <c r="H54" i="8"/>
  <c r="B55" i="8"/>
  <c r="C55" i="8"/>
  <c r="D55" i="8"/>
  <c r="E55" i="8"/>
  <c r="F55" i="8"/>
  <c r="G55" i="8"/>
  <c r="H55" i="8"/>
  <c r="B56" i="8"/>
  <c r="C56" i="8"/>
  <c r="D56" i="8"/>
  <c r="E56" i="8"/>
  <c r="F56" i="8"/>
  <c r="G56" i="8"/>
  <c r="H56" i="8"/>
  <c r="B57" i="8"/>
  <c r="C57" i="8"/>
  <c r="D57" i="8"/>
  <c r="E57" i="8"/>
  <c r="F57" i="8"/>
  <c r="G57" i="8"/>
  <c r="H57" i="8"/>
  <c r="B58" i="8"/>
  <c r="C58" i="8"/>
  <c r="D58" i="8"/>
  <c r="E58" i="8"/>
  <c r="F58" i="8"/>
  <c r="G58" i="8"/>
  <c r="H58" i="8"/>
  <c r="C44" i="8"/>
  <c r="D44" i="8"/>
  <c r="E44" i="8"/>
  <c r="F44" i="8"/>
  <c r="G44" i="8"/>
  <c r="H44" i="8"/>
  <c r="B44" i="8"/>
  <c r="B26" i="8"/>
  <c r="C26" i="8"/>
  <c r="D26" i="8"/>
  <c r="E26" i="8"/>
  <c r="F26" i="8"/>
  <c r="G26" i="8"/>
  <c r="H26" i="8"/>
  <c r="B27" i="8"/>
  <c r="C27" i="8"/>
  <c r="D27" i="8"/>
  <c r="E27" i="8"/>
  <c r="F27" i="8"/>
  <c r="G27" i="8"/>
  <c r="H27" i="8"/>
  <c r="B28" i="8"/>
  <c r="C28" i="8"/>
  <c r="D28" i="8"/>
  <c r="E28" i="8"/>
  <c r="F28" i="8"/>
  <c r="G28" i="8"/>
  <c r="H28" i="8"/>
  <c r="B29" i="8"/>
  <c r="C29" i="8"/>
  <c r="D29" i="8"/>
  <c r="E29" i="8"/>
  <c r="F29" i="8"/>
  <c r="G29" i="8"/>
  <c r="H29" i="8"/>
  <c r="B30" i="8"/>
  <c r="C30" i="8"/>
  <c r="D30" i="8"/>
  <c r="E30" i="8"/>
  <c r="F30" i="8"/>
  <c r="G30" i="8"/>
  <c r="H30" i="8"/>
  <c r="B31" i="8"/>
  <c r="C31" i="8"/>
  <c r="D31" i="8"/>
  <c r="E31" i="8"/>
  <c r="F31" i="8"/>
  <c r="G31" i="8"/>
  <c r="H31" i="8"/>
  <c r="B32" i="8"/>
  <c r="C32" i="8"/>
  <c r="D32" i="8"/>
  <c r="E32" i="8"/>
  <c r="F32" i="8"/>
  <c r="G32" i="8"/>
  <c r="H32" i="8"/>
  <c r="B33" i="8"/>
  <c r="C33" i="8"/>
  <c r="D33" i="8"/>
  <c r="E33" i="8"/>
  <c r="F33" i="8"/>
  <c r="G33" i="8"/>
  <c r="H33" i="8"/>
  <c r="B34" i="8"/>
  <c r="C34" i="8"/>
  <c r="D34" i="8"/>
  <c r="E34" i="8"/>
  <c r="F34" i="8"/>
  <c r="G34" i="8"/>
  <c r="H34" i="8"/>
  <c r="B35" i="8"/>
  <c r="C35" i="8"/>
  <c r="D35" i="8"/>
  <c r="E35" i="8"/>
  <c r="F35" i="8"/>
  <c r="G35" i="8"/>
  <c r="H35" i="8"/>
  <c r="B36" i="8"/>
  <c r="C36" i="8"/>
  <c r="D36" i="8"/>
  <c r="E36" i="8"/>
  <c r="F36" i="8"/>
  <c r="G36" i="8"/>
  <c r="H36" i="8"/>
  <c r="B37" i="8"/>
  <c r="C37" i="8"/>
  <c r="D37" i="8"/>
  <c r="E37" i="8"/>
  <c r="F37" i="8"/>
  <c r="G37" i="8"/>
  <c r="H37" i="8"/>
  <c r="B38" i="8"/>
  <c r="C38" i="8"/>
  <c r="D38" i="8"/>
  <c r="E38" i="8"/>
  <c r="F38" i="8"/>
  <c r="G38" i="8"/>
  <c r="H38" i="8"/>
  <c r="B39" i="8"/>
  <c r="C39" i="8"/>
  <c r="D39" i="8"/>
  <c r="E39" i="8"/>
  <c r="F39" i="8"/>
  <c r="G39" i="8"/>
  <c r="H39" i="8"/>
  <c r="C25" i="8"/>
  <c r="D25" i="8"/>
  <c r="E25" i="8"/>
  <c r="F25" i="8"/>
  <c r="G25" i="8"/>
  <c r="H25" i="8"/>
  <c r="B25" i="8"/>
  <c r="B7" i="8"/>
  <c r="C7" i="8"/>
  <c r="D7" i="8"/>
  <c r="E7" i="8"/>
  <c r="F7" i="8"/>
  <c r="G7" i="8"/>
  <c r="H7" i="8"/>
  <c r="B8" i="8"/>
  <c r="C8" i="8"/>
  <c r="D8" i="8"/>
  <c r="E8" i="8"/>
  <c r="F8" i="8"/>
  <c r="G8" i="8"/>
  <c r="H8" i="8"/>
  <c r="B9" i="8"/>
  <c r="C9" i="8"/>
  <c r="D9" i="8"/>
  <c r="E9" i="8"/>
  <c r="F9" i="8"/>
  <c r="G9" i="8"/>
  <c r="H9" i="8"/>
  <c r="B10" i="8"/>
  <c r="C10" i="8"/>
  <c r="D10" i="8"/>
  <c r="E10" i="8"/>
  <c r="F10" i="8"/>
  <c r="G10" i="8"/>
  <c r="H10" i="8"/>
  <c r="B11" i="8"/>
  <c r="C11" i="8"/>
  <c r="D11" i="8"/>
  <c r="E11" i="8"/>
  <c r="F11" i="8"/>
  <c r="G11" i="8"/>
  <c r="H11" i="8"/>
  <c r="B12" i="8"/>
  <c r="C12" i="8"/>
  <c r="D12" i="8"/>
  <c r="E12" i="8"/>
  <c r="F12" i="8"/>
  <c r="G12" i="8"/>
  <c r="H12" i="8"/>
  <c r="B13" i="8"/>
  <c r="C13" i="8"/>
  <c r="D13" i="8"/>
  <c r="E13" i="8"/>
  <c r="F13" i="8"/>
  <c r="G13" i="8"/>
  <c r="H13" i="8"/>
  <c r="B14" i="8"/>
  <c r="C14" i="8"/>
  <c r="D14" i="8"/>
  <c r="E14" i="8"/>
  <c r="F14" i="8"/>
  <c r="G14" i="8"/>
  <c r="H14" i="8"/>
  <c r="B15" i="8"/>
  <c r="C15" i="8"/>
  <c r="D15" i="8"/>
  <c r="E15" i="8"/>
  <c r="F15" i="8"/>
  <c r="G15" i="8"/>
  <c r="H15" i="8"/>
  <c r="B16" i="8"/>
  <c r="C16" i="8"/>
  <c r="D16" i="8"/>
  <c r="E16" i="8"/>
  <c r="F16" i="8"/>
  <c r="G16" i="8"/>
  <c r="H16" i="8"/>
  <c r="B17" i="8"/>
  <c r="C17" i="8"/>
  <c r="D17" i="8"/>
  <c r="E17" i="8"/>
  <c r="F17" i="8"/>
  <c r="G17" i="8"/>
  <c r="H17" i="8"/>
  <c r="B18" i="8"/>
  <c r="C18" i="8"/>
  <c r="D18" i="8"/>
  <c r="E18" i="8"/>
  <c r="F18" i="8"/>
  <c r="G18" i="8"/>
  <c r="H18" i="8"/>
  <c r="B19" i="8"/>
  <c r="C19" i="8"/>
  <c r="D19" i="8"/>
  <c r="E19" i="8"/>
  <c r="F19" i="8"/>
  <c r="G19" i="8"/>
  <c r="H19" i="8"/>
  <c r="B20" i="8"/>
  <c r="C20" i="8"/>
  <c r="D20" i="8"/>
  <c r="E20" i="8"/>
  <c r="F20" i="8"/>
  <c r="G20" i="8"/>
  <c r="H20" i="8"/>
  <c r="C6" i="8"/>
  <c r="D6" i="8"/>
  <c r="E6" i="8"/>
  <c r="F6" i="8"/>
  <c r="G6" i="8"/>
  <c r="H6" i="8"/>
  <c r="B6" i="8"/>
  <c r="AC140" i="19"/>
  <c r="AD140" i="19"/>
  <c r="AE140" i="19"/>
  <c r="AF140" i="19"/>
  <c r="AG140" i="19"/>
  <c r="AH140" i="19"/>
  <c r="AI140" i="19"/>
  <c r="AC141" i="19"/>
  <c r="AD141" i="19"/>
  <c r="AE141" i="19"/>
  <c r="AF141" i="19"/>
  <c r="AG141" i="19"/>
  <c r="AH141" i="19"/>
  <c r="AI141" i="19"/>
  <c r="AC142" i="19"/>
  <c r="AD142" i="19"/>
  <c r="AE142" i="19"/>
  <c r="AF142" i="19"/>
  <c r="AG142" i="19"/>
  <c r="AH142" i="19"/>
  <c r="AI142" i="19"/>
  <c r="AC143" i="19"/>
  <c r="AD143" i="19"/>
  <c r="AE143" i="19"/>
  <c r="AF143" i="19"/>
  <c r="AG143" i="19"/>
  <c r="AH143" i="19"/>
  <c r="AI143" i="19"/>
  <c r="AC144" i="19"/>
  <c r="AD144" i="19"/>
  <c r="AE144" i="19"/>
  <c r="AF144" i="19"/>
  <c r="AG144" i="19"/>
  <c r="AH144" i="19"/>
  <c r="AI144" i="19"/>
  <c r="AC145" i="19"/>
  <c r="AD145" i="19"/>
  <c r="AE145" i="19"/>
  <c r="AF145" i="19"/>
  <c r="AG145" i="19"/>
  <c r="AH145" i="19"/>
  <c r="AI145" i="19"/>
  <c r="AC146" i="19"/>
  <c r="AD146" i="19"/>
  <c r="AE146" i="19"/>
  <c r="AF146" i="19"/>
  <c r="AG146" i="19"/>
  <c r="AH146" i="19"/>
  <c r="AI146" i="19"/>
  <c r="AC147" i="19"/>
  <c r="AD147" i="19"/>
  <c r="AE147" i="19"/>
  <c r="AF147" i="19"/>
  <c r="AG147" i="19"/>
  <c r="AH147" i="19"/>
  <c r="AI147" i="19"/>
  <c r="AC148" i="19"/>
  <c r="AD148" i="19"/>
  <c r="AE148" i="19"/>
  <c r="AF148" i="19"/>
  <c r="AG148" i="19"/>
  <c r="AH148" i="19"/>
  <c r="AI148" i="19"/>
  <c r="AC149" i="19"/>
  <c r="AD149" i="19"/>
  <c r="AE149" i="19"/>
  <c r="AF149" i="19"/>
  <c r="AG149" i="19"/>
  <c r="AH149" i="19"/>
  <c r="AI149" i="19"/>
  <c r="AC150" i="19"/>
  <c r="AD150" i="19"/>
  <c r="AE150" i="19"/>
  <c r="AF150" i="19"/>
  <c r="AG150" i="19"/>
  <c r="AH150" i="19"/>
  <c r="AI150" i="19"/>
  <c r="AC151" i="19"/>
  <c r="AD151" i="19"/>
  <c r="AE151" i="19"/>
  <c r="AF151" i="19"/>
  <c r="AG151" i="19"/>
  <c r="AH151" i="19"/>
  <c r="AI151" i="19"/>
  <c r="AC152" i="19"/>
  <c r="AD152" i="19"/>
  <c r="AE152" i="19"/>
  <c r="AF152" i="19"/>
  <c r="AG152" i="19"/>
  <c r="AH152" i="19"/>
  <c r="AI152" i="19"/>
  <c r="AC153" i="19"/>
  <c r="AD153" i="19"/>
  <c r="AE153" i="19"/>
  <c r="AF153" i="19"/>
  <c r="AG153" i="19"/>
  <c r="AH153" i="19"/>
  <c r="AI153" i="19"/>
  <c r="AD139" i="19"/>
  <c r="AE139" i="19"/>
  <c r="AF139" i="19"/>
  <c r="AG139" i="19"/>
  <c r="AH139" i="19"/>
  <c r="AI139" i="19"/>
  <c r="AC139" i="19"/>
  <c r="AC121" i="19"/>
  <c r="AD121" i="19"/>
  <c r="AE121" i="19"/>
  <c r="AF121" i="19"/>
  <c r="AG121" i="19"/>
  <c r="AH121" i="19"/>
  <c r="AI121" i="19"/>
  <c r="AC122" i="19"/>
  <c r="AD122" i="19"/>
  <c r="AE122" i="19"/>
  <c r="AF122" i="19"/>
  <c r="AG122" i="19"/>
  <c r="AH122" i="19"/>
  <c r="AI122" i="19"/>
  <c r="AC123" i="19"/>
  <c r="AD123" i="19"/>
  <c r="AE123" i="19"/>
  <c r="AF123" i="19"/>
  <c r="AG123" i="19"/>
  <c r="AH123" i="19"/>
  <c r="AI123" i="19"/>
  <c r="AC124" i="19"/>
  <c r="AD124" i="19"/>
  <c r="AE124" i="19"/>
  <c r="AF124" i="19"/>
  <c r="AG124" i="19"/>
  <c r="AH124" i="19"/>
  <c r="AI124" i="19"/>
  <c r="AC125" i="19"/>
  <c r="AD125" i="19"/>
  <c r="AE125" i="19"/>
  <c r="AF125" i="19"/>
  <c r="AG125" i="19"/>
  <c r="AH125" i="19"/>
  <c r="AI125" i="19"/>
  <c r="AC126" i="19"/>
  <c r="AD126" i="19"/>
  <c r="AE126" i="19"/>
  <c r="AF126" i="19"/>
  <c r="AG126" i="19"/>
  <c r="AH126" i="19"/>
  <c r="AI126" i="19"/>
  <c r="AC127" i="19"/>
  <c r="AD127" i="19"/>
  <c r="AE127" i="19"/>
  <c r="AF127" i="19"/>
  <c r="AG127" i="19"/>
  <c r="AH127" i="19"/>
  <c r="AI127" i="19"/>
  <c r="AC128" i="19"/>
  <c r="AD128" i="19"/>
  <c r="AE128" i="19"/>
  <c r="AF128" i="19"/>
  <c r="AG128" i="19"/>
  <c r="AH128" i="19"/>
  <c r="AI128" i="19"/>
  <c r="AC129" i="19"/>
  <c r="AD129" i="19"/>
  <c r="AE129" i="19"/>
  <c r="AF129" i="19"/>
  <c r="AG129" i="19"/>
  <c r="AH129" i="19"/>
  <c r="AI129" i="19"/>
  <c r="AC130" i="19"/>
  <c r="AD130" i="19"/>
  <c r="AE130" i="19"/>
  <c r="AF130" i="19"/>
  <c r="AG130" i="19"/>
  <c r="AH130" i="19"/>
  <c r="AI130" i="19"/>
  <c r="AC131" i="19"/>
  <c r="AD131" i="19"/>
  <c r="AE131" i="19"/>
  <c r="AF131" i="19"/>
  <c r="AG131" i="19"/>
  <c r="AH131" i="19"/>
  <c r="AI131" i="19"/>
  <c r="AC132" i="19"/>
  <c r="AD132" i="19"/>
  <c r="AE132" i="19"/>
  <c r="AF132" i="19"/>
  <c r="AG132" i="19"/>
  <c r="AH132" i="19"/>
  <c r="AI132" i="19"/>
  <c r="AC133" i="19"/>
  <c r="AD133" i="19"/>
  <c r="AE133" i="19"/>
  <c r="AF133" i="19"/>
  <c r="AG133" i="19"/>
  <c r="AH133" i="19"/>
  <c r="AI133" i="19"/>
  <c r="AC134" i="19"/>
  <c r="AD134" i="19"/>
  <c r="AE134" i="19"/>
  <c r="AF134" i="19"/>
  <c r="AG134" i="19"/>
  <c r="AH134" i="19"/>
  <c r="AI134" i="19"/>
  <c r="AD120" i="19"/>
  <c r="AE120" i="19"/>
  <c r="AF120" i="19"/>
  <c r="AG120" i="19"/>
  <c r="AH120" i="19"/>
  <c r="AI120" i="19"/>
  <c r="AC120" i="19"/>
  <c r="AC102" i="19"/>
  <c r="AD102" i="19"/>
  <c r="AE102" i="19"/>
  <c r="AF102" i="19"/>
  <c r="AG102" i="19"/>
  <c r="AH102" i="19"/>
  <c r="AI102" i="19"/>
  <c r="AC103" i="19"/>
  <c r="AD103" i="19"/>
  <c r="AE103" i="19"/>
  <c r="AF103" i="19"/>
  <c r="AG103" i="19"/>
  <c r="AH103" i="19"/>
  <c r="AI103" i="19"/>
  <c r="AC104" i="19"/>
  <c r="AD104" i="19"/>
  <c r="AE104" i="19"/>
  <c r="AF104" i="19"/>
  <c r="AG104" i="19"/>
  <c r="AH104" i="19"/>
  <c r="AI104" i="19"/>
  <c r="AC105" i="19"/>
  <c r="AD105" i="19"/>
  <c r="AE105" i="19"/>
  <c r="AF105" i="19"/>
  <c r="AG105" i="19"/>
  <c r="AH105" i="19"/>
  <c r="AI105" i="19"/>
  <c r="AC106" i="19"/>
  <c r="AD106" i="19"/>
  <c r="AE106" i="19"/>
  <c r="AF106" i="19"/>
  <c r="AG106" i="19"/>
  <c r="AH106" i="19"/>
  <c r="AI106" i="19"/>
  <c r="AC107" i="19"/>
  <c r="AD107" i="19"/>
  <c r="AE107" i="19"/>
  <c r="AF107" i="19"/>
  <c r="AG107" i="19"/>
  <c r="AH107" i="19"/>
  <c r="AI107" i="19"/>
  <c r="AC108" i="19"/>
  <c r="AD108" i="19"/>
  <c r="AE108" i="19"/>
  <c r="AF108" i="19"/>
  <c r="AG108" i="19"/>
  <c r="AH108" i="19"/>
  <c r="AI108" i="19"/>
  <c r="AC109" i="19"/>
  <c r="AD109" i="19"/>
  <c r="AE109" i="19"/>
  <c r="AF109" i="19"/>
  <c r="AG109" i="19"/>
  <c r="AH109" i="19"/>
  <c r="AI109" i="19"/>
  <c r="AC110" i="19"/>
  <c r="AD110" i="19"/>
  <c r="AE110" i="19"/>
  <c r="AF110" i="19"/>
  <c r="AG110" i="19"/>
  <c r="AH110" i="19"/>
  <c r="AI110" i="19"/>
  <c r="AC111" i="19"/>
  <c r="AD111" i="19"/>
  <c r="AE111" i="19"/>
  <c r="AF111" i="19"/>
  <c r="AG111" i="19"/>
  <c r="AH111" i="19"/>
  <c r="AI111" i="19"/>
  <c r="AC112" i="19"/>
  <c r="AD112" i="19"/>
  <c r="AE112" i="19"/>
  <c r="AF112" i="19"/>
  <c r="AG112" i="19"/>
  <c r="AH112" i="19"/>
  <c r="AI112" i="19"/>
  <c r="AC113" i="19"/>
  <c r="AD113" i="19"/>
  <c r="AE113" i="19"/>
  <c r="AF113" i="19"/>
  <c r="AG113" i="19"/>
  <c r="AH113" i="19"/>
  <c r="AI113" i="19"/>
  <c r="AC114" i="19"/>
  <c r="AD114" i="19"/>
  <c r="AE114" i="19"/>
  <c r="AF114" i="19"/>
  <c r="AG114" i="19"/>
  <c r="AH114" i="19"/>
  <c r="AI114" i="19"/>
  <c r="AC115" i="19"/>
  <c r="AD115" i="19"/>
  <c r="AE115" i="19"/>
  <c r="AF115" i="19"/>
  <c r="AG115" i="19"/>
  <c r="AH115" i="19"/>
  <c r="AI115" i="19"/>
  <c r="AD101" i="19"/>
  <c r="AE101" i="19"/>
  <c r="AF101" i="19"/>
  <c r="AG101" i="19"/>
  <c r="AH101" i="19"/>
  <c r="AI101" i="19"/>
  <c r="AC101" i="19"/>
  <c r="AC83" i="19"/>
  <c r="AD83" i="19"/>
  <c r="AE83" i="19"/>
  <c r="AF83" i="19"/>
  <c r="AG83" i="19"/>
  <c r="AH83" i="19"/>
  <c r="AI83" i="19"/>
  <c r="AC84" i="19"/>
  <c r="AD84" i="19"/>
  <c r="AE84" i="19"/>
  <c r="AF84" i="19"/>
  <c r="AG84" i="19"/>
  <c r="AH84" i="19"/>
  <c r="AI84" i="19"/>
  <c r="AC85" i="19"/>
  <c r="AD85" i="19"/>
  <c r="AE85" i="19"/>
  <c r="AF85" i="19"/>
  <c r="AG85" i="19"/>
  <c r="AH85" i="19"/>
  <c r="AI85" i="19"/>
  <c r="AC86" i="19"/>
  <c r="AD86" i="19"/>
  <c r="AE86" i="19"/>
  <c r="AF86" i="19"/>
  <c r="AG86" i="19"/>
  <c r="AH86" i="19"/>
  <c r="AI86" i="19"/>
  <c r="AC87" i="19"/>
  <c r="AD87" i="19"/>
  <c r="AE87" i="19"/>
  <c r="AF87" i="19"/>
  <c r="AG87" i="19"/>
  <c r="AH87" i="19"/>
  <c r="AI87" i="19"/>
  <c r="AC88" i="19"/>
  <c r="AD88" i="19"/>
  <c r="AE88" i="19"/>
  <c r="AF88" i="19"/>
  <c r="AG88" i="19"/>
  <c r="AH88" i="19"/>
  <c r="AI88" i="19"/>
  <c r="AC89" i="19"/>
  <c r="AD89" i="19"/>
  <c r="AE89" i="19"/>
  <c r="AF89" i="19"/>
  <c r="AG89" i="19"/>
  <c r="AH89" i="19"/>
  <c r="AI89" i="19"/>
  <c r="AC90" i="19"/>
  <c r="AD90" i="19"/>
  <c r="AE90" i="19"/>
  <c r="AF90" i="19"/>
  <c r="AG90" i="19"/>
  <c r="AH90" i="19"/>
  <c r="AI90" i="19"/>
  <c r="AC91" i="19"/>
  <c r="AD91" i="19"/>
  <c r="AE91" i="19"/>
  <c r="AF91" i="19"/>
  <c r="AG91" i="19"/>
  <c r="AH91" i="19"/>
  <c r="AI91" i="19"/>
  <c r="AC92" i="19"/>
  <c r="AD92" i="19"/>
  <c r="AE92" i="19"/>
  <c r="AF92" i="19"/>
  <c r="AG92" i="19"/>
  <c r="AH92" i="19"/>
  <c r="AI92" i="19"/>
  <c r="AC93" i="19"/>
  <c r="AD93" i="19"/>
  <c r="AE93" i="19"/>
  <c r="AF93" i="19"/>
  <c r="AG93" i="19"/>
  <c r="AH93" i="19"/>
  <c r="AI93" i="19"/>
  <c r="AC94" i="19"/>
  <c r="AD94" i="19"/>
  <c r="AE94" i="19"/>
  <c r="AF94" i="19"/>
  <c r="AG94" i="19"/>
  <c r="AH94" i="19"/>
  <c r="AI94" i="19"/>
  <c r="AC95" i="19"/>
  <c r="AD95" i="19"/>
  <c r="AE95" i="19"/>
  <c r="AF95" i="19"/>
  <c r="AG95" i="19"/>
  <c r="AH95" i="19"/>
  <c r="AI95" i="19"/>
  <c r="AC96" i="19"/>
  <c r="AD96" i="19"/>
  <c r="AE96" i="19"/>
  <c r="AF96" i="19"/>
  <c r="AG96" i="19"/>
  <c r="AH96" i="19"/>
  <c r="AI96" i="19"/>
  <c r="AD82" i="19"/>
  <c r="AE82" i="19"/>
  <c r="AF82" i="19"/>
  <c r="AG82" i="19"/>
  <c r="AH82" i="19"/>
  <c r="AI82" i="19"/>
  <c r="AC82" i="19"/>
  <c r="AC64" i="19"/>
  <c r="AD64" i="19"/>
  <c r="AE64" i="19"/>
  <c r="AF64" i="19"/>
  <c r="AG64" i="19"/>
  <c r="AH64" i="19"/>
  <c r="AI64" i="19"/>
  <c r="AC65" i="19"/>
  <c r="AD65" i="19"/>
  <c r="AE65" i="19"/>
  <c r="AF65" i="19"/>
  <c r="AG65" i="19"/>
  <c r="AH65" i="19"/>
  <c r="AI65" i="19"/>
  <c r="AC66" i="19"/>
  <c r="AD66" i="19"/>
  <c r="AE66" i="19"/>
  <c r="AF66" i="19"/>
  <c r="AG66" i="19"/>
  <c r="AH66" i="19"/>
  <c r="AI66" i="19"/>
  <c r="AC67" i="19"/>
  <c r="AD67" i="19"/>
  <c r="AE67" i="19"/>
  <c r="AF67" i="19"/>
  <c r="AG67" i="19"/>
  <c r="AH67" i="19"/>
  <c r="AI67" i="19"/>
  <c r="AC68" i="19"/>
  <c r="AD68" i="19"/>
  <c r="AE68" i="19"/>
  <c r="AF68" i="19"/>
  <c r="AG68" i="19"/>
  <c r="AH68" i="19"/>
  <c r="AI68" i="19"/>
  <c r="AC69" i="19"/>
  <c r="AD69" i="19"/>
  <c r="AE69" i="19"/>
  <c r="AF69" i="19"/>
  <c r="AG69" i="19"/>
  <c r="AH69" i="19"/>
  <c r="AI69" i="19"/>
  <c r="AC70" i="19"/>
  <c r="AD70" i="19"/>
  <c r="AE70" i="19"/>
  <c r="AF70" i="19"/>
  <c r="AG70" i="19"/>
  <c r="AH70" i="19"/>
  <c r="AI70" i="19"/>
  <c r="AC71" i="19"/>
  <c r="AD71" i="19"/>
  <c r="AE71" i="19"/>
  <c r="AF71" i="19"/>
  <c r="AG71" i="19"/>
  <c r="AH71" i="19"/>
  <c r="AI71" i="19"/>
  <c r="AC72" i="19"/>
  <c r="AD72" i="19"/>
  <c r="AE72" i="19"/>
  <c r="AF72" i="19"/>
  <c r="AG72" i="19"/>
  <c r="AH72" i="19"/>
  <c r="AI72" i="19"/>
  <c r="AC73" i="19"/>
  <c r="AD73" i="19"/>
  <c r="AE73" i="19"/>
  <c r="AF73" i="19"/>
  <c r="AG73" i="19"/>
  <c r="AH73" i="19"/>
  <c r="AI73" i="19"/>
  <c r="AC74" i="19"/>
  <c r="AD74" i="19"/>
  <c r="AE74" i="19"/>
  <c r="AF74" i="19"/>
  <c r="AG74" i="19"/>
  <c r="AH74" i="19"/>
  <c r="AI74" i="19"/>
  <c r="AC75" i="19"/>
  <c r="AD75" i="19"/>
  <c r="AE75" i="19"/>
  <c r="AF75" i="19"/>
  <c r="AG75" i="19"/>
  <c r="AH75" i="19"/>
  <c r="AI75" i="19"/>
  <c r="AC76" i="19"/>
  <c r="AD76" i="19"/>
  <c r="AE76" i="19"/>
  <c r="AF76" i="19"/>
  <c r="AG76" i="19"/>
  <c r="AH76" i="19"/>
  <c r="AI76" i="19"/>
  <c r="AC77" i="19"/>
  <c r="AD77" i="19"/>
  <c r="AE77" i="19"/>
  <c r="AF77" i="19"/>
  <c r="AG77" i="19"/>
  <c r="AH77" i="19"/>
  <c r="AI77" i="19"/>
  <c r="AD63" i="19"/>
  <c r="AE63" i="19"/>
  <c r="AF63" i="19"/>
  <c r="AG63" i="19"/>
  <c r="AH63" i="19"/>
  <c r="AI63" i="19"/>
  <c r="AC63" i="19"/>
  <c r="AC45" i="19"/>
  <c r="AD45" i="19"/>
  <c r="AE45" i="19"/>
  <c r="AF45" i="19"/>
  <c r="AG45" i="19"/>
  <c r="AH45" i="19"/>
  <c r="AI45" i="19"/>
  <c r="AC46" i="19"/>
  <c r="AD46" i="19"/>
  <c r="AE46" i="19"/>
  <c r="AF46" i="19"/>
  <c r="AG46" i="19"/>
  <c r="AH46" i="19"/>
  <c r="AI46" i="19"/>
  <c r="AC47" i="19"/>
  <c r="AD47" i="19"/>
  <c r="AE47" i="19"/>
  <c r="AF47" i="19"/>
  <c r="AG47" i="19"/>
  <c r="AH47" i="19"/>
  <c r="AI47" i="19"/>
  <c r="AC48" i="19"/>
  <c r="AD48" i="19"/>
  <c r="AE48" i="19"/>
  <c r="AF48" i="19"/>
  <c r="AG48" i="19"/>
  <c r="AH48" i="19"/>
  <c r="AI48" i="19"/>
  <c r="AC49" i="19"/>
  <c r="AD49" i="19"/>
  <c r="AE49" i="19"/>
  <c r="AF49" i="19"/>
  <c r="AG49" i="19"/>
  <c r="AH49" i="19"/>
  <c r="AI49" i="19"/>
  <c r="AC50" i="19"/>
  <c r="AD50" i="19"/>
  <c r="AE50" i="19"/>
  <c r="AF50" i="19"/>
  <c r="AG50" i="19"/>
  <c r="AH50" i="19"/>
  <c r="AI50" i="19"/>
  <c r="AC51" i="19"/>
  <c r="AD51" i="19"/>
  <c r="AE51" i="19"/>
  <c r="AF51" i="19"/>
  <c r="AG51" i="19"/>
  <c r="AH51" i="19"/>
  <c r="AI51" i="19"/>
  <c r="AC52" i="19"/>
  <c r="AD52" i="19"/>
  <c r="AE52" i="19"/>
  <c r="AF52" i="19"/>
  <c r="AG52" i="19"/>
  <c r="AH52" i="19"/>
  <c r="AI52" i="19"/>
  <c r="AC53" i="19"/>
  <c r="AD53" i="19"/>
  <c r="AE53" i="19"/>
  <c r="AF53" i="19"/>
  <c r="AG53" i="19"/>
  <c r="AH53" i="19"/>
  <c r="AI53" i="19"/>
  <c r="AC54" i="19"/>
  <c r="AD54" i="19"/>
  <c r="AE54" i="19"/>
  <c r="AF54" i="19"/>
  <c r="AG54" i="19"/>
  <c r="AH54" i="19"/>
  <c r="AI54" i="19"/>
  <c r="AC55" i="19"/>
  <c r="AD55" i="19"/>
  <c r="AE55" i="19"/>
  <c r="AF55" i="19"/>
  <c r="AG55" i="19"/>
  <c r="AH55" i="19"/>
  <c r="AI55" i="19"/>
  <c r="AC56" i="19"/>
  <c r="AD56" i="19"/>
  <c r="AE56" i="19"/>
  <c r="AF56" i="19"/>
  <c r="AG56" i="19"/>
  <c r="AH56" i="19"/>
  <c r="AI56" i="19"/>
  <c r="AC57" i="19"/>
  <c r="AD57" i="19"/>
  <c r="AE57" i="19"/>
  <c r="AF57" i="19"/>
  <c r="AG57" i="19"/>
  <c r="AH57" i="19"/>
  <c r="AI57" i="19"/>
  <c r="AC58" i="19"/>
  <c r="AD58" i="19"/>
  <c r="AE58" i="19"/>
  <c r="AF58" i="19"/>
  <c r="AG58" i="19"/>
  <c r="AH58" i="19"/>
  <c r="AI58" i="19"/>
  <c r="AD44" i="19"/>
  <c r="AE44" i="19"/>
  <c r="AF44" i="19"/>
  <c r="AG44" i="19"/>
  <c r="AH44" i="19"/>
  <c r="AI44" i="19"/>
  <c r="AC44" i="19"/>
  <c r="AC26" i="19"/>
  <c r="AD26" i="19"/>
  <c r="AE26" i="19"/>
  <c r="AF26" i="19"/>
  <c r="AG26" i="19"/>
  <c r="AH26" i="19"/>
  <c r="AI26" i="19"/>
  <c r="AC27" i="19"/>
  <c r="AD27" i="19"/>
  <c r="AE27" i="19"/>
  <c r="AF27" i="19"/>
  <c r="AG27" i="19"/>
  <c r="AH27" i="19"/>
  <c r="AI27" i="19"/>
  <c r="AC28" i="19"/>
  <c r="AD28" i="19"/>
  <c r="AE28" i="19"/>
  <c r="AF28" i="19"/>
  <c r="AG28" i="19"/>
  <c r="AH28" i="19"/>
  <c r="AI28" i="19"/>
  <c r="AC29" i="19"/>
  <c r="AD29" i="19"/>
  <c r="AE29" i="19"/>
  <c r="AF29" i="19"/>
  <c r="AG29" i="19"/>
  <c r="AH29" i="19"/>
  <c r="AI29" i="19"/>
  <c r="AC30" i="19"/>
  <c r="AD30" i="19"/>
  <c r="AE30" i="19"/>
  <c r="AF30" i="19"/>
  <c r="AG30" i="19"/>
  <c r="AH30" i="19"/>
  <c r="AI30" i="19"/>
  <c r="AC31" i="19"/>
  <c r="AD31" i="19"/>
  <c r="AE31" i="19"/>
  <c r="AF31" i="19"/>
  <c r="AG31" i="19"/>
  <c r="AH31" i="19"/>
  <c r="AI31" i="19"/>
  <c r="AC32" i="19"/>
  <c r="AD32" i="19"/>
  <c r="AE32" i="19"/>
  <c r="AF32" i="19"/>
  <c r="AG32" i="19"/>
  <c r="AH32" i="19"/>
  <c r="AI32" i="19"/>
  <c r="AC33" i="19"/>
  <c r="AD33" i="19"/>
  <c r="AE33" i="19"/>
  <c r="AF33" i="19"/>
  <c r="AG33" i="19"/>
  <c r="AH33" i="19"/>
  <c r="AI33" i="19"/>
  <c r="AC34" i="19"/>
  <c r="AD34" i="19"/>
  <c r="AE34" i="19"/>
  <c r="AF34" i="19"/>
  <c r="AG34" i="19"/>
  <c r="AH34" i="19"/>
  <c r="AI34" i="19"/>
  <c r="AC35" i="19"/>
  <c r="AD35" i="19"/>
  <c r="AE35" i="19"/>
  <c r="AF35" i="19"/>
  <c r="AG35" i="19"/>
  <c r="AH35" i="19"/>
  <c r="AI35" i="19"/>
  <c r="AC36" i="19"/>
  <c r="AD36" i="19"/>
  <c r="AE36" i="19"/>
  <c r="AF36" i="19"/>
  <c r="AG36" i="19"/>
  <c r="AH36" i="19"/>
  <c r="AI36" i="19"/>
  <c r="AC37" i="19"/>
  <c r="AD37" i="19"/>
  <c r="AE37" i="19"/>
  <c r="AF37" i="19"/>
  <c r="AG37" i="19"/>
  <c r="AH37" i="19"/>
  <c r="AI37" i="19"/>
  <c r="AC38" i="19"/>
  <c r="AD38" i="19"/>
  <c r="AE38" i="19"/>
  <c r="AF38" i="19"/>
  <c r="AG38" i="19"/>
  <c r="AH38" i="19"/>
  <c r="AI38" i="19"/>
  <c r="AC39" i="19"/>
  <c r="AD39" i="19"/>
  <c r="AE39" i="19"/>
  <c r="AF39" i="19"/>
  <c r="AG39" i="19"/>
  <c r="AH39" i="19"/>
  <c r="AI39" i="19"/>
  <c r="AD25" i="19"/>
  <c r="AE25" i="19"/>
  <c r="AF25" i="19"/>
  <c r="AG25" i="19"/>
  <c r="AH25" i="19"/>
  <c r="AI25" i="19"/>
  <c r="AC25" i="19"/>
  <c r="AC7" i="19"/>
  <c r="AD7" i="19"/>
  <c r="AE7" i="19"/>
  <c r="AF7" i="19"/>
  <c r="AG7" i="19"/>
  <c r="AH7" i="19"/>
  <c r="AI7" i="19"/>
  <c r="AC8" i="19"/>
  <c r="AD8" i="19"/>
  <c r="AE8" i="19"/>
  <c r="AF8" i="19"/>
  <c r="AG8" i="19"/>
  <c r="AH8" i="19"/>
  <c r="AI8" i="19"/>
  <c r="AC9" i="19"/>
  <c r="AD9" i="19"/>
  <c r="AE9" i="19"/>
  <c r="AF9" i="19"/>
  <c r="AG9" i="19"/>
  <c r="AH9" i="19"/>
  <c r="AI9" i="19"/>
  <c r="AC10" i="19"/>
  <c r="AD10" i="19"/>
  <c r="AE10" i="19"/>
  <c r="AF10" i="19"/>
  <c r="AG10" i="19"/>
  <c r="AH10" i="19"/>
  <c r="AI10" i="19"/>
  <c r="AC11" i="19"/>
  <c r="AD11" i="19"/>
  <c r="AE11" i="19"/>
  <c r="AF11" i="19"/>
  <c r="AG11" i="19"/>
  <c r="AH11" i="19"/>
  <c r="AI11" i="19"/>
  <c r="AC12" i="19"/>
  <c r="AD12" i="19"/>
  <c r="AE12" i="19"/>
  <c r="AF12" i="19"/>
  <c r="AG12" i="19"/>
  <c r="AH12" i="19"/>
  <c r="AI12" i="19"/>
  <c r="AC13" i="19"/>
  <c r="AD13" i="19"/>
  <c r="AE13" i="19"/>
  <c r="AF13" i="19"/>
  <c r="AG13" i="19"/>
  <c r="AH13" i="19"/>
  <c r="AI13" i="19"/>
  <c r="AC14" i="19"/>
  <c r="AD14" i="19"/>
  <c r="AE14" i="19"/>
  <c r="AF14" i="19"/>
  <c r="AG14" i="19"/>
  <c r="AH14" i="19"/>
  <c r="AI14" i="19"/>
  <c r="AC15" i="19"/>
  <c r="AD15" i="19"/>
  <c r="AE15" i="19"/>
  <c r="AF15" i="19"/>
  <c r="AG15" i="19"/>
  <c r="AH15" i="19"/>
  <c r="AI15" i="19"/>
  <c r="AC16" i="19"/>
  <c r="AD16" i="19"/>
  <c r="AE16" i="19"/>
  <c r="AF16" i="19"/>
  <c r="AG16" i="19"/>
  <c r="AH16" i="19"/>
  <c r="AI16" i="19"/>
  <c r="AC17" i="19"/>
  <c r="AD17" i="19"/>
  <c r="AE17" i="19"/>
  <c r="AF17" i="19"/>
  <c r="AG17" i="19"/>
  <c r="AH17" i="19"/>
  <c r="AI17" i="19"/>
  <c r="AC18" i="19"/>
  <c r="AD18" i="19"/>
  <c r="AE18" i="19"/>
  <c r="AF18" i="19"/>
  <c r="AG18" i="19"/>
  <c r="AH18" i="19"/>
  <c r="AI18" i="19"/>
  <c r="AC19" i="19"/>
  <c r="AD19" i="19"/>
  <c r="AE19" i="19"/>
  <c r="AF19" i="19"/>
  <c r="AG19" i="19"/>
  <c r="AH19" i="19"/>
  <c r="AI19" i="19"/>
  <c r="AC20" i="19"/>
  <c r="AD20" i="19"/>
  <c r="AE20" i="19"/>
  <c r="AF20" i="19"/>
  <c r="AG20" i="19"/>
  <c r="AH20" i="19"/>
  <c r="AI20" i="19"/>
  <c r="AD6" i="19"/>
  <c r="AE6" i="19"/>
  <c r="AF6" i="19"/>
  <c r="AG6" i="19"/>
  <c r="AH6" i="19"/>
  <c r="AI6" i="19"/>
  <c r="AC6" i="19"/>
  <c r="T140" i="19"/>
  <c r="U140" i="19"/>
  <c r="V140" i="19"/>
  <c r="W140" i="19"/>
  <c r="X140" i="19"/>
  <c r="Y140" i="19"/>
  <c r="Z140" i="19"/>
  <c r="T141" i="19"/>
  <c r="U141" i="19"/>
  <c r="V141" i="19"/>
  <c r="W141" i="19"/>
  <c r="X141" i="19"/>
  <c r="Y141" i="19"/>
  <c r="Z141" i="19"/>
  <c r="T142" i="19"/>
  <c r="U142" i="19"/>
  <c r="V142" i="19"/>
  <c r="W142" i="19"/>
  <c r="X142" i="19"/>
  <c r="Y142" i="19"/>
  <c r="Z142" i="19"/>
  <c r="T143" i="19"/>
  <c r="U143" i="19"/>
  <c r="V143" i="19"/>
  <c r="W143" i="19"/>
  <c r="X143" i="19"/>
  <c r="Y143" i="19"/>
  <c r="Z143" i="19"/>
  <c r="T144" i="19"/>
  <c r="U144" i="19"/>
  <c r="V144" i="19"/>
  <c r="W144" i="19"/>
  <c r="X144" i="19"/>
  <c r="Y144" i="19"/>
  <c r="Z144" i="19"/>
  <c r="T145" i="19"/>
  <c r="U145" i="19"/>
  <c r="V145" i="19"/>
  <c r="W145" i="19"/>
  <c r="X145" i="19"/>
  <c r="Y145" i="19"/>
  <c r="Z145" i="19"/>
  <c r="T146" i="19"/>
  <c r="U146" i="19"/>
  <c r="V146" i="19"/>
  <c r="W146" i="19"/>
  <c r="X146" i="19"/>
  <c r="Y146" i="19"/>
  <c r="Z146" i="19"/>
  <c r="T147" i="19"/>
  <c r="U147" i="19"/>
  <c r="V147" i="19"/>
  <c r="W147" i="19"/>
  <c r="X147" i="19"/>
  <c r="Y147" i="19"/>
  <c r="Z147" i="19"/>
  <c r="T148" i="19"/>
  <c r="U148" i="19"/>
  <c r="V148" i="19"/>
  <c r="W148" i="19"/>
  <c r="X148" i="19"/>
  <c r="Y148" i="19"/>
  <c r="Z148" i="19"/>
  <c r="T149" i="19"/>
  <c r="U149" i="19"/>
  <c r="V149" i="19"/>
  <c r="W149" i="19"/>
  <c r="X149" i="19"/>
  <c r="Y149" i="19"/>
  <c r="Z149" i="19"/>
  <c r="T150" i="19"/>
  <c r="U150" i="19"/>
  <c r="V150" i="19"/>
  <c r="W150" i="19"/>
  <c r="X150" i="19"/>
  <c r="Y150" i="19"/>
  <c r="Z150" i="19"/>
  <c r="T151" i="19"/>
  <c r="U151" i="19"/>
  <c r="V151" i="19"/>
  <c r="W151" i="19"/>
  <c r="X151" i="19"/>
  <c r="Y151" i="19"/>
  <c r="Z151" i="19"/>
  <c r="T152" i="19"/>
  <c r="U152" i="19"/>
  <c r="V152" i="19"/>
  <c r="W152" i="19"/>
  <c r="X152" i="19"/>
  <c r="Y152" i="19"/>
  <c r="Z152" i="19"/>
  <c r="T153" i="19"/>
  <c r="U153" i="19"/>
  <c r="V153" i="19"/>
  <c r="W153" i="19"/>
  <c r="X153" i="19"/>
  <c r="Y153" i="19"/>
  <c r="Z153" i="19"/>
  <c r="U139" i="19"/>
  <c r="V139" i="19"/>
  <c r="W139" i="19"/>
  <c r="X139" i="19"/>
  <c r="Y139" i="19"/>
  <c r="Z139" i="19"/>
  <c r="T139" i="19"/>
  <c r="T121" i="19"/>
  <c r="U121" i="19"/>
  <c r="V121" i="19"/>
  <c r="W121" i="19"/>
  <c r="X121" i="19"/>
  <c r="Y121" i="19"/>
  <c r="Z121" i="19"/>
  <c r="T122" i="19"/>
  <c r="U122" i="19"/>
  <c r="V122" i="19"/>
  <c r="W122" i="19"/>
  <c r="X122" i="19"/>
  <c r="Y122" i="19"/>
  <c r="Z122" i="19"/>
  <c r="T123" i="19"/>
  <c r="U123" i="19"/>
  <c r="V123" i="19"/>
  <c r="W123" i="19"/>
  <c r="X123" i="19"/>
  <c r="Y123" i="19"/>
  <c r="Z123" i="19"/>
  <c r="T124" i="19"/>
  <c r="U124" i="19"/>
  <c r="V124" i="19"/>
  <c r="W124" i="19"/>
  <c r="X124" i="19"/>
  <c r="Y124" i="19"/>
  <c r="Z124" i="19"/>
  <c r="T125" i="19"/>
  <c r="U125" i="19"/>
  <c r="V125" i="19"/>
  <c r="W125" i="19"/>
  <c r="X125" i="19"/>
  <c r="Y125" i="19"/>
  <c r="Z125" i="19"/>
  <c r="T126" i="19"/>
  <c r="U126" i="19"/>
  <c r="V126" i="19"/>
  <c r="W126" i="19"/>
  <c r="X126" i="19"/>
  <c r="Y126" i="19"/>
  <c r="Z126" i="19"/>
  <c r="T127" i="19"/>
  <c r="U127" i="19"/>
  <c r="V127" i="19"/>
  <c r="W127" i="19"/>
  <c r="X127" i="19"/>
  <c r="Y127" i="19"/>
  <c r="Z127" i="19"/>
  <c r="T128" i="19"/>
  <c r="U128" i="19"/>
  <c r="V128" i="19"/>
  <c r="W128" i="19"/>
  <c r="X128" i="19"/>
  <c r="Y128" i="19"/>
  <c r="Z128" i="19"/>
  <c r="T129" i="19"/>
  <c r="U129" i="19"/>
  <c r="V129" i="19"/>
  <c r="W129" i="19"/>
  <c r="X129" i="19"/>
  <c r="Y129" i="19"/>
  <c r="Z129" i="19"/>
  <c r="T130" i="19"/>
  <c r="U130" i="19"/>
  <c r="V130" i="19"/>
  <c r="W130" i="19"/>
  <c r="X130" i="19"/>
  <c r="Y130" i="19"/>
  <c r="Z130" i="19"/>
  <c r="T131" i="19"/>
  <c r="U131" i="19"/>
  <c r="V131" i="19"/>
  <c r="W131" i="19"/>
  <c r="X131" i="19"/>
  <c r="Y131" i="19"/>
  <c r="Z131" i="19"/>
  <c r="T132" i="19"/>
  <c r="U132" i="19"/>
  <c r="V132" i="19"/>
  <c r="W132" i="19"/>
  <c r="X132" i="19"/>
  <c r="Y132" i="19"/>
  <c r="Z132" i="19"/>
  <c r="T133" i="19"/>
  <c r="U133" i="19"/>
  <c r="V133" i="19"/>
  <c r="W133" i="19"/>
  <c r="X133" i="19"/>
  <c r="Y133" i="19"/>
  <c r="Z133" i="19"/>
  <c r="T134" i="19"/>
  <c r="U134" i="19"/>
  <c r="V134" i="19"/>
  <c r="W134" i="19"/>
  <c r="X134" i="19"/>
  <c r="Y134" i="19"/>
  <c r="Z134" i="19"/>
  <c r="U120" i="19"/>
  <c r="V120" i="19"/>
  <c r="W120" i="19"/>
  <c r="X120" i="19"/>
  <c r="Y120" i="19"/>
  <c r="Z120" i="19"/>
  <c r="T120" i="19"/>
  <c r="T102" i="19"/>
  <c r="U102" i="19"/>
  <c r="V102" i="19"/>
  <c r="W102" i="19"/>
  <c r="X102" i="19"/>
  <c r="Y102" i="19"/>
  <c r="Z102" i="19"/>
  <c r="T103" i="19"/>
  <c r="U103" i="19"/>
  <c r="V103" i="19"/>
  <c r="W103" i="19"/>
  <c r="X103" i="19"/>
  <c r="Y103" i="19"/>
  <c r="Z103" i="19"/>
  <c r="T104" i="19"/>
  <c r="U104" i="19"/>
  <c r="V104" i="19"/>
  <c r="W104" i="19"/>
  <c r="X104" i="19"/>
  <c r="Y104" i="19"/>
  <c r="Z104" i="19"/>
  <c r="T105" i="19"/>
  <c r="U105" i="19"/>
  <c r="V105" i="19"/>
  <c r="W105" i="19"/>
  <c r="X105" i="19"/>
  <c r="Y105" i="19"/>
  <c r="Z105" i="19"/>
  <c r="T106" i="19"/>
  <c r="U106" i="19"/>
  <c r="V106" i="19"/>
  <c r="W106" i="19"/>
  <c r="X106" i="19"/>
  <c r="Y106" i="19"/>
  <c r="Z106" i="19"/>
  <c r="T107" i="19"/>
  <c r="U107" i="19"/>
  <c r="V107" i="19"/>
  <c r="W107" i="19"/>
  <c r="X107" i="19"/>
  <c r="Y107" i="19"/>
  <c r="Z107" i="19"/>
  <c r="T108" i="19"/>
  <c r="U108" i="19"/>
  <c r="V108" i="19"/>
  <c r="W108" i="19"/>
  <c r="X108" i="19"/>
  <c r="Y108" i="19"/>
  <c r="Z108" i="19"/>
  <c r="T109" i="19"/>
  <c r="U109" i="19"/>
  <c r="V109" i="19"/>
  <c r="W109" i="19"/>
  <c r="X109" i="19"/>
  <c r="Y109" i="19"/>
  <c r="Z109" i="19"/>
  <c r="T110" i="19"/>
  <c r="U110" i="19"/>
  <c r="V110" i="19"/>
  <c r="W110" i="19"/>
  <c r="X110" i="19"/>
  <c r="Y110" i="19"/>
  <c r="Z110" i="19"/>
  <c r="T111" i="19"/>
  <c r="U111" i="19"/>
  <c r="V111" i="19"/>
  <c r="W111" i="19"/>
  <c r="X111" i="19"/>
  <c r="Y111" i="19"/>
  <c r="Z111" i="19"/>
  <c r="T112" i="19"/>
  <c r="U112" i="19"/>
  <c r="V112" i="19"/>
  <c r="W112" i="19"/>
  <c r="X112" i="19"/>
  <c r="Y112" i="19"/>
  <c r="Z112" i="19"/>
  <c r="T113" i="19"/>
  <c r="U113" i="19"/>
  <c r="V113" i="19"/>
  <c r="W113" i="19"/>
  <c r="X113" i="19"/>
  <c r="Y113" i="19"/>
  <c r="Z113" i="19"/>
  <c r="T114" i="19"/>
  <c r="U114" i="19"/>
  <c r="V114" i="19"/>
  <c r="W114" i="19"/>
  <c r="X114" i="19"/>
  <c r="Y114" i="19"/>
  <c r="Z114" i="19"/>
  <c r="T115" i="19"/>
  <c r="U115" i="19"/>
  <c r="V115" i="19"/>
  <c r="W115" i="19"/>
  <c r="X115" i="19"/>
  <c r="Y115" i="19"/>
  <c r="Z115" i="19"/>
  <c r="U101" i="19"/>
  <c r="V101" i="19"/>
  <c r="W101" i="19"/>
  <c r="X101" i="19"/>
  <c r="Y101" i="19"/>
  <c r="Z101" i="19"/>
  <c r="T101" i="19"/>
  <c r="T83" i="19"/>
  <c r="U83" i="19"/>
  <c r="V83" i="19"/>
  <c r="W83" i="19"/>
  <c r="X83" i="19"/>
  <c r="Y83" i="19"/>
  <c r="Z83" i="19"/>
  <c r="T84" i="19"/>
  <c r="U84" i="19"/>
  <c r="V84" i="19"/>
  <c r="W84" i="19"/>
  <c r="X84" i="19"/>
  <c r="Y84" i="19"/>
  <c r="Z84" i="19"/>
  <c r="T85" i="19"/>
  <c r="U85" i="19"/>
  <c r="V85" i="19"/>
  <c r="W85" i="19"/>
  <c r="X85" i="19"/>
  <c r="Y85" i="19"/>
  <c r="Z85" i="19"/>
  <c r="T86" i="19"/>
  <c r="U86" i="19"/>
  <c r="V86" i="19"/>
  <c r="W86" i="19"/>
  <c r="X86" i="19"/>
  <c r="Y86" i="19"/>
  <c r="Z86" i="19"/>
  <c r="T87" i="19"/>
  <c r="U87" i="19"/>
  <c r="V87" i="19"/>
  <c r="W87" i="19"/>
  <c r="X87" i="19"/>
  <c r="Y87" i="19"/>
  <c r="Z87" i="19"/>
  <c r="T88" i="19"/>
  <c r="U88" i="19"/>
  <c r="V88" i="19"/>
  <c r="W88" i="19"/>
  <c r="X88" i="19"/>
  <c r="Y88" i="19"/>
  <c r="Z88" i="19"/>
  <c r="T89" i="19"/>
  <c r="U89" i="19"/>
  <c r="V89" i="19"/>
  <c r="W89" i="19"/>
  <c r="X89" i="19"/>
  <c r="Y89" i="19"/>
  <c r="Z89" i="19"/>
  <c r="T90" i="19"/>
  <c r="U90" i="19"/>
  <c r="V90" i="19"/>
  <c r="W90" i="19"/>
  <c r="X90" i="19"/>
  <c r="Y90" i="19"/>
  <c r="Z90" i="19"/>
  <c r="T91" i="19"/>
  <c r="U91" i="19"/>
  <c r="V91" i="19"/>
  <c r="W91" i="19"/>
  <c r="X91" i="19"/>
  <c r="Y91" i="19"/>
  <c r="Z91" i="19"/>
  <c r="T92" i="19"/>
  <c r="U92" i="19"/>
  <c r="V92" i="19"/>
  <c r="W92" i="19"/>
  <c r="X92" i="19"/>
  <c r="Y92" i="19"/>
  <c r="Z92" i="19"/>
  <c r="T93" i="19"/>
  <c r="U93" i="19"/>
  <c r="V93" i="19"/>
  <c r="W93" i="19"/>
  <c r="X93" i="19"/>
  <c r="Y93" i="19"/>
  <c r="Z93" i="19"/>
  <c r="T94" i="19"/>
  <c r="U94" i="19"/>
  <c r="V94" i="19"/>
  <c r="W94" i="19"/>
  <c r="X94" i="19"/>
  <c r="Y94" i="19"/>
  <c r="Z94" i="19"/>
  <c r="T95" i="19"/>
  <c r="U95" i="19"/>
  <c r="V95" i="19"/>
  <c r="W95" i="19"/>
  <c r="X95" i="19"/>
  <c r="Y95" i="19"/>
  <c r="Z95" i="19"/>
  <c r="T96" i="19"/>
  <c r="U96" i="19"/>
  <c r="V96" i="19"/>
  <c r="W96" i="19"/>
  <c r="X96" i="19"/>
  <c r="Y96" i="19"/>
  <c r="Z96" i="19"/>
  <c r="U82" i="19"/>
  <c r="V82" i="19"/>
  <c r="W82" i="19"/>
  <c r="X82" i="19"/>
  <c r="Y82" i="19"/>
  <c r="Z82" i="19"/>
  <c r="T82" i="19"/>
  <c r="T64" i="19"/>
  <c r="U64" i="19"/>
  <c r="V64" i="19"/>
  <c r="W64" i="19"/>
  <c r="X64" i="19"/>
  <c r="Y64" i="19"/>
  <c r="Z64" i="19"/>
  <c r="T65" i="19"/>
  <c r="U65" i="19"/>
  <c r="V65" i="19"/>
  <c r="W65" i="19"/>
  <c r="X65" i="19"/>
  <c r="Y65" i="19"/>
  <c r="Z65" i="19"/>
  <c r="T66" i="19"/>
  <c r="U66" i="19"/>
  <c r="V66" i="19"/>
  <c r="W66" i="19"/>
  <c r="X66" i="19"/>
  <c r="Y66" i="19"/>
  <c r="Z66" i="19"/>
  <c r="T67" i="19"/>
  <c r="U67" i="19"/>
  <c r="V67" i="19"/>
  <c r="W67" i="19"/>
  <c r="X67" i="19"/>
  <c r="Y67" i="19"/>
  <c r="Z67" i="19"/>
  <c r="T68" i="19"/>
  <c r="U68" i="19"/>
  <c r="V68" i="19"/>
  <c r="W68" i="19"/>
  <c r="X68" i="19"/>
  <c r="Y68" i="19"/>
  <c r="Z68" i="19"/>
  <c r="T69" i="19"/>
  <c r="U69" i="19"/>
  <c r="V69" i="19"/>
  <c r="W69" i="19"/>
  <c r="X69" i="19"/>
  <c r="Y69" i="19"/>
  <c r="Z69" i="19"/>
  <c r="T70" i="19"/>
  <c r="U70" i="19"/>
  <c r="V70" i="19"/>
  <c r="W70" i="19"/>
  <c r="X70" i="19"/>
  <c r="Y70" i="19"/>
  <c r="Z70" i="19"/>
  <c r="T71" i="19"/>
  <c r="U71" i="19"/>
  <c r="V71" i="19"/>
  <c r="W71" i="19"/>
  <c r="X71" i="19"/>
  <c r="Y71" i="19"/>
  <c r="Z71" i="19"/>
  <c r="T72" i="19"/>
  <c r="U72" i="19"/>
  <c r="V72" i="19"/>
  <c r="W72" i="19"/>
  <c r="X72" i="19"/>
  <c r="Y72" i="19"/>
  <c r="Z72" i="19"/>
  <c r="T73" i="19"/>
  <c r="U73" i="19"/>
  <c r="V73" i="19"/>
  <c r="W73" i="19"/>
  <c r="X73" i="19"/>
  <c r="Y73" i="19"/>
  <c r="Z73" i="19"/>
  <c r="T74" i="19"/>
  <c r="U74" i="19"/>
  <c r="V74" i="19"/>
  <c r="W74" i="19"/>
  <c r="X74" i="19"/>
  <c r="Y74" i="19"/>
  <c r="Z74" i="19"/>
  <c r="T75" i="19"/>
  <c r="U75" i="19"/>
  <c r="V75" i="19"/>
  <c r="W75" i="19"/>
  <c r="X75" i="19"/>
  <c r="Y75" i="19"/>
  <c r="Z75" i="19"/>
  <c r="T76" i="19"/>
  <c r="U76" i="19"/>
  <c r="V76" i="19"/>
  <c r="W76" i="19"/>
  <c r="X76" i="19"/>
  <c r="Y76" i="19"/>
  <c r="Z76" i="19"/>
  <c r="T77" i="19"/>
  <c r="U77" i="19"/>
  <c r="V77" i="19"/>
  <c r="W77" i="19"/>
  <c r="X77" i="19"/>
  <c r="Y77" i="19"/>
  <c r="Z77" i="19"/>
  <c r="U63" i="19"/>
  <c r="V63" i="19"/>
  <c r="W63" i="19"/>
  <c r="X63" i="19"/>
  <c r="Y63" i="19"/>
  <c r="Z63" i="19"/>
  <c r="T63" i="19"/>
  <c r="T45" i="19"/>
  <c r="U45" i="19"/>
  <c r="V45" i="19"/>
  <c r="W45" i="19"/>
  <c r="X45" i="19"/>
  <c r="Y45" i="19"/>
  <c r="Z45" i="19"/>
  <c r="T46" i="19"/>
  <c r="U46" i="19"/>
  <c r="V46" i="19"/>
  <c r="W46" i="19"/>
  <c r="X46" i="19"/>
  <c r="Y46" i="19"/>
  <c r="Z46" i="19"/>
  <c r="T47" i="19"/>
  <c r="U47" i="19"/>
  <c r="V47" i="19"/>
  <c r="W47" i="19"/>
  <c r="X47" i="19"/>
  <c r="Y47" i="19"/>
  <c r="Z47" i="19"/>
  <c r="T48" i="19"/>
  <c r="U48" i="19"/>
  <c r="V48" i="19"/>
  <c r="W48" i="19"/>
  <c r="X48" i="19"/>
  <c r="Y48" i="19"/>
  <c r="Z48" i="19"/>
  <c r="T49" i="19"/>
  <c r="U49" i="19"/>
  <c r="V49" i="19"/>
  <c r="W49" i="19"/>
  <c r="X49" i="19"/>
  <c r="Y49" i="19"/>
  <c r="Z49" i="19"/>
  <c r="T50" i="19"/>
  <c r="U50" i="19"/>
  <c r="V50" i="19"/>
  <c r="W50" i="19"/>
  <c r="X50" i="19"/>
  <c r="Y50" i="19"/>
  <c r="Z50" i="19"/>
  <c r="T51" i="19"/>
  <c r="U51" i="19"/>
  <c r="V51" i="19"/>
  <c r="W51" i="19"/>
  <c r="X51" i="19"/>
  <c r="Y51" i="19"/>
  <c r="Z51" i="19"/>
  <c r="T52" i="19"/>
  <c r="U52" i="19"/>
  <c r="V52" i="19"/>
  <c r="W52" i="19"/>
  <c r="X52" i="19"/>
  <c r="Y52" i="19"/>
  <c r="Z52" i="19"/>
  <c r="T53" i="19"/>
  <c r="U53" i="19"/>
  <c r="V53" i="19"/>
  <c r="W53" i="19"/>
  <c r="X53" i="19"/>
  <c r="Y53" i="19"/>
  <c r="Z53" i="19"/>
  <c r="T54" i="19"/>
  <c r="U54" i="19"/>
  <c r="V54" i="19"/>
  <c r="W54" i="19"/>
  <c r="X54" i="19"/>
  <c r="Y54" i="19"/>
  <c r="Z54" i="19"/>
  <c r="T55" i="19"/>
  <c r="U55" i="19"/>
  <c r="V55" i="19"/>
  <c r="W55" i="19"/>
  <c r="X55" i="19"/>
  <c r="Y55" i="19"/>
  <c r="Z55" i="19"/>
  <c r="T56" i="19"/>
  <c r="U56" i="19"/>
  <c r="V56" i="19"/>
  <c r="W56" i="19"/>
  <c r="X56" i="19"/>
  <c r="Y56" i="19"/>
  <c r="Z56" i="19"/>
  <c r="T57" i="19"/>
  <c r="U57" i="19"/>
  <c r="V57" i="19"/>
  <c r="W57" i="19"/>
  <c r="X57" i="19"/>
  <c r="Y57" i="19"/>
  <c r="Z57" i="19"/>
  <c r="T58" i="19"/>
  <c r="U58" i="19"/>
  <c r="V58" i="19"/>
  <c r="W58" i="19"/>
  <c r="X58" i="19"/>
  <c r="Y58" i="19"/>
  <c r="Z58" i="19"/>
  <c r="U44" i="19"/>
  <c r="V44" i="19"/>
  <c r="W44" i="19"/>
  <c r="X44" i="19"/>
  <c r="Y44" i="19"/>
  <c r="Z44" i="19"/>
  <c r="T44" i="19"/>
  <c r="T26" i="19"/>
  <c r="U26" i="19"/>
  <c r="V26" i="19"/>
  <c r="W26" i="19"/>
  <c r="X26" i="19"/>
  <c r="Y26" i="19"/>
  <c r="Z26" i="19"/>
  <c r="T27" i="19"/>
  <c r="U27" i="19"/>
  <c r="V27" i="19"/>
  <c r="W27" i="19"/>
  <c r="X27" i="19"/>
  <c r="Y27" i="19"/>
  <c r="Z27" i="19"/>
  <c r="T28" i="19"/>
  <c r="U28" i="19"/>
  <c r="V28" i="19"/>
  <c r="W28" i="19"/>
  <c r="X28" i="19"/>
  <c r="Y28" i="19"/>
  <c r="Z28" i="19"/>
  <c r="T29" i="19"/>
  <c r="U29" i="19"/>
  <c r="V29" i="19"/>
  <c r="W29" i="19"/>
  <c r="X29" i="19"/>
  <c r="Y29" i="19"/>
  <c r="Z29" i="19"/>
  <c r="T30" i="19"/>
  <c r="U30" i="19"/>
  <c r="V30" i="19"/>
  <c r="W30" i="19"/>
  <c r="X30" i="19"/>
  <c r="Y30" i="19"/>
  <c r="Z30" i="19"/>
  <c r="T31" i="19"/>
  <c r="U31" i="19"/>
  <c r="V31" i="19"/>
  <c r="W31" i="19"/>
  <c r="X31" i="19"/>
  <c r="Y31" i="19"/>
  <c r="Z31" i="19"/>
  <c r="T32" i="19"/>
  <c r="U32" i="19"/>
  <c r="V32" i="19"/>
  <c r="W32" i="19"/>
  <c r="X32" i="19"/>
  <c r="Y32" i="19"/>
  <c r="Z32" i="19"/>
  <c r="T33" i="19"/>
  <c r="U33" i="19"/>
  <c r="V33" i="19"/>
  <c r="W33" i="19"/>
  <c r="X33" i="19"/>
  <c r="Y33" i="19"/>
  <c r="Z33" i="19"/>
  <c r="T34" i="19"/>
  <c r="U34" i="19"/>
  <c r="V34" i="19"/>
  <c r="W34" i="19"/>
  <c r="X34" i="19"/>
  <c r="Y34" i="19"/>
  <c r="Z34" i="19"/>
  <c r="T35" i="19"/>
  <c r="U35" i="19"/>
  <c r="V35" i="19"/>
  <c r="W35" i="19"/>
  <c r="X35" i="19"/>
  <c r="Y35" i="19"/>
  <c r="Z35" i="19"/>
  <c r="T36" i="19"/>
  <c r="U36" i="19"/>
  <c r="V36" i="19"/>
  <c r="W36" i="19"/>
  <c r="X36" i="19"/>
  <c r="Y36" i="19"/>
  <c r="Z36" i="19"/>
  <c r="T37" i="19"/>
  <c r="U37" i="19"/>
  <c r="V37" i="19"/>
  <c r="W37" i="19"/>
  <c r="X37" i="19"/>
  <c r="Y37" i="19"/>
  <c r="Z37" i="19"/>
  <c r="T38" i="19"/>
  <c r="U38" i="19"/>
  <c r="V38" i="19"/>
  <c r="W38" i="19"/>
  <c r="X38" i="19"/>
  <c r="Y38" i="19"/>
  <c r="Z38" i="19"/>
  <c r="T39" i="19"/>
  <c r="U39" i="19"/>
  <c r="V39" i="19"/>
  <c r="W39" i="19"/>
  <c r="X39" i="19"/>
  <c r="Y39" i="19"/>
  <c r="Z39" i="19"/>
  <c r="U25" i="19"/>
  <c r="V25" i="19"/>
  <c r="W25" i="19"/>
  <c r="X25" i="19"/>
  <c r="Y25" i="19"/>
  <c r="Z25" i="19"/>
  <c r="T25" i="19"/>
  <c r="T7" i="19"/>
  <c r="U7" i="19"/>
  <c r="V7" i="19"/>
  <c r="W7" i="19"/>
  <c r="X7" i="19"/>
  <c r="Y7" i="19"/>
  <c r="Z7" i="19"/>
  <c r="T8" i="19"/>
  <c r="U8" i="19"/>
  <c r="V8" i="19"/>
  <c r="W8" i="19"/>
  <c r="X8" i="19"/>
  <c r="Y8" i="19"/>
  <c r="Z8" i="19"/>
  <c r="T9" i="19"/>
  <c r="U9" i="19"/>
  <c r="V9" i="19"/>
  <c r="W9" i="19"/>
  <c r="X9" i="19"/>
  <c r="Y9" i="19"/>
  <c r="Z9" i="19"/>
  <c r="T10" i="19"/>
  <c r="U10" i="19"/>
  <c r="V10" i="19"/>
  <c r="W10" i="19"/>
  <c r="X10" i="19"/>
  <c r="Y10" i="19"/>
  <c r="Z10" i="19"/>
  <c r="T11" i="19"/>
  <c r="U11" i="19"/>
  <c r="V11" i="19"/>
  <c r="W11" i="19"/>
  <c r="X11" i="19"/>
  <c r="Y11" i="19"/>
  <c r="Z11" i="19"/>
  <c r="T12" i="19"/>
  <c r="U12" i="19"/>
  <c r="V12" i="19"/>
  <c r="W12" i="19"/>
  <c r="X12" i="19"/>
  <c r="Y12" i="19"/>
  <c r="Z12" i="19"/>
  <c r="T13" i="19"/>
  <c r="U13" i="19"/>
  <c r="V13" i="19"/>
  <c r="W13" i="19"/>
  <c r="X13" i="19"/>
  <c r="Y13" i="19"/>
  <c r="Z13" i="19"/>
  <c r="T14" i="19"/>
  <c r="U14" i="19"/>
  <c r="V14" i="19"/>
  <c r="W14" i="19"/>
  <c r="X14" i="19"/>
  <c r="Y14" i="19"/>
  <c r="Z14" i="19"/>
  <c r="T15" i="19"/>
  <c r="U15" i="19"/>
  <c r="V15" i="19"/>
  <c r="W15" i="19"/>
  <c r="X15" i="19"/>
  <c r="Y15" i="19"/>
  <c r="Z15" i="19"/>
  <c r="T16" i="19"/>
  <c r="U16" i="19"/>
  <c r="V16" i="19"/>
  <c r="W16" i="19"/>
  <c r="X16" i="19"/>
  <c r="Y16" i="19"/>
  <c r="Z16" i="19"/>
  <c r="T17" i="19"/>
  <c r="U17" i="19"/>
  <c r="V17" i="19"/>
  <c r="W17" i="19"/>
  <c r="X17" i="19"/>
  <c r="Y17" i="19"/>
  <c r="Z17" i="19"/>
  <c r="T18" i="19"/>
  <c r="U18" i="19"/>
  <c r="V18" i="19"/>
  <c r="W18" i="19"/>
  <c r="X18" i="19"/>
  <c r="Y18" i="19"/>
  <c r="Z18" i="19"/>
  <c r="T19" i="19"/>
  <c r="U19" i="19"/>
  <c r="V19" i="19"/>
  <c r="W19" i="19"/>
  <c r="X19" i="19"/>
  <c r="Y19" i="19"/>
  <c r="Z19" i="19"/>
  <c r="T20" i="19"/>
  <c r="U20" i="19"/>
  <c r="V20" i="19"/>
  <c r="W20" i="19"/>
  <c r="X20" i="19"/>
  <c r="Y20" i="19"/>
  <c r="Z20" i="19"/>
  <c r="U6" i="19"/>
  <c r="V6" i="19"/>
  <c r="W6" i="19"/>
  <c r="X6" i="19"/>
  <c r="Y6" i="19"/>
  <c r="Z6" i="19"/>
  <c r="T6" i="19"/>
  <c r="K140" i="19"/>
  <c r="L140" i="19"/>
  <c r="M140" i="19"/>
  <c r="N140" i="19"/>
  <c r="O140" i="19"/>
  <c r="P140" i="19"/>
  <c r="Q140" i="19"/>
  <c r="K141" i="19"/>
  <c r="L141" i="19"/>
  <c r="M141" i="19"/>
  <c r="N141" i="19"/>
  <c r="O141" i="19"/>
  <c r="P141" i="19"/>
  <c r="Q141" i="19"/>
  <c r="K142" i="19"/>
  <c r="L142" i="19"/>
  <c r="M142" i="19"/>
  <c r="N142" i="19"/>
  <c r="O142" i="19"/>
  <c r="P142" i="19"/>
  <c r="Q142" i="19"/>
  <c r="K143" i="19"/>
  <c r="L143" i="19"/>
  <c r="M143" i="19"/>
  <c r="N143" i="19"/>
  <c r="O143" i="19"/>
  <c r="P143" i="19"/>
  <c r="Q143" i="19"/>
  <c r="K144" i="19"/>
  <c r="L144" i="19"/>
  <c r="M144" i="19"/>
  <c r="N144" i="19"/>
  <c r="O144" i="19"/>
  <c r="P144" i="19"/>
  <c r="Q144" i="19"/>
  <c r="K145" i="19"/>
  <c r="L145" i="19"/>
  <c r="M145" i="19"/>
  <c r="N145" i="19"/>
  <c r="O145" i="19"/>
  <c r="P145" i="19"/>
  <c r="Q145" i="19"/>
  <c r="K146" i="19"/>
  <c r="L146" i="19"/>
  <c r="M146" i="19"/>
  <c r="N146" i="19"/>
  <c r="O146" i="19"/>
  <c r="P146" i="19"/>
  <c r="Q146" i="19"/>
  <c r="K147" i="19"/>
  <c r="L147" i="19"/>
  <c r="M147" i="19"/>
  <c r="N147" i="19"/>
  <c r="O147" i="19"/>
  <c r="P147" i="19"/>
  <c r="Q147" i="19"/>
  <c r="K148" i="19"/>
  <c r="L148" i="19"/>
  <c r="M148" i="19"/>
  <c r="N148" i="19"/>
  <c r="O148" i="19"/>
  <c r="P148" i="19"/>
  <c r="Q148" i="19"/>
  <c r="K149" i="19"/>
  <c r="L149" i="19"/>
  <c r="M149" i="19"/>
  <c r="N149" i="19"/>
  <c r="O149" i="19"/>
  <c r="P149" i="19"/>
  <c r="Q149" i="19"/>
  <c r="K150" i="19"/>
  <c r="L150" i="19"/>
  <c r="M150" i="19"/>
  <c r="N150" i="19"/>
  <c r="O150" i="19"/>
  <c r="P150" i="19"/>
  <c r="Q150" i="19"/>
  <c r="K151" i="19"/>
  <c r="L151" i="19"/>
  <c r="M151" i="19"/>
  <c r="N151" i="19"/>
  <c r="O151" i="19"/>
  <c r="P151" i="19"/>
  <c r="Q151" i="19"/>
  <c r="K152" i="19"/>
  <c r="L152" i="19"/>
  <c r="M152" i="19"/>
  <c r="N152" i="19"/>
  <c r="O152" i="19"/>
  <c r="P152" i="19"/>
  <c r="Q152" i="19"/>
  <c r="K153" i="19"/>
  <c r="L153" i="19"/>
  <c r="M153" i="19"/>
  <c r="N153" i="19"/>
  <c r="O153" i="19"/>
  <c r="P153" i="19"/>
  <c r="Q153" i="19"/>
  <c r="L139" i="19"/>
  <c r="M139" i="19"/>
  <c r="N139" i="19"/>
  <c r="O139" i="19"/>
  <c r="P139" i="19"/>
  <c r="Q139" i="19"/>
  <c r="K139" i="19"/>
  <c r="K121" i="19"/>
  <c r="L121" i="19"/>
  <c r="M121" i="19"/>
  <c r="N121" i="19"/>
  <c r="O121" i="19"/>
  <c r="P121" i="19"/>
  <c r="Q121" i="19"/>
  <c r="K122" i="19"/>
  <c r="L122" i="19"/>
  <c r="M122" i="19"/>
  <c r="N122" i="19"/>
  <c r="O122" i="19"/>
  <c r="P122" i="19"/>
  <c r="Q122" i="19"/>
  <c r="K123" i="19"/>
  <c r="L123" i="19"/>
  <c r="M123" i="19"/>
  <c r="N123" i="19"/>
  <c r="O123" i="19"/>
  <c r="P123" i="19"/>
  <c r="Q123" i="19"/>
  <c r="K124" i="19"/>
  <c r="L124" i="19"/>
  <c r="M124" i="19"/>
  <c r="N124" i="19"/>
  <c r="O124" i="19"/>
  <c r="P124" i="19"/>
  <c r="Q124" i="19"/>
  <c r="K125" i="19"/>
  <c r="L125" i="19"/>
  <c r="M125" i="19"/>
  <c r="N125" i="19"/>
  <c r="O125" i="19"/>
  <c r="P125" i="19"/>
  <c r="Q125" i="19"/>
  <c r="K126" i="19"/>
  <c r="L126" i="19"/>
  <c r="M126" i="19"/>
  <c r="N126" i="19"/>
  <c r="O126" i="19"/>
  <c r="P126" i="19"/>
  <c r="Q126" i="19"/>
  <c r="K127" i="19"/>
  <c r="L127" i="19"/>
  <c r="M127" i="19"/>
  <c r="N127" i="19"/>
  <c r="O127" i="19"/>
  <c r="P127" i="19"/>
  <c r="Q127" i="19"/>
  <c r="K128" i="19"/>
  <c r="L128" i="19"/>
  <c r="M128" i="19"/>
  <c r="N128" i="19"/>
  <c r="O128" i="19"/>
  <c r="P128" i="19"/>
  <c r="Q128" i="19"/>
  <c r="K129" i="19"/>
  <c r="L129" i="19"/>
  <c r="M129" i="19"/>
  <c r="N129" i="19"/>
  <c r="O129" i="19"/>
  <c r="P129" i="19"/>
  <c r="Q129" i="19"/>
  <c r="K130" i="19"/>
  <c r="L130" i="19"/>
  <c r="M130" i="19"/>
  <c r="N130" i="19"/>
  <c r="O130" i="19"/>
  <c r="P130" i="19"/>
  <c r="Q130" i="19"/>
  <c r="K131" i="19"/>
  <c r="L131" i="19"/>
  <c r="M131" i="19"/>
  <c r="N131" i="19"/>
  <c r="O131" i="19"/>
  <c r="P131" i="19"/>
  <c r="Q131" i="19"/>
  <c r="K132" i="19"/>
  <c r="L132" i="19"/>
  <c r="M132" i="19"/>
  <c r="N132" i="19"/>
  <c r="O132" i="19"/>
  <c r="P132" i="19"/>
  <c r="Q132" i="19"/>
  <c r="K133" i="19"/>
  <c r="L133" i="19"/>
  <c r="M133" i="19"/>
  <c r="N133" i="19"/>
  <c r="O133" i="19"/>
  <c r="P133" i="19"/>
  <c r="Q133" i="19"/>
  <c r="K134" i="19"/>
  <c r="L134" i="19"/>
  <c r="M134" i="19"/>
  <c r="N134" i="19"/>
  <c r="O134" i="19"/>
  <c r="P134" i="19"/>
  <c r="Q134" i="19"/>
  <c r="L120" i="19"/>
  <c r="M120" i="19"/>
  <c r="N120" i="19"/>
  <c r="O120" i="19"/>
  <c r="P120" i="19"/>
  <c r="Q120" i="19"/>
  <c r="K120" i="19"/>
  <c r="K102" i="19"/>
  <c r="L102" i="19"/>
  <c r="M102" i="19"/>
  <c r="N102" i="19"/>
  <c r="O102" i="19"/>
  <c r="P102" i="19"/>
  <c r="Q102" i="19"/>
  <c r="K103" i="19"/>
  <c r="L103" i="19"/>
  <c r="M103" i="19"/>
  <c r="N103" i="19"/>
  <c r="O103" i="19"/>
  <c r="P103" i="19"/>
  <c r="Q103" i="19"/>
  <c r="K104" i="19"/>
  <c r="L104" i="19"/>
  <c r="M104" i="19"/>
  <c r="N104" i="19"/>
  <c r="O104" i="19"/>
  <c r="P104" i="19"/>
  <c r="Q104" i="19"/>
  <c r="K105" i="19"/>
  <c r="L105" i="19"/>
  <c r="M105" i="19"/>
  <c r="N105" i="19"/>
  <c r="O105" i="19"/>
  <c r="P105" i="19"/>
  <c r="Q105" i="19"/>
  <c r="K106" i="19"/>
  <c r="L106" i="19"/>
  <c r="M106" i="19"/>
  <c r="N106" i="19"/>
  <c r="O106" i="19"/>
  <c r="P106" i="19"/>
  <c r="Q106" i="19"/>
  <c r="K107" i="19"/>
  <c r="L107" i="19"/>
  <c r="M107" i="19"/>
  <c r="N107" i="19"/>
  <c r="O107" i="19"/>
  <c r="P107" i="19"/>
  <c r="Q107" i="19"/>
  <c r="K108" i="19"/>
  <c r="L108" i="19"/>
  <c r="M108" i="19"/>
  <c r="N108" i="19"/>
  <c r="O108" i="19"/>
  <c r="P108" i="19"/>
  <c r="Q108" i="19"/>
  <c r="K109" i="19"/>
  <c r="L109" i="19"/>
  <c r="M109" i="19"/>
  <c r="N109" i="19"/>
  <c r="O109" i="19"/>
  <c r="P109" i="19"/>
  <c r="Q109" i="19"/>
  <c r="K110" i="19"/>
  <c r="L110" i="19"/>
  <c r="M110" i="19"/>
  <c r="N110" i="19"/>
  <c r="O110" i="19"/>
  <c r="P110" i="19"/>
  <c r="Q110" i="19"/>
  <c r="K111" i="19"/>
  <c r="L111" i="19"/>
  <c r="M111" i="19"/>
  <c r="N111" i="19"/>
  <c r="O111" i="19"/>
  <c r="P111" i="19"/>
  <c r="Q111" i="19"/>
  <c r="K112" i="19"/>
  <c r="L112" i="19"/>
  <c r="M112" i="19"/>
  <c r="N112" i="19"/>
  <c r="O112" i="19"/>
  <c r="P112" i="19"/>
  <c r="Q112" i="19"/>
  <c r="K113" i="19"/>
  <c r="L113" i="19"/>
  <c r="M113" i="19"/>
  <c r="N113" i="19"/>
  <c r="O113" i="19"/>
  <c r="P113" i="19"/>
  <c r="Q113" i="19"/>
  <c r="K114" i="19"/>
  <c r="L114" i="19"/>
  <c r="M114" i="19"/>
  <c r="N114" i="19"/>
  <c r="O114" i="19"/>
  <c r="P114" i="19"/>
  <c r="Q114" i="19"/>
  <c r="K115" i="19"/>
  <c r="L115" i="19"/>
  <c r="M115" i="19"/>
  <c r="N115" i="19"/>
  <c r="O115" i="19"/>
  <c r="P115" i="19"/>
  <c r="Q115" i="19"/>
  <c r="L101" i="19"/>
  <c r="M101" i="19"/>
  <c r="N101" i="19"/>
  <c r="O101" i="19"/>
  <c r="P101" i="19"/>
  <c r="Q101" i="19"/>
  <c r="K101" i="19"/>
  <c r="K83" i="19"/>
  <c r="L83" i="19"/>
  <c r="M83" i="19"/>
  <c r="N83" i="19"/>
  <c r="O83" i="19"/>
  <c r="P83" i="19"/>
  <c r="Q83" i="19"/>
  <c r="K84" i="19"/>
  <c r="L84" i="19"/>
  <c r="M84" i="19"/>
  <c r="N84" i="19"/>
  <c r="O84" i="19"/>
  <c r="P84" i="19"/>
  <c r="Q84" i="19"/>
  <c r="K85" i="19"/>
  <c r="L85" i="19"/>
  <c r="M85" i="19"/>
  <c r="N85" i="19"/>
  <c r="O85" i="19"/>
  <c r="P85" i="19"/>
  <c r="Q85" i="19"/>
  <c r="K86" i="19"/>
  <c r="L86" i="19"/>
  <c r="M86" i="19"/>
  <c r="N86" i="19"/>
  <c r="O86" i="19"/>
  <c r="P86" i="19"/>
  <c r="Q86" i="19"/>
  <c r="K87" i="19"/>
  <c r="L87" i="19"/>
  <c r="M87" i="19"/>
  <c r="N87" i="19"/>
  <c r="O87" i="19"/>
  <c r="P87" i="19"/>
  <c r="Q87" i="19"/>
  <c r="K88" i="19"/>
  <c r="L88" i="19"/>
  <c r="M88" i="19"/>
  <c r="N88" i="19"/>
  <c r="O88" i="19"/>
  <c r="P88" i="19"/>
  <c r="Q88" i="19"/>
  <c r="K89" i="19"/>
  <c r="L89" i="19"/>
  <c r="M89" i="19"/>
  <c r="N89" i="19"/>
  <c r="O89" i="19"/>
  <c r="P89" i="19"/>
  <c r="Q89" i="19"/>
  <c r="K90" i="19"/>
  <c r="L90" i="19"/>
  <c r="M90" i="19"/>
  <c r="N90" i="19"/>
  <c r="O90" i="19"/>
  <c r="P90" i="19"/>
  <c r="Q90" i="19"/>
  <c r="K91" i="19"/>
  <c r="L91" i="19"/>
  <c r="M91" i="19"/>
  <c r="N91" i="19"/>
  <c r="O91" i="19"/>
  <c r="P91" i="19"/>
  <c r="Q91" i="19"/>
  <c r="K92" i="19"/>
  <c r="L92" i="19"/>
  <c r="M92" i="19"/>
  <c r="N92" i="19"/>
  <c r="O92" i="19"/>
  <c r="P92" i="19"/>
  <c r="Q92" i="19"/>
  <c r="K93" i="19"/>
  <c r="L93" i="19"/>
  <c r="M93" i="19"/>
  <c r="N93" i="19"/>
  <c r="O93" i="19"/>
  <c r="P93" i="19"/>
  <c r="Q93" i="19"/>
  <c r="K94" i="19"/>
  <c r="L94" i="19"/>
  <c r="M94" i="19"/>
  <c r="N94" i="19"/>
  <c r="O94" i="19"/>
  <c r="P94" i="19"/>
  <c r="Q94" i="19"/>
  <c r="K95" i="19"/>
  <c r="L95" i="19"/>
  <c r="M95" i="19"/>
  <c r="N95" i="19"/>
  <c r="O95" i="19"/>
  <c r="P95" i="19"/>
  <c r="Q95" i="19"/>
  <c r="K96" i="19"/>
  <c r="L96" i="19"/>
  <c r="M96" i="19"/>
  <c r="N96" i="19"/>
  <c r="O96" i="19"/>
  <c r="P96" i="19"/>
  <c r="Q96" i="19"/>
  <c r="L82" i="19"/>
  <c r="M82" i="19"/>
  <c r="N82" i="19"/>
  <c r="O82" i="19"/>
  <c r="P82" i="19"/>
  <c r="Q82" i="19"/>
  <c r="K82" i="19"/>
  <c r="K64" i="19"/>
  <c r="L64" i="19"/>
  <c r="M64" i="19"/>
  <c r="N64" i="19"/>
  <c r="O64" i="19"/>
  <c r="P64" i="19"/>
  <c r="Q64" i="19"/>
  <c r="K65" i="19"/>
  <c r="L65" i="19"/>
  <c r="M65" i="19"/>
  <c r="N65" i="19"/>
  <c r="O65" i="19"/>
  <c r="P65" i="19"/>
  <c r="Q65" i="19"/>
  <c r="K66" i="19"/>
  <c r="L66" i="19"/>
  <c r="M66" i="19"/>
  <c r="N66" i="19"/>
  <c r="O66" i="19"/>
  <c r="P66" i="19"/>
  <c r="Q66" i="19"/>
  <c r="K67" i="19"/>
  <c r="L67" i="19"/>
  <c r="M67" i="19"/>
  <c r="N67" i="19"/>
  <c r="O67" i="19"/>
  <c r="P67" i="19"/>
  <c r="Q67" i="19"/>
  <c r="K68" i="19"/>
  <c r="L68" i="19"/>
  <c r="M68" i="19"/>
  <c r="N68" i="19"/>
  <c r="O68" i="19"/>
  <c r="P68" i="19"/>
  <c r="Q68" i="19"/>
  <c r="K69" i="19"/>
  <c r="L69" i="19"/>
  <c r="M69" i="19"/>
  <c r="N69" i="19"/>
  <c r="O69" i="19"/>
  <c r="P69" i="19"/>
  <c r="Q69" i="19"/>
  <c r="K70" i="19"/>
  <c r="L70" i="19"/>
  <c r="M70" i="19"/>
  <c r="N70" i="19"/>
  <c r="O70" i="19"/>
  <c r="P70" i="19"/>
  <c r="Q70" i="19"/>
  <c r="K71" i="19"/>
  <c r="L71" i="19"/>
  <c r="M71" i="19"/>
  <c r="N71" i="19"/>
  <c r="O71" i="19"/>
  <c r="P71" i="19"/>
  <c r="Q71" i="19"/>
  <c r="K72" i="19"/>
  <c r="L72" i="19"/>
  <c r="M72" i="19"/>
  <c r="N72" i="19"/>
  <c r="O72" i="19"/>
  <c r="P72" i="19"/>
  <c r="Q72" i="19"/>
  <c r="K73" i="19"/>
  <c r="L73" i="19"/>
  <c r="M73" i="19"/>
  <c r="N73" i="19"/>
  <c r="O73" i="19"/>
  <c r="P73" i="19"/>
  <c r="Q73" i="19"/>
  <c r="K74" i="19"/>
  <c r="L74" i="19"/>
  <c r="M74" i="19"/>
  <c r="N74" i="19"/>
  <c r="O74" i="19"/>
  <c r="P74" i="19"/>
  <c r="Q74" i="19"/>
  <c r="K75" i="19"/>
  <c r="L75" i="19"/>
  <c r="M75" i="19"/>
  <c r="N75" i="19"/>
  <c r="O75" i="19"/>
  <c r="P75" i="19"/>
  <c r="Q75" i="19"/>
  <c r="K76" i="19"/>
  <c r="L76" i="19"/>
  <c r="M76" i="19"/>
  <c r="N76" i="19"/>
  <c r="O76" i="19"/>
  <c r="P76" i="19"/>
  <c r="Q76" i="19"/>
  <c r="K77" i="19"/>
  <c r="L77" i="19"/>
  <c r="M77" i="19"/>
  <c r="N77" i="19"/>
  <c r="O77" i="19"/>
  <c r="P77" i="19"/>
  <c r="Q77" i="19"/>
  <c r="L63" i="19"/>
  <c r="M63" i="19"/>
  <c r="N63" i="19"/>
  <c r="O63" i="19"/>
  <c r="P63" i="19"/>
  <c r="Q63" i="19"/>
  <c r="K63" i="19"/>
  <c r="K45" i="19"/>
  <c r="L45" i="19"/>
  <c r="M45" i="19"/>
  <c r="N45" i="19"/>
  <c r="O45" i="19"/>
  <c r="P45" i="19"/>
  <c r="Q45" i="19"/>
  <c r="K46" i="19"/>
  <c r="L46" i="19"/>
  <c r="M46" i="19"/>
  <c r="N46" i="19"/>
  <c r="O46" i="19"/>
  <c r="P46" i="19"/>
  <c r="Q46" i="19"/>
  <c r="K47" i="19"/>
  <c r="L47" i="19"/>
  <c r="M47" i="19"/>
  <c r="N47" i="19"/>
  <c r="O47" i="19"/>
  <c r="P47" i="19"/>
  <c r="Q47" i="19"/>
  <c r="K48" i="19"/>
  <c r="L48" i="19"/>
  <c r="M48" i="19"/>
  <c r="N48" i="19"/>
  <c r="O48" i="19"/>
  <c r="P48" i="19"/>
  <c r="Q48" i="19"/>
  <c r="K49" i="19"/>
  <c r="L49" i="19"/>
  <c r="M49" i="19"/>
  <c r="N49" i="19"/>
  <c r="O49" i="19"/>
  <c r="P49" i="19"/>
  <c r="Q49" i="19"/>
  <c r="K50" i="19"/>
  <c r="L50" i="19"/>
  <c r="M50" i="19"/>
  <c r="N50" i="19"/>
  <c r="O50" i="19"/>
  <c r="P50" i="19"/>
  <c r="Q50" i="19"/>
  <c r="K51" i="19"/>
  <c r="L51" i="19"/>
  <c r="M51" i="19"/>
  <c r="N51" i="19"/>
  <c r="O51" i="19"/>
  <c r="P51" i="19"/>
  <c r="Q51" i="19"/>
  <c r="K52" i="19"/>
  <c r="L52" i="19"/>
  <c r="M52" i="19"/>
  <c r="N52" i="19"/>
  <c r="O52" i="19"/>
  <c r="P52" i="19"/>
  <c r="Q52" i="19"/>
  <c r="K53" i="19"/>
  <c r="L53" i="19"/>
  <c r="M53" i="19"/>
  <c r="N53" i="19"/>
  <c r="O53" i="19"/>
  <c r="P53" i="19"/>
  <c r="Q53" i="19"/>
  <c r="K54" i="19"/>
  <c r="L54" i="19"/>
  <c r="M54" i="19"/>
  <c r="N54" i="19"/>
  <c r="O54" i="19"/>
  <c r="P54" i="19"/>
  <c r="Q54" i="19"/>
  <c r="K55" i="19"/>
  <c r="L55" i="19"/>
  <c r="M55" i="19"/>
  <c r="N55" i="19"/>
  <c r="O55" i="19"/>
  <c r="P55" i="19"/>
  <c r="Q55" i="19"/>
  <c r="K56" i="19"/>
  <c r="L56" i="19"/>
  <c r="M56" i="19"/>
  <c r="N56" i="19"/>
  <c r="O56" i="19"/>
  <c r="P56" i="19"/>
  <c r="Q56" i="19"/>
  <c r="K57" i="19"/>
  <c r="L57" i="19"/>
  <c r="M57" i="19"/>
  <c r="N57" i="19"/>
  <c r="O57" i="19"/>
  <c r="P57" i="19"/>
  <c r="Q57" i="19"/>
  <c r="K58" i="19"/>
  <c r="L58" i="19"/>
  <c r="M58" i="19"/>
  <c r="N58" i="19"/>
  <c r="O58" i="19"/>
  <c r="P58" i="19"/>
  <c r="Q58" i="19"/>
  <c r="L44" i="19"/>
  <c r="M44" i="19"/>
  <c r="N44" i="19"/>
  <c r="O44" i="19"/>
  <c r="P44" i="19"/>
  <c r="Q44" i="19"/>
  <c r="K44" i="19"/>
  <c r="K26" i="19"/>
  <c r="L26" i="19"/>
  <c r="M26" i="19"/>
  <c r="N26" i="19"/>
  <c r="O26" i="19"/>
  <c r="P26" i="19"/>
  <c r="Q26" i="19"/>
  <c r="K27" i="19"/>
  <c r="L27" i="19"/>
  <c r="M27" i="19"/>
  <c r="N27" i="19"/>
  <c r="O27" i="19"/>
  <c r="P27" i="19"/>
  <c r="Q27" i="19"/>
  <c r="K28" i="19"/>
  <c r="L28" i="19"/>
  <c r="M28" i="19"/>
  <c r="N28" i="19"/>
  <c r="O28" i="19"/>
  <c r="P28" i="19"/>
  <c r="Q28" i="19"/>
  <c r="K29" i="19"/>
  <c r="L29" i="19"/>
  <c r="M29" i="19"/>
  <c r="N29" i="19"/>
  <c r="O29" i="19"/>
  <c r="P29" i="19"/>
  <c r="Q29" i="19"/>
  <c r="K30" i="19"/>
  <c r="L30" i="19"/>
  <c r="M30" i="19"/>
  <c r="N30" i="19"/>
  <c r="O30" i="19"/>
  <c r="P30" i="19"/>
  <c r="Q30" i="19"/>
  <c r="K31" i="19"/>
  <c r="L31" i="19"/>
  <c r="M31" i="19"/>
  <c r="N31" i="19"/>
  <c r="O31" i="19"/>
  <c r="P31" i="19"/>
  <c r="Q31" i="19"/>
  <c r="K32" i="19"/>
  <c r="L32" i="19"/>
  <c r="M32" i="19"/>
  <c r="N32" i="19"/>
  <c r="O32" i="19"/>
  <c r="P32" i="19"/>
  <c r="Q32" i="19"/>
  <c r="K33" i="19"/>
  <c r="L33" i="19"/>
  <c r="M33" i="19"/>
  <c r="N33" i="19"/>
  <c r="O33" i="19"/>
  <c r="P33" i="19"/>
  <c r="Q33" i="19"/>
  <c r="K34" i="19"/>
  <c r="L34" i="19"/>
  <c r="M34" i="19"/>
  <c r="N34" i="19"/>
  <c r="O34" i="19"/>
  <c r="P34" i="19"/>
  <c r="Q34" i="19"/>
  <c r="K35" i="19"/>
  <c r="L35" i="19"/>
  <c r="M35" i="19"/>
  <c r="N35" i="19"/>
  <c r="O35" i="19"/>
  <c r="P35" i="19"/>
  <c r="Q35" i="19"/>
  <c r="K36" i="19"/>
  <c r="L36" i="19"/>
  <c r="M36" i="19"/>
  <c r="N36" i="19"/>
  <c r="O36" i="19"/>
  <c r="P36" i="19"/>
  <c r="Q36" i="19"/>
  <c r="K37" i="19"/>
  <c r="L37" i="19"/>
  <c r="M37" i="19"/>
  <c r="N37" i="19"/>
  <c r="O37" i="19"/>
  <c r="P37" i="19"/>
  <c r="Q37" i="19"/>
  <c r="K38" i="19"/>
  <c r="L38" i="19"/>
  <c r="M38" i="19"/>
  <c r="N38" i="19"/>
  <c r="O38" i="19"/>
  <c r="P38" i="19"/>
  <c r="Q38" i="19"/>
  <c r="K39" i="19"/>
  <c r="L39" i="19"/>
  <c r="M39" i="19"/>
  <c r="N39" i="19"/>
  <c r="O39" i="19"/>
  <c r="P39" i="19"/>
  <c r="Q39" i="19"/>
  <c r="L25" i="19"/>
  <c r="M25" i="19"/>
  <c r="N25" i="19"/>
  <c r="O25" i="19"/>
  <c r="P25" i="19"/>
  <c r="Q25" i="19"/>
  <c r="K25" i="19"/>
  <c r="K7" i="19"/>
  <c r="L7" i="19"/>
  <c r="M7" i="19"/>
  <c r="N7" i="19"/>
  <c r="O7" i="19"/>
  <c r="P7" i="19"/>
  <c r="Q7" i="19"/>
  <c r="K8" i="19"/>
  <c r="L8" i="19"/>
  <c r="M8" i="19"/>
  <c r="N8" i="19"/>
  <c r="O8" i="19"/>
  <c r="P8" i="19"/>
  <c r="Q8" i="19"/>
  <c r="K9" i="19"/>
  <c r="L9" i="19"/>
  <c r="M9" i="19"/>
  <c r="N9" i="19"/>
  <c r="O9" i="19"/>
  <c r="P9" i="19"/>
  <c r="Q9" i="19"/>
  <c r="K10" i="19"/>
  <c r="L10" i="19"/>
  <c r="M10" i="19"/>
  <c r="N10" i="19"/>
  <c r="O10" i="19"/>
  <c r="P10" i="19"/>
  <c r="Q10" i="19"/>
  <c r="K11" i="19"/>
  <c r="L11" i="19"/>
  <c r="M11" i="19"/>
  <c r="N11" i="19"/>
  <c r="O11" i="19"/>
  <c r="P11" i="19"/>
  <c r="Q11" i="19"/>
  <c r="K12" i="19"/>
  <c r="L12" i="19"/>
  <c r="M12" i="19"/>
  <c r="N12" i="19"/>
  <c r="O12" i="19"/>
  <c r="P12" i="19"/>
  <c r="Q12" i="19"/>
  <c r="K13" i="19"/>
  <c r="L13" i="19"/>
  <c r="M13" i="19"/>
  <c r="N13" i="19"/>
  <c r="O13" i="19"/>
  <c r="P13" i="19"/>
  <c r="Q13" i="19"/>
  <c r="K14" i="19"/>
  <c r="L14" i="19"/>
  <c r="M14" i="19"/>
  <c r="N14" i="19"/>
  <c r="O14" i="19"/>
  <c r="P14" i="19"/>
  <c r="Q14" i="19"/>
  <c r="K15" i="19"/>
  <c r="L15" i="19"/>
  <c r="M15" i="19"/>
  <c r="N15" i="19"/>
  <c r="O15" i="19"/>
  <c r="P15" i="19"/>
  <c r="Q15" i="19"/>
  <c r="K16" i="19"/>
  <c r="L16" i="19"/>
  <c r="M16" i="19"/>
  <c r="N16" i="19"/>
  <c r="O16" i="19"/>
  <c r="P16" i="19"/>
  <c r="Q16" i="19"/>
  <c r="K17" i="19"/>
  <c r="L17" i="19"/>
  <c r="M17" i="19"/>
  <c r="N17" i="19"/>
  <c r="O17" i="19"/>
  <c r="P17" i="19"/>
  <c r="Q17" i="19"/>
  <c r="K18" i="19"/>
  <c r="L18" i="19"/>
  <c r="M18" i="19"/>
  <c r="N18" i="19"/>
  <c r="O18" i="19"/>
  <c r="P18" i="19"/>
  <c r="Q18" i="19"/>
  <c r="K19" i="19"/>
  <c r="L19" i="19"/>
  <c r="M19" i="19"/>
  <c r="N19" i="19"/>
  <c r="O19" i="19"/>
  <c r="P19" i="19"/>
  <c r="Q19" i="19"/>
  <c r="K20" i="19"/>
  <c r="L20" i="19"/>
  <c r="M20" i="19"/>
  <c r="N20" i="19"/>
  <c r="O20" i="19"/>
  <c r="P20" i="19"/>
  <c r="Q20" i="19"/>
  <c r="L6" i="19"/>
  <c r="M6" i="19"/>
  <c r="N6" i="19"/>
  <c r="O6" i="19"/>
  <c r="P6" i="19"/>
  <c r="Q6" i="19"/>
  <c r="K6" i="19"/>
  <c r="B140" i="19"/>
  <c r="C140" i="19"/>
  <c r="D140" i="19"/>
  <c r="E140" i="19"/>
  <c r="F140" i="19"/>
  <c r="G140" i="19"/>
  <c r="H140" i="19"/>
  <c r="B141" i="19"/>
  <c r="C141" i="19"/>
  <c r="D141" i="19"/>
  <c r="E141" i="19"/>
  <c r="F141" i="19"/>
  <c r="G141" i="19"/>
  <c r="H141" i="19"/>
  <c r="B142" i="19"/>
  <c r="C142" i="19"/>
  <c r="D142" i="19"/>
  <c r="E142" i="19"/>
  <c r="F142" i="19"/>
  <c r="G142" i="19"/>
  <c r="H142" i="19"/>
  <c r="B143" i="19"/>
  <c r="C143" i="19"/>
  <c r="D143" i="19"/>
  <c r="E143" i="19"/>
  <c r="F143" i="19"/>
  <c r="G143" i="19"/>
  <c r="H143" i="19"/>
  <c r="B144" i="19"/>
  <c r="C144" i="19"/>
  <c r="D144" i="19"/>
  <c r="E144" i="19"/>
  <c r="F144" i="19"/>
  <c r="G144" i="19"/>
  <c r="H144" i="19"/>
  <c r="B145" i="19"/>
  <c r="C145" i="19"/>
  <c r="D145" i="19"/>
  <c r="E145" i="19"/>
  <c r="F145" i="19"/>
  <c r="G145" i="19"/>
  <c r="H145" i="19"/>
  <c r="B146" i="19"/>
  <c r="C146" i="19"/>
  <c r="D146" i="19"/>
  <c r="E146" i="19"/>
  <c r="F146" i="19"/>
  <c r="G146" i="19"/>
  <c r="H146" i="19"/>
  <c r="B147" i="19"/>
  <c r="C147" i="19"/>
  <c r="D147" i="19"/>
  <c r="E147" i="19"/>
  <c r="F147" i="19"/>
  <c r="G147" i="19"/>
  <c r="H147" i="19"/>
  <c r="B148" i="19"/>
  <c r="C148" i="19"/>
  <c r="D148" i="19"/>
  <c r="E148" i="19"/>
  <c r="F148" i="19"/>
  <c r="G148" i="19"/>
  <c r="H148" i="19"/>
  <c r="B149" i="19"/>
  <c r="C149" i="19"/>
  <c r="D149" i="19"/>
  <c r="E149" i="19"/>
  <c r="F149" i="19"/>
  <c r="G149" i="19"/>
  <c r="H149" i="19"/>
  <c r="B150" i="19"/>
  <c r="C150" i="19"/>
  <c r="D150" i="19"/>
  <c r="E150" i="19"/>
  <c r="F150" i="19"/>
  <c r="G150" i="19"/>
  <c r="H150" i="19"/>
  <c r="B151" i="19"/>
  <c r="C151" i="19"/>
  <c r="D151" i="19"/>
  <c r="E151" i="19"/>
  <c r="F151" i="19"/>
  <c r="G151" i="19"/>
  <c r="H151" i="19"/>
  <c r="B152" i="19"/>
  <c r="C152" i="19"/>
  <c r="D152" i="19"/>
  <c r="E152" i="19"/>
  <c r="F152" i="19"/>
  <c r="G152" i="19"/>
  <c r="H152" i="19"/>
  <c r="B153" i="19"/>
  <c r="C153" i="19"/>
  <c r="D153" i="19"/>
  <c r="E153" i="19"/>
  <c r="F153" i="19"/>
  <c r="G153" i="19"/>
  <c r="H153" i="19"/>
  <c r="C139" i="19"/>
  <c r="D139" i="19"/>
  <c r="E139" i="19"/>
  <c r="F139" i="19"/>
  <c r="G139" i="19"/>
  <c r="H139" i="19"/>
  <c r="B139" i="19"/>
  <c r="B121" i="19"/>
  <c r="C121" i="19"/>
  <c r="D121" i="19"/>
  <c r="E121" i="19"/>
  <c r="F121" i="19"/>
  <c r="G121" i="19"/>
  <c r="H121" i="19"/>
  <c r="B122" i="19"/>
  <c r="C122" i="19"/>
  <c r="D122" i="19"/>
  <c r="E122" i="19"/>
  <c r="F122" i="19"/>
  <c r="G122" i="19"/>
  <c r="H122" i="19"/>
  <c r="B123" i="19"/>
  <c r="C123" i="19"/>
  <c r="D123" i="19"/>
  <c r="E123" i="19"/>
  <c r="F123" i="19"/>
  <c r="G123" i="19"/>
  <c r="H123" i="19"/>
  <c r="B124" i="19"/>
  <c r="C124" i="19"/>
  <c r="D124" i="19"/>
  <c r="E124" i="19"/>
  <c r="F124" i="19"/>
  <c r="G124" i="19"/>
  <c r="H124" i="19"/>
  <c r="B125" i="19"/>
  <c r="C125" i="19"/>
  <c r="D125" i="19"/>
  <c r="E125" i="19"/>
  <c r="F125" i="19"/>
  <c r="G125" i="19"/>
  <c r="H125" i="19"/>
  <c r="B126" i="19"/>
  <c r="C126" i="19"/>
  <c r="D126" i="19"/>
  <c r="E126" i="19"/>
  <c r="F126" i="19"/>
  <c r="G126" i="19"/>
  <c r="H126" i="19"/>
  <c r="B127" i="19"/>
  <c r="C127" i="19"/>
  <c r="D127" i="19"/>
  <c r="E127" i="19"/>
  <c r="F127" i="19"/>
  <c r="G127" i="19"/>
  <c r="H127" i="19"/>
  <c r="B128" i="19"/>
  <c r="C128" i="19"/>
  <c r="D128" i="19"/>
  <c r="E128" i="19"/>
  <c r="F128" i="19"/>
  <c r="G128" i="19"/>
  <c r="H128" i="19"/>
  <c r="B129" i="19"/>
  <c r="C129" i="19"/>
  <c r="D129" i="19"/>
  <c r="E129" i="19"/>
  <c r="F129" i="19"/>
  <c r="G129" i="19"/>
  <c r="H129" i="19"/>
  <c r="B130" i="19"/>
  <c r="C130" i="19"/>
  <c r="D130" i="19"/>
  <c r="E130" i="19"/>
  <c r="F130" i="19"/>
  <c r="G130" i="19"/>
  <c r="H130" i="19"/>
  <c r="B131" i="19"/>
  <c r="C131" i="19"/>
  <c r="D131" i="19"/>
  <c r="E131" i="19"/>
  <c r="F131" i="19"/>
  <c r="G131" i="19"/>
  <c r="H131" i="19"/>
  <c r="B132" i="19"/>
  <c r="C132" i="19"/>
  <c r="D132" i="19"/>
  <c r="E132" i="19"/>
  <c r="F132" i="19"/>
  <c r="G132" i="19"/>
  <c r="H132" i="19"/>
  <c r="B133" i="19"/>
  <c r="C133" i="19"/>
  <c r="D133" i="19"/>
  <c r="E133" i="19"/>
  <c r="F133" i="19"/>
  <c r="G133" i="19"/>
  <c r="H133" i="19"/>
  <c r="B134" i="19"/>
  <c r="C134" i="19"/>
  <c r="D134" i="19"/>
  <c r="E134" i="19"/>
  <c r="F134" i="19"/>
  <c r="G134" i="19"/>
  <c r="H134" i="19"/>
  <c r="C120" i="19"/>
  <c r="D120" i="19"/>
  <c r="E120" i="19"/>
  <c r="F120" i="19"/>
  <c r="G120" i="19"/>
  <c r="H120" i="19"/>
  <c r="B120" i="19"/>
  <c r="B102" i="19"/>
  <c r="C102" i="19"/>
  <c r="D102" i="19"/>
  <c r="E102" i="19"/>
  <c r="F102" i="19"/>
  <c r="G102" i="19"/>
  <c r="H102" i="19"/>
  <c r="B103" i="19"/>
  <c r="C103" i="19"/>
  <c r="D103" i="19"/>
  <c r="E103" i="19"/>
  <c r="F103" i="19"/>
  <c r="G103" i="19"/>
  <c r="H103" i="19"/>
  <c r="B104" i="19"/>
  <c r="C104" i="19"/>
  <c r="D104" i="19"/>
  <c r="E104" i="19"/>
  <c r="F104" i="19"/>
  <c r="G104" i="19"/>
  <c r="H104" i="19"/>
  <c r="B105" i="19"/>
  <c r="C105" i="19"/>
  <c r="D105" i="19"/>
  <c r="E105" i="19"/>
  <c r="F105" i="19"/>
  <c r="G105" i="19"/>
  <c r="H105" i="19"/>
  <c r="B106" i="19"/>
  <c r="C106" i="19"/>
  <c r="D106" i="19"/>
  <c r="E106" i="19"/>
  <c r="F106" i="19"/>
  <c r="G106" i="19"/>
  <c r="H106" i="19"/>
  <c r="B107" i="19"/>
  <c r="C107" i="19"/>
  <c r="D107" i="19"/>
  <c r="E107" i="19"/>
  <c r="F107" i="19"/>
  <c r="G107" i="19"/>
  <c r="H107" i="19"/>
  <c r="B108" i="19"/>
  <c r="C108" i="19"/>
  <c r="D108" i="19"/>
  <c r="E108" i="19"/>
  <c r="F108" i="19"/>
  <c r="G108" i="19"/>
  <c r="H108" i="19"/>
  <c r="B109" i="19"/>
  <c r="C109" i="19"/>
  <c r="D109" i="19"/>
  <c r="E109" i="19"/>
  <c r="F109" i="19"/>
  <c r="G109" i="19"/>
  <c r="H109" i="19"/>
  <c r="B110" i="19"/>
  <c r="C110" i="19"/>
  <c r="D110" i="19"/>
  <c r="E110" i="19"/>
  <c r="F110" i="19"/>
  <c r="G110" i="19"/>
  <c r="H110" i="19"/>
  <c r="B111" i="19"/>
  <c r="C111" i="19"/>
  <c r="D111" i="19"/>
  <c r="E111" i="19"/>
  <c r="F111" i="19"/>
  <c r="G111" i="19"/>
  <c r="H111" i="19"/>
  <c r="B112" i="19"/>
  <c r="C112" i="19"/>
  <c r="D112" i="19"/>
  <c r="E112" i="19"/>
  <c r="F112" i="19"/>
  <c r="G112" i="19"/>
  <c r="H112" i="19"/>
  <c r="B113" i="19"/>
  <c r="C113" i="19"/>
  <c r="D113" i="19"/>
  <c r="E113" i="19"/>
  <c r="F113" i="19"/>
  <c r="G113" i="19"/>
  <c r="H113" i="19"/>
  <c r="B114" i="19"/>
  <c r="C114" i="19"/>
  <c r="D114" i="19"/>
  <c r="E114" i="19"/>
  <c r="F114" i="19"/>
  <c r="G114" i="19"/>
  <c r="H114" i="19"/>
  <c r="B115" i="19"/>
  <c r="C115" i="19"/>
  <c r="D115" i="19"/>
  <c r="E115" i="19"/>
  <c r="F115" i="19"/>
  <c r="G115" i="19"/>
  <c r="H115" i="19"/>
  <c r="C101" i="19"/>
  <c r="D101" i="19"/>
  <c r="E101" i="19"/>
  <c r="F101" i="19"/>
  <c r="G101" i="19"/>
  <c r="H101" i="19"/>
  <c r="B101" i="19"/>
  <c r="B83" i="19"/>
  <c r="C83" i="19"/>
  <c r="D83" i="19"/>
  <c r="E83" i="19"/>
  <c r="F83" i="19"/>
  <c r="G83" i="19"/>
  <c r="H83" i="19"/>
  <c r="B84" i="19"/>
  <c r="C84" i="19"/>
  <c r="D84" i="19"/>
  <c r="E84" i="19"/>
  <c r="F84" i="19"/>
  <c r="G84" i="19"/>
  <c r="H84" i="19"/>
  <c r="B85" i="19"/>
  <c r="C85" i="19"/>
  <c r="D85" i="19"/>
  <c r="E85" i="19"/>
  <c r="F85" i="19"/>
  <c r="G85" i="19"/>
  <c r="H85" i="19"/>
  <c r="B86" i="19"/>
  <c r="C86" i="19"/>
  <c r="D86" i="19"/>
  <c r="E86" i="19"/>
  <c r="F86" i="19"/>
  <c r="G86" i="19"/>
  <c r="H86" i="19"/>
  <c r="B87" i="19"/>
  <c r="C87" i="19"/>
  <c r="D87" i="19"/>
  <c r="E87" i="19"/>
  <c r="F87" i="19"/>
  <c r="G87" i="19"/>
  <c r="H87" i="19"/>
  <c r="B88" i="19"/>
  <c r="C88" i="19"/>
  <c r="D88" i="19"/>
  <c r="E88" i="19"/>
  <c r="F88" i="19"/>
  <c r="G88" i="19"/>
  <c r="H88" i="19"/>
  <c r="B89" i="19"/>
  <c r="C89" i="19"/>
  <c r="D89" i="19"/>
  <c r="E89" i="19"/>
  <c r="F89" i="19"/>
  <c r="G89" i="19"/>
  <c r="H89" i="19"/>
  <c r="B90" i="19"/>
  <c r="C90" i="19"/>
  <c r="D90" i="19"/>
  <c r="E90" i="19"/>
  <c r="F90" i="19"/>
  <c r="G90" i="19"/>
  <c r="H90" i="19"/>
  <c r="B91" i="19"/>
  <c r="C91" i="19"/>
  <c r="D91" i="19"/>
  <c r="E91" i="19"/>
  <c r="F91" i="19"/>
  <c r="G91" i="19"/>
  <c r="H91" i="19"/>
  <c r="B92" i="19"/>
  <c r="C92" i="19"/>
  <c r="D92" i="19"/>
  <c r="E92" i="19"/>
  <c r="F92" i="19"/>
  <c r="G92" i="19"/>
  <c r="H92" i="19"/>
  <c r="B93" i="19"/>
  <c r="C93" i="19"/>
  <c r="D93" i="19"/>
  <c r="E93" i="19"/>
  <c r="F93" i="19"/>
  <c r="G93" i="19"/>
  <c r="H93" i="19"/>
  <c r="B94" i="19"/>
  <c r="C94" i="19"/>
  <c r="D94" i="19"/>
  <c r="E94" i="19"/>
  <c r="F94" i="19"/>
  <c r="G94" i="19"/>
  <c r="H94" i="19"/>
  <c r="B95" i="19"/>
  <c r="C95" i="19"/>
  <c r="D95" i="19"/>
  <c r="E95" i="19"/>
  <c r="F95" i="19"/>
  <c r="G95" i="19"/>
  <c r="H95" i="19"/>
  <c r="B96" i="19"/>
  <c r="C96" i="19"/>
  <c r="D96" i="19"/>
  <c r="E96" i="19"/>
  <c r="F96" i="19"/>
  <c r="G96" i="19"/>
  <c r="H96" i="19"/>
  <c r="C82" i="19"/>
  <c r="D82" i="19"/>
  <c r="E82" i="19"/>
  <c r="F82" i="19"/>
  <c r="G82" i="19"/>
  <c r="H82" i="19"/>
  <c r="B82" i="19"/>
  <c r="B64" i="19"/>
  <c r="C64" i="19"/>
  <c r="D64" i="19"/>
  <c r="E64" i="19"/>
  <c r="F64" i="19"/>
  <c r="G64" i="19"/>
  <c r="H64" i="19"/>
  <c r="B65" i="19"/>
  <c r="C65" i="19"/>
  <c r="D65" i="19"/>
  <c r="E65" i="19"/>
  <c r="F65" i="19"/>
  <c r="G65" i="19"/>
  <c r="H65" i="19"/>
  <c r="B66" i="19"/>
  <c r="C66" i="19"/>
  <c r="D66" i="19"/>
  <c r="E66" i="19"/>
  <c r="F66" i="19"/>
  <c r="G66" i="19"/>
  <c r="H66" i="19"/>
  <c r="B67" i="19"/>
  <c r="C67" i="19"/>
  <c r="D67" i="19"/>
  <c r="E67" i="19"/>
  <c r="F67" i="19"/>
  <c r="G67" i="19"/>
  <c r="H67" i="19"/>
  <c r="B68" i="19"/>
  <c r="C68" i="19"/>
  <c r="D68" i="19"/>
  <c r="E68" i="19"/>
  <c r="F68" i="19"/>
  <c r="G68" i="19"/>
  <c r="H68" i="19"/>
  <c r="B69" i="19"/>
  <c r="C69" i="19"/>
  <c r="D69" i="19"/>
  <c r="E69" i="19"/>
  <c r="F69" i="19"/>
  <c r="G69" i="19"/>
  <c r="H69" i="19"/>
  <c r="B70" i="19"/>
  <c r="C70" i="19"/>
  <c r="D70" i="19"/>
  <c r="E70" i="19"/>
  <c r="F70" i="19"/>
  <c r="G70" i="19"/>
  <c r="H70" i="19"/>
  <c r="B71" i="19"/>
  <c r="C71" i="19"/>
  <c r="D71" i="19"/>
  <c r="E71" i="19"/>
  <c r="F71" i="19"/>
  <c r="G71" i="19"/>
  <c r="H71" i="19"/>
  <c r="B72" i="19"/>
  <c r="C72" i="19"/>
  <c r="D72" i="19"/>
  <c r="E72" i="19"/>
  <c r="F72" i="19"/>
  <c r="G72" i="19"/>
  <c r="H72" i="19"/>
  <c r="B73" i="19"/>
  <c r="C73" i="19"/>
  <c r="D73" i="19"/>
  <c r="E73" i="19"/>
  <c r="F73" i="19"/>
  <c r="G73" i="19"/>
  <c r="H73" i="19"/>
  <c r="B74" i="19"/>
  <c r="C74" i="19"/>
  <c r="D74" i="19"/>
  <c r="E74" i="19"/>
  <c r="F74" i="19"/>
  <c r="G74" i="19"/>
  <c r="H74" i="19"/>
  <c r="B75" i="19"/>
  <c r="C75" i="19"/>
  <c r="D75" i="19"/>
  <c r="E75" i="19"/>
  <c r="F75" i="19"/>
  <c r="G75" i="19"/>
  <c r="H75" i="19"/>
  <c r="B76" i="19"/>
  <c r="C76" i="19"/>
  <c r="D76" i="19"/>
  <c r="E76" i="19"/>
  <c r="F76" i="19"/>
  <c r="G76" i="19"/>
  <c r="H76" i="19"/>
  <c r="B77" i="19"/>
  <c r="C77" i="19"/>
  <c r="D77" i="19"/>
  <c r="E77" i="19"/>
  <c r="F77" i="19"/>
  <c r="G77" i="19"/>
  <c r="H77" i="19"/>
  <c r="C63" i="19"/>
  <c r="D63" i="19"/>
  <c r="E63" i="19"/>
  <c r="F63" i="19"/>
  <c r="G63" i="19"/>
  <c r="H63" i="19"/>
  <c r="B63" i="19"/>
  <c r="B45" i="19"/>
  <c r="C45" i="19"/>
  <c r="D45" i="19"/>
  <c r="E45" i="19"/>
  <c r="F45" i="19"/>
  <c r="G45" i="19"/>
  <c r="H45" i="19"/>
  <c r="B46" i="19"/>
  <c r="C46" i="19"/>
  <c r="D46" i="19"/>
  <c r="E46" i="19"/>
  <c r="F46" i="19"/>
  <c r="G46" i="19"/>
  <c r="H46" i="19"/>
  <c r="B47" i="19"/>
  <c r="C47" i="19"/>
  <c r="D47" i="19"/>
  <c r="E47" i="19"/>
  <c r="F47" i="19"/>
  <c r="G47" i="19"/>
  <c r="H47" i="19"/>
  <c r="B48" i="19"/>
  <c r="C48" i="19"/>
  <c r="D48" i="19"/>
  <c r="E48" i="19"/>
  <c r="F48" i="19"/>
  <c r="G48" i="19"/>
  <c r="H48" i="19"/>
  <c r="B49" i="19"/>
  <c r="C49" i="19"/>
  <c r="D49" i="19"/>
  <c r="E49" i="19"/>
  <c r="F49" i="19"/>
  <c r="G49" i="19"/>
  <c r="H49" i="19"/>
  <c r="B50" i="19"/>
  <c r="C50" i="19"/>
  <c r="D50" i="19"/>
  <c r="E50" i="19"/>
  <c r="F50" i="19"/>
  <c r="G50" i="19"/>
  <c r="H50" i="19"/>
  <c r="B51" i="19"/>
  <c r="C51" i="19"/>
  <c r="D51" i="19"/>
  <c r="E51" i="19"/>
  <c r="F51" i="19"/>
  <c r="G51" i="19"/>
  <c r="H51" i="19"/>
  <c r="B52" i="19"/>
  <c r="C52" i="19"/>
  <c r="D52" i="19"/>
  <c r="E52" i="19"/>
  <c r="F52" i="19"/>
  <c r="G52" i="19"/>
  <c r="H52" i="19"/>
  <c r="B53" i="19"/>
  <c r="C53" i="19"/>
  <c r="D53" i="19"/>
  <c r="E53" i="19"/>
  <c r="F53" i="19"/>
  <c r="G53" i="19"/>
  <c r="H53" i="19"/>
  <c r="B54" i="19"/>
  <c r="C54" i="19"/>
  <c r="D54" i="19"/>
  <c r="E54" i="19"/>
  <c r="F54" i="19"/>
  <c r="G54" i="19"/>
  <c r="H54" i="19"/>
  <c r="B55" i="19"/>
  <c r="C55" i="19"/>
  <c r="D55" i="19"/>
  <c r="E55" i="19"/>
  <c r="F55" i="19"/>
  <c r="G55" i="19"/>
  <c r="H55" i="19"/>
  <c r="B56" i="19"/>
  <c r="C56" i="19"/>
  <c r="D56" i="19"/>
  <c r="E56" i="19"/>
  <c r="F56" i="19"/>
  <c r="G56" i="19"/>
  <c r="H56" i="19"/>
  <c r="B57" i="19"/>
  <c r="C57" i="19"/>
  <c r="D57" i="19"/>
  <c r="E57" i="19"/>
  <c r="F57" i="19"/>
  <c r="G57" i="19"/>
  <c r="H57" i="19"/>
  <c r="B58" i="19"/>
  <c r="C58" i="19"/>
  <c r="D58" i="19"/>
  <c r="E58" i="19"/>
  <c r="F58" i="19"/>
  <c r="G58" i="19"/>
  <c r="H58" i="19"/>
  <c r="C44" i="19"/>
  <c r="D44" i="19"/>
  <c r="E44" i="19"/>
  <c r="F44" i="19"/>
  <c r="G44" i="19"/>
  <c r="H44" i="19"/>
  <c r="B44" i="19"/>
  <c r="B26" i="19"/>
  <c r="C26" i="19"/>
  <c r="D26" i="19"/>
  <c r="E26" i="19"/>
  <c r="F26" i="19"/>
  <c r="G26" i="19"/>
  <c r="H26" i="19"/>
  <c r="B27" i="19"/>
  <c r="C27" i="19"/>
  <c r="D27" i="19"/>
  <c r="E27" i="19"/>
  <c r="F27" i="19"/>
  <c r="G27" i="19"/>
  <c r="H27" i="19"/>
  <c r="B28" i="19"/>
  <c r="C28" i="19"/>
  <c r="D28" i="19"/>
  <c r="E28" i="19"/>
  <c r="F28" i="19"/>
  <c r="G28" i="19"/>
  <c r="H28" i="19"/>
  <c r="B29" i="19"/>
  <c r="C29" i="19"/>
  <c r="D29" i="19"/>
  <c r="E29" i="19"/>
  <c r="F29" i="19"/>
  <c r="G29" i="19"/>
  <c r="H29" i="19"/>
  <c r="B30" i="19"/>
  <c r="C30" i="19"/>
  <c r="D30" i="19"/>
  <c r="E30" i="19"/>
  <c r="F30" i="19"/>
  <c r="G30" i="19"/>
  <c r="H30" i="19"/>
  <c r="B31" i="19"/>
  <c r="C31" i="19"/>
  <c r="D31" i="19"/>
  <c r="E31" i="19"/>
  <c r="F31" i="19"/>
  <c r="G31" i="19"/>
  <c r="H31" i="19"/>
  <c r="B32" i="19"/>
  <c r="C32" i="19"/>
  <c r="D32" i="19"/>
  <c r="E32" i="19"/>
  <c r="F32" i="19"/>
  <c r="G32" i="19"/>
  <c r="H32" i="19"/>
  <c r="B33" i="19"/>
  <c r="C33" i="19"/>
  <c r="D33" i="19"/>
  <c r="E33" i="19"/>
  <c r="F33" i="19"/>
  <c r="G33" i="19"/>
  <c r="H33" i="19"/>
  <c r="B34" i="19"/>
  <c r="C34" i="19"/>
  <c r="D34" i="19"/>
  <c r="E34" i="19"/>
  <c r="F34" i="19"/>
  <c r="G34" i="19"/>
  <c r="H34" i="19"/>
  <c r="B35" i="19"/>
  <c r="C35" i="19"/>
  <c r="D35" i="19"/>
  <c r="E35" i="19"/>
  <c r="F35" i="19"/>
  <c r="G35" i="19"/>
  <c r="H35" i="19"/>
  <c r="B36" i="19"/>
  <c r="C36" i="19"/>
  <c r="D36" i="19"/>
  <c r="E36" i="19"/>
  <c r="F36" i="19"/>
  <c r="G36" i="19"/>
  <c r="H36" i="19"/>
  <c r="B37" i="19"/>
  <c r="C37" i="19"/>
  <c r="D37" i="19"/>
  <c r="E37" i="19"/>
  <c r="F37" i="19"/>
  <c r="G37" i="19"/>
  <c r="H37" i="19"/>
  <c r="B38" i="19"/>
  <c r="C38" i="19"/>
  <c r="D38" i="19"/>
  <c r="E38" i="19"/>
  <c r="F38" i="19"/>
  <c r="G38" i="19"/>
  <c r="H38" i="19"/>
  <c r="B39" i="19"/>
  <c r="C39" i="19"/>
  <c r="D39" i="19"/>
  <c r="E39" i="19"/>
  <c r="F39" i="19"/>
  <c r="G39" i="19"/>
  <c r="H39" i="19"/>
  <c r="C25" i="19"/>
  <c r="D25" i="19"/>
  <c r="E25" i="19"/>
  <c r="F25" i="19"/>
  <c r="G25" i="19"/>
  <c r="H25" i="19"/>
  <c r="B25" i="19"/>
  <c r="B7" i="19"/>
  <c r="C7" i="19"/>
  <c r="D7" i="19"/>
  <c r="E7" i="19"/>
  <c r="F7" i="19"/>
  <c r="G7" i="19"/>
  <c r="H7" i="19"/>
  <c r="B8" i="19"/>
  <c r="C8" i="19"/>
  <c r="D8" i="19"/>
  <c r="E8" i="19"/>
  <c r="F8" i="19"/>
  <c r="G8" i="19"/>
  <c r="H8" i="19"/>
  <c r="B9" i="19"/>
  <c r="C9" i="19"/>
  <c r="D9" i="19"/>
  <c r="E9" i="19"/>
  <c r="F9" i="19"/>
  <c r="G9" i="19"/>
  <c r="H9" i="19"/>
  <c r="B10" i="19"/>
  <c r="C10" i="19"/>
  <c r="D10" i="19"/>
  <c r="E10" i="19"/>
  <c r="F10" i="19"/>
  <c r="G10" i="19"/>
  <c r="H10" i="19"/>
  <c r="B11" i="19"/>
  <c r="C11" i="19"/>
  <c r="D11" i="19"/>
  <c r="E11" i="19"/>
  <c r="F11" i="19"/>
  <c r="G11" i="19"/>
  <c r="H11" i="19"/>
  <c r="B12" i="19"/>
  <c r="C12" i="19"/>
  <c r="D12" i="19"/>
  <c r="E12" i="19"/>
  <c r="F12" i="19"/>
  <c r="G12" i="19"/>
  <c r="H12" i="19"/>
  <c r="B13" i="19"/>
  <c r="C13" i="19"/>
  <c r="D13" i="19"/>
  <c r="E13" i="19"/>
  <c r="F13" i="19"/>
  <c r="G13" i="19"/>
  <c r="H13" i="19"/>
  <c r="B14" i="19"/>
  <c r="C14" i="19"/>
  <c r="D14" i="19"/>
  <c r="E14" i="19"/>
  <c r="F14" i="19"/>
  <c r="G14" i="19"/>
  <c r="H14" i="19"/>
  <c r="B15" i="19"/>
  <c r="C15" i="19"/>
  <c r="D15" i="19"/>
  <c r="E15" i="19"/>
  <c r="F15" i="19"/>
  <c r="G15" i="19"/>
  <c r="H15" i="19"/>
  <c r="B16" i="19"/>
  <c r="C16" i="19"/>
  <c r="D16" i="19"/>
  <c r="E16" i="19"/>
  <c r="F16" i="19"/>
  <c r="G16" i="19"/>
  <c r="H16" i="19"/>
  <c r="B17" i="19"/>
  <c r="C17" i="19"/>
  <c r="D17" i="19"/>
  <c r="E17" i="19"/>
  <c r="F17" i="19"/>
  <c r="G17" i="19"/>
  <c r="H17" i="19"/>
  <c r="B18" i="19"/>
  <c r="C18" i="19"/>
  <c r="D18" i="19"/>
  <c r="E18" i="19"/>
  <c r="F18" i="19"/>
  <c r="G18" i="19"/>
  <c r="H18" i="19"/>
  <c r="B19" i="19"/>
  <c r="C19" i="19"/>
  <c r="D19" i="19"/>
  <c r="E19" i="19"/>
  <c r="F19" i="19"/>
  <c r="G19" i="19"/>
  <c r="H19" i="19"/>
  <c r="B20" i="19"/>
  <c r="C20" i="19"/>
  <c r="D20" i="19"/>
  <c r="E20" i="19"/>
  <c r="F20" i="19"/>
  <c r="G20" i="19"/>
  <c r="H20" i="19"/>
  <c r="C6" i="19"/>
  <c r="D6" i="19"/>
  <c r="E6" i="19"/>
  <c r="F6" i="19"/>
  <c r="G6" i="19"/>
  <c r="H6" i="19"/>
  <c r="B6" i="19"/>
  <c r="AC140" i="12"/>
  <c r="AD140" i="12"/>
  <c r="AE140" i="12"/>
  <c r="AF140" i="12"/>
  <c r="AG140" i="12"/>
  <c r="AH140" i="12"/>
  <c r="AI140" i="12"/>
  <c r="AC141" i="12"/>
  <c r="AD141" i="12"/>
  <c r="AE141" i="12"/>
  <c r="AF141" i="12"/>
  <c r="AG141" i="12"/>
  <c r="AH141" i="12"/>
  <c r="AI141" i="12"/>
  <c r="AC142" i="12"/>
  <c r="AD142" i="12"/>
  <c r="AE142" i="12"/>
  <c r="AF142" i="12"/>
  <c r="AG142" i="12"/>
  <c r="AH142" i="12"/>
  <c r="AI142" i="12"/>
  <c r="AC143" i="12"/>
  <c r="AD143" i="12"/>
  <c r="AE143" i="12"/>
  <c r="AF143" i="12"/>
  <c r="AG143" i="12"/>
  <c r="AH143" i="12"/>
  <c r="AI143" i="12"/>
  <c r="AC144" i="12"/>
  <c r="AD144" i="12"/>
  <c r="AE144" i="12"/>
  <c r="AF144" i="12"/>
  <c r="AG144" i="12"/>
  <c r="AH144" i="12"/>
  <c r="AI144" i="12"/>
  <c r="AC145" i="12"/>
  <c r="AD145" i="12"/>
  <c r="AE145" i="12"/>
  <c r="AF145" i="12"/>
  <c r="AG145" i="12"/>
  <c r="AH145" i="12"/>
  <c r="AI145" i="12"/>
  <c r="AC146" i="12"/>
  <c r="AD146" i="12"/>
  <c r="AE146" i="12"/>
  <c r="AF146" i="12"/>
  <c r="AG146" i="12"/>
  <c r="AH146" i="12"/>
  <c r="AI146" i="12"/>
  <c r="AC147" i="12"/>
  <c r="AD147" i="12"/>
  <c r="AE147" i="12"/>
  <c r="AF147" i="12"/>
  <c r="AG147" i="12"/>
  <c r="AH147" i="12"/>
  <c r="AI147" i="12"/>
  <c r="AC148" i="12"/>
  <c r="AD148" i="12"/>
  <c r="AE148" i="12"/>
  <c r="AF148" i="12"/>
  <c r="AG148" i="12"/>
  <c r="AH148" i="12"/>
  <c r="AI148" i="12"/>
  <c r="AC149" i="12"/>
  <c r="AD149" i="12"/>
  <c r="AE149" i="12"/>
  <c r="AF149" i="12"/>
  <c r="AG149" i="12"/>
  <c r="AH149" i="12"/>
  <c r="AI149" i="12"/>
  <c r="AC150" i="12"/>
  <c r="AD150" i="12"/>
  <c r="AE150" i="12"/>
  <c r="AF150" i="12"/>
  <c r="AG150" i="12"/>
  <c r="AH150" i="12"/>
  <c r="AI150" i="12"/>
  <c r="AC151" i="12"/>
  <c r="AD151" i="12"/>
  <c r="AE151" i="12"/>
  <c r="AF151" i="12"/>
  <c r="AG151" i="12"/>
  <c r="AH151" i="12"/>
  <c r="AI151" i="12"/>
  <c r="AC152" i="12"/>
  <c r="AD152" i="12"/>
  <c r="AE152" i="12"/>
  <c r="AF152" i="12"/>
  <c r="AG152" i="12"/>
  <c r="AH152" i="12"/>
  <c r="AI152" i="12"/>
  <c r="AC153" i="12"/>
  <c r="AD153" i="12"/>
  <c r="AE153" i="12"/>
  <c r="AF153" i="12"/>
  <c r="AG153" i="12"/>
  <c r="AH153" i="12"/>
  <c r="AI153" i="12"/>
  <c r="AD139" i="12"/>
  <c r="AE139" i="12"/>
  <c r="AF139" i="12"/>
  <c r="AG139" i="12"/>
  <c r="AH139" i="12"/>
  <c r="AI139" i="12"/>
  <c r="AC139" i="12"/>
  <c r="AC121" i="12"/>
  <c r="AD121" i="12"/>
  <c r="AE121" i="12"/>
  <c r="AF121" i="12"/>
  <c r="AG121" i="12"/>
  <c r="AH121" i="12"/>
  <c r="AI121" i="12"/>
  <c r="AC122" i="12"/>
  <c r="AD122" i="12"/>
  <c r="AE122" i="12"/>
  <c r="AF122" i="12"/>
  <c r="AG122" i="12"/>
  <c r="AH122" i="12"/>
  <c r="AI122" i="12"/>
  <c r="AC123" i="12"/>
  <c r="AD123" i="12"/>
  <c r="AE123" i="12"/>
  <c r="AF123" i="12"/>
  <c r="AG123" i="12"/>
  <c r="AH123" i="12"/>
  <c r="AI123" i="12"/>
  <c r="AC124" i="12"/>
  <c r="AD124" i="12"/>
  <c r="AE124" i="12"/>
  <c r="AF124" i="12"/>
  <c r="AG124" i="12"/>
  <c r="AH124" i="12"/>
  <c r="AI124" i="12"/>
  <c r="AC125" i="12"/>
  <c r="AD125" i="12"/>
  <c r="AE125" i="12"/>
  <c r="AF125" i="12"/>
  <c r="AG125" i="12"/>
  <c r="AH125" i="12"/>
  <c r="AI125" i="12"/>
  <c r="AC126" i="12"/>
  <c r="AD126" i="12"/>
  <c r="AE126" i="12"/>
  <c r="AF126" i="12"/>
  <c r="AG126" i="12"/>
  <c r="AH126" i="12"/>
  <c r="AI126" i="12"/>
  <c r="AC127" i="12"/>
  <c r="AD127" i="12"/>
  <c r="AE127" i="12"/>
  <c r="AF127" i="12"/>
  <c r="AG127" i="12"/>
  <c r="AH127" i="12"/>
  <c r="AI127" i="12"/>
  <c r="AC128" i="12"/>
  <c r="AD128" i="12"/>
  <c r="AE128" i="12"/>
  <c r="AF128" i="12"/>
  <c r="AG128" i="12"/>
  <c r="AH128" i="12"/>
  <c r="AI128" i="12"/>
  <c r="AC129" i="12"/>
  <c r="AD129" i="12"/>
  <c r="AE129" i="12"/>
  <c r="AF129" i="12"/>
  <c r="AG129" i="12"/>
  <c r="AH129" i="12"/>
  <c r="AI129" i="12"/>
  <c r="AC130" i="12"/>
  <c r="AD130" i="12"/>
  <c r="AE130" i="12"/>
  <c r="AF130" i="12"/>
  <c r="AG130" i="12"/>
  <c r="AH130" i="12"/>
  <c r="AI130" i="12"/>
  <c r="AC131" i="12"/>
  <c r="AD131" i="12"/>
  <c r="AE131" i="12"/>
  <c r="AF131" i="12"/>
  <c r="AG131" i="12"/>
  <c r="AH131" i="12"/>
  <c r="AI131" i="12"/>
  <c r="AC132" i="12"/>
  <c r="AD132" i="12"/>
  <c r="AE132" i="12"/>
  <c r="AF132" i="12"/>
  <c r="AG132" i="12"/>
  <c r="AH132" i="12"/>
  <c r="AI132" i="12"/>
  <c r="AC133" i="12"/>
  <c r="AD133" i="12"/>
  <c r="AE133" i="12"/>
  <c r="AF133" i="12"/>
  <c r="AG133" i="12"/>
  <c r="AH133" i="12"/>
  <c r="AI133" i="12"/>
  <c r="AC134" i="12"/>
  <c r="AD134" i="12"/>
  <c r="AE134" i="12"/>
  <c r="AF134" i="12"/>
  <c r="AG134" i="12"/>
  <c r="AH134" i="12"/>
  <c r="AI134" i="12"/>
  <c r="AD120" i="12"/>
  <c r="AE120" i="12"/>
  <c r="AF120" i="12"/>
  <c r="AG120" i="12"/>
  <c r="AH120" i="12"/>
  <c r="AI120" i="12"/>
  <c r="AC120" i="12"/>
  <c r="AC102" i="12"/>
  <c r="AD102" i="12"/>
  <c r="AE102" i="12"/>
  <c r="AF102" i="12"/>
  <c r="AG102" i="12"/>
  <c r="AH102" i="12"/>
  <c r="AI102" i="12"/>
  <c r="AC103" i="12"/>
  <c r="AD103" i="12"/>
  <c r="AE103" i="12"/>
  <c r="AF103" i="12"/>
  <c r="AG103" i="12"/>
  <c r="AH103" i="12"/>
  <c r="AI103" i="12"/>
  <c r="AC104" i="12"/>
  <c r="AD104" i="12"/>
  <c r="AE104" i="12"/>
  <c r="AF104" i="12"/>
  <c r="AG104" i="12"/>
  <c r="AH104" i="12"/>
  <c r="AI104" i="12"/>
  <c r="AC105" i="12"/>
  <c r="AD105" i="12"/>
  <c r="AE105" i="12"/>
  <c r="AF105" i="12"/>
  <c r="AG105" i="12"/>
  <c r="AH105" i="12"/>
  <c r="AI105" i="12"/>
  <c r="AC106" i="12"/>
  <c r="AD106" i="12"/>
  <c r="AE106" i="12"/>
  <c r="AF106" i="12"/>
  <c r="AG106" i="12"/>
  <c r="AH106" i="12"/>
  <c r="AI106" i="12"/>
  <c r="AC107" i="12"/>
  <c r="AD107" i="12"/>
  <c r="AE107" i="12"/>
  <c r="AF107" i="12"/>
  <c r="AG107" i="12"/>
  <c r="AH107" i="12"/>
  <c r="AI107" i="12"/>
  <c r="AC108" i="12"/>
  <c r="AD108" i="12"/>
  <c r="AE108" i="12"/>
  <c r="AF108" i="12"/>
  <c r="AG108" i="12"/>
  <c r="AH108" i="12"/>
  <c r="AI108" i="12"/>
  <c r="AC109" i="12"/>
  <c r="AD109" i="12"/>
  <c r="AE109" i="12"/>
  <c r="AF109" i="12"/>
  <c r="AG109" i="12"/>
  <c r="AH109" i="12"/>
  <c r="AI109" i="12"/>
  <c r="AC110" i="12"/>
  <c r="AD110" i="12"/>
  <c r="AE110" i="12"/>
  <c r="AF110" i="12"/>
  <c r="AG110" i="12"/>
  <c r="AH110" i="12"/>
  <c r="AI110" i="12"/>
  <c r="AC111" i="12"/>
  <c r="AD111" i="12"/>
  <c r="AE111" i="12"/>
  <c r="AF111" i="12"/>
  <c r="AG111" i="12"/>
  <c r="AH111" i="12"/>
  <c r="AI111" i="12"/>
  <c r="AC112" i="12"/>
  <c r="AD112" i="12"/>
  <c r="AE112" i="12"/>
  <c r="AF112" i="12"/>
  <c r="AG112" i="12"/>
  <c r="AH112" i="12"/>
  <c r="AI112" i="12"/>
  <c r="AC113" i="12"/>
  <c r="AD113" i="12"/>
  <c r="AE113" i="12"/>
  <c r="AF113" i="12"/>
  <c r="AG113" i="12"/>
  <c r="AH113" i="12"/>
  <c r="AI113" i="12"/>
  <c r="AC114" i="12"/>
  <c r="AD114" i="12"/>
  <c r="AE114" i="12"/>
  <c r="AF114" i="12"/>
  <c r="AG114" i="12"/>
  <c r="AH114" i="12"/>
  <c r="AI114" i="12"/>
  <c r="AC115" i="12"/>
  <c r="AD115" i="12"/>
  <c r="AE115" i="12"/>
  <c r="AF115" i="12"/>
  <c r="AG115" i="12"/>
  <c r="AH115" i="12"/>
  <c r="AI115" i="12"/>
  <c r="AD101" i="12"/>
  <c r="AE101" i="12"/>
  <c r="AF101" i="12"/>
  <c r="AG101" i="12"/>
  <c r="AH101" i="12"/>
  <c r="AI101" i="12"/>
  <c r="AC101" i="12"/>
  <c r="AC83" i="12"/>
  <c r="AD83" i="12"/>
  <c r="AE83" i="12"/>
  <c r="AF83" i="12"/>
  <c r="AG83" i="12"/>
  <c r="AH83" i="12"/>
  <c r="AI83" i="12"/>
  <c r="AC84" i="12"/>
  <c r="AD84" i="12"/>
  <c r="AE84" i="12"/>
  <c r="AF84" i="12"/>
  <c r="AG84" i="12"/>
  <c r="AH84" i="12"/>
  <c r="AI84" i="12"/>
  <c r="AC85" i="12"/>
  <c r="AD85" i="12"/>
  <c r="AE85" i="12"/>
  <c r="AF85" i="12"/>
  <c r="AG85" i="12"/>
  <c r="AH85" i="12"/>
  <c r="AI85" i="12"/>
  <c r="AC86" i="12"/>
  <c r="AD86" i="12"/>
  <c r="AE86" i="12"/>
  <c r="AF86" i="12"/>
  <c r="AG86" i="12"/>
  <c r="AH86" i="12"/>
  <c r="AI86" i="12"/>
  <c r="AC87" i="12"/>
  <c r="AD87" i="12"/>
  <c r="AE87" i="12"/>
  <c r="AF87" i="12"/>
  <c r="AG87" i="12"/>
  <c r="AH87" i="12"/>
  <c r="AI87" i="12"/>
  <c r="AC88" i="12"/>
  <c r="AD88" i="12"/>
  <c r="AE88" i="12"/>
  <c r="AF88" i="12"/>
  <c r="AG88" i="12"/>
  <c r="AH88" i="12"/>
  <c r="AI88" i="12"/>
  <c r="AC89" i="12"/>
  <c r="AD89" i="12"/>
  <c r="AE89" i="12"/>
  <c r="AF89" i="12"/>
  <c r="AG89" i="12"/>
  <c r="AH89" i="12"/>
  <c r="AI89" i="12"/>
  <c r="AC90" i="12"/>
  <c r="AD90" i="12"/>
  <c r="AE90" i="12"/>
  <c r="AF90" i="12"/>
  <c r="AG90" i="12"/>
  <c r="AH90" i="12"/>
  <c r="AI90" i="12"/>
  <c r="AC91" i="12"/>
  <c r="AD91" i="12"/>
  <c r="AE91" i="12"/>
  <c r="AF91" i="12"/>
  <c r="AG91" i="12"/>
  <c r="AH91" i="12"/>
  <c r="AI91" i="12"/>
  <c r="AC92" i="12"/>
  <c r="AD92" i="12"/>
  <c r="AE92" i="12"/>
  <c r="AF92" i="12"/>
  <c r="AG92" i="12"/>
  <c r="AH92" i="12"/>
  <c r="AI92" i="12"/>
  <c r="AC93" i="12"/>
  <c r="AD93" i="12"/>
  <c r="AE93" i="12"/>
  <c r="AF93" i="12"/>
  <c r="AG93" i="12"/>
  <c r="AH93" i="12"/>
  <c r="AI93" i="12"/>
  <c r="AC94" i="12"/>
  <c r="AD94" i="12"/>
  <c r="AE94" i="12"/>
  <c r="AF94" i="12"/>
  <c r="AG94" i="12"/>
  <c r="AH94" i="12"/>
  <c r="AI94" i="12"/>
  <c r="AC95" i="12"/>
  <c r="AD95" i="12"/>
  <c r="AE95" i="12"/>
  <c r="AF95" i="12"/>
  <c r="AG95" i="12"/>
  <c r="AH95" i="12"/>
  <c r="AI95" i="12"/>
  <c r="AC96" i="12"/>
  <c r="AD96" i="12"/>
  <c r="AE96" i="12"/>
  <c r="AF96" i="12"/>
  <c r="AG96" i="12"/>
  <c r="AH96" i="12"/>
  <c r="AI96" i="12"/>
  <c r="AD82" i="12"/>
  <c r="AE82" i="12"/>
  <c r="AF82" i="12"/>
  <c r="AG82" i="12"/>
  <c r="AH82" i="12"/>
  <c r="AI82" i="12"/>
  <c r="AC82" i="12"/>
  <c r="AC64" i="12"/>
  <c r="AD64" i="12"/>
  <c r="AE64" i="12"/>
  <c r="AF64" i="12"/>
  <c r="AG64" i="12"/>
  <c r="AH64" i="12"/>
  <c r="AI64" i="12"/>
  <c r="AC65" i="12"/>
  <c r="AD65" i="12"/>
  <c r="AE65" i="12"/>
  <c r="AF65" i="12"/>
  <c r="AG65" i="12"/>
  <c r="AH65" i="12"/>
  <c r="AI65" i="12"/>
  <c r="AC66" i="12"/>
  <c r="AD66" i="12"/>
  <c r="AE66" i="12"/>
  <c r="AF66" i="12"/>
  <c r="AG66" i="12"/>
  <c r="AH66" i="12"/>
  <c r="AI66" i="12"/>
  <c r="AC67" i="12"/>
  <c r="AD67" i="12"/>
  <c r="AE67" i="12"/>
  <c r="AF67" i="12"/>
  <c r="AG67" i="12"/>
  <c r="AH67" i="12"/>
  <c r="AI67" i="12"/>
  <c r="AC68" i="12"/>
  <c r="AD68" i="12"/>
  <c r="AE68" i="12"/>
  <c r="AF68" i="12"/>
  <c r="AG68" i="12"/>
  <c r="AH68" i="12"/>
  <c r="AI68" i="12"/>
  <c r="AC69" i="12"/>
  <c r="AD69" i="12"/>
  <c r="AE69" i="12"/>
  <c r="AF69" i="12"/>
  <c r="AG69" i="12"/>
  <c r="AH69" i="12"/>
  <c r="AI69" i="12"/>
  <c r="AC70" i="12"/>
  <c r="AD70" i="12"/>
  <c r="AE70" i="12"/>
  <c r="AF70" i="12"/>
  <c r="AG70" i="12"/>
  <c r="AH70" i="12"/>
  <c r="AI70" i="12"/>
  <c r="AC71" i="12"/>
  <c r="AD71" i="12"/>
  <c r="AE71" i="12"/>
  <c r="AF71" i="12"/>
  <c r="AG71" i="12"/>
  <c r="AH71" i="12"/>
  <c r="AI71" i="12"/>
  <c r="AC72" i="12"/>
  <c r="AD72" i="12"/>
  <c r="AE72" i="12"/>
  <c r="AF72" i="12"/>
  <c r="AG72" i="12"/>
  <c r="AH72" i="12"/>
  <c r="AI72" i="12"/>
  <c r="AC73" i="12"/>
  <c r="AD73" i="12"/>
  <c r="AE73" i="12"/>
  <c r="AF73" i="12"/>
  <c r="AG73" i="12"/>
  <c r="AH73" i="12"/>
  <c r="AI73" i="12"/>
  <c r="AC74" i="12"/>
  <c r="AD74" i="12"/>
  <c r="AE74" i="12"/>
  <c r="AF74" i="12"/>
  <c r="AG74" i="12"/>
  <c r="AH74" i="12"/>
  <c r="AI74" i="12"/>
  <c r="AC75" i="12"/>
  <c r="AD75" i="12"/>
  <c r="AE75" i="12"/>
  <c r="AF75" i="12"/>
  <c r="AG75" i="12"/>
  <c r="AH75" i="12"/>
  <c r="AI75" i="12"/>
  <c r="AC76" i="12"/>
  <c r="AD76" i="12"/>
  <c r="AE76" i="12"/>
  <c r="AF76" i="12"/>
  <c r="AG76" i="12"/>
  <c r="AH76" i="12"/>
  <c r="AI76" i="12"/>
  <c r="AC77" i="12"/>
  <c r="AD77" i="12"/>
  <c r="AE77" i="12"/>
  <c r="AF77" i="12"/>
  <c r="AG77" i="12"/>
  <c r="AH77" i="12"/>
  <c r="AI77" i="12"/>
  <c r="AD63" i="12"/>
  <c r="AE63" i="12"/>
  <c r="AF63" i="12"/>
  <c r="AG63" i="12"/>
  <c r="AH63" i="12"/>
  <c r="AI63" i="12"/>
  <c r="AC63" i="12"/>
  <c r="AC45" i="12"/>
  <c r="AD45" i="12"/>
  <c r="AE45" i="12"/>
  <c r="AF45" i="12"/>
  <c r="AG45" i="12"/>
  <c r="AH45" i="12"/>
  <c r="AI45" i="12"/>
  <c r="AC46" i="12"/>
  <c r="AD46" i="12"/>
  <c r="AE46" i="12"/>
  <c r="AF46" i="12"/>
  <c r="AG46" i="12"/>
  <c r="AH46" i="12"/>
  <c r="AI46" i="12"/>
  <c r="AC47" i="12"/>
  <c r="AD47" i="12"/>
  <c r="AE47" i="12"/>
  <c r="AF47" i="12"/>
  <c r="AG47" i="12"/>
  <c r="AH47" i="12"/>
  <c r="AI47" i="12"/>
  <c r="AC48" i="12"/>
  <c r="AD48" i="12"/>
  <c r="AE48" i="12"/>
  <c r="AF48" i="12"/>
  <c r="AG48" i="12"/>
  <c r="AH48" i="12"/>
  <c r="AI48" i="12"/>
  <c r="AC49" i="12"/>
  <c r="AD49" i="12"/>
  <c r="AE49" i="12"/>
  <c r="AF49" i="12"/>
  <c r="AG49" i="12"/>
  <c r="AH49" i="12"/>
  <c r="AI49" i="12"/>
  <c r="AC50" i="12"/>
  <c r="AD50" i="12"/>
  <c r="AE50" i="12"/>
  <c r="AF50" i="12"/>
  <c r="AG50" i="12"/>
  <c r="AH50" i="12"/>
  <c r="AI50" i="12"/>
  <c r="AC51" i="12"/>
  <c r="AD51" i="12"/>
  <c r="AE51" i="12"/>
  <c r="AF51" i="12"/>
  <c r="AG51" i="12"/>
  <c r="AH51" i="12"/>
  <c r="AI51" i="12"/>
  <c r="AC52" i="12"/>
  <c r="AD52" i="12"/>
  <c r="AE52" i="12"/>
  <c r="AF52" i="12"/>
  <c r="AG52" i="12"/>
  <c r="AH52" i="12"/>
  <c r="AI52" i="12"/>
  <c r="AC53" i="12"/>
  <c r="AD53" i="12"/>
  <c r="AE53" i="12"/>
  <c r="AF53" i="12"/>
  <c r="AG53" i="12"/>
  <c r="AH53" i="12"/>
  <c r="AI53" i="12"/>
  <c r="AC54" i="12"/>
  <c r="AD54" i="12"/>
  <c r="AE54" i="12"/>
  <c r="AF54" i="12"/>
  <c r="AG54" i="12"/>
  <c r="AH54" i="12"/>
  <c r="AI54" i="12"/>
  <c r="AC55" i="12"/>
  <c r="AD55" i="12"/>
  <c r="AE55" i="12"/>
  <c r="AF55" i="12"/>
  <c r="AG55" i="12"/>
  <c r="AH55" i="12"/>
  <c r="AI55" i="12"/>
  <c r="AC56" i="12"/>
  <c r="AD56" i="12"/>
  <c r="AE56" i="12"/>
  <c r="AF56" i="12"/>
  <c r="AG56" i="12"/>
  <c r="AH56" i="12"/>
  <c r="AI56" i="12"/>
  <c r="AC57" i="12"/>
  <c r="AD57" i="12"/>
  <c r="AE57" i="12"/>
  <c r="AF57" i="12"/>
  <c r="AG57" i="12"/>
  <c r="AH57" i="12"/>
  <c r="AI57" i="12"/>
  <c r="AC58" i="12"/>
  <c r="AD58" i="12"/>
  <c r="AE58" i="12"/>
  <c r="AF58" i="12"/>
  <c r="AG58" i="12"/>
  <c r="AH58" i="12"/>
  <c r="AI58" i="12"/>
  <c r="AD44" i="12"/>
  <c r="AE44" i="12"/>
  <c r="AF44" i="12"/>
  <c r="AG44" i="12"/>
  <c r="AH44" i="12"/>
  <c r="AI44" i="12"/>
  <c r="AC44" i="12"/>
  <c r="AC26" i="12"/>
  <c r="AD26" i="12"/>
  <c r="AE26" i="12"/>
  <c r="AF26" i="12"/>
  <c r="AG26" i="12"/>
  <c r="AH26" i="12"/>
  <c r="AI26" i="12"/>
  <c r="AC27" i="12"/>
  <c r="AD27" i="12"/>
  <c r="AE27" i="12"/>
  <c r="AF27" i="12"/>
  <c r="AG27" i="12"/>
  <c r="AH27" i="12"/>
  <c r="AI27" i="12"/>
  <c r="AC28" i="12"/>
  <c r="AD28" i="12"/>
  <c r="AE28" i="12"/>
  <c r="AF28" i="12"/>
  <c r="AG28" i="12"/>
  <c r="AH28" i="12"/>
  <c r="AI28" i="12"/>
  <c r="AC29" i="12"/>
  <c r="AD29" i="12"/>
  <c r="AE29" i="12"/>
  <c r="AF29" i="12"/>
  <c r="AG29" i="12"/>
  <c r="AH29" i="12"/>
  <c r="AI29" i="12"/>
  <c r="AC30" i="12"/>
  <c r="AD30" i="12"/>
  <c r="AE30" i="12"/>
  <c r="AF30" i="12"/>
  <c r="AG30" i="12"/>
  <c r="AH30" i="12"/>
  <c r="AI30" i="12"/>
  <c r="AC31" i="12"/>
  <c r="AD31" i="12"/>
  <c r="AE31" i="12"/>
  <c r="AF31" i="12"/>
  <c r="AG31" i="12"/>
  <c r="AH31" i="12"/>
  <c r="AI31" i="12"/>
  <c r="AC32" i="12"/>
  <c r="AD32" i="12"/>
  <c r="AE32" i="12"/>
  <c r="AF32" i="12"/>
  <c r="AG32" i="12"/>
  <c r="AH32" i="12"/>
  <c r="AI32" i="12"/>
  <c r="AC33" i="12"/>
  <c r="AD33" i="12"/>
  <c r="AE33" i="12"/>
  <c r="AF33" i="12"/>
  <c r="AG33" i="12"/>
  <c r="AH33" i="12"/>
  <c r="AI33" i="12"/>
  <c r="AC34" i="12"/>
  <c r="AD34" i="12"/>
  <c r="AE34" i="12"/>
  <c r="AF34" i="12"/>
  <c r="AG34" i="12"/>
  <c r="AH34" i="12"/>
  <c r="AI34" i="12"/>
  <c r="AC35" i="12"/>
  <c r="AD35" i="12"/>
  <c r="AE35" i="12"/>
  <c r="AF35" i="12"/>
  <c r="AG35" i="12"/>
  <c r="AH35" i="12"/>
  <c r="AI35" i="12"/>
  <c r="AC36" i="12"/>
  <c r="AD36" i="12"/>
  <c r="AE36" i="12"/>
  <c r="AF36" i="12"/>
  <c r="AG36" i="12"/>
  <c r="AH36" i="12"/>
  <c r="AI36" i="12"/>
  <c r="AC37" i="12"/>
  <c r="AD37" i="12"/>
  <c r="AE37" i="12"/>
  <c r="AF37" i="12"/>
  <c r="AG37" i="12"/>
  <c r="AH37" i="12"/>
  <c r="AI37" i="12"/>
  <c r="AC38" i="12"/>
  <c r="AD38" i="12"/>
  <c r="AE38" i="12"/>
  <c r="AF38" i="12"/>
  <c r="AG38" i="12"/>
  <c r="AH38" i="12"/>
  <c r="AI38" i="12"/>
  <c r="AC39" i="12"/>
  <c r="AD39" i="12"/>
  <c r="AE39" i="12"/>
  <c r="AF39" i="12"/>
  <c r="AG39" i="12"/>
  <c r="AH39" i="12"/>
  <c r="AI39" i="12"/>
  <c r="AD25" i="12"/>
  <c r="AE25" i="12"/>
  <c r="AF25" i="12"/>
  <c r="AG25" i="12"/>
  <c r="AH25" i="12"/>
  <c r="AI25" i="12"/>
  <c r="AC25" i="12"/>
  <c r="AC7" i="12"/>
  <c r="AD7" i="12"/>
  <c r="AE7" i="12"/>
  <c r="AF7" i="12"/>
  <c r="AG7" i="12"/>
  <c r="AH7" i="12"/>
  <c r="AI7" i="12"/>
  <c r="AC8" i="12"/>
  <c r="AD8" i="12"/>
  <c r="AE8" i="12"/>
  <c r="AF8" i="12"/>
  <c r="AG8" i="12"/>
  <c r="AH8" i="12"/>
  <c r="AI8" i="12"/>
  <c r="AC9" i="12"/>
  <c r="AD9" i="12"/>
  <c r="AE9" i="12"/>
  <c r="AF9" i="12"/>
  <c r="AG9" i="12"/>
  <c r="AH9" i="12"/>
  <c r="AI9" i="12"/>
  <c r="AC10" i="12"/>
  <c r="AD10" i="12"/>
  <c r="AE10" i="12"/>
  <c r="AF10" i="12"/>
  <c r="AG10" i="12"/>
  <c r="AH10" i="12"/>
  <c r="AI10" i="12"/>
  <c r="AC11" i="12"/>
  <c r="AD11" i="12"/>
  <c r="AE11" i="12"/>
  <c r="AF11" i="12"/>
  <c r="AG11" i="12"/>
  <c r="AH11" i="12"/>
  <c r="AI11" i="12"/>
  <c r="AC12" i="12"/>
  <c r="AD12" i="12"/>
  <c r="AE12" i="12"/>
  <c r="AF12" i="12"/>
  <c r="AG12" i="12"/>
  <c r="AH12" i="12"/>
  <c r="AI12" i="12"/>
  <c r="AC13" i="12"/>
  <c r="AD13" i="12"/>
  <c r="AE13" i="12"/>
  <c r="AF13" i="12"/>
  <c r="AG13" i="12"/>
  <c r="AH13" i="12"/>
  <c r="AI13" i="12"/>
  <c r="AC14" i="12"/>
  <c r="AD14" i="12"/>
  <c r="AE14" i="12"/>
  <c r="AF14" i="12"/>
  <c r="AG14" i="12"/>
  <c r="AH14" i="12"/>
  <c r="AI14" i="12"/>
  <c r="AC15" i="12"/>
  <c r="AD15" i="12"/>
  <c r="AE15" i="12"/>
  <c r="AF15" i="12"/>
  <c r="AG15" i="12"/>
  <c r="AH15" i="12"/>
  <c r="AI15" i="12"/>
  <c r="AC16" i="12"/>
  <c r="AD16" i="12"/>
  <c r="AE16" i="12"/>
  <c r="AF16" i="12"/>
  <c r="AG16" i="12"/>
  <c r="AH16" i="12"/>
  <c r="AI16" i="12"/>
  <c r="AC17" i="12"/>
  <c r="AD17" i="12"/>
  <c r="AE17" i="12"/>
  <c r="AF17" i="12"/>
  <c r="AG17" i="12"/>
  <c r="AH17" i="12"/>
  <c r="AI17" i="12"/>
  <c r="AC18" i="12"/>
  <c r="AD18" i="12"/>
  <c r="AE18" i="12"/>
  <c r="AF18" i="12"/>
  <c r="AG18" i="12"/>
  <c r="AH18" i="12"/>
  <c r="AI18" i="12"/>
  <c r="AC19" i="12"/>
  <c r="AD19" i="12"/>
  <c r="AE19" i="12"/>
  <c r="AF19" i="12"/>
  <c r="AG19" i="12"/>
  <c r="AH19" i="12"/>
  <c r="AI19" i="12"/>
  <c r="AC20" i="12"/>
  <c r="AD20" i="12"/>
  <c r="AE20" i="12"/>
  <c r="AF20" i="12"/>
  <c r="AG20" i="12"/>
  <c r="AH20" i="12"/>
  <c r="AI20" i="12"/>
  <c r="AD6" i="12"/>
  <c r="AE6" i="12"/>
  <c r="AF6" i="12"/>
  <c r="AG6" i="12"/>
  <c r="AH6" i="12"/>
  <c r="AI6" i="12"/>
  <c r="AC6" i="12"/>
  <c r="T140" i="12"/>
  <c r="U140" i="12"/>
  <c r="V140" i="12"/>
  <c r="W140" i="12"/>
  <c r="X140" i="12"/>
  <c r="Y140" i="12"/>
  <c r="Z140" i="12"/>
  <c r="T141" i="12"/>
  <c r="U141" i="12"/>
  <c r="V141" i="12"/>
  <c r="W141" i="12"/>
  <c r="X141" i="12"/>
  <c r="Y141" i="12"/>
  <c r="Z141" i="12"/>
  <c r="T142" i="12"/>
  <c r="U142" i="12"/>
  <c r="V142" i="12"/>
  <c r="W142" i="12"/>
  <c r="X142" i="12"/>
  <c r="Y142" i="12"/>
  <c r="Z142" i="12"/>
  <c r="T143" i="12"/>
  <c r="U143" i="12"/>
  <c r="V143" i="12"/>
  <c r="W143" i="12"/>
  <c r="X143" i="12"/>
  <c r="Y143" i="12"/>
  <c r="Z143" i="12"/>
  <c r="T144" i="12"/>
  <c r="U144" i="12"/>
  <c r="V144" i="12"/>
  <c r="W144" i="12"/>
  <c r="X144" i="12"/>
  <c r="Y144" i="12"/>
  <c r="Z144" i="12"/>
  <c r="T145" i="12"/>
  <c r="U145" i="12"/>
  <c r="V145" i="12"/>
  <c r="W145" i="12"/>
  <c r="X145" i="12"/>
  <c r="Y145" i="12"/>
  <c r="Z145" i="12"/>
  <c r="T146" i="12"/>
  <c r="U146" i="12"/>
  <c r="V146" i="12"/>
  <c r="W146" i="12"/>
  <c r="X146" i="12"/>
  <c r="Y146" i="12"/>
  <c r="Z146" i="12"/>
  <c r="T147" i="12"/>
  <c r="U147" i="12"/>
  <c r="V147" i="12"/>
  <c r="W147" i="12"/>
  <c r="X147" i="12"/>
  <c r="Y147" i="12"/>
  <c r="Z147" i="12"/>
  <c r="T148" i="12"/>
  <c r="U148" i="12"/>
  <c r="V148" i="12"/>
  <c r="W148" i="12"/>
  <c r="X148" i="12"/>
  <c r="Y148" i="12"/>
  <c r="Z148" i="12"/>
  <c r="T149" i="12"/>
  <c r="U149" i="12"/>
  <c r="V149" i="12"/>
  <c r="W149" i="12"/>
  <c r="X149" i="12"/>
  <c r="Y149" i="12"/>
  <c r="Z149" i="12"/>
  <c r="T150" i="12"/>
  <c r="U150" i="12"/>
  <c r="V150" i="12"/>
  <c r="W150" i="12"/>
  <c r="X150" i="12"/>
  <c r="Y150" i="12"/>
  <c r="Z150" i="12"/>
  <c r="T151" i="12"/>
  <c r="U151" i="12"/>
  <c r="V151" i="12"/>
  <c r="W151" i="12"/>
  <c r="X151" i="12"/>
  <c r="Y151" i="12"/>
  <c r="Z151" i="12"/>
  <c r="T152" i="12"/>
  <c r="U152" i="12"/>
  <c r="V152" i="12"/>
  <c r="W152" i="12"/>
  <c r="X152" i="12"/>
  <c r="Y152" i="12"/>
  <c r="Z152" i="12"/>
  <c r="T153" i="12"/>
  <c r="U153" i="12"/>
  <c r="V153" i="12"/>
  <c r="W153" i="12"/>
  <c r="X153" i="12"/>
  <c r="Y153" i="12"/>
  <c r="Z153" i="12"/>
  <c r="U139" i="12"/>
  <c r="V139" i="12"/>
  <c r="W139" i="12"/>
  <c r="X139" i="12"/>
  <c r="Y139" i="12"/>
  <c r="Z139" i="12"/>
  <c r="T139" i="12"/>
  <c r="T121" i="12"/>
  <c r="U121" i="12"/>
  <c r="V121" i="12"/>
  <c r="W121" i="12"/>
  <c r="X121" i="12"/>
  <c r="Y121" i="12"/>
  <c r="Z121" i="12"/>
  <c r="T122" i="12"/>
  <c r="U122" i="12"/>
  <c r="V122" i="12"/>
  <c r="W122" i="12"/>
  <c r="X122" i="12"/>
  <c r="Y122" i="12"/>
  <c r="Z122" i="12"/>
  <c r="T123" i="12"/>
  <c r="U123" i="12"/>
  <c r="V123" i="12"/>
  <c r="W123" i="12"/>
  <c r="X123" i="12"/>
  <c r="Y123" i="12"/>
  <c r="Z123" i="12"/>
  <c r="T124" i="12"/>
  <c r="U124" i="12"/>
  <c r="V124" i="12"/>
  <c r="W124" i="12"/>
  <c r="X124" i="12"/>
  <c r="Y124" i="12"/>
  <c r="Z124" i="12"/>
  <c r="T125" i="12"/>
  <c r="U125" i="12"/>
  <c r="V125" i="12"/>
  <c r="W125" i="12"/>
  <c r="X125" i="12"/>
  <c r="Y125" i="12"/>
  <c r="Z125" i="12"/>
  <c r="T126" i="12"/>
  <c r="U126" i="12"/>
  <c r="V126" i="12"/>
  <c r="W126" i="12"/>
  <c r="X126" i="12"/>
  <c r="Y126" i="12"/>
  <c r="Z126" i="12"/>
  <c r="T127" i="12"/>
  <c r="U127" i="12"/>
  <c r="V127" i="12"/>
  <c r="W127" i="12"/>
  <c r="X127" i="12"/>
  <c r="Y127" i="12"/>
  <c r="Z127" i="12"/>
  <c r="T128" i="12"/>
  <c r="U128" i="12"/>
  <c r="V128" i="12"/>
  <c r="W128" i="12"/>
  <c r="X128" i="12"/>
  <c r="Y128" i="12"/>
  <c r="Z128" i="12"/>
  <c r="T129" i="12"/>
  <c r="U129" i="12"/>
  <c r="V129" i="12"/>
  <c r="W129" i="12"/>
  <c r="X129" i="12"/>
  <c r="Y129" i="12"/>
  <c r="Z129" i="12"/>
  <c r="T130" i="12"/>
  <c r="U130" i="12"/>
  <c r="V130" i="12"/>
  <c r="W130" i="12"/>
  <c r="X130" i="12"/>
  <c r="Y130" i="12"/>
  <c r="Z130" i="12"/>
  <c r="T131" i="12"/>
  <c r="U131" i="12"/>
  <c r="V131" i="12"/>
  <c r="W131" i="12"/>
  <c r="X131" i="12"/>
  <c r="Y131" i="12"/>
  <c r="Z131" i="12"/>
  <c r="T132" i="12"/>
  <c r="U132" i="12"/>
  <c r="V132" i="12"/>
  <c r="W132" i="12"/>
  <c r="X132" i="12"/>
  <c r="Y132" i="12"/>
  <c r="Z132" i="12"/>
  <c r="T133" i="12"/>
  <c r="U133" i="12"/>
  <c r="V133" i="12"/>
  <c r="W133" i="12"/>
  <c r="X133" i="12"/>
  <c r="Y133" i="12"/>
  <c r="Z133" i="12"/>
  <c r="T134" i="12"/>
  <c r="U134" i="12"/>
  <c r="V134" i="12"/>
  <c r="W134" i="12"/>
  <c r="X134" i="12"/>
  <c r="Y134" i="12"/>
  <c r="Z134" i="12"/>
  <c r="U120" i="12"/>
  <c r="V120" i="12"/>
  <c r="W120" i="12"/>
  <c r="X120" i="12"/>
  <c r="Y120" i="12"/>
  <c r="Z120" i="12"/>
  <c r="T120" i="12"/>
  <c r="T102" i="12"/>
  <c r="U102" i="12"/>
  <c r="V102" i="12"/>
  <c r="W102" i="12"/>
  <c r="X102" i="12"/>
  <c r="Y102" i="12"/>
  <c r="Z102" i="12"/>
  <c r="T103" i="12"/>
  <c r="U103" i="12"/>
  <c r="V103" i="12"/>
  <c r="W103" i="12"/>
  <c r="X103" i="12"/>
  <c r="Y103" i="12"/>
  <c r="Z103" i="12"/>
  <c r="T104" i="12"/>
  <c r="U104" i="12"/>
  <c r="V104" i="12"/>
  <c r="W104" i="12"/>
  <c r="X104" i="12"/>
  <c r="Y104" i="12"/>
  <c r="Z104" i="12"/>
  <c r="T105" i="12"/>
  <c r="U105" i="12"/>
  <c r="V105" i="12"/>
  <c r="W105" i="12"/>
  <c r="X105" i="12"/>
  <c r="Y105" i="12"/>
  <c r="Z105" i="12"/>
  <c r="T106" i="12"/>
  <c r="U106" i="12"/>
  <c r="V106" i="12"/>
  <c r="W106" i="12"/>
  <c r="X106" i="12"/>
  <c r="Y106" i="12"/>
  <c r="Z106" i="12"/>
  <c r="T107" i="12"/>
  <c r="U107" i="12"/>
  <c r="V107" i="12"/>
  <c r="W107" i="12"/>
  <c r="X107" i="12"/>
  <c r="Y107" i="12"/>
  <c r="Z107" i="12"/>
  <c r="T108" i="12"/>
  <c r="U108" i="12"/>
  <c r="V108" i="12"/>
  <c r="W108" i="12"/>
  <c r="X108" i="12"/>
  <c r="Y108" i="12"/>
  <c r="Z108" i="12"/>
  <c r="T109" i="12"/>
  <c r="U109" i="12"/>
  <c r="V109" i="12"/>
  <c r="W109" i="12"/>
  <c r="X109" i="12"/>
  <c r="Y109" i="12"/>
  <c r="Z109" i="12"/>
  <c r="T110" i="12"/>
  <c r="U110" i="12"/>
  <c r="V110" i="12"/>
  <c r="W110" i="12"/>
  <c r="X110" i="12"/>
  <c r="Y110" i="12"/>
  <c r="Z110" i="12"/>
  <c r="T111" i="12"/>
  <c r="U111" i="12"/>
  <c r="V111" i="12"/>
  <c r="W111" i="12"/>
  <c r="X111" i="12"/>
  <c r="Y111" i="12"/>
  <c r="Z111" i="12"/>
  <c r="T112" i="12"/>
  <c r="U112" i="12"/>
  <c r="V112" i="12"/>
  <c r="W112" i="12"/>
  <c r="X112" i="12"/>
  <c r="Y112" i="12"/>
  <c r="Z112" i="12"/>
  <c r="T113" i="12"/>
  <c r="U113" i="12"/>
  <c r="V113" i="12"/>
  <c r="W113" i="12"/>
  <c r="X113" i="12"/>
  <c r="Y113" i="12"/>
  <c r="Z113" i="12"/>
  <c r="T114" i="12"/>
  <c r="U114" i="12"/>
  <c r="V114" i="12"/>
  <c r="W114" i="12"/>
  <c r="X114" i="12"/>
  <c r="Y114" i="12"/>
  <c r="Z114" i="12"/>
  <c r="T115" i="12"/>
  <c r="U115" i="12"/>
  <c r="V115" i="12"/>
  <c r="W115" i="12"/>
  <c r="X115" i="12"/>
  <c r="Y115" i="12"/>
  <c r="Z115" i="12"/>
  <c r="U101" i="12"/>
  <c r="V101" i="12"/>
  <c r="W101" i="12"/>
  <c r="X101" i="12"/>
  <c r="Y101" i="12"/>
  <c r="Z101" i="12"/>
  <c r="T101" i="12"/>
  <c r="T83" i="12"/>
  <c r="U83" i="12"/>
  <c r="V83" i="12"/>
  <c r="W83" i="12"/>
  <c r="X83" i="12"/>
  <c r="Y83" i="12"/>
  <c r="Z83" i="12"/>
  <c r="T84" i="12"/>
  <c r="U84" i="12"/>
  <c r="V84" i="12"/>
  <c r="W84" i="12"/>
  <c r="X84" i="12"/>
  <c r="Y84" i="12"/>
  <c r="Z84" i="12"/>
  <c r="T85" i="12"/>
  <c r="U85" i="12"/>
  <c r="V85" i="12"/>
  <c r="W85" i="12"/>
  <c r="X85" i="12"/>
  <c r="Y85" i="12"/>
  <c r="Z85" i="12"/>
  <c r="T86" i="12"/>
  <c r="U86" i="12"/>
  <c r="V86" i="12"/>
  <c r="W86" i="12"/>
  <c r="X86" i="12"/>
  <c r="Y86" i="12"/>
  <c r="Z86" i="12"/>
  <c r="T87" i="12"/>
  <c r="U87" i="12"/>
  <c r="V87" i="12"/>
  <c r="W87" i="12"/>
  <c r="X87" i="12"/>
  <c r="Y87" i="12"/>
  <c r="Z87" i="12"/>
  <c r="T88" i="12"/>
  <c r="U88" i="12"/>
  <c r="V88" i="12"/>
  <c r="W88" i="12"/>
  <c r="X88" i="12"/>
  <c r="Y88" i="12"/>
  <c r="Z88" i="12"/>
  <c r="T89" i="12"/>
  <c r="U89" i="12"/>
  <c r="V89" i="12"/>
  <c r="W89" i="12"/>
  <c r="X89" i="12"/>
  <c r="Y89" i="12"/>
  <c r="Z89" i="12"/>
  <c r="T90" i="12"/>
  <c r="U90" i="12"/>
  <c r="V90" i="12"/>
  <c r="W90" i="12"/>
  <c r="X90" i="12"/>
  <c r="Y90" i="12"/>
  <c r="Z90" i="12"/>
  <c r="T91" i="12"/>
  <c r="U91" i="12"/>
  <c r="V91" i="12"/>
  <c r="W91" i="12"/>
  <c r="X91" i="12"/>
  <c r="Y91" i="12"/>
  <c r="Z91" i="12"/>
  <c r="T92" i="12"/>
  <c r="U92" i="12"/>
  <c r="V92" i="12"/>
  <c r="W92" i="12"/>
  <c r="X92" i="12"/>
  <c r="Y92" i="12"/>
  <c r="Z92" i="12"/>
  <c r="T93" i="12"/>
  <c r="U93" i="12"/>
  <c r="V93" i="12"/>
  <c r="W93" i="12"/>
  <c r="X93" i="12"/>
  <c r="Y93" i="12"/>
  <c r="Z93" i="12"/>
  <c r="T94" i="12"/>
  <c r="U94" i="12"/>
  <c r="V94" i="12"/>
  <c r="W94" i="12"/>
  <c r="X94" i="12"/>
  <c r="Y94" i="12"/>
  <c r="Z94" i="12"/>
  <c r="T95" i="12"/>
  <c r="U95" i="12"/>
  <c r="V95" i="12"/>
  <c r="W95" i="12"/>
  <c r="X95" i="12"/>
  <c r="Y95" i="12"/>
  <c r="Z95" i="12"/>
  <c r="T96" i="12"/>
  <c r="U96" i="12"/>
  <c r="V96" i="12"/>
  <c r="W96" i="12"/>
  <c r="X96" i="12"/>
  <c r="Y96" i="12"/>
  <c r="Z96" i="12"/>
  <c r="U82" i="12"/>
  <c r="V82" i="12"/>
  <c r="W82" i="12"/>
  <c r="X82" i="12"/>
  <c r="Y82" i="12"/>
  <c r="Z82" i="12"/>
  <c r="T82" i="12"/>
  <c r="T64" i="12"/>
  <c r="U64" i="12"/>
  <c r="V64" i="12"/>
  <c r="W64" i="12"/>
  <c r="X64" i="12"/>
  <c r="Y64" i="12"/>
  <c r="Z64" i="12"/>
  <c r="T65" i="12"/>
  <c r="U65" i="12"/>
  <c r="V65" i="12"/>
  <c r="W65" i="12"/>
  <c r="X65" i="12"/>
  <c r="Y65" i="12"/>
  <c r="Z65" i="12"/>
  <c r="T66" i="12"/>
  <c r="U66" i="12"/>
  <c r="V66" i="12"/>
  <c r="W66" i="12"/>
  <c r="X66" i="12"/>
  <c r="Y66" i="12"/>
  <c r="Z66" i="12"/>
  <c r="T67" i="12"/>
  <c r="U67" i="12"/>
  <c r="V67" i="12"/>
  <c r="W67" i="12"/>
  <c r="X67" i="12"/>
  <c r="Y67" i="12"/>
  <c r="Z67" i="12"/>
  <c r="T68" i="12"/>
  <c r="U68" i="12"/>
  <c r="V68" i="12"/>
  <c r="W68" i="12"/>
  <c r="X68" i="12"/>
  <c r="Y68" i="12"/>
  <c r="Z68" i="12"/>
  <c r="T69" i="12"/>
  <c r="U69" i="12"/>
  <c r="V69" i="12"/>
  <c r="W69" i="12"/>
  <c r="X69" i="12"/>
  <c r="Y69" i="12"/>
  <c r="Z69" i="12"/>
  <c r="T70" i="12"/>
  <c r="U70" i="12"/>
  <c r="V70" i="12"/>
  <c r="W70" i="12"/>
  <c r="X70" i="12"/>
  <c r="Y70" i="12"/>
  <c r="Z70" i="12"/>
  <c r="T71" i="12"/>
  <c r="U71" i="12"/>
  <c r="V71" i="12"/>
  <c r="W71" i="12"/>
  <c r="X71" i="12"/>
  <c r="Y71" i="12"/>
  <c r="Z71" i="12"/>
  <c r="T72" i="12"/>
  <c r="U72" i="12"/>
  <c r="V72" i="12"/>
  <c r="W72" i="12"/>
  <c r="X72" i="12"/>
  <c r="Y72" i="12"/>
  <c r="Z72" i="12"/>
  <c r="T73" i="12"/>
  <c r="U73" i="12"/>
  <c r="V73" i="12"/>
  <c r="W73" i="12"/>
  <c r="X73" i="12"/>
  <c r="Y73" i="12"/>
  <c r="Z73" i="12"/>
  <c r="T74" i="12"/>
  <c r="U74" i="12"/>
  <c r="V74" i="12"/>
  <c r="W74" i="12"/>
  <c r="X74" i="12"/>
  <c r="Y74" i="12"/>
  <c r="Z74" i="12"/>
  <c r="T75" i="12"/>
  <c r="U75" i="12"/>
  <c r="V75" i="12"/>
  <c r="W75" i="12"/>
  <c r="X75" i="12"/>
  <c r="Y75" i="12"/>
  <c r="Z75" i="12"/>
  <c r="T76" i="12"/>
  <c r="U76" i="12"/>
  <c r="V76" i="12"/>
  <c r="W76" i="12"/>
  <c r="X76" i="12"/>
  <c r="Y76" i="12"/>
  <c r="Z76" i="12"/>
  <c r="T77" i="12"/>
  <c r="U77" i="12"/>
  <c r="V77" i="12"/>
  <c r="W77" i="12"/>
  <c r="X77" i="12"/>
  <c r="Y77" i="12"/>
  <c r="Z77" i="12"/>
  <c r="U63" i="12"/>
  <c r="V63" i="12"/>
  <c r="W63" i="12"/>
  <c r="X63" i="12"/>
  <c r="Y63" i="12"/>
  <c r="Z63" i="12"/>
  <c r="T63" i="12"/>
  <c r="T45" i="12"/>
  <c r="U45" i="12"/>
  <c r="V45" i="12"/>
  <c r="W45" i="12"/>
  <c r="X45" i="12"/>
  <c r="Y45" i="12"/>
  <c r="Z45" i="12"/>
  <c r="T46" i="12"/>
  <c r="U46" i="12"/>
  <c r="V46" i="12"/>
  <c r="W46" i="12"/>
  <c r="X46" i="12"/>
  <c r="Y46" i="12"/>
  <c r="Z46" i="12"/>
  <c r="T47" i="12"/>
  <c r="U47" i="12"/>
  <c r="V47" i="12"/>
  <c r="W47" i="12"/>
  <c r="X47" i="12"/>
  <c r="Y47" i="12"/>
  <c r="Z47" i="12"/>
  <c r="T48" i="12"/>
  <c r="U48" i="12"/>
  <c r="V48" i="12"/>
  <c r="W48" i="12"/>
  <c r="X48" i="12"/>
  <c r="Y48" i="12"/>
  <c r="Z48" i="12"/>
  <c r="T49" i="12"/>
  <c r="U49" i="12"/>
  <c r="V49" i="12"/>
  <c r="W49" i="12"/>
  <c r="X49" i="12"/>
  <c r="Y49" i="12"/>
  <c r="Z49" i="12"/>
  <c r="T50" i="12"/>
  <c r="U50" i="12"/>
  <c r="V50" i="12"/>
  <c r="W50" i="12"/>
  <c r="X50" i="12"/>
  <c r="Y50" i="12"/>
  <c r="Z50" i="12"/>
  <c r="T51" i="12"/>
  <c r="U51" i="12"/>
  <c r="V51" i="12"/>
  <c r="W51" i="12"/>
  <c r="X51" i="12"/>
  <c r="Y51" i="12"/>
  <c r="Z51" i="12"/>
  <c r="T52" i="12"/>
  <c r="U52" i="12"/>
  <c r="V52" i="12"/>
  <c r="W52" i="12"/>
  <c r="X52" i="12"/>
  <c r="Y52" i="12"/>
  <c r="Z52" i="12"/>
  <c r="T53" i="12"/>
  <c r="U53" i="12"/>
  <c r="V53" i="12"/>
  <c r="W53" i="12"/>
  <c r="X53" i="12"/>
  <c r="Y53" i="12"/>
  <c r="Z53" i="12"/>
  <c r="T54" i="12"/>
  <c r="U54" i="12"/>
  <c r="V54" i="12"/>
  <c r="W54" i="12"/>
  <c r="X54" i="12"/>
  <c r="Y54" i="12"/>
  <c r="Z54" i="12"/>
  <c r="T55" i="12"/>
  <c r="U55" i="12"/>
  <c r="V55" i="12"/>
  <c r="W55" i="12"/>
  <c r="X55" i="12"/>
  <c r="Y55" i="12"/>
  <c r="Z55" i="12"/>
  <c r="T56" i="12"/>
  <c r="U56" i="12"/>
  <c r="V56" i="12"/>
  <c r="W56" i="12"/>
  <c r="X56" i="12"/>
  <c r="Y56" i="12"/>
  <c r="Z56" i="12"/>
  <c r="T57" i="12"/>
  <c r="U57" i="12"/>
  <c r="V57" i="12"/>
  <c r="W57" i="12"/>
  <c r="X57" i="12"/>
  <c r="Y57" i="12"/>
  <c r="Z57" i="12"/>
  <c r="T58" i="12"/>
  <c r="U58" i="12"/>
  <c r="V58" i="12"/>
  <c r="W58" i="12"/>
  <c r="X58" i="12"/>
  <c r="Y58" i="12"/>
  <c r="Z58" i="12"/>
  <c r="U44" i="12"/>
  <c r="V44" i="12"/>
  <c r="W44" i="12"/>
  <c r="X44" i="12"/>
  <c r="Y44" i="12"/>
  <c r="Z44" i="12"/>
  <c r="T44" i="12"/>
  <c r="T26" i="12"/>
  <c r="U26" i="12"/>
  <c r="V26" i="12"/>
  <c r="W26" i="12"/>
  <c r="X26" i="12"/>
  <c r="Y26" i="12"/>
  <c r="Z26" i="12"/>
  <c r="T27" i="12"/>
  <c r="U27" i="12"/>
  <c r="V27" i="12"/>
  <c r="W27" i="12"/>
  <c r="X27" i="12"/>
  <c r="Y27" i="12"/>
  <c r="Z27" i="12"/>
  <c r="T28" i="12"/>
  <c r="U28" i="12"/>
  <c r="V28" i="12"/>
  <c r="W28" i="12"/>
  <c r="X28" i="12"/>
  <c r="Y28" i="12"/>
  <c r="Z28" i="12"/>
  <c r="T29" i="12"/>
  <c r="U29" i="12"/>
  <c r="V29" i="12"/>
  <c r="W29" i="12"/>
  <c r="X29" i="12"/>
  <c r="Y29" i="12"/>
  <c r="Z29" i="12"/>
  <c r="T30" i="12"/>
  <c r="U30" i="12"/>
  <c r="V30" i="12"/>
  <c r="W30" i="12"/>
  <c r="X30" i="12"/>
  <c r="Y30" i="12"/>
  <c r="Z30" i="12"/>
  <c r="T31" i="12"/>
  <c r="U31" i="12"/>
  <c r="V31" i="12"/>
  <c r="W31" i="12"/>
  <c r="X31" i="12"/>
  <c r="Y31" i="12"/>
  <c r="Z31" i="12"/>
  <c r="T32" i="12"/>
  <c r="U32" i="12"/>
  <c r="V32" i="12"/>
  <c r="W32" i="12"/>
  <c r="X32" i="12"/>
  <c r="Y32" i="12"/>
  <c r="Z32" i="12"/>
  <c r="T33" i="12"/>
  <c r="U33" i="12"/>
  <c r="V33" i="12"/>
  <c r="W33" i="12"/>
  <c r="X33" i="12"/>
  <c r="Y33" i="12"/>
  <c r="Z33" i="12"/>
  <c r="T34" i="12"/>
  <c r="U34" i="12"/>
  <c r="V34" i="12"/>
  <c r="W34" i="12"/>
  <c r="X34" i="12"/>
  <c r="Y34" i="12"/>
  <c r="Z34" i="12"/>
  <c r="T35" i="12"/>
  <c r="U35" i="12"/>
  <c r="V35" i="12"/>
  <c r="W35" i="12"/>
  <c r="X35" i="12"/>
  <c r="Y35" i="12"/>
  <c r="Z35" i="12"/>
  <c r="T36" i="12"/>
  <c r="U36" i="12"/>
  <c r="V36" i="12"/>
  <c r="W36" i="12"/>
  <c r="X36" i="12"/>
  <c r="Y36" i="12"/>
  <c r="Z36" i="12"/>
  <c r="T37" i="12"/>
  <c r="U37" i="12"/>
  <c r="V37" i="12"/>
  <c r="W37" i="12"/>
  <c r="X37" i="12"/>
  <c r="Y37" i="12"/>
  <c r="Z37" i="12"/>
  <c r="T38" i="12"/>
  <c r="U38" i="12"/>
  <c r="V38" i="12"/>
  <c r="W38" i="12"/>
  <c r="X38" i="12"/>
  <c r="Y38" i="12"/>
  <c r="Z38" i="12"/>
  <c r="T39" i="12"/>
  <c r="U39" i="12"/>
  <c r="V39" i="12"/>
  <c r="W39" i="12"/>
  <c r="X39" i="12"/>
  <c r="Y39" i="12"/>
  <c r="Z39" i="12"/>
  <c r="U25" i="12"/>
  <c r="V25" i="12"/>
  <c r="W25" i="12"/>
  <c r="X25" i="12"/>
  <c r="Y25" i="12"/>
  <c r="Z25" i="12"/>
  <c r="T25" i="12"/>
  <c r="T7" i="12"/>
  <c r="U7" i="12"/>
  <c r="V7" i="12"/>
  <c r="W7" i="12"/>
  <c r="X7" i="12"/>
  <c r="Y7" i="12"/>
  <c r="Z7" i="12"/>
  <c r="T8" i="12"/>
  <c r="U8" i="12"/>
  <c r="V8" i="12"/>
  <c r="W8" i="12"/>
  <c r="X8" i="12"/>
  <c r="Y8" i="12"/>
  <c r="Z8" i="12"/>
  <c r="T9" i="12"/>
  <c r="U9" i="12"/>
  <c r="V9" i="12"/>
  <c r="W9" i="12"/>
  <c r="X9" i="12"/>
  <c r="Y9" i="12"/>
  <c r="Z9" i="12"/>
  <c r="T10" i="12"/>
  <c r="U10" i="12"/>
  <c r="V10" i="12"/>
  <c r="W10" i="12"/>
  <c r="X10" i="12"/>
  <c r="Y10" i="12"/>
  <c r="Z10" i="12"/>
  <c r="T11" i="12"/>
  <c r="U11" i="12"/>
  <c r="V11" i="12"/>
  <c r="W11" i="12"/>
  <c r="X11" i="12"/>
  <c r="Y11" i="12"/>
  <c r="Z11" i="12"/>
  <c r="T12" i="12"/>
  <c r="U12" i="12"/>
  <c r="V12" i="12"/>
  <c r="W12" i="12"/>
  <c r="X12" i="12"/>
  <c r="Y12" i="12"/>
  <c r="Z12" i="12"/>
  <c r="T13" i="12"/>
  <c r="U13" i="12"/>
  <c r="V13" i="12"/>
  <c r="W13" i="12"/>
  <c r="X13" i="12"/>
  <c r="Y13" i="12"/>
  <c r="Z13" i="12"/>
  <c r="T14" i="12"/>
  <c r="U14" i="12"/>
  <c r="V14" i="12"/>
  <c r="W14" i="12"/>
  <c r="X14" i="12"/>
  <c r="Y14" i="12"/>
  <c r="Z14" i="12"/>
  <c r="T15" i="12"/>
  <c r="U15" i="12"/>
  <c r="V15" i="12"/>
  <c r="W15" i="12"/>
  <c r="X15" i="12"/>
  <c r="Y15" i="12"/>
  <c r="Z15" i="12"/>
  <c r="T16" i="12"/>
  <c r="U16" i="12"/>
  <c r="V16" i="12"/>
  <c r="W16" i="12"/>
  <c r="X16" i="12"/>
  <c r="Y16" i="12"/>
  <c r="Z16" i="12"/>
  <c r="T17" i="12"/>
  <c r="U17" i="12"/>
  <c r="V17" i="12"/>
  <c r="W17" i="12"/>
  <c r="X17" i="12"/>
  <c r="Y17" i="12"/>
  <c r="Z17" i="12"/>
  <c r="T18" i="12"/>
  <c r="U18" i="12"/>
  <c r="V18" i="12"/>
  <c r="W18" i="12"/>
  <c r="X18" i="12"/>
  <c r="Y18" i="12"/>
  <c r="Z18" i="12"/>
  <c r="T19" i="12"/>
  <c r="U19" i="12"/>
  <c r="V19" i="12"/>
  <c r="W19" i="12"/>
  <c r="X19" i="12"/>
  <c r="Y19" i="12"/>
  <c r="Z19" i="12"/>
  <c r="T20" i="12"/>
  <c r="U20" i="12"/>
  <c r="V20" i="12"/>
  <c r="W20" i="12"/>
  <c r="X20" i="12"/>
  <c r="Y20" i="12"/>
  <c r="Z20" i="12"/>
  <c r="U6" i="12"/>
  <c r="V6" i="12"/>
  <c r="W6" i="12"/>
  <c r="X6" i="12"/>
  <c r="Y6" i="12"/>
  <c r="Z6" i="12"/>
  <c r="T6" i="12"/>
  <c r="K140" i="12"/>
  <c r="L140" i="12"/>
  <c r="M140" i="12"/>
  <c r="N140" i="12"/>
  <c r="O140" i="12"/>
  <c r="P140" i="12"/>
  <c r="Q140" i="12"/>
  <c r="K141" i="12"/>
  <c r="L141" i="12"/>
  <c r="M141" i="12"/>
  <c r="N141" i="12"/>
  <c r="O141" i="12"/>
  <c r="P141" i="12"/>
  <c r="Q141" i="12"/>
  <c r="K142" i="12"/>
  <c r="L142" i="12"/>
  <c r="M142" i="12"/>
  <c r="N142" i="12"/>
  <c r="O142" i="12"/>
  <c r="P142" i="12"/>
  <c r="Q142" i="12"/>
  <c r="K143" i="12"/>
  <c r="L143" i="12"/>
  <c r="M143" i="12"/>
  <c r="N143" i="12"/>
  <c r="O143" i="12"/>
  <c r="P143" i="12"/>
  <c r="Q143" i="12"/>
  <c r="K144" i="12"/>
  <c r="L144" i="12"/>
  <c r="M144" i="12"/>
  <c r="N144" i="12"/>
  <c r="O144" i="12"/>
  <c r="P144" i="12"/>
  <c r="Q144" i="12"/>
  <c r="K145" i="12"/>
  <c r="L145" i="12"/>
  <c r="M145" i="12"/>
  <c r="N145" i="12"/>
  <c r="O145" i="12"/>
  <c r="P145" i="12"/>
  <c r="Q145" i="12"/>
  <c r="K146" i="12"/>
  <c r="L146" i="12"/>
  <c r="M146" i="12"/>
  <c r="N146" i="12"/>
  <c r="O146" i="12"/>
  <c r="P146" i="12"/>
  <c r="Q146" i="12"/>
  <c r="K147" i="12"/>
  <c r="L147" i="12"/>
  <c r="M147" i="12"/>
  <c r="N147" i="12"/>
  <c r="O147" i="12"/>
  <c r="P147" i="12"/>
  <c r="Q147" i="12"/>
  <c r="K148" i="12"/>
  <c r="L148" i="12"/>
  <c r="M148" i="12"/>
  <c r="N148" i="12"/>
  <c r="O148" i="12"/>
  <c r="P148" i="12"/>
  <c r="Q148" i="12"/>
  <c r="K149" i="12"/>
  <c r="L149" i="12"/>
  <c r="M149" i="12"/>
  <c r="N149" i="12"/>
  <c r="O149" i="12"/>
  <c r="P149" i="12"/>
  <c r="Q149" i="12"/>
  <c r="K150" i="12"/>
  <c r="L150" i="12"/>
  <c r="M150" i="12"/>
  <c r="N150" i="12"/>
  <c r="O150" i="12"/>
  <c r="P150" i="12"/>
  <c r="Q150" i="12"/>
  <c r="K151" i="12"/>
  <c r="L151" i="12"/>
  <c r="M151" i="12"/>
  <c r="N151" i="12"/>
  <c r="O151" i="12"/>
  <c r="P151" i="12"/>
  <c r="Q151" i="12"/>
  <c r="K152" i="12"/>
  <c r="L152" i="12"/>
  <c r="M152" i="12"/>
  <c r="N152" i="12"/>
  <c r="O152" i="12"/>
  <c r="P152" i="12"/>
  <c r="Q152" i="12"/>
  <c r="K153" i="12"/>
  <c r="L153" i="12"/>
  <c r="M153" i="12"/>
  <c r="N153" i="12"/>
  <c r="O153" i="12"/>
  <c r="P153" i="12"/>
  <c r="Q153" i="12"/>
  <c r="L139" i="12"/>
  <c r="M139" i="12"/>
  <c r="N139" i="12"/>
  <c r="O139" i="12"/>
  <c r="P139" i="12"/>
  <c r="Q139" i="12"/>
  <c r="K139" i="12"/>
  <c r="K121" i="12"/>
  <c r="L121" i="12"/>
  <c r="M121" i="12"/>
  <c r="N121" i="12"/>
  <c r="O121" i="12"/>
  <c r="P121" i="12"/>
  <c r="Q121" i="12"/>
  <c r="K122" i="12"/>
  <c r="L122" i="12"/>
  <c r="M122" i="12"/>
  <c r="N122" i="12"/>
  <c r="O122" i="12"/>
  <c r="P122" i="12"/>
  <c r="Q122" i="12"/>
  <c r="K123" i="12"/>
  <c r="L123" i="12"/>
  <c r="M123" i="12"/>
  <c r="N123" i="12"/>
  <c r="O123" i="12"/>
  <c r="P123" i="12"/>
  <c r="Q123" i="12"/>
  <c r="K124" i="12"/>
  <c r="L124" i="12"/>
  <c r="M124" i="12"/>
  <c r="N124" i="12"/>
  <c r="O124" i="12"/>
  <c r="P124" i="12"/>
  <c r="Q124" i="12"/>
  <c r="K125" i="12"/>
  <c r="L125" i="12"/>
  <c r="M125" i="12"/>
  <c r="N125" i="12"/>
  <c r="O125" i="12"/>
  <c r="P125" i="12"/>
  <c r="Q125" i="12"/>
  <c r="K126" i="12"/>
  <c r="L126" i="12"/>
  <c r="M126" i="12"/>
  <c r="N126" i="12"/>
  <c r="O126" i="12"/>
  <c r="P126" i="12"/>
  <c r="Q126" i="12"/>
  <c r="K127" i="12"/>
  <c r="L127" i="12"/>
  <c r="M127" i="12"/>
  <c r="N127" i="12"/>
  <c r="O127" i="12"/>
  <c r="P127" i="12"/>
  <c r="Q127" i="12"/>
  <c r="K128" i="12"/>
  <c r="L128" i="12"/>
  <c r="M128" i="12"/>
  <c r="N128" i="12"/>
  <c r="O128" i="12"/>
  <c r="P128" i="12"/>
  <c r="Q128" i="12"/>
  <c r="K129" i="12"/>
  <c r="L129" i="12"/>
  <c r="M129" i="12"/>
  <c r="N129" i="12"/>
  <c r="O129" i="12"/>
  <c r="P129" i="12"/>
  <c r="Q129" i="12"/>
  <c r="K130" i="12"/>
  <c r="L130" i="12"/>
  <c r="M130" i="12"/>
  <c r="N130" i="12"/>
  <c r="O130" i="12"/>
  <c r="P130" i="12"/>
  <c r="Q130" i="12"/>
  <c r="K131" i="12"/>
  <c r="L131" i="12"/>
  <c r="M131" i="12"/>
  <c r="N131" i="12"/>
  <c r="O131" i="12"/>
  <c r="P131" i="12"/>
  <c r="Q131" i="12"/>
  <c r="K132" i="12"/>
  <c r="L132" i="12"/>
  <c r="M132" i="12"/>
  <c r="N132" i="12"/>
  <c r="O132" i="12"/>
  <c r="P132" i="12"/>
  <c r="Q132" i="12"/>
  <c r="K133" i="12"/>
  <c r="L133" i="12"/>
  <c r="M133" i="12"/>
  <c r="N133" i="12"/>
  <c r="O133" i="12"/>
  <c r="P133" i="12"/>
  <c r="Q133" i="12"/>
  <c r="K134" i="12"/>
  <c r="L134" i="12"/>
  <c r="M134" i="12"/>
  <c r="N134" i="12"/>
  <c r="O134" i="12"/>
  <c r="P134" i="12"/>
  <c r="Q134" i="12"/>
  <c r="L120" i="12"/>
  <c r="M120" i="12"/>
  <c r="N120" i="12"/>
  <c r="O120" i="12"/>
  <c r="P120" i="12"/>
  <c r="Q120" i="12"/>
  <c r="K120" i="12"/>
  <c r="K102" i="12"/>
  <c r="L102" i="12"/>
  <c r="M102" i="12"/>
  <c r="N102" i="12"/>
  <c r="O102" i="12"/>
  <c r="P102" i="12"/>
  <c r="Q102" i="12"/>
  <c r="K103" i="12"/>
  <c r="L103" i="12"/>
  <c r="M103" i="12"/>
  <c r="N103" i="12"/>
  <c r="O103" i="12"/>
  <c r="P103" i="12"/>
  <c r="Q103" i="12"/>
  <c r="K104" i="12"/>
  <c r="L104" i="12"/>
  <c r="M104" i="12"/>
  <c r="N104" i="12"/>
  <c r="O104" i="12"/>
  <c r="P104" i="12"/>
  <c r="Q104" i="12"/>
  <c r="K105" i="12"/>
  <c r="L105" i="12"/>
  <c r="M105" i="12"/>
  <c r="N105" i="12"/>
  <c r="O105" i="12"/>
  <c r="P105" i="12"/>
  <c r="Q105" i="12"/>
  <c r="K106" i="12"/>
  <c r="L106" i="12"/>
  <c r="M106" i="12"/>
  <c r="N106" i="12"/>
  <c r="O106" i="12"/>
  <c r="P106" i="12"/>
  <c r="Q106" i="12"/>
  <c r="K107" i="12"/>
  <c r="L107" i="12"/>
  <c r="M107" i="12"/>
  <c r="N107" i="12"/>
  <c r="O107" i="12"/>
  <c r="P107" i="12"/>
  <c r="Q107" i="12"/>
  <c r="K108" i="12"/>
  <c r="L108" i="12"/>
  <c r="M108" i="12"/>
  <c r="N108" i="12"/>
  <c r="O108" i="12"/>
  <c r="P108" i="12"/>
  <c r="Q108" i="12"/>
  <c r="K109" i="12"/>
  <c r="L109" i="12"/>
  <c r="M109" i="12"/>
  <c r="N109" i="12"/>
  <c r="O109" i="12"/>
  <c r="P109" i="12"/>
  <c r="Q109" i="12"/>
  <c r="K110" i="12"/>
  <c r="L110" i="12"/>
  <c r="M110" i="12"/>
  <c r="N110" i="12"/>
  <c r="O110" i="12"/>
  <c r="P110" i="12"/>
  <c r="Q110" i="12"/>
  <c r="K111" i="12"/>
  <c r="L111" i="12"/>
  <c r="M111" i="12"/>
  <c r="N111" i="12"/>
  <c r="O111" i="12"/>
  <c r="P111" i="12"/>
  <c r="Q111" i="12"/>
  <c r="K112" i="12"/>
  <c r="L112" i="12"/>
  <c r="M112" i="12"/>
  <c r="N112" i="12"/>
  <c r="O112" i="12"/>
  <c r="P112" i="12"/>
  <c r="Q112" i="12"/>
  <c r="K113" i="12"/>
  <c r="L113" i="12"/>
  <c r="M113" i="12"/>
  <c r="N113" i="12"/>
  <c r="O113" i="12"/>
  <c r="P113" i="12"/>
  <c r="Q113" i="12"/>
  <c r="K114" i="12"/>
  <c r="L114" i="12"/>
  <c r="M114" i="12"/>
  <c r="N114" i="12"/>
  <c r="O114" i="12"/>
  <c r="P114" i="12"/>
  <c r="Q114" i="12"/>
  <c r="K115" i="12"/>
  <c r="L115" i="12"/>
  <c r="M115" i="12"/>
  <c r="N115" i="12"/>
  <c r="O115" i="12"/>
  <c r="P115" i="12"/>
  <c r="Q115" i="12"/>
  <c r="L101" i="12"/>
  <c r="M101" i="12"/>
  <c r="N101" i="12"/>
  <c r="O101" i="12"/>
  <c r="P101" i="12"/>
  <c r="Q101" i="12"/>
  <c r="K101" i="12"/>
  <c r="K83" i="12"/>
  <c r="L83" i="12"/>
  <c r="M83" i="12"/>
  <c r="N83" i="12"/>
  <c r="O83" i="12"/>
  <c r="P83" i="12"/>
  <c r="Q83" i="12"/>
  <c r="K84" i="12"/>
  <c r="L84" i="12"/>
  <c r="M84" i="12"/>
  <c r="N84" i="12"/>
  <c r="O84" i="12"/>
  <c r="P84" i="12"/>
  <c r="Q84" i="12"/>
  <c r="K85" i="12"/>
  <c r="L85" i="12"/>
  <c r="M85" i="12"/>
  <c r="N85" i="12"/>
  <c r="O85" i="12"/>
  <c r="P85" i="12"/>
  <c r="Q85" i="12"/>
  <c r="K86" i="12"/>
  <c r="L86" i="12"/>
  <c r="M86" i="12"/>
  <c r="N86" i="12"/>
  <c r="O86" i="12"/>
  <c r="P86" i="12"/>
  <c r="Q86" i="12"/>
  <c r="K87" i="12"/>
  <c r="L87" i="12"/>
  <c r="M87" i="12"/>
  <c r="N87" i="12"/>
  <c r="O87" i="12"/>
  <c r="P87" i="12"/>
  <c r="Q87" i="12"/>
  <c r="K88" i="12"/>
  <c r="L88" i="12"/>
  <c r="M88" i="12"/>
  <c r="N88" i="12"/>
  <c r="O88" i="12"/>
  <c r="P88" i="12"/>
  <c r="Q88" i="12"/>
  <c r="K89" i="12"/>
  <c r="L89" i="12"/>
  <c r="M89" i="12"/>
  <c r="N89" i="12"/>
  <c r="O89" i="12"/>
  <c r="P89" i="12"/>
  <c r="Q89" i="12"/>
  <c r="K90" i="12"/>
  <c r="L90" i="12"/>
  <c r="M90" i="12"/>
  <c r="N90" i="12"/>
  <c r="O90" i="12"/>
  <c r="P90" i="12"/>
  <c r="Q90" i="12"/>
  <c r="K91" i="12"/>
  <c r="L91" i="12"/>
  <c r="M91" i="12"/>
  <c r="N91" i="12"/>
  <c r="O91" i="12"/>
  <c r="P91" i="12"/>
  <c r="Q91" i="12"/>
  <c r="K92" i="12"/>
  <c r="L92" i="12"/>
  <c r="M92" i="12"/>
  <c r="N92" i="12"/>
  <c r="O92" i="12"/>
  <c r="P92" i="12"/>
  <c r="Q92" i="12"/>
  <c r="K93" i="12"/>
  <c r="L93" i="12"/>
  <c r="M93" i="12"/>
  <c r="N93" i="12"/>
  <c r="O93" i="12"/>
  <c r="P93" i="12"/>
  <c r="Q93" i="12"/>
  <c r="K94" i="12"/>
  <c r="L94" i="12"/>
  <c r="M94" i="12"/>
  <c r="N94" i="12"/>
  <c r="O94" i="12"/>
  <c r="P94" i="12"/>
  <c r="Q94" i="12"/>
  <c r="K95" i="12"/>
  <c r="L95" i="12"/>
  <c r="M95" i="12"/>
  <c r="N95" i="12"/>
  <c r="O95" i="12"/>
  <c r="P95" i="12"/>
  <c r="Q95" i="12"/>
  <c r="K96" i="12"/>
  <c r="L96" i="12"/>
  <c r="M96" i="12"/>
  <c r="N96" i="12"/>
  <c r="O96" i="12"/>
  <c r="P96" i="12"/>
  <c r="Q96" i="12"/>
  <c r="L82" i="12"/>
  <c r="M82" i="12"/>
  <c r="N82" i="12"/>
  <c r="O82" i="12"/>
  <c r="P82" i="12"/>
  <c r="Q82" i="12"/>
  <c r="K82" i="12"/>
  <c r="K64" i="12"/>
  <c r="L64" i="12"/>
  <c r="M64" i="12"/>
  <c r="N64" i="12"/>
  <c r="O64" i="12"/>
  <c r="P64" i="12"/>
  <c r="Q64" i="12"/>
  <c r="K65" i="12"/>
  <c r="L65" i="12"/>
  <c r="M65" i="12"/>
  <c r="N65" i="12"/>
  <c r="O65" i="12"/>
  <c r="P65" i="12"/>
  <c r="Q65" i="12"/>
  <c r="K66" i="12"/>
  <c r="L66" i="12"/>
  <c r="M66" i="12"/>
  <c r="N66" i="12"/>
  <c r="O66" i="12"/>
  <c r="P66" i="12"/>
  <c r="Q66" i="12"/>
  <c r="K67" i="12"/>
  <c r="L67" i="12"/>
  <c r="M67" i="12"/>
  <c r="N67" i="12"/>
  <c r="O67" i="12"/>
  <c r="P67" i="12"/>
  <c r="Q67" i="12"/>
  <c r="K68" i="12"/>
  <c r="L68" i="12"/>
  <c r="M68" i="12"/>
  <c r="N68" i="12"/>
  <c r="O68" i="12"/>
  <c r="P68" i="12"/>
  <c r="Q68" i="12"/>
  <c r="K69" i="12"/>
  <c r="L69" i="12"/>
  <c r="M69" i="12"/>
  <c r="N69" i="12"/>
  <c r="O69" i="12"/>
  <c r="P69" i="12"/>
  <c r="Q69" i="12"/>
  <c r="K70" i="12"/>
  <c r="L70" i="12"/>
  <c r="M70" i="12"/>
  <c r="N70" i="12"/>
  <c r="O70" i="12"/>
  <c r="P70" i="12"/>
  <c r="Q70" i="12"/>
  <c r="K71" i="12"/>
  <c r="L71" i="12"/>
  <c r="M71" i="12"/>
  <c r="N71" i="12"/>
  <c r="O71" i="12"/>
  <c r="P71" i="12"/>
  <c r="Q71" i="12"/>
  <c r="K72" i="12"/>
  <c r="L72" i="12"/>
  <c r="M72" i="12"/>
  <c r="N72" i="12"/>
  <c r="O72" i="12"/>
  <c r="P72" i="12"/>
  <c r="Q72" i="12"/>
  <c r="K73" i="12"/>
  <c r="L73" i="12"/>
  <c r="M73" i="12"/>
  <c r="N73" i="12"/>
  <c r="O73" i="12"/>
  <c r="P73" i="12"/>
  <c r="Q73" i="12"/>
  <c r="K74" i="12"/>
  <c r="L74" i="12"/>
  <c r="M74" i="12"/>
  <c r="N74" i="12"/>
  <c r="O74" i="12"/>
  <c r="P74" i="12"/>
  <c r="Q74" i="12"/>
  <c r="K75" i="12"/>
  <c r="L75" i="12"/>
  <c r="M75" i="12"/>
  <c r="N75" i="12"/>
  <c r="O75" i="12"/>
  <c r="P75" i="12"/>
  <c r="Q75" i="12"/>
  <c r="K76" i="12"/>
  <c r="L76" i="12"/>
  <c r="M76" i="12"/>
  <c r="N76" i="12"/>
  <c r="O76" i="12"/>
  <c r="P76" i="12"/>
  <c r="Q76" i="12"/>
  <c r="K77" i="12"/>
  <c r="L77" i="12"/>
  <c r="M77" i="12"/>
  <c r="N77" i="12"/>
  <c r="O77" i="12"/>
  <c r="P77" i="12"/>
  <c r="Q77" i="12"/>
  <c r="L63" i="12"/>
  <c r="M63" i="12"/>
  <c r="N63" i="12"/>
  <c r="O63" i="12"/>
  <c r="P63" i="12"/>
  <c r="Q63" i="12"/>
  <c r="K63" i="12"/>
  <c r="K45" i="12"/>
  <c r="L45" i="12"/>
  <c r="M45" i="12"/>
  <c r="N45" i="12"/>
  <c r="O45" i="12"/>
  <c r="P45" i="12"/>
  <c r="Q45" i="12"/>
  <c r="K46" i="12"/>
  <c r="L46" i="12"/>
  <c r="M46" i="12"/>
  <c r="N46" i="12"/>
  <c r="O46" i="12"/>
  <c r="P46" i="12"/>
  <c r="Q46" i="12"/>
  <c r="K47" i="12"/>
  <c r="L47" i="12"/>
  <c r="M47" i="12"/>
  <c r="N47" i="12"/>
  <c r="O47" i="12"/>
  <c r="P47" i="12"/>
  <c r="Q47" i="12"/>
  <c r="K48" i="12"/>
  <c r="L48" i="12"/>
  <c r="M48" i="12"/>
  <c r="N48" i="12"/>
  <c r="O48" i="12"/>
  <c r="P48" i="12"/>
  <c r="Q48" i="12"/>
  <c r="K49" i="12"/>
  <c r="L49" i="12"/>
  <c r="M49" i="12"/>
  <c r="N49" i="12"/>
  <c r="O49" i="12"/>
  <c r="P49" i="12"/>
  <c r="Q49" i="12"/>
  <c r="K50" i="12"/>
  <c r="L50" i="12"/>
  <c r="M50" i="12"/>
  <c r="N50" i="12"/>
  <c r="O50" i="12"/>
  <c r="P50" i="12"/>
  <c r="Q50" i="12"/>
  <c r="K51" i="12"/>
  <c r="L51" i="12"/>
  <c r="M51" i="12"/>
  <c r="N51" i="12"/>
  <c r="O51" i="12"/>
  <c r="P51" i="12"/>
  <c r="Q51" i="12"/>
  <c r="K52" i="12"/>
  <c r="L52" i="12"/>
  <c r="M52" i="12"/>
  <c r="N52" i="12"/>
  <c r="O52" i="12"/>
  <c r="P52" i="12"/>
  <c r="Q52" i="12"/>
  <c r="K53" i="12"/>
  <c r="L53" i="12"/>
  <c r="M53" i="12"/>
  <c r="N53" i="12"/>
  <c r="O53" i="12"/>
  <c r="P53" i="12"/>
  <c r="Q53" i="12"/>
  <c r="K54" i="12"/>
  <c r="L54" i="12"/>
  <c r="M54" i="12"/>
  <c r="N54" i="12"/>
  <c r="O54" i="12"/>
  <c r="P54" i="12"/>
  <c r="Q54" i="12"/>
  <c r="K55" i="12"/>
  <c r="L55" i="12"/>
  <c r="M55" i="12"/>
  <c r="N55" i="12"/>
  <c r="O55" i="12"/>
  <c r="P55" i="12"/>
  <c r="Q55" i="12"/>
  <c r="K56" i="12"/>
  <c r="L56" i="12"/>
  <c r="M56" i="12"/>
  <c r="N56" i="12"/>
  <c r="O56" i="12"/>
  <c r="P56" i="12"/>
  <c r="Q56" i="12"/>
  <c r="K57" i="12"/>
  <c r="L57" i="12"/>
  <c r="M57" i="12"/>
  <c r="N57" i="12"/>
  <c r="O57" i="12"/>
  <c r="P57" i="12"/>
  <c r="Q57" i="12"/>
  <c r="K58" i="12"/>
  <c r="L58" i="12"/>
  <c r="M58" i="12"/>
  <c r="N58" i="12"/>
  <c r="O58" i="12"/>
  <c r="P58" i="12"/>
  <c r="Q58" i="12"/>
  <c r="L44" i="12"/>
  <c r="M44" i="12"/>
  <c r="N44" i="12"/>
  <c r="O44" i="12"/>
  <c r="P44" i="12"/>
  <c r="Q44" i="12"/>
  <c r="K44" i="12"/>
  <c r="K26" i="12"/>
  <c r="L26" i="12"/>
  <c r="M26" i="12"/>
  <c r="N26" i="12"/>
  <c r="O26" i="12"/>
  <c r="P26" i="12"/>
  <c r="Q26" i="12"/>
  <c r="K27" i="12"/>
  <c r="L27" i="12"/>
  <c r="M27" i="12"/>
  <c r="N27" i="12"/>
  <c r="O27" i="12"/>
  <c r="P27" i="12"/>
  <c r="Q27" i="12"/>
  <c r="K28" i="12"/>
  <c r="L28" i="12"/>
  <c r="M28" i="12"/>
  <c r="N28" i="12"/>
  <c r="O28" i="12"/>
  <c r="P28" i="12"/>
  <c r="Q28" i="12"/>
  <c r="K29" i="12"/>
  <c r="L29" i="12"/>
  <c r="M29" i="12"/>
  <c r="N29" i="12"/>
  <c r="O29" i="12"/>
  <c r="P29" i="12"/>
  <c r="Q29" i="12"/>
  <c r="K30" i="12"/>
  <c r="L30" i="12"/>
  <c r="M30" i="12"/>
  <c r="N30" i="12"/>
  <c r="O30" i="12"/>
  <c r="P30" i="12"/>
  <c r="Q30" i="12"/>
  <c r="K31" i="12"/>
  <c r="L31" i="12"/>
  <c r="M31" i="12"/>
  <c r="N31" i="12"/>
  <c r="O31" i="12"/>
  <c r="P31" i="12"/>
  <c r="Q31" i="12"/>
  <c r="K32" i="12"/>
  <c r="L32" i="12"/>
  <c r="M32" i="12"/>
  <c r="N32" i="12"/>
  <c r="O32" i="12"/>
  <c r="P32" i="12"/>
  <c r="Q32" i="12"/>
  <c r="K33" i="12"/>
  <c r="L33" i="12"/>
  <c r="M33" i="12"/>
  <c r="N33" i="12"/>
  <c r="O33" i="12"/>
  <c r="P33" i="12"/>
  <c r="Q33" i="12"/>
  <c r="K34" i="12"/>
  <c r="L34" i="12"/>
  <c r="M34" i="12"/>
  <c r="N34" i="12"/>
  <c r="O34" i="12"/>
  <c r="P34" i="12"/>
  <c r="Q34" i="12"/>
  <c r="K35" i="12"/>
  <c r="L35" i="12"/>
  <c r="M35" i="12"/>
  <c r="N35" i="12"/>
  <c r="O35" i="12"/>
  <c r="P35" i="12"/>
  <c r="Q35" i="12"/>
  <c r="K36" i="12"/>
  <c r="L36" i="12"/>
  <c r="M36" i="12"/>
  <c r="N36" i="12"/>
  <c r="O36" i="12"/>
  <c r="P36" i="12"/>
  <c r="Q36" i="12"/>
  <c r="K37" i="12"/>
  <c r="L37" i="12"/>
  <c r="M37" i="12"/>
  <c r="N37" i="12"/>
  <c r="O37" i="12"/>
  <c r="P37" i="12"/>
  <c r="Q37" i="12"/>
  <c r="K38" i="12"/>
  <c r="L38" i="12"/>
  <c r="M38" i="12"/>
  <c r="N38" i="12"/>
  <c r="O38" i="12"/>
  <c r="P38" i="12"/>
  <c r="Q38" i="12"/>
  <c r="K39" i="12"/>
  <c r="L39" i="12"/>
  <c r="M39" i="12"/>
  <c r="N39" i="12"/>
  <c r="O39" i="12"/>
  <c r="P39" i="12"/>
  <c r="Q39" i="12"/>
  <c r="L25" i="12"/>
  <c r="M25" i="12"/>
  <c r="N25" i="12"/>
  <c r="O25" i="12"/>
  <c r="P25" i="12"/>
  <c r="Q25" i="12"/>
  <c r="K25" i="12"/>
  <c r="K7" i="12"/>
  <c r="L7" i="12"/>
  <c r="M7" i="12"/>
  <c r="N7" i="12"/>
  <c r="O7" i="12"/>
  <c r="P7" i="12"/>
  <c r="Q7" i="12"/>
  <c r="K8" i="12"/>
  <c r="L8" i="12"/>
  <c r="M8" i="12"/>
  <c r="N8" i="12"/>
  <c r="O8" i="12"/>
  <c r="P8" i="12"/>
  <c r="Q8" i="12"/>
  <c r="K9" i="12"/>
  <c r="L9" i="12"/>
  <c r="M9" i="12"/>
  <c r="N9" i="12"/>
  <c r="O9" i="12"/>
  <c r="P9" i="12"/>
  <c r="Q9" i="12"/>
  <c r="K10" i="12"/>
  <c r="L10" i="12"/>
  <c r="M10" i="12"/>
  <c r="N10" i="12"/>
  <c r="O10" i="12"/>
  <c r="P10" i="12"/>
  <c r="Q10" i="12"/>
  <c r="K11" i="12"/>
  <c r="L11" i="12"/>
  <c r="M11" i="12"/>
  <c r="N11" i="12"/>
  <c r="O11" i="12"/>
  <c r="P11" i="12"/>
  <c r="Q11" i="12"/>
  <c r="K12" i="12"/>
  <c r="L12" i="12"/>
  <c r="M12" i="12"/>
  <c r="N12" i="12"/>
  <c r="O12" i="12"/>
  <c r="P12" i="12"/>
  <c r="Q12" i="12"/>
  <c r="K13" i="12"/>
  <c r="L13" i="12"/>
  <c r="M13" i="12"/>
  <c r="N13" i="12"/>
  <c r="O13" i="12"/>
  <c r="P13" i="12"/>
  <c r="Q13" i="12"/>
  <c r="K14" i="12"/>
  <c r="L14" i="12"/>
  <c r="M14" i="12"/>
  <c r="N14" i="12"/>
  <c r="O14" i="12"/>
  <c r="P14" i="12"/>
  <c r="Q14" i="12"/>
  <c r="K15" i="12"/>
  <c r="L15" i="12"/>
  <c r="M15" i="12"/>
  <c r="N15" i="12"/>
  <c r="O15" i="12"/>
  <c r="P15" i="12"/>
  <c r="Q15" i="12"/>
  <c r="K16" i="12"/>
  <c r="L16" i="12"/>
  <c r="M16" i="12"/>
  <c r="N16" i="12"/>
  <c r="O16" i="12"/>
  <c r="P16" i="12"/>
  <c r="Q16" i="12"/>
  <c r="K17" i="12"/>
  <c r="L17" i="12"/>
  <c r="M17" i="12"/>
  <c r="N17" i="12"/>
  <c r="O17" i="12"/>
  <c r="P17" i="12"/>
  <c r="Q17" i="12"/>
  <c r="K18" i="12"/>
  <c r="L18" i="12"/>
  <c r="M18" i="12"/>
  <c r="N18" i="12"/>
  <c r="O18" i="12"/>
  <c r="P18" i="12"/>
  <c r="Q18" i="12"/>
  <c r="K19" i="12"/>
  <c r="L19" i="12"/>
  <c r="M19" i="12"/>
  <c r="N19" i="12"/>
  <c r="O19" i="12"/>
  <c r="P19" i="12"/>
  <c r="Q19" i="12"/>
  <c r="K20" i="12"/>
  <c r="L20" i="12"/>
  <c r="M20" i="12"/>
  <c r="N20" i="12"/>
  <c r="O20" i="12"/>
  <c r="P20" i="12"/>
  <c r="Q20" i="12"/>
  <c r="L6" i="12"/>
  <c r="M6" i="12"/>
  <c r="N6" i="12"/>
  <c r="O6" i="12"/>
  <c r="P6" i="12"/>
  <c r="Q6" i="12"/>
  <c r="K6" i="12"/>
  <c r="B140" i="12"/>
  <c r="C140" i="12"/>
  <c r="D140" i="12"/>
  <c r="E140" i="12"/>
  <c r="F140" i="12"/>
  <c r="G140" i="12"/>
  <c r="H140" i="12"/>
  <c r="B141" i="12"/>
  <c r="C141" i="12"/>
  <c r="D141" i="12"/>
  <c r="E141" i="12"/>
  <c r="F141" i="12"/>
  <c r="G141" i="12"/>
  <c r="H141" i="12"/>
  <c r="B142" i="12"/>
  <c r="C142" i="12"/>
  <c r="D142" i="12"/>
  <c r="E142" i="12"/>
  <c r="F142" i="12"/>
  <c r="G142" i="12"/>
  <c r="H142" i="12"/>
  <c r="B143" i="12"/>
  <c r="C143" i="12"/>
  <c r="D143" i="12"/>
  <c r="E143" i="12"/>
  <c r="F143" i="12"/>
  <c r="G143" i="12"/>
  <c r="H143" i="12"/>
  <c r="B144" i="12"/>
  <c r="C144" i="12"/>
  <c r="D144" i="12"/>
  <c r="E144" i="12"/>
  <c r="F144" i="12"/>
  <c r="G144" i="12"/>
  <c r="H144" i="12"/>
  <c r="B145" i="12"/>
  <c r="C145" i="12"/>
  <c r="D145" i="12"/>
  <c r="E145" i="12"/>
  <c r="F145" i="12"/>
  <c r="G145" i="12"/>
  <c r="H145" i="12"/>
  <c r="B146" i="12"/>
  <c r="C146" i="12"/>
  <c r="D146" i="12"/>
  <c r="E146" i="12"/>
  <c r="F146" i="12"/>
  <c r="G146" i="12"/>
  <c r="H146" i="12"/>
  <c r="B147" i="12"/>
  <c r="C147" i="12"/>
  <c r="D147" i="12"/>
  <c r="E147" i="12"/>
  <c r="F147" i="12"/>
  <c r="G147" i="12"/>
  <c r="H147" i="12"/>
  <c r="B148" i="12"/>
  <c r="C148" i="12"/>
  <c r="D148" i="12"/>
  <c r="E148" i="12"/>
  <c r="F148" i="12"/>
  <c r="G148" i="12"/>
  <c r="H148" i="12"/>
  <c r="B149" i="12"/>
  <c r="C149" i="12"/>
  <c r="D149" i="12"/>
  <c r="E149" i="12"/>
  <c r="F149" i="12"/>
  <c r="G149" i="12"/>
  <c r="H149" i="12"/>
  <c r="B150" i="12"/>
  <c r="C150" i="12"/>
  <c r="D150" i="12"/>
  <c r="E150" i="12"/>
  <c r="F150" i="12"/>
  <c r="G150" i="12"/>
  <c r="H150" i="12"/>
  <c r="B151" i="12"/>
  <c r="C151" i="12"/>
  <c r="D151" i="12"/>
  <c r="E151" i="12"/>
  <c r="F151" i="12"/>
  <c r="G151" i="12"/>
  <c r="H151" i="12"/>
  <c r="B152" i="12"/>
  <c r="C152" i="12"/>
  <c r="D152" i="12"/>
  <c r="E152" i="12"/>
  <c r="F152" i="12"/>
  <c r="G152" i="12"/>
  <c r="H152" i="12"/>
  <c r="B153" i="12"/>
  <c r="C153" i="12"/>
  <c r="D153" i="12"/>
  <c r="E153" i="12"/>
  <c r="F153" i="12"/>
  <c r="G153" i="12"/>
  <c r="H153" i="12"/>
  <c r="C139" i="12"/>
  <c r="D139" i="12"/>
  <c r="E139" i="12"/>
  <c r="F139" i="12"/>
  <c r="G139" i="12"/>
  <c r="H139" i="12"/>
  <c r="B139" i="12"/>
  <c r="B121" i="12"/>
  <c r="C121" i="12"/>
  <c r="D121" i="12"/>
  <c r="E121" i="12"/>
  <c r="F121" i="12"/>
  <c r="G121" i="12"/>
  <c r="H121" i="12"/>
  <c r="B122" i="12"/>
  <c r="C122" i="12"/>
  <c r="D122" i="12"/>
  <c r="E122" i="12"/>
  <c r="F122" i="12"/>
  <c r="G122" i="12"/>
  <c r="H122" i="12"/>
  <c r="B123" i="12"/>
  <c r="C123" i="12"/>
  <c r="D123" i="12"/>
  <c r="E123" i="12"/>
  <c r="F123" i="12"/>
  <c r="G123" i="12"/>
  <c r="H123" i="12"/>
  <c r="B124" i="12"/>
  <c r="C124" i="12"/>
  <c r="D124" i="12"/>
  <c r="E124" i="12"/>
  <c r="F124" i="12"/>
  <c r="G124" i="12"/>
  <c r="H124" i="12"/>
  <c r="B125" i="12"/>
  <c r="C125" i="12"/>
  <c r="D125" i="12"/>
  <c r="E125" i="12"/>
  <c r="F125" i="12"/>
  <c r="G125" i="12"/>
  <c r="H125" i="12"/>
  <c r="B126" i="12"/>
  <c r="C126" i="12"/>
  <c r="D126" i="12"/>
  <c r="E126" i="12"/>
  <c r="F126" i="12"/>
  <c r="G126" i="12"/>
  <c r="H126" i="12"/>
  <c r="B127" i="12"/>
  <c r="C127" i="12"/>
  <c r="D127" i="12"/>
  <c r="E127" i="12"/>
  <c r="F127" i="12"/>
  <c r="G127" i="12"/>
  <c r="H127" i="12"/>
  <c r="B128" i="12"/>
  <c r="C128" i="12"/>
  <c r="D128" i="12"/>
  <c r="E128" i="12"/>
  <c r="F128" i="12"/>
  <c r="G128" i="12"/>
  <c r="H128" i="12"/>
  <c r="B129" i="12"/>
  <c r="C129" i="12"/>
  <c r="D129" i="12"/>
  <c r="E129" i="12"/>
  <c r="F129" i="12"/>
  <c r="G129" i="12"/>
  <c r="H129" i="12"/>
  <c r="B130" i="12"/>
  <c r="C130" i="12"/>
  <c r="D130" i="12"/>
  <c r="E130" i="12"/>
  <c r="F130" i="12"/>
  <c r="G130" i="12"/>
  <c r="H130" i="12"/>
  <c r="B131" i="12"/>
  <c r="C131" i="12"/>
  <c r="D131" i="12"/>
  <c r="E131" i="12"/>
  <c r="F131" i="12"/>
  <c r="G131" i="12"/>
  <c r="H131" i="12"/>
  <c r="B132" i="12"/>
  <c r="C132" i="12"/>
  <c r="D132" i="12"/>
  <c r="E132" i="12"/>
  <c r="F132" i="12"/>
  <c r="G132" i="12"/>
  <c r="H132" i="12"/>
  <c r="B133" i="12"/>
  <c r="C133" i="12"/>
  <c r="D133" i="12"/>
  <c r="E133" i="12"/>
  <c r="F133" i="12"/>
  <c r="G133" i="12"/>
  <c r="H133" i="12"/>
  <c r="B134" i="12"/>
  <c r="C134" i="12"/>
  <c r="D134" i="12"/>
  <c r="E134" i="12"/>
  <c r="F134" i="12"/>
  <c r="G134" i="12"/>
  <c r="H134" i="12"/>
  <c r="C120" i="12"/>
  <c r="D120" i="12"/>
  <c r="E120" i="12"/>
  <c r="F120" i="12"/>
  <c r="G120" i="12"/>
  <c r="H120" i="12"/>
  <c r="B120" i="12"/>
  <c r="B102" i="12"/>
  <c r="C102" i="12"/>
  <c r="D102" i="12"/>
  <c r="E102" i="12"/>
  <c r="F102" i="12"/>
  <c r="G102" i="12"/>
  <c r="H102" i="12"/>
  <c r="B103" i="12"/>
  <c r="C103" i="12"/>
  <c r="D103" i="12"/>
  <c r="E103" i="12"/>
  <c r="F103" i="12"/>
  <c r="G103" i="12"/>
  <c r="H103" i="12"/>
  <c r="B104" i="12"/>
  <c r="C104" i="12"/>
  <c r="D104" i="12"/>
  <c r="E104" i="12"/>
  <c r="F104" i="12"/>
  <c r="G104" i="12"/>
  <c r="H104" i="12"/>
  <c r="B105" i="12"/>
  <c r="C105" i="12"/>
  <c r="D105" i="12"/>
  <c r="E105" i="12"/>
  <c r="F105" i="12"/>
  <c r="G105" i="12"/>
  <c r="H105" i="12"/>
  <c r="B106" i="12"/>
  <c r="C106" i="12"/>
  <c r="D106" i="12"/>
  <c r="E106" i="12"/>
  <c r="F106" i="12"/>
  <c r="G106" i="12"/>
  <c r="H106" i="12"/>
  <c r="B107" i="12"/>
  <c r="C107" i="12"/>
  <c r="D107" i="12"/>
  <c r="E107" i="12"/>
  <c r="F107" i="12"/>
  <c r="G107" i="12"/>
  <c r="H107" i="12"/>
  <c r="B108" i="12"/>
  <c r="C108" i="12"/>
  <c r="D108" i="12"/>
  <c r="E108" i="12"/>
  <c r="F108" i="12"/>
  <c r="G108" i="12"/>
  <c r="H108" i="12"/>
  <c r="B109" i="12"/>
  <c r="C109" i="12"/>
  <c r="D109" i="12"/>
  <c r="E109" i="12"/>
  <c r="F109" i="12"/>
  <c r="G109" i="12"/>
  <c r="H109" i="12"/>
  <c r="B110" i="12"/>
  <c r="C110" i="12"/>
  <c r="D110" i="12"/>
  <c r="E110" i="12"/>
  <c r="F110" i="12"/>
  <c r="G110" i="12"/>
  <c r="H110" i="12"/>
  <c r="B111" i="12"/>
  <c r="C111" i="12"/>
  <c r="D111" i="12"/>
  <c r="E111" i="12"/>
  <c r="F111" i="12"/>
  <c r="G111" i="12"/>
  <c r="H111" i="12"/>
  <c r="B112" i="12"/>
  <c r="C112" i="12"/>
  <c r="D112" i="12"/>
  <c r="E112" i="12"/>
  <c r="F112" i="12"/>
  <c r="G112" i="12"/>
  <c r="H112" i="12"/>
  <c r="B113" i="12"/>
  <c r="C113" i="12"/>
  <c r="D113" i="12"/>
  <c r="E113" i="12"/>
  <c r="F113" i="12"/>
  <c r="G113" i="12"/>
  <c r="H113" i="12"/>
  <c r="B114" i="12"/>
  <c r="C114" i="12"/>
  <c r="D114" i="12"/>
  <c r="E114" i="12"/>
  <c r="F114" i="12"/>
  <c r="G114" i="12"/>
  <c r="H114" i="12"/>
  <c r="B115" i="12"/>
  <c r="C115" i="12"/>
  <c r="D115" i="12"/>
  <c r="E115" i="12"/>
  <c r="F115" i="12"/>
  <c r="G115" i="12"/>
  <c r="H115" i="12"/>
  <c r="C101" i="12"/>
  <c r="D101" i="12"/>
  <c r="E101" i="12"/>
  <c r="F101" i="12"/>
  <c r="G101" i="12"/>
  <c r="H101" i="12"/>
  <c r="B101" i="12"/>
  <c r="B83" i="12"/>
  <c r="C83" i="12"/>
  <c r="D83" i="12"/>
  <c r="E83" i="12"/>
  <c r="F83" i="12"/>
  <c r="G83" i="12"/>
  <c r="H83" i="12"/>
  <c r="B84" i="12"/>
  <c r="C84" i="12"/>
  <c r="D84" i="12"/>
  <c r="E84" i="12"/>
  <c r="F84" i="12"/>
  <c r="G84" i="12"/>
  <c r="H84" i="12"/>
  <c r="B85" i="12"/>
  <c r="C85" i="12"/>
  <c r="D85" i="12"/>
  <c r="E85" i="12"/>
  <c r="F85" i="12"/>
  <c r="G85" i="12"/>
  <c r="H85" i="12"/>
  <c r="B86" i="12"/>
  <c r="C86" i="12"/>
  <c r="D86" i="12"/>
  <c r="E86" i="12"/>
  <c r="F86" i="12"/>
  <c r="G86" i="12"/>
  <c r="H86" i="12"/>
  <c r="B87" i="12"/>
  <c r="C87" i="12"/>
  <c r="D87" i="12"/>
  <c r="E87" i="12"/>
  <c r="F87" i="12"/>
  <c r="G87" i="12"/>
  <c r="H87" i="12"/>
  <c r="B88" i="12"/>
  <c r="C88" i="12"/>
  <c r="D88" i="12"/>
  <c r="E88" i="12"/>
  <c r="F88" i="12"/>
  <c r="G88" i="12"/>
  <c r="H88" i="12"/>
  <c r="B89" i="12"/>
  <c r="C89" i="12"/>
  <c r="D89" i="12"/>
  <c r="E89" i="12"/>
  <c r="F89" i="12"/>
  <c r="G89" i="12"/>
  <c r="H89" i="12"/>
  <c r="B90" i="12"/>
  <c r="C90" i="12"/>
  <c r="D90" i="12"/>
  <c r="E90" i="12"/>
  <c r="F90" i="12"/>
  <c r="G90" i="12"/>
  <c r="H90" i="12"/>
  <c r="B91" i="12"/>
  <c r="C91" i="12"/>
  <c r="D91" i="12"/>
  <c r="E91" i="12"/>
  <c r="F91" i="12"/>
  <c r="G91" i="12"/>
  <c r="H91" i="12"/>
  <c r="B92" i="12"/>
  <c r="C92" i="12"/>
  <c r="D92" i="12"/>
  <c r="E92" i="12"/>
  <c r="F92" i="12"/>
  <c r="G92" i="12"/>
  <c r="H92" i="12"/>
  <c r="B93" i="12"/>
  <c r="C93" i="12"/>
  <c r="D93" i="12"/>
  <c r="E93" i="12"/>
  <c r="F93" i="12"/>
  <c r="G93" i="12"/>
  <c r="H93" i="12"/>
  <c r="B94" i="12"/>
  <c r="C94" i="12"/>
  <c r="D94" i="12"/>
  <c r="E94" i="12"/>
  <c r="F94" i="12"/>
  <c r="G94" i="12"/>
  <c r="H94" i="12"/>
  <c r="B95" i="12"/>
  <c r="C95" i="12"/>
  <c r="D95" i="12"/>
  <c r="E95" i="12"/>
  <c r="F95" i="12"/>
  <c r="G95" i="12"/>
  <c r="H95" i="12"/>
  <c r="B96" i="12"/>
  <c r="C96" i="12"/>
  <c r="D96" i="12"/>
  <c r="E96" i="12"/>
  <c r="F96" i="12"/>
  <c r="G96" i="12"/>
  <c r="H96" i="12"/>
  <c r="C82" i="12"/>
  <c r="D82" i="12"/>
  <c r="E82" i="12"/>
  <c r="F82" i="12"/>
  <c r="G82" i="12"/>
  <c r="H82" i="12"/>
  <c r="B82" i="12"/>
  <c r="B64" i="12"/>
  <c r="C64" i="12"/>
  <c r="D64" i="12"/>
  <c r="E64" i="12"/>
  <c r="F64" i="12"/>
  <c r="G64" i="12"/>
  <c r="H64" i="12"/>
  <c r="B65" i="12"/>
  <c r="C65" i="12"/>
  <c r="D65" i="12"/>
  <c r="E65" i="12"/>
  <c r="F65" i="12"/>
  <c r="G65" i="12"/>
  <c r="H65" i="12"/>
  <c r="B66" i="12"/>
  <c r="C66" i="12"/>
  <c r="D66" i="12"/>
  <c r="E66" i="12"/>
  <c r="F66" i="12"/>
  <c r="G66" i="12"/>
  <c r="H66" i="12"/>
  <c r="B67" i="12"/>
  <c r="C67" i="12"/>
  <c r="D67" i="12"/>
  <c r="E67" i="12"/>
  <c r="F67" i="12"/>
  <c r="G67" i="12"/>
  <c r="H67" i="12"/>
  <c r="B68" i="12"/>
  <c r="C68" i="12"/>
  <c r="D68" i="12"/>
  <c r="E68" i="12"/>
  <c r="F68" i="12"/>
  <c r="G68" i="12"/>
  <c r="H68" i="12"/>
  <c r="B69" i="12"/>
  <c r="C69" i="12"/>
  <c r="D69" i="12"/>
  <c r="E69" i="12"/>
  <c r="F69" i="12"/>
  <c r="G69" i="12"/>
  <c r="H69" i="12"/>
  <c r="B70" i="12"/>
  <c r="C70" i="12"/>
  <c r="D70" i="12"/>
  <c r="E70" i="12"/>
  <c r="F70" i="12"/>
  <c r="G70" i="12"/>
  <c r="H70" i="12"/>
  <c r="B71" i="12"/>
  <c r="C71" i="12"/>
  <c r="D71" i="12"/>
  <c r="E71" i="12"/>
  <c r="F71" i="12"/>
  <c r="G71" i="12"/>
  <c r="H71" i="12"/>
  <c r="B72" i="12"/>
  <c r="C72" i="12"/>
  <c r="D72" i="12"/>
  <c r="E72" i="12"/>
  <c r="F72" i="12"/>
  <c r="G72" i="12"/>
  <c r="H72" i="12"/>
  <c r="B73" i="12"/>
  <c r="C73" i="12"/>
  <c r="D73" i="12"/>
  <c r="E73" i="12"/>
  <c r="F73" i="12"/>
  <c r="G73" i="12"/>
  <c r="H73" i="12"/>
  <c r="B74" i="12"/>
  <c r="C74" i="12"/>
  <c r="D74" i="12"/>
  <c r="E74" i="12"/>
  <c r="F74" i="12"/>
  <c r="G74" i="12"/>
  <c r="H74" i="12"/>
  <c r="B75" i="12"/>
  <c r="C75" i="12"/>
  <c r="D75" i="12"/>
  <c r="E75" i="12"/>
  <c r="F75" i="12"/>
  <c r="G75" i="12"/>
  <c r="H75" i="12"/>
  <c r="B76" i="12"/>
  <c r="C76" i="12"/>
  <c r="D76" i="12"/>
  <c r="E76" i="12"/>
  <c r="F76" i="12"/>
  <c r="G76" i="12"/>
  <c r="H76" i="12"/>
  <c r="B77" i="12"/>
  <c r="C77" i="12"/>
  <c r="D77" i="12"/>
  <c r="E77" i="12"/>
  <c r="F77" i="12"/>
  <c r="G77" i="12"/>
  <c r="H77" i="12"/>
  <c r="C63" i="12"/>
  <c r="D63" i="12"/>
  <c r="E63" i="12"/>
  <c r="F63" i="12"/>
  <c r="G63" i="12"/>
  <c r="H63" i="12"/>
  <c r="B63" i="12"/>
  <c r="B45" i="12"/>
  <c r="C45" i="12"/>
  <c r="D45" i="12"/>
  <c r="E45" i="12"/>
  <c r="F45" i="12"/>
  <c r="G45" i="12"/>
  <c r="H45" i="12"/>
  <c r="B46" i="12"/>
  <c r="C46" i="12"/>
  <c r="D46" i="12"/>
  <c r="E46" i="12"/>
  <c r="F46" i="12"/>
  <c r="G46" i="12"/>
  <c r="H46" i="12"/>
  <c r="B47" i="12"/>
  <c r="C47" i="12"/>
  <c r="D47" i="12"/>
  <c r="E47" i="12"/>
  <c r="F47" i="12"/>
  <c r="G47" i="12"/>
  <c r="H47" i="12"/>
  <c r="B48" i="12"/>
  <c r="C48" i="12"/>
  <c r="D48" i="12"/>
  <c r="E48" i="12"/>
  <c r="F48" i="12"/>
  <c r="G48" i="12"/>
  <c r="H48" i="12"/>
  <c r="B49" i="12"/>
  <c r="C49" i="12"/>
  <c r="D49" i="12"/>
  <c r="E49" i="12"/>
  <c r="F49" i="12"/>
  <c r="G49" i="12"/>
  <c r="H49" i="12"/>
  <c r="B50" i="12"/>
  <c r="C50" i="12"/>
  <c r="D50" i="12"/>
  <c r="E50" i="12"/>
  <c r="F50" i="12"/>
  <c r="G50" i="12"/>
  <c r="H50" i="12"/>
  <c r="B51" i="12"/>
  <c r="C51" i="12"/>
  <c r="D51" i="12"/>
  <c r="E51" i="12"/>
  <c r="F51" i="12"/>
  <c r="G51" i="12"/>
  <c r="H51" i="12"/>
  <c r="B52" i="12"/>
  <c r="C52" i="12"/>
  <c r="D52" i="12"/>
  <c r="E52" i="12"/>
  <c r="F52" i="12"/>
  <c r="G52" i="12"/>
  <c r="H52" i="12"/>
  <c r="B53" i="12"/>
  <c r="C53" i="12"/>
  <c r="D53" i="12"/>
  <c r="E53" i="12"/>
  <c r="F53" i="12"/>
  <c r="G53" i="12"/>
  <c r="H53" i="12"/>
  <c r="B54" i="12"/>
  <c r="C54" i="12"/>
  <c r="D54" i="12"/>
  <c r="E54" i="12"/>
  <c r="F54" i="12"/>
  <c r="G54" i="12"/>
  <c r="H54" i="12"/>
  <c r="B55" i="12"/>
  <c r="C55" i="12"/>
  <c r="D55" i="12"/>
  <c r="E55" i="12"/>
  <c r="F55" i="12"/>
  <c r="G55" i="12"/>
  <c r="H55" i="12"/>
  <c r="B56" i="12"/>
  <c r="C56" i="12"/>
  <c r="D56" i="12"/>
  <c r="E56" i="12"/>
  <c r="F56" i="12"/>
  <c r="G56" i="12"/>
  <c r="H56" i="12"/>
  <c r="B57" i="12"/>
  <c r="C57" i="12"/>
  <c r="D57" i="12"/>
  <c r="E57" i="12"/>
  <c r="F57" i="12"/>
  <c r="G57" i="12"/>
  <c r="H57" i="12"/>
  <c r="B58" i="12"/>
  <c r="C58" i="12"/>
  <c r="D58" i="12"/>
  <c r="E58" i="12"/>
  <c r="F58" i="12"/>
  <c r="G58" i="12"/>
  <c r="H58" i="12"/>
  <c r="C44" i="12"/>
  <c r="D44" i="12"/>
  <c r="E44" i="12"/>
  <c r="F44" i="12"/>
  <c r="G44" i="12"/>
  <c r="H44" i="12"/>
  <c r="B44" i="12"/>
  <c r="B26" i="12"/>
  <c r="C26" i="12"/>
  <c r="D26" i="12"/>
  <c r="E26" i="12"/>
  <c r="F26" i="12"/>
  <c r="G26" i="12"/>
  <c r="H26" i="12"/>
  <c r="B27" i="12"/>
  <c r="C27" i="12"/>
  <c r="D27" i="12"/>
  <c r="E27" i="12"/>
  <c r="F27" i="12"/>
  <c r="G27" i="12"/>
  <c r="H27" i="12"/>
  <c r="B28" i="12"/>
  <c r="C28" i="12"/>
  <c r="D28" i="12"/>
  <c r="E28" i="12"/>
  <c r="F28" i="12"/>
  <c r="G28" i="12"/>
  <c r="H28" i="12"/>
  <c r="B29" i="12"/>
  <c r="C29" i="12"/>
  <c r="D29" i="12"/>
  <c r="E29" i="12"/>
  <c r="F29" i="12"/>
  <c r="G29" i="12"/>
  <c r="H29" i="12"/>
  <c r="B30" i="12"/>
  <c r="C30" i="12"/>
  <c r="D30" i="12"/>
  <c r="E30" i="12"/>
  <c r="F30" i="12"/>
  <c r="G30" i="12"/>
  <c r="H30" i="12"/>
  <c r="B31" i="12"/>
  <c r="C31" i="12"/>
  <c r="D31" i="12"/>
  <c r="E31" i="12"/>
  <c r="F31" i="12"/>
  <c r="G31" i="12"/>
  <c r="H31" i="12"/>
  <c r="B32" i="12"/>
  <c r="C32" i="12"/>
  <c r="D32" i="12"/>
  <c r="E32" i="12"/>
  <c r="F32" i="12"/>
  <c r="G32" i="12"/>
  <c r="H32" i="12"/>
  <c r="B33" i="12"/>
  <c r="C33" i="12"/>
  <c r="D33" i="12"/>
  <c r="E33" i="12"/>
  <c r="F33" i="12"/>
  <c r="G33" i="12"/>
  <c r="H33" i="12"/>
  <c r="B34" i="12"/>
  <c r="C34" i="12"/>
  <c r="D34" i="12"/>
  <c r="E34" i="12"/>
  <c r="F34" i="12"/>
  <c r="G34" i="12"/>
  <c r="H34" i="12"/>
  <c r="B35" i="12"/>
  <c r="C35" i="12"/>
  <c r="D35" i="12"/>
  <c r="E35" i="12"/>
  <c r="F35" i="12"/>
  <c r="G35" i="12"/>
  <c r="H35" i="12"/>
  <c r="B36" i="12"/>
  <c r="C36" i="12"/>
  <c r="D36" i="12"/>
  <c r="E36" i="12"/>
  <c r="F36" i="12"/>
  <c r="G36" i="12"/>
  <c r="H36" i="12"/>
  <c r="B37" i="12"/>
  <c r="C37" i="12"/>
  <c r="D37" i="12"/>
  <c r="E37" i="12"/>
  <c r="F37" i="12"/>
  <c r="G37" i="12"/>
  <c r="H37" i="12"/>
  <c r="B38" i="12"/>
  <c r="C38" i="12"/>
  <c r="D38" i="12"/>
  <c r="E38" i="12"/>
  <c r="F38" i="12"/>
  <c r="G38" i="12"/>
  <c r="H38" i="12"/>
  <c r="B39" i="12"/>
  <c r="C39" i="12"/>
  <c r="D39" i="12"/>
  <c r="E39" i="12"/>
  <c r="F39" i="12"/>
  <c r="G39" i="12"/>
  <c r="H39" i="12"/>
  <c r="C25" i="12"/>
  <c r="D25" i="12"/>
  <c r="E25" i="12"/>
  <c r="F25" i="12"/>
  <c r="G25" i="12"/>
  <c r="H25" i="12"/>
  <c r="B25" i="12"/>
  <c r="B7" i="12"/>
  <c r="C7" i="12"/>
  <c r="D7" i="12"/>
  <c r="E7" i="12"/>
  <c r="F7" i="12"/>
  <c r="G7" i="12"/>
  <c r="H7" i="12"/>
  <c r="B8" i="12"/>
  <c r="C8" i="12"/>
  <c r="D8" i="12"/>
  <c r="E8" i="12"/>
  <c r="F8" i="12"/>
  <c r="G8" i="12"/>
  <c r="H8" i="12"/>
  <c r="B9" i="12"/>
  <c r="C9" i="12"/>
  <c r="D9" i="12"/>
  <c r="E9" i="12"/>
  <c r="F9" i="12"/>
  <c r="G9" i="12"/>
  <c r="H9" i="12"/>
  <c r="B10" i="12"/>
  <c r="C10" i="12"/>
  <c r="D10" i="12"/>
  <c r="E10" i="12"/>
  <c r="F10" i="12"/>
  <c r="G10" i="12"/>
  <c r="H10" i="12"/>
  <c r="B11" i="12"/>
  <c r="C11" i="12"/>
  <c r="D11" i="12"/>
  <c r="E11" i="12"/>
  <c r="F11" i="12"/>
  <c r="G11" i="12"/>
  <c r="H11" i="12"/>
  <c r="B12" i="12"/>
  <c r="C12" i="12"/>
  <c r="D12" i="12"/>
  <c r="E12" i="12"/>
  <c r="F12" i="12"/>
  <c r="G12" i="12"/>
  <c r="H12" i="12"/>
  <c r="B13" i="12"/>
  <c r="C13" i="12"/>
  <c r="D13" i="12"/>
  <c r="E13" i="12"/>
  <c r="F13" i="12"/>
  <c r="G13" i="12"/>
  <c r="H13" i="12"/>
  <c r="B14" i="12"/>
  <c r="C14" i="12"/>
  <c r="D14" i="12"/>
  <c r="E14" i="12"/>
  <c r="F14" i="12"/>
  <c r="G14" i="12"/>
  <c r="H14" i="12"/>
  <c r="B15" i="12"/>
  <c r="C15" i="12"/>
  <c r="D15" i="12"/>
  <c r="E15" i="12"/>
  <c r="F15" i="12"/>
  <c r="G15" i="12"/>
  <c r="H15" i="12"/>
  <c r="B16" i="12"/>
  <c r="C16" i="12"/>
  <c r="D16" i="12"/>
  <c r="E16" i="12"/>
  <c r="F16" i="12"/>
  <c r="G16" i="12"/>
  <c r="H16" i="12"/>
  <c r="B17" i="12"/>
  <c r="C17" i="12"/>
  <c r="D17" i="12"/>
  <c r="E17" i="12"/>
  <c r="F17" i="12"/>
  <c r="G17" i="12"/>
  <c r="H17" i="12"/>
  <c r="B18" i="12"/>
  <c r="C18" i="12"/>
  <c r="D18" i="12"/>
  <c r="E18" i="12"/>
  <c r="F18" i="12"/>
  <c r="G18" i="12"/>
  <c r="H18" i="12"/>
  <c r="B19" i="12"/>
  <c r="C19" i="12"/>
  <c r="D19" i="12"/>
  <c r="E19" i="12"/>
  <c r="F19" i="12"/>
  <c r="G19" i="12"/>
  <c r="H19" i="12"/>
  <c r="B20" i="12"/>
  <c r="C20" i="12"/>
  <c r="D20" i="12"/>
  <c r="E20" i="12"/>
  <c r="F20" i="12"/>
  <c r="G20" i="12"/>
  <c r="H20" i="12"/>
  <c r="C6" i="12"/>
  <c r="D6" i="12"/>
  <c r="E6" i="12"/>
  <c r="F6" i="12"/>
  <c r="G6" i="12"/>
  <c r="H6" i="12"/>
  <c r="B6" i="12"/>
  <c r="AC140" i="1"/>
  <c r="AD140" i="1"/>
  <c r="AE140" i="1"/>
  <c r="AF140" i="1"/>
  <c r="AG140" i="1"/>
  <c r="AH140" i="1"/>
  <c r="AI140" i="1"/>
  <c r="AC141" i="1"/>
  <c r="AD141" i="1"/>
  <c r="AE141" i="1"/>
  <c r="AF141" i="1"/>
  <c r="AG141" i="1"/>
  <c r="AH141" i="1"/>
  <c r="AI141" i="1"/>
  <c r="AC142" i="1"/>
  <c r="AD142" i="1"/>
  <c r="AE142" i="1"/>
  <c r="AF142" i="1"/>
  <c r="AG142" i="1"/>
  <c r="AH142" i="1"/>
  <c r="AI142" i="1"/>
  <c r="AC143" i="1"/>
  <c r="AD143" i="1"/>
  <c r="AE143" i="1"/>
  <c r="AF143" i="1"/>
  <c r="AG143" i="1"/>
  <c r="AH143" i="1"/>
  <c r="AI143" i="1"/>
  <c r="AC144" i="1"/>
  <c r="AD144" i="1"/>
  <c r="AE144" i="1"/>
  <c r="AF144" i="1"/>
  <c r="AG144" i="1"/>
  <c r="AH144" i="1"/>
  <c r="AI144" i="1"/>
  <c r="AC145" i="1"/>
  <c r="AD145" i="1"/>
  <c r="AE145" i="1"/>
  <c r="AF145" i="1"/>
  <c r="AG145" i="1"/>
  <c r="AH145" i="1"/>
  <c r="AI145" i="1"/>
  <c r="AC146" i="1"/>
  <c r="AD146" i="1"/>
  <c r="AE146" i="1"/>
  <c r="AF146" i="1"/>
  <c r="AG146" i="1"/>
  <c r="AH146" i="1"/>
  <c r="AI146" i="1"/>
  <c r="AC147" i="1"/>
  <c r="AD147" i="1"/>
  <c r="AE147" i="1"/>
  <c r="AF147" i="1"/>
  <c r="AG147" i="1"/>
  <c r="AH147" i="1"/>
  <c r="AI147" i="1"/>
  <c r="AC148" i="1"/>
  <c r="AD148" i="1"/>
  <c r="AE148" i="1"/>
  <c r="AF148" i="1"/>
  <c r="AG148" i="1"/>
  <c r="AH148" i="1"/>
  <c r="AI148" i="1"/>
  <c r="AC149" i="1"/>
  <c r="AD149" i="1"/>
  <c r="AE149" i="1"/>
  <c r="AF149" i="1"/>
  <c r="AG149" i="1"/>
  <c r="AH149" i="1"/>
  <c r="AI149" i="1"/>
  <c r="AC150" i="1"/>
  <c r="AD150" i="1"/>
  <c r="AE150" i="1"/>
  <c r="AF150" i="1"/>
  <c r="AG150" i="1"/>
  <c r="AH150" i="1"/>
  <c r="AI150" i="1"/>
  <c r="AC151" i="1"/>
  <c r="AD151" i="1"/>
  <c r="AE151" i="1"/>
  <c r="AF151" i="1"/>
  <c r="AG151" i="1"/>
  <c r="AH151" i="1"/>
  <c r="AI151" i="1"/>
  <c r="AC152" i="1"/>
  <c r="AD152" i="1"/>
  <c r="AE152" i="1"/>
  <c r="AF152" i="1"/>
  <c r="AG152" i="1"/>
  <c r="AH152" i="1"/>
  <c r="AI152" i="1"/>
  <c r="AC153" i="1"/>
  <c r="AD153" i="1"/>
  <c r="AE153" i="1"/>
  <c r="AF153" i="1"/>
  <c r="AG153" i="1"/>
  <c r="AH153" i="1"/>
  <c r="AI153" i="1"/>
  <c r="AD139" i="1"/>
  <c r="AE139" i="1"/>
  <c r="AF139" i="1"/>
  <c r="AG139" i="1"/>
  <c r="AH139" i="1"/>
  <c r="AI139" i="1"/>
  <c r="AC139" i="1"/>
  <c r="AC121" i="1"/>
  <c r="AD121" i="1"/>
  <c r="AE121" i="1"/>
  <c r="AF121" i="1"/>
  <c r="AG121" i="1"/>
  <c r="AH121" i="1"/>
  <c r="AI121" i="1"/>
  <c r="AC122" i="1"/>
  <c r="AD122" i="1"/>
  <c r="AE122" i="1"/>
  <c r="AF122" i="1"/>
  <c r="AG122" i="1"/>
  <c r="AH122" i="1"/>
  <c r="AI122" i="1"/>
  <c r="AC123" i="1"/>
  <c r="AD123" i="1"/>
  <c r="AE123" i="1"/>
  <c r="AF123" i="1"/>
  <c r="AG123" i="1"/>
  <c r="AH123" i="1"/>
  <c r="AI123" i="1"/>
  <c r="AC124" i="1"/>
  <c r="AD124" i="1"/>
  <c r="AE124" i="1"/>
  <c r="AF124" i="1"/>
  <c r="AG124" i="1"/>
  <c r="AH124" i="1"/>
  <c r="AI124" i="1"/>
  <c r="AC125" i="1"/>
  <c r="AD125" i="1"/>
  <c r="AE125" i="1"/>
  <c r="AF125" i="1"/>
  <c r="AG125" i="1"/>
  <c r="AH125" i="1"/>
  <c r="AI125" i="1"/>
  <c r="AC126" i="1"/>
  <c r="AD126" i="1"/>
  <c r="AE126" i="1"/>
  <c r="AF126" i="1"/>
  <c r="AG126" i="1"/>
  <c r="AH126" i="1"/>
  <c r="AI126" i="1"/>
  <c r="AC127" i="1"/>
  <c r="AD127" i="1"/>
  <c r="AE127" i="1"/>
  <c r="AF127" i="1"/>
  <c r="AG127" i="1"/>
  <c r="AH127" i="1"/>
  <c r="AI127" i="1"/>
  <c r="AC128" i="1"/>
  <c r="AD128" i="1"/>
  <c r="AE128" i="1"/>
  <c r="AF128" i="1"/>
  <c r="AG128" i="1"/>
  <c r="AH128" i="1"/>
  <c r="AI128" i="1"/>
  <c r="AC129" i="1"/>
  <c r="AD129" i="1"/>
  <c r="AE129" i="1"/>
  <c r="AF129" i="1"/>
  <c r="AG129" i="1"/>
  <c r="AH129" i="1"/>
  <c r="AI129" i="1"/>
  <c r="AC130" i="1"/>
  <c r="AD130" i="1"/>
  <c r="AE130" i="1"/>
  <c r="AF130" i="1"/>
  <c r="AG130" i="1"/>
  <c r="AH130" i="1"/>
  <c r="AI130" i="1"/>
  <c r="AC131" i="1"/>
  <c r="AD131" i="1"/>
  <c r="AE131" i="1"/>
  <c r="AF131" i="1"/>
  <c r="AG131" i="1"/>
  <c r="AH131" i="1"/>
  <c r="AI131" i="1"/>
  <c r="AC132" i="1"/>
  <c r="AD132" i="1"/>
  <c r="AE132" i="1"/>
  <c r="AF132" i="1"/>
  <c r="AG132" i="1"/>
  <c r="AH132" i="1"/>
  <c r="AI132" i="1"/>
  <c r="AC133" i="1"/>
  <c r="AD133" i="1"/>
  <c r="AE133" i="1"/>
  <c r="AF133" i="1"/>
  <c r="AG133" i="1"/>
  <c r="AH133" i="1"/>
  <c r="AI133" i="1"/>
  <c r="AC134" i="1"/>
  <c r="AD134" i="1"/>
  <c r="AE134" i="1"/>
  <c r="AF134" i="1"/>
  <c r="AG134" i="1"/>
  <c r="AH134" i="1"/>
  <c r="AI134" i="1"/>
  <c r="AD120" i="1"/>
  <c r="AE120" i="1"/>
  <c r="AF120" i="1"/>
  <c r="AG120" i="1"/>
  <c r="AH120" i="1"/>
  <c r="AI120" i="1"/>
  <c r="AC120" i="1"/>
  <c r="AC102" i="1"/>
  <c r="AD102" i="1"/>
  <c r="AE102" i="1"/>
  <c r="AF102" i="1"/>
  <c r="AG102" i="1"/>
  <c r="AH102" i="1"/>
  <c r="AI102" i="1"/>
  <c r="AC103" i="1"/>
  <c r="AD103" i="1"/>
  <c r="AE103" i="1"/>
  <c r="AF103" i="1"/>
  <c r="AG103" i="1"/>
  <c r="AH103" i="1"/>
  <c r="AI103" i="1"/>
  <c r="AC104" i="1"/>
  <c r="AD104" i="1"/>
  <c r="AE104" i="1"/>
  <c r="AF104" i="1"/>
  <c r="AG104" i="1"/>
  <c r="AH104" i="1"/>
  <c r="AI104" i="1"/>
  <c r="AC105" i="1"/>
  <c r="AD105" i="1"/>
  <c r="AE105" i="1"/>
  <c r="AF105" i="1"/>
  <c r="AG105" i="1"/>
  <c r="AH105" i="1"/>
  <c r="AI105" i="1"/>
  <c r="AC106" i="1"/>
  <c r="AD106" i="1"/>
  <c r="AE106" i="1"/>
  <c r="AF106" i="1"/>
  <c r="AG106" i="1"/>
  <c r="AH106" i="1"/>
  <c r="AI106" i="1"/>
  <c r="AC107" i="1"/>
  <c r="AD107" i="1"/>
  <c r="AE107" i="1"/>
  <c r="AF107" i="1"/>
  <c r="AG107" i="1"/>
  <c r="AH107" i="1"/>
  <c r="AI107" i="1"/>
  <c r="AC108" i="1"/>
  <c r="AD108" i="1"/>
  <c r="AE108" i="1"/>
  <c r="AF108" i="1"/>
  <c r="AG108" i="1"/>
  <c r="AH108" i="1"/>
  <c r="AI108" i="1"/>
  <c r="AC109" i="1"/>
  <c r="AD109" i="1"/>
  <c r="AE109" i="1"/>
  <c r="AF109" i="1"/>
  <c r="AG109" i="1"/>
  <c r="AH109" i="1"/>
  <c r="AI109" i="1"/>
  <c r="AC110" i="1"/>
  <c r="AD110" i="1"/>
  <c r="AE110" i="1"/>
  <c r="AF110" i="1"/>
  <c r="AG110" i="1"/>
  <c r="AH110" i="1"/>
  <c r="AI110" i="1"/>
  <c r="AC111" i="1"/>
  <c r="AD111" i="1"/>
  <c r="AE111" i="1"/>
  <c r="AF111" i="1"/>
  <c r="AG111" i="1"/>
  <c r="AH111" i="1"/>
  <c r="AI111" i="1"/>
  <c r="AC112" i="1"/>
  <c r="AD112" i="1"/>
  <c r="AE112" i="1"/>
  <c r="AF112" i="1"/>
  <c r="AG112" i="1"/>
  <c r="AH112" i="1"/>
  <c r="AI112" i="1"/>
  <c r="AC113" i="1"/>
  <c r="AD113" i="1"/>
  <c r="AE113" i="1"/>
  <c r="AF113" i="1"/>
  <c r="AG113" i="1"/>
  <c r="AH113" i="1"/>
  <c r="AI113" i="1"/>
  <c r="AC114" i="1"/>
  <c r="AD114" i="1"/>
  <c r="AE114" i="1"/>
  <c r="AF114" i="1"/>
  <c r="AG114" i="1"/>
  <c r="AH114" i="1"/>
  <c r="AI114" i="1"/>
  <c r="AC115" i="1"/>
  <c r="AD115" i="1"/>
  <c r="AE115" i="1"/>
  <c r="AF115" i="1"/>
  <c r="AG115" i="1"/>
  <c r="AH115" i="1"/>
  <c r="AI115" i="1"/>
  <c r="AD101" i="1"/>
  <c r="AE101" i="1"/>
  <c r="AF101" i="1"/>
  <c r="AG101" i="1"/>
  <c r="AH101" i="1"/>
  <c r="AI101" i="1"/>
  <c r="AC101" i="1"/>
  <c r="AC83" i="1"/>
  <c r="AD83" i="1"/>
  <c r="AE83" i="1"/>
  <c r="AF83" i="1"/>
  <c r="AG83" i="1"/>
  <c r="AH83" i="1"/>
  <c r="AI83" i="1"/>
  <c r="AC84" i="1"/>
  <c r="AD84" i="1"/>
  <c r="AE84" i="1"/>
  <c r="AF84" i="1"/>
  <c r="AG84" i="1"/>
  <c r="AH84" i="1"/>
  <c r="AI84" i="1"/>
  <c r="AC85" i="1"/>
  <c r="AD85" i="1"/>
  <c r="AE85" i="1"/>
  <c r="AF85" i="1"/>
  <c r="AG85" i="1"/>
  <c r="AH85" i="1"/>
  <c r="AI85" i="1"/>
  <c r="AC86" i="1"/>
  <c r="AD86" i="1"/>
  <c r="AE86" i="1"/>
  <c r="AF86" i="1"/>
  <c r="AG86" i="1"/>
  <c r="AH86" i="1"/>
  <c r="AI86" i="1"/>
  <c r="AC87" i="1"/>
  <c r="AD87" i="1"/>
  <c r="AE87" i="1"/>
  <c r="AF87" i="1"/>
  <c r="AG87" i="1"/>
  <c r="AH87" i="1"/>
  <c r="AI87" i="1"/>
  <c r="AC88" i="1"/>
  <c r="AD88" i="1"/>
  <c r="AE88" i="1"/>
  <c r="AF88" i="1"/>
  <c r="AG88" i="1"/>
  <c r="AH88" i="1"/>
  <c r="AI88" i="1"/>
  <c r="AC89" i="1"/>
  <c r="AD89" i="1"/>
  <c r="AE89" i="1"/>
  <c r="AF89" i="1"/>
  <c r="AG89" i="1"/>
  <c r="AH89" i="1"/>
  <c r="AI89" i="1"/>
  <c r="AC90" i="1"/>
  <c r="AD90" i="1"/>
  <c r="AE90" i="1"/>
  <c r="AF90" i="1"/>
  <c r="AG90" i="1"/>
  <c r="AH90" i="1"/>
  <c r="AI90" i="1"/>
  <c r="AC91" i="1"/>
  <c r="AD91" i="1"/>
  <c r="AE91" i="1"/>
  <c r="AF91" i="1"/>
  <c r="AG91" i="1"/>
  <c r="AH91" i="1"/>
  <c r="AI91" i="1"/>
  <c r="AC92" i="1"/>
  <c r="AD92" i="1"/>
  <c r="AE92" i="1"/>
  <c r="AF92" i="1"/>
  <c r="AG92" i="1"/>
  <c r="AH92" i="1"/>
  <c r="AI92" i="1"/>
  <c r="AC93" i="1"/>
  <c r="AD93" i="1"/>
  <c r="AE93" i="1"/>
  <c r="AF93" i="1"/>
  <c r="AG93" i="1"/>
  <c r="AH93" i="1"/>
  <c r="AI93" i="1"/>
  <c r="AC94" i="1"/>
  <c r="AD94" i="1"/>
  <c r="AE94" i="1"/>
  <c r="AF94" i="1"/>
  <c r="AG94" i="1"/>
  <c r="AH94" i="1"/>
  <c r="AI94" i="1"/>
  <c r="AC95" i="1"/>
  <c r="AD95" i="1"/>
  <c r="AE95" i="1"/>
  <c r="AF95" i="1"/>
  <c r="AG95" i="1"/>
  <c r="AH95" i="1"/>
  <c r="AI95" i="1"/>
  <c r="AC96" i="1"/>
  <c r="AD96" i="1"/>
  <c r="AE96" i="1"/>
  <c r="AF96" i="1"/>
  <c r="AG96" i="1"/>
  <c r="AH96" i="1"/>
  <c r="AI96" i="1"/>
  <c r="AD82" i="1"/>
  <c r="AE82" i="1"/>
  <c r="AF82" i="1"/>
  <c r="AG82" i="1"/>
  <c r="AH82" i="1"/>
  <c r="AI82" i="1"/>
  <c r="AC82" i="1"/>
  <c r="AC64" i="1"/>
  <c r="AD64" i="1"/>
  <c r="AE64" i="1"/>
  <c r="AF64" i="1"/>
  <c r="AG64" i="1"/>
  <c r="AH64" i="1"/>
  <c r="AI64" i="1"/>
  <c r="AC65" i="1"/>
  <c r="AD65" i="1"/>
  <c r="AE65" i="1"/>
  <c r="AF65" i="1"/>
  <c r="AG65" i="1"/>
  <c r="AH65" i="1"/>
  <c r="AI65" i="1"/>
  <c r="AC66" i="1"/>
  <c r="AD66" i="1"/>
  <c r="AE66" i="1"/>
  <c r="AF66" i="1"/>
  <c r="AG66" i="1"/>
  <c r="AH66" i="1"/>
  <c r="AI66" i="1"/>
  <c r="AC67" i="1"/>
  <c r="AD67" i="1"/>
  <c r="AE67" i="1"/>
  <c r="AF67" i="1"/>
  <c r="AG67" i="1"/>
  <c r="AH67" i="1"/>
  <c r="AI67" i="1"/>
  <c r="AC68" i="1"/>
  <c r="AD68" i="1"/>
  <c r="AE68" i="1"/>
  <c r="AF68" i="1"/>
  <c r="AG68" i="1"/>
  <c r="AH68" i="1"/>
  <c r="AI68" i="1"/>
  <c r="AC69" i="1"/>
  <c r="AD69" i="1"/>
  <c r="AE69" i="1"/>
  <c r="AF69" i="1"/>
  <c r="AG69" i="1"/>
  <c r="AH69" i="1"/>
  <c r="AI69" i="1"/>
  <c r="AC70" i="1"/>
  <c r="AD70" i="1"/>
  <c r="AE70" i="1"/>
  <c r="AF70" i="1"/>
  <c r="AG70" i="1"/>
  <c r="AH70" i="1"/>
  <c r="AI70" i="1"/>
  <c r="AC71" i="1"/>
  <c r="AD71" i="1"/>
  <c r="AE71" i="1"/>
  <c r="AF71" i="1"/>
  <c r="AG71" i="1"/>
  <c r="AH71" i="1"/>
  <c r="AI71" i="1"/>
  <c r="AC72" i="1"/>
  <c r="AD72" i="1"/>
  <c r="AE72" i="1"/>
  <c r="AF72" i="1"/>
  <c r="AG72" i="1"/>
  <c r="AH72" i="1"/>
  <c r="AI72" i="1"/>
  <c r="AC73" i="1"/>
  <c r="AD73" i="1"/>
  <c r="AE73" i="1"/>
  <c r="AF73" i="1"/>
  <c r="AG73" i="1"/>
  <c r="AH73" i="1"/>
  <c r="AI73" i="1"/>
  <c r="AC74" i="1"/>
  <c r="AD74" i="1"/>
  <c r="AE74" i="1"/>
  <c r="AF74" i="1"/>
  <c r="AG74" i="1"/>
  <c r="AH74" i="1"/>
  <c r="AI74" i="1"/>
  <c r="AC75" i="1"/>
  <c r="AD75" i="1"/>
  <c r="AE75" i="1"/>
  <c r="AF75" i="1"/>
  <c r="AG75" i="1"/>
  <c r="AH75" i="1"/>
  <c r="AI75" i="1"/>
  <c r="AC76" i="1"/>
  <c r="AD76" i="1"/>
  <c r="AE76" i="1"/>
  <c r="AF76" i="1"/>
  <c r="AG76" i="1"/>
  <c r="AH76" i="1"/>
  <c r="AI76" i="1"/>
  <c r="AC77" i="1"/>
  <c r="AD77" i="1"/>
  <c r="AE77" i="1"/>
  <c r="AF77" i="1"/>
  <c r="AG77" i="1"/>
  <c r="AH77" i="1"/>
  <c r="AI77" i="1"/>
  <c r="AD63" i="1"/>
  <c r="AE63" i="1"/>
  <c r="AF63" i="1"/>
  <c r="AG63" i="1"/>
  <c r="AH63" i="1"/>
  <c r="AI63" i="1"/>
  <c r="AC63" i="1"/>
  <c r="AC45" i="1"/>
  <c r="AD45" i="1"/>
  <c r="AE45" i="1"/>
  <c r="AF45" i="1"/>
  <c r="AG45" i="1"/>
  <c r="AH45" i="1"/>
  <c r="AI45" i="1"/>
  <c r="AC46" i="1"/>
  <c r="AD46" i="1"/>
  <c r="AE46" i="1"/>
  <c r="AF46" i="1"/>
  <c r="AG46" i="1"/>
  <c r="AH46" i="1"/>
  <c r="AI46" i="1"/>
  <c r="AC47" i="1"/>
  <c r="AD47" i="1"/>
  <c r="AE47" i="1"/>
  <c r="AF47" i="1"/>
  <c r="AG47" i="1"/>
  <c r="AH47" i="1"/>
  <c r="AI47" i="1"/>
  <c r="AC48" i="1"/>
  <c r="AD48" i="1"/>
  <c r="AE48" i="1"/>
  <c r="AF48" i="1"/>
  <c r="AG48" i="1"/>
  <c r="AH48" i="1"/>
  <c r="AI48" i="1"/>
  <c r="AC49" i="1"/>
  <c r="AD49" i="1"/>
  <c r="AE49" i="1"/>
  <c r="AF49" i="1"/>
  <c r="AG49" i="1"/>
  <c r="AH49" i="1"/>
  <c r="AI49" i="1"/>
  <c r="AC50" i="1"/>
  <c r="AD50" i="1"/>
  <c r="AE50" i="1"/>
  <c r="AF50" i="1"/>
  <c r="AG50" i="1"/>
  <c r="AH50" i="1"/>
  <c r="AI50" i="1"/>
  <c r="AC51" i="1"/>
  <c r="AD51" i="1"/>
  <c r="AE51" i="1"/>
  <c r="AF51" i="1"/>
  <c r="AG51" i="1"/>
  <c r="AH51" i="1"/>
  <c r="AI51" i="1"/>
  <c r="AC52" i="1"/>
  <c r="AD52" i="1"/>
  <c r="AE52" i="1"/>
  <c r="AF52" i="1"/>
  <c r="AG52" i="1"/>
  <c r="AH52" i="1"/>
  <c r="AI52" i="1"/>
  <c r="AC53" i="1"/>
  <c r="AD53" i="1"/>
  <c r="AE53" i="1"/>
  <c r="AF53" i="1"/>
  <c r="AG53" i="1"/>
  <c r="AH53" i="1"/>
  <c r="AI53" i="1"/>
  <c r="AC54" i="1"/>
  <c r="AD54" i="1"/>
  <c r="AE54" i="1"/>
  <c r="AF54" i="1"/>
  <c r="AG54" i="1"/>
  <c r="AH54" i="1"/>
  <c r="AI54" i="1"/>
  <c r="AC55" i="1"/>
  <c r="AD55" i="1"/>
  <c r="AE55" i="1"/>
  <c r="AF55" i="1"/>
  <c r="AG55" i="1"/>
  <c r="AH55" i="1"/>
  <c r="AI55" i="1"/>
  <c r="AC56" i="1"/>
  <c r="AD56" i="1"/>
  <c r="AE56" i="1"/>
  <c r="AF56" i="1"/>
  <c r="AG56" i="1"/>
  <c r="AH56" i="1"/>
  <c r="AI56" i="1"/>
  <c r="AC57" i="1"/>
  <c r="AD57" i="1"/>
  <c r="AE57" i="1"/>
  <c r="AF57" i="1"/>
  <c r="AG57" i="1"/>
  <c r="AH57" i="1"/>
  <c r="AI57" i="1"/>
  <c r="AC58" i="1"/>
  <c r="AD58" i="1"/>
  <c r="AE58" i="1"/>
  <c r="AF58" i="1"/>
  <c r="AG58" i="1"/>
  <c r="AH58" i="1"/>
  <c r="AI58" i="1"/>
  <c r="AD44" i="1"/>
  <c r="AE44" i="1"/>
  <c r="AF44" i="1"/>
  <c r="AG44" i="1"/>
  <c r="AH44" i="1"/>
  <c r="AI44" i="1"/>
  <c r="AC44" i="1"/>
  <c r="AC26" i="1"/>
  <c r="AD26" i="1"/>
  <c r="AE26" i="1"/>
  <c r="AF26" i="1"/>
  <c r="AG26" i="1"/>
  <c r="AH26" i="1"/>
  <c r="AI26" i="1"/>
  <c r="AC27" i="1"/>
  <c r="AD27" i="1"/>
  <c r="AE27" i="1"/>
  <c r="AF27" i="1"/>
  <c r="AG27" i="1"/>
  <c r="AH27" i="1"/>
  <c r="AI27" i="1"/>
  <c r="AC28" i="1"/>
  <c r="AD28" i="1"/>
  <c r="AE28" i="1"/>
  <c r="AF28" i="1"/>
  <c r="AG28" i="1"/>
  <c r="AH28" i="1"/>
  <c r="AI28" i="1"/>
  <c r="AC29" i="1"/>
  <c r="AD29" i="1"/>
  <c r="AE29" i="1"/>
  <c r="AF29" i="1"/>
  <c r="AG29" i="1"/>
  <c r="AH29" i="1"/>
  <c r="AI29" i="1"/>
  <c r="AC30" i="1"/>
  <c r="AD30" i="1"/>
  <c r="AE30" i="1"/>
  <c r="AF30" i="1"/>
  <c r="AG30" i="1"/>
  <c r="AH30" i="1"/>
  <c r="AI30" i="1"/>
  <c r="AC31" i="1"/>
  <c r="AD31" i="1"/>
  <c r="AE31" i="1"/>
  <c r="AF31" i="1"/>
  <c r="AG31" i="1"/>
  <c r="AH31" i="1"/>
  <c r="AI31" i="1"/>
  <c r="AC32" i="1"/>
  <c r="AD32" i="1"/>
  <c r="AE32" i="1"/>
  <c r="AF32" i="1"/>
  <c r="AG32" i="1"/>
  <c r="AH32" i="1"/>
  <c r="AI32" i="1"/>
  <c r="AC33" i="1"/>
  <c r="AD33" i="1"/>
  <c r="AE33" i="1"/>
  <c r="AF33" i="1"/>
  <c r="AG33" i="1"/>
  <c r="AH33" i="1"/>
  <c r="AI33" i="1"/>
  <c r="AC34" i="1"/>
  <c r="AD34" i="1"/>
  <c r="AE34" i="1"/>
  <c r="AF34" i="1"/>
  <c r="AG34" i="1"/>
  <c r="AH34" i="1"/>
  <c r="AI34" i="1"/>
  <c r="AC35" i="1"/>
  <c r="AD35" i="1"/>
  <c r="AE35" i="1"/>
  <c r="AF35" i="1"/>
  <c r="AG35" i="1"/>
  <c r="AH35" i="1"/>
  <c r="AI35" i="1"/>
  <c r="AC36" i="1"/>
  <c r="AD36" i="1"/>
  <c r="AE36" i="1"/>
  <c r="AF36" i="1"/>
  <c r="AG36" i="1"/>
  <c r="AH36" i="1"/>
  <c r="AI36" i="1"/>
  <c r="AC37" i="1"/>
  <c r="AD37" i="1"/>
  <c r="AE37" i="1"/>
  <c r="AF37" i="1"/>
  <c r="AG37" i="1"/>
  <c r="AH37" i="1"/>
  <c r="AI37" i="1"/>
  <c r="AC38" i="1"/>
  <c r="AD38" i="1"/>
  <c r="AE38" i="1"/>
  <c r="AF38" i="1"/>
  <c r="AG38" i="1"/>
  <c r="AH38" i="1"/>
  <c r="AI38" i="1"/>
  <c r="AC39" i="1"/>
  <c r="AD39" i="1"/>
  <c r="AE39" i="1"/>
  <c r="AF39" i="1"/>
  <c r="AG39" i="1"/>
  <c r="AH39" i="1"/>
  <c r="AI39" i="1"/>
  <c r="AD25" i="1"/>
  <c r="AE25" i="1"/>
  <c r="AF25" i="1"/>
  <c r="AG25" i="1"/>
  <c r="AH25" i="1"/>
  <c r="AI25" i="1"/>
  <c r="AC25" i="1"/>
  <c r="AC7" i="1"/>
  <c r="AD7" i="1"/>
  <c r="AE7" i="1"/>
  <c r="AF7" i="1"/>
  <c r="AG7" i="1"/>
  <c r="AH7" i="1"/>
  <c r="AI7" i="1"/>
  <c r="AC8" i="1"/>
  <c r="AD8" i="1"/>
  <c r="AE8" i="1"/>
  <c r="AF8" i="1"/>
  <c r="AG8" i="1"/>
  <c r="AH8" i="1"/>
  <c r="AI8" i="1"/>
  <c r="AC9" i="1"/>
  <c r="AD9" i="1"/>
  <c r="AE9" i="1"/>
  <c r="AF9" i="1"/>
  <c r="AG9" i="1"/>
  <c r="AH9" i="1"/>
  <c r="AI9" i="1"/>
  <c r="AC10" i="1"/>
  <c r="AD10" i="1"/>
  <c r="AE10" i="1"/>
  <c r="AF10" i="1"/>
  <c r="AG10" i="1"/>
  <c r="AH10" i="1"/>
  <c r="AI10" i="1"/>
  <c r="AC11" i="1"/>
  <c r="AD11" i="1"/>
  <c r="AE11" i="1"/>
  <c r="AF11" i="1"/>
  <c r="AG11" i="1"/>
  <c r="AH11" i="1"/>
  <c r="AI11" i="1"/>
  <c r="AC12" i="1"/>
  <c r="AD12" i="1"/>
  <c r="AE12" i="1"/>
  <c r="AF12" i="1"/>
  <c r="AG12" i="1"/>
  <c r="AH12" i="1"/>
  <c r="AI12" i="1"/>
  <c r="AC13" i="1"/>
  <c r="AD13" i="1"/>
  <c r="AE13" i="1"/>
  <c r="AF13" i="1"/>
  <c r="AG13" i="1"/>
  <c r="AH13" i="1"/>
  <c r="AI13" i="1"/>
  <c r="AC14" i="1"/>
  <c r="AD14" i="1"/>
  <c r="AE14" i="1"/>
  <c r="AF14" i="1"/>
  <c r="AG14" i="1"/>
  <c r="AH14" i="1"/>
  <c r="AI14" i="1"/>
  <c r="AC15" i="1"/>
  <c r="AD15" i="1"/>
  <c r="AE15" i="1"/>
  <c r="AF15" i="1"/>
  <c r="AG15" i="1"/>
  <c r="AH15" i="1"/>
  <c r="AI15" i="1"/>
  <c r="AC16" i="1"/>
  <c r="AD16" i="1"/>
  <c r="AE16" i="1"/>
  <c r="AF16" i="1"/>
  <c r="AG16" i="1"/>
  <c r="AH16" i="1"/>
  <c r="AI16" i="1"/>
  <c r="AC17" i="1"/>
  <c r="AD17" i="1"/>
  <c r="AE17" i="1"/>
  <c r="AF17" i="1"/>
  <c r="AG17" i="1"/>
  <c r="AH17" i="1"/>
  <c r="AI17" i="1"/>
  <c r="AC18" i="1"/>
  <c r="AD18" i="1"/>
  <c r="AE18" i="1"/>
  <c r="AF18" i="1"/>
  <c r="AG18" i="1"/>
  <c r="AH18" i="1"/>
  <c r="AI18" i="1"/>
  <c r="AC19" i="1"/>
  <c r="AD19" i="1"/>
  <c r="AE19" i="1"/>
  <c r="AF19" i="1"/>
  <c r="AG19" i="1"/>
  <c r="AH19" i="1"/>
  <c r="AI19" i="1"/>
  <c r="AC20" i="1"/>
  <c r="AD20" i="1"/>
  <c r="AE20" i="1"/>
  <c r="AF20" i="1"/>
  <c r="AG20" i="1"/>
  <c r="AH20" i="1"/>
  <c r="AI20" i="1"/>
  <c r="AD6" i="1"/>
  <c r="AE6" i="1"/>
  <c r="AF6" i="1"/>
  <c r="AG6" i="1"/>
  <c r="AH6" i="1"/>
  <c r="AI6" i="1"/>
  <c r="AC6" i="1"/>
  <c r="T140" i="1"/>
  <c r="U140" i="1"/>
  <c r="V140" i="1"/>
  <c r="W140" i="1"/>
  <c r="X140" i="1"/>
  <c r="Y140" i="1"/>
  <c r="Z140" i="1"/>
  <c r="T141" i="1"/>
  <c r="U141" i="1"/>
  <c r="V141" i="1"/>
  <c r="W141" i="1"/>
  <c r="X141" i="1"/>
  <c r="Y141" i="1"/>
  <c r="Z141" i="1"/>
  <c r="T142" i="1"/>
  <c r="U142" i="1"/>
  <c r="V142" i="1"/>
  <c r="W142" i="1"/>
  <c r="X142" i="1"/>
  <c r="Y142" i="1"/>
  <c r="Z142" i="1"/>
  <c r="T143" i="1"/>
  <c r="U143" i="1"/>
  <c r="V143" i="1"/>
  <c r="W143" i="1"/>
  <c r="X143" i="1"/>
  <c r="Y143" i="1"/>
  <c r="Z143" i="1"/>
  <c r="T144" i="1"/>
  <c r="U144" i="1"/>
  <c r="V144" i="1"/>
  <c r="W144" i="1"/>
  <c r="X144" i="1"/>
  <c r="Y144" i="1"/>
  <c r="Z144" i="1"/>
  <c r="T145" i="1"/>
  <c r="U145" i="1"/>
  <c r="V145" i="1"/>
  <c r="W145" i="1"/>
  <c r="X145" i="1"/>
  <c r="Y145" i="1"/>
  <c r="Z145" i="1"/>
  <c r="T146" i="1"/>
  <c r="U146" i="1"/>
  <c r="V146" i="1"/>
  <c r="W146" i="1"/>
  <c r="X146" i="1"/>
  <c r="Y146" i="1"/>
  <c r="Z146" i="1"/>
  <c r="T147" i="1"/>
  <c r="U147" i="1"/>
  <c r="V147" i="1"/>
  <c r="W147" i="1"/>
  <c r="X147" i="1"/>
  <c r="Y147" i="1"/>
  <c r="Z147" i="1"/>
  <c r="T148" i="1"/>
  <c r="U148" i="1"/>
  <c r="V148" i="1"/>
  <c r="W148" i="1"/>
  <c r="X148" i="1"/>
  <c r="Y148" i="1"/>
  <c r="Z148" i="1"/>
  <c r="T149" i="1"/>
  <c r="U149" i="1"/>
  <c r="V149" i="1"/>
  <c r="W149" i="1"/>
  <c r="X149" i="1"/>
  <c r="Y149" i="1"/>
  <c r="Z149" i="1"/>
  <c r="T150" i="1"/>
  <c r="U150" i="1"/>
  <c r="V150" i="1"/>
  <c r="W150" i="1"/>
  <c r="X150" i="1"/>
  <c r="Y150" i="1"/>
  <c r="Z150" i="1"/>
  <c r="T151" i="1"/>
  <c r="U151" i="1"/>
  <c r="V151" i="1"/>
  <c r="W151" i="1"/>
  <c r="X151" i="1"/>
  <c r="Y151" i="1"/>
  <c r="Z151" i="1"/>
  <c r="T152" i="1"/>
  <c r="U152" i="1"/>
  <c r="V152" i="1"/>
  <c r="W152" i="1"/>
  <c r="X152" i="1"/>
  <c r="Y152" i="1"/>
  <c r="Z152" i="1"/>
  <c r="T153" i="1"/>
  <c r="U153" i="1"/>
  <c r="V153" i="1"/>
  <c r="W153" i="1"/>
  <c r="X153" i="1"/>
  <c r="Y153" i="1"/>
  <c r="Z153" i="1"/>
  <c r="U139" i="1"/>
  <c r="V139" i="1"/>
  <c r="W139" i="1"/>
  <c r="X139" i="1"/>
  <c r="Y139" i="1"/>
  <c r="Z139" i="1"/>
  <c r="T139" i="1"/>
  <c r="T121" i="1"/>
  <c r="U121" i="1"/>
  <c r="V121" i="1"/>
  <c r="W121" i="1"/>
  <c r="X121" i="1"/>
  <c r="Y121" i="1"/>
  <c r="Z121" i="1"/>
  <c r="T122" i="1"/>
  <c r="U122" i="1"/>
  <c r="V122" i="1"/>
  <c r="W122" i="1"/>
  <c r="X122" i="1"/>
  <c r="Y122" i="1"/>
  <c r="Z122" i="1"/>
  <c r="T123" i="1"/>
  <c r="U123" i="1"/>
  <c r="V123" i="1"/>
  <c r="W123" i="1"/>
  <c r="X123" i="1"/>
  <c r="Y123" i="1"/>
  <c r="Z123" i="1"/>
  <c r="T124" i="1"/>
  <c r="U124" i="1"/>
  <c r="V124" i="1"/>
  <c r="W124" i="1"/>
  <c r="X124" i="1"/>
  <c r="Y124" i="1"/>
  <c r="Z124" i="1"/>
  <c r="T125" i="1"/>
  <c r="U125" i="1"/>
  <c r="V125" i="1"/>
  <c r="W125" i="1"/>
  <c r="X125" i="1"/>
  <c r="Y125" i="1"/>
  <c r="Z125" i="1"/>
  <c r="T126" i="1"/>
  <c r="U126" i="1"/>
  <c r="V126" i="1"/>
  <c r="W126" i="1"/>
  <c r="X126" i="1"/>
  <c r="Y126" i="1"/>
  <c r="Z126" i="1"/>
  <c r="T127" i="1"/>
  <c r="U127" i="1"/>
  <c r="V127" i="1"/>
  <c r="W127" i="1"/>
  <c r="X127" i="1"/>
  <c r="Y127" i="1"/>
  <c r="Z127" i="1"/>
  <c r="T128" i="1"/>
  <c r="U128" i="1"/>
  <c r="V128" i="1"/>
  <c r="W128" i="1"/>
  <c r="X128" i="1"/>
  <c r="Y128" i="1"/>
  <c r="Z128" i="1"/>
  <c r="T129" i="1"/>
  <c r="U129" i="1"/>
  <c r="V129" i="1"/>
  <c r="W129" i="1"/>
  <c r="X129" i="1"/>
  <c r="Y129" i="1"/>
  <c r="Z129" i="1"/>
  <c r="T130" i="1"/>
  <c r="U130" i="1"/>
  <c r="V130" i="1"/>
  <c r="W130" i="1"/>
  <c r="X130" i="1"/>
  <c r="Y130" i="1"/>
  <c r="Z130" i="1"/>
  <c r="T131" i="1"/>
  <c r="U131" i="1"/>
  <c r="V131" i="1"/>
  <c r="W131" i="1"/>
  <c r="X131" i="1"/>
  <c r="Y131" i="1"/>
  <c r="Z131" i="1"/>
  <c r="T132" i="1"/>
  <c r="U132" i="1"/>
  <c r="V132" i="1"/>
  <c r="W132" i="1"/>
  <c r="X132" i="1"/>
  <c r="Y132" i="1"/>
  <c r="Z132" i="1"/>
  <c r="T133" i="1"/>
  <c r="U133" i="1"/>
  <c r="V133" i="1"/>
  <c r="W133" i="1"/>
  <c r="X133" i="1"/>
  <c r="Y133" i="1"/>
  <c r="Z133" i="1"/>
  <c r="T134" i="1"/>
  <c r="U134" i="1"/>
  <c r="V134" i="1"/>
  <c r="W134" i="1"/>
  <c r="X134" i="1"/>
  <c r="Y134" i="1"/>
  <c r="Z134" i="1"/>
  <c r="U120" i="1"/>
  <c r="V120" i="1"/>
  <c r="W120" i="1"/>
  <c r="X120" i="1"/>
  <c r="Y120" i="1"/>
  <c r="Z120" i="1"/>
  <c r="T120" i="1"/>
  <c r="T102" i="1"/>
  <c r="U102" i="1"/>
  <c r="V102" i="1"/>
  <c r="W102" i="1"/>
  <c r="X102" i="1"/>
  <c r="Y102" i="1"/>
  <c r="Z102" i="1"/>
  <c r="T103" i="1"/>
  <c r="U103" i="1"/>
  <c r="V103" i="1"/>
  <c r="W103" i="1"/>
  <c r="X103" i="1"/>
  <c r="Y103" i="1"/>
  <c r="Z103" i="1"/>
  <c r="T104" i="1"/>
  <c r="U104" i="1"/>
  <c r="V104" i="1"/>
  <c r="W104" i="1"/>
  <c r="X104" i="1"/>
  <c r="Y104" i="1"/>
  <c r="Z104" i="1"/>
  <c r="T105" i="1"/>
  <c r="U105" i="1"/>
  <c r="V105" i="1"/>
  <c r="W105" i="1"/>
  <c r="X105" i="1"/>
  <c r="Y105" i="1"/>
  <c r="Z105" i="1"/>
  <c r="T106" i="1"/>
  <c r="U106" i="1"/>
  <c r="V106" i="1"/>
  <c r="W106" i="1"/>
  <c r="X106" i="1"/>
  <c r="Y106" i="1"/>
  <c r="Z106" i="1"/>
  <c r="T107" i="1"/>
  <c r="U107" i="1"/>
  <c r="V107" i="1"/>
  <c r="W107" i="1"/>
  <c r="X107" i="1"/>
  <c r="Y107" i="1"/>
  <c r="Z107" i="1"/>
  <c r="T108" i="1"/>
  <c r="U108" i="1"/>
  <c r="V108" i="1"/>
  <c r="W108" i="1"/>
  <c r="X108" i="1"/>
  <c r="Y108" i="1"/>
  <c r="Z108" i="1"/>
  <c r="T109" i="1"/>
  <c r="U109" i="1"/>
  <c r="V109" i="1"/>
  <c r="W109" i="1"/>
  <c r="X109" i="1"/>
  <c r="Y109" i="1"/>
  <c r="Z109" i="1"/>
  <c r="T110" i="1"/>
  <c r="U110" i="1"/>
  <c r="V110" i="1"/>
  <c r="W110" i="1"/>
  <c r="X110" i="1"/>
  <c r="Y110" i="1"/>
  <c r="Z110" i="1"/>
  <c r="T111" i="1"/>
  <c r="U111" i="1"/>
  <c r="V111" i="1"/>
  <c r="W111" i="1"/>
  <c r="X111" i="1"/>
  <c r="Y111" i="1"/>
  <c r="Z111" i="1"/>
  <c r="T112" i="1"/>
  <c r="U112" i="1"/>
  <c r="V112" i="1"/>
  <c r="W112" i="1"/>
  <c r="X112" i="1"/>
  <c r="Y112" i="1"/>
  <c r="Z112" i="1"/>
  <c r="T113" i="1"/>
  <c r="U113" i="1"/>
  <c r="V113" i="1"/>
  <c r="W113" i="1"/>
  <c r="X113" i="1"/>
  <c r="Y113" i="1"/>
  <c r="Z113" i="1"/>
  <c r="T114" i="1"/>
  <c r="U114" i="1"/>
  <c r="V114" i="1"/>
  <c r="W114" i="1"/>
  <c r="X114" i="1"/>
  <c r="Y114" i="1"/>
  <c r="Z114" i="1"/>
  <c r="T115" i="1"/>
  <c r="U115" i="1"/>
  <c r="V115" i="1"/>
  <c r="W115" i="1"/>
  <c r="X115" i="1"/>
  <c r="Y115" i="1"/>
  <c r="Z115" i="1"/>
  <c r="U101" i="1"/>
  <c r="V101" i="1"/>
  <c r="W101" i="1"/>
  <c r="X101" i="1"/>
  <c r="Y101" i="1"/>
  <c r="Z101" i="1"/>
  <c r="T101" i="1"/>
  <c r="T83" i="1"/>
  <c r="U83" i="1"/>
  <c r="V83" i="1"/>
  <c r="W83" i="1"/>
  <c r="X83" i="1"/>
  <c r="Y83" i="1"/>
  <c r="Z83" i="1"/>
  <c r="T84" i="1"/>
  <c r="U84" i="1"/>
  <c r="V84" i="1"/>
  <c r="W84" i="1"/>
  <c r="X84" i="1"/>
  <c r="Y84" i="1"/>
  <c r="Z84" i="1"/>
  <c r="T85" i="1"/>
  <c r="U85" i="1"/>
  <c r="V85" i="1"/>
  <c r="W85" i="1"/>
  <c r="X85" i="1"/>
  <c r="Y85" i="1"/>
  <c r="Z85" i="1"/>
  <c r="T86" i="1"/>
  <c r="U86" i="1"/>
  <c r="V86" i="1"/>
  <c r="W86" i="1"/>
  <c r="X86" i="1"/>
  <c r="Y86" i="1"/>
  <c r="Z86" i="1"/>
  <c r="T87" i="1"/>
  <c r="U87" i="1"/>
  <c r="V87" i="1"/>
  <c r="W87" i="1"/>
  <c r="X87" i="1"/>
  <c r="Y87" i="1"/>
  <c r="Z87" i="1"/>
  <c r="T88" i="1"/>
  <c r="U88" i="1"/>
  <c r="V88" i="1"/>
  <c r="W88" i="1"/>
  <c r="X88" i="1"/>
  <c r="Y88" i="1"/>
  <c r="Z88" i="1"/>
  <c r="T89" i="1"/>
  <c r="U89" i="1"/>
  <c r="V89" i="1"/>
  <c r="W89" i="1"/>
  <c r="X89" i="1"/>
  <c r="Y89" i="1"/>
  <c r="Z89" i="1"/>
  <c r="T90" i="1"/>
  <c r="U90" i="1"/>
  <c r="V90" i="1"/>
  <c r="W90" i="1"/>
  <c r="X90" i="1"/>
  <c r="Y90" i="1"/>
  <c r="Z90" i="1"/>
  <c r="T91" i="1"/>
  <c r="U91" i="1"/>
  <c r="V91" i="1"/>
  <c r="W91" i="1"/>
  <c r="X91" i="1"/>
  <c r="Y91" i="1"/>
  <c r="Z91" i="1"/>
  <c r="T92" i="1"/>
  <c r="U92" i="1"/>
  <c r="V92" i="1"/>
  <c r="W92" i="1"/>
  <c r="X92" i="1"/>
  <c r="Y92" i="1"/>
  <c r="Z92" i="1"/>
  <c r="T93" i="1"/>
  <c r="U93" i="1"/>
  <c r="V93" i="1"/>
  <c r="W93" i="1"/>
  <c r="X93" i="1"/>
  <c r="Y93" i="1"/>
  <c r="Z93" i="1"/>
  <c r="T94" i="1"/>
  <c r="U94" i="1"/>
  <c r="V94" i="1"/>
  <c r="W94" i="1"/>
  <c r="X94" i="1"/>
  <c r="Y94" i="1"/>
  <c r="Z94" i="1"/>
  <c r="T95" i="1"/>
  <c r="U95" i="1"/>
  <c r="V95" i="1"/>
  <c r="W95" i="1"/>
  <c r="X95" i="1"/>
  <c r="Y95" i="1"/>
  <c r="Z95" i="1"/>
  <c r="T96" i="1"/>
  <c r="U96" i="1"/>
  <c r="V96" i="1"/>
  <c r="W96" i="1"/>
  <c r="X96" i="1"/>
  <c r="Y96" i="1"/>
  <c r="Z96" i="1"/>
  <c r="U82" i="1"/>
  <c r="V82" i="1"/>
  <c r="W82" i="1"/>
  <c r="X82" i="1"/>
  <c r="Y82" i="1"/>
  <c r="Z82" i="1"/>
  <c r="T82" i="1"/>
  <c r="T64" i="1"/>
  <c r="U64" i="1"/>
  <c r="V64" i="1"/>
  <c r="W64" i="1"/>
  <c r="X64" i="1"/>
  <c r="Y64" i="1"/>
  <c r="Z64" i="1"/>
  <c r="T65" i="1"/>
  <c r="U65" i="1"/>
  <c r="V65" i="1"/>
  <c r="W65" i="1"/>
  <c r="X65" i="1"/>
  <c r="Y65" i="1"/>
  <c r="Z65" i="1"/>
  <c r="T66" i="1"/>
  <c r="U66" i="1"/>
  <c r="V66" i="1"/>
  <c r="W66" i="1"/>
  <c r="X66" i="1"/>
  <c r="Y66" i="1"/>
  <c r="Z66" i="1"/>
  <c r="T67" i="1"/>
  <c r="U67" i="1"/>
  <c r="V67" i="1"/>
  <c r="W67" i="1"/>
  <c r="X67" i="1"/>
  <c r="Y67" i="1"/>
  <c r="Z67" i="1"/>
  <c r="T68" i="1"/>
  <c r="U68" i="1"/>
  <c r="V68" i="1"/>
  <c r="W68" i="1"/>
  <c r="X68" i="1"/>
  <c r="Y68" i="1"/>
  <c r="Z68" i="1"/>
  <c r="T69" i="1"/>
  <c r="U69" i="1"/>
  <c r="V69" i="1"/>
  <c r="W69" i="1"/>
  <c r="X69" i="1"/>
  <c r="Y69" i="1"/>
  <c r="Z69" i="1"/>
  <c r="T70" i="1"/>
  <c r="U70" i="1"/>
  <c r="V70" i="1"/>
  <c r="W70" i="1"/>
  <c r="X70" i="1"/>
  <c r="Y70" i="1"/>
  <c r="Z70" i="1"/>
  <c r="T71" i="1"/>
  <c r="U71" i="1"/>
  <c r="V71" i="1"/>
  <c r="W71" i="1"/>
  <c r="X71" i="1"/>
  <c r="Y71" i="1"/>
  <c r="Z71" i="1"/>
  <c r="T72" i="1"/>
  <c r="U72" i="1"/>
  <c r="V72" i="1"/>
  <c r="W72" i="1"/>
  <c r="X72" i="1"/>
  <c r="Y72" i="1"/>
  <c r="Z72" i="1"/>
  <c r="T73" i="1"/>
  <c r="U73" i="1"/>
  <c r="V73" i="1"/>
  <c r="W73" i="1"/>
  <c r="X73" i="1"/>
  <c r="Y73" i="1"/>
  <c r="Z73" i="1"/>
  <c r="T74" i="1"/>
  <c r="U74" i="1"/>
  <c r="V74" i="1"/>
  <c r="W74" i="1"/>
  <c r="X74" i="1"/>
  <c r="Y74" i="1"/>
  <c r="Z74" i="1"/>
  <c r="T75" i="1"/>
  <c r="U75" i="1"/>
  <c r="V75" i="1"/>
  <c r="W75" i="1"/>
  <c r="X75" i="1"/>
  <c r="Y75" i="1"/>
  <c r="Z75" i="1"/>
  <c r="T76" i="1"/>
  <c r="U76" i="1"/>
  <c r="V76" i="1"/>
  <c r="W76" i="1"/>
  <c r="X76" i="1"/>
  <c r="Y76" i="1"/>
  <c r="Z76" i="1"/>
  <c r="T77" i="1"/>
  <c r="U77" i="1"/>
  <c r="V77" i="1"/>
  <c r="W77" i="1"/>
  <c r="X77" i="1"/>
  <c r="Y77" i="1"/>
  <c r="Z77" i="1"/>
  <c r="U63" i="1"/>
  <c r="V63" i="1"/>
  <c r="W63" i="1"/>
  <c r="X63" i="1"/>
  <c r="Y63" i="1"/>
  <c r="Z63" i="1"/>
  <c r="T63" i="1"/>
  <c r="T45" i="1"/>
  <c r="U45" i="1"/>
  <c r="V45" i="1"/>
  <c r="W45" i="1"/>
  <c r="X45" i="1"/>
  <c r="Y45" i="1"/>
  <c r="Z45" i="1"/>
  <c r="T46" i="1"/>
  <c r="U46" i="1"/>
  <c r="V46" i="1"/>
  <c r="W46" i="1"/>
  <c r="X46" i="1"/>
  <c r="Y46" i="1"/>
  <c r="Z46" i="1"/>
  <c r="T47" i="1"/>
  <c r="U47" i="1"/>
  <c r="V47" i="1"/>
  <c r="W47" i="1"/>
  <c r="X47" i="1"/>
  <c r="Y47" i="1"/>
  <c r="Z47" i="1"/>
  <c r="T48" i="1"/>
  <c r="U48" i="1"/>
  <c r="V48" i="1"/>
  <c r="W48" i="1"/>
  <c r="X48" i="1"/>
  <c r="Y48" i="1"/>
  <c r="Z48" i="1"/>
  <c r="T49" i="1"/>
  <c r="U49" i="1"/>
  <c r="V49" i="1"/>
  <c r="W49" i="1"/>
  <c r="X49" i="1"/>
  <c r="Y49" i="1"/>
  <c r="Z49" i="1"/>
  <c r="T50" i="1"/>
  <c r="U50" i="1"/>
  <c r="V50" i="1"/>
  <c r="W50" i="1"/>
  <c r="X50" i="1"/>
  <c r="Y50" i="1"/>
  <c r="Z50" i="1"/>
  <c r="T51" i="1"/>
  <c r="U51" i="1"/>
  <c r="V51" i="1"/>
  <c r="W51" i="1"/>
  <c r="X51" i="1"/>
  <c r="Y51" i="1"/>
  <c r="Z51" i="1"/>
  <c r="T52" i="1"/>
  <c r="U52" i="1"/>
  <c r="V52" i="1"/>
  <c r="W52" i="1"/>
  <c r="X52" i="1"/>
  <c r="Y52" i="1"/>
  <c r="Z52" i="1"/>
  <c r="T53" i="1"/>
  <c r="U53" i="1"/>
  <c r="V53" i="1"/>
  <c r="W53" i="1"/>
  <c r="X53" i="1"/>
  <c r="Y53" i="1"/>
  <c r="Z53" i="1"/>
  <c r="T54" i="1"/>
  <c r="U54" i="1"/>
  <c r="V54" i="1"/>
  <c r="W54" i="1"/>
  <c r="X54" i="1"/>
  <c r="Y54" i="1"/>
  <c r="Z54" i="1"/>
  <c r="T55" i="1"/>
  <c r="U55" i="1"/>
  <c r="V55" i="1"/>
  <c r="W55" i="1"/>
  <c r="X55" i="1"/>
  <c r="Y55" i="1"/>
  <c r="Z55" i="1"/>
  <c r="T56" i="1"/>
  <c r="U56" i="1"/>
  <c r="V56" i="1"/>
  <c r="W56" i="1"/>
  <c r="X56" i="1"/>
  <c r="Y56" i="1"/>
  <c r="Z56" i="1"/>
  <c r="T57" i="1"/>
  <c r="U57" i="1"/>
  <c r="V57" i="1"/>
  <c r="W57" i="1"/>
  <c r="X57" i="1"/>
  <c r="Y57" i="1"/>
  <c r="Z57" i="1"/>
  <c r="T58" i="1"/>
  <c r="U58" i="1"/>
  <c r="V58" i="1"/>
  <c r="W58" i="1"/>
  <c r="X58" i="1"/>
  <c r="Y58" i="1"/>
  <c r="Z58" i="1"/>
  <c r="U44" i="1"/>
  <c r="V44" i="1"/>
  <c r="W44" i="1"/>
  <c r="X44" i="1"/>
  <c r="Y44" i="1"/>
  <c r="Z44" i="1"/>
  <c r="T44" i="1"/>
  <c r="T26" i="1"/>
  <c r="U26" i="1"/>
  <c r="V26" i="1"/>
  <c r="W26" i="1"/>
  <c r="X26" i="1"/>
  <c r="Y26" i="1"/>
  <c r="Z26" i="1"/>
  <c r="T27" i="1"/>
  <c r="U27" i="1"/>
  <c r="V27" i="1"/>
  <c r="W27" i="1"/>
  <c r="X27" i="1"/>
  <c r="Y27" i="1"/>
  <c r="Z27" i="1"/>
  <c r="T28" i="1"/>
  <c r="U28" i="1"/>
  <c r="V28" i="1"/>
  <c r="W28" i="1"/>
  <c r="X28" i="1"/>
  <c r="Y28" i="1"/>
  <c r="Z28" i="1"/>
  <c r="T29" i="1"/>
  <c r="U29" i="1"/>
  <c r="V29" i="1"/>
  <c r="W29" i="1"/>
  <c r="X29" i="1"/>
  <c r="Y29" i="1"/>
  <c r="Z29" i="1"/>
  <c r="T30" i="1"/>
  <c r="U30" i="1"/>
  <c r="V30" i="1"/>
  <c r="W30" i="1"/>
  <c r="X30" i="1"/>
  <c r="Y30" i="1"/>
  <c r="Z30" i="1"/>
  <c r="T31" i="1"/>
  <c r="U31" i="1"/>
  <c r="V31" i="1"/>
  <c r="W31" i="1"/>
  <c r="X31" i="1"/>
  <c r="Y31" i="1"/>
  <c r="Z31" i="1"/>
  <c r="T32" i="1"/>
  <c r="U32" i="1"/>
  <c r="V32" i="1"/>
  <c r="W32" i="1"/>
  <c r="X32" i="1"/>
  <c r="Y32" i="1"/>
  <c r="Z32" i="1"/>
  <c r="T33" i="1"/>
  <c r="U33" i="1"/>
  <c r="V33" i="1"/>
  <c r="W33" i="1"/>
  <c r="X33" i="1"/>
  <c r="Y33" i="1"/>
  <c r="Z33" i="1"/>
  <c r="T34" i="1"/>
  <c r="U34" i="1"/>
  <c r="V34" i="1"/>
  <c r="W34" i="1"/>
  <c r="X34" i="1"/>
  <c r="Y34" i="1"/>
  <c r="Z34" i="1"/>
  <c r="T35" i="1"/>
  <c r="U35" i="1"/>
  <c r="V35" i="1"/>
  <c r="W35" i="1"/>
  <c r="X35" i="1"/>
  <c r="Y35" i="1"/>
  <c r="Z35" i="1"/>
  <c r="T36" i="1"/>
  <c r="U36" i="1"/>
  <c r="V36" i="1"/>
  <c r="W36" i="1"/>
  <c r="X36" i="1"/>
  <c r="Y36" i="1"/>
  <c r="Z36" i="1"/>
  <c r="T37" i="1"/>
  <c r="U37" i="1"/>
  <c r="V37" i="1"/>
  <c r="W37" i="1"/>
  <c r="X37" i="1"/>
  <c r="Y37" i="1"/>
  <c r="Z37" i="1"/>
  <c r="T38" i="1"/>
  <c r="U38" i="1"/>
  <c r="V38" i="1"/>
  <c r="W38" i="1"/>
  <c r="X38" i="1"/>
  <c r="Y38" i="1"/>
  <c r="Z38" i="1"/>
  <c r="T39" i="1"/>
  <c r="U39" i="1"/>
  <c r="V39" i="1"/>
  <c r="W39" i="1"/>
  <c r="X39" i="1"/>
  <c r="Y39" i="1"/>
  <c r="Z39" i="1"/>
  <c r="U25" i="1"/>
  <c r="V25" i="1"/>
  <c r="W25" i="1"/>
  <c r="X25" i="1"/>
  <c r="Y25" i="1"/>
  <c r="Z25" i="1"/>
  <c r="T25" i="1"/>
  <c r="T7" i="1"/>
  <c r="U7" i="1"/>
  <c r="V7" i="1"/>
  <c r="W7" i="1"/>
  <c r="X7" i="1"/>
  <c r="Y7" i="1"/>
  <c r="Z7" i="1"/>
  <c r="T8" i="1"/>
  <c r="U8" i="1"/>
  <c r="V8" i="1"/>
  <c r="W8" i="1"/>
  <c r="X8" i="1"/>
  <c r="Y8" i="1"/>
  <c r="Z8" i="1"/>
  <c r="T9" i="1"/>
  <c r="U9" i="1"/>
  <c r="V9" i="1"/>
  <c r="W9" i="1"/>
  <c r="X9" i="1"/>
  <c r="Y9" i="1"/>
  <c r="Z9" i="1"/>
  <c r="T10" i="1"/>
  <c r="U10" i="1"/>
  <c r="V10" i="1"/>
  <c r="W10" i="1"/>
  <c r="X10" i="1"/>
  <c r="Y10" i="1"/>
  <c r="Z10" i="1"/>
  <c r="T11" i="1"/>
  <c r="U11" i="1"/>
  <c r="V11" i="1"/>
  <c r="W11" i="1"/>
  <c r="X11" i="1"/>
  <c r="Y11" i="1"/>
  <c r="Z11" i="1"/>
  <c r="T12" i="1"/>
  <c r="U12" i="1"/>
  <c r="V12" i="1"/>
  <c r="W12" i="1"/>
  <c r="X12" i="1"/>
  <c r="Y12" i="1"/>
  <c r="Z12" i="1"/>
  <c r="T13" i="1"/>
  <c r="U13" i="1"/>
  <c r="V13" i="1"/>
  <c r="W13" i="1"/>
  <c r="X13" i="1"/>
  <c r="Y13" i="1"/>
  <c r="Z13" i="1"/>
  <c r="T14" i="1"/>
  <c r="U14" i="1"/>
  <c r="V14" i="1"/>
  <c r="W14" i="1"/>
  <c r="X14" i="1"/>
  <c r="Y14" i="1"/>
  <c r="Z14" i="1"/>
  <c r="T15" i="1"/>
  <c r="U15" i="1"/>
  <c r="V15" i="1"/>
  <c r="W15" i="1"/>
  <c r="X15" i="1"/>
  <c r="Y15" i="1"/>
  <c r="Z15" i="1"/>
  <c r="T16" i="1"/>
  <c r="U16" i="1"/>
  <c r="V16" i="1"/>
  <c r="W16" i="1"/>
  <c r="X16" i="1"/>
  <c r="Y16" i="1"/>
  <c r="Z16" i="1"/>
  <c r="T17" i="1"/>
  <c r="U17" i="1"/>
  <c r="V17" i="1"/>
  <c r="W17" i="1"/>
  <c r="X17" i="1"/>
  <c r="Y17" i="1"/>
  <c r="Z17" i="1"/>
  <c r="T18" i="1"/>
  <c r="U18" i="1"/>
  <c r="V18" i="1"/>
  <c r="W18" i="1"/>
  <c r="X18" i="1"/>
  <c r="Y18" i="1"/>
  <c r="Z18" i="1"/>
  <c r="T19" i="1"/>
  <c r="U19" i="1"/>
  <c r="V19" i="1"/>
  <c r="W19" i="1"/>
  <c r="X19" i="1"/>
  <c r="Y19" i="1"/>
  <c r="Z19" i="1"/>
  <c r="T20" i="1"/>
  <c r="U20" i="1"/>
  <c r="V20" i="1"/>
  <c r="W20" i="1"/>
  <c r="X20" i="1"/>
  <c r="Y20" i="1"/>
  <c r="Z20" i="1"/>
  <c r="U6" i="1"/>
  <c r="V6" i="1"/>
  <c r="W6" i="1"/>
  <c r="X6" i="1"/>
  <c r="Y6" i="1"/>
  <c r="Z6" i="1"/>
  <c r="T6" i="1"/>
  <c r="K140" i="1"/>
  <c r="L140" i="1"/>
  <c r="M140" i="1"/>
  <c r="N140" i="1"/>
  <c r="O140" i="1"/>
  <c r="P140" i="1"/>
  <c r="Q140" i="1"/>
  <c r="K141" i="1"/>
  <c r="L141" i="1"/>
  <c r="M141" i="1"/>
  <c r="N141" i="1"/>
  <c r="O141" i="1"/>
  <c r="P141" i="1"/>
  <c r="Q141" i="1"/>
  <c r="K142" i="1"/>
  <c r="L142" i="1"/>
  <c r="M142" i="1"/>
  <c r="N142" i="1"/>
  <c r="O142" i="1"/>
  <c r="P142" i="1"/>
  <c r="Q142" i="1"/>
  <c r="K143" i="1"/>
  <c r="L143" i="1"/>
  <c r="M143" i="1"/>
  <c r="N143" i="1"/>
  <c r="O143" i="1"/>
  <c r="P143" i="1"/>
  <c r="Q143" i="1"/>
  <c r="K144" i="1"/>
  <c r="L144" i="1"/>
  <c r="M144" i="1"/>
  <c r="N144" i="1"/>
  <c r="O144" i="1"/>
  <c r="P144" i="1"/>
  <c r="Q144" i="1"/>
  <c r="K145" i="1"/>
  <c r="L145" i="1"/>
  <c r="M145" i="1"/>
  <c r="N145" i="1"/>
  <c r="O145" i="1"/>
  <c r="P145" i="1"/>
  <c r="Q145" i="1"/>
  <c r="K146" i="1"/>
  <c r="L146" i="1"/>
  <c r="M146" i="1"/>
  <c r="N146" i="1"/>
  <c r="O146" i="1"/>
  <c r="P146" i="1"/>
  <c r="Q146" i="1"/>
  <c r="K147" i="1"/>
  <c r="L147" i="1"/>
  <c r="M147" i="1"/>
  <c r="N147" i="1"/>
  <c r="O147" i="1"/>
  <c r="P147" i="1"/>
  <c r="Q147" i="1"/>
  <c r="K148" i="1"/>
  <c r="L148" i="1"/>
  <c r="M148" i="1"/>
  <c r="N148" i="1"/>
  <c r="O148" i="1"/>
  <c r="P148" i="1"/>
  <c r="Q148" i="1"/>
  <c r="K149" i="1"/>
  <c r="L149" i="1"/>
  <c r="M149" i="1"/>
  <c r="N149" i="1"/>
  <c r="O149" i="1"/>
  <c r="P149" i="1"/>
  <c r="Q149" i="1"/>
  <c r="K150" i="1"/>
  <c r="L150" i="1"/>
  <c r="M150" i="1"/>
  <c r="N150" i="1"/>
  <c r="O150" i="1"/>
  <c r="P150" i="1"/>
  <c r="Q150" i="1"/>
  <c r="K151" i="1"/>
  <c r="L151" i="1"/>
  <c r="M151" i="1"/>
  <c r="N151" i="1"/>
  <c r="O151" i="1"/>
  <c r="P151" i="1"/>
  <c r="Q151" i="1"/>
  <c r="K152" i="1"/>
  <c r="L152" i="1"/>
  <c r="M152" i="1"/>
  <c r="N152" i="1"/>
  <c r="O152" i="1"/>
  <c r="P152" i="1"/>
  <c r="Q152" i="1"/>
  <c r="K153" i="1"/>
  <c r="L153" i="1"/>
  <c r="M153" i="1"/>
  <c r="N153" i="1"/>
  <c r="O153" i="1"/>
  <c r="P153" i="1"/>
  <c r="Q153" i="1"/>
  <c r="L139" i="1"/>
  <c r="M139" i="1"/>
  <c r="N139" i="1"/>
  <c r="O139" i="1"/>
  <c r="P139" i="1"/>
  <c r="Q139" i="1"/>
  <c r="K139" i="1"/>
  <c r="K121" i="1"/>
  <c r="L121" i="1"/>
  <c r="M121" i="1"/>
  <c r="N121" i="1"/>
  <c r="O121" i="1"/>
  <c r="P121" i="1"/>
  <c r="Q121" i="1"/>
  <c r="K122" i="1"/>
  <c r="L122" i="1"/>
  <c r="M122" i="1"/>
  <c r="N122" i="1"/>
  <c r="O122" i="1"/>
  <c r="P122" i="1"/>
  <c r="Q122" i="1"/>
  <c r="K123" i="1"/>
  <c r="L123" i="1"/>
  <c r="M123" i="1"/>
  <c r="N123" i="1"/>
  <c r="O123" i="1"/>
  <c r="P123" i="1"/>
  <c r="Q123" i="1"/>
  <c r="K124" i="1"/>
  <c r="L124" i="1"/>
  <c r="M124" i="1"/>
  <c r="N124" i="1"/>
  <c r="O124" i="1"/>
  <c r="P124" i="1"/>
  <c r="Q124" i="1"/>
  <c r="K125" i="1"/>
  <c r="L125" i="1"/>
  <c r="M125" i="1"/>
  <c r="N125" i="1"/>
  <c r="O125" i="1"/>
  <c r="P125" i="1"/>
  <c r="Q125" i="1"/>
  <c r="K126" i="1"/>
  <c r="L126" i="1"/>
  <c r="M126" i="1"/>
  <c r="N126" i="1"/>
  <c r="O126" i="1"/>
  <c r="P126" i="1"/>
  <c r="Q126" i="1"/>
  <c r="K127" i="1"/>
  <c r="L127" i="1"/>
  <c r="M127" i="1"/>
  <c r="N127" i="1"/>
  <c r="O127" i="1"/>
  <c r="P127" i="1"/>
  <c r="Q127" i="1"/>
  <c r="K128" i="1"/>
  <c r="L128" i="1"/>
  <c r="M128" i="1"/>
  <c r="N128" i="1"/>
  <c r="O128" i="1"/>
  <c r="P128" i="1"/>
  <c r="Q128" i="1"/>
  <c r="K129" i="1"/>
  <c r="L129" i="1"/>
  <c r="M129" i="1"/>
  <c r="N129" i="1"/>
  <c r="O129" i="1"/>
  <c r="P129" i="1"/>
  <c r="Q129" i="1"/>
  <c r="K130" i="1"/>
  <c r="L130" i="1"/>
  <c r="M130" i="1"/>
  <c r="N130" i="1"/>
  <c r="O130" i="1"/>
  <c r="P130" i="1"/>
  <c r="Q130" i="1"/>
  <c r="K131" i="1"/>
  <c r="L131" i="1"/>
  <c r="M131" i="1"/>
  <c r="N131" i="1"/>
  <c r="O131" i="1"/>
  <c r="P131" i="1"/>
  <c r="Q131" i="1"/>
  <c r="K132" i="1"/>
  <c r="L132" i="1"/>
  <c r="M132" i="1"/>
  <c r="N132" i="1"/>
  <c r="O132" i="1"/>
  <c r="P132" i="1"/>
  <c r="Q132" i="1"/>
  <c r="K133" i="1"/>
  <c r="L133" i="1"/>
  <c r="M133" i="1"/>
  <c r="N133" i="1"/>
  <c r="O133" i="1"/>
  <c r="P133" i="1"/>
  <c r="Q133" i="1"/>
  <c r="K134" i="1"/>
  <c r="L134" i="1"/>
  <c r="M134" i="1"/>
  <c r="N134" i="1"/>
  <c r="O134" i="1"/>
  <c r="P134" i="1"/>
  <c r="Q134" i="1"/>
  <c r="L120" i="1"/>
  <c r="M120" i="1"/>
  <c r="N120" i="1"/>
  <c r="O120" i="1"/>
  <c r="P120" i="1"/>
  <c r="Q120" i="1"/>
  <c r="K120" i="1"/>
  <c r="K102" i="1"/>
  <c r="L102" i="1"/>
  <c r="M102" i="1"/>
  <c r="N102" i="1"/>
  <c r="O102" i="1"/>
  <c r="P102" i="1"/>
  <c r="Q102" i="1"/>
  <c r="K103" i="1"/>
  <c r="L103" i="1"/>
  <c r="M103" i="1"/>
  <c r="N103" i="1"/>
  <c r="O103" i="1"/>
  <c r="P103" i="1"/>
  <c r="Q103" i="1"/>
  <c r="K104" i="1"/>
  <c r="L104" i="1"/>
  <c r="M104" i="1"/>
  <c r="N104" i="1"/>
  <c r="O104" i="1"/>
  <c r="P104" i="1"/>
  <c r="Q104" i="1"/>
  <c r="K105" i="1"/>
  <c r="L105" i="1"/>
  <c r="M105" i="1"/>
  <c r="N105" i="1"/>
  <c r="O105" i="1"/>
  <c r="P105" i="1"/>
  <c r="Q105" i="1"/>
  <c r="K106" i="1"/>
  <c r="L106" i="1"/>
  <c r="M106" i="1"/>
  <c r="N106" i="1"/>
  <c r="O106" i="1"/>
  <c r="P106" i="1"/>
  <c r="Q106" i="1"/>
  <c r="K107" i="1"/>
  <c r="L107" i="1"/>
  <c r="M107" i="1"/>
  <c r="N107" i="1"/>
  <c r="O107" i="1"/>
  <c r="P107" i="1"/>
  <c r="Q107" i="1"/>
  <c r="K108" i="1"/>
  <c r="L108" i="1"/>
  <c r="M108" i="1"/>
  <c r="N108" i="1"/>
  <c r="O108" i="1"/>
  <c r="P108" i="1"/>
  <c r="Q108" i="1"/>
  <c r="K109" i="1"/>
  <c r="L109" i="1"/>
  <c r="M109" i="1"/>
  <c r="N109" i="1"/>
  <c r="O109" i="1"/>
  <c r="P109" i="1"/>
  <c r="Q109" i="1"/>
  <c r="K110" i="1"/>
  <c r="L110" i="1"/>
  <c r="M110" i="1"/>
  <c r="N110" i="1"/>
  <c r="O110" i="1"/>
  <c r="P110" i="1"/>
  <c r="Q110" i="1"/>
  <c r="K111" i="1"/>
  <c r="L111" i="1"/>
  <c r="M111" i="1"/>
  <c r="N111" i="1"/>
  <c r="O111" i="1"/>
  <c r="P111" i="1"/>
  <c r="Q111" i="1"/>
  <c r="K112" i="1"/>
  <c r="L112" i="1"/>
  <c r="M112" i="1"/>
  <c r="N112" i="1"/>
  <c r="O112" i="1"/>
  <c r="P112" i="1"/>
  <c r="Q112" i="1"/>
  <c r="K113" i="1"/>
  <c r="L113" i="1"/>
  <c r="M113" i="1"/>
  <c r="N113" i="1"/>
  <c r="O113" i="1"/>
  <c r="P113" i="1"/>
  <c r="Q113" i="1"/>
  <c r="K114" i="1"/>
  <c r="L114" i="1"/>
  <c r="M114" i="1"/>
  <c r="N114" i="1"/>
  <c r="O114" i="1"/>
  <c r="P114" i="1"/>
  <c r="Q114" i="1"/>
  <c r="K115" i="1"/>
  <c r="L115" i="1"/>
  <c r="M115" i="1"/>
  <c r="N115" i="1"/>
  <c r="O115" i="1"/>
  <c r="P115" i="1"/>
  <c r="Q115" i="1"/>
  <c r="L101" i="1"/>
  <c r="M101" i="1"/>
  <c r="N101" i="1"/>
  <c r="O101" i="1"/>
  <c r="P101" i="1"/>
  <c r="Q101" i="1"/>
  <c r="K101" i="1"/>
  <c r="K83" i="1"/>
  <c r="L83" i="1"/>
  <c r="M83" i="1"/>
  <c r="N83" i="1"/>
  <c r="O83" i="1"/>
  <c r="P83" i="1"/>
  <c r="Q83" i="1"/>
  <c r="K84" i="1"/>
  <c r="L84" i="1"/>
  <c r="M84" i="1"/>
  <c r="N84" i="1"/>
  <c r="O84" i="1"/>
  <c r="P84" i="1"/>
  <c r="Q84" i="1"/>
  <c r="K85" i="1"/>
  <c r="L85" i="1"/>
  <c r="M85" i="1"/>
  <c r="N85" i="1"/>
  <c r="O85" i="1"/>
  <c r="P85" i="1"/>
  <c r="Q85" i="1"/>
  <c r="K86" i="1"/>
  <c r="L86" i="1"/>
  <c r="M86" i="1"/>
  <c r="N86" i="1"/>
  <c r="O86" i="1"/>
  <c r="P86" i="1"/>
  <c r="Q86" i="1"/>
  <c r="K87" i="1"/>
  <c r="L87" i="1"/>
  <c r="M87" i="1"/>
  <c r="N87" i="1"/>
  <c r="O87" i="1"/>
  <c r="P87" i="1"/>
  <c r="Q87" i="1"/>
  <c r="K88" i="1"/>
  <c r="L88" i="1"/>
  <c r="M88" i="1"/>
  <c r="N88" i="1"/>
  <c r="O88" i="1"/>
  <c r="P88" i="1"/>
  <c r="Q88" i="1"/>
  <c r="K89" i="1"/>
  <c r="L89" i="1"/>
  <c r="M89" i="1"/>
  <c r="N89" i="1"/>
  <c r="O89" i="1"/>
  <c r="P89" i="1"/>
  <c r="Q89" i="1"/>
  <c r="K90" i="1"/>
  <c r="L90" i="1"/>
  <c r="M90" i="1"/>
  <c r="N90" i="1"/>
  <c r="O90" i="1"/>
  <c r="P90" i="1"/>
  <c r="Q90" i="1"/>
  <c r="K91" i="1"/>
  <c r="L91" i="1"/>
  <c r="M91" i="1"/>
  <c r="N91" i="1"/>
  <c r="O91" i="1"/>
  <c r="P91" i="1"/>
  <c r="Q91" i="1"/>
  <c r="K92" i="1"/>
  <c r="L92" i="1"/>
  <c r="M92" i="1"/>
  <c r="N92" i="1"/>
  <c r="O92" i="1"/>
  <c r="P92" i="1"/>
  <c r="Q92" i="1"/>
  <c r="K93" i="1"/>
  <c r="L93" i="1"/>
  <c r="M93" i="1"/>
  <c r="N93" i="1"/>
  <c r="O93" i="1"/>
  <c r="P93" i="1"/>
  <c r="Q93" i="1"/>
  <c r="K94" i="1"/>
  <c r="L94" i="1"/>
  <c r="M94" i="1"/>
  <c r="N94" i="1"/>
  <c r="O94" i="1"/>
  <c r="P94" i="1"/>
  <c r="Q94" i="1"/>
  <c r="K95" i="1"/>
  <c r="L95" i="1"/>
  <c r="M95" i="1"/>
  <c r="N95" i="1"/>
  <c r="O95" i="1"/>
  <c r="P95" i="1"/>
  <c r="Q95" i="1"/>
  <c r="K96" i="1"/>
  <c r="L96" i="1"/>
  <c r="M96" i="1"/>
  <c r="N96" i="1"/>
  <c r="O96" i="1"/>
  <c r="P96" i="1"/>
  <c r="Q96" i="1"/>
  <c r="L82" i="1"/>
  <c r="M82" i="1"/>
  <c r="N82" i="1"/>
  <c r="O82" i="1"/>
  <c r="P82" i="1"/>
  <c r="Q82" i="1"/>
  <c r="K82" i="1"/>
  <c r="K64" i="1"/>
  <c r="L64" i="1"/>
  <c r="M64" i="1"/>
  <c r="N64" i="1"/>
  <c r="O64" i="1"/>
  <c r="P64" i="1"/>
  <c r="Q64" i="1"/>
  <c r="K65" i="1"/>
  <c r="L65" i="1"/>
  <c r="M65" i="1"/>
  <c r="N65" i="1"/>
  <c r="O65" i="1"/>
  <c r="P65" i="1"/>
  <c r="Q65" i="1"/>
  <c r="K66" i="1"/>
  <c r="L66" i="1"/>
  <c r="M66" i="1"/>
  <c r="N66" i="1"/>
  <c r="O66" i="1"/>
  <c r="P66" i="1"/>
  <c r="Q66" i="1"/>
  <c r="K67" i="1"/>
  <c r="L67" i="1"/>
  <c r="M67" i="1"/>
  <c r="N67" i="1"/>
  <c r="O67" i="1"/>
  <c r="P67" i="1"/>
  <c r="Q67" i="1"/>
  <c r="K68" i="1"/>
  <c r="L68" i="1"/>
  <c r="M68" i="1"/>
  <c r="N68" i="1"/>
  <c r="O68" i="1"/>
  <c r="P68" i="1"/>
  <c r="Q68" i="1"/>
  <c r="K69" i="1"/>
  <c r="L69" i="1"/>
  <c r="M69" i="1"/>
  <c r="N69" i="1"/>
  <c r="O69" i="1"/>
  <c r="P69" i="1"/>
  <c r="Q69" i="1"/>
  <c r="K70" i="1"/>
  <c r="L70" i="1"/>
  <c r="M70" i="1"/>
  <c r="N70" i="1"/>
  <c r="O70" i="1"/>
  <c r="P70" i="1"/>
  <c r="Q70" i="1"/>
  <c r="K71" i="1"/>
  <c r="L71" i="1"/>
  <c r="M71" i="1"/>
  <c r="N71" i="1"/>
  <c r="O71" i="1"/>
  <c r="P71" i="1"/>
  <c r="Q71" i="1"/>
  <c r="K72" i="1"/>
  <c r="L72" i="1"/>
  <c r="M72" i="1"/>
  <c r="N72" i="1"/>
  <c r="O72" i="1"/>
  <c r="P72" i="1"/>
  <c r="Q72" i="1"/>
  <c r="K73" i="1"/>
  <c r="L73" i="1"/>
  <c r="M73" i="1"/>
  <c r="N73" i="1"/>
  <c r="O73" i="1"/>
  <c r="P73" i="1"/>
  <c r="Q73" i="1"/>
  <c r="K74" i="1"/>
  <c r="L74" i="1"/>
  <c r="M74" i="1"/>
  <c r="N74" i="1"/>
  <c r="O74" i="1"/>
  <c r="P74" i="1"/>
  <c r="Q74" i="1"/>
  <c r="K75" i="1"/>
  <c r="L75" i="1"/>
  <c r="M75" i="1"/>
  <c r="N75" i="1"/>
  <c r="O75" i="1"/>
  <c r="P75" i="1"/>
  <c r="Q75" i="1"/>
  <c r="K76" i="1"/>
  <c r="L76" i="1"/>
  <c r="M76" i="1"/>
  <c r="N76" i="1"/>
  <c r="O76" i="1"/>
  <c r="P76" i="1"/>
  <c r="Q76" i="1"/>
  <c r="K77" i="1"/>
  <c r="L77" i="1"/>
  <c r="M77" i="1"/>
  <c r="N77" i="1"/>
  <c r="O77" i="1"/>
  <c r="P77" i="1"/>
  <c r="Q77" i="1"/>
  <c r="L63" i="1"/>
  <c r="M63" i="1"/>
  <c r="N63" i="1"/>
  <c r="O63" i="1"/>
  <c r="P63" i="1"/>
  <c r="Q63" i="1"/>
  <c r="K63" i="1"/>
  <c r="K45" i="1"/>
  <c r="L45" i="1"/>
  <c r="M45" i="1"/>
  <c r="N45" i="1"/>
  <c r="O45" i="1"/>
  <c r="P45" i="1"/>
  <c r="Q45" i="1"/>
  <c r="K46" i="1"/>
  <c r="L46" i="1"/>
  <c r="M46" i="1"/>
  <c r="N46" i="1"/>
  <c r="O46" i="1"/>
  <c r="P46" i="1"/>
  <c r="Q46" i="1"/>
  <c r="K47" i="1"/>
  <c r="L47" i="1"/>
  <c r="M47" i="1"/>
  <c r="N47" i="1"/>
  <c r="O47" i="1"/>
  <c r="P47" i="1"/>
  <c r="Q47" i="1"/>
  <c r="K48" i="1"/>
  <c r="L48" i="1"/>
  <c r="M48" i="1"/>
  <c r="N48" i="1"/>
  <c r="O48" i="1"/>
  <c r="P48" i="1"/>
  <c r="Q48" i="1"/>
  <c r="K49" i="1"/>
  <c r="L49" i="1"/>
  <c r="M49" i="1"/>
  <c r="N49" i="1"/>
  <c r="O49" i="1"/>
  <c r="P49" i="1"/>
  <c r="Q49" i="1"/>
  <c r="K50" i="1"/>
  <c r="L50" i="1"/>
  <c r="M50" i="1"/>
  <c r="N50" i="1"/>
  <c r="O50" i="1"/>
  <c r="P50" i="1"/>
  <c r="Q50" i="1"/>
  <c r="K51" i="1"/>
  <c r="L51" i="1"/>
  <c r="M51" i="1"/>
  <c r="N51" i="1"/>
  <c r="O51" i="1"/>
  <c r="P51" i="1"/>
  <c r="Q51" i="1"/>
  <c r="K52" i="1"/>
  <c r="L52" i="1"/>
  <c r="M52" i="1"/>
  <c r="N52" i="1"/>
  <c r="O52" i="1"/>
  <c r="P52" i="1"/>
  <c r="Q52" i="1"/>
  <c r="K53" i="1"/>
  <c r="L53" i="1"/>
  <c r="M53" i="1"/>
  <c r="N53" i="1"/>
  <c r="O53" i="1"/>
  <c r="P53" i="1"/>
  <c r="Q53" i="1"/>
  <c r="K54" i="1"/>
  <c r="L54" i="1"/>
  <c r="M54" i="1"/>
  <c r="N54" i="1"/>
  <c r="O54" i="1"/>
  <c r="P54" i="1"/>
  <c r="Q54" i="1"/>
  <c r="K55" i="1"/>
  <c r="L55" i="1"/>
  <c r="M55" i="1"/>
  <c r="N55" i="1"/>
  <c r="O55" i="1"/>
  <c r="P55" i="1"/>
  <c r="Q55" i="1"/>
  <c r="K56" i="1"/>
  <c r="L56" i="1"/>
  <c r="M56" i="1"/>
  <c r="N56" i="1"/>
  <c r="O56" i="1"/>
  <c r="P56" i="1"/>
  <c r="Q56" i="1"/>
  <c r="K57" i="1"/>
  <c r="L57" i="1"/>
  <c r="M57" i="1"/>
  <c r="N57" i="1"/>
  <c r="O57" i="1"/>
  <c r="P57" i="1"/>
  <c r="Q57" i="1"/>
  <c r="K58" i="1"/>
  <c r="L58" i="1"/>
  <c r="M58" i="1"/>
  <c r="N58" i="1"/>
  <c r="O58" i="1"/>
  <c r="P58" i="1"/>
  <c r="Q58" i="1"/>
  <c r="L44" i="1"/>
  <c r="M44" i="1"/>
  <c r="N44" i="1"/>
  <c r="O44" i="1"/>
  <c r="P44" i="1"/>
  <c r="Q44" i="1"/>
  <c r="K44" i="1"/>
  <c r="K26" i="1"/>
  <c r="L26" i="1"/>
  <c r="M26" i="1"/>
  <c r="N26" i="1"/>
  <c r="O26" i="1"/>
  <c r="P26" i="1"/>
  <c r="Q26" i="1"/>
  <c r="K27" i="1"/>
  <c r="L27" i="1"/>
  <c r="M27" i="1"/>
  <c r="N27" i="1"/>
  <c r="O27" i="1"/>
  <c r="P27" i="1"/>
  <c r="Q27" i="1"/>
  <c r="K28" i="1"/>
  <c r="L28" i="1"/>
  <c r="M28" i="1"/>
  <c r="N28" i="1"/>
  <c r="O28" i="1"/>
  <c r="P28" i="1"/>
  <c r="Q28" i="1"/>
  <c r="K29" i="1"/>
  <c r="L29" i="1"/>
  <c r="M29" i="1"/>
  <c r="N29" i="1"/>
  <c r="O29" i="1"/>
  <c r="P29" i="1"/>
  <c r="Q29" i="1"/>
  <c r="K30" i="1"/>
  <c r="L30" i="1"/>
  <c r="M30" i="1"/>
  <c r="N30" i="1"/>
  <c r="O30" i="1"/>
  <c r="P30" i="1"/>
  <c r="Q30" i="1"/>
  <c r="K31" i="1"/>
  <c r="L31" i="1"/>
  <c r="M31" i="1"/>
  <c r="N31" i="1"/>
  <c r="O31" i="1"/>
  <c r="P31" i="1"/>
  <c r="Q31" i="1"/>
  <c r="K32" i="1"/>
  <c r="L32" i="1"/>
  <c r="M32" i="1"/>
  <c r="N32" i="1"/>
  <c r="O32" i="1"/>
  <c r="P32" i="1"/>
  <c r="Q32" i="1"/>
  <c r="K33" i="1"/>
  <c r="L33" i="1"/>
  <c r="M33" i="1"/>
  <c r="N33" i="1"/>
  <c r="O33" i="1"/>
  <c r="P33" i="1"/>
  <c r="Q33" i="1"/>
  <c r="K34" i="1"/>
  <c r="L34" i="1"/>
  <c r="M34" i="1"/>
  <c r="N34" i="1"/>
  <c r="O34" i="1"/>
  <c r="P34" i="1"/>
  <c r="Q34" i="1"/>
  <c r="K35" i="1"/>
  <c r="L35" i="1"/>
  <c r="M35" i="1"/>
  <c r="N35" i="1"/>
  <c r="O35" i="1"/>
  <c r="P35" i="1"/>
  <c r="Q35" i="1"/>
  <c r="K36" i="1"/>
  <c r="L36" i="1"/>
  <c r="M36" i="1"/>
  <c r="N36" i="1"/>
  <c r="O36" i="1"/>
  <c r="P36" i="1"/>
  <c r="Q36" i="1"/>
  <c r="K37" i="1"/>
  <c r="L37" i="1"/>
  <c r="M37" i="1"/>
  <c r="N37" i="1"/>
  <c r="O37" i="1"/>
  <c r="P37" i="1"/>
  <c r="Q37" i="1"/>
  <c r="K38" i="1"/>
  <c r="L38" i="1"/>
  <c r="M38" i="1"/>
  <c r="N38" i="1"/>
  <c r="O38" i="1"/>
  <c r="P38" i="1"/>
  <c r="Q38" i="1"/>
  <c r="K39" i="1"/>
  <c r="L39" i="1"/>
  <c r="M39" i="1"/>
  <c r="N39" i="1"/>
  <c r="O39" i="1"/>
  <c r="P39" i="1"/>
  <c r="Q39" i="1"/>
  <c r="L25" i="1"/>
  <c r="M25" i="1"/>
  <c r="N25" i="1"/>
  <c r="O25" i="1"/>
  <c r="P25" i="1"/>
  <c r="Q25" i="1"/>
  <c r="K25" i="1"/>
  <c r="K7" i="1"/>
  <c r="L7" i="1"/>
  <c r="M7" i="1"/>
  <c r="N7" i="1"/>
  <c r="O7" i="1"/>
  <c r="P7" i="1"/>
  <c r="Q7" i="1"/>
  <c r="K8" i="1"/>
  <c r="L8" i="1"/>
  <c r="M8" i="1"/>
  <c r="N8" i="1"/>
  <c r="O8" i="1"/>
  <c r="P8" i="1"/>
  <c r="Q8" i="1"/>
  <c r="K9" i="1"/>
  <c r="L9" i="1"/>
  <c r="M9" i="1"/>
  <c r="N9" i="1"/>
  <c r="O9" i="1"/>
  <c r="P9" i="1"/>
  <c r="Q9" i="1"/>
  <c r="K10" i="1"/>
  <c r="L10" i="1"/>
  <c r="M10" i="1"/>
  <c r="N10" i="1"/>
  <c r="O10" i="1"/>
  <c r="P10" i="1"/>
  <c r="Q10" i="1"/>
  <c r="K11" i="1"/>
  <c r="L11" i="1"/>
  <c r="M11" i="1"/>
  <c r="N11" i="1"/>
  <c r="O11" i="1"/>
  <c r="P11" i="1"/>
  <c r="Q11" i="1"/>
  <c r="K12" i="1"/>
  <c r="L12" i="1"/>
  <c r="M12" i="1"/>
  <c r="N12" i="1"/>
  <c r="O12" i="1"/>
  <c r="P12" i="1"/>
  <c r="Q12" i="1"/>
  <c r="K13" i="1"/>
  <c r="L13" i="1"/>
  <c r="M13" i="1"/>
  <c r="N13" i="1"/>
  <c r="O13" i="1"/>
  <c r="P13" i="1"/>
  <c r="Q13" i="1"/>
  <c r="K14" i="1"/>
  <c r="L14" i="1"/>
  <c r="M14" i="1"/>
  <c r="N14" i="1"/>
  <c r="O14" i="1"/>
  <c r="P14" i="1"/>
  <c r="Q14" i="1"/>
  <c r="K15" i="1"/>
  <c r="L15" i="1"/>
  <c r="M15" i="1"/>
  <c r="N15" i="1"/>
  <c r="O15" i="1"/>
  <c r="P15" i="1"/>
  <c r="Q15" i="1"/>
  <c r="K16" i="1"/>
  <c r="L16" i="1"/>
  <c r="M16" i="1"/>
  <c r="N16" i="1"/>
  <c r="O16" i="1"/>
  <c r="P16" i="1"/>
  <c r="Q16" i="1"/>
  <c r="K17" i="1"/>
  <c r="L17" i="1"/>
  <c r="M17" i="1"/>
  <c r="N17" i="1"/>
  <c r="O17" i="1"/>
  <c r="P17" i="1"/>
  <c r="Q17" i="1"/>
  <c r="K18" i="1"/>
  <c r="L18" i="1"/>
  <c r="M18" i="1"/>
  <c r="N18" i="1"/>
  <c r="O18" i="1"/>
  <c r="P18" i="1"/>
  <c r="Q18" i="1"/>
  <c r="K19" i="1"/>
  <c r="L19" i="1"/>
  <c r="M19" i="1"/>
  <c r="N19" i="1"/>
  <c r="O19" i="1"/>
  <c r="P19" i="1"/>
  <c r="Q19" i="1"/>
  <c r="K20" i="1"/>
  <c r="L20" i="1"/>
  <c r="M20" i="1"/>
  <c r="N20" i="1"/>
  <c r="O20" i="1"/>
  <c r="P20" i="1"/>
  <c r="Q20" i="1"/>
  <c r="L6" i="1"/>
  <c r="M6" i="1"/>
  <c r="N6" i="1"/>
  <c r="O6" i="1"/>
  <c r="P6" i="1"/>
  <c r="Q6" i="1"/>
  <c r="K6" i="1"/>
  <c r="D46" i="17" l="1"/>
  <c r="F46" i="17" s="1"/>
  <c r="C45" i="17"/>
  <c r="F45" i="17" s="1"/>
  <c r="BX86" i="17"/>
  <c r="BV52" i="17" s="1"/>
  <c r="T28" i="18"/>
  <c r="T29" i="18" s="1"/>
  <c r="BX85" i="17"/>
  <c r="T12" i="18"/>
  <c r="T13" i="18" s="1"/>
  <c r="B140" i="1"/>
  <c r="C140" i="1"/>
  <c r="D140" i="1"/>
  <c r="E140" i="1"/>
  <c r="F140" i="1"/>
  <c r="G140" i="1"/>
  <c r="H140" i="1"/>
  <c r="B141" i="1"/>
  <c r="C141" i="1"/>
  <c r="D141" i="1"/>
  <c r="E141" i="1"/>
  <c r="F141" i="1"/>
  <c r="G141" i="1"/>
  <c r="H141" i="1"/>
  <c r="B142" i="1"/>
  <c r="C142" i="1"/>
  <c r="D142" i="1"/>
  <c r="E142" i="1"/>
  <c r="F142" i="1"/>
  <c r="G142" i="1"/>
  <c r="H142" i="1"/>
  <c r="B143" i="1"/>
  <c r="C143" i="1"/>
  <c r="D143" i="1"/>
  <c r="E143" i="1"/>
  <c r="F143" i="1"/>
  <c r="G143" i="1"/>
  <c r="H143" i="1"/>
  <c r="B144" i="1"/>
  <c r="C144" i="1"/>
  <c r="D144" i="1"/>
  <c r="E144" i="1"/>
  <c r="F144" i="1"/>
  <c r="G144" i="1"/>
  <c r="H144" i="1"/>
  <c r="B145" i="1"/>
  <c r="C145" i="1"/>
  <c r="D145" i="1"/>
  <c r="E145" i="1"/>
  <c r="F145" i="1"/>
  <c r="G145" i="1"/>
  <c r="H145" i="1"/>
  <c r="B146" i="1"/>
  <c r="C146" i="1"/>
  <c r="D146" i="1"/>
  <c r="E146" i="1"/>
  <c r="F146" i="1"/>
  <c r="G146" i="1"/>
  <c r="H146" i="1"/>
  <c r="B147" i="1"/>
  <c r="C147" i="1"/>
  <c r="D147" i="1"/>
  <c r="E147" i="1"/>
  <c r="F147" i="1"/>
  <c r="G147" i="1"/>
  <c r="H147" i="1"/>
  <c r="B148" i="1"/>
  <c r="C148" i="1"/>
  <c r="D148" i="1"/>
  <c r="E148" i="1"/>
  <c r="F148" i="1"/>
  <c r="G148" i="1"/>
  <c r="H148" i="1"/>
  <c r="B149" i="1"/>
  <c r="C149" i="1"/>
  <c r="D149" i="1"/>
  <c r="E149" i="1"/>
  <c r="F149" i="1"/>
  <c r="G149" i="1"/>
  <c r="H149" i="1"/>
  <c r="B150" i="1"/>
  <c r="C150" i="1"/>
  <c r="D150" i="1"/>
  <c r="E150" i="1"/>
  <c r="F150" i="1"/>
  <c r="G150" i="1"/>
  <c r="H150" i="1"/>
  <c r="B151" i="1"/>
  <c r="C151" i="1"/>
  <c r="D151" i="1"/>
  <c r="E151" i="1"/>
  <c r="F151" i="1"/>
  <c r="G151" i="1"/>
  <c r="H151" i="1"/>
  <c r="B152" i="1"/>
  <c r="C152" i="1"/>
  <c r="D152" i="1"/>
  <c r="E152" i="1"/>
  <c r="F152" i="1"/>
  <c r="G152" i="1"/>
  <c r="H152" i="1"/>
  <c r="B153" i="1"/>
  <c r="C153" i="1"/>
  <c r="D153" i="1"/>
  <c r="E153" i="1"/>
  <c r="F153" i="1"/>
  <c r="G153" i="1"/>
  <c r="H153" i="1"/>
  <c r="C139" i="1"/>
  <c r="D139" i="1"/>
  <c r="E139" i="1"/>
  <c r="F139" i="1"/>
  <c r="G139" i="1"/>
  <c r="H139" i="1"/>
  <c r="B139" i="1"/>
  <c r="B121" i="1"/>
  <c r="C121" i="1"/>
  <c r="D121" i="1"/>
  <c r="E121" i="1"/>
  <c r="F121" i="1"/>
  <c r="G121" i="1"/>
  <c r="H121" i="1"/>
  <c r="B122" i="1"/>
  <c r="C122" i="1"/>
  <c r="D122" i="1"/>
  <c r="E122" i="1"/>
  <c r="F122" i="1"/>
  <c r="G122" i="1"/>
  <c r="H122" i="1"/>
  <c r="B123" i="1"/>
  <c r="C123" i="1"/>
  <c r="D123" i="1"/>
  <c r="E123" i="1"/>
  <c r="F123" i="1"/>
  <c r="G123" i="1"/>
  <c r="H123" i="1"/>
  <c r="B124" i="1"/>
  <c r="C124" i="1"/>
  <c r="D124" i="1"/>
  <c r="E124" i="1"/>
  <c r="F124" i="1"/>
  <c r="G124" i="1"/>
  <c r="H124" i="1"/>
  <c r="B125" i="1"/>
  <c r="C125" i="1"/>
  <c r="D125" i="1"/>
  <c r="E125" i="1"/>
  <c r="F125" i="1"/>
  <c r="G125" i="1"/>
  <c r="H125" i="1"/>
  <c r="B126" i="1"/>
  <c r="C126" i="1"/>
  <c r="D126" i="1"/>
  <c r="E126" i="1"/>
  <c r="F126" i="1"/>
  <c r="G126" i="1"/>
  <c r="H126" i="1"/>
  <c r="B127" i="1"/>
  <c r="C127" i="1"/>
  <c r="D127" i="1"/>
  <c r="E127" i="1"/>
  <c r="F127" i="1"/>
  <c r="G127" i="1"/>
  <c r="H127" i="1"/>
  <c r="B128" i="1"/>
  <c r="C128" i="1"/>
  <c r="D128" i="1"/>
  <c r="E128" i="1"/>
  <c r="F128" i="1"/>
  <c r="G128" i="1"/>
  <c r="H128" i="1"/>
  <c r="B129" i="1"/>
  <c r="C129" i="1"/>
  <c r="D129" i="1"/>
  <c r="E129" i="1"/>
  <c r="F129" i="1"/>
  <c r="G129" i="1"/>
  <c r="H129" i="1"/>
  <c r="B130" i="1"/>
  <c r="C130" i="1"/>
  <c r="D130" i="1"/>
  <c r="E130" i="1"/>
  <c r="F130" i="1"/>
  <c r="G130" i="1"/>
  <c r="H130" i="1"/>
  <c r="B131" i="1"/>
  <c r="C131" i="1"/>
  <c r="D131" i="1"/>
  <c r="E131" i="1"/>
  <c r="F131" i="1"/>
  <c r="G131" i="1"/>
  <c r="H131" i="1"/>
  <c r="B132" i="1"/>
  <c r="C132" i="1"/>
  <c r="D132" i="1"/>
  <c r="E132" i="1"/>
  <c r="F132" i="1"/>
  <c r="G132" i="1"/>
  <c r="H132" i="1"/>
  <c r="B133" i="1"/>
  <c r="C133" i="1"/>
  <c r="D133" i="1"/>
  <c r="E133" i="1"/>
  <c r="F133" i="1"/>
  <c r="G133" i="1"/>
  <c r="H133" i="1"/>
  <c r="B134" i="1"/>
  <c r="C134" i="1"/>
  <c r="D134" i="1"/>
  <c r="E134" i="1"/>
  <c r="F134" i="1"/>
  <c r="F135" i="1" s="1"/>
  <c r="G134" i="1"/>
  <c r="H134" i="1"/>
  <c r="C120" i="1"/>
  <c r="D120" i="1"/>
  <c r="E120" i="1"/>
  <c r="F120" i="1"/>
  <c r="G120" i="1"/>
  <c r="H120" i="1"/>
  <c r="B120" i="1"/>
  <c r="B102" i="1"/>
  <c r="C102" i="1"/>
  <c r="D102" i="1"/>
  <c r="E102" i="1"/>
  <c r="F102" i="1"/>
  <c r="G102" i="1"/>
  <c r="H102" i="1"/>
  <c r="B103" i="1"/>
  <c r="C103" i="1"/>
  <c r="D103" i="1"/>
  <c r="E103" i="1"/>
  <c r="F103" i="1"/>
  <c r="G103" i="1"/>
  <c r="H103" i="1"/>
  <c r="B104" i="1"/>
  <c r="C104" i="1"/>
  <c r="D104" i="1"/>
  <c r="E104" i="1"/>
  <c r="F104" i="1"/>
  <c r="G104" i="1"/>
  <c r="H104" i="1"/>
  <c r="B105" i="1"/>
  <c r="C105" i="1"/>
  <c r="D105" i="1"/>
  <c r="E105" i="1"/>
  <c r="F105" i="1"/>
  <c r="G105" i="1"/>
  <c r="H105" i="1"/>
  <c r="B106" i="1"/>
  <c r="C106" i="1"/>
  <c r="D106" i="1"/>
  <c r="E106" i="1"/>
  <c r="F106" i="1"/>
  <c r="G106" i="1"/>
  <c r="H106" i="1"/>
  <c r="B107" i="1"/>
  <c r="C107" i="1"/>
  <c r="D107" i="1"/>
  <c r="E107" i="1"/>
  <c r="F107" i="1"/>
  <c r="G107" i="1"/>
  <c r="H107" i="1"/>
  <c r="B108" i="1"/>
  <c r="C108" i="1"/>
  <c r="D108" i="1"/>
  <c r="E108" i="1"/>
  <c r="F108" i="1"/>
  <c r="G108" i="1"/>
  <c r="H108" i="1"/>
  <c r="B109" i="1"/>
  <c r="C109" i="1"/>
  <c r="D109" i="1"/>
  <c r="E109" i="1"/>
  <c r="F109" i="1"/>
  <c r="G109" i="1"/>
  <c r="H109" i="1"/>
  <c r="B110" i="1"/>
  <c r="C110" i="1"/>
  <c r="D110" i="1"/>
  <c r="E110" i="1"/>
  <c r="F110" i="1"/>
  <c r="G110" i="1"/>
  <c r="H110" i="1"/>
  <c r="B111" i="1"/>
  <c r="C111" i="1"/>
  <c r="D111" i="1"/>
  <c r="E111" i="1"/>
  <c r="F111" i="1"/>
  <c r="G111" i="1"/>
  <c r="H111" i="1"/>
  <c r="B112" i="1"/>
  <c r="C112" i="1"/>
  <c r="D112" i="1"/>
  <c r="E112" i="1"/>
  <c r="F112" i="1"/>
  <c r="G112" i="1"/>
  <c r="H112" i="1"/>
  <c r="B113" i="1"/>
  <c r="C113" i="1"/>
  <c r="D113" i="1"/>
  <c r="E113" i="1"/>
  <c r="F113" i="1"/>
  <c r="G113" i="1"/>
  <c r="H113" i="1"/>
  <c r="B114" i="1"/>
  <c r="C114" i="1"/>
  <c r="D114" i="1"/>
  <c r="E114" i="1"/>
  <c r="F114" i="1"/>
  <c r="G114" i="1"/>
  <c r="H114" i="1"/>
  <c r="B115" i="1"/>
  <c r="C115" i="1"/>
  <c r="D115" i="1"/>
  <c r="E115" i="1"/>
  <c r="F115" i="1"/>
  <c r="F116" i="1" s="1"/>
  <c r="G115" i="1"/>
  <c r="G116" i="1" s="1"/>
  <c r="H115" i="1"/>
  <c r="H116" i="1" s="1"/>
  <c r="C101" i="1"/>
  <c r="D101" i="1"/>
  <c r="E101" i="1"/>
  <c r="F101" i="1"/>
  <c r="G101" i="1"/>
  <c r="H101" i="1"/>
  <c r="B101" i="1"/>
  <c r="B83" i="1"/>
  <c r="C83" i="1"/>
  <c r="D83" i="1"/>
  <c r="E83" i="1"/>
  <c r="F83" i="1"/>
  <c r="G83" i="1"/>
  <c r="H83" i="1"/>
  <c r="B84" i="1"/>
  <c r="C84" i="1"/>
  <c r="D84" i="1"/>
  <c r="E84" i="1"/>
  <c r="F84" i="1"/>
  <c r="G84" i="1"/>
  <c r="H84" i="1"/>
  <c r="B85" i="1"/>
  <c r="C85" i="1"/>
  <c r="D85" i="1"/>
  <c r="E85" i="1"/>
  <c r="F85" i="1"/>
  <c r="G85" i="1"/>
  <c r="H85" i="1"/>
  <c r="B86" i="1"/>
  <c r="C86" i="1"/>
  <c r="D86" i="1"/>
  <c r="E86" i="1"/>
  <c r="F86" i="1"/>
  <c r="G86" i="1"/>
  <c r="H86" i="1"/>
  <c r="B87" i="1"/>
  <c r="C87" i="1"/>
  <c r="D87" i="1"/>
  <c r="E87" i="1"/>
  <c r="F87" i="1"/>
  <c r="G87" i="1"/>
  <c r="H87" i="1"/>
  <c r="B88" i="1"/>
  <c r="C88" i="1"/>
  <c r="D88" i="1"/>
  <c r="E88" i="1"/>
  <c r="F88" i="1"/>
  <c r="G88" i="1"/>
  <c r="H88" i="1"/>
  <c r="B89" i="1"/>
  <c r="C89" i="1"/>
  <c r="D89" i="1"/>
  <c r="E89" i="1"/>
  <c r="F89" i="1"/>
  <c r="G89" i="1"/>
  <c r="H89" i="1"/>
  <c r="B90" i="1"/>
  <c r="C90" i="1"/>
  <c r="D90" i="1"/>
  <c r="E90" i="1"/>
  <c r="F90" i="1"/>
  <c r="G90" i="1"/>
  <c r="H90" i="1"/>
  <c r="B91" i="1"/>
  <c r="C91" i="1"/>
  <c r="D91" i="1"/>
  <c r="E91" i="1"/>
  <c r="F91" i="1"/>
  <c r="G91" i="1"/>
  <c r="H91" i="1"/>
  <c r="B92" i="1"/>
  <c r="C92" i="1"/>
  <c r="D92" i="1"/>
  <c r="E92" i="1"/>
  <c r="F92" i="1"/>
  <c r="G92" i="1"/>
  <c r="H92" i="1"/>
  <c r="B93" i="1"/>
  <c r="C93" i="1"/>
  <c r="D93" i="1"/>
  <c r="E93" i="1"/>
  <c r="F93" i="1"/>
  <c r="G93" i="1"/>
  <c r="H93" i="1"/>
  <c r="B94" i="1"/>
  <c r="C94" i="1"/>
  <c r="D94" i="1"/>
  <c r="E94" i="1"/>
  <c r="F94" i="1"/>
  <c r="G94" i="1"/>
  <c r="H94" i="1"/>
  <c r="B95" i="1"/>
  <c r="C95" i="1"/>
  <c r="D95" i="1"/>
  <c r="E95" i="1"/>
  <c r="F95" i="1"/>
  <c r="G95" i="1"/>
  <c r="H95" i="1"/>
  <c r="B96" i="1"/>
  <c r="C96" i="1"/>
  <c r="D96" i="1"/>
  <c r="E96" i="1"/>
  <c r="F96" i="1"/>
  <c r="G96" i="1"/>
  <c r="H96" i="1"/>
  <c r="C82" i="1"/>
  <c r="D82" i="1"/>
  <c r="E82" i="1"/>
  <c r="F82" i="1"/>
  <c r="G82" i="1"/>
  <c r="H82" i="1"/>
  <c r="B82" i="1"/>
  <c r="B64" i="1"/>
  <c r="C64" i="1"/>
  <c r="D64" i="1"/>
  <c r="E64" i="1"/>
  <c r="F64" i="1"/>
  <c r="G64" i="1"/>
  <c r="H64" i="1"/>
  <c r="B65" i="1"/>
  <c r="C65" i="1"/>
  <c r="D65" i="1"/>
  <c r="E65" i="1"/>
  <c r="F65" i="1"/>
  <c r="G65" i="1"/>
  <c r="H65" i="1"/>
  <c r="B66" i="1"/>
  <c r="C66" i="1"/>
  <c r="D66" i="1"/>
  <c r="E66" i="1"/>
  <c r="F66" i="1"/>
  <c r="G66" i="1"/>
  <c r="H66" i="1"/>
  <c r="B67" i="1"/>
  <c r="C67" i="1"/>
  <c r="D67" i="1"/>
  <c r="E67" i="1"/>
  <c r="F67" i="1"/>
  <c r="G67" i="1"/>
  <c r="H67" i="1"/>
  <c r="B68" i="1"/>
  <c r="C68" i="1"/>
  <c r="D68" i="1"/>
  <c r="E68" i="1"/>
  <c r="F68" i="1"/>
  <c r="G68" i="1"/>
  <c r="H68" i="1"/>
  <c r="B69" i="1"/>
  <c r="C69" i="1"/>
  <c r="D69" i="1"/>
  <c r="E69" i="1"/>
  <c r="F69" i="1"/>
  <c r="G69" i="1"/>
  <c r="H69" i="1"/>
  <c r="B70" i="1"/>
  <c r="C70" i="1"/>
  <c r="D70" i="1"/>
  <c r="E70" i="1"/>
  <c r="F70" i="1"/>
  <c r="G70" i="1"/>
  <c r="H70" i="1"/>
  <c r="B71" i="1"/>
  <c r="C71" i="1"/>
  <c r="D71" i="1"/>
  <c r="E71" i="1"/>
  <c r="F71" i="1"/>
  <c r="G71" i="1"/>
  <c r="H71" i="1"/>
  <c r="B72" i="1"/>
  <c r="C72" i="1"/>
  <c r="D72" i="1"/>
  <c r="E72" i="1"/>
  <c r="F72" i="1"/>
  <c r="G72" i="1"/>
  <c r="H72" i="1"/>
  <c r="B73" i="1"/>
  <c r="C73" i="1"/>
  <c r="D73" i="1"/>
  <c r="E73" i="1"/>
  <c r="F73" i="1"/>
  <c r="G73" i="1"/>
  <c r="H73" i="1"/>
  <c r="B74" i="1"/>
  <c r="C74" i="1"/>
  <c r="D74" i="1"/>
  <c r="E74" i="1"/>
  <c r="F74" i="1"/>
  <c r="G74" i="1"/>
  <c r="H74" i="1"/>
  <c r="B75" i="1"/>
  <c r="C75" i="1"/>
  <c r="D75" i="1"/>
  <c r="E75" i="1"/>
  <c r="F75" i="1"/>
  <c r="G75" i="1"/>
  <c r="H75" i="1"/>
  <c r="B76" i="1"/>
  <c r="C76" i="1"/>
  <c r="D76" i="1"/>
  <c r="E76" i="1"/>
  <c r="F76" i="1"/>
  <c r="G76" i="1"/>
  <c r="H76" i="1"/>
  <c r="B77" i="1"/>
  <c r="C77" i="1"/>
  <c r="D77" i="1"/>
  <c r="E77" i="1"/>
  <c r="F77" i="1"/>
  <c r="G77" i="1"/>
  <c r="H77" i="1"/>
  <c r="C63" i="1"/>
  <c r="D63" i="1"/>
  <c r="E63" i="1"/>
  <c r="F63" i="1"/>
  <c r="G63" i="1"/>
  <c r="H63" i="1"/>
  <c r="B63" i="1"/>
  <c r="B45" i="1"/>
  <c r="C45" i="1"/>
  <c r="D45" i="1"/>
  <c r="E45" i="1"/>
  <c r="F45" i="1"/>
  <c r="G45" i="1"/>
  <c r="H45" i="1"/>
  <c r="B46" i="1"/>
  <c r="C46" i="1"/>
  <c r="D46" i="1"/>
  <c r="E46" i="1"/>
  <c r="F46" i="1"/>
  <c r="G46" i="1"/>
  <c r="H46" i="1"/>
  <c r="B47" i="1"/>
  <c r="C47" i="1"/>
  <c r="D47" i="1"/>
  <c r="E47" i="1"/>
  <c r="F47" i="1"/>
  <c r="G47" i="1"/>
  <c r="H47" i="1"/>
  <c r="B48" i="1"/>
  <c r="C48" i="1"/>
  <c r="D48" i="1"/>
  <c r="E48" i="1"/>
  <c r="F48" i="1"/>
  <c r="G48" i="1"/>
  <c r="H48" i="1"/>
  <c r="B49" i="1"/>
  <c r="C49" i="1"/>
  <c r="D49" i="1"/>
  <c r="E49" i="1"/>
  <c r="F49" i="1"/>
  <c r="G49" i="1"/>
  <c r="H49" i="1"/>
  <c r="B50" i="1"/>
  <c r="C50" i="1"/>
  <c r="D50" i="1"/>
  <c r="E50" i="1"/>
  <c r="F50" i="1"/>
  <c r="G50" i="1"/>
  <c r="H50" i="1"/>
  <c r="B51" i="1"/>
  <c r="C51" i="1"/>
  <c r="D51" i="1"/>
  <c r="E51" i="1"/>
  <c r="F51" i="1"/>
  <c r="G51" i="1"/>
  <c r="H51" i="1"/>
  <c r="B52" i="1"/>
  <c r="C52" i="1"/>
  <c r="D52" i="1"/>
  <c r="E52" i="1"/>
  <c r="F52" i="1"/>
  <c r="G52" i="1"/>
  <c r="H52" i="1"/>
  <c r="B53" i="1"/>
  <c r="C53" i="1"/>
  <c r="D53" i="1"/>
  <c r="E53" i="1"/>
  <c r="F53" i="1"/>
  <c r="G53" i="1"/>
  <c r="H53" i="1"/>
  <c r="B54" i="1"/>
  <c r="C54" i="1"/>
  <c r="D54" i="1"/>
  <c r="E54" i="1"/>
  <c r="F54" i="1"/>
  <c r="G54" i="1"/>
  <c r="H54" i="1"/>
  <c r="B55" i="1"/>
  <c r="C55" i="1"/>
  <c r="D55" i="1"/>
  <c r="E55" i="1"/>
  <c r="F55" i="1"/>
  <c r="G55" i="1"/>
  <c r="H55" i="1"/>
  <c r="B56" i="1"/>
  <c r="C56" i="1"/>
  <c r="D56" i="1"/>
  <c r="E56" i="1"/>
  <c r="F56" i="1"/>
  <c r="G56" i="1"/>
  <c r="H56" i="1"/>
  <c r="B57" i="1"/>
  <c r="C57" i="1"/>
  <c r="D57" i="1"/>
  <c r="E57" i="1"/>
  <c r="F57" i="1"/>
  <c r="G57" i="1"/>
  <c r="H57" i="1"/>
  <c r="B58" i="1"/>
  <c r="C58" i="1"/>
  <c r="D58" i="1"/>
  <c r="E58" i="1"/>
  <c r="F58" i="1"/>
  <c r="G58" i="1"/>
  <c r="H58" i="1"/>
  <c r="C44" i="1"/>
  <c r="D44" i="1"/>
  <c r="E44" i="1"/>
  <c r="F44" i="1"/>
  <c r="G44" i="1"/>
  <c r="H44" i="1"/>
  <c r="B44" i="1"/>
  <c r="B26" i="1"/>
  <c r="C26" i="1"/>
  <c r="D26" i="1"/>
  <c r="E26" i="1"/>
  <c r="F26" i="1"/>
  <c r="G26" i="1"/>
  <c r="H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C39" i="1"/>
  <c r="D39" i="1"/>
  <c r="E39" i="1"/>
  <c r="F39" i="1"/>
  <c r="G39" i="1"/>
  <c r="H39" i="1"/>
  <c r="C25" i="1"/>
  <c r="D25" i="1"/>
  <c r="E25" i="1"/>
  <c r="F25" i="1"/>
  <c r="G25" i="1"/>
  <c r="H25" i="1"/>
  <c r="B25" i="1"/>
  <c r="B7" i="1"/>
  <c r="C7" i="1"/>
  <c r="D7" i="1"/>
  <c r="E7" i="1"/>
  <c r="F7" i="1"/>
  <c r="G7" i="1"/>
  <c r="H7" i="1"/>
  <c r="B8" i="1"/>
  <c r="C8" i="1"/>
  <c r="D8" i="1"/>
  <c r="E8" i="1"/>
  <c r="F8" i="1"/>
  <c r="G8" i="1"/>
  <c r="H8" i="1"/>
  <c r="B9" i="1"/>
  <c r="C9" i="1"/>
  <c r="D9" i="1"/>
  <c r="E9" i="1"/>
  <c r="F9" i="1"/>
  <c r="G9" i="1"/>
  <c r="H9" i="1"/>
  <c r="B10" i="1"/>
  <c r="C10" i="1"/>
  <c r="D10" i="1"/>
  <c r="E10" i="1"/>
  <c r="F10" i="1"/>
  <c r="G10" i="1"/>
  <c r="H10" i="1"/>
  <c r="B11" i="1"/>
  <c r="C11" i="1"/>
  <c r="D11" i="1"/>
  <c r="E11" i="1"/>
  <c r="F11" i="1"/>
  <c r="G11" i="1"/>
  <c r="H11" i="1"/>
  <c r="B12" i="1"/>
  <c r="C12" i="1"/>
  <c r="D12" i="1"/>
  <c r="E12" i="1"/>
  <c r="F12" i="1"/>
  <c r="G12" i="1"/>
  <c r="H12" i="1"/>
  <c r="B13" i="1"/>
  <c r="C13" i="1"/>
  <c r="D13" i="1"/>
  <c r="E13" i="1"/>
  <c r="F13" i="1"/>
  <c r="G13" i="1"/>
  <c r="H13" i="1"/>
  <c r="B14" i="1"/>
  <c r="C14" i="1"/>
  <c r="D14" i="1"/>
  <c r="E14" i="1"/>
  <c r="F14" i="1"/>
  <c r="G14" i="1"/>
  <c r="H14" i="1"/>
  <c r="B15" i="1"/>
  <c r="C15" i="1"/>
  <c r="D15" i="1"/>
  <c r="E15" i="1"/>
  <c r="F15" i="1"/>
  <c r="G15" i="1"/>
  <c r="H15" i="1"/>
  <c r="B16" i="1"/>
  <c r="C16" i="1"/>
  <c r="D16" i="1"/>
  <c r="E16" i="1"/>
  <c r="F16" i="1"/>
  <c r="G16" i="1"/>
  <c r="H16" i="1"/>
  <c r="B17" i="1"/>
  <c r="C17" i="1"/>
  <c r="D17" i="1"/>
  <c r="E17" i="1"/>
  <c r="F17" i="1"/>
  <c r="G17" i="1"/>
  <c r="H17" i="1"/>
  <c r="B18" i="1"/>
  <c r="C18" i="1"/>
  <c r="D18" i="1"/>
  <c r="E18" i="1"/>
  <c r="F18" i="1"/>
  <c r="G18" i="1"/>
  <c r="H18" i="1"/>
  <c r="B19" i="1"/>
  <c r="C19" i="1"/>
  <c r="D19" i="1"/>
  <c r="E19" i="1"/>
  <c r="F19" i="1"/>
  <c r="G19" i="1"/>
  <c r="H19" i="1"/>
  <c r="B20" i="1"/>
  <c r="C20" i="1"/>
  <c r="D20" i="1"/>
  <c r="E20" i="1"/>
  <c r="F20" i="1"/>
  <c r="G20" i="1"/>
  <c r="H20" i="1"/>
  <c r="C6" i="1"/>
  <c r="D6" i="1"/>
  <c r="E6" i="1"/>
  <c r="F6" i="1"/>
  <c r="G6" i="1"/>
  <c r="H6" i="1"/>
  <c r="B6" i="1"/>
  <c r="B7" i="18"/>
  <c r="B6" i="18"/>
  <c r="B5" i="18"/>
  <c r="L2" i="18"/>
  <c r="L18" i="18" s="1"/>
  <c r="I2" i="18"/>
  <c r="W13" i="17"/>
  <c r="W22" i="17" s="1"/>
  <c r="W31" i="17" s="1"/>
  <c r="W14" i="17"/>
  <c r="W23" i="17" s="1"/>
  <c r="W32" i="17" s="1"/>
  <c r="W15" i="17"/>
  <c r="W24" i="17" s="1"/>
  <c r="W33" i="17" s="1"/>
  <c r="W16" i="17"/>
  <c r="W25" i="17" s="1"/>
  <c r="W34" i="17" s="1"/>
  <c r="W17" i="17"/>
  <c r="W26" i="17" s="1"/>
  <c r="W35" i="17" s="1"/>
  <c r="A2" i="1"/>
  <c r="B2" i="17" s="1"/>
  <c r="W37" i="17"/>
  <c r="W36" i="17"/>
  <c r="W28" i="17"/>
  <c r="W27" i="17"/>
  <c r="W19" i="17"/>
  <c r="W18" i="17"/>
  <c r="W10" i="17"/>
  <c r="W9" i="17"/>
  <c r="AI154" i="19"/>
  <c r="AH154" i="19"/>
  <c r="AG154" i="19"/>
  <c r="AC154" i="19"/>
  <c r="AI135" i="19"/>
  <c r="AH135" i="19"/>
  <c r="AG135" i="19"/>
  <c r="AC135" i="19"/>
  <c r="AI116" i="19"/>
  <c r="AH116" i="19"/>
  <c r="AG116" i="19"/>
  <c r="AC116" i="19"/>
  <c r="AI97" i="19"/>
  <c r="AH97" i="19"/>
  <c r="AG97" i="19"/>
  <c r="AC97" i="19"/>
  <c r="AI78" i="19"/>
  <c r="AH78" i="19"/>
  <c r="AG78" i="19"/>
  <c r="AC78" i="19"/>
  <c r="AI59" i="19"/>
  <c r="AH59" i="19"/>
  <c r="AG59" i="19"/>
  <c r="AC59" i="19"/>
  <c r="AI40" i="19"/>
  <c r="AH40" i="19"/>
  <c r="AG40" i="19"/>
  <c r="AC40" i="19"/>
  <c r="AI21" i="19"/>
  <c r="AH21" i="19"/>
  <c r="AG21" i="19"/>
  <c r="AC21" i="19"/>
  <c r="Z154" i="19"/>
  <c r="Y154" i="19"/>
  <c r="X154" i="19"/>
  <c r="T154" i="19"/>
  <c r="Z135" i="19"/>
  <c r="Y135" i="19"/>
  <c r="X135" i="19"/>
  <c r="T135" i="19"/>
  <c r="Z116" i="19"/>
  <c r="Y116" i="19"/>
  <c r="X116" i="19"/>
  <c r="T116" i="19"/>
  <c r="Z97" i="19"/>
  <c r="Y97" i="19"/>
  <c r="X97" i="19"/>
  <c r="T97" i="19"/>
  <c r="Z78" i="19"/>
  <c r="Y78" i="19"/>
  <c r="X78" i="19"/>
  <c r="T78" i="19"/>
  <c r="Z59" i="19"/>
  <c r="Y59" i="19"/>
  <c r="X59" i="19"/>
  <c r="T59" i="19"/>
  <c r="Z40" i="19"/>
  <c r="Y40" i="19"/>
  <c r="X40" i="19"/>
  <c r="T40" i="19"/>
  <c r="Z21" i="19"/>
  <c r="Y21" i="19"/>
  <c r="X21" i="19"/>
  <c r="T21" i="19"/>
  <c r="Q154" i="19"/>
  <c r="P154" i="19"/>
  <c r="O154" i="19"/>
  <c r="K154" i="19"/>
  <c r="Q135" i="19"/>
  <c r="P135" i="19"/>
  <c r="O135" i="19"/>
  <c r="K135" i="19"/>
  <c r="Q116" i="19"/>
  <c r="P116" i="19"/>
  <c r="O116" i="19"/>
  <c r="K116" i="19"/>
  <c r="Q97" i="19"/>
  <c r="P97" i="19"/>
  <c r="O97" i="19"/>
  <c r="K97" i="19"/>
  <c r="Q78" i="19"/>
  <c r="P78" i="19"/>
  <c r="O78" i="19"/>
  <c r="K78" i="19"/>
  <c r="Q59" i="19"/>
  <c r="P59" i="19"/>
  <c r="O59" i="19"/>
  <c r="K59" i="19"/>
  <c r="Q40" i="19"/>
  <c r="P40" i="19"/>
  <c r="O40" i="19"/>
  <c r="K40" i="19"/>
  <c r="Q21" i="19"/>
  <c r="P21" i="19"/>
  <c r="O21" i="19"/>
  <c r="K21" i="19"/>
  <c r="AB1" i="19"/>
  <c r="S1" i="19"/>
  <c r="J1" i="19"/>
  <c r="A1" i="19"/>
  <c r="H154" i="19"/>
  <c r="G154" i="19"/>
  <c r="F154" i="19"/>
  <c r="B154" i="19"/>
  <c r="H135" i="19"/>
  <c r="G135" i="19"/>
  <c r="F135" i="19"/>
  <c r="B135" i="19"/>
  <c r="H116" i="19"/>
  <c r="G116" i="19"/>
  <c r="F116" i="19"/>
  <c r="B116" i="19"/>
  <c r="H97" i="19"/>
  <c r="G97" i="19"/>
  <c r="F97" i="19"/>
  <c r="B97" i="19"/>
  <c r="H78" i="19"/>
  <c r="G78" i="19"/>
  <c r="F78" i="19"/>
  <c r="B78" i="19"/>
  <c r="H59" i="19"/>
  <c r="G59" i="19"/>
  <c r="F59" i="19"/>
  <c r="B59" i="19"/>
  <c r="H40" i="19"/>
  <c r="G40" i="19"/>
  <c r="F40" i="19"/>
  <c r="B40" i="19"/>
  <c r="H21" i="19"/>
  <c r="G21" i="19"/>
  <c r="F21" i="19"/>
  <c r="B21" i="19"/>
  <c r="AB2" i="19"/>
  <c r="S2" i="19"/>
  <c r="J2" i="19"/>
  <c r="A2" i="19"/>
  <c r="W2" i="17" s="1"/>
  <c r="AB32" i="17" l="1"/>
  <c r="AB23" i="17"/>
  <c r="E20" i="18"/>
  <c r="E21" i="18" s="1"/>
  <c r="AB14" i="17"/>
  <c r="Z33" i="17"/>
  <c r="AA24" i="17"/>
  <c r="AA15" i="17"/>
  <c r="AA33" i="17"/>
  <c r="Z24" i="17"/>
  <c r="AA7" i="17"/>
  <c r="Z15" i="17"/>
  <c r="AB7" i="17"/>
  <c r="AB43" i="17" s="1"/>
  <c r="Z8" i="17"/>
  <c r="Z44" i="17" s="1"/>
  <c r="Z4" i="17"/>
  <c r="Z5" i="17"/>
  <c r="Z41" i="17" s="1"/>
  <c r="E4" i="18"/>
  <c r="E5" i="18" s="1"/>
  <c r="BU17" i="17"/>
  <c r="R12" i="18" s="1"/>
  <c r="S12" i="18" s="1"/>
  <c r="BU51" i="17"/>
  <c r="AB24" i="17"/>
  <c r="AA8" i="17"/>
  <c r="AB33" i="17"/>
  <c r="Z16" i="17"/>
  <c r="AA4" i="17"/>
  <c r="AB15" i="17"/>
  <c r="Z25" i="17"/>
  <c r="Z34" i="17"/>
  <c r="AB4" i="17"/>
  <c r="AB40" i="17" s="1"/>
  <c r="AB8" i="17"/>
  <c r="AA16" i="17"/>
  <c r="AA25" i="17"/>
  <c r="AA34" i="17"/>
  <c r="AA5" i="17"/>
  <c r="AA41" i="17" s="1"/>
  <c r="AB16" i="17"/>
  <c r="AB25" i="17"/>
  <c r="AB34" i="17"/>
  <c r="AA35" i="17"/>
  <c r="Z6" i="17"/>
  <c r="Z17" i="17"/>
  <c r="AB5" i="17"/>
  <c r="AB41" i="17" s="1"/>
  <c r="AA22" i="17"/>
  <c r="AB31" i="17"/>
  <c r="Z26" i="17"/>
  <c r="AA13" i="17"/>
  <c r="AA31" i="17"/>
  <c r="AB17" i="17"/>
  <c r="AB26" i="17"/>
  <c r="Z32" i="17"/>
  <c r="C9" i="17"/>
  <c r="C4" i="18" s="1"/>
  <c r="D4" i="18" s="1"/>
  <c r="C27" i="17"/>
  <c r="C6" i="18" s="1"/>
  <c r="D6" i="18" s="1"/>
  <c r="C18" i="17"/>
  <c r="C5" i="18" s="1"/>
  <c r="D5" i="18" s="1"/>
  <c r="C36" i="17"/>
  <c r="C7" i="18" s="1"/>
  <c r="D7" i="18" s="1"/>
  <c r="Z22" i="17"/>
  <c r="Z35" i="17"/>
  <c r="AA17" i="17"/>
  <c r="AA6" i="17"/>
  <c r="AB22" i="17"/>
  <c r="Z23" i="17"/>
  <c r="AB6" i="17"/>
  <c r="AB42" i="17" s="1"/>
  <c r="AA14" i="17"/>
  <c r="AA23" i="17"/>
  <c r="AA32" i="17"/>
  <c r="X33" i="17"/>
  <c r="Z13" i="17"/>
  <c r="Z31" i="17"/>
  <c r="AA26" i="17"/>
  <c r="AB13" i="17"/>
  <c r="AB35" i="17"/>
  <c r="Z14" i="17"/>
  <c r="Z7" i="17"/>
  <c r="D28" i="17"/>
  <c r="C22" i="18" s="1"/>
  <c r="D22" i="18" s="1"/>
  <c r="D10" i="17"/>
  <c r="C20" i="18" s="1"/>
  <c r="D20" i="18" s="1"/>
  <c r="D19" i="17"/>
  <c r="C21" i="18" s="1"/>
  <c r="D21" i="18" s="1"/>
  <c r="D37" i="17"/>
  <c r="C23" i="18" s="1"/>
  <c r="D23" i="18" s="1"/>
  <c r="B116" i="1"/>
  <c r="W40" i="17"/>
  <c r="W42" i="17"/>
  <c r="W41" i="17"/>
  <c r="W43" i="17"/>
  <c r="W44" i="17"/>
  <c r="B22" i="18"/>
  <c r="B12" i="18"/>
  <c r="B28" i="18" s="1"/>
  <c r="BM37" i="17"/>
  <c r="BF37" i="17"/>
  <c r="AY37" i="17"/>
  <c r="AR37" i="17"/>
  <c r="AK37" i="17"/>
  <c r="AD37" i="17"/>
  <c r="P37" i="17"/>
  <c r="I37" i="17"/>
  <c r="BM36" i="17"/>
  <c r="BF36" i="17"/>
  <c r="AY36" i="17"/>
  <c r="AR36" i="17"/>
  <c r="AK36" i="17"/>
  <c r="AD36" i="17"/>
  <c r="P36" i="17"/>
  <c r="I36" i="17"/>
  <c r="BM28" i="17"/>
  <c r="BF28" i="17"/>
  <c r="AY28" i="17"/>
  <c r="AR28" i="17"/>
  <c r="AK28" i="17"/>
  <c r="AD28" i="17"/>
  <c r="P28" i="17"/>
  <c r="I28" i="17"/>
  <c r="BM27" i="17"/>
  <c r="BF27" i="17"/>
  <c r="AY27" i="17"/>
  <c r="AR27" i="17"/>
  <c r="AK27" i="17"/>
  <c r="AD27" i="17"/>
  <c r="P27" i="17"/>
  <c r="I27" i="17"/>
  <c r="BM19" i="17"/>
  <c r="BF19" i="17"/>
  <c r="AY19" i="17"/>
  <c r="AR19" i="17"/>
  <c r="AK19" i="17"/>
  <c r="AD19" i="17"/>
  <c r="P19" i="17"/>
  <c r="I19" i="17"/>
  <c r="BM18" i="17"/>
  <c r="BF18" i="17"/>
  <c r="AY18" i="17"/>
  <c r="AR18" i="17"/>
  <c r="AK18" i="17"/>
  <c r="AD18" i="17"/>
  <c r="P18" i="17"/>
  <c r="I18" i="17"/>
  <c r="BM10" i="17"/>
  <c r="BF10" i="17"/>
  <c r="AY10" i="17"/>
  <c r="AR10" i="17"/>
  <c r="AK10" i="17"/>
  <c r="AD10" i="17"/>
  <c r="P10" i="17"/>
  <c r="I10" i="17"/>
  <c r="BM9" i="17"/>
  <c r="BF9" i="17"/>
  <c r="AY9" i="17"/>
  <c r="AR9" i="17"/>
  <c r="AK9" i="17"/>
  <c r="AD9" i="17"/>
  <c r="P9" i="17"/>
  <c r="I9" i="17"/>
  <c r="O26" i="18"/>
  <c r="L10" i="18"/>
  <c r="L26" i="18" s="1"/>
  <c r="I10" i="18"/>
  <c r="I26" i="18" s="1"/>
  <c r="F10" i="18"/>
  <c r="F26" i="18" s="1"/>
  <c r="C10" i="18"/>
  <c r="C26" i="18" s="1"/>
  <c r="O2" i="18"/>
  <c r="O18" i="18" s="1"/>
  <c r="I18" i="18"/>
  <c r="F2" i="18"/>
  <c r="F18" i="18" s="1"/>
  <c r="AR44" i="17"/>
  <c r="AK44" i="17"/>
  <c r="AD44" i="17"/>
  <c r="I44" i="17"/>
  <c r="AR43" i="17"/>
  <c r="AK43" i="17"/>
  <c r="AD43" i="17"/>
  <c r="I43" i="17"/>
  <c r="AR42" i="17"/>
  <c r="AK42" i="17"/>
  <c r="AD42" i="17"/>
  <c r="I42" i="17"/>
  <c r="AR41" i="17"/>
  <c r="AK41" i="17"/>
  <c r="AD41" i="17"/>
  <c r="I41" i="17"/>
  <c r="AR40" i="17"/>
  <c r="AK40" i="17"/>
  <c r="AD40" i="17"/>
  <c r="I40" i="17"/>
  <c r="AR35" i="17"/>
  <c r="AK35" i="17"/>
  <c r="AD35" i="17"/>
  <c r="I35" i="17"/>
  <c r="AR34" i="17"/>
  <c r="AK34" i="17"/>
  <c r="AD34" i="17"/>
  <c r="I34" i="17"/>
  <c r="AR33" i="17"/>
  <c r="AK33" i="17"/>
  <c r="AD33" i="17"/>
  <c r="I33" i="17"/>
  <c r="AR32" i="17"/>
  <c r="AK32" i="17"/>
  <c r="AD32" i="17"/>
  <c r="I32" i="17"/>
  <c r="AR31" i="17"/>
  <c r="AK31" i="17"/>
  <c r="AD31" i="17"/>
  <c r="I31" i="17"/>
  <c r="AR26" i="17"/>
  <c r="AK26" i="17"/>
  <c r="AD26" i="17"/>
  <c r="I26" i="17"/>
  <c r="AR25" i="17"/>
  <c r="AK25" i="17"/>
  <c r="AD25" i="17"/>
  <c r="I25" i="17"/>
  <c r="AR24" i="17"/>
  <c r="AK24" i="17"/>
  <c r="AD24" i="17"/>
  <c r="I24" i="17"/>
  <c r="AR23" i="17"/>
  <c r="AK23" i="17"/>
  <c r="AD23" i="17"/>
  <c r="I23" i="17"/>
  <c r="AR22" i="17"/>
  <c r="AK22" i="17"/>
  <c r="AD22" i="17"/>
  <c r="I22" i="17"/>
  <c r="BM17" i="17"/>
  <c r="BM26" i="17" s="1"/>
  <c r="BM35" i="17" s="1"/>
  <c r="BF17" i="17"/>
  <c r="BF26" i="17" s="1"/>
  <c r="BF35" i="17" s="1"/>
  <c r="AY17" i="17"/>
  <c r="AY26" i="17" s="1"/>
  <c r="AY35" i="17" s="1"/>
  <c r="AR17" i="17"/>
  <c r="AK17" i="17"/>
  <c r="AD17" i="17"/>
  <c r="P17" i="17"/>
  <c r="P26" i="17" s="1"/>
  <c r="P35" i="17" s="1"/>
  <c r="I17" i="17"/>
  <c r="BM16" i="17"/>
  <c r="BM25" i="17" s="1"/>
  <c r="BM34" i="17" s="1"/>
  <c r="BF16" i="17"/>
  <c r="BF25" i="17" s="1"/>
  <c r="BF34" i="17" s="1"/>
  <c r="AY16" i="17"/>
  <c r="AY25" i="17" s="1"/>
  <c r="AY34" i="17" s="1"/>
  <c r="AR16" i="17"/>
  <c r="AK16" i="17"/>
  <c r="AD16" i="17"/>
  <c r="P16" i="17"/>
  <c r="P25" i="17" s="1"/>
  <c r="P34" i="17" s="1"/>
  <c r="I16" i="17"/>
  <c r="BM15" i="17"/>
  <c r="BM24" i="17" s="1"/>
  <c r="BM33" i="17" s="1"/>
  <c r="BF15" i="17"/>
  <c r="BF24" i="17" s="1"/>
  <c r="BF33" i="17" s="1"/>
  <c r="AY15" i="17"/>
  <c r="AY24" i="17" s="1"/>
  <c r="AY33" i="17" s="1"/>
  <c r="AR15" i="17"/>
  <c r="AK15" i="17"/>
  <c r="AD15" i="17"/>
  <c r="P15" i="17"/>
  <c r="P24" i="17" s="1"/>
  <c r="P33" i="17" s="1"/>
  <c r="I15" i="17"/>
  <c r="BM14" i="17"/>
  <c r="BM23" i="17" s="1"/>
  <c r="BM32" i="17" s="1"/>
  <c r="BF14" i="17"/>
  <c r="BF23" i="17" s="1"/>
  <c r="BF32" i="17" s="1"/>
  <c r="AY14" i="17"/>
  <c r="AY23" i="17" s="1"/>
  <c r="AY32" i="17" s="1"/>
  <c r="AR14" i="17"/>
  <c r="AK14" i="17"/>
  <c r="AD14" i="17"/>
  <c r="P14" i="17"/>
  <c r="P23" i="17" s="1"/>
  <c r="P32" i="17" s="1"/>
  <c r="I14" i="17"/>
  <c r="BM13" i="17"/>
  <c r="BM22" i="17" s="1"/>
  <c r="BM31" i="17" s="1"/>
  <c r="BF13" i="17"/>
  <c r="BF22" i="17" s="1"/>
  <c r="BF31" i="17" s="1"/>
  <c r="AY13" i="17"/>
  <c r="AY22" i="17" s="1"/>
  <c r="AY31" i="17" s="1"/>
  <c r="AR13" i="17"/>
  <c r="AK13" i="17"/>
  <c r="AD13" i="17"/>
  <c r="P13" i="17"/>
  <c r="P22" i="17" s="1"/>
  <c r="P31" i="17" s="1"/>
  <c r="I13" i="17"/>
  <c r="AA42" i="17" l="1"/>
  <c r="Z40" i="17"/>
  <c r="AA40" i="17"/>
  <c r="Z43" i="17"/>
  <c r="AA43" i="17"/>
  <c r="AA44" i="17"/>
  <c r="Z42" i="17"/>
  <c r="AB44" i="17"/>
  <c r="Y15" i="17"/>
  <c r="X24" i="17"/>
  <c r="X15" i="17"/>
  <c r="Y33" i="17"/>
  <c r="Y24" i="17"/>
  <c r="Y41" i="17"/>
  <c r="X13" i="17"/>
  <c r="X17" i="17"/>
  <c r="Y32" i="17"/>
  <c r="X32" i="17"/>
  <c r="Y5" i="17"/>
  <c r="X16" i="17"/>
  <c r="Y13" i="17"/>
  <c r="Y7" i="17"/>
  <c r="AS43" i="17"/>
  <c r="AT43" i="17"/>
  <c r="Y17" i="17"/>
  <c r="X6" i="17"/>
  <c r="Y34" i="17"/>
  <c r="X34" i="17"/>
  <c r="X8" i="17"/>
  <c r="Y25" i="17"/>
  <c r="X25" i="17"/>
  <c r="Y8" i="17"/>
  <c r="AS41" i="17"/>
  <c r="AT41" i="17"/>
  <c r="X31" i="17"/>
  <c r="Y31" i="17"/>
  <c r="Y6" i="17"/>
  <c r="Y23" i="17"/>
  <c r="X23" i="17"/>
  <c r="Y35" i="17"/>
  <c r="X35" i="17"/>
  <c r="AS42" i="17"/>
  <c r="AT42" i="17"/>
  <c r="Y14" i="17"/>
  <c r="X14" i="17"/>
  <c r="X22" i="17"/>
  <c r="Y22" i="17"/>
  <c r="X4" i="17"/>
  <c r="AT44" i="17"/>
  <c r="AS44" i="17"/>
  <c r="Y26" i="17"/>
  <c r="X26" i="17"/>
  <c r="Y4" i="17"/>
  <c r="Y16" i="17"/>
  <c r="X5" i="17"/>
  <c r="X7" i="17"/>
  <c r="B14" i="18"/>
  <c r="B30" i="18" s="1"/>
  <c r="BF40" i="17"/>
  <c r="BF42" i="17"/>
  <c r="P41" i="17"/>
  <c r="BF41" i="17"/>
  <c r="BF43" i="17"/>
  <c r="P40" i="17"/>
  <c r="AY43" i="17"/>
  <c r="AY40" i="17"/>
  <c r="BM40" i="17"/>
  <c r="BM42" i="17"/>
  <c r="BM44" i="17"/>
  <c r="AY41" i="17"/>
  <c r="BM41" i="17"/>
  <c r="AY42" i="17"/>
  <c r="BM43" i="17"/>
  <c r="P43" i="17"/>
  <c r="P44" i="17"/>
  <c r="AY44" i="17"/>
  <c r="P42" i="17"/>
  <c r="B23" i="18"/>
  <c r="B15" i="18"/>
  <c r="B31" i="18" s="1"/>
  <c r="BF44" i="17"/>
  <c r="B13" i="18"/>
  <c r="B29" i="18" s="1"/>
  <c r="B21" i="18"/>
  <c r="B20" i="18"/>
  <c r="X41" i="17" l="1"/>
  <c r="Y44" i="17"/>
  <c r="X44" i="17"/>
  <c r="Y42" i="17"/>
  <c r="X42" i="17"/>
  <c r="X40" i="17"/>
  <c r="Y40" i="17"/>
  <c r="Y43" i="17"/>
  <c r="X43" i="17"/>
  <c r="Y46" i="17" l="1"/>
  <c r="AA46" i="17" s="1"/>
  <c r="X45" i="17"/>
  <c r="AA45" i="17" s="1"/>
  <c r="Y37" i="17" l="1"/>
  <c r="Y28" i="17"/>
  <c r="Y10" i="17"/>
  <c r="X36" i="17"/>
  <c r="X9" i="17"/>
  <c r="L4" i="18" s="1"/>
  <c r="M4" i="18" s="1"/>
  <c r="AB1" i="13" l="1"/>
  <c r="S1" i="13"/>
  <c r="J1" i="13"/>
  <c r="A1" i="13"/>
  <c r="X21" i="14"/>
  <c r="Y21" i="14"/>
  <c r="Z21" i="14"/>
  <c r="AC21" i="14"/>
  <c r="AB1" i="14"/>
  <c r="S1" i="14"/>
  <c r="J1" i="14"/>
  <c r="A1" i="14"/>
  <c r="AB1" i="15"/>
  <c r="S1" i="15"/>
  <c r="J1" i="15"/>
  <c r="A1" i="15"/>
  <c r="AB1" i="16"/>
  <c r="S1" i="16"/>
  <c r="J1" i="16"/>
  <c r="A1" i="16"/>
  <c r="AI78" i="16"/>
  <c r="AH78" i="16"/>
  <c r="AG78" i="16"/>
  <c r="AC78" i="16"/>
  <c r="Z78" i="16"/>
  <c r="Y78" i="16"/>
  <c r="X78" i="16"/>
  <c r="T78" i="16"/>
  <c r="Q78" i="16"/>
  <c r="P78" i="16"/>
  <c r="O78" i="16"/>
  <c r="K78" i="16"/>
  <c r="H78" i="16"/>
  <c r="G78" i="16"/>
  <c r="F78" i="16"/>
  <c r="B78" i="16"/>
  <c r="AI59" i="16"/>
  <c r="AH59" i="16"/>
  <c r="AG59" i="16"/>
  <c r="AC59" i="16"/>
  <c r="Z59" i="16"/>
  <c r="Y59" i="16"/>
  <c r="X59" i="16"/>
  <c r="T59" i="16"/>
  <c r="Q59" i="16"/>
  <c r="P59" i="16"/>
  <c r="O59" i="16"/>
  <c r="K59" i="16"/>
  <c r="H59" i="16"/>
  <c r="G59" i="16"/>
  <c r="F59" i="16"/>
  <c r="B59" i="16"/>
  <c r="AI40" i="16"/>
  <c r="AH40" i="16"/>
  <c r="AG40" i="16"/>
  <c r="AC40" i="16"/>
  <c r="Z40" i="16"/>
  <c r="Y40" i="16"/>
  <c r="X40" i="16"/>
  <c r="T40" i="16"/>
  <c r="Q40" i="16"/>
  <c r="P40" i="16"/>
  <c r="O40" i="16"/>
  <c r="K40" i="16"/>
  <c r="H40" i="16"/>
  <c r="G40" i="16"/>
  <c r="F40" i="16"/>
  <c r="B40" i="16"/>
  <c r="AI21" i="16"/>
  <c r="AH21" i="16"/>
  <c r="AG21" i="16"/>
  <c r="AC21" i="16"/>
  <c r="Z21" i="16"/>
  <c r="AP22" i="17" s="1"/>
  <c r="Y21" i="16"/>
  <c r="X21" i="16"/>
  <c r="T21" i="16"/>
  <c r="AN22" i="17" s="1"/>
  <c r="Q21" i="16"/>
  <c r="AP13" i="17" s="1"/>
  <c r="P21" i="16"/>
  <c r="O21" i="16"/>
  <c r="K21" i="16"/>
  <c r="H21" i="16"/>
  <c r="AP4" i="17" s="1"/>
  <c r="G21" i="16"/>
  <c r="F21" i="16"/>
  <c r="B21" i="16"/>
  <c r="AB2" i="16"/>
  <c r="AK29" i="17" s="1"/>
  <c r="S2" i="16"/>
  <c r="AK20" i="17" s="1"/>
  <c r="J2" i="16"/>
  <c r="AK11" i="17" s="1"/>
  <c r="A2" i="16"/>
  <c r="AK2" i="17" s="1"/>
  <c r="AI78" i="15"/>
  <c r="AH78" i="15"/>
  <c r="AG78" i="15"/>
  <c r="AC78" i="15"/>
  <c r="Z78" i="15"/>
  <c r="Y78" i="15"/>
  <c r="X78" i="15"/>
  <c r="T78" i="15"/>
  <c r="Q78" i="15"/>
  <c r="P78" i="15"/>
  <c r="O78" i="15"/>
  <c r="K78" i="15"/>
  <c r="H78" i="15"/>
  <c r="G78" i="15"/>
  <c r="F78" i="15"/>
  <c r="B78" i="15"/>
  <c r="AI59" i="15"/>
  <c r="AH59" i="15"/>
  <c r="AG59" i="15"/>
  <c r="AC59" i="15"/>
  <c r="Z59" i="15"/>
  <c r="Y59" i="15"/>
  <c r="X59" i="15"/>
  <c r="T59" i="15"/>
  <c r="Q59" i="15"/>
  <c r="P59" i="15"/>
  <c r="O59" i="15"/>
  <c r="K59" i="15"/>
  <c r="H59" i="15"/>
  <c r="G59" i="15"/>
  <c r="F59" i="15"/>
  <c r="B59" i="15"/>
  <c r="AI40" i="15"/>
  <c r="AH40" i="15"/>
  <c r="AG40" i="15"/>
  <c r="AC40" i="15"/>
  <c r="Z40" i="15"/>
  <c r="Y40" i="15"/>
  <c r="X40" i="15"/>
  <c r="T40" i="15"/>
  <c r="Q40" i="15"/>
  <c r="P40" i="15"/>
  <c r="O40" i="15"/>
  <c r="K40" i="15"/>
  <c r="H40" i="15"/>
  <c r="G40" i="15"/>
  <c r="F40" i="15"/>
  <c r="B40" i="15"/>
  <c r="AI21" i="15"/>
  <c r="AW31" i="17" s="1"/>
  <c r="AH21" i="15"/>
  <c r="AG21" i="15"/>
  <c r="AC21" i="15"/>
  <c r="AU31" i="17" s="1"/>
  <c r="Z21" i="15"/>
  <c r="AW22" i="17" s="1"/>
  <c r="Y21" i="15"/>
  <c r="X21" i="15"/>
  <c r="T21" i="15"/>
  <c r="AU22" i="17" s="1"/>
  <c r="Q21" i="15"/>
  <c r="P21" i="15"/>
  <c r="O21" i="15"/>
  <c r="K21" i="15"/>
  <c r="H21" i="15"/>
  <c r="AW4" i="17" s="1"/>
  <c r="G21" i="15"/>
  <c r="F21" i="15"/>
  <c r="B21" i="15"/>
  <c r="AB2" i="15"/>
  <c r="AR29" i="17" s="1"/>
  <c r="S2" i="15"/>
  <c r="AR20" i="17" s="1"/>
  <c r="J2" i="15"/>
  <c r="AR11" i="17" s="1"/>
  <c r="A2" i="15"/>
  <c r="AR2" i="17" s="1"/>
  <c r="AI78" i="14"/>
  <c r="AH78" i="14"/>
  <c r="AG78" i="14"/>
  <c r="AC78" i="14"/>
  <c r="Z78" i="14"/>
  <c r="Y78" i="14"/>
  <c r="X78" i="14"/>
  <c r="T78" i="14"/>
  <c r="Q78" i="14"/>
  <c r="P78" i="14"/>
  <c r="O78" i="14"/>
  <c r="K78" i="14"/>
  <c r="H78" i="14"/>
  <c r="G78" i="14"/>
  <c r="F78" i="14"/>
  <c r="B78" i="14"/>
  <c r="AI59" i="14"/>
  <c r="AH59" i="14"/>
  <c r="AG59" i="14"/>
  <c r="AC59" i="14"/>
  <c r="Z59" i="14"/>
  <c r="Y59" i="14"/>
  <c r="X59" i="14"/>
  <c r="T59" i="14"/>
  <c r="Q59" i="14"/>
  <c r="P59" i="14"/>
  <c r="O59" i="14"/>
  <c r="K59" i="14"/>
  <c r="H59" i="14"/>
  <c r="G59" i="14"/>
  <c r="F59" i="14"/>
  <c r="B59" i="14"/>
  <c r="AI40" i="14"/>
  <c r="AH40" i="14"/>
  <c r="AG40" i="14"/>
  <c r="AC40" i="14"/>
  <c r="Z40" i="14"/>
  <c r="Y40" i="14"/>
  <c r="X40" i="14"/>
  <c r="T40" i="14"/>
  <c r="Q40" i="14"/>
  <c r="P40" i="14"/>
  <c r="O40" i="14"/>
  <c r="K40" i="14"/>
  <c r="H40" i="14"/>
  <c r="G40" i="14"/>
  <c r="F40" i="14"/>
  <c r="B40" i="14"/>
  <c r="AI21" i="14"/>
  <c r="BD31" i="17" s="1"/>
  <c r="AH21" i="14"/>
  <c r="AG21" i="14"/>
  <c r="T21" i="14"/>
  <c r="Q21" i="14"/>
  <c r="P21" i="14"/>
  <c r="O21" i="14"/>
  <c r="K21" i="14"/>
  <c r="H21" i="14"/>
  <c r="G21" i="14"/>
  <c r="F21" i="14"/>
  <c r="B21" i="14"/>
  <c r="AB2" i="14"/>
  <c r="AY29" i="17" s="1"/>
  <c r="S2" i="14"/>
  <c r="AY20" i="17" s="1"/>
  <c r="J2" i="14"/>
  <c r="AY11" i="17" s="1"/>
  <c r="A2" i="14"/>
  <c r="AY2" i="17" s="1"/>
  <c r="AI154" i="13"/>
  <c r="AH154" i="13"/>
  <c r="AG154" i="13"/>
  <c r="AC154" i="13"/>
  <c r="Z154" i="13"/>
  <c r="Y154" i="13"/>
  <c r="X154" i="13"/>
  <c r="T154" i="13"/>
  <c r="Q154" i="13"/>
  <c r="P154" i="13"/>
  <c r="O154" i="13"/>
  <c r="K154" i="13"/>
  <c r="H154" i="13"/>
  <c r="G154" i="13"/>
  <c r="F154" i="13"/>
  <c r="B154" i="13"/>
  <c r="AI135" i="13"/>
  <c r="AH135" i="13"/>
  <c r="AG135" i="13"/>
  <c r="AC135" i="13"/>
  <c r="Z135" i="13"/>
  <c r="Y135" i="13"/>
  <c r="X135" i="13"/>
  <c r="T135" i="13"/>
  <c r="Q135" i="13"/>
  <c r="P135" i="13"/>
  <c r="O135" i="13"/>
  <c r="K135" i="13"/>
  <c r="H135" i="13"/>
  <c r="G135" i="13"/>
  <c r="F135" i="13"/>
  <c r="B135" i="13"/>
  <c r="AI116" i="13"/>
  <c r="AH116" i="13"/>
  <c r="AG116" i="13"/>
  <c r="AC116" i="13"/>
  <c r="Z116" i="13"/>
  <c r="Y116" i="13"/>
  <c r="X116" i="13"/>
  <c r="T116" i="13"/>
  <c r="Q116" i="13"/>
  <c r="P116" i="13"/>
  <c r="O116" i="13"/>
  <c r="K116" i="13"/>
  <c r="H116" i="13"/>
  <c r="G116" i="13"/>
  <c r="F116" i="13"/>
  <c r="B116" i="13"/>
  <c r="AI97" i="13"/>
  <c r="BK35" i="17" s="1"/>
  <c r="AH97" i="13"/>
  <c r="AG97" i="13"/>
  <c r="AC97" i="13"/>
  <c r="Z97" i="13"/>
  <c r="Y97" i="13"/>
  <c r="X97" i="13"/>
  <c r="BJ26" i="17" s="1"/>
  <c r="T97" i="13"/>
  <c r="Q97" i="13"/>
  <c r="P97" i="13"/>
  <c r="O97" i="13"/>
  <c r="K97" i="13"/>
  <c r="H97" i="13"/>
  <c r="BK8" i="17" s="1"/>
  <c r="G97" i="13"/>
  <c r="F97" i="13"/>
  <c r="B97" i="13"/>
  <c r="AI78" i="13"/>
  <c r="BK34" i="17" s="1"/>
  <c r="AH78" i="13"/>
  <c r="AG78" i="13"/>
  <c r="BJ34" i="17" s="1"/>
  <c r="AC78" i="13"/>
  <c r="Z78" i="13"/>
  <c r="Y78" i="13"/>
  <c r="X78" i="13"/>
  <c r="BJ25" i="17" s="1"/>
  <c r="T78" i="13"/>
  <c r="Q78" i="13"/>
  <c r="P78" i="13"/>
  <c r="O78" i="13"/>
  <c r="K78" i="13"/>
  <c r="H78" i="13"/>
  <c r="BK7" i="17" s="1"/>
  <c r="G78" i="13"/>
  <c r="F78" i="13"/>
  <c r="B78" i="13"/>
  <c r="AI59" i="13"/>
  <c r="BK33" i="17" s="1"/>
  <c r="AH59" i="13"/>
  <c r="AG59" i="13"/>
  <c r="BJ33" i="17" s="1"/>
  <c r="AC59" i="13"/>
  <c r="Z59" i="13"/>
  <c r="Y59" i="13"/>
  <c r="X59" i="13"/>
  <c r="T59" i="13"/>
  <c r="Q59" i="13"/>
  <c r="BK15" i="17" s="1"/>
  <c r="P59" i="13"/>
  <c r="O59" i="13"/>
  <c r="K59" i="13"/>
  <c r="H59" i="13"/>
  <c r="G59" i="13"/>
  <c r="F59" i="13"/>
  <c r="B59" i="13"/>
  <c r="AI40" i="13"/>
  <c r="BK32" i="17" s="1"/>
  <c r="AH40" i="13"/>
  <c r="AG40" i="13"/>
  <c r="BJ32" i="17" s="1"/>
  <c r="AC40" i="13"/>
  <c r="Z40" i="13"/>
  <c r="BK23" i="17" s="1"/>
  <c r="Y40" i="13"/>
  <c r="X40" i="13"/>
  <c r="T40" i="13"/>
  <c r="Q40" i="13"/>
  <c r="P40" i="13"/>
  <c r="O40" i="13"/>
  <c r="K40" i="13"/>
  <c r="H40" i="13"/>
  <c r="G40" i="13"/>
  <c r="F40" i="13"/>
  <c r="B40" i="13"/>
  <c r="AI21" i="13"/>
  <c r="BK31" i="17" s="1"/>
  <c r="AH21" i="13"/>
  <c r="AG21" i="13"/>
  <c r="AC21" i="13"/>
  <c r="Z21" i="13"/>
  <c r="Y21" i="13"/>
  <c r="X21" i="13"/>
  <c r="T21" i="13"/>
  <c r="Q21" i="13"/>
  <c r="BK13" i="17" s="1"/>
  <c r="P21" i="13"/>
  <c r="O21" i="13"/>
  <c r="BJ13" i="17" s="1"/>
  <c r="K21" i="13"/>
  <c r="H21" i="13"/>
  <c r="G21" i="13"/>
  <c r="F21" i="13"/>
  <c r="B21" i="13"/>
  <c r="AB2" i="13"/>
  <c r="BT53" i="17" s="1"/>
  <c r="S2" i="13"/>
  <c r="J2" i="13"/>
  <c r="A2" i="13"/>
  <c r="AB1" i="12"/>
  <c r="S1" i="12"/>
  <c r="J1" i="12"/>
  <c r="A1" i="12"/>
  <c r="AI154" i="12"/>
  <c r="AH154" i="12"/>
  <c r="AG154" i="12"/>
  <c r="AC154" i="12"/>
  <c r="Z154" i="12"/>
  <c r="Y154" i="12"/>
  <c r="X154" i="12"/>
  <c r="T154" i="12"/>
  <c r="Q154" i="12"/>
  <c r="P154" i="12"/>
  <c r="O154" i="12"/>
  <c r="K154" i="12"/>
  <c r="H154" i="12"/>
  <c r="G154" i="12"/>
  <c r="F154" i="12"/>
  <c r="B154" i="12"/>
  <c r="AI135" i="12"/>
  <c r="AH135" i="12"/>
  <c r="AG135" i="12"/>
  <c r="AC135" i="12"/>
  <c r="Z135" i="12"/>
  <c r="Y135" i="12"/>
  <c r="X135" i="12"/>
  <c r="T135" i="12"/>
  <c r="Q135" i="12"/>
  <c r="P135" i="12"/>
  <c r="O135" i="12"/>
  <c r="K135" i="12"/>
  <c r="H135" i="12"/>
  <c r="G135" i="12"/>
  <c r="F135" i="12"/>
  <c r="B135" i="12"/>
  <c r="AI116" i="12"/>
  <c r="AH116" i="12"/>
  <c r="AG116" i="12"/>
  <c r="AC116" i="12"/>
  <c r="Z116" i="12"/>
  <c r="Y116" i="12"/>
  <c r="X116" i="12"/>
  <c r="T116" i="12"/>
  <c r="Q116" i="12"/>
  <c r="P116" i="12"/>
  <c r="O116" i="12"/>
  <c r="K116" i="12"/>
  <c r="H116" i="12"/>
  <c r="G116" i="12"/>
  <c r="F116" i="12"/>
  <c r="B116" i="12"/>
  <c r="AI97" i="12"/>
  <c r="AH97" i="12"/>
  <c r="AG97" i="12"/>
  <c r="AC97" i="12"/>
  <c r="Z97" i="12"/>
  <c r="Y97" i="12"/>
  <c r="X97" i="12"/>
  <c r="T97" i="12"/>
  <c r="Q97" i="12"/>
  <c r="P97" i="12"/>
  <c r="O97" i="12"/>
  <c r="K97" i="12"/>
  <c r="H97" i="12"/>
  <c r="G97" i="12"/>
  <c r="F97" i="12"/>
  <c r="B97" i="12"/>
  <c r="S8" i="17" s="1"/>
  <c r="AI78" i="12"/>
  <c r="AH78" i="12"/>
  <c r="AG78" i="12"/>
  <c r="AC78" i="12"/>
  <c r="Z78" i="12"/>
  <c r="Y78" i="12"/>
  <c r="X78" i="12"/>
  <c r="T78" i="12"/>
  <c r="Q78" i="12"/>
  <c r="P78" i="12"/>
  <c r="O78" i="12"/>
  <c r="K78" i="12"/>
  <c r="H78" i="12"/>
  <c r="G78" i="12"/>
  <c r="F78" i="12"/>
  <c r="B78" i="12"/>
  <c r="AI59" i="12"/>
  <c r="AH59" i="12"/>
  <c r="AG59" i="12"/>
  <c r="AC59" i="12"/>
  <c r="Z59" i="12"/>
  <c r="Y59" i="12"/>
  <c r="X59" i="12"/>
  <c r="T59" i="12"/>
  <c r="Q59" i="12"/>
  <c r="P59" i="12"/>
  <c r="O59" i="12"/>
  <c r="K59" i="12"/>
  <c r="H59" i="12"/>
  <c r="G59" i="12"/>
  <c r="F59" i="12"/>
  <c r="B59" i="12"/>
  <c r="AI40" i="12"/>
  <c r="AH40" i="12"/>
  <c r="AG40" i="12"/>
  <c r="AC40" i="12"/>
  <c r="Z40" i="12"/>
  <c r="Y40" i="12"/>
  <c r="X40" i="12"/>
  <c r="T40" i="12"/>
  <c r="Q40" i="12"/>
  <c r="P40" i="12"/>
  <c r="O40" i="12"/>
  <c r="K40" i="12"/>
  <c r="H40" i="12"/>
  <c r="G40" i="12"/>
  <c r="F40" i="12"/>
  <c r="B40" i="12"/>
  <c r="AI21" i="12"/>
  <c r="AH21" i="12"/>
  <c r="AG21" i="12"/>
  <c r="AC21" i="12"/>
  <c r="Z21" i="12"/>
  <c r="Y21" i="12"/>
  <c r="X21" i="12"/>
  <c r="T21" i="12"/>
  <c r="Q21" i="12"/>
  <c r="P21" i="12"/>
  <c r="O21" i="12"/>
  <c r="K21" i="12"/>
  <c r="H21" i="12"/>
  <c r="G21" i="12"/>
  <c r="F21" i="12"/>
  <c r="B21" i="12"/>
  <c r="AB2" i="12"/>
  <c r="S2" i="12"/>
  <c r="J2" i="12"/>
  <c r="W11" i="17" s="1"/>
  <c r="A2" i="12"/>
  <c r="P2" i="17" s="1"/>
  <c r="AO22" i="17" l="1"/>
  <c r="AV31" i="17"/>
  <c r="AS31" i="17" s="1"/>
  <c r="BK14" i="17"/>
  <c r="AO4" i="17"/>
  <c r="BK17" i="17"/>
  <c r="AW13" i="17"/>
  <c r="AW40" i="17" s="1"/>
  <c r="BJ24" i="17"/>
  <c r="AO31" i="17"/>
  <c r="BK16" i="17"/>
  <c r="BK43" i="17" s="1"/>
  <c r="BK25" i="17"/>
  <c r="AP31" i="17"/>
  <c r="AP40" i="17" s="1"/>
  <c r="AV13" i="17"/>
  <c r="AV4" i="17"/>
  <c r="S4" i="17"/>
  <c r="BJ8" i="17"/>
  <c r="BB31" i="17"/>
  <c r="BA31" i="17" s="1"/>
  <c r="BJ22" i="17"/>
  <c r="BI22" i="17"/>
  <c r="BK6" i="17"/>
  <c r="BK4" i="17"/>
  <c r="BJ14" i="17"/>
  <c r="BJ15" i="17"/>
  <c r="BJ31" i="17"/>
  <c r="BJ16" i="17"/>
  <c r="AU4" i="17"/>
  <c r="BJ17" i="17"/>
  <c r="AT22" i="17"/>
  <c r="BF11" i="17"/>
  <c r="BT19" i="17"/>
  <c r="BF20" i="17"/>
  <c r="BT36" i="17"/>
  <c r="BF2" i="17"/>
  <c r="BT2" i="17"/>
  <c r="BF29" i="17"/>
  <c r="AT31" i="17"/>
  <c r="AM22" i="17"/>
  <c r="AL22" i="17"/>
  <c r="BJ35" i="17"/>
  <c r="BK26" i="17"/>
  <c r="AO13" i="17"/>
  <c r="BK24" i="17"/>
  <c r="BC31" i="17"/>
  <c r="AV22" i="17"/>
  <c r="BK22" i="17"/>
  <c r="BC13" i="17"/>
  <c r="BI35" i="17"/>
  <c r="BI33" i="17"/>
  <c r="BI34" i="17"/>
  <c r="BI32" i="17"/>
  <c r="BI31" i="17"/>
  <c r="BI26" i="17"/>
  <c r="BI25" i="17"/>
  <c r="BI24" i="17"/>
  <c r="BI23" i="17"/>
  <c r="BJ23" i="17"/>
  <c r="BI17" i="17"/>
  <c r="BI15" i="17"/>
  <c r="BI16" i="17"/>
  <c r="BI14" i="17"/>
  <c r="BI13" i="17"/>
  <c r="BI8" i="17"/>
  <c r="BI7" i="17"/>
  <c r="BJ7" i="17"/>
  <c r="BJ6" i="17"/>
  <c r="BI6" i="17"/>
  <c r="BI5" i="17"/>
  <c r="BJ5" i="17"/>
  <c r="BK5" i="17"/>
  <c r="BK41" i="17" s="1"/>
  <c r="BJ4" i="17"/>
  <c r="BI4" i="17"/>
  <c r="BC22" i="17"/>
  <c r="BD22" i="17"/>
  <c r="BB22" i="17"/>
  <c r="BD13" i="17"/>
  <c r="BB13" i="17"/>
  <c r="BC4" i="17"/>
  <c r="BB4" i="17"/>
  <c r="BD4" i="17"/>
  <c r="AU13" i="17"/>
  <c r="AN31" i="17"/>
  <c r="AN13" i="17"/>
  <c r="AN4" i="17"/>
  <c r="P20" i="17"/>
  <c r="W20" i="17"/>
  <c r="P29" i="17"/>
  <c r="W29" i="17"/>
  <c r="T35" i="17"/>
  <c r="U35" i="17"/>
  <c r="S35" i="17"/>
  <c r="T34" i="17"/>
  <c r="U34" i="17"/>
  <c r="S34" i="17"/>
  <c r="T33" i="17"/>
  <c r="U33" i="17"/>
  <c r="S33" i="17"/>
  <c r="T32" i="17"/>
  <c r="U32" i="17"/>
  <c r="S32" i="17"/>
  <c r="U31" i="17"/>
  <c r="T31" i="17"/>
  <c r="S31" i="17"/>
  <c r="U26" i="17"/>
  <c r="T26" i="17"/>
  <c r="S26" i="17"/>
  <c r="T25" i="17"/>
  <c r="U25" i="17"/>
  <c r="S25" i="17"/>
  <c r="T24" i="17"/>
  <c r="U24" i="17"/>
  <c r="S24" i="17"/>
  <c r="T23" i="17"/>
  <c r="U23" i="17"/>
  <c r="S23" i="17"/>
  <c r="T22" i="17"/>
  <c r="U22" i="17"/>
  <c r="S22" i="17"/>
  <c r="T17" i="17"/>
  <c r="U17" i="17"/>
  <c r="S17" i="17"/>
  <c r="S44" i="17" s="1"/>
  <c r="T16" i="17"/>
  <c r="U16" i="17"/>
  <c r="S16" i="17"/>
  <c r="T15" i="17"/>
  <c r="U15" i="17"/>
  <c r="S15" i="17"/>
  <c r="U14" i="17"/>
  <c r="T14" i="17"/>
  <c r="S14" i="17"/>
  <c r="U13" i="17"/>
  <c r="T13" i="17"/>
  <c r="S13" i="17"/>
  <c r="T8" i="17"/>
  <c r="U8" i="17"/>
  <c r="U7" i="17"/>
  <c r="T7" i="17"/>
  <c r="S7" i="17"/>
  <c r="T6" i="17"/>
  <c r="U6" i="17"/>
  <c r="S6" i="17"/>
  <c r="T5" i="17"/>
  <c r="U5" i="17"/>
  <c r="S5" i="17"/>
  <c r="T4" i="17"/>
  <c r="U4" i="17"/>
  <c r="P11" i="17"/>
  <c r="AI135" i="9"/>
  <c r="AI116" i="9"/>
  <c r="Z135" i="9"/>
  <c r="Z116" i="9"/>
  <c r="Z97" i="9"/>
  <c r="Z78" i="9"/>
  <c r="Z40" i="9"/>
  <c r="Q154" i="9"/>
  <c r="Q116" i="9"/>
  <c r="Q59" i="9"/>
  <c r="Q40" i="9"/>
  <c r="Q21" i="9"/>
  <c r="H135" i="9"/>
  <c r="H116" i="9"/>
  <c r="H59" i="9"/>
  <c r="H40" i="9"/>
  <c r="AI154" i="8"/>
  <c r="AI59" i="8"/>
  <c r="AI40" i="8"/>
  <c r="AI21" i="8"/>
  <c r="Z154" i="8"/>
  <c r="Z135" i="8"/>
  <c r="Z116" i="8"/>
  <c r="Z97" i="8"/>
  <c r="Z59" i="8"/>
  <c r="Z40" i="8"/>
  <c r="Q154" i="8"/>
  <c r="Q135" i="8"/>
  <c r="Q116" i="8"/>
  <c r="Q97" i="8"/>
  <c r="Q78" i="8"/>
  <c r="Q59" i="8"/>
  <c r="Q40" i="8"/>
  <c r="H116" i="8"/>
  <c r="H78" i="8"/>
  <c r="H40" i="8"/>
  <c r="AI97" i="1"/>
  <c r="AI59" i="1"/>
  <c r="AI40" i="1"/>
  <c r="Z154" i="1"/>
  <c r="Z135" i="1"/>
  <c r="Z116" i="1"/>
  <c r="Z78" i="1"/>
  <c r="Z59" i="1"/>
  <c r="Q154" i="1"/>
  <c r="Q135" i="1"/>
  <c r="Q116" i="1"/>
  <c r="H154" i="1"/>
  <c r="H135" i="1"/>
  <c r="AH154" i="9"/>
  <c r="AC154" i="9"/>
  <c r="Z154" i="9"/>
  <c r="Y154" i="9"/>
  <c r="T154" i="9"/>
  <c r="P154" i="9"/>
  <c r="K154" i="9"/>
  <c r="H154" i="9"/>
  <c r="G154" i="9"/>
  <c r="B154" i="9"/>
  <c r="AG154" i="9"/>
  <c r="X154" i="9"/>
  <c r="O154" i="9"/>
  <c r="F154" i="9"/>
  <c r="AH135" i="9"/>
  <c r="AC135" i="9"/>
  <c r="Y135" i="9"/>
  <c r="X135" i="9"/>
  <c r="T135" i="9"/>
  <c r="Q135" i="9"/>
  <c r="P135" i="9"/>
  <c r="K135" i="9"/>
  <c r="G135" i="9"/>
  <c r="B135" i="9"/>
  <c r="AG135" i="9"/>
  <c r="O135" i="9"/>
  <c r="F135" i="9"/>
  <c r="AH116" i="9"/>
  <c r="AC116" i="9"/>
  <c r="Y116" i="9"/>
  <c r="T116" i="9"/>
  <c r="P116" i="9"/>
  <c r="K116" i="9"/>
  <c r="G116" i="9"/>
  <c r="B116" i="9"/>
  <c r="AG116" i="9"/>
  <c r="X116" i="9"/>
  <c r="O116" i="9"/>
  <c r="F116" i="9"/>
  <c r="AI97" i="9"/>
  <c r="AH97" i="9"/>
  <c r="AC97" i="9"/>
  <c r="Y97" i="9"/>
  <c r="T97" i="9"/>
  <c r="P97" i="9"/>
  <c r="K97" i="9"/>
  <c r="H97" i="9"/>
  <c r="G97" i="9"/>
  <c r="B97" i="9"/>
  <c r="AG97" i="9"/>
  <c r="X97" i="9"/>
  <c r="O97" i="9"/>
  <c r="F97" i="9"/>
  <c r="AI78" i="9"/>
  <c r="AH78" i="9"/>
  <c r="AC78" i="9"/>
  <c r="Y78" i="9"/>
  <c r="T78" i="9"/>
  <c r="P78" i="9"/>
  <c r="K78" i="9"/>
  <c r="H78" i="9"/>
  <c r="G78" i="9"/>
  <c r="B78" i="9"/>
  <c r="AG78" i="9"/>
  <c r="X78" i="9"/>
  <c r="O78" i="9"/>
  <c r="F78" i="9"/>
  <c r="AI59" i="9"/>
  <c r="AH59" i="9"/>
  <c r="AC59" i="9"/>
  <c r="Z59" i="9"/>
  <c r="Y59" i="9"/>
  <c r="T59" i="9"/>
  <c r="P59" i="9"/>
  <c r="K59" i="9"/>
  <c r="G59" i="9"/>
  <c r="B59" i="9"/>
  <c r="AG59" i="9"/>
  <c r="X59" i="9"/>
  <c r="O59" i="9"/>
  <c r="F59" i="9"/>
  <c r="AH40" i="9"/>
  <c r="AC40" i="9"/>
  <c r="Y40" i="9"/>
  <c r="T40" i="9"/>
  <c r="P40" i="9"/>
  <c r="K40" i="9"/>
  <c r="G40" i="9"/>
  <c r="B40" i="9"/>
  <c r="AG40" i="9"/>
  <c r="X40" i="9"/>
  <c r="O40" i="9"/>
  <c r="F40" i="9"/>
  <c r="AH21" i="9"/>
  <c r="AC21" i="9"/>
  <c r="Z21" i="9"/>
  <c r="Y21" i="9"/>
  <c r="T21" i="9"/>
  <c r="P21" i="9"/>
  <c r="K21" i="9"/>
  <c r="H21" i="9"/>
  <c r="G21" i="9"/>
  <c r="B21" i="9"/>
  <c r="AG21" i="9"/>
  <c r="X21" i="9"/>
  <c r="O21" i="9"/>
  <c r="F21" i="9"/>
  <c r="AH154" i="8"/>
  <c r="AC154" i="8"/>
  <c r="Y154" i="8"/>
  <c r="T154" i="8"/>
  <c r="P154" i="8"/>
  <c r="K154" i="8"/>
  <c r="H154" i="8"/>
  <c r="G154" i="8"/>
  <c r="B154" i="8"/>
  <c r="AG154" i="8"/>
  <c r="X154" i="8"/>
  <c r="O154" i="8"/>
  <c r="F154" i="8"/>
  <c r="AI135" i="8"/>
  <c r="AH135" i="8"/>
  <c r="AC135" i="8"/>
  <c r="Y135" i="8"/>
  <c r="T135" i="8"/>
  <c r="P135" i="8"/>
  <c r="K135" i="8"/>
  <c r="H135" i="8"/>
  <c r="G135" i="8"/>
  <c r="B135" i="8"/>
  <c r="AG135" i="8"/>
  <c r="X135" i="8"/>
  <c r="O135" i="8"/>
  <c r="F135" i="8"/>
  <c r="AI116" i="8"/>
  <c r="AH116" i="8"/>
  <c r="AC116" i="8"/>
  <c r="Y116" i="8"/>
  <c r="T116" i="8"/>
  <c r="P116" i="8"/>
  <c r="K116" i="8"/>
  <c r="G116" i="8"/>
  <c r="B116" i="8"/>
  <c r="AG116" i="8"/>
  <c r="X116" i="8"/>
  <c r="O116" i="8"/>
  <c r="F116" i="8"/>
  <c r="AI97" i="8"/>
  <c r="AH97" i="8"/>
  <c r="AC97" i="8"/>
  <c r="Y97" i="8"/>
  <c r="T97" i="8"/>
  <c r="P97" i="8"/>
  <c r="K97" i="8"/>
  <c r="G97" i="8"/>
  <c r="B97" i="8"/>
  <c r="AG97" i="8"/>
  <c r="X97" i="8"/>
  <c r="O97" i="8"/>
  <c r="F97" i="8"/>
  <c r="AI78" i="8"/>
  <c r="AH78" i="8"/>
  <c r="AC78" i="8"/>
  <c r="Z78" i="8"/>
  <c r="Y78" i="8"/>
  <c r="T78" i="8"/>
  <c r="P78" i="8"/>
  <c r="K78" i="8"/>
  <c r="G78" i="8"/>
  <c r="B78" i="8"/>
  <c r="AG78" i="8"/>
  <c r="X78" i="8"/>
  <c r="O78" i="8"/>
  <c r="F78" i="8"/>
  <c r="AH59" i="8"/>
  <c r="AC59" i="8"/>
  <c r="Y59" i="8"/>
  <c r="T59" i="8"/>
  <c r="P59" i="8"/>
  <c r="K59" i="8"/>
  <c r="H59" i="8"/>
  <c r="G59" i="8"/>
  <c r="B59" i="8"/>
  <c r="AG59" i="8"/>
  <c r="X59" i="8"/>
  <c r="O59" i="8"/>
  <c r="F59" i="8"/>
  <c r="AH40" i="8"/>
  <c r="AC40" i="8"/>
  <c r="Y40" i="8"/>
  <c r="T40" i="8"/>
  <c r="P40" i="8"/>
  <c r="K40" i="8"/>
  <c r="G40" i="8"/>
  <c r="B40" i="8"/>
  <c r="AG40" i="8"/>
  <c r="X40" i="8"/>
  <c r="O40" i="8"/>
  <c r="F40" i="8"/>
  <c r="AH21" i="8"/>
  <c r="AC21" i="8"/>
  <c r="Z21" i="8"/>
  <c r="Y21" i="8"/>
  <c r="X21" i="8"/>
  <c r="T21" i="8"/>
  <c r="Q21" i="8"/>
  <c r="P21" i="8"/>
  <c r="K21" i="8"/>
  <c r="H21" i="8"/>
  <c r="G21" i="8"/>
  <c r="B21" i="8"/>
  <c r="AG21" i="8"/>
  <c r="O21" i="8"/>
  <c r="F21" i="8"/>
  <c r="AI154" i="1"/>
  <c r="AH154" i="1"/>
  <c r="AC154" i="1"/>
  <c r="Y154" i="1"/>
  <c r="T154" i="1"/>
  <c r="P154" i="1"/>
  <c r="K154" i="1"/>
  <c r="G154" i="1"/>
  <c r="B154" i="1"/>
  <c r="AG154" i="1"/>
  <c r="X154" i="1"/>
  <c r="O154" i="1"/>
  <c r="F154" i="1"/>
  <c r="AI135" i="1"/>
  <c r="AH135" i="1"/>
  <c r="AC135" i="1"/>
  <c r="Y135" i="1"/>
  <c r="X135" i="1"/>
  <c r="T135" i="1"/>
  <c r="P135" i="1"/>
  <c r="O135" i="1"/>
  <c r="K135" i="1"/>
  <c r="G135" i="1"/>
  <c r="B135" i="1"/>
  <c r="AG135" i="1"/>
  <c r="AI116" i="1"/>
  <c r="AH116" i="1"/>
  <c r="AC116" i="1"/>
  <c r="Y116" i="1"/>
  <c r="T116" i="1"/>
  <c r="P116" i="1"/>
  <c r="O116" i="1"/>
  <c r="K116" i="1"/>
  <c r="AG116" i="1"/>
  <c r="X116" i="1"/>
  <c r="AH97" i="1"/>
  <c r="AC97" i="1"/>
  <c r="Z97" i="1"/>
  <c r="Y97" i="1"/>
  <c r="X97" i="1"/>
  <c r="T97" i="1"/>
  <c r="Q97" i="1"/>
  <c r="P97" i="1"/>
  <c r="O97" i="1"/>
  <c r="K97" i="1"/>
  <c r="H97" i="1"/>
  <c r="G97" i="1"/>
  <c r="B97" i="1"/>
  <c r="AG97" i="1"/>
  <c r="F97" i="1"/>
  <c r="AI78" i="1"/>
  <c r="AH78" i="1"/>
  <c r="AC78" i="1"/>
  <c r="Y78" i="1"/>
  <c r="T78" i="1"/>
  <c r="Q78" i="1"/>
  <c r="P78" i="1"/>
  <c r="K78" i="1"/>
  <c r="G78" i="1"/>
  <c r="B78" i="1"/>
  <c r="AG78" i="1"/>
  <c r="X78" i="1"/>
  <c r="O78" i="1"/>
  <c r="F78" i="1"/>
  <c r="AH59" i="1"/>
  <c r="AC59" i="1"/>
  <c r="Y59" i="1"/>
  <c r="X59" i="1"/>
  <c r="T59" i="1"/>
  <c r="P59" i="1"/>
  <c r="K59" i="1"/>
  <c r="G59" i="1"/>
  <c r="B59" i="1"/>
  <c r="AG59" i="1"/>
  <c r="O59" i="1"/>
  <c r="F59" i="1"/>
  <c r="AH40" i="1"/>
  <c r="AC40" i="1"/>
  <c r="Z40" i="1"/>
  <c r="Y40" i="1"/>
  <c r="T40" i="1"/>
  <c r="P40" i="1"/>
  <c r="K40" i="1"/>
  <c r="G40" i="1"/>
  <c r="B40" i="1"/>
  <c r="AG40" i="1"/>
  <c r="X40" i="1"/>
  <c r="O40" i="1"/>
  <c r="F40" i="1"/>
  <c r="AI21" i="1"/>
  <c r="AH21" i="1"/>
  <c r="AC21" i="1"/>
  <c r="Z21" i="1"/>
  <c r="Y21" i="1"/>
  <c r="T21" i="1"/>
  <c r="P21" i="1"/>
  <c r="O21" i="1"/>
  <c r="K21" i="1"/>
  <c r="G21" i="1"/>
  <c r="B21" i="1"/>
  <c r="AG21" i="1"/>
  <c r="X21" i="1"/>
  <c r="F21" i="1"/>
  <c r="I2" i="17"/>
  <c r="AB1" i="9"/>
  <c r="S1" i="9"/>
  <c r="J1" i="9"/>
  <c r="A1" i="9"/>
  <c r="AB1" i="8"/>
  <c r="S1" i="8"/>
  <c r="J1" i="8"/>
  <c r="A1" i="8"/>
  <c r="J1" i="1"/>
  <c r="S1" i="1"/>
  <c r="AB1" i="1"/>
  <c r="A1" i="1"/>
  <c r="A2" i="9"/>
  <c r="BM2" i="17" s="1"/>
  <c r="S2" i="9"/>
  <c r="BM20" i="17" s="1"/>
  <c r="S2" i="8"/>
  <c r="AD20" i="17" s="1"/>
  <c r="S2" i="1"/>
  <c r="AB2" i="9"/>
  <c r="BM29" i="17" s="1"/>
  <c r="J2" i="9"/>
  <c r="BM11" i="17" s="1"/>
  <c r="AB2" i="8"/>
  <c r="AD29" i="17" s="1"/>
  <c r="J2" i="8"/>
  <c r="AD11" i="17" s="1"/>
  <c r="A2" i="8"/>
  <c r="AD2" i="17" s="1"/>
  <c r="AB2" i="1"/>
  <c r="J2" i="1"/>
  <c r="BJ40" i="17" l="1"/>
  <c r="BK44" i="17"/>
  <c r="BC40" i="17"/>
  <c r="S42" i="17"/>
  <c r="T41" i="17"/>
  <c r="U41" i="17"/>
  <c r="U42" i="17"/>
  <c r="BH16" i="17"/>
  <c r="S43" i="17"/>
  <c r="T43" i="17"/>
  <c r="U43" i="17"/>
  <c r="BI40" i="17"/>
  <c r="BJ41" i="17"/>
  <c r="BK42" i="17"/>
  <c r="U44" i="17"/>
  <c r="BK40" i="17"/>
  <c r="AO40" i="17"/>
  <c r="AN40" i="17"/>
  <c r="BI41" i="17"/>
  <c r="AT4" i="17"/>
  <c r="AU40" i="17"/>
  <c r="T44" i="17"/>
  <c r="BI42" i="17"/>
  <c r="U40" i="17"/>
  <c r="BJ42" i="17"/>
  <c r="T42" i="17"/>
  <c r="T40" i="17"/>
  <c r="BJ43" i="17"/>
  <c r="BJ44" i="17"/>
  <c r="S41" i="17"/>
  <c r="BD40" i="17"/>
  <c r="BI43" i="17"/>
  <c r="S40" i="17"/>
  <c r="BB40" i="17"/>
  <c r="BI44" i="17"/>
  <c r="AV40" i="17"/>
  <c r="Q23" i="17"/>
  <c r="Q35" i="17"/>
  <c r="BG22" i="17"/>
  <c r="BH22" i="17"/>
  <c r="AZ31" i="17"/>
  <c r="AS4" i="17"/>
  <c r="Q22" i="17"/>
  <c r="Q13" i="17"/>
  <c r="BQ32" i="17"/>
  <c r="AI13" i="17"/>
  <c r="AH15" i="17"/>
  <c r="Q41" i="17"/>
  <c r="R17" i="17"/>
  <c r="Q34" i="17"/>
  <c r="Q25" i="17"/>
  <c r="L4" i="17"/>
  <c r="L40" i="17" s="1"/>
  <c r="M8" i="17"/>
  <c r="M44" i="17" s="1"/>
  <c r="M31" i="17"/>
  <c r="M13" i="17"/>
  <c r="L5" i="17"/>
  <c r="L8" i="17"/>
  <c r="Q26" i="17"/>
  <c r="Q8" i="17"/>
  <c r="Q32" i="17"/>
  <c r="R14" i="17"/>
  <c r="Q33" i="17"/>
  <c r="R24" i="17"/>
  <c r="R26" i="17"/>
  <c r="Q14" i="17"/>
  <c r="R25" i="17"/>
  <c r="Q31" i="17"/>
  <c r="BQ31" i="17"/>
  <c r="Q16" i="17"/>
  <c r="R34" i="17"/>
  <c r="BA13" i="17"/>
  <c r="AZ13" i="17"/>
  <c r="BH14" i="17"/>
  <c r="BG14" i="17"/>
  <c r="L13" i="17"/>
  <c r="AG35" i="17"/>
  <c r="Q7" i="17"/>
  <c r="R16" i="17"/>
  <c r="AZ22" i="17"/>
  <c r="BA22" i="17"/>
  <c r="BH15" i="17"/>
  <c r="BG15" i="17"/>
  <c r="BH8" i="17"/>
  <c r="BG8" i="17"/>
  <c r="I11" i="17"/>
  <c r="B11" i="17"/>
  <c r="L22" i="17"/>
  <c r="R7" i="17"/>
  <c r="Q17" i="17"/>
  <c r="R35" i="17"/>
  <c r="BG17" i="17"/>
  <c r="BH17" i="17"/>
  <c r="R5" i="17"/>
  <c r="I29" i="17"/>
  <c r="B29" i="17"/>
  <c r="AI25" i="17"/>
  <c r="BA4" i="17"/>
  <c r="AZ4" i="17"/>
  <c r="AG4" i="17"/>
  <c r="BG4" i="17"/>
  <c r="BH4" i="17"/>
  <c r="BH23" i="17"/>
  <c r="BG23" i="17"/>
  <c r="L7" i="17"/>
  <c r="BP22" i="17"/>
  <c r="BQ35" i="17"/>
  <c r="R8" i="17"/>
  <c r="R31" i="17"/>
  <c r="BH24" i="17"/>
  <c r="BG24" i="17"/>
  <c r="R6" i="17"/>
  <c r="L31" i="17"/>
  <c r="BH25" i="17"/>
  <c r="BG25" i="17"/>
  <c r="BH33" i="17"/>
  <c r="BG33" i="17"/>
  <c r="L16" i="17"/>
  <c r="AG33" i="17"/>
  <c r="BQ34" i="17"/>
  <c r="R13" i="17"/>
  <c r="R22" i="17"/>
  <c r="AL4" i="17"/>
  <c r="AM4" i="17"/>
  <c r="Q6" i="17"/>
  <c r="BH35" i="17"/>
  <c r="BG35" i="17"/>
  <c r="AL13" i="17"/>
  <c r="AM13" i="17"/>
  <c r="BG5" i="17"/>
  <c r="BH5" i="17"/>
  <c r="AS22" i="17"/>
  <c r="BG16" i="17"/>
  <c r="BH13" i="17"/>
  <c r="BG13" i="17"/>
  <c r="L6" i="17"/>
  <c r="I20" i="17"/>
  <c r="B20" i="17"/>
  <c r="BQ33" i="17"/>
  <c r="R32" i="17"/>
  <c r="AM31" i="17"/>
  <c r="AL31" i="17"/>
  <c r="BG6" i="17"/>
  <c r="BH6" i="17"/>
  <c r="BH26" i="17"/>
  <c r="BG26" i="17"/>
  <c r="R15" i="17"/>
  <c r="L15" i="17"/>
  <c r="R4" i="17"/>
  <c r="R23" i="17"/>
  <c r="BG31" i="17"/>
  <c r="BH31" i="17"/>
  <c r="Q4" i="17"/>
  <c r="M23" i="17"/>
  <c r="AH25" i="17"/>
  <c r="BQ14" i="17"/>
  <c r="Q5" i="17"/>
  <c r="Q24" i="17"/>
  <c r="AT13" i="17"/>
  <c r="AS13" i="17"/>
  <c r="BH32" i="17"/>
  <c r="BG32" i="17"/>
  <c r="BQ4" i="17"/>
  <c r="BQ23" i="17"/>
  <c r="Q15" i="17"/>
  <c r="R33" i="17"/>
  <c r="BH7" i="17"/>
  <c r="BG7" i="17"/>
  <c r="BH34" i="17"/>
  <c r="BG34" i="17"/>
  <c r="N23" i="17"/>
  <c r="AI35" i="17"/>
  <c r="AH31" i="17"/>
  <c r="BQ7" i="17"/>
  <c r="BQ26" i="17"/>
  <c r="AH32" i="17"/>
  <c r="BR22" i="17"/>
  <c r="BQ5" i="17"/>
  <c r="BP35" i="17"/>
  <c r="BP34" i="17"/>
  <c r="BP32" i="17"/>
  <c r="BR34" i="17"/>
  <c r="BP33" i="17"/>
  <c r="BR33" i="17"/>
  <c r="BP31" i="17"/>
  <c r="BP26" i="17"/>
  <c r="BR26" i="17"/>
  <c r="BQ25" i="17"/>
  <c r="BR25" i="17"/>
  <c r="BP25" i="17"/>
  <c r="BQ24" i="17"/>
  <c r="BR24" i="17"/>
  <c r="BP24" i="17"/>
  <c r="BR23" i="17"/>
  <c r="BP23" i="17"/>
  <c r="BQ22" i="17"/>
  <c r="BQ17" i="17"/>
  <c r="BQ16" i="17"/>
  <c r="BQ15" i="17"/>
  <c r="BP17" i="17"/>
  <c r="BP16" i="17"/>
  <c r="BP15" i="17"/>
  <c r="BP13" i="17"/>
  <c r="BP14" i="17"/>
  <c r="BQ13" i="17"/>
  <c r="BQ8" i="17"/>
  <c r="BR8" i="17"/>
  <c r="BP8" i="17"/>
  <c r="BR7" i="17"/>
  <c r="BP7" i="17"/>
  <c r="BQ6" i="17"/>
  <c r="BR6" i="17"/>
  <c r="BP6" i="17"/>
  <c r="BR5" i="17"/>
  <c r="BR4" i="17"/>
  <c r="BP5" i="17"/>
  <c r="BP4" i="17"/>
  <c r="AG34" i="17"/>
  <c r="AH33" i="17"/>
  <c r="AG26" i="17"/>
  <c r="AG24" i="17"/>
  <c r="AH22" i="17"/>
  <c r="AG17" i="17"/>
  <c r="AI14" i="17"/>
  <c r="AH6" i="17"/>
  <c r="AH34" i="17"/>
  <c r="AI31" i="17"/>
  <c r="AI32" i="17"/>
  <c r="AG31" i="17"/>
  <c r="AH24" i="17"/>
  <c r="AI34" i="17"/>
  <c r="AI23" i="17"/>
  <c r="AI33" i="17"/>
  <c r="AG16" i="17"/>
  <c r="AI24" i="17"/>
  <c r="AG23" i="17"/>
  <c r="AH17" i="17"/>
  <c r="AI15" i="17"/>
  <c r="AI26" i="17"/>
  <c r="AH14" i="17"/>
  <c r="AG25" i="17"/>
  <c r="AH26" i="17"/>
  <c r="AI16" i="17"/>
  <c r="AI22" i="17"/>
  <c r="AG22" i="17"/>
  <c r="AH23" i="17"/>
  <c r="AG32" i="17"/>
  <c r="AH16" i="17"/>
  <c r="AH35" i="17"/>
  <c r="AI17" i="17"/>
  <c r="AG15" i="17"/>
  <c r="AH13" i="17"/>
  <c r="AG14" i="17"/>
  <c r="AG13" i="17"/>
  <c r="AH8" i="17"/>
  <c r="AG8" i="17"/>
  <c r="AG44" i="17" s="1"/>
  <c r="AH7" i="17"/>
  <c r="AH43" i="17" s="1"/>
  <c r="AG7" i="17"/>
  <c r="AG43" i="17" s="1"/>
  <c r="AI4" i="17"/>
  <c r="AG5" i="17"/>
  <c r="AG6" i="17"/>
  <c r="AH5" i="17"/>
  <c r="AH4" i="17"/>
  <c r="M35" i="17"/>
  <c r="M16" i="17"/>
  <c r="N8" i="17"/>
  <c r="M14" i="17"/>
  <c r="N32" i="17"/>
  <c r="N33" i="17"/>
  <c r="N35" i="17"/>
  <c r="L35" i="17"/>
  <c r="M34" i="17"/>
  <c r="M32" i="17"/>
  <c r="N34" i="17"/>
  <c r="L34" i="17"/>
  <c r="M33" i="17"/>
  <c r="L32" i="17"/>
  <c r="L33" i="17"/>
  <c r="N31" i="17"/>
  <c r="M26" i="17"/>
  <c r="M25" i="17"/>
  <c r="N26" i="17"/>
  <c r="L26" i="17"/>
  <c r="N24" i="17"/>
  <c r="N25" i="17"/>
  <c r="L25" i="17"/>
  <c r="M24" i="17"/>
  <c r="L24" i="17"/>
  <c r="L23" i="17"/>
  <c r="M22" i="17"/>
  <c r="N22" i="17"/>
  <c r="L17" i="17"/>
  <c r="M17" i="17"/>
  <c r="N17" i="17"/>
  <c r="N16" i="17"/>
  <c r="M15" i="17"/>
  <c r="L14" i="17"/>
  <c r="M7" i="17"/>
  <c r="M5" i="17"/>
  <c r="M6" i="17"/>
  <c r="M4" i="17"/>
  <c r="AI154" i="9"/>
  <c r="BR35" i="17" s="1"/>
  <c r="Q97" i="9"/>
  <c r="BR17" i="17" s="1"/>
  <c r="Q78" i="9"/>
  <c r="AI21" i="9"/>
  <c r="AI40" i="9"/>
  <c r="H97" i="8"/>
  <c r="AI8" i="17" s="1"/>
  <c r="AI44" i="17" s="1"/>
  <c r="Q59" i="1"/>
  <c r="N15" i="17" s="1"/>
  <c r="H78" i="1"/>
  <c r="N7" i="17" s="1"/>
  <c r="Q21" i="1"/>
  <c r="H40" i="1"/>
  <c r="H59" i="1"/>
  <c r="Q40" i="1"/>
  <c r="H21" i="1"/>
  <c r="BP40" i="17" l="1"/>
  <c r="AH40" i="17"/>
  <c r="AH41" i="17"/>
  <c r="BP43" i="17"/>
  <c r="BQ41" i="17"/>
  <c r="BR44" i="17"/>
  <c r="AG42" i="17"/>
  <c r="BQ44" i="17"/>
  <c r="BQ43" i="17"/>
  <c r="N43" i="17"/>
  <c r="BQ42" i="17"/>
  <c r="M40" i="17"/>
  <c r="AG41" i="17"/>
  <c r="BQ40" i="17"/>
  <c r="M42" i="17"/>
  <c r="AG40" i="17"/>
  <c r="M41" i="17"/>
  <c r="AI40" i="17"/>
  <c r="M43" i="17"/>
  <c r="N44" i="17"/>
  <c r="L44" i="17"/>
  <c r="AH42" i="17"/>
  <c r="BP44" i="17"/>
  <c r="L43" i="17"/>
  <c r="L41" i="17"/>
  <c r="BR41" i="17"/>
  <c r="BP42" i="17"/>
  <c r="AH44" i="17"/>
  <c r="BP41" i="17"/>
  <c r="L42" i="17"/>
  <c r="J8" i="17"/>
  <c r="BN32" i="17"/>
  <c r="R42" i="17"/>
  <c r="R44" i="17"/>
  <c r="J5" i="17"/>
  <c r="K8" i="17"/>
  <c r="Q40" i="17"/>
  <c r="Q42" i="17"/>
  <c r="BO33" i="17"/>
  <c r="Q43" i="17"/>
  <c r="AF23" i="17"/>
  <c r="AE23" i="17"/>
  <c r="BN7" i="17"/>
  <c r="BO7" i="17"/>
  <c r="AE4" i="17"/>
  <c r="AF4" i="17"/>
  <c r="R43" i="17"/>
  <c r="K35" i="17"/>
  <c r="J35" i="17"/>
  <c r="BN6" i="17"/>
  <c r="BO6" i="17"/>
  <c r="J25" i="17"/>
  <c r="K25" i="17"/>
  <c r="AF14" i="17"/>
  <c r="AE14" i="17"/>
  <c r="BN23" i="17"/>
  <c r="BO23" i="17"/>
  <c r="AF26" i="17"/>
  <c r="AE26" i="17"/>
  <c r="K26" i="17"/>
  <c r="J26" i="17"/>
  <c r="AF15" i="17"/>
  <c r="AE15" i="17"/>
  <c r="BO24" i="17"/>
  <c r="BN24" i="17"/>
  <c r="K31" i="17"/>
  <c r="J31" i="17"/>
  <c r="BA40" i="17"/>
  <c r="BA46" i="17" s="1"/>
  <c r="BC46" i="17" s="1"/>
  <c r="AZ40" i="17"/>
  <c r="AZ45" i="17" s="1"/>
  <c r="K22" i="17"/>
  <c r="J22" i="17"/>
  <c r="J13" i="17"/>
  <c r="K16" i="17"/>
  <c r="J16" i="17"/>
  <c r="AF35" i="17"/>
  <c r="AE35" i="17"/>
  <c r="AF13" i="17"/>
  <c r="AE13" i="17"/>
  <c r="BO35" i="17"/>
  <c r="AE16" i="17"/>
  <c r="AF16" i="17"/>
  <c r="AF34" i="17"/>
  <c r="AE34" i="17"/>
  <c r="BN8" i="17"/>
  <c r="BO8" i="17"/>
  <c r="AE33" i="17"/>
  <c r="AF33" i="17"/>
  <c r="AE17" i="17"/>
  <c r="AF17" i="17"/>
  <c r="BO34" i="17"/>
  <c r="BN34" i="17"/>
  <c r="AF24" i="17"/>
  <c r="AE24" i="17"/>
  <c r="J14" i="17"/>
  <c r="AT40" i="17"/>
  <c r="AT46" i="17" s="1"/>
  <c r="AS40" i="17"/>
  <c r="AS45" i="17" s="1"/>
  <c r="BG41" i="17"/>
  <c r="BH41" i="17"/>
  <c r="AF22" i="17"/>
  <c r="AE22" i="17"/>
  <c r="BH43" i="17"/>
  <c r="BG43" i="17"/>
  <c r="K17" i="17"/>
  <c r="J17" i="17"/>
  <c r="AE5" i="17"/>
  <c r="BH44" i="17"/>
  <c r="BG44" i="17"/>
  <c r="BN15" i="17"/>
  <c r="BO26" i="17"/>
  <c r="BN26" i="17"/>
  <c r="R40" i="17"/>
  <c r="J6" i="17"/>
  <c r="J23" i="17"/>
  <c r="K23" i="17"/>
  <c r="J24" i="17"/>
  <c r="K24" i="17"/>
  <c r="AE32" i="17"/>
  <c r="AF32" i="17"/>
  <c r="BN33" i="17"/>
  <c r="K33" i="17"/>
  <c r="J33" i="17"/>
  <c r="AM40" i="17"/>
  <c r="AM46" i="17" s="1"/>
  <c r="AO46" i="17" s="1"/>
  <c r="AL40" i="17"/>
  <c r="AL45" i="17" s="1"/>
  <c r="K32" i="17"/>
  <c r="J32" i="17"/>
  <c r="AE31" i="17"/>
  <c r="AF31" i="17"/>
  <c r="J4" i="17"/>
  <c r="K34" i="17"/>
  <c r="J34" i="17"/>
  <c r="BN4" i="17"/>
  <c r="BO4" i="17"/>
  <c r="BN16" i="17"/>
  <c r="K15" i="17"/>
  <c r="J15" i="17"/>
  <c r="BN35" i="17"/>
  <c r="BN31" i="17"/>
  <c r="AE25" i="17"/>
  <c r="AF25" i="17"/>
  <c r="K7" i="17"/>
  <c r="J7" i="17"/>
  <c r="AE8" i="17"/>
  <c r="AF8" i="17"/>
  <c r="BG40" i="17"/>
  <c r="BH40" i="17"/>
  <c r="BO25" i="17"/>
  <c r="BN25" i="17"/>
  <c r="BH42" i="17"/>
  <c r="BG42" i="17"/>
  <c r="BN14" i="17"/>
  <c r="AE6" i="17"/>
  <c r="BN13" i="17"/>
  <c r="AE7" i="17"/>
  <c r="BN5" i="17"/>
  <c r="BO5" i="17"/>
  <c r="BO17" i="17"/>
  <c r="BN17" i="17"/>
  <c r="BN22" i="17"/>
  <c r="BO22" i="17"/>
  <c r="R41" i="17"/>
  <c r="Q44" i="17"/>
  <c r="BR32" i="17"/>
  <c r="BO32" i="17" s="1"/>
  <c r="BR31" i="17"/>
  <c r="BO31" i="17" s="1"/>
  <c r="BR16" i="17"/>
  <c r="BO16" i="17" s="1"/>
  <c r="BR15" i="17"/>
  <c r="BR42" i="17" s="1"/>
  <c r="BR13" i="17"/>
  <c r="BR40" i="17" s="1"/>
  <c r="BR14" i="17"/>
  <c r="AI5" i="17"/>
  <c r="AI41" i="17" s="1"/>
  <c r="AI6" i="17"/>
  <c r="AI42" i="17" s="1"/>
  <c r="AI7" i="17"/>
  <c r="AI43" i="17" s="1"/>
  <c r="N14" i="17"/>
  <c r="K14" i="17" s="1"/>
  <c r="N13" i="17"/>
  <c r="K13" i="17" s="1"/>
  <c r="N6" i="17"/>
  <c r="N42" i="17" s="1"/>
  <c r="N5" i="17"/>
  <c r="N41" i="17" s="1"/>
  <c r="N4" i="17"/>
  <c r="N40" i="17" s="1"/>
  <c r="BR43" i="17" l="1"/>
  <c r="J40" i="17"/>
  <c r="J44" i="17"/>
  <c r="K44" i="17"/>
  <c r="BO41" i="17"/>
  <c r="K41" i="17"/>
  <c r="BO43" i="17"/>
  <c r="AF5" i="17"/>
  <c r="BO44" i="17"/>
  <c r="AM10" i="17"/>
  <c r="Q45" i="17"/>
  <c r="T45" i="17" s="1"/>
  <c r="AF7" i="17"/>
  <c r="AF6" i="17"/>
  <c r="E12" i="18"/>
  <c r="E13" i="18" s="1"/>
  <c r="AO45" i="17"/>
  <c r="AE43" i="17"/>
  <c r="AF43" i="17"/>
  <c r="H12" i="18"/>
  <c r="H13" i="18" s="1"/>
  <c r="AV45" i="17"/>
  <c r="AS36" i="17" s="1"/>
  <c r="F15" i="18" s="1"/>
  <c r="G15" i="18" s="1"/>
  <c r="H28" i="18"/>
  <c r="H29" i="18" s="1"/>
  <c r="AV46" i="17"/>
  <c r="AT19" i="17" s="1"/>
  <c r="F29" i="18" s="1"/>
  <c r="G29" i="18" s="1"/>
  <c r="J43" i="17"/>
  <c r="K43" i="17"/>
  <c r="BO15" i="17"/>
  <c r="AF40" i="17"/>
  <c r="AE40" i="17"/>
  <c r="BH46" i="17"/>
  <c r="BJ46" i="17" s="1"/>
  <c r="AE41" i="17"/>
  <c r="AF41" i="17"/>
  <c r="K40" i="17"/>
  <c r="K4" i="17"/>
  <c r="AE42" i="17"/>
  <c r="AF42" i="17"/>
  <c r="BN43" i="17"/>
  <c r="BN41" i="17"/>
  <c r="K5" i="17"/>
  <c r="BO40" i="17"/>
  <c r="BN40" i="17"/>
  <c r="BO13" i="17"/>
  <c r="J41" i="17"/>
  <c r="BG45" i="17"/>
  <c r="BJ45" i="17" s="1"/>
  <c r="AE44" i="17"/>
  <c r="AF44" i="17"/>
  <c r="K12" i="18"/>
  <c r="K13" i="18" s="1"/>
  <c r="BC45" i="17"/>
  <c r="K6" i="17"/>
  <c r="BO14" i="17"/>
  <c r="K42" i="17"/>
  <c r="J42" i="17"/>
  <c r="R46" i="17"/>
  <c r="T46" i="17" s="1"/>
  <c r="BO42" i="17"/>
  <c r="BN42" i="17"/>
  <c r="BA37" i="17"/>
  <c r="I31" i="18" s="1"/>
  <c r="J31" i="18" s="1"/>
  <c r="BA19" i="17"/>
  <c r="I29" i="18" s="1"/>
  <c r="J29" i="18" s="1"/>
  <c r="BA10" i="17"/>
  <c r="I28" i="18" s="1"/>
  <c r="J28" i="18" s="1"/>
  <c r="BA28" i="17"/>
  <c r="I30" i="18" s="1"/>
  <c r="J30" i="18" s="1"/>
  <c r="E28" i="18"/>
  <c r="E29" i="18" s="1"/>
  <c r="BN44" i="17"/>
  <c r="K28" i="18"/>
  <c r="K29" i="18" s="1"/>
  <c r="Q27" i="17" l="1"/>
  <c r="Q36" i="17"/>
  <c r="J45" i="17"/>
  <c r="M45" i="17" s="1"/>
  <c r="AZ9" i="17"/>
  <c r="I12" i="18" s="1"/>
  <c r="J12" i="18" s="1"/>
  <c r="AT28" i="17"/>
  <c r="F30" i="18" s="1"/>
  <c r="G30" i="18" s="1"/>
  <c r="AT10" i="17"/>
  <c r="F28" i="18" s="1"/>
  <c r="G28" i="18" s="1"/>
  <c r="BO46" i="17"/>
  <c r="BQ46" i="17" s="1"/>
  <c r="AL9" i="17"/>
  <c r="C12" i="18" s="1"/>
  <c r="D12" i="18" s="1"/>
  <c r="AF46" i="17"/>
  <c r="AH46" i="17" s="1"/>
  <c r="Q9" i="17"/>
  <c r="AL18" i="17"/>
  <c r="C13" i="18" s="1"/>
  <c r="D13" i="18" s="1"/>
  <c r="AL27" i="17"/>
  <c r="C14" i="18" s="1"/>
  <c r="D14" i="18" s="1"/>
  <c r="Q18" i="17"/>
  <c r="AL36" i="17"/>
  <c r="C15" i="18" s="1"/>
  <c r="D15" i="18" s="1"/>
  <c r="AZ18" i="17"/>
  <c r="I13" i="18" s="1"/>
  <c r="J13" i="18" s="1"/>
  <c r="AZ27" i="17"/>
  <c r="I14" i="18" s="1"/>
  <c r="J14" i="18" s="1"/>
  <c r="AT37" i="17"/>
  <c r="F31" i="18" s="1"/>
  <c r="G31" i="18" s="1"/>
  <c r="BN45" i="17"/>
  <c r="Q12" i="18" s="1"/>
  <c r="Q13" i="18" s="1"/>
  <c r="AZ36" i="17"/>
  <c r="I15" i="18" s="1"/>
  <c r="J15" i="18" s="1"/>
  <c r="R19" i="17"/>
  <c r="R10" i="17"/>
  <c r="R37" i="17"/>
  <c r="R28" i="17"/>
  <c r="AE45" i="17"/>
  <c r="N28" i="18"/>
  <c r="N29" i="18" s="1"/>
  <c r="AS18" i="17"/>
  <c r="F13" i="18" s="1"/>
  <c r="G13" i="18" s="1"/>
  <c r="K46" i="17"/>
  <c r="M46" i="17" s="1"/>
  <c r="AS27" i="17"/>
  <c r="F14" i="18" s="1"/>
  <c r="G14" i="18" s="1"/>
  <c r="AS9" i="17"/>
  <c r="F12" i="18" s="1"/>
  <c r="G12" i="18" s="1"/>
  <c r="BU68" i="17"/>
  <c r="R15" i="18" s="1"/>
  <c r="S15" i="18" s="1"/>
  <c r="BV35" i="17"/>
  <c r="R29" i="18" s="1"/>
  <c r="S29" i="18" s="1"/>
  <c r="BV69" i="17"/>
  <c r="R31" i="18" s="1"/>
  <c r="S31" i="18" s="1"/>
  <c r="R30" i="18"/>
  <c r="S30" i="18" s="1"/>
  <c r="BU34" i="17"/>
  <c r="R13" i="18" s="1"/>
  <c r="S13" i="18" s="1"/>
  <c r="R14" i="18"/>
  <c r="S14" i="18" s="1"/>
  <c r="BV18" i="17"/>
  <c r="R28" i="18" s="1"/>
  <c r="S28" i="18" s="1"/>
  <c r="BG27" i="17"/>
  <c r="L14" i="18" s="1"/>
  <c r="M14" i="18" s="1"/>
  <c r="BG36" i="17"/>
  <c r="L15" i="18" s="1"/>
  <c r="M15" i="18" s="1"/>
  <c r="BG18" i="17"/>
  <c r="L13" i="18" s="1"/>
  <c r="M13" i="18" s="1"/>
  <c r="BG9" i="17"/>
  <c r="L12" i="18" s="1"/>
  <c r="M12" i="18" s="1"/>
  <c r="N12" i="18"/>
  <c r="N13" i="18" s="1"/>
  <c r="AM37" i="17"/>
  <c r="C31" i="18" s="1"/>
  <c r="D31" i="18" s="1"/>
  <c r="C28" i="18"/>
  <c r="D28" i="18" s="1"/>
  <c r="AM28" i="17"/>
  <c r="C30" i="18" s="1"/>
  <c r="D30" i="18" s="1"/>
  <c r="AM19" i="17"/>
  <c r="C29" i="18" s="1"/>
  <c r="D29" i="18" s="1"/>
  <c r="Y19" i="17"/>
  <c r="N4" i="18"/>
  <c r="N5" i="18" s="1"/>
  <c r="X18" i="17"/>
  <c r="X27" i="17"/>
  <c r="K20" i="18"/>
  <c r="K21" i="18" s="1"/>
  <c r="K4" i="18"/>
  <c r="K5" i="18" s="1"/>
  <c r="N20" i="18"/>
  <c r="N21" i="18" s="1"/>
  <c r="H4" i="18"/>
  <c r="H5" i="18" s="1"/>
  <c r="BQ45" i="17" l="1"/>
  <c r="BN27" i="17" s="1"/>
  <c r="O14" i="18" s="1"/>
  <c r="P14" i="18" s="1"/>
  <c r="J36" i="17"/>
  <c r="J18" i="17"/>
  <c r="J27" i="17"/>
  <c r="J9" i="17"/>
  <c r="Q4" i="18"/>
  <c r="Q5" i="18" s="1"/>
  <c r="AH45" i="17"/>
  <c r="AE18" i="17" s="1"/>
  <c r="O5" i="18" s="1"/>
  <c r="P5" i="18" s="1"/>
  <c r="K19" i="17"/>
  <c r="F21" i="18" s="1"/>
  <c r="G21" i="18" s="1"/>
  <c r="K28" i="17"/>
  <c r="F22" i="18" s="1"/>
  <c r="G22" i="18" s="1"/>
  <c r="K37" i="17"/>
  <c r="F23" i="18" s="1"/>
  <c r="G23" i="18" s="1"/>
  <c r="K10" i="17"/>
  <c r="F20" i="18" s="1"/>
  <c r="G20" i="18" s="1"/>
  <c r="BO37" i="17"/>
  <c r="O31" i="18" s="1"/>
  <c r="P31" i="18" s="1"/>
  <c r="BN36" i="17"/>
  <c r="O15" i="18" s="1"/>
  <c r="P15" i="18" s="1"/>
  <c r="BO28" i="17"/>
  <c r="O30" i="18" s="1"/>
  <c r="P30" i="18" s="1"/>
  <c r="BO10" i="17"/>
  <c r="O28" i="18" s="1"/>
  <c r="P28" i="18" s="1"/>
  <c r="BO19" i="17"/>
  <c r="O29" i="18" s="1"/>
  <c r="P29" i="18" s="1"/>
  <c r="BH28" i="17"/>
  <c r="L30" i="18" s="1"/>
  <c r="M30" i="18" s="1"/>
  <c r="BH37" i="17"/>
  <c r="L31" i="18" s="1"/>
  <c r="M31" i="18" s="1"/>
  <c r="BH19" i="17"/>
  <c r="L29" i="18" s="1"/>
  <c r="M29" i="18" s="1"/>
  <c r="BH10" i="17"/>
  <c r="L28" i="18" s="1"/>
  <c r="M28" i="18" s="1"/>
  <c r="Q20" i="18"/>
  <c r="Q21" i="18" s="1"/>
  <c r="AF10" i="17"/>
  <c r="AF37" i="17"/>
  <c r="AF19" i="17"/>
  <c r="AF28" i="17"/>
  <c r="L7" i="18"/>
  <c r="M7" i="18" s="1"/>
  <c r="L5" i="18"/>
  <c r="M5" i="18" s="1"/>
  <c r="L6" i="18"/>
  <c r="M6" i="18" s="1"/>
  <c r="Q28" i="18"/>
  <c r="Q29" i="18" s="1"/>
  <c r="I7" i="18"/>
  <c r="J7" i="18" s="1"/>
  <c r="I6" i="18"/>
  <c r="J6" i="18" s="1"/>
  <c r="I5" i="18"/>
  <c r="J5" i="18" s="1"/>
  <c r="I4" i="18"/>
  <c r="J4" i="18" s="1"/>
  <c r="H20" i="18"/>
  <c r="H21" i="18" s="1"/>
  <c r="AE36" i="17" l="1"/>
  <c r="O7" i="18" s="1"/>
  <c r="P7" i="18" s="1"/>
  <c r="AE9" i="17"/>
  <c r="O4" i="18" s="1"/>
  <c r="P4" i="18" s="1"/>
  <c r="BN18" i="17"/>
  <c r="O13" i="18" s="1"/>
  <c r="P13" i="18" s="1"/>
  <c r="BN9" i="17"/>
  <c r="O12" i="18" s="1"/>
  <c r="P12" i="18" s="1"/>
  <c r="AE27" i="17"/>
  <c r="O6" i="18" s="1"/>
  <c r="P6" i="18" s="1"/>
  <c r="L22" i="18"/>
  <c r="M22" i="18" s="1"/>
  <c r="O21" i="18"/>
  <c r="P21" i="18" s="1"/>
  <c r="I20" i="18"/>
  <c r="J20" i="18" s="1"/>
  <c r="O23" i="18"/>
  <c r="P23" i="18" s="1"/>
  <c r="O20" i="18"/>
  <c r="P20" i="18" s="1"/>
  <c r="O22" i="18"/>
  <c r="P22" i="18" s="1"/>
  <c r="I22" i="18"/>
  <c r="J22" i="18" s="1"/>
  <c r="I23" i="18"/>
  <c r="J23" i="18" s="1"/>
  <c r="L21" i="18"/>
  <c r="M21" i="18" s="1"/>
  <c r="L23" i="18"/>
  <c r="M23" i="18" s="1"/>
  <c r="L20" i="18"/>
  <c r="M20" i="18" s="1"/>
  <c r="I21" i="18"/>
  <c r="J21" i="18" s="1"/>
  <c r="F7" i="18"/>
  <c r="G7" i="18" s="1"/>
  <c r="F4" i="18"/>
  <c r="G4" i="18" s="1"/>
  <c r="F6" i="18"/>
  <c r="G6" i="18" s="1"/>
  <c r="F5" i="18"/>
  <c r="G5" i="18" s="1"/>
</calcChain>
</file>

<file path=xl/sharedStrings.xml><?xml version="1.0" encoding="utf-8"?>
<sst xmlns="http://schemas.openxmlformats.org/spreadsheetml/2006/main" count="14909" uniqueCount="195">
  <si>
    <t>時段</t>
    <phoneticPr fontId="20" type="noConversion"/>
  </si>
  <si>
    <t>臨近路段</t>
  </si>
  <si>
    <t>開始時刻</t>
  </si>
  <si>
    <t>停車在臨近車道上的車輛總數(0秒)</t>
    <phoneticPr fontId="20" type="noConversion"/>
  </si>
  <si>
    <t>停車在臨近車道上的車輛總數(15秒)</t>
    <phoneticPr fontId="20" type="noConversion"/>
  </si>
  <si>
    <t>停車在臨近車道上的車輛總數(30秒)</t>
    <phoneticPr fontId="20" type="noConversion"/>
  </si>
  <si>
    <t>停車在臨近車道上的車輛總數(45秒)</t>
    <phoneticPr fontId="20" type="noConversion"/>
  </si>
  <si>
    <t>臨近車道上的流量(總數)</t>
    <phoneticPr fontId="20" type="noConversion"/>
  </si>
  <si>
    <t>臨近車道上的流量(未受阻)</t>
    <phoneticPr fontId="20" type="noConversion"/>
  </si>
  <si>
    <t>臨近車道上的流量(受阻)</t>
    <phoneticPr fontId="20" type="noConversion"/>
  </si>
  <si>
    <t>平日晨峰</t>
    <phoneticPr fontId="20" type="noConversion"/>
  </si>
  <si>
    <t>A</t>
    <phoneticPr fontId="20" type="noConversion"/>
  </si>
  <si>
    <t>B</t>
    <phoneticPr fontId="20" type="noConversion"/>
  </si>
  <si>
    <t>C</t>
    <phoneticPr fontId="20" type="noConversion"/>
  </si>
  <si>
    <t>D</t>
    <phoneticPr fontId="20" type="noConversion"/>
  </si>
  <si>
    <t>平日昏峰</t>
    <phoneticPr fontId="20" type="noConversion"/>
  </si>
  <si>
    <t>TC編號：</t>
  </si>
  <si>
    <t>(例：TC240)</t>
    <phoneticPr fontId="20" type="noConversion"/>
  </si>
  <si>
    <t>路口名稱：</t>
    <phoneticPr fontId="20" type="noConversion"/>
  </si>
  <si>
    <t>行政區域：</t>
    <phoneticPr fontId="20" type="noConversion"/>
  </si>
  <si>
    <t>(例：東區)</t>
    <phoneticPr fontId="20" type="noConversion"/>
  </si>
  <si>
    <t>往北</t>
    <phoneticPr fontId="20" type="noConversion"/>
  </si>
  <si>
    <t>往東</t>
    <phoneticPr fontId="20" type="noConversion"/>
  </si>
  <si>
    <t>往南</t>
    <phoneticPr fontId="20" type="noConversion"/>
  </si>
  <si>
    <t>日期：</t>
    <phoneticPr fontId="20" type="noConversion"/>
  </si>
  <si>
    <t>YYYY/MM/DD</t>
  </si>
  <si>
    <t>往西南</t>
    <phoneticPr fontId="20" type="noConversion"/>
  </si>
  <si>
    <t>天候：</t>
  </si>
  <si>
    <t>往西北</t>
    <phoneticPr fontId="20" type="noConversion"/>
  </si>
  <si>
    <t>往東北</t>
    <phoneticPr fontId="20" type="noConversion"/>
  </si>
  <si>
    <t>往東南</t>
    <phoneticPr fontId="20" type="noConversion"/>
  </si>
  <si>
    <t>路口類型：</t>
    <phoneticPr fontId="20" type="noConversion"/>
  </si>
  <si>
    <t>往西</t>
    <phoneticPr fontId="20" type="noConversion"/>
  </si>
  <si>
    <t>方　向：</t>
  </si>
  <si>
    <t>A</t>
  </si>
  <si>
    <t>B</t>
  </si>
  <si>
    <t>C</t>
  </si>
  <si>
    <t>D</t>
  </si>
  <si>
    <t>路段名：</t>
  </si>
  <si>
    <t>行車方向：</t>
    <phoneticPr fontId="20" type="noConversion"/>
  </si>
  <si>
    <t>車道數：</t>
  </si>
  <si>
    <t>-</t>
  </si>
  <si>
    <t>簡圖：</t>
  </si>
  <si>
    <t>07:00~07:15</t>
  </si>
  <si>
    <t>停車在臨近車道上的車輛總數</t>
    <phoneticPr fontId="20" type="noConversion"/>
  </si>
  <si>
    <t>臨近車道上的流量</t>
    <phoneticPr fontId="20" type="noConversion"/>
  </si>
  <si>
    <t>停車在臨近車道上的車輛總數</t>
  </si>
  <si>
    <t>臨近車道上的流量</t>
  </si>
  <si>
    <t>07:00</t>
  </si>
  <si>
    <t>0秒</t>
  </si>
  <si>
    <t>15秒</t>
  </si>
  <si>
    <t>30秒</t>
  </si>
  <si>
    <t>45秒</t>
  </si>
  <si>
    <t>總數</t>
  </si>
  <si>
    <t>未受阻</t>
  </si>
  <si>
    <t>受阻</t>
  </si>
  <si>
    <t>總   計</t>
  </si>
  <si>
    <t>07:15~07:30</t>
  </si>
  <si>
    <t>07:15</t>
  </si>
  <si>
    <t>07:30~07:45</t>
  </si>
  <si>
    <t>07:30</t>
  </si>
  <si>
    <t>07:45~08:00</t>
  </si>
  <si>
    <t>07:45</t>
  </si>
  <si>
    <t>08:00~08:15</t>
  </si>
  <si>
    <t>08:00</t>
  </si>
  <si>
    <t>08:15~08:30</t>
  </si>
  <si>
    <t>08:15</t>
  </si>
  <si>
    <t>08:30~08:45</t>
  </si>
  <si>
    <t>08:30</t>
  </si>
  <si>
    <t>08:45~09:00</t>
  </si>
  <si>
    <t>08:45</t>
  </si>
  <si>
    <t>09:00</t>
  </si>
  <si>
    <t>17:00~17:15</t>
  </si>
  <si>
    <t>17:00</t>
  </si>
  <si>
    <t>17:15~17:30</t>
  </si>
  <si>
    <t>17:15</t>
  </si>
  <si>
    <t>17:30~17:45</t>
  </si>
  <si>
    <t>17:30</t>
  </si>
  <si>
    <t>17:45~18:00</t>
  </si>
  <si>
    <t>17:45</t>
  </si>
  <si>
    <t>18:00~18:15</t>
  </si>
  <si>
    <t>18:00</t>
  </si>
  <si>
    <t>18:15~18:30</t>
  </si>
  <si>
    <t>18:15</t>
  </si>
  <si>
    <t>18:30~18:45</t>
  </si>
  <si>
    <t>18:30</t>
  </si>
  <si>
    <t>18:45~19:00</t>
  </si>
  <si>
    <t>18:45</t>
  </si>
  <si>
    <t>19:00</t>
  </si>
  <si>
    <t>業主名稱：</t>
    <phoneticPr fontId="20" type="noConversion"/>
  </si>
  <si>
    <t>專案編號：</t>
    <phoneticPr fontId="20" type="noConversion"/>
  </si>
  <si>
    <t>11:00~11:15</t>
    <phoneticPr fontId="20" type="noConversion"/>
  </si>
  <si>
    <t>11:15~11:30</t>
    <phoneticPr fontId="20" type="noConversion"/>
  </si>
  <si>
    <t>11:30~11:45</t>
    <phoneticPr fontId="20" type="noConversion"/>
  </si>
  <si>
    <t>11:45~12:00</t>
    <phoneticPr fontId="20" type="noConversion"/>
  </si>
  <si>
    <t>12:00~12:15</t>
    <phoneticPr fontId="20" type="noConversion"/>
  </si>
  <si>
    <t>12:15~12:30</t>
    <phoneticPr fontId="20" type="noConversion"/>
  </si>
  <si>
    <t>12:30~12:45</t>
    <phoneticPr fontId="20" type="noConversion"/>
  </si>
  <si>
    <t>12:45~13:00</t>
    <phoneticPr fontId="20" type="noConversion"/>
  </si>
  <si>
    <t>平日晨峰(07-09)</t>
    <phoneticPr fontId="20" type="noConversion"/>
  </si>
  <si>
    <t>平日中午(11-13)</t>
    <phoneticPr fontId="20" type="noConversion"/>
  </si>
  <si>
    <t>平日昏峰(17-19)</t>
    <phoneticPr fontId="20" type="noConversion"/>
  </si>
  <si>
    <t>假日(11-12)</t>
    <phoneticPr fontId="20" type="noConversion"/>
  </si>
  <si>
    <t>假日(1430-1530)</t>
    <phoneticPr fontId="20" type="noConversion"/>
  </si>
  <si>
    <t>假日(1730-1830)</t>
  </si>
  <si>
    <t>假日(1730-1830)</t>
    <phoneticPr fontId="20" type="noConversion"/>
  </si>
  <si>
    <t>假日(16-18)</t>
  </si>
  <si>
    <t>假日(16-18)</t>
    <phoneticPr fontId="20" type="noConversion"/>
  </si>
  <si>
    <t>假日(17-19)</t>
    <phoneticPr fontId="20" type="noConversion"/>
  </si>
  <si>
    <t>14:30~14:45</t>
    <phoneticPr fontId="20" type="noConversion"/>
  </si>
  <si>
    <t>14:45~15:00</t>
    <phoneticPr fontId="20" type="noConversion"/>
  </si>
  <si>
    <t>15:00~15:15</t>
    <phoneticPr fontId="20" type="noConversion"/>
  </si>
  <si>
    <t>15:15~15:30</t>
    <phoneticPr fontId="20" type="noConversion"/>
  </si>
  <si>
    <t>17:30~17:45</t>
    <phoneticPr fontId="20" type="noConversion"/>
  </si>
  <si>
    <t>17:45~18:00</t>
    <phoneticPr fontId="20" type="noConversion"/>
  </si>
  <si>
    <t>18:00~18:15</t>
    <phoneticPr fontId="20" type="noConversion"/>
  </si>
  <si>
    <t>18:15~18:30</t>
    <phoneticPr fontId="20" type="noConversion"/>
  </si>
  <si>
    <t>16:00~16:15</t>
    <phoneticPr fontId="20" type="noConversion"/>
  </si>
  <si>
    <t>16:15~16:30</t>
    <phoneticPr fontId="20" type="noConversion"/>
  </si>
  <si>
    <t>16:30~16:45</t>
    <phoneticPr fontId="20" type="noConversion"/>
  </si>
  <si>
    <t>16:45~17:00</t>
    <phoneticPr fontId="20" type="noConversion"/>
  </si>
  <si>
    <t>17:00~17:15</t>
    <phoneticPr fontId="20" type="noConversion"/>
  </si>
  <si>
    <t>17:15~17:30</t>
    <phoneticPr fontId="20" type="noConversion"/>
  </si>
  <si>
    <t>假日(1430~1530)</t>
    <phoneticPr fontId="20" type="noConversion"/>
  </si>
  <si>
    <t>假日(1730~1830)</t>
    <phoneticPr fontId="20" type="noConversion"/>
  </si>
  <si>
    <t>時間</t>
    <phoneticPr fontId="20" type="noConversion"/>
  </si>
  <si>
    <t>平均延滯</t>
    <phoneticPr fontId="20" type="noConversion"/>
  </si>
  <si>
    <t>平均停等延滯</t>
    <phoneticPr fontId="20" type="noConversion"/>
  </si>
  <si>
    <t>總延滯</t>
  </si>
  <si>
    <t>車輛總數</t>
  </si>
  <si>
    <t>停等車輛數</t>
    <phoneticPr fontId="20" type="noConversion"/>
  </si>
  <si>
    <t>平均延滯</t>
  </si>
  <si>
    <t>07:00~08:00</t>
    <phoneticPr fontId="20" type="noConversion"/>
  </si>
  <si>
    <t>11:00~12:00</t>
    <phoneticPr fontId="20" type="noConversion"/>
  </si>
  <si>
    <t>17:00~18:00</t>
    <phoneticPr fontId="20" type="noConversion"/>
  </si>
  <si>
    <t>14:30~15:30</t>
    <phoneticPr fontId="20" type="noConversion"/>
  </si>
  <si>
    <t>17:30~18:30</t>
    <phoneticPr fontId="20" type="noConversion"/>
  </si>
  <si>
    <t>16:00~17:00</t>
    <phoneticPr fontId="20" type="noConversion"/>
  </si>
  <si>
    <t>07:15~08:15</t>
    <phoneticPr fontId="20" type="noConversion"/>
  </si>
  <si>
    <t>11:15~12:15</t>
    <phoneticPr fontId="20" type="noConversion"/>
  </si>
  <si>
    <t>17:15~18:15</t>
    <phoneticPr fontId="20" type="noConversion"/>
  </si>
  <si>
    <t>16:15~17:15</t>
    <phoneticPr fontId="20" type="noConversion"/>
  </si>
  <si>
    <t>07:30~08:30</t>
    <phoneticPr fontId="20" type="noConversion"/>
  </si>
  <si>
    <t>11:30~12:30</t>
    <phoneticPr fontId="20" type="noConversion"/>
  </si>
  <si>
    <t>16:30~17:30</t>
    <phoneticPr fontId="20" type="noConversion"/>
  </si>
  <si>
    <t>07:45~08:45</t>
    <phoneticPr fontId="20" type="noConversion"/>
  </si>
  <si>
    <t>11:45~12:45</t>
    <phoneticPr fontId="20" type="noConversion"/>
  </si>
  <si>
    <t>17:45~18:45</t>
    <phoneticPr fontId="20" type="noConversion"/>
  </si>
  <si>
    <t>16:45~17:45</t>
    <phoneticPr fontId="20" type="noConversion"/>
  </si>
  <si>
    <t>08:00~09:00</t>
    <phoneticPr fontId="20" type="noConversion"/>
  </si>
  <si>
    <t>12:00~13:00</t>
    <phoneticPr fontId="20" type="noConversion"/>
  </si>
  <si>
    <t>18:00~19:00</t>
    <phoneticPr fontId="20" type="noConversion"/>
  </si>
  <si>
    <t>路口延滯</t>
    <phoneticPr fontId="20" type="noConversion"/>
  </si>
  <si>
    <t>MAX平均延滯</t>
    <phoneticPr fontId="20" type="noConversion"/>
  </si>
  <si>
    <t>MAX時段</t>
    <phoneticPr fontId="20" type="noConversion"/>
  </si>
  <si>
    <t>MAX平均停等延滯</t>
    <phoneticPr fontId="20" type="noConversion"/>
  </si>
  <si>
    <t>平均延滯(報告用)</t>
    <phoneticPr fontId="20" type="noConversion"/>
  </si>
  <si>
    <t>方向</t>
  </si>
  <si>
    <t>各方向延滯</t>
    <phoneticPr fontId="20" type="noConversion"/>
  </si>
  <si>
    <t>服務水準</t>
    <phoneticPr fontId="20" type="noConversion"/>
  </si>
  <si>
    <t>平均停等車輛延滯</t>
    <phoneticPr fontId="20" type="noConversion"/>
  </si>
  <si>
    <t>平日中午(12-14)</t>
  </si>
  <si>
    <t>平日中午(12-14)</t>
    <phoneticPr fontId="20" type="noConversion"/>
  </si>
  <si>
    <t>13:00~13:15</t>
    <phoneticPr fontId="20" type="noConversion"/>
  </si>
  <si>
    <t>13:15~13:30</t>
    <phoneticPr fontId="20" type="noConversion"/>
  </si>
  <si>
    <t>13:30~13:45</t>
    <phoneticPr fontId="20" type="noConversion"/>
  </si>
  <si>
    <t>13:45~14:00</t>
    <phoneticPr fontId="20" type="noConversion"/>
  </si>
  <si>
    <t>1200~13:00</t>
    <phoneticPr fontId="20" type="noConversion"/>
  </si>
  <si>
    <t>12:15~13:15</t>
    <phoneticPr fontId="20" type="noConversion"/>
  </si>
  <si>
    <t>12:30~13:30</t>
    <phoneticPr fontId="20" type="noConversion"/>
  </si>
  <si>
    <t>12:45~13:45</t>
    <phoneticPr fontId="20" type="noConversion"/>
  </si>
  <si>
    <t>13:00~14:00</t>
    <phoneticPr fontId="20" type="noConversion"/>
  </si>
  <si>
    <t>六叉路口</t>
    <phoneticPr fontId="20" type="noConversion"/>
  </si>
  <si>
    <t>0秒</t>
    <phoneticPr fontId="20" type="noConversion"/>
  </si>
  <si>
    <t>平日晨峰(0630-0830)</t>
    <phoneticPr fontId="20" type="noConversion"/>
  </si>
  <si>
    <t>假日(16-20)</t>
    <phoneticPr fontId="20" type="noConversion"/>
  </si>
  <si>
    <t>YYYY/MM/DD</t>
    <phoneticPr fontId="20" type="noConversion"/>
  </si>
  <si>
    <t>06:30~06:45</t>
    <phoneticPr fontId="20" type="noConversion"/>
  </si>
  <si>
    <t>06:45~07:00</t>
    <phoneticPr fontId="20" type="noConversion"/>
  </si>
  <si>
    <t>18:30~18:45</t>
    <phoneticPr fontId="20" type="noConversion"/>
  </si>
  <si>
    <t>18:45~19:00</t>
    <phoneticPr fontId="20" type="noConversion"/>
  </si>
  <si>
    <t>19:00~19:15</t>
    <phoneticPr fontId="20" type="noConversion"/>
  </si>
  <si>
    <t>19:15~19:30</t>
    <phoneticPr fontId="20" type="noConversion"/>
  </si>
  <si>
    <t>19:30~19:45</t>
    <phoneticPr fontId="20" type="noConversion"/>
  </si>
  <si>
    <t>19:45~20:00</t>
    <phoneticPr fontId="20" type="noConversion"/>
  </si>
  <si>
    <t>18:15~19:15</t>
    <phoneticPr fontId="20" type="noConversion"/>
  </si>
  <si>
    <t>18:30~19:30</t>
    <phoneticPr fontId="20" type="noConversion"/>
  </si>
  <si>
    <t>18:45~19:45</t>
    <phoneticPr fontId="20" type="noConversion"/>
  </si>
  <si>
    <t>19:00~20:00</t>
    <phoneticPr fontId="20" type="noConversion"/>
  </si>
  <si>
    <t>06:30~07:30</t>
    <phoneticPr fontId="20" type="noConversion"/>
  </si>
  <si>
    <t>06:45~07:45</t>
    <phoneticPr fontId="20" type="noConversion"/>
  </si>
  <si>
    <t>07:00~08:00</t>
    <phoneticPr fontId="20" type="noConversion"/>
  </si>
  <si>
    <t>07:15~08:15</t>
    <phoneticPr fontId="20" type="noConversion"/>
  </si>
  <si>
    <t>07:30~08:30</t>
    <phoneticPr fontId="20" type="noConversion"/>
  </si>
  <si>
    <t>路口延滯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</si>
</sst>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_);[Red]\(0\)"/>
    <numFmt numFmtId="177" formatCode="yyyy/m/d;@"/>
    <numFmt numFmtId="178" formatCode="hhmm"/>
    <numFmt numFmtId="179" formatCode="0.00_ "/>
    <numFmt numFmtId="180" formatCode="#,##0.00_ "/>
  </numFmts>
  <fonts count="35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22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9"/>
      <name val="Courier New"/>
      <family val="3"/>
    </font>
    <font>
      <sz val="10"/>
      <name val="細明體"/>
      <family val="3"/>
      <charset val="136"/>
    </font>
    <font>
      <sz val="12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sz val="12"/>
      <name val="細明體"/>
      <family val="3"/>
      <charset val="136"/>
    </font>
    <font>
      <sz val="12"/>
      <name val="Microsoft JhengHei"/>
      <family val="2"/>
    </font>
    <font>
      <sz val="12"/>
      <color indexed="8"/>
      <name val="微軟正黑體"/>
      <family val="2"/>
      <charset val="136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9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7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18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269">
    <xf numFmtId="0" fontId="0" fillId="0" borderId="0" xfId="0">
      <alignment vertical="center"/>
    </xf>
    <xf numFmtId="0" fontId="21" fillId="0" borderId="0" xfId="0" applyFont="1">
      <alignment vertical="center"/>
    </xf>
    <xf numFmtId="0" fontId="21" fillId="24" borderId="10" xfId="0" applyFont="1" applyFill="1" applyBorder="1" applyAlignment="1">
      <alignment horizontal="center"/>
    </xf>
    <xf numFmtId="0" fontId="21" fillId="24" borderId="11" xfId="0" applyFont="1" applyFill="1" applyBorder="1">
      <alignment vertical="center"/>
    </xf>
    <xf numFmtId="0" fontId="21" fillId="24" borderId="0" xfId="0" applyFont="1" applyFill="1" applyAlignment="1">
      <alignment horizontal="center"/>
    </xf>
    <xf numFmtId="0" fontId="22" fillId="24" borderId="0" xfId="0" applyFont="1" applyFill="1" applyAlignment="1">
      <alignment horizontal="center"/>
    </xf>
    <xf numFmtId="0" fontId="21" fillId="24" borderId="12" xfId="0" applyFont="1" applyFill="1" applyBorder="1">
      <alignment vertical="center"/>
    </xf>
    <xf numFmtId="0" fontId="2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49" fontId="21" fillId="0" borderId="0" xfId="0" applyNumberFormat="1" applyFont="1">
      <alignment vertical="center"/>
    </xf>
    <xf numFmtId="0" fontId="21" fillId="0" borderId="0" xfId="0" applyFont="1" applyAlignment="1" applyProtection="1">
      <protection locked="0"/>
    </xf>
    <xf numFmtId="0" fontId="21" fillId="0" borderId="0" xfId="0" applyFont="1" applyAlignment="1"/>
    <xf numFmtId="49" fontId="26" fillId="0" borderId="13" xfId="0" applyNumberFormat="1" applyFont="1" applyBorder="1">
      <alignment vertical="center"/>
    </xf>
    <xf numFmtId="0" fontId="29" fillId="0" borderId="0" xfId="56" applyFont="1" applyAlignment="1">
      <alignment horizontal="center"/>
    </xf>
    <xf numFmtId="49" fontId="2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0" xfId="0" applyFont="1">
      <alignment vertical="center"/>
    </xf>
    <xf numFmtId="0" fontId="32" fillId="0" borderId="0" xfId="0" applyFont="1">
      <alignment vertical="center"/>
    </xf>
    <xf numFmtId="0" fontId="32" fillId="0" borderId="0" xfId="57" applyFont="1">
      <alignment vertical="center"/>
    </xf>
    <xf numFmtId="0" fontId="21" fillId="0" borderId="0" xfId="0" applyFont="1" applyAlignment="1" applyProtection="1">
      <protection locked="0" hidden="1"/>
    </xf>
    <xf numFmtId="0" fontId="33" fillId="0" borderId="0" xfId="0" applyFont="1" applyAlignment="1">
      <alignment horizontal="left" vertical="center"/>
    </xf>
    <xf numFmtId="49" fontId="21" fillId="29" borderId="14" xfId="0" applyNumberFormat="1" applyFont="1" applyFill="1" applyBorder="1">
      <alignment vertical="center"/>
    </xf>
    <xf numFmtId="14" fontId="21" fillId="29" borderId="4" xfId="0" applyNumberFormat="1" applyFont="1" applyFill="1" applyBorder="1" applyAlignment="1">
      <alignment horizontal="center" vertical="center"/>
    </xf>
    <xf numFmtId="49" fontId="21" fillId="29" borderId="4" xfId="0" applyNumberFormat="1" applyFont="1" applyFill="1" applyBorder="1" applyAlignment="1">
      <alignment horizontal="center" vertical="center"/>
    </xf>
    <xf numFmtId="0" fontId="21" fillId="29" borderId="4" xfId="0" applyFont="1" applyFill="1" applyBorder="1" applyAlignment="1">
      <alignment horizontal="center" vertical="center"/>
    </xf>
    <xf numFmtId="0" fontId="0" fillId="0" borderId="27" xfId="0" applyBorder="1">
      <alignment vertical="center"/>
    </xf>
    <xf numFmtId="0" fontId="27" fillId="2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30" borderId="15" xfId="0" applyFont="1" applyFill="1" applyBorder="1" applyAlignment="1" applyProtection="1">
      <alignment horizontal="center" vertical="center" wrapText="1"/>
      <protection locked="0"/>
    </xf>
    <xf numFmtId="0" fontId="21" fillId="30" borderId="16" xfId="0" applyFont="1" applyFill="1" applyBorder="1" applyAlignment="1" applyProtection="1">
      <alignment horizontal="centerContinuous" vertical="center" wrapText="1"/>
      <protection locked="0"/>
    </xf>
    <xf numFmtId="0" fontId="21" fillId="30" borderId="17" xfId="0" applyFont="1" applyFill="1" applyBorder="1" applyAlignment="1" applyProtection="1">
      <alignment horizontal="centerContinuous" vertical="center" wrapText="1"/>
      <protection locked="0"/>
    </xf>
    <xf numFmtId="0" fontId="21" fillId="30" borderId="18" xfId="0" applyFont="1" applyFill="1" applyBorder="1" applyAlignment="1" applyProtection="1">
      <alignment horizontal="centerContinuous" vertical="center" wrapText="1"/>
      <protection locked="0"/>
    </xf>
    <xf numFmtId="0" fontId="21" fillId="30" borderId="0" xfId="0" applyFont="1" applyFill="1" applyAlignment="1" applyProtection="1">
      <protection locked="0"/>
    </xf>
    <xf numFmtId="20" fontId="21" fillId="30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locked="0"/>
    </xf>
    <xf numFmtId="0" fontId="21" fillId="30" borderId="19" xfId="0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locked="0" hidden="1"/>
    </xf>
    <xf numFmtId="0" fontId="21" fillId="30" borderId="19" xfId="0" applyFont="1" applyFill="1" applyBorder="1" applyAlignment="1" applyProtection="1">
      <alignment horizontal="center" vertical="center" wrapText="1"/>
      <protection locked="0"/>
    </xf>
    <xf numFmtId="0" fontId="21" fillId="31" borderId="15" xfId="0" applyFont="1" applyFill="1" applyBorder="1" applyAlignment="1" applyProtection="1">
      <alignment horizontal="center" vertical="center" wrapText="1"/>
      <protection locked="0"/>
    </xf>
    <xf numFmtId="0" fontId="21" fillId="31" borderId="16" xfId="0" applyFont="1" applyFill="1" applyBorder="1" applyAlignment="1" applyProtection="1">
      <alignment horizontal="centerContinuous" vertical="center" wrapText="1"/>
      <protection locked="0"/>
    </xf>
    <xf numFmtId="0" fontId="21" fillId="31" borderId="17" xfId="0" applyFont="1" applyFill="1" applyBorder="1" applyAlignment="1" applyProtection="1">
      <alignment horizontal="centerContinuous" vertical="center" wrapText="1"/>
      <protection locked="0"/>
    </xf>
    <xf numFmtId="0" fontId="21" fillId="31" borderId="18" xfId="0" applyFont="1" applyFill="1" applyBorder="1" applyAlignment="1" applyProtection="1">
      <alignment horizontal="centerContinuous" vertical="center" wrapText="1"/>
      <protection locked="0"/>
    </xf>
    <xf numFmtId="0" fontId="21" fillId="31" borderId="0" xfId="0" applyFont="1" applyFill="1" applyAlignment="1" applyProtection="1">
      <protection locked="0"/>
    </xf>
    <xf numFmtId="20" fontId="21" fillId="31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locked="0"/>
    </xf>
    <xf numFmtId="0" fontId="21" fillId="31" borderId="19" xfId="0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locked="0" hidden="1"/>
    </xf>
    <xf numFmtId="0" fontId="21" fillId="31" borderId="19" xfId="0" applyFont="1" applyFill="1" applyBorder="1" applyAlignment="1" applyProtection="1">
      <alignment horizontal="center" vertical="center" wrapText="1"/>
      <protection locked="0"/>
    </xf>
    <xf numFmtId="20" fontId="21" fillId="31" borderId="0" xfId="0" applyNumberFormat="1" applyFont="1" applyFill="1" applyAlignment="1" applyProtection="1">
      <alignment horizontal="center" vertical="center" wrapText="1"/>
      <protection locked="0" hidden="1"/>
    </xf>
    <xf numFmtId="0" fontId="21" fillId="31" borderId="0" xfId="0" applyFont="1" applyFill="1" applyAlignment="1"/>
    <xf numFmtId="20" fontId="21" fillId="31" borderId="21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15" xfId="0" applyFont="1" applyFill="1" applyBorder="1" applyAlignment="1">
      <alignment horizontal="center" vertical="center" wrapText="1"/>
    </xf>
    <xf numFmtId="0" fontId="21" fillId="30" borderId="16" xfId="0" applyFont="1" applyFill="1" applyBorder="1" applyAlignment="1">
      <alignment horizontal="centerContinuous" vertical="center" wrapText="1"/>
    </xf>
    <xf numFmtId="0" fontId="21" fillId="30" borderId="17" xfId="0" applyFont="1" applyFill="1" applyBorder="1" applyAlignment="1">
      <alignment horizontal="centerContinuous" vertical="center" wrapText="1"/>
    </xf>
    <xf numFmtId="0" fontId="21" fillId="30" borderId="18" xfId="0" applyFont="1" applyFill="1" applyBorder="1" applyAlignment="1">
      <alignment horizontal="centerContinuous" vertical="center" wrapText="1"/>
    </xf>
    <xf numFmtId="0" fontId="21" fillId="30" borderId="0" xfId="0" applyFont="1" applyFill="1" applyAlignment="1"/>
    <xf numFmtId="20" fontId="21" fillId="30" borderId="19" xfId="0" applyNumberFormat="1" applyFont="1" applyFill="1" applyBorder="1" applyAlignment="1">
      <alignment horizontal="center" vertical="center" wrapText="1"/>
    </xf>
    <xf numFmtId="0" fontId="21" fillId="30" borderId="20" xfId="0" applyFont="1" applyFill="1" applyBorder="1" applyAlignment="1">
      <alignment horizontal="center" vertical="center" wrapText="1"/>
    </xf>
    <xf numFmtId="0" fontId="21" fillId="30" borderId="19" xfId="0" applyFont="1" applyFill="1" applyBorder="1" applyAlignment="1">
      <alignment horizontal="center" vertical="center" wrapText="1"/>
    </xf>
    <xf numFmtId="0" fontId="21" fillId="31" borderId="15" xfId="0" applyFont="1" applyFill="1" applyBorder="1" applyAlignment="1">
      <alignment horizontal="center" vertical="center" wrapText="1"/>
    </xf>
    <xf numFmtId="0" fontId="21" fillId="31" borderId="16" xfId="0" applyFont="1" applyFill="1" applyBorder="1" applyAlignment="1">
      <alignment horizontal="centerContinuous" vertical="center" wrapText="1"/>
    </xf>
    <xf numFmtId="0" fontId="21" fillId="31" borderId="17" xfId="0" applyFont="1" applyFill="1" applyBorder="1" applyAlignment="1">
      <alignment horizontal="centerContinuous" vertical="center" wrapText="1"/>
    </xf>
    <xf numFmtId="0" fontId="21" fillId="31" borderId="18" xfId="0" applyFont="1" applyFill="1" applyBorder="1" applyAlignment="1">
      <alignment horizontal="centerContinuous" vertical="center" wrapText="1"/>
    </xf>
    <xf numFmtId="20" fontId="21" fillId="31" borderId="19" xfId="0" applyNumberFormat="1" applyFont="1" applyFill="1" applyBorder="1" applyAlignment="1">
      <alignment horizontal="center" vertical="center" wrapText="1"/>
    </xf>
    <xf numFmtId="0" fontId="21" fillId="31" borderId="20" xfId="0" applyFont="1" applyFill="1" applyBorder="1" applyAlignment="1">
      <alignment horizontal="center" vertical="center" wrapText="1"/>
    </xf>
    <xf numFmtId="0" fontId="21" fillId="31" borderId="19" xfId="0" applyFont="1" applyFill="1" applyBorder="1" applyAlignment="1">
      <alignment horizontal="center" vertical="center" wrapText="1"/>
    </xf>
    <xf numFmtId="20" fontId="21" fillId="31" borderId="0" xfId="0" applyNumberFormat="1" applyFont="1" applyFill="1" applyAlignment="1">
      <alignment horizontal="center" vertical="center" wrapText="1"/>
    </xf>
    <xf numFmtId="20" fontId="21" fillId="31" borderId="21" xfId="0" applyNumberFormat="1" applyFont="1" applyFill="1" applyBorder="1" applyAlignment="1">
      <alignment horizontal="center" vertical="center" wrapText="1"/>
    </xf>
    <xf numFmtId="0" fontId="21" fillId="30" borderId="0" xfId="0" applyFont="1" applyFill="1" applyAlignment="1">
      <alignment horizontal="center" vertical="center"/>
    </xf>
    <xf numFmtId="0" fontId="21" fillId="29" borderId="0" xfId="0" applyFont="1" applyFill="1" applyAlignment="1">
      <alignment horizontal="center" vertical="center"/>
    </xf>
    <xf numFmtId="0" fontId="33" fillId="29" borderId="0" xfId="0" applyFont="1" applyFill="1" applyAlignment="1">
      <alignment horizontal="center" vertical="center"/>
    </xf>
    <xf numFmtId="0" fontId="21" fillId="32" borderId="0" xfId="0" applyFont="1" applyFill="1" applyAlignment="1">
      <alignment horizontal="center" vertical="center"/>
    </xf>
    <xf numFmtId="14" fontId="21" fillId="32" borderId="4" xfId="0" applyNumberFormat="1" applyFont="1" applyFill="1" applyBorder="1" applyAlignment="1">
      <alignment horizontal="center" vertical="center"/>
    </xf>
    <xf numFmtId="0" fontId="21" fillId="32" borderId="4" xfId="0" applyFont="1" applyFill="1" applyBorder="1" applyAlignment="1">
      <alignment horizontal="center" vertical="center"/>
    </xf>
    <xf numFmtId="49" fontId="21" fillId="32" borderId="4" xfId="0" applyNumberFormat="1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33" borderId="0" xfId="0" applyFill="1" applyAlignment="1">
      <alignment horizontal="center" vertical="center"/>
    </xf>
    <xf numFmtId="20" fontId="21" fillId="33" borderId="0" xfId="0" applyNumberFormat="1" applyFont="1" applyFill="1" applyAlignment="1" applyProtection="1">
      <alignment horizontal="center" vertical="center" wrapText="1"/>
      <protection locked="0" hidden="1"/>
    </xf>
    <xf numFmtId="0" fontId="21" fillId="33" borderId="0" xfId="0" applyFont="1" applyFill="1" applyAlignment="1" applyProtection="1">
      <alignment horizontal="center" vertical="center" wrapText="1"/>
      <protection locked="0" hidden="1"/>
    </xf>
    <xf numFmtId="0" fontId="0" fillId="33" borderId="12" xfId="0" applyFill="1" applyBorder="1" applyAlignment="1">
      <alignment horizontal="center" vertical="center"/>
    </xf>
    <xf numFmtId="20" fontId="21" fillId="33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3" borderId="12" xfId="0" applyFont="1" applyFill="1" applyBorder="1" applyAlignment="1" applyProtection="1">
      <alignment horizontal="center" vertical="center" wrapText="1"/>
      <protection locked="0" hidden="1"/>
    </xf>
    <xf numFmtId="0" fontId="0" fillId="30" borderId="0" xfId="0" applyFill="1" applyAlignment="1">
      <alignment horizontal="center" vertical="center"/>
    </xf>
    <xf numFmtId="20" fontId="21" fillId="30" borderId="0" xfId="0" applyNumberFormat="1" applyFont="1" applyFill="1" applyAlignment="1" applyProtection="1">
      <alignment horizontal="center" vertical="center" wrapText="1"/>
      <protection locked="0" hidden="1"/>
    </xf>
    <xf numFmtId="0" fontId="21" fillId="30" borderId="0" xfId="0" applyFont="1" applyFill="1" applyAlignment="1" applyProtection="1">
      <alignment horizontal="center" vertical="center" wrapText="1"/>
      <protection locked="0" hidden="1"/>
    </xf>
    <xf numFmtId="0" fontId="0" fillId="30" borderId="12" xfId="0" applyFill="1" applyBorder="1" applyAlignment="1">
      <alignment horizontal="center" vertical="center"/>
    </xf>
    <xf numFmtId="20" fontId="21" fillId="30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12" xfId="0" applyFont="1" applyFill="1" applyBorder="1" applyAlignment="1" applyProtection="1">
      <alignment horizontal="center" vertical="center" wrapText="1"/>
      <protection locked="0" hidden="1"/>
    </xf>
    <xf numFmtId="0" fontId="21" fillId="30" borderId="11" xfId="0" applyFont="1" applyFill="1" applyBorder="1" applyAlignment="1" applyProtection="1">
      <alignment horizontal="center" vertical="center" wrapText="1"/>
      <protection locked="0" hidden="1"/>
    </xf>
    <xf numFmtId="0" fontId="0" fillId="31" borderId="0" xfId="0" applyFill="1" applyAlignment="1">
      <alignment horizontal="center" vertical="center"/>
    </xf>
    <xf numFmtId="0" fontId="21" fillId="31" borderId="0" xfId="0" applyFont="1" applyFill="1" applyAlignment="1" applyProtection="1">
      <alignment horizontal="center" vertical="center" wrapText="1"/>
      <protection locked="0" hidden="1"/>
    </xf>
    <xf numFmtId="0" fontId="0" fillId="31" borderId="12" xfId="0" applyFill="1" applyBorder="1" applyAlignment="1">
      <alignment horizontal="center" vertical="center"/>
    </xf>
    <xf numFmtId="20" fontId="21" fillId="31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12" xfId="0" applyFont="1" applyFill="1" applyBorder="1" applyAlignment="1" applyProtection="1">
      <alignment horizontal="center" vertical="center" wrapText="1"/>
      <protection locked="0" hidden="1"/>
    </xf>
    <xf numFmtId="0" fontId="0" fillId="33" borderId="27" xfId="0" applyFill="1" applyBorder="1" applyAlignment="1">
      <alignment horizontal="center" vertical="center"/>
    </xf>
    <xf numFmtId="20" fontId="21" fillId="33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3" borderId="27" xfId="0" applyFont="1" applyFill="1" applyBorder="1" applyAlignment="1" applyProtection="1">
      <alignment horizontal="center" vertical="center" wrapText="1"/>
      <protection locked="0" hidden="1"/>
    </xf>
    <xf numFmtId="0" fontId="0" fillId="30" borderId="27" xfId="0" applyFill="1" applyBorder="1" applyAlignment="1">
      <alignment horizontal="center" vertical="center"/>
    </xf>
    <xf numFmtId="20" fontId="21" fillId="30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27" xfId="0" applyFont="1" applyFill="1" applyBorder="1" applyAlignment="1" applyProtection="1">
      <alignment horizontal="center" vertical="center" wrapText="1"/>
      <protection locked="0" hidden="1"/>
    </xf>
    <xf numFmtId="0" fontId="21" fillId="30" borderId="21" xfId="0" applyFont="1" applyFill="1" applyBorder="1" applyAlignment="1" applyProtection="1">
      <alignment horizontal="center" vertical="center" wrapText="1"/>
      <protection locked="0" hidden="1"/>
    </xf>
    <xf numFmtId="0" fontId="0" fillId="31" borderId="27" xfId="0" applyFill="1" applyBorder="1" applyAlignment="1">
      <alignment horizontal="center" vertical="center"/>
    </xf>
    <xf numFmtId="20" fontId="21" fillId="31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27" xfId="0" applyFont="1" applyFill="1" applyBorder="1" applyAlignment="1" applyProtection="1">
      <alignment horizontal="center" vertical="center" wrapText="1"/>
      <protection locked="0" hidden="1"/>
    </xf>
    <xf numFmtId="0" fontId="0" fillId="34" borderId="0" xfId="0" applyFill="1" applyAlignment="1">
      <alignment horizontal="center" vertical="center"/>
    </xf>
    <xf numFmtId="20" fontId="21" fillId="34" borderId="0" xfId="0" applyNumberFormat="1" applyFont="1" applyFill="1" applyAlignment="1" applyProtection="1">
      <alignment horizontal="center" vertical="center" wrapText="1"/>
      <protection locked="0" hidden="1"/>
    </xf>
    <xf numFmtId="0" fontId="0" fillId="34" borderId="12" xfId="0" applyFill="1" applyBorder="1" applyAlignment="1">
      <alignment horizontal="center" vertical="center"/>
    </xf>
    <xf numFmtId="20" fontId="21" fillId="34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4" borderId="12" xfId="0" applyFont="1" applyFill="1" applyBorder="1" applyAlignment="1" applyProtection="1">
      <alignment horizontal="center" vertical="center" wrapText="1"/>
      <protection locked="0" hidden="1"/>
    </xf>
    <xf numFmtId="0" fontId="21" fillId="34" borderId="0" xfId="0" applyFont="1" applyFill="1" applyAlignment="1" applyProtection="1">
      <alignment horizontal="center" vertical="center" wrapText="1"/>
      <protection locked="0" hidden="1"/>
    </xf>
    <xf numFmtId="0" fontId="0" fillId="34" borderId="27" xfId="0" applyFill="1" applyBorder="1" applyAlignment="1">
      <alignment horizontal="center" vertical="center"/>
    </xf>
    <xf numFmtId="20" fontId="21" fillId="34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4" borderId="27" xfId="0" applyFont="1" applyFill="1" applyBorder="1" applyAlignment="1" applyProtection="1">
      <alignment horizontal="center" vertical="center" wrapText="1"/>
      <protection locked="0" hidden="1"/>
    </xf>
    <xf numFmtId="0" fontId="21" fillId="34" borderId="11" xfId="0" applyFont="1" applyFill="1" applyBorder="1" applyAlignment="1" applyProtection="1">
      <alignment horizontal="center" vertical="center" wrapText="1"/>
      <protection locked="0" hidden="1"/>
    </xf>
    <xf numFmtId="0" fontId="21" fillId="34" borderId="11" xfId="0" applyFont="1" applyFill="1" applyBorder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27" xfId="0" applyFont="1" applyFill="1" applyBorder="1" applyAlignment="1">
      <alignment horizontal="center" vertical="center"/>
    </xf>
    <xf numFmtId="0" fontId="21" fillId="34" borderId="21" xfId="0" applyFont="1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27" xfId="0" applyFill="1" applyBorder="1" applyAlignment="1">
      <alignment horizontal="center" vertical="center"/>
    </xf>
    <xf numFmtId="20" fontId="21" fillId="35" borderId="0" xfId="0" applyNumberFormat="1" applyFont="1" applyFill="1" applyAlignment="1" applyProtection="1">
      <alignment horizontal="center" vertical="center" wrapText="1"/>
      <protection locked="0" hidden="1"/>
    </xf>
    <xf numFmtId="20" fontId="21" fillId="35" borderId="12" xfId="0" applyNumberFormat="1" applyFont="1" applyFill="1" applyBorder="1" applyAlignment="1" applyProtection="1">
      <alignment horizontal="center" vertical="center" wrapText="1"/>
      <protection locked="0" hidden="1"/>
    </xf>
    <xf numFmtId="20" fontId="21" fillId="35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5" borderId="0" xfId="0" applyFont="1" applyFill="1" applyAlignment="1">
      <alignment horizontal="center" vertical="center"/>
    </xf>
    <xf numFmtId="0" fontId="21" fillId="35" borderId="12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21" fillId="35" borderId="27" xfId="0" applyFont="1" applyFill="1" applyBorder="1" applyAlignment="1">
      <alignment horizontal="center" vertical="center"/>
    </xf>
    <xf numFmtId="0" fontId="21" fillId="35" borderId="21" xfId="0" applyFont="1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20" fontId="21" fillId="36" borderId="0" xfId="0" applyNumberFormat="1" applyFont="1" applyFill="1" applyAlignment="1" applyProtection="1">
      <alignment horizontal="center" vertical="center" wrapText="1"/>
      <protection locked="0" hidden="1"/>
    </xf>
    <xf numFmtId="0" fontId="21" fillId="36" borderId="0" xfId="0" applyFont="1" applyFill="1" applyAlignment="1">
      <alignment horizontal="center" vertical="center"/>
    </xf>
    <xf numFmtId="0" fontId="0" fillId="36" borderId="12" xfId="0" applyFill="1" applyBorder="1" applyAlignment="1">
      <alignment horizontal="center" vertical="center"/>
    </xf>
    <xf numFmtId="20" fontId="21" fillId="36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6" borderId="12" xfId="0" applyFont="1" applyFill="1" applyBorder="1" applyAlignment="1">
      <alignment horizontal="center" vertical="center"/>
    </xf>
    <xf numFmtId="0" fontId="21" fillId="36" borderId="11" xfId="0" applyFont="1" applyFill="1" applyBorder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20" fontId="21" fillId="36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6" borderId="27" xfId="0" applyFont="1" applyFill="1" applyBorder="1" applyAlignment="1">
      <alignment horizontal="center" vertical="center"/>
    </xf>
    <xf numFmtId="0" fontId="21" fillId="36" borderId="21" xfId="0" applyFont="1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20" fontId="21" fillId="36" borderId="11" xfId="0" applyNumberFormat="1" applyFont="1" applyFill="1" applyBorder="1" applyAlignment="1" applyProtection="1">
      <alignment horizontal="center" vertical="center" wrapText="1"/>
      <protection locked="0" hidden="1"/>
    </xf>
    <xf numFmtId="0" fontId="0" fillId="36" borderId="21" xfId="0" applyFill="1" applyBorder="1" applyAlignment="1">
      <alignment horizontal="center" vertical="center"/>
    </xf>
    <xf numFmtId="20" fontId="21" fillId="36" borderId="21" xfId="0" applyNumberFormat="1" applyFont="1" applyFill="1" applyBorder="1" applyAlignment="1" applyProtection="1">
      <alignment horizontal="center" vertical="center" wrapText="1"/>
      <protection locked="0" hidden="1"/>
    </xf>
    <xf numFmtId="20" fontId="21" fillId="33" borderId="0" xfId="0" applyNumberFormat="1" applyFont="1" applyFill="1" applyAlignment="1">
      <alignment horizontal="center" vertical="center"/>
    </xf>
    <xf numFmtId="20" fontId="21" fillId="33" borderId="27" xfId="0" applyNumberFormat="1" applyFont="1" applyFill="1" applyBorder="1" applyAlignment="1">
      <alignment horizontal="center" vertical="center"/>
    </xf>
    <xf numFmtId="20" fontId="21" fillId="33" borderId="12" xfId="0" applyNumberFormat="1" applyFont="1" applyFill="1" applyBorder="1" applyAlignment="1">
      <alignment horizontal="center" vertical="center"/>
    </xf>
    <xf numFmtId="0" fontId="21" fillId="33" borderId="21" xfId="0" applyFont="1" applyFill="1" applyBorder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27" xfId="0" applyFont="1" applyFill="1" applyBorder="1" applyAlignment="1">
      <alignment horizontal="center" vertical="center"/>
    </xf>
    <xf numFmtId="20" fontId="21" fillId="30" borderId="0" xfId="0" applyNumberFormat="1" applyFont="1" applyFill="1" applyAlignment="1">
      <alignment horizontal="center" vertical="center"/>
    </xf>
    <xf numFmtId="20" fontId="21" fillId="30" borderId="27" xfId="0" applyNumberFormat="1" applyFont="1" applyFill="1" applyBorder="1" applyAlignment="1">
      <alignment horizontal="center" vertical="center"/>
    </xf>
    <xf numFmtId="20" fontId="21" fillId="30" borderId="12" xfId="0" applyNumberFormat="1" applyFont="1" applyFill="1" applyBorder="1" applyAlignment="1">
      <alignment horizontal="center" vertical="center"/>
    </xf>
    <xf numFmtId="0" fontId="21" fillId="30" borderId="21" xfId="0" applyFont="1" applyFill="1" applyBorder="1" applyAlignment="1">
      <alignment horizontal="center" vertical="center"/>
    </xf>
    <xf numFmtId="0" fontId="21" fillId="30" borderId="12" xfId="0" applyFont="1" applyFill="1" applyBorder="1" applyAlignment="1">
      <alignment horizontal="center" vertical="center"/>
    </xf>
    <xf numFmtId="0" fontId="21" fillId="30" borderId="11" xfId="0" applyFont="1" applyFill="1" applyBorder="1" applyAlignment="1">
      <alignment horizontal="center" vertical="center"/>
    </xf>
    <xf numFmtId="0" fontId="21" fillId="30" borderId="27" xfId="0" applyFont="1" applyFill="1" applyBorder="1" applyAlignment="1">
      <alignment horizontal="center" vertical="center"/>
    </xf>
    <xf numFmtId="0" fontId="21" fillId="33" borderId="0" xfId="0" applyFont="1" applyFill="1" applyAlignment="1" applyProtection="1">
      <alignment horizontal="center" vertical="center" wrapText="1"/>
      <protection locked="0"/>
    </xf>
    <xf numFmtId="0" fontId="21" fillId="33" borderId="12" xfId="0" applyFont="1" applyFill="1" applyBorder="1" applyAlignment="1" applyProtection="1">
      <alignment horizontal="center" vertical="center" wrapText="1"/>
      <protection locked="0"/>
    </xf>
    <xf numFmtId="0" fontId="21" fillId="38" borderId="28" xfId="0" applyFont="1" applyFill="1" applyBorder="1" applyAlignment="1">
      <alignment horizontal="center" vertical="center"/>
    </xf>
    <xf numFmtId="49" fontId="21" fillId="38" borderId="28" xfId="0" applyNumberFormat="1" applyFont="1" applyFill="1" applyBorder="1" applyAlignment="1">
      <alignment horizontal="center"/>
    </xf>
    <xf numFmtId="178" fontId="21" fillId="38" borderId="28" xfId="0" applyNumberFormat="1" applyFont="1" applyFill="1" applyBorder="1" applyAlignment="1">
      <alignment horizontal="center"/>
    </xf>
    <xf numFmtId="0" fontId="21" fillId="39" borderId="28" xfId="0" applyFont="1" applyFill="1" applyBorder="1" applyAlignment="1">
      <alignment horizontal="center" vertical="center"/>
    </xf>
    <xf numFmtId="179" fontId="21" fillId="39" borderId="28" xfId="0" applyNumberFormat="1" applyFont="1" applyFill="1" applyBorder="1" applyAlignment="1">
      <alignment horizontal="center" vertical="center"/>
    </xf>
    <xf numFmtId="179" fontId="21" fillId="38" borderId="28" xfId="0" applyNumberFormat="1" applyFont="1" applyFill="1" applyBorder="1" applyAlignment="1">
      <alignment horizontal="center" vertical="center"/>
    </xf>
    <xf numFmtId="0" fontId="21" fillId="40" borderId="0" xfId="0" applyFont="1" applyFill="1">
      <alignment vertical="center"/>
    </xf>
    <xf numFmtId="0" fontId="21" fillId="41" borderId="28" xfId="0" applyFont="1" applyFill="1" applyBorder="1" applyAlignment="1">
      <alignment horizontal="center" vertical="center" wrapText="1"/>
    </xf>
    <xf numFmtId="0" fontId="21" fillId="41" borderId="33" xfId="0" applyFont="1" applyFill="1" applyBorder="1" applyAlignment="1">
      <alignment horizontal="center" vertical="center" wrapText="1"/>
    </xf>
    <xf numFmtId="0" fontId="21" fillId="41" borderId="33" xfId="0" applyFont="1" applyFill="1" applyBorder="1" applyAlignment="1">
      <alignment horizontal="center" vertical="center"/>
    </xf>
    <xf numFmtId="0" fontId="21" fillId="41" borderId="34" xfId="0" applyFont="1" applyFill="1" applyBorder="1" applyAlignment="1">
      <alignment horizontal="center" vertical="center"/>
    </xf>
    <xf numFmtId="0" fontId="21" fillId="30" borderId="34" xfId="0" applyFont="1" applyFill="1" applyBorder="1" applyAlignment="1">
      <alignment horizontal="center" vertical="center"/>
    </xf>
    <xf numFmtId="180" fontId="34" fillId="30" borderId="34" xfId="58" applyNumberFormat="1" applyFont="1" applyFill="1" applyBorder="1" applyAlignment="1">
      <alignment horizontal="center" vertical="center" wrapText="1"/>
    </xf>
    <xf numFmtId="0" fontId="34" fillId="41" borderId="31" xfId="0" applyFont="1" applyFill="1" applyBorder="1" applyAlignment="1">
      <alignment horizontal="center" vertical="center" wrapText="1"/>
    </xf>
    <xf numFmtId="180" fontId="34" fillId="30" borderId="33" xfId="58" applyNumberFormat="1" applyFont="1" applyFill="1" applyBorder="1" applyAlignment="1">
      <alignment horizontal="center" vertical="center" wrapText="1"/>
    </xf>
    <xf numFmtId="180" fontId="34" fillId="30" borderId="32" xfId="58" applyNumberFormat="1" applyFont="1" applyFill="1" applyBorder="1" applyAlignment="1">
      <alignment horizontal="center" vertical="center" wrapText="1"/>
    </xf>
    <xf numFmtId="0" fontId="21" fillId="41" borderId="28" xfId="0" applyFont="1" applyFill="1" applyBorder="1" applyAlignment="1">
      <alignment horizontal="center" vertical="center"/>
    </xf>
    <xf numFmtId="180" fontId="34" fillId="30" borderId="28" xfId="58" applyNumberFormat="1" applyFont="1" applyFill="1" applyBorder="1" applyAlignment="1">
      <alignment horizontal="center" vertical="center" wrapText="1"/>
    </xf>
    <xf numFmtId="0" fontId="34" fillId="41" borderId="35" xfId="0" applyFont="1" applyFill="1" applyBorder="1" applyAlignment="1">
      <alignment horizontal="center" vertical="center" wrapText="1"/>
    </xf>
    <xf numFmtId="0" fontId="34" fillId="41" borderId="10" xfId="0" applyFont="1" applyFill="1" applyBorder="1" applyAlignment="1">
      <alignment horizontal="center" vertical="center" wrapText="1"/>
    </xf>
    <xf numFmtId="180" fontId="34" fillId="30" borderId="36" xfId="58" applyNumberFormat="1" applyFont="1" applyFill="1" applyBorder="1" applyAlignment="1">
      <alignment horizontal="center" vertical="center" wrapText="1"/>
    </xf>
    <xf numFmtId="0" fontId="21" fillId="41" borderId="10" xfId="0" applyFont="1" applyFill="1" applyBorder="1" applyAlignment="1">
      <alignment vertical="center" wrapText="1"/>
    </xf>
    <xf numFmtId="0" fontId="21" fillId="30" borderId="28" xfId="0" applyFont="1" applyFill="1" applyBorder="1" applyAlignment="1">
      <alignment horizontal="center" vertical="center"/>
    </xf>
    <xf numFmtId="180" fontId="34" fillId="41" borderId="0" xfId="58" applyNumberFormat="1" applyFont="1" applyFill="1" applyBorder="1" applyAlignment="1">
      <alignment horizontal="center" vertical="center" wrapText="1"/>
    </xf>
    <xf numFmtId="0" fontId="34" fillId="41" borderId="0" xfId="0" applyFont="1" applyFill="1" applyAlignment="1">
      <alignment horizontal="center" vertical="center" wrapText="1"/>
    </xf>
    <xf numFmtId="0" fontId="21" fillId="41" borderId="0" xfId="0" applyFont="1" applyFill="1">
      <alignment vertical="center"/>
    </xf>
    <xf numFmtId="0" fontId="21" fillId="33" borderId="34" xfId="0" applyFont="1" applyFill="1" applyBorder="1" applyAlignment="1">
      <alignment horizontal="center" vertical="center"/>
    </xf>
    <xf numFmtId="180" fontId="34" fillId="33" borderId="34" xfId="58" applyNumberFormat="1" applyFont="1" applyFill="1" applyBorder="1" applyAlignment="1">
      <alignment horizontal="center" vertical="center" wrapText="1"/>
    </xf>
    <xf numFmtId="180" fontId="34" fillId="33" borderId="33" xfId="58" applyNumberFormat="1" applyFont="1" applyFill="1" applyBorder="1" applyAlignment="1">
      <alignment horizontal="center" vertical="center" wrapText="1"/>
    </xf>
    <xf numFmtId="180" fontId="34" fillId="33" borderId="32" xfId="58" applyNumberFormat="1" applyFont="1" applyFill="1" applyBorder="1" applyAlignment="1">
      <alignment horizontal="center" vertical="center" wrapText="1"/>
    </xf>
    <xf numFmtId="180" fontId="34" fillId="33" borderId="28" xfId="58" applyNumberFormat="1" applyFont="1" applyFill="1" applyBorder="1" applyAlignment="1">
      <alignment horizontal="center" vertical="center" wrapText="1"/>
    </xf>
    <xf numFmtId="180" fontId="34" fillId="33" borderId="36" xfId="58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/>
    </xf>
    <xf numFmtId="180" fontId="34" fillId="33" borderId="30" xfId="58" applyNumberFormat="1" applyFont="1" applyFill="1" applyBorder="1" applyAlignment="1">
      <alignment horizontal="center" vertical="center" wrapText="1"/>
    </xf>
    <xf numFmtId="0" fontId="21" fillId="33" borderId="28" xfId="0" applyFont="1" applyFill="1" applyBorder="1" applyAlignment="1">
      <alignment horizontal="center" vertical="center"/>
    </xf>
    <xf numFmtId="176" fontId="31" fillId="0" borderId="0" xfId="56" applyNumberFormat="1" applyFont="1" applyAlignment="1">
      <alignment horizontal="center"/>
    </xf>
    <xf numFmtId="0" fontId="29" fillId="0" borderId="0" xfId="56" applyFont="1" applyAlignment="1">
      <alignment horizontal="right"/>
    </xf>
    <xf numFmtId="177" fontId="29" fillId="0" borderId="0" xfId="56" applyNumberFormat="1" applyFont="1" applyAlignment="1">
      <alignment horizontal="center"/>
    </xf>
    <xf numFmtId="0" fontId="0" fillId="42" borderId="0" xfId="0" applyFill="1" applyAlignment="1">
      <alignment horizontal="center" vertical="center"/>
    </xf>
    <xf numFmtId="20" fontId="21" fillId="42" borderId="0" xfId="0" applyNumberFormat="1" applyFont="1" applyFill="1" applyAlignment="1" applyProtection="1">
      <alignment horizontal="center" vertical="center" wrapText="1"/>
      <protection locked="0" hidden="1"/>
    </xf>
    <xf numFmtId="0" fontId="21" fillId="42" borderId="0" xfId="0" applyFont="1" applyFill="1" applyAlignment="1" applyProtection="1">
      <alignment horizontal="center" vertical="center" wrapText="1"/>
      <protection locked="0" hidden="1"/>
    </xf>
    <xf numFmtId="0" fontId="0" fillId="42" borderId="12" xfId="0" applyFill="1" applyBorder="1" applyAlignment="1">
      <alignment horizontal="center" vertical="center"/>
    </xf>
    <xf numFmtId="20" fontId="21" fillId="42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2" borderId="12" xfId="0" applyFont="1" applyFill="1" applyBorder="1" applyAlignment="1" applyProtection="1">
      <alignment horizontal="center" vertical="center" wrapText="1"/>
      <protection locked="0" hidden="1"/>
    </xf>
    <xf numFmtId="0" fontId="21" fillId="42" borderId="11" xfId="0" applyFont="1" applyFill="1" applyBorder="1" applyAlignment="1" applyProtection="1">
      <alignment horizontal="center" vertical="center" wrapText="1"/>
      <protection locked="0" hidden="1"/>
    </xf>
    <xf numFmtId="0" fontId="0" fillId="42" borderId="27" xfId="0" applyFill="1" applyBorder="1" applyAlignment="1">
      <alignment horizontal="center" vertical="center"/>
    </xf>
    <xf numFmtId="20" fontId="21" fillId="42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2" borderId="27" xfId="0" applyFont="1" applyFill="1" applyBorder="1" applyAlignment="1" applyProtection="1">
      <alignment horizontal="center" vertical="center" wrapText="1"/>
      <protection locked="0" hidden="1"/>
    </xf>
    <xf numFmtId="0" fontId="21" fillId="42" borderId="21" xfId="0" applyFont="1" applyFill="1" applyBorder="1" applyAlignment="1" applyProtection="1">
      <alignment horizontal="center" vertical="center" wrapText="1"/>
      <protection locked="0" hidden="1"/>
    </xf>
    <xf numFmtId="0" fontId="0" fillId="43" borderId="0" xfId="0" applyFill="1" applyAlignment="1">
      <alignment horizontal="center" vertical="center"/>
    </xf>
    <xf numFmtId="20" fontId="21" fillId="43" borderId="0" xfId="0" applyNumberFormat="1" applyFont="1" applyFill="1" applyAlignment="1" applyProtection="1">
      <alignment horizontal="center" vertical="center" wrapText="1"/>
      <protection locked="0" hidden="1"/>
    </xf>
    <xf numFmtId="0" fontId="21" fillId="43" borderId="0" xfId="0" applyFont="1" applyFill="1" applyAlignment="1" applyProtection="1">
      <alignment horizontal="center" vertical="center" wrapText="1"/>
      <protection locked="0"/>
    </xf>
    <xf numFmtId="0" fontId="0" fillId="43" borderId="0" xfId="0" applyFill="1">
      <alignment vertical="center"/>
    </xf>
    <xf numFmtId="0" fontId="0" fillId="43" borderId="12" xfId="0" applyFill="1" applyBorder="1" applyAlignment="1">
      <alignment horizontal="center" vertical="center"/>
    </xf>
    <xf numFmtId="20" fontId="21" fillId="43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3" borderId="12" xfId="0" applyFont="1" applyFill="1" applyBorder="1" applyAlignment="1" applyProtection="1">
      <alignment horizontal="center" vertical="center" wrapText="1"/>
      <protection locked="0"/>
    </xf>
    <xf numFmtId="0" fontId="0" fillId="43" borderId="12" xfId="0" applyFill="1" applyBorder="1">
      <alignment vertical="center"/>
    </xf>
    <xf numFmtId="0" fontId="21" fillId="43" borderId="0" xfId="0" applyFont="1" applyFill="1" applyAlignment="1" applyProtection="1">
      <alignment horizontal="center" vertical="center" wrapText="1"/>
      <protection locked="0" hidden="1"/>
    </xf>
    <xf numFmtId="0" fontId="21" fillId="43" borderId="12" xfId="0" applyFont="1" applyFill="1" applyBorder="1" applyAlignment="1" applyProtection="1">
      <alignment horizontal="center" vertical="center" wrapText="1"/>
      <protection locked="0" hidden="1"/>
    </xf>
    <xf numFmtId="0" fontId="0" fillId="43" borderId="27" xfId="0" applyFill="1" applyBorder="1" applyAlignment="1">
      <alignment horizontal="center" vertical="center"/>
    </xf>
    <xf numFmtId="20" fontId="21" fillId="43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3" borderId="27" xfId="0" applyFont="1" applyFill="1" applyBorder="1" applyAlignment="1" applyProtection="1">
      <alignment horizontal="center" vertical="center" wrapText="1"/>
      <protection locked="0" hidden="1"/>
    </xf>
    <xf numFmtId="0" fontId="0" fillId="43" borderId="27" xfId="0" applyFill="1" applyBorder="1">
      <alignment vertical="center"/>
    </xf>
    <xf numFmtId="20" fontId="21" fillId="43" borderId="0" xfId="0" applyNumberFormat="1" applyFont="1" applyFill="1" applyAlignment="1">
      <alignment horizontal="center" vertical="center"/>
    </xf>
    <xf numFmtId="0" fontId="21" fillId="43" borderId="0" xfId="0" applyFont="1" applyFill="1" applyAlignment="1">
      <alignment horizontal="center" vertical="center"/>
    </xf>
    <xf numFmtId="20" fontId="21" fillId="43" borderId="12" xfId="0" applyNumberFormat="1" applyFont="1" applyFill="1" applyBorder="1" applyAlignment="1">
      <alignment horizontal="center" vertical="center"/>
    </xf>
    <xf numFmtId="0" fontId="21" fillId="43" borderId="12" xfId="0" applyFont="1" applyFill="1" applyBorder="1" applyAlignment="1">
      <alignment horizontal="center" vertical="center"/>
    </xf>
    <xf numFmtId="20" fontId="21" fillId="43" borderId="27" xfId="0" applyNumberFormat="1" applyFont="1" applyFill="1" applyBorder="1" applyAlignment="1">
      <alignment horizontal="center" vertical="center"/>
    </xf>
    <xf numFmtId="0" fontId="21" fillId="43" borderId="27" xfId="0" applyFont="1" applyFill="1" applyBorder="1" applyAlignment="1">
      <alignment horizontal="center" vertical="center"/>
    </xf>
    <xf numFmtId="49" fontId="2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37" borderId="28" xfId="0" applyFont="1" applyFill="1" applyBorder="1" applyAlignment="1">
      <alignment horizontal="center" vertical="center"/>
    </xf>
    <xf numFmtId="0" fontId="21" fillId="26" borderId="28" xfId="0" applyFont="1" applyFill="1" applyBorder="1" applyAlignment="1">
      <alignment horizontal="center" vertical="center"/>
    </xf>
    <xf numFmtId="0" fontId="21" fillId="26" borderId="35" xfId="0" applyFont="1" applyFill="1" applyBorder="1" applyAlignment="1">
      <alignment horizontal="center" vertical="center"/>
    </xf>
    <xf numFmtId="0" fontId="21" fillId="26" borderId="37" xfId="0" applyFont="1" applyFill="1" applyBorder="1" applyAlignment="1">
      <alignment horizontal="center" vertical="center"/>
    </xf>
    <xf numFmtId="0" fontId="21" fillId="26" borderId="36" xfId="0" applyFont="1" applyFill="1" applyBorder="1" applyAlignment="1">
      <alignment horizontal="center" vertical="center"/>
    </xf>
    <xf numFmtId="0" fontId="21" fillId="41" borderId="29" xfId="0" applyFont="1" applyFill="1" applyBorder="1" applyAlignment="1">
      <alignment horizontal="center" vertical="center"/>
    </xf>
    <xf numFmtId="0" fontId="21" fillId="41" borderId="30" xfId="0" applyFont="1" applyFill="1" applyBorder="1" applyAlignment="1">
      <alignment horizontal="center" vertical="center"/>
    </xf>
    <xf numFmtId="0" fontId="21" fillId="41" borderId="31" xfId="0" applyFont="1" applyFill="1" applyBorder="1" applyAlignment="1">
      <alignment horizontal="center" vertical="center"/>
    </xf>
    <xf numFmtId="0" fontId="21" fillId="41" borderId="32" xfId="0" applyFont="1" applyFill="1" applyBorder="1" applyAlignment="1">
      <alignment horizontal="center" vertical="center"/>
    </xf>
    <xf numFmtId="0" fontId="21" fillId="41" borderId="28" xfId="0" applyFont="1" applyFill="1" applyBorder="1" applyAlignment="1">
      <alignment horizontal="center" vertical="center" wrapText="1"/>
    </xf>
    <xf numFmtId="0" fontId="21" fillId="41" borderId="35" xfId="0" applyFont="1" applyFill="1" applyBorder="1" applyAlignment="1">
      <alignment horizontal="center" vertical="center" wrapText="1"/>
    </xf>
    <xf numFmtId="0" fontId="21" fillId="41" borderId="37" xfId="0" applyFont="1" applyFill="1" applyBorder="1" applyAlignment="1">
      <alignment horizontal="center" vertical="center" wrapText="1"/>
    </xf>
    <xf numFmtId="0" fontId="21" fillId="41" borderId="36" xfId="0" applyFont="1" applyFill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5" fillId="25" borderId="16" xfId="0" applyFont="1" applyFill="1" applyBorder="1" applyAlignment="1" applyProtection="1">
      <alignment horizontal="center" vertical="center"/>
      <protection locked="0" hidden="1"/>
    </xf>
    <xf numFmtId="0" fontId="25" fillId="25" borderId="17" xfId="0" applyFont="1" applyFill="1" applyBorder="1" applyAlignment="1" applyProtection="1">
      <alignment horizontal="center" vertical="center"/>
      <protection locked="0" hidden="1"/>
    </xf>
    <xf numFmtId="0" fontId="25" fillId="25" borderId="18" xfId="0" applyFont="1" applyFill="1" applyBorder="1" applyAlignment="1" applyProtection="1">
      <alignment horizontal="center" vertical="center"/>
      <protection locked="0" hidden="1"/>
    </xf>
    <xf numFmtId="0" fontId="25" fillId="27" borderId="24" xfId="0" applyFont="1" applyFill="1" applyBorder="1" applyAlignment="1">
      <alignment horizontal="center" vertical="center"/>
    </xf>
    <xf numFmtId="0" fontId="25" fillId="27" borderId="25" xfId="0" applyFont="1" applyFill="1" applyBorder="1" applyAlignment="1">
      <alignment horizontal="center" vertical="center"/>
    </xf>
    <xf numFmtId="0" fontId="25" fillId="27" borderId="26" xfId="0" applyFont="1" applyFill="1" applyBorder="1" applyAlignment="1">
      <alignment horizontal="center" vertical="center"/>
    </xf>
    <xf numFmtId="0" fontId="25" fillId="26" borderId="22" xfId="0" applyFont="1" applyFill="1" applyBorder="1" applyAlignment="1">
      <alignment horizontal="center" vertical="center"/>
    </xf>
    <xf numFmtId="0" fontId="25" fillId="26" borderId="21" xfId="0" applyFont="1" applyFill="1" applyBorder="1" applyAlignment="1">
      <alignment horizontal="center" vertical="center"/>
    </xf>
    <xf numFmtId="0" fontId="25" fillId="26" borderId="23" xfId="0" applyFont="1" applyFill="1" applyBorder="1" applyAlignment="1">
      <alignment horizontal="center" vertical="center"/>
    </xf>
    <xf numFmtId="0" fontId="25" fillId="25" borderId="16" xfId="0" applyFont="1" applyFill="1" applyBorder="1" applyAlignment="1">
      <alignment horizontal="center" vertical="center"/>
    </xf>
    <xf numFmtId="0" fontId="25" fillId="25" borderId="17" xfId="0" applyFont="1" applyFill="1" applyBorder="1" applyAlignment="1">
      <alignment horizontal="center" vertical="center"/>
    </xf>
    <xf numFmtId="0" fontId="25" fillId="25" borderId="18" xfId="0" applyFont="1" applyFill="1" applyBorder="1" applyAlignment="1">
      <alignment horizontal="center" vertical="center"/>
    </xf>
    <xf numFmtId="0" fontId="21" fillId="0" borderId="0" xfId="0" applyFont="1" applyFill="1" applyBorder="1">
      <alignment vertical="center"/>
    </xf>
    <xf numFmtId="0" fontId="21" fillId="0" borderId="0" xfId="0" applyFont="1" applyFill="1" applyBorder="1" applyAlignment="1">
      <alignment horizontal="center"/>
    </xf>
    <xf numFmtId="49" fontId="21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49" fontId="21" fillId="0" borderId="4" xfId="0" applyNumberFormat="1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21" fillId="0" borderId="0" xfId="0" applyFont="1" applyFill="1">
      <alignment vertical="center"/>
    </xf>
  </cellXfs>
  <cellStyles count="59">
    <cellStyle name="20% - 輔色1" xfId="1" builtinId="30" customBuiltin="1"/>
    <cellStyle name="20% - 輔色1 2" xfId="2" xr:uid="{00000000-0005-0000-0000-000001000000}"/>
    <cellStyle name="20% - 輔色2" xfId="3" builtinId="34" customBuiltin="1"/>
    <cellStyle name="20% - 輔色2 2" xfId="4" xr:uid="{00000000-0005-0000-0000-000003000000}"/>
    <cellStyle name="20% - 輔色3" xfId="5" builtinId="38" customBuiltin="1"/>
    <cellStyle name="20% - 輔色3 2" xfId="6" xr:uid="{00000000-0005-0000-0000-000005000000}"/>
    <cellStyle name="20% - 輔色4" xfId="7" builtinId="42" customBuiltin="1"/>
    <cellStyle name="20% - 輔色4 2" xfId="8" xr:uid="{00000000-0005-0000-0000-000007000000}"/>
    <cellStyle name="20% - 輔色5" xfId="9" builtinId="46" customBuiltin="1"/>
    <cellStyle name="20% - 輔色5 2" xfId="10" xr:uid="{00000000-0005-0000-0000-000009000000}"/>
    <cellStyle name="20% - 輔色6" xfId="11" builtinId="50" customBuiltin="1"/>
    <cellStyle name="20% - 輔色6 2" xfId="12" xr:uid="{00000000-0005-0000-0000-00000B000000}"/>
    <cellStyle name="40% - 輔色1" xfId="13" builtinId="31" customBuiltin="1"/>
    <cellStyle name="40% - 輔色1 2" xfId="14" xr:uid="{00000000-0005-0000-0000-00000D000000}"/>
    <cellStyle name="40% - 輔色2" xfId="15" builtinId="35" customBuiltin="1"/>
    <cellStyle name="40% - 輔色2 2" xfId="16" xr:uid="{00000000-0005-0000-0000-00000F000000}"/>
    <cellStyle name="40% - 輔色3" xfId="17" builtinId="39" customBuiltin="1"/>
    <cellStyle name="40% - 輔色3 2" xfId="18" xr:uid="{00000000-0005-0000-0000-000011000000}"/>
    <cellStyle name="40% - 輔色4" xfId="19" builtinId="43" customBuiltin="1"/>
    <cellStyle name="40% - 輔色4 2" xfId="20" xr:uid="{00000000-0005-0000-0000-000013000000}"/>
    <cellStyle name="40% - 輔色5" xfId="21" builtinId="47" customBuiltin="1"/>
    <cellStyle name="40% - 輔色5 2" xfId="22" xr:uid="{00000000-0005-0000-0000-000015000000}"/>
    <cellStyle name="40% - 輔色6" xfId="23" builtinId="51" customBuiltin="1"/>
    <cellStyle name="40% - 輔色6 2" xfId="24" xr:uid="{00000000-0005-0000-0000-000017000000}"/>
    <cellStyle name="60% - 輔色1" xfId="25" builtinId="32" customBuiltin="1"/>
    <cellStyle name="60% - 輔色2" xfId="26" builtinId="36" customBuiltin="1"/>
    <cellStyle name="60% - 輔色3" xfId="27" builtinId="40" customBuiltin="1"/>
    <cellStyle name="60% - 輔色4" xfId="28" builtinId="44" customBuiltin="1"/>
    <cellStyle name="60% - 輔色5" xfId="29" builtinId="48" customBuiltin="1"/>
    <cellStyle name="60% - 輔色6" xfId="30" builtinId="52" customBuiltin="1"/>
    <cellStyle name="一般" xfId="0" builtinId="0"/>
    <cellStyle name="一般_96桃園E化調查路口方位配置圖" xfId="57" xr:uid="{00000000-0005-0000-0000-00001F000000}"/>
    <cellStyle name="一般_中興路" xfId="56" xr:uid="{00000000-0005-0000-0000-000020000000}"/>
    <cellStyle name="千分位" xfId="58" builtinId="3"/>
    <cellStyle name="千分位 2" xfId="31" xr:uid="{00000000-0005-0000-0000-000022000000}"/>
    <cellStyle name="千分位 3" xfId="32" xr:uid="{00000000-0005-0000-0000-000023000000}"/>
    <cellStyle name="中等" xfId="33" builtinId="28" customBuiltin="1"/>
    <cellStyle name="合計" xfId="34" builtinId="25" customBuiltin="1"/>
    <cellStyle name="好" xfId="35" builtinId="26" customBuiltin="1"/>
    <cellStyle name="計算方式" xfId="36" builtinId="22" customBuiltin="1"/>
    <cellStyle name="連結的儲存格" xfId="37" builtinId="24" customBuiltin="1"/>
    <cellStyle name="備註" xfId="38" builtinId="10" customBuiltin="1"/>
    <cellStyle name="說明文字" xfId="39" builtinId="53" customBuiltin="1"/>
    <cellStyle name="輔色1" xfId="40" builtinId="29" customBuiltin="1"/>
    <cellStyle name="輔色2" xfId="41" builtinId="33" customBuiltin="1"/>
    <cellStyle name="輔色3" xfId="42" builtinId="37" customBuiltin="1"/>
    <cellStyle name="輔色4" xfId="43" builtinId="41" customBuiltin="1"/>
    <cellStyle name="輔色5" xfId="44" builtinId="45" customBuiltin="1"/>
    <cellStyle name="輔色6" xfId="45" builtinId="49" customBuiltin="1"/>
    <cellStyle name="標題" xfId="46" builtinId="15" customBuiltin="1"/>
    <cellStyle name="標題 1" xfId="47" builtinId="16" customBuiltin="1"/>
    <cellStyle name="標題 2" xfId="48" builtinId="17" customBuiltin="1"/>
    <cellStyle name="標題 3" xfId="49" builtinId="18" customBuiltin="1"/>
    <cellStyle name="標題 4" xfId="50" builtinId="19" customBuiltin="1"/>
    <cellStyle name="輸入" xfId="51" builtinId="20" customBuiltin="1"/>
    <cellStyle name="輸出" xfId="52" builtinId="21" customBuiltin="1"/>
    <cellStyle name="檢查儲存格" xfId="53" builtinId="23" customBuiltin="1"/>
    <cellStyle name="壞" xfId="54" builtinId="27" customBuiltin="1"/>
    <cellStyle name="警告文字" xfId="55" builtinId="11" customBuiltin="1"/>
  </cellStyles>
  <dxfs count="2">
    <dxf>
      <font>
        <condense val="0"/>
        <extend val="0"/>
      </font>
      <fill>
        <patternFill>
          <bgColor indexed="44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condense val="0"/>
        <extend val="0"/>
      </font>
      <fill>
        <patternFill>
          <bgColor indexed="44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1"/>
  <sheetViews>
    <sheetView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6288" sqref="B6288"/>
    </sheetView>
  </sheetViews>
  <sheetFormatPr defaultRowHeight="17"/>
  <cols>
    <col min="1" max="1" width="21.453125" style="30" bestFit="1" customWidth="1"/>
    <col min="2" max="2" width="10.453125" style="30" bestFit="1" customWidth="1"/>
    <col min="3" max="3" width="10.453125" bestFit="1" customWidth="1"/>
    <col min="4" max="4" width="38" bestFit="1" customWidth="1"/>
    <col min="5" max="7" width="39.453125" bestFit="1" customWidth="1"/>
    <col min="8" max="8" width="26.453125" bestFit="1" customWidth="1"/>
    <col min="9" max="9" width="29" bestFit="1" customWidth="1"/>
    <col min="10" max="10" width="26.453125" bestFit="1" customWidth="1"/>
  </cols>
  <sheetData>
    <row r="1" spans="1:10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</row>
    <row r="2" spans="1:10" s="217" customFormat="1">
      <c r="A2" s="214" t="s">
        <v>174</v>
      </c>
      <c r="B2" s="214" t="s">
        <v>11</v>
      </c>
      <c r="C2" s="215">
        <v>0.27083333333333331</v>
      </c>
      <c r="D2" s="216">
        <v>0</v>
      </c>
      <c r="E2" s="216">
        <v>0</v>
      </c>
      <c r="F2" s="216">
        <v>0</v>
      </c>
      <c r="G2" s="216">
        <v>0</v>
      </c>
      <c r="H2" s="216">
        <v>0</v>
      </c>
      <c r="I2" s="216">
        <v>0</v>
      </c>
      <c r="J2" s="216">
        <v>0</v>
      </c>
    </row>
    <row r="3" spans="1:10" s="217" customFormat="1">
      <c r="A3" s="214" t="s">
        <v>174</v>
      </c>
      <c r="B3" s="214" t="s">
        <v>11</v>
      </c>
      <c r="C3" s="215">
        <v>0.27152777777777776</v>
      </c>
      <c r="D3" s="216">
        <v>0</v>
      </c>
      <c r="E3" s="216">
        <v>0</v>
      </c>
      <c r="F3" s="216">
        <v>0</v>
      </c>
      <c r="G3" s="216">
        <v>0</v>
      </c>
      <c r="H3" s="216">
        <v>0</v>
      </c>
      <c r="I3" s="216">
        <v>0</v>
      </c>
      <c r="J3" s="216">
        <v>0</v>
      </c>
    </row>
    <row r="4" spans="1:10" s="217" customFormat="1">
      <c r="A4" s="214" t="s">
        <v>174</v>
      </c>
      <c r="B4" s="214" t="s">
        <v>11</v>
      </c>
      <c r="C4" s="215">
        <v>0.27222222222222198</v>
      </c>
      <c r="D4" s="216">
        <v>0</v>
      </c>
      <c r="E4" s="216">
        <v>0</v>
      </c>
      <c r="F4" s="216">
        <v>0</v>
      </c>
      <c r="G4" s="216">
        <v>0</v>
      </c>
      <c r="H4" s="216">
        <v>0</v>
      </c>
      <c r="I4" s="216">
        <v>0</v>
      </c>
      <c r="J4" s="216">
        <v>0</v>
      </c>
    </row>
    <row r="5" spans="1:10" s="217" customFormat="1">
      <c r="A5" s="214" t="s">
        <v>174</v>
      </c>
      <c r="B5" s="214" t="s">
        <v>11</v>
      </c>
      <c r="C5" s="215">
        <v>0.27291666666666697</v>
      </c>
      <c r="D5" s="216">
        <v>0</v>
      </c>
      <c r="E5" s="216">
        <v>0</v>
      </c>
      <c r="F5" s="216">
        <v>0</v>
      </c>
      <c r="G5" s="216">
        <v>0</v>
      </c>
      <c r="H5" s="216">
        <v>0</v>
      </c>
      <c r="I5" s="216">
        <v>0</v>
      </c>
      <c r="J5" s="216">
        <v>0</v>
      </c>
    </row>
    <row r="6" spans="1:10" s="217" customFormat="1">
      <c r="A6" s="214" t="s">
        <v>174</v>
      </c>
      <c r="B6" s="214" t="s">
        <v>11</v>
      </c>
      <c r="C6" s="215">
        <v>0.27361111111111103</v>
      </c>
      <c r="D6" s="216">
        <v>0</v>
      </c>
      <c r="E6" s="216">
        <v>0</v>
      </c>
      <c r="F6" s="216">
        <v>0</v>
      </c>
      <c r="G6" s="216">
        <v>0</v>
      </c>
      <c r="H6" s="216">
        <v>0</v>
      </c>
      <c r="I6" s="216">
        <v>0</v>
      </c>
      <c r="J6" s="216">
        <v>0</v>
      </c>
    </row>
    <row r="7" spans="1:10" s="217" customFormat="1">
      <c r="A7" s="214" t="s">
        <v>174</v>
      </c>
      <c r="B7" s="214" t="s">
        <v>11</v>
      </c>
      <c r="C7" s="215">
        <v>0.27430555555555602</v>
      </c>
      <c r="D7" s="216">
        <v>0</v>
      </c>
      <c r="E7" s="216">
        <v>0</v>
      </c>
      <c r="F7" s="216">
        <v>0</v>
      </c>
      <c r="G7" s="216">
        <v>0</v>
      </c>
      <c r="H7" s="216">
        <v>0</v>
      </c>
      <c r="I7" s="216">
        <v>0</v>
      </c>
      <c r="J7" s="216">
        <v>0</v>
      </c>
    </row>
    <row r="8" spans="1:10" s="217" customFormat="1">
      <c r="A8" s="214" t="s">
        <v>174</v>
      </c>
      <c r="B8" s="214" t="s">
        <v>11</v>
      </c>
      <c r="C8" s="215">
        <v>0.27500000000000002</v>
      </c>
      <c r="D8" s="216">
        <v>0</v>
      </c>
      <c r="E8" s="216">
        <v>0</v>
      </c>
      <c r="F8" s="216">
        <v>0</v>
      </c>
      <c r="G8" s="216">
        <v>0</v>
      </c>
      <c r="H8" s="216">
        <v>0</v>
      </c>
      <c r="I8" s="216">
        <v>0</v>
      </c>
      <c r="J8" s="216">
        <v>0</v>
      </c>
    </row>
    <row r="9" spans="1:10" s="217" customFormat="1">
      <c r="A9" s="214" t="s">
        <v>174</v>
      </c>
      <c r="B9" s="214" t="s">
        <v>11</v>
      </c>
      <c r="C9" s="215">
        <v>0.27569444444444402</v>
      </c>
      <c r="D9" s="216">
        <v>0</v>
      </c>
      <c r="E9" s="216">
        <v>0</v>
      </c>
      <c r="F9" s="216">
        <v>0</v>
      </c>
      <c r="G9" s="216">
        <v>0</v>
      </c>
      <c r="H9" s="216">
        <v>0</v>
      </c>
      <c r="I9" s="216">
        <v>0</v>
      </c>
      <c r="J9" s="216">
        <v>0</v>
      </c>
    </row>
    <row r="10" spans="1:10" s="217" customFormat="1">
      <c r="A10" s="214" t="s">
        <v>174</v>
      </c>
      <c r="B10" s="214" t="s">
        <v>11</v>
      </c>
      <c r="C10" s="215">
        <v>0.27638888888888902</v>
      </c>
      <c r="D10" s="216">
        <v>0</v>
      </c>
      <c r="E10" s="216">
        <v>0</v>
      </c>
      <c r="F10" s="216">
        <v>0</v>
      </c>
      <c r="G10" s="216">
        <v>0</v>
      </c>
      <c r="H10" s="216">
        <v>0</v>
      </c>
      <c r="I10" s="216">
        <v>0</v>
      </c>
      <c r="J10" s="216">
        <v>0</v>
      </c>
    </row>
    <row r="11" spans="1:10" s="217" customFormat="1">
      <c r="A11" s="214" t="s">
        <v>174</v>
      </c>
      <c r="B11" s="214" t="s">
        <v>11</v>
      </c>
      <c r="C11" s="215">
        <v>0.27708333333333302</v>
      </c>
      <c r="D11" s="216">
        <v>0</v>
      </c>
      <c r="E11" s="216">
        <v>0</v>
      </c>
      <c r="F11" s="216">
        <v>0</v>
      </c>
      <c r="G11" s="216">
        <v>0</v>
      </c>
      <c r="H11" s="216">
        <v>0</v>
      </c>
      <c r="I11" s="216">
        <v>0</v>
      </c>
      <c r="J11" s="216">
        <v>0</v>
      </c>
    </row>
    <row r="12" spans="1:10" s="217" customFormat="1">
      <c r="A12" s="214" t="s">
        <v>174</v>
      </c>
      <c r="B12" s="214" t="s">
        <v>11</v>
      </c>
      <c r="C12" s="215">
        <v>0.27777777777777801</v>
      </c>
      <c r="D12" s="216">
        <v>0</v>
      </c>
      <c r="E12" s="216">
        <v>0</v>
      </c>
      <c r="F12" s="216">
        <v>0</v>
      </c>
      <c r="G12" s="216">
        <v>0</v>
      </c>
      <c r="H12" s="216">
        <v>0</v>
      </c>
      <c r="I12" s="216">
        <v>0</v>
      </c>
      <c r="J12" s="216">
        <v>0</v>
      </c>
    </row>
    <row r="13" spans="1:10" s="217" customFormat="1">
      <c r="A13" s="214" t="s">
        <v>174</v>
      </c>
      <c r="B13" s="214" t="s">
        <v>11</v>
      </c>
      <c r="C13" s="215">
        <v>0.27847222222222201</v>
      </c>
      <c r="D13" s="216">
        <v>0</v>
      </c>
      <c r="E13" s="216">
        <v>0</v>
      </c>
      <c r="F13" s="216">
        <v>0</v>
      </c>
      <c r="G13" s="216">
        <v>0</v>
      </c>
      <c r="H13" s="216">
        <v>0</v>
      </c>
      <c r="I13" s="216">
        <v>0</v>
      </c>
      <c r="J13" s="216">
        <v>0</v>
      </c>
    </row>
    <row r="14" spans="1:10" s="217" customFormat="1">
      <c r="A14" s="214" t="s">
        <v>174</v>
      </c>
      <c r="B14" s="214" t="s">
        <v>11</v>
      </c>
      <c r="C14" s="215">
        <v>0.27916666666666701</v>
      </c>
      <c r="D14" s="216">
        <v>0</v>
      </c>
      <c r="E14" s="216">
        <v>0</v>
      </c>
      <c r="F14" s="216">
        <v>0</v>
      </c>
      <c r="G14" s="216">
        <v>0</v>
      </c>
      <c r="H14" s="216">
        <v>0</v>
      </c>
      <c r="I14" s="216">
        <v>0</v>
      </c>
      <c r="J14" s="216">
        <v>0</v>
      </c>
    </row>
    <row r="15" spans="1:10" s="217" customFormat="1">
      <c r="A15" s="214" t="s">
        <v>174</v>
      </c>
      <c r="B15" s="214" t="s">
        <v>11</v>
      </c>
      <c r="C15" s="215">
        <v>0.27986111111111101</v>
      </c>
      <c r="D15" s="216">
        <v>0</v>
      </c>
      <c r="E15" s="216">
        <v>0</v>
      </c>
      <c r="F15" s="216">
        <v>0</v>
      </c>
      <c r="G15" s="216">
        <v>0</v>
      </c>
      <c r="H15" s="216">
        <v>0</v>
      </c>
      <c r="I15" s="216">
        <v>0</v>
      </c>
      <c r="J15" s="216">
        <v>0</v>
      </c>
    </row>
    <row r="16" spans="1:10" s="221" customFormat="1">
      <c r="A16" s="218" t="s">
        <v>174</v>
      </c>
      <c r="B16" s="218" t="s">
        <v>11</v>
      </c>
      <c r="C16" s="219">
        <v>0.280555555555556</v>
      </c>
      <c r="D16" s="220">
        <v>0</v>
      </c>
      <c r="E16" s="220">
        <v>0</v>
      </c>
      <c r="F16" s="220">
        <v>0</v>
      </c>
      <c r="G16" s="220">
        <v>0</v>
      </c>
      <c r="H16" s="220">
        <v>0</v>
      </c>
      <c r="I16" s="220">
        <v>0</v>
      </c>
      <c r="J16" s="220">
        <v>0</v>
      </c>
    </row>
    <row r="17" spans="1:10" s="217" customFormat="1">
      <c r="A17" s="214" t="s">
        <v>174</v>
      </c>
      <c r="B17" s="214" t="s">
        <v>11</v>
      </c>
      <c r="C17" s="215">
        <v>0.28125</v>
      </c>
      <c r="D17" s="222">
        <v>0</v>
      </c>
      <c r="E17" s="222">
        <v>0</v>
      </c>
      <c r="F17" s="222">
        <v>0</v>
      </c>
      <c r="G17" s="222">
        <v>0</v>
      </c>
      <c r="H17" s="222">
        <v>0</v>
      </c>
      <c r="I17" s="222">
        <v>0</v>
      </c>
      <c r="J17" s="222">
        <v>0</v>
      </c>
    </row>
    <row r="18" spans="1:10" s="217" customFormat="1">
      <c r="A18" s="214" t="s">
        <v>174</v>
      </c>
      <c r="B18" s="214" t="s">
        <v>11</v>
      </c>
      <c r="C18" s="215">
        <v>0.281944444444444</v>
      </c>
      <c r="D18" s="222">
        <v>0</v>
      </c>
      <c r="E18" s="222">
        <v>0</v>
      </c>
      <c r="F18" s="222">
        <v>0</v>
      </c>
      <c r="G18" s="222">
        <v>0</v>
      </c>
      <c r="H18" s="222">
        <v>0</v>
      </c>
      <c r="I18" s="222">
        <v>0</v>
      </c>
      <c r="J18" s="222">
        <v>0</v>
      </c>
    </row>
    <row r="19" spans="1:10" s="217" customFormat="1">
      <c r="A19" s="214" t="s">
        <v>174</v>
      </c>
      <c r="B19" s="214" t="s">
        <v>11</v>
      </c>
      <c r="C19" s="215">
        <v>0.28263888888888899</v>
      </c>
      <c r="D19" s="222">
        <v>0</v>
      </c>
      <c r="E19" s="222">
        <v>0</v>
      </c>
      <c r="F19" s="222">
        <v>0</v>
      </c>
      <c r="G19" s="222">
        <v>0</v>
      </c>
      <c r="H19" s="222">
        <v>0</v>
      </c>
      <c r="I19" s="222">
        <v>0</v>
      </c>
      <c r="J19" s="222">
        <v>0</v>
      </c>
    </row>
    <row r="20" spans="1:10" s="217" customFormat="1">
      <c r="A20" s="214" t="s">
        <v>174</v>
      </c>
      <c r="B20" s="214" t="s">
        <v>11</v>
      </c>
      <c r="C20" s="215">
        <v>0.28333333333333299</v>
      </c>
      <c r="D20" s="222">
        <v>0</v>
      </c>
      <c r="E20" s="222">
        <v>0</v>
      </c>
      <c r="F20" s="222">
        <v>0</v>
      </c>
      <c r="G20" s="222">
        <v>0</v>
      </c>
      <c r="H20" s="222">
        <v>0</v>
      </c>
      <c r="I20" s="222">
        <v>0</v>
      </c>
      <c r="J20" s="222">
        <v>0</v>
      </c>
    </row>
    <row r="21" spans="1:10" s="217" customFormat="1">
      <c r="A21" s="214" t="s">
        <v>174</v>
      </c>
      <c r="B21" s="214" t="s">
        <v>11</v>
      </c>
      <c r="C21" s="215">
        <v>0.28402777777777799</v>
      </c>
      <c r="D21" s="222">
        <v>0</v>
      </c>
      <c r="E21" s="222">
        <v>0</v>
      </c>
      <c r="F21" s="222">
        <v>0</v>
      </c>
      <c r="G21" s="222">
        <v>0</v>
      </c>
      <c r="H21" s="222">
        <v>0</v>
      </c>
      <c r="I21" s="222">
        <v>0</v>
      </c>
      <c r="J21" s="222">
        <v>0</v>
      </c>
    </row>
    <row r="22" spans="1:10" s="217" customFormat="1">
      <c r="A22" s="214" t="s">
        <v>174</v>
      </c>
      <c r="B22" s="214" t="s">
        <v>11</v>
      </c>
      <c r="C22" s="215">
        <v>0.28472222222222199</v>
      </c>
      <c r="D22" s="222">
        <v>0</v>
      </c>
      <c r="E22" s="222">
        <v>0</v>
      </c>
      <c r="F22" s="222">
        <v>0</v>
      </c>
      <c r="G22" s="222">
        <v>0</v>
      </c>
      <c r="H22" s="222">
        <v>0</v>
      </c>
      <c r="I22" s="222">
        <v>0</v>
      </c>
      <c r="J22" s="222">
        <v>0</v>
      </c>
    </row>
    <row r="23" spans="1:10" s="217" customFormat="1">
      <c r="A23" s="214" t="s">
        <v>174</v>
      </c>
      <c r="B23" s="214" t="s">
        <v>11</v>
      </c>
      <c r="C23" s="215">
        <v>0.28541666666666698</v>
      </c>
      <c r="D23" s="222">
        <v>0</v>
      </c>
      <c r="E23" s="222">
        <v>0</v>
      </c>
      <c r="F23" s="222">
        <v>0</v>
      </c>
      <c r="G23" s="222">
        <v>0</v>
      </c>
      <c r="H23" s="222">
        <v>0</v>
      </c>
      <c r="I23" s="222">
        <v>0</v>
      </c>
      <c r="J23" s="222">
        <v>0</v>
      </c>
    </row>
    <row r="24" spans="1:10" s="217" customFormat="1">
      <c r="A24" s="214" t="s">
        <v>174</v>
      </c>
      <c r="B24" s="214" t="s">
        <v>11</v>
      </c>
      <c r="C24" s="215">
        <v>0.28611111111111098</v>
      </c>
      <c r="D24" s="222">
        <v>0</v>
      </c>
      <c r="E24" s="222">
        <v>0</v>
      </c>
      <c r="F24" s="222">
        <v>0</v>
      </c>
      <c r="G24" s="222">
        <v>0</v>
      </c>
      <c r="H24" s="222">
        <v>0</v>
      </c>
      <c r="I24" s="222">
        <v>0</v>
      </c>
      <c r="J24" s="222">
        <v>0</v>
      </c>
    </row>
    <row r="25" spans="1:10" s="217" customFormat="1">
      <c r="A25" s="214" t="s">
        <v>174</v>
      </c>
      <c r="B25" s="214" t="s">
        <v>11</v>
      </c>
      <c r="C25" s="215">
        <v>0.28680555555555598</v>
      </c>
      <c r="D25" s="222">
        <v>0</v>
      </c>
      <c r="E25" s="222">
        <v>0</v>
      </c>
      <c r="F25" s="222">
        <v>0</v>
      </c>
      <c r="G25" s="222">
        <v>0</v>
      </c>
      <c r="H25" s="222">
        <v>0</v>
      </c>
      <c r="I25" s="222">
        <v>0</v>
      </c>
      <c r="J25" s="222">
        <v>0</v>
      </c>
    </row>
    <row r="26" spans="1:10" s="217" customFormat="1">
      <c r="A26" s="214" t="s">
        <v>174</v>
      </c>
      <c r="B26" s="214" t="s">
        <v>11</v>
      </c>
      <c r="C26" s="215">
        <v>0.28749999999999998</v>
      </c>
      <c r="D26" s="222">
        <v>0</v>
      </c>
      <c r="E26" s="222">
        <v>0</v>
      </c>
      <c r="F26" s="222">
        <v>0</v>
      </c>
      <c r="G26" s="222">
        <v>0</v>
      </c>
      <c r="H26" s="222">
        <v>0</v>
      </c>
      <c r="I26" s="222">
        <v>0</v>
      </c>
      <c r="J26" s="222">
        <v>0</v>
      </c>
    </row>
    <row r="27" spans="1:10" s="217" customFormat="1">
      <c r="A27" s="214" t="s">
        <v>174</v>
      </c>
      <c r="B27" s="214" t="s">
        <v>11</v>
      </c>
      <c r="C27" s="215">
        <v>0.28819444444444398</v>
      </c>
      <c r="D27" s="222">
        <v>0</v>
      </c>
      <c r="E27" s="222">
        <v>0</v>
      </c>
      <c r="F27" s="222">
        <v>0</v>
      </c>
      <c r="G27" s="222">
        <v>0</v>
      </c>
      <c r="H27" s="222">
        <v>0</v>
      </c>
      <c r="I27" s="222">
        <v>0</v>
      </c>
      <c r="J27" s="222">
        <v>0</v>
      </c>
    </row>
    <row r="28" spans="1:10" s="217" customFormat="1">
      <c r="A28" s="214" t="s">
        <v>174</v>
      </c>
      <c r="B28" s="214" t="s">
        <v>11</v>
      </c>
      <c r="C28" s="215">
        <v>0.28888888888888897</v>
      </c>
      <c r="D28" s="222">
        <v>0</v>
      </c>
      <c r="E28" s="222">
        <v>0</v>
      </c>
      <c r="F28" s="222">
        <v>0</v>
      </c>
      <c r="G28" s="222">
        <v>0</v>
      </c>
      <c r="H28" s="222">
        <v>0</v>
      </c>
      <c r="I28" s="222">
        <v>0</v>
      </c>
      <c r="J28" s="222">
        <v>0</v>
      </c>
    </row>
    <row r="29" spans="1:10" s="217" customFormat="1">
      <c r="A29" s="214" t="s">
        <v>174</v>
      </c>
      <c r="B29" s="214" t="s">
        <v>11</v>
      </c>
      <c r="C29" s="215">
        <v>0.28958333333333303</v>
      </c>
      <c r="D29" s="222">
        <v>0</v>
      </c>
      <c r="E29" s="222">
        <v>0</v>
      </c>
      <c r="F29" s="222">
        <v>0</v>
      </c>
      <c r="G29" s="222">
        <v>0</v>
      </c>
      <c r="H29" s="222">
        <v>0</v>
      </c>
      <c r="I29" s="222">
        <v>0</v>
      </c>
      <c r="J29" s="222">
        <v>0</v>
      </c>
    </row>
    <row r="30" spans="1:10" s="217" customFormat="1">
      <c r="A30" s="214" t="s">
        <v>174</v>
      </c>
      <c r="B30" s="214" t="s">
        <v>11</v>
      </c>
      <c r="C30" s="215">
        <v>0.29027777777777802</v>
      </c>
      <c r="D30" s="222">
        <v>0</v>
      </c>
      <c r="E30" s="222">
        <v>0</v>
      </c>
      <c r="F30" s="222">
        <v>0</v>
      </c>
      <c r="G30" s="222">
        <v>0</v>
      </c>
      <c r="H30" s="222">
        <v>0</v>
      </c>
      <c r="I30" s="222">
        <v>0</v>
      </c>
      <c r="J30" s="222">
        <v>0</v>
      </c>
    </row>
    <row r="31" spans="1:10" s="221" customFormat="1">
      <c r="A31" s="218" t="s">
        <v>174</v>
      </c>
      <c r="B31" s="218" t="s">
        <v>11</v>
      </c>
      <c r="C31" s="219">
        <v>0.29097222222222202</v>
      </c>
      <c r="D31" s="223">
        <v>0</v>
      </c>
      <c r="E31" s="223">
        <v>0</v>
      </c>
      <c r="F31" s="223">
        <v>0</v>
      </c>
      <c r="G31" s="223">
        <v>0</v>
      </c>
      <c r="H31" s="223">
        <v>0</v>
      </c>
      <c r="I31" s="223">
        <v>0</v>
      </c>
      <c r="J31" s="223">
        <v>0</v>
      </c>
    </row>
    <row r="32" spans="1:10" s="217" customFormat="1">
      <c r="A32" s="214" t="s">
        <v>174</v>
      </c>
      <c r="B32" s="214" t="s">
        <v>11</v>
      </c>
      <c r="C32" s="215">
        <v>0.29166666666666702</v>
      </c>
      <c r="D32" s="222">
        <v>0</v>
      </c>
      <c r="E32" s="222">
        <v>0</v>
      </c>
      <c r="F32" s="222">
        <v>0</v>
      </c>
      <c r="G32" s="222">
        <v>0</v>
      </c>
      <c r="H32" s="222">
        <v>0</v>
      </c>
      <c r="I32" s="222">
        <v>0</v>
      </c>
      <c r="J32" s="222">
        <v>0</v>
      </c>
    </row>
    <row r="33" spans="1:10" s="217" customFormat="1">
      <c r="A33" s="214" t="s">
        <v>174</v>
      </c>
      <c r="B33" s="214" t="s">
        <v>11</v>
      </c>
      <c r="C33" s="215">
        <v>0.29236111111111102</v>
      </c>
      <c r="D33" s="222">
        <v>0</v>
      </c>
      <c r="E33" s="222">
        <v>0</v>
      </c>
      <c r="F33" s="222">
        <v>0</v>
      </c>
      <c r="G33" s="222">
        <v>0</v>
      </c>
      <c r="H33" s="222">
        <v>0</v>
      </c>
      <c r="I33" s="222">
        <v>0</v>
      </c>
      <c r="J33" s="222">
        <v>0</v>
      </c>
    </row>
    <row r="34" spans="1:10" s="217" customFormat="1">
      <c r="A34" s="214" t="s">
        <v>174</v>
      </c>
      <c r="B34" s="214" t="s">
        <v>11</v>
      </c>
      <c r="C34" s="215">
        <v>0.29305555555555501</v>
      </c>
      <c r="D34" s="222">
        <v>0</v>
      </c>
      <c r="E34" s="222">
        <v>0</v>
      </c>
      <c r="F34" s="222">
        <v>0</v>
      </c>
      <c r="G34" s="222">
        <v>0</v>
      </c>
      <c r="H34" s="222">
        <v>0</v>
      </c>
      <c r="I34" s="222">
        <v>0</v>
      </c>
      <c r="J34" s="222">
        <v>0</v>
      </c>
    </row>
    <row r="35" spans="1:10" s="217" customFormat="1">
      <c r="A35" s="214" t="s">
        <v>174</v>
      </c>
      <c r="B35" s="214" t="s">
        <v>11</v>
      </c>
      <c r="C35" s="215">
        <v>0.29375000000000001</v>
      </c>
      <c r="D35" s="222">
        <v>0</v>
      </c>
      <c r="E35" s="222">
        <v>0</v>
      </c>
      <c r="F35" s="222">
        <v>0</v>
      </c>
      <c r="G35" s="222">
        <v>0</v>
      </c>
      <c r="H35" s="222">
        <v>0</v>
      </c>
      <c r="I35" s="222">
        <v>0</v>
      </c>
      <c r="J35" s="222">
        <v>0</v>
      </c>
    </row>
    <row r="36" spans="1:10" s="217" customFormat="1">
      <c r="A36" s="214" t="s">
        <v>174</v>
      </c>
      <c r="B36" s="214" t="s">
        <v>11</v>
      </c>
      <c r="C36" s="215">
        <v>0.29444444444444401</v>
      </c>
      <c r="D36" s="222">
        <v>0</v>
      </c>
      <c r="E36" s="222">
        <v>0</v>
      </c>
      <c r="F36" s="222">
        <v>0</v>
      </c>
      <c r="G36" s="222">
        <v>0</v>
      </c>
      <c r="H36" s="222">
        <v>0</v>
      </c>
      <c r="I36" s="222">
        <v>0</v>
      </c>
      <c r="J36" s="222">
        <v>0</v>
      </c>
    </row>
    <row r="37" spans="1:10" s="217" customFormat="1">
      <c r="A37" s="214" t="s">
        <v>174</v>
      </c>
      <c r="B37" s="214" t="s">
        <v>11</v>
      </c>
      <c r="C37" s="215">
        <v>0.29513888888888901</v>
      </c>
      <c r="D37" s="222">
        <v>0</v>
      </c>
      <c r="E37" s="222">
        <v>0</v>
      </c>
      <c r="F37" s="222">
        <v>0</v>
      </c>
      <c r="G37" s="222">
        <v>0</v>
      </c>
      <c r="H37" s="222">
        <v>0</v>
      </c>
      <c r="I37" s="222">
        <v>0</v>
      </c>
      <c r="J37" s="222">
        <v>0</v>
      </c>
    </row>
    <row r="38" spans="1:10" s="217" customFormat="1">
      <c r="A38" s="214" t="s">
        <v>174</v>
      </c>
      <c r="B38" s="214" t="s">
        <v>11</v>
      </c>
      <c r="C38" s="215">
        <v>0.295833333333333</v>
      </c>
      <c r="D38" s="222">
        <v>0</v>
      </c>
      <c r="E38" s="222">
        <v>0</v>
      </c>
      <c r="F38" s="222">
        <v>0</v>
      </c>
      <c r="G38" s="222">
        <v>0</v>
      </c>
      <c r="H38" s="222">
        <v>0</v>
      </c>
      <c r="I38" s="222">
        <v>0</v>
      </c>
      <c r="J38" s="222">
        <v>0</v>
      </c>
    </row>
    <row r="39" spans="1:10" s="217" customFormat="1">
      <c r="A39" s="214" t="s">
        <v>174</v>
      </c>
      <c r="B39" s="214" t="s">
        <v>11</v>
      </c>
      <c r="C39" s="215">
        <v>0.296527777777778</v>
      </c>
      <c r="D39" s="222">
        <v>0</v>
      </c>
      <c r="E39" s="222">
        <v>0</v>
      </c>
      <c r="F39" s="222">
        <v>0</v>
      </c>
      <c r="G39" s="222">
        <v>0</v>
      </c>
      <c r="H39" s="222">
        <v>0</v>
      </c>
      <c r="I39" s="222">
        <v>0</v>
      </c>
      <c r="J39" s="222">
        <v>0</v>
      </c>
    </row>
    <row r="40" spans="1:10" s="217" customFormat="1">
      <c r="A40" s="214" t="s">
        <v>174</v>
      </c>
      <c r="B40" s="214" t="s">
        <v>11</v>
      </c>
      <c r="C40" s="215">
        <v>0.297222222222222</v>
      </c>
      <c r="D40" s="222">
        <v>0</v>
      </c>
      <c r="E40" s="222">
        <v>0</v>
      </c>
      <c r="F40" s="222">
        <v>0</v>
      </c>
      <c r="G40" s="222">
        <v>0</v>
      </c>
      <c r="H40" s="222">
        <v>0</v>
      </c>
      <c r="I40" s="222">
        <v>0</v>
      </c>
      <c r="J40" s="222">
        <v>0</v>
      </c>
    </row>
    <row r="41" spans="1:10" s="217" customFormat="1">
      <c r="A41" s="214" t="s">
        <v>174</v>
      </c>
      <c r="B41" s="214" t="s">
        <v>11</v>
      </c>
      <c r="C41" s="215">
        <v>0.297916666666666</v>
      </c>
      <c r="D41" s="222">
        <v>0</v>
      </c>
      <c r="E41" s="222">
        <v>0</v>
      </c>
      <c r="F41" s="222">
        <v>0</v>
      </c>
      <c r="G41" s="222">
        <v>0</v>
      </c>
      <c r="H41" s="222">
        <v>0</v>
      </c>
      <c r="I41" s="222">
        <v>0</v>
      </c>
      <c r="J41" s="222">
        <v>0</v>
      </c>
    </row>
    <row r="42" spans="1:10" s="217" customFormat="1">
      <c r="A42" s="214" t="s">
        <v>174</v>
      </c>
      <c r="B42" s="214" t="s">
        <v>11</v>
      </c>
      <c r="C42" s="215">
        <v>0.29861111111111099</v>
      </c>
      <c r="D42" s="222">
        <v>0</v>
      </c>
      <c r="E42" s="222">
        <v>0</v>
      </c>
      <c r="F42" s="222">
        <v>0</v>
      </c>
      <c r="G42" s="222">
        <v>0</v>
      </c>
      <c r="H42" s="222">
        <v>0</v>
      </c>
      <c r="I42" s="222">
        <v>0</v>
      </c>
      <c r="J42" s="222">
        <v>0</v>
      </c>
    </row>
    <row r="43" spans="1:10" s="217" customFormat="1">
      <c r="A43" s="214" t="s">
        <v>174</v>
      </c>
      <c r="B43" s="214" t="s">
        <v>11</v>
      </c>
      <c r="C43" s="215">
        <v>0.29930555555555499</v>
      </c>
      <c r="D43" s="222">
        <v>0</v>
      </c>
      <c r="E43" s="222">
        <v>0</v>
      </c>
      <c r="F43" s="222">
        <v>0</v>
      </c>
      <c r="G43" s="222">
        <v>0</v>
      </c>
      <c r="H43" s="222">
        <v>0</v>
      </c>
      <c r="I43" s="222">
        <v>0</v>
      </c>
      <c r="J43" s="222">
        <v>0</v>
      </c>
    </row>
    <row r="44" spans="1:10" s="217" customFormat="1">
      <c r="A44" s="214" t="s">
        <v>174</v>
      </c>
      <c r="B44" s="214" t="s">
        <v>11</v>
      </c>
      <c r="C44" s="215">
        <v>0.3</v>
      </c>
      <c r="D44" s="222">
        <v>0</v>
      </c>
      <c r="E44" s="222">
        <v>0</v>
      </c>
      <c r="F44" s="222">
        <v>0</v>
      </c>
      <c r="G44" s="222">
        <v>0</v>
      </c>
      <c r="H44" s="222">
        <v>0</v>
      </c>
      <c r="I44" s="222">
        <v>0</v>
      </c>
      <c r="J44" s="222">
        <v>0</v>
      </c>
    </row>
    <row r="45" spans="1:10" s="217" customFormat="1">
      <c r="A45" s="214" t="s">
        <v>174</v>
      </c>
      <c r="B45" s="214" t="s">
        <v>11</v>
      </c>
      <c r="C45" s="215">
        <v>0.30069444444444399</v>
      </c>
      <c r="D45" s="222">
        <v>0</v>
      </c>
      <c r="E45" s="222">
        <v>0</v>
      </c>
      <c r="F45" s="222">
        <v>0</v>
      </c>
      <c r="G45" s="222">
        <v>0</v>
      </c>
      <c r="H45" s="222">
        <v>0</v>
      </c>
      <c r="I45" s="222">
        <v>0</v>
      </c>
      <c r="J45" s="222">
        <v>0</v>
      </c>
    </row>
    <row r="46" spans="1:10" s="221" customFormat="1">
      <c r="A46" s="218" t="s">
        <v>174</v>
      </c>
      <c r="B46" s="218" t="s">
        <v>11</v>
      </c>
      <c r="C46" s="219">
        <v>0.30138888888888898</v>
      </c>
      <c r="D46" s="223">
        <v>0</v>
      </c>
      <c r="E46" s="223">
        <v>0</v>
      </c>
      <c r="F46" s="223">
        <v>0</v>
      </c>
      <c r="G46" s="223">
        <v>0</v>
      </c>
      <c r="H46" s="223">
        <v>0</v>
      </c>
      <c r="I46" s="223">
        <v>0</v>
      </c>
      <c r="J46" s="223">
        <v>0</v>
      </c>
    </row>
    <row r="47" spans="1:10" s="217" customFormat="1">
      <c r="A47" s="214" t="s">
        <v>174</v>
      </c>
      <c r="B47" s="214" t="s">
        <v>11</v>
      </c>
      <c r="C47" s="215">
        <v>0.30208333333333298</v>
      </c>
      <c r="D47" s="222">
        <v>0</v>
      </c>
      <c r="E47" s="222">
        <v>0</v>
      </c>
      <c r="F47" s="222">
        <v>0</v>
      </c>
      <c r="G47" s="222">
        <v>0</v>
      </c>
      <c r="H47" s="222">
        <v>0</v>
      </c>
      <c r="I47" s="222">
        <v>0</v>
      </c>
      <c r="J47" s="222">
        <v>0</v>
      </c>
    </row>
    <row r="48" spans="1:10" s="217" customFormat="1">
      <c r="A48" s="214" t="s">
        <v>174</v>
      </c>
      <c r="B48" s="214" t="s">
        <v>11</v>
      </c>
      <c r="C48" s="215">
        <v>0.30277777777777798</v>
      </c>
      <c r="D48" s="222">
        <v>0</v>
      </c>
      <c r="E48" s="222">
        <v>0</v>
      </c>
      <c r="F48" s="222">
        <v>0</v>
      </c>
      <c r="G48" s="222">
        <v>0</v>
      </c>
      <c r="H48" s="222">
        <v>0</v>
      </c>
      <c r="I48" s="222">
        <v>0</v>
      </c>
      <c r="J48" s="222">
        <v>0</v>
      </c>
    </row>
    <row r="49" spans="1:10" s="217" customFormat="1">
      <c r="A49" s="214" t="s">
        <v>174</v>
      </c>
      <c r="B49" s="214" t="s">
        <v>11</v>
      </c>
      <c r="C49" s="215">
        <v>0.30347222222222198</v>
      </c>
      <c r="D49" s="222">
        <v>0</v>
      </c>
      <c r="E49" s="222">
        <v>0</v>
      </c>
      <c r="F49" s="222">
        <v>0</v>
      </c>
      <c r="G49" s="222">
        <v>0</v>
      </c>
      <c r="H49" s="222">
        <v>0</v>
      </c>
      <c r="I49" s="222">
        <v>0</v>
      </c>
      <c r="J49" s="222">
        <v>0</v>
      </c>
    </row>
    <row r="50" spans="1:10" s="217" customFormat="1">
      <c r="A50" s="214" t="s">
        <v>174</v>
      </c>
      <c r="B50" s="214" t="s">
        <v>11</v>
      </c>
      <c r="C50" s="215">
        <v>0.30416666666666697</v>
      </c>
      <c r="D50" s="222">
        <v>0</v>
      </c>
      <c r="E50" s="222">
        <v>0</v>
      </c>
      <c r="F50" s="222">
        <v>0</v>
      </c>
      <c r="G50" s="222">
        <v>0</v>
      </c>
      <c r="H50" s="222">
        <v>0</v>
      </c>
      <c r="I50" s="222">
        <v>0</v>
      </c>
      <c r="J50" s="222">
        <v>0</v>
      </c>
    </row>
    <row r="51" spans="1:10" s="217" customFormat="1">
      <c r="A51" s="214" t="s">
        <v>174</v>
      </c>
      <c r="B51" s="214" t="s">
        <v>11</v>
      </c>
      <c r="C51" s="215">
        <v>0.30486111111111103</v>
      </c>
      <c r="D51" s="222">
        <v>0</v>
      </c>
      <c r="E51" s="222">
        <v>0</v>
      </c>
      <c r="F51" s="222">
        <v>0</v>
      </c>
      <c r="G51" s="222">
        <v>0</v>
      </c>
      <c r="H51" s="222">
        <v>0</v>
      </c>
      <c r="I51" s="222">
        <v>0</v>
      </c>
      <c r="J51" s="222">
        <v>0</v>
      </c>
    </row>
    <row r="52" spans="1:10" s="217" customFormat="1">
      <c r="A52" s="214" t="s">
        <v>174</v>
      </c>
      <c r="B52" s="214" t="s">
        <v>11</v>
      </c>
      <c r="C52" s="215">
        <v>0.30555555555555503</v>
      </c>
      <c r="D52" s="222">
        <v>0</v>
      </c>
      <c r="E52" s="222">
        <v>0</v>
      </c>
      <c r="F52" s="222">
        <v>0</v>
      </c>
      <c r="G52" s="222">
        <v>0</v>
      </c>
      <c r="H52" s="222">
        <v>0</v>
      </c>
      <c r="I52" s="222">
        <v>0</v>
      </c>
      <c r="J52" s="222">
        <v>0</v>
      </c>
    </row>
    <row r="53" spans="1:10" s="217" customFormat="1">
      <c r="A53" s="214" t="s">
        <v>174</v>
      </c>
      <c r="B53" s="214" t="s">
        <v>11</v>
      </c>
      <c r="C53" s="215">
        <v>0.30625000000000002</v>
      </c>
      <c r="D53" s="222">
        <v>0</v>
      </c>
      <c r="E53" s="222">
        <v>0</v>
      </c>
      <c r="F53" s="222">
        <v>0</v>
      </c>
      <c r="G53" s="222">
        <v>0</v>
      </c>
      <c r="H53" s="222">
        <v>0</v>
      </c>
      <c r="I53" s="222">
        <v>0</v>
      </c>
      <c r="J53" s="222">
        <v>0</v>
      </c>
    </row>
    <row r="54" spans="1:10" s="217" customFormat="1">
      <c r="A54" s="214" t="s">
        <v>174</v>
      </c>
      <c r="B54" s="214" t="s">
        <v>11</v>
      </c>
      <c r="C54" s="215">
        <v>0.30694444444444402</v>
      </c>
      <c r="D54" s="222">
        <v>0</v>
      </c>
      <c r="E54" s="222">
        <v>0</v>
      </c>
      <c r="F54" s="222">
        <v>0</v>
      </c>
      <c r="G54" s="222">
        <v>0</v>
      </c>
      <c r="H54" s="222">
        <v>0</v>
      </c>
      <c r="I54" s="222">
        <v>0</v>
      </c>
      <c r="J54" s="222">
        <v>0</v>
      </c>
    </row>
    <row r="55" spans="1:10" s="217" customFormat="1">
      <c r="A55" s="214" t="s">
        <v>174</v>
      </c>
      <c r="B55" s="214" t="s">
        <v>11</v>
      </c>
      <c r="C55" s="215">
        <v>0.30763888888888902</v>
      </c>
      <c r="D55" s="222">
        <v>0</v>
      </c>
      <c r="E55" s="222">
        <v>0</v>
      </c>
      <c r="F55" s="222">
        <v>0</v>
      </c>
      <c r="G55" s="222">
        <v>0</v>
      </c>
      <c r="H55" s="222">
        <v>0</v>
      </c>
      <c r="I55" s="222">
        <v>0</v>
      </c>
      <c r="J55" s="222">
        <v>0</v>
      </c>
    </row>
    <row r="56" spans="1:10" s="217" customFormat="1">
      <c r="A56" s="214" t="s">
        <v>174</v>
      </c>
      <c r="B56" s="214" t="s">
        <v>11</v>
      </c>
      <c r="C56" s="215">
        <v>0.30833333333333302</v>
      </c>
      <c r="D56" s="222">
        <v>0</v>
      </c>
      <c r="E56" s="222">
        <v>0</v>
      </c>
      <c r="F56" s="222">
        <v>0</v>
      </c>
      <c r="G56" s="222">
        <v>0</v>
      </c>
      <c r="H56" s="222">
        <v>0</v>
      </c>
      <c r="I56" s="222">
        <v>0</v>
      </c>
      <c r="J56" s="222">
        <v>0</v>
      </c>
    </row>
    <row r="57" spans="1:10" s="217" customFormat="1">
      <c r="A57" s="214" t="s">
        <v>174</v>
      </c>
      <c r="B57" s="214" t="s">
        <v>11</v>
      </c>
      <c r="C57" s="215">
        <v>0.30902777777777801</v>
      </c>
      <c r="D57" s="222">
        <v>0</v>
      </c>
      <c r="E57" s="222">
        <v>0</v>
      </c>
      <c r="F57" s="222">
        <v>0</v>
      </c>
      <c r="G57" s="222">
        <v>0</v>
      </c>
      <c r="H57" s="222">
        <v>0</v>
      </c>
      <c r="I57" s="222">
        <v>0</v>
      </c>
      <c r="J57" s="222">
        <v>0</v>
      </c>
    </row>
    <row r="58" spans="1:10" s="217" customFormat="1">
      <c r="A58" s="214" t="s">
        <v>174</v>
      </c>
      <c r="B58" s="214" t="s">
        <v>11</v>
      </c>
      <c r="C58" s="215">
        <v>0.30972222222222201</v>
      </c>
      <c r="D58" s="222">
        <v>0</v>
      </c>
      <c r="E58" s="222">
        <v>0</v>
      </c>
      <c r="F58" s="222">
        <v>0</v>
      </c>
      <c r="G58" s="222">
        <v>0</v>
      </c>
      <c r="H58" s="222">
        <v>0</v>
      </c>
      <c r="I58" s="222">
        <v>0</v>
      </c>
      <c r="J58" s="222">
        <v>0</v>
      </c>
    </row>
    <row r="59" spans="1:10" s="217" customFormat="1">
      <c r="A59" s="214" t="s">
        <v>174</v>
      </c>
      <c r="B59" s="214" t="s">
        <v>11</v>
      </c>
      <c r="C59" s="215">
        <v>0.31041666666666701</v>
      </c>
      <c r="D59" s="222">
        <v>0</v>
      </c>
      <c r="E59" s="222">
        <v>0</v>
      </c>
      <c r="F59" s="222">
        <v>0</v>
      </c>
      <c r="G59" s="222">
        <v>0</v>
      </c>
      <c r="H59" s="222">
        <v>0</v>
      </c>
      <c r="I59" s="222">
        <v>0</v>
      </c>
      <c r="J59" s="222">
        <v>0</v>
      </c>
    </row>
    <row r="60" spans="1:10" s="217" customFormat="1">
      <c r="A60" s="214" t="s">
        <v>174</v>
      </c>
      <c r="B60" s="214" t="s">
        <v>11</v>
      </c>
      <c r="C60" s="215">
        <v>0.31111111111111101</v>
      </c>
      <c r="D60" s="222">
        <v>0</v>
      </c>
      <c r="E60" s="222">
        <v>0</v>
      </c>
      <c r="F60" s="222">
        <v>0</v>
      </c>
      <c r="G60" s="222">
        <v>0</v>
      </c>
      <c r="H60" s="222">
        <v>0</v>
      </c>
      <c r="I60" s="222">
        <v>0</v>
      </c>
      <c r="J60" s="222">
        <v>0</v>
      </c>
    </row>
    <row r="61" spans="1:10" s="221" customFormat="1">
      <c r="A61" s="218" t="s">
        <v>174</v>
      </c>
      <c r="B61" s="218" t="s">
        <v>11</v>
      </c>
      <c r="C61" s="219">
        <v>0.311805555555555</v>
      </c>
      <c r="D61" s="223">
        <v>0</v>
      </c>
      <c r="E61" s="223">
        <v>0</v>
      </c>
      <c r="F61" s="223">
        <v>0</v>
      </c>
      <c r="G61" s="223">
        <v>0</v>
      </c>
      <c r="H61" s="223">
        <v>0</v>
      </c>
      <c r="I61" s="223">
        <v>0</v>
      </c>
      <c r="J61" s="223">
        <v>0</v>
      </c>
    </row>
    <row r="62" spans="1:10" s="217" customFormat="1">
      <c r="A62" s="214" t="s">
        <v>174</v>
      </c>
      <c r="B62" s="214" t="s">
        <v>11</v>
      </c>
      <c r="C62" s="215">
        <v>0.3125</v>
      </c>
      <c r="D62" s="222">
        <v>0</v>
      </c>
      <c r="E62" s="222">
        <v>0</v>
      </c>
      <c r="F62" s="222">
        <v>0</v>
      </c>
      <c r="G62" s="222">
        <v>0</v>
      </c>
      <c r="H62" s="222">
        <v>0</v>
      </c>
      <c r="I62" s="222">
        <v>0</v>
      </c>
      <c r="J62" s="222">
        <v>0</v>
      </c>
    </row>
    <row r="63" spans="1:10" s="217" customFormat="1">
      <c r="A63" s="214" t="s">
        <v>174</v>
      </c>
      <c r="B63" s="214" t="s">
        <v>11</v>
      </c>
      <c r="C63" s="215">
        <v>0.313194444444444</v>
      </c>
      <c r="D63" s="222">
        <v>0</v>
      </c>
      <c r="E63" s="222">
        <v>0</v>
      </c>
      <c r="F63" s="222">
        <v>0</v>
      </c>
      <c r="G63" s="222">
        <v>0</v>
      </c>
      <c r="H63" s="222">
        <v>0</v>
      </c>
      <c r="I63" s="222">
        <v>0</v>
      </c>
      <c r="J63" s="222">
        <v>0</v>
      </c>
    </row>
    <row r="64" spans="1:10" s="217" customFormat="1">
      <c r="A64" s="214" t="s">
        <v>174</v>
      </c>
      <c r="B64" s="214" t="s">
        <v>11</v>
      </c>
      <c r="C64" s="215">
        <v>0.31388888888888899</v>
      </c>
      <c r="D64" s="222">
        <v>0</v>
      </c>
      <c r="E64" s="222">
        <v>0</v>
      </c>
      <c r="F64" s="222">
        <v>0</v>
      </c>
      <c r="G64" s="222">
        <v>0</v>
      </c>
      <c r="H64" s="222">
        <v>0</v>
      </c>
      <c r="I64" s="222">
        <v>0</v>
      </c>
      <c r="J64" s="222">
        <v>0</v>
      </c>
    </row>
    <row r="65" spans="1:10" s="217" customFormat="1">
      <c r="A65" s="214" t="s">
        <v>174</v>
      </c>
      <c r="B65" s="214" t="s">
        <v>11</v>
      </c>
      <c r="C65" s="215">
        <v>0.31458333333333299</v>
      </c>
      <c r="D65" s="222">
        <v>0</v>
      </c>
      <c r="E65" s="222">
        <v>0</v>
      </c>
      <c r="F65" s="222">
        <v>0</v>
      </c>
      <c r="G65" s="222">
        <v>0</v>
      </c>
      <c r="H65" s="222">
        <v>0</v>
      </c>
      <c r="I65" s="222">
        <v>0</v>
      </c>
      <c r="J65" s="222">
        <v>0</v>
      </c>
    </row>
    <row r="66" spans="1:10" s="217" customFormat="1">
      <c r="A66" s="214" t="s">
        <v>174</v>
      </c>
      <c r="B66" s="214" t="s">
        <v>11</v>
      </c>
      <c r="C66" s="215">
        <v>0.31527777777777799</v>
      </c>
      <c r="D66" s="222">
        <v>0</v>
      </c>
      <c r="E66" s="222">
        <v>0</v>
      </c>
      <c r="F66" s="222">
        <v>0</v>
      </c>
      <c r="G66" s="222">
        <v>0</v>
      </c>
      <c r="H66" s="222">
        <v>0</v>
      </c>
      <c r="I66" s="222">
        <v>0</v>
      </c>
      <c r="J66" s="222">
        <v>0</v>
      </c>
    </row>
    <row r="67" spans="1:10" s="217" customFormat="1">
      <c r="A67" s="214" t="s">
        <v>174</v>
      </c>
      <c r="B67" s="214" t="s">
        <v>11</v>
      </c>
      <c r="C67" s="215">
        <v>0.31597222222222199</v>
      </c>
      <c r="D67" s="222">
        <v>0</v>
      </c>
      <c r="E67" s="222">
        <v>0</v>
      </c>
      <c r="F67" s="222">
        <v>0</v>
      </c>
      <c r="G67" s="222">
        <v>0</v>
      </c>
      <c r="H67" s="222">
        <v>0</v>
      </c>
      <c r="I67" s="222">
        <v>0</v>
      </c>
      <c r="J67" s="222">
        <v>0</v>
      </c>
    </row>
    <row r="68" spans="1:10" s="217" customFormat="1">
      <c r="A68" s="214" t="s">
        <v>174</v>
      </c>
      <c r="B68" s="214" t="s">
        <v>11</v>
      </c>
      <c r="C68" s="215">
        <v>0.31666666666666698</v>
      </c>
      <c r="D68" s="222">
        <v>0</v>
      </c>
      <c r="E68" s="222">
        <v>0</v>
      </c>
      <c r="F68" s="222">
        <v>0</v>
      </c>
      <c r="G68" s="222">
        <v>0</v>
      </c>
      <c r="H68" s="222">
        <v>0</v>
      </c>
      <c r="I68" s="222">
        <v>0</v>
      </c>
      <c r="J68" s="222">
        <v>0</v>
      </c>
    </row>
    <row r="69" spans="1:10" s="217" customFormat="1">
      <c r="A69" s="214" t="s">
        <v>174</v>
      </c>
      <c r="B69" s="214" t="s">
        <v>11</v>
      </c>
      <c r="C69" s="215">
        <v>0.31736111111111098</v>
      </c>
      <c r="D69" s="222">
        <v>0</v>
      </c>
      <c r="E69" s="222">
        <v>0</v>
      </c>
      <c r="F69" s="222">
        <v>0</v>
      </c>
      <c r="G69" s="222">
        <v>0</v>
      </c>
      <c r="H69" s="222">
        <v>0</v>
      </c>
      <c r="I69" s="222">
        <v>0</v>
      </c>
      <c r="J69" s="222">
        <v>0</v>
      </c>
    </row>
    <row r="70" spans="1:10" s="217" customFormat="1">
      <c r="A70" s="214" t="s">
        <v>174</v>
      </c>
      <c r="B70" s="214" t="s">
        <v>11</v>
      </c>
      <c r="C70" s="215">
        <v>0.31805555555555498</v>
      </c>
      <c r="D70" s="222">
        <v>0</v>
      </c>
      <c r="E70" s="222">
        <v>0</v>
      </c>
      <c r="F70" s="222">
        <v>0</v>
      </c>
      <c r="G70" s="222">
        <v>0</v>
      </c>
      <c r="H70" s="222">
        <v>0</v>
      </c>
      <c r="I70" s="222">
        <v>0</v>
      </c>
      <c r="J70" s="222">
        <v>0</v>
      </c>
    </row>
    <row r="71" spans="1:10" s="217" customFormat="1">
      <c r="A71" s="214" t="s">
        <v>174</v>
      </c>
      <c r="B71" s="214" t="s">
        <v>11</v>
      </c>
      <c r="C71" s="215">
        <v>0.31874999999999998</v>
      </c>
      <c r="D71" s="222">
        <v>0</v>
      </c>
      <c r="E71" s="222">
        <v>0</v>
      </c>
      <c r="F71" s="222">
        <v>0</v>
      </c>
      <c r="G71" s="222">
        <v>0</v>
      </c>
      <c r="H71" s="222">
        <v>0</v>
      </c>
      <c r="I71" s="222">
        <v>0</v>
      </c>
      <c r="J71" s="222">
        <v>0</v>
      </c>
    </row>
    <row r="72" spans="1:10" s="217" customFormat="1">
      <c r="A72" s="214" t="s">
        <v>174</v>
      </c>
      <c r="B72" s="214" t="s">
        <v>11</v>
      </c>
      <c r="C72" s="215">
        <v>0.31944444444444398</v>
      </c>
      <c r="D72" s="222">
        <v>0</v>
      </c>
      <c r="E72" s="222">
        <v>0</v>
      </c>
      <c r="F72" s="222">
        <v>0</v>
      </c>
      <c r="G72" s="222">
        <v>0</v>
      </c>
      <c r="H72" s="222">
        <v>0</v>
      </c>
      <c r="I72" s="222">
        <v>0</v>
      </c>
      <c r="J72" s="222">
        <v>0</v>
      </c>
    </row>
    <row r="73" spans="1:10" s="217" customFormat="1">
      <c r="A73" s="214" t="s">
        <v>174</v>
      </c>
      <c r="B73" s="214" t="s">
        <v>11</v>
      </c>
      <c r="C73" s="215">
        <v>0.32013888888888897</v>
      </c>
      <c r="D73" s="222">
        <v>0</v>
      </c>
      <c r="E73" s="222">
        <v>0</v>
      </c>
      <c r="F73" s="222">
        <v>0</v>
      </c>
      <c r="G73" s="222">
        <v>0</v>
      </c>
      <c r="H73" s="222">
        <v>0</v>
      </c>
      <c r="I73" s="222">
        <v>0</v>
      </c>
      <c r="J73" s="222">
        <v>0</v>
      </c>
    </row>
    <row r="74" spans="1:10" s="217" customFormat="1">
      <c r="A74" s="214" t="s">
        <v>174</v>
      </c>
      <c r="B74" s="214" t="s">
        <v>11</v>
      </c>
      <c r="C74" s="215">
        <v>0.32083333333333303</v>
      </c>
      <c r="D74" s="222">
        <v>0</v>
      </c>
      <c r="E74" s="222">
        <v>0</v>
      </c>
      <c r="F74" s="222">
        <v>0</v>
      </c>
      <c r="G74" s="222">
        <v>0</v>
      </c>
      <c r="H74" s="222">
        <v>0</v>
      </c>
      <c r="I74" s="222">
        <v>0</v>
      </c>
      <c r="J74" s="222">
        <v>0</v>
      </c>
    </row>
    <row r="75" spans="1:10" s="217" customFormat="1">
      <c r="A75" s="214" t="s">
        <v>174</v>
      </c>
      <c r="B75" s="214" t="s">
        <v>11</v>
      </c>
      <c r="C75" s="215">
        <v>0.32152777777777802</v>
      </c>
      <c r="D75" s="222">
        <v>0</v>
      </c>
      <c r="E75" s="222">
        <v>0</v>
      </c>
      <c r="F75" s="222">
        <v>0</v>
      </c>
      <c r="G75" s="222">
        <v>0</v>
      </c>
      <c r="H75" s="222">
        <v>0</v>
      </c>
      <c r="I75" s="222">
        <v>0</v>
      </c>
      <c r="J75" s="222">
        <v>0</v>
      </c>
    </row>
    <row r="76" spans="1:10" s="221" customFormat="1">
      <c r="A76" s="218" t="s">
        <v>174</v>
      </c>
      <c r="B76" s="218" t="s">
        <v>11</v>
      </c>
      <c r="C76" s="219">
        <v>0.32222222222222202</v>
      </c>
      <c r="D76" s="223">
        <v>0</v>
      </c>
      <c r="E76" s="223">
        <v>0</v>
      </c>
      <c r="F76" s="223">
        <v>0</v>
      </c>
      <c r="G76" s="223">
        <v>0</v>
      </c>
      <c r="H76" s="223">
        <v>0</v>
      </c>
      <c r="I76" s="223">
        <v>0</v>
      </c>
      <c r="J76" s="223">
        <v>0</v>
      </c>
    </row>
    <row r="77" spans="1:10" s="217" customFormat="1">
      <c r="A77" s="214" t="s">
        <v>174</v>
      </c>
      <c r="B77" s="214" t="s">
        <v>11</v>
      </c>
      <c r="C77" s="215">
        <v>0.32291666666666602</v>
      </c>
      <c r="D77" s="222">
        <v>0</v>
      </c>
      <c r="E77" s="222">
        <v>0</v>
      </c>
      <c r="F77" s="222">
        <v>0</v>
      </c>
      <c r="G77" s="222">
        <v>0</v>
      </c>
      <c r="H77" s="222">
        <v>0</v>
      </c>
      <c r="I77" s="222">
        <v>0</v>
      </c>
      <c r="J77" s="222">
        <v>0</v>
      </c>
    </row>
    <row r="78" spans="1:10" s="217" customFormat="1">
      <c r="A78" s="214" t="s">
        <v>174</v>
      </c>
      <c r="B78" s="214" t="s">
        <v>11</v>
      </c>
      <c r="C78" s="215">
        <v>0.32361111111111102</v>
      </c>
      <c r="D78" s="222">
        <v>0</v>
      </c>
      <c r="E78" s="222">
        <v>0</v>
      </c>
      <c r="F78" s="222">
        <v>0</v>
      </c>
      <c r="G78" s="222">
        <v>0</v>
      </c>
      <c r="H78" s="222">
        <v>0</v>
      </c>
      <c r="I78" s="222">
        <v>0</v>
      </c>
      <c r="J78" s="222">
        <v>0</v>
      </c>
    </row>
    <row r="79" spans="1:10" s="217" customFormat="1">
      <c r="A79" s="214" t="s">
        <v>174</v>
      </c>
      <c r="B79" s="214" t="s">
        <v>11</v>
      </c>
      <c r="C79" s="215">
        <v>0.32430555555555501</v>
      </c>
      <c r="D79" s="222">
        <v>0</v>
      </c>
      <c r="E79" s="222">
        <v>0</v>
      </c>
      <c r="F79" s="222">
        <v>0</v>
      </c>
      <c r="G79" s="222">
        <v>0</v>
      </c>
      <c r="H79" s="222">
        <v>0</v>
      </c>
      <c r="I79" s="222">
        <v>0</v>
      </c>
      <c r="J79" s="222">
        <v>0</v>
      </c>
    </row>
    <row r="80" spans="1:10" s="217" customFormat="1">
      <c r="A80" s="214" t="s">
        <v>174</v>
      </c>
      <c r="B80" s="214" t="s">
        <v>11</v>
      </c>
      <c r="C80" s="215">
        <v>0.32500000000000001</v>
      </c>
      <c r="D80" s="222">
        <v>0</v>
      </c>
      <c r="E80" s="222">
        <v>0</v>
      </c>
      <c r="F80" s="222">
        <v>0</v>
      </c>
      <c r="G80" s="222">
        <v>0</v>
      </c>
      <c r="H80" s="222">
        <v>0</v>
      </c>
      <c r="I80" s="222">
        <v>0</v>
      </c>
      <c r="J80" s="222">
        <v>0</v>
      </c>
    </row>
    <row r="81" spans="1:10" s="217" customFormat="1">
      <c r="A81" s="214" t="s">
        <v>174</v>
      </c>
      <c r="B81" s="214" t="s">
        <v>11</v>
      </c>
      <c r="C81" s="215">
        <v>0.32569444444444401</v>
      </c>
      <c r="D81" s="222">
        <v>0</v>
      </c>
      <c r="E81" s="222">
        <v>0</v>
      </c>
      <c r="F81" s="222">
        <v>0</v>
      </c>
      <c r="G81" s="222">
        <v>0</v>
      </c>
      <c r="H81" s="222">
        <v>0</v>
      </c>
      <c r="I81" s="222">
        <v>0</v>
      </c>
      <c r="J81" s="222">
        <v>0</v>
      </c>
    </row>
    <row r="82" spans="1:10" s="217" customFormat="1">
      <c r="A82" s="214" t="s">
        <v>174</v>
      </c>
      <c r="B82" s="214" t="s">
        <v>11</v>
      </c>
      <c r="C82" s="215">
        <v>0.32638888888888901</v>
      </c>
      <c r="D82" s="222">
        <v>0</v>
      </c>
      <c r="E82" s="222">
        <v>0</v>
      </c>
      <c r="F82" s="222">
        <v>0</v>
      </c>
      <c r="G82" s="222">
        <v>0</v>
      </c>
      <c r="H82" s="222">
        <v>0</v>
      </c>
      <c r="I82" s="222">
        <v>0</v>
      </c>
      <c r="J82" s="222">
        <v>0</v>
      </c>
    </row>
    <row r="83" spans="1:10" s="217" customFormat="1">
      <c r="A83" s="214" t="s">
        <v>174</v>
      </c>
      <c r="B83" s="214" t="s">
        <v>11</v>
      </c>
      <c r="C83" s="215">
        <v>0.327083333333333</v>
      </c>
      <c r="D83" s="222">
        <v>0</v>
      </c>
      <c r="E83" s="222">
        <v>0</v>
      </c>
      <c r="F83" s="222">
        <v>0</v>
      </c>
      <c r="G83" s="222">
        <v>0</v>
      </c>
      <c r="H83" s="222">
        <v>0</v>
      </c>
      <c r="I83" s="222">
        <v>0</v>
      </c>
      <c r="J83" s="222">
        <v>0</v>
      </c>
    </row>
    <row r="84" spans="1:10" s="217" customFormat="1">
      <c r="A84" s="214" t="s">
        <v>174</v>
      </c>
      <c r="B84" s="214" t="s">
        <v>11</v>
      </c>
      <c r="C84" s="215">
        <v>0.327777777777778</v>
      </c>
      <c r="D84" s="222">
        <v>0</v>
      </c>
      <c r="E84" s="222">
        <v>0</v>
      </c>
      <c r="F84" s="222">
        <v>0</v>
      </c>
      <c r="G84" s="222">
        <v>0</v>
      </c>
      <c r="H84" s="222">
        <v>0</v>
      </c>
      <c r="I84" s="222">
        <v>0</v>
      </c>
      <c r="J84" s="222">
        <v>0</v>
      </c>
    </row>
    <row r="85" spans="1:10" s="217" customFormat="1">
      <c r="A85" s="214" t="s">
        <v>174</v>
      </c>
      <c r="B85" s="214" t="s">
        <v>11</v>
      </c>
      <c r="C85" s="215">
        <v>0.328472222222222</v>
      </c>
      <c r="D85" s="222">
        <v>0</v>
      </c>
      <c r="E85" s="222">
        <v>0</v>
      </c>
      <c r="F85" s="222">
        <v>0</v>
      </c>
      <c r="G85" s="222">
        <v>0</v>
      </c>
      <c r="H85" s="222">
        <v>0</v>
      </c>
      <c r="I85" s="222">
        <v>0</v>
      </c>
      <c r="J85" s="222">
        <v>0</v>
      </c>
    </row>
    <row r="86" spans="1:10" s="217" customFormat="1">
      <c r="A86" s="214" t="s">
        <v>174</v>
      </c>
      <c r="B86" s="214" t="s">
        <v>11</v>
      </c>
      <c r="C86" s="215">
        <v>0.329166666666666</v>
      </c>
      <c r="D86" s="222">
        <v>0</v>
      </c>
      <c r="E86" s="222">
        <v>0</v>
      </c>
      <c r="F86" s="222">
        <v>0</v>
      </c>
      <c r="G86" s="222">
        <v>0</v>
      </c>
      <c r="H86" s="222">
        <v>0</v>
      </c>
      <c r="I86" s="222">
        <v>0</v>
      </c>
      <c r="J86" s="222">
        <v>0</v>
      </c>
    </row>
    <row r="87" spans="1:10" s="217" customFormat="1">
      <c r="A87" s="214" t="s">
        <v>174</v>
      </c>
      <c r="B87" s="214" t="s">
        <v>11</v>
      </c>
      <c r="C87" s="215">
        <v>0.32986111111111099</v>
      </c>
      <c r="D87" s="222">
        <v>0</v>
      </c>
      <c r="E87" s="222">
        <v>0</v>
      </c>
      <c r="F87" s="222">
        <v>0</v>
      </c>
      <c r="G87" s="222">
        <v>0</v>
      </c>
      <c r="H87" s="222">
        <v>0</v>
      </c>
      <c r="I87" s="222">
        <v>0</v>
      </c>
      <c r="J87" s="222">
        <v>0</v>
      </c>
    </row>
    <row r="88" spans="1:10" s="217" customFormat="1">
      <c r="A88" s="214" t="s">
        <v>174</v>
      </c>
      <c r="B88" s="214" t="s">
        <v>11</v>
      </c>
      <c r="C88" s="215">
        <v>0.33055555555555499</v>
      </c>
      <c r="D88" s="222">
        <v>0</v>
      </c>
      <c r="E88" s="222">
        <v>0</v>
      </c>
      <c r="F88" s="222">
        <v>0</v>
      </c>
      <c r="G88" s="222">
        <v>0</v>
      </c>
      <c r="H88" s="222">
        <v>0</v>
      </c>
      <c r="I88" s="222">
        <v>0</v>
      </c>
      <c r="J88" s="222">
        <v>0</v>
      </c>
    </row>
    <row r="89" spans="1:10" s="217" customFormat="1">
      <c r="A89" s="214" t="s">
        <v>174</v>
      </c>
      <c r="B89" s="214" t="s">
        <v>11</v>
      </c>
      <c r="C89" s="215">
        <v>0.33124999999999999</v>
      </c>
      <c r="D89" s="222">
        <v>0</v>
      </c>
      <c r="E89" s="222">
        <v>0</v>
      </c>
      <c r="F89" s="222">
        <v>0</v>
      </c>
      <c r="G89" s="222">
        <v>0</v>
      </c>
      <c r="H89" s="222">
        <v>0</v>
      </c>
      <c r="I89" s="222">
        <v>0</v>
      </c>
      <c r="J89" s="222">
        <v>0</v>
      </c>
    </row>
    <row r="90" spans="1:10" s="217" customFormat="1">
      <c r="A90" s="214" t="s">
        <v>174</v>
      </c>
      <c r="B90" s="214" t="s">
        <v>11</v>
      </c>
      <c r="C90" s="215">
        <v>0.33194444444444399</v>
      </c>
      <c r="D90" s="222">
        <v>0</v>
      </c>
      <c r="E90" s="222">
        <v>0</v>
      </c>
      <c r="F90" s="222">
        <v>0</v>
      </c>
      <c r="G90" s="222">
        <v>0</v>
      </c>
      <c r="H90" s="222">
        <v>0</v>
      </c>
      <c r="I90" s="222">
        <v>0</v>
      </c>
      <c r="J90" s="222">
        <v>0</v>
      </c>
    </row>
    <row r="91" spans="1:10" s="221" customFormat="1">
      <c r="A91" s="218" t="s">
        <v>174</v>
      </c>
      <c r="B91" s="218" t="s">
        <v>11</v>
      </c>
      <c r="C91" s="219">
        <v>0.33263888888888898</v>
      </c>
      <c r="D91" s="223">
        <v>0</v>
      </c>
      <c r="E91" s="223">
        <v>0</v>
      </c>
      <c r="F91" s="223">
        <v>0</v>
      </c>
      <c r="G91" s="223">
        <v>0</v>
      </c>
      <c r="H91" s="223">
        <v>0</v>
      </c>
      <c r="I91" s="223">
        <v>0</v>
      </c>
      <c r="J91" s="223">
        <v>0</v>
      </c>
    </row>
    <row r="92" spans="1:10" s="217" customFormat="1">
      <c r="A92" s="214" t="s">
        <v>174</v>
      </c>
      <c r="B92" s="214" t="s">
        <v>11</v>
      </c>
      <c r="C92" s="215">
        <v>0.33333333333333298</v>
      </c>
      <c r="D92" s="222">
        <v>0</v>
      </c>
      <c r="E92" s="222">
        <v>0</v>
      </c>
      <c r="F92" s="222">
        <v>0</v>
      </c>
      <c r="G92" s="222">
        <v>0</v>
      </c>
      <c r="H92" s="222">
        <v>0</v>
      </c>
      <c r="I92" s="222">
        <v>0</v>
      </c>
      <c r="J92" s="222">
        <v>0</v>
      </c>
    </row>
    <row r="93" spans="1:10" s="217" customFormat="1">
      <c r="A93" s="214" t="s">
        <v>174</v>
      </c>
      <c r="B93" s="214" t="s">
        <v>11</v>
      </c>
      <c r="C93" s="215">
        <v>0.33402777777777798</v>
      </c>
      <c r="D93" s="222">
        <v>0</v>
      </c>
      <c r="E93" s="222">
        <v>0</v>
      </c>
      <c r="F93" s="222">
        <v>0</v>
      </c>
      <c r="G93" s="222">
        <v>0</v>
      </c>
      <c r="H93" s="222">
        <v>0</v>
      </c>
      <c r="I93" s="222">
        <v>0</v>
      </c>
      <c r="J93" s="222">
        <v>0</v>
      </c>
    </row>
    <row r="94" spans="1:10" s="217" customFormat="1">
      <c r="A94" s="214" t="s">
        <v>174</v>
      </c>
      <c r="B94" s="214" t="s">
        <v>11</v>
      </c>
      <c r="C94" s="215">
        <v>0.33472222222222198</v>
      </c>
      <c r="D94" s="222">
        <v>0</v>
      </c>
      <c r="E94" s="222">
        <v>0</v>
      </c>
      <c r="F94" s="222">
        <v>0</v>
      </c>
      <c r="G94" s="222">
        <v>0</v>
      </c>
      <c r="H94" s="222">
        <v>0</v>
      </c>
      <c r="I94" s="222">
        <v>0</v>
      </c>
      <c r="J94" s="222">
        <v>0</v>
      </c>
    </row>
    <row r="95" spans="1:10" s="217" customFormat="1">
      <c r="A95" s="214" t="s">
        <v>174</v>
      </c>
      <c r="B95" s="214" t="s">
        <v>11</v>
      </c>
      <c r="C95" s="215">
        <v>0.33541666666666597</v>
      </c>
      <c r="D95" s="222">
        <v>0</v>
      </c>
      <c r="E95" s="222">
        <v>0</v>
      </c>
      <c r="F95" s="222">
        <v>0</v>
      </c>
      <c r="G95" s="222">
        <v>0</v>
      </c>
      <c r="H95" s="222">
        <v>0</v>
      </c>
      <c r="I95" s="222">
        <v>0</v>
      </c>
      <c r="J95" s="222">
        <v>0</v>
      </c>
    </row>
    <row r="96" spans="1:10" s="217" customFormat="1">
      <c r="A96" s="214" t="s">
        <v>174</v>
      </c>
      <c r="B96" s="214" t="s">
        <v>11</v>
      </c>
      <c r="C96" s="215">
        <v>0.33611111111111103</v>
      </c>
      <c r="D96" s="222">
        <v>0</v>
      </c>
      <c r="E96" s="222">
        <v>0</v>
      </c>
      <c r="F96" s="222">
        <v>0</v>
      </c>
      <c r="G96" s="222">
        <v>0</v>
      </c>
      <c r="H96" s="222">
        <v>0</v>
      </c>
      <c r="I96" s="222">
        <v>0</v>
      </c>
      <c r="J96" s="222">
        <v>0</v>
      </c>
    </row>
    <row r="97" spans="1:10" s="217" customFormat="1">
      <c r="A97" s="214" t="s">
        <v>174</v>
      </c>
      <c r="B97" s="214" t="s">
        <v>11</v>
      </c>
      <c r="C97" s="215">
        <v>0.33680555555555503</v>
      </c>
      <c r="D97" s="222">
        <v>0</v>
      </c>
      <c r="E97" s="222">
        <v>0</v>
      </c>
      <c r="F97" s="222">
        <v>0</v>
      </c>
      <c r="G97" s="222">
        <v>0</v>
      </c>
      <c r="H97" s="222">
        <v>0</v>
      </c>
      <c r="I97" s="222">
        <v>0</v>
      </c>
      <c r="J97" s="222">
        <v>0</v>
      </c>
    </row>
    <row r="98" spans="1:10" s="217" customFormat="1">
      <c r="A98" s="214" t="s">
        <v>174</v>
      </c>
      <c r="B98" s="214" t="s">
        <v>11</v>
      </c>
      <c r="C98" s="215">
        <v>0.33750000000000002</v>
      </c>
      <c r="D98" s="222">
        <v>0</v>
      </c>
      <c r="E98" s="222">
        <v>0</v>
      </c>
      <c r="F98" s="222">
        <v>0</v>
      </c>
      <c r="G98" s="222">
        <v>0</v>
      </c>
      <c r="H98" s="222">
        <v>0</v>
      </c>
      <c r="I98" s="222">
        <v>0</v>
      </c>
      <c r="J98" s="222">
        <v>0</v>
      </c>
    </row>
    <row r="99" spans="1:10" s="217" customFormat="1">
      <c r="A99" s="214" t="s">
        <v>174</v>
      </c>
      <c r="B99" s="214" t="s">
        <v>11</v>
      </c>
      <c r="C99" s="215">
        <v>0.33819444444444402</v>
      </c>
      <c r="D99" s="222">
        <v>0</v>
      </c>
      <c r="E99" s="222">
        <v>0</v>
      </c>
      <c r="F99" s="222">
        <v>0</v>
      </c>
      <c r="G99" s="222">
        <v>0</v>
      </c>
      <c r="H99" s="222">
        <v>0</v>
      </c>
      <c r="I99" s="222">
        <v>0</v>
      </c>
      <c r="J99" s="222">
        <v>0</v>
      </c>
    </row>
    <row r="100" spans="1:10" s="217" customFormat="1">
      <c r="A100" s="214" t="s">
        <v>174</v>
      </c>
      <c r="B100" s="214" t="s">
        <v>11</v>
      </c>
      <c r="C100" s="215">
        <v>0.33888888888888902</v>
      </c>
      <c r="D100" s="222">
        <v>0</v>
      </c>
      <c r="E100" s="222">
        <v>0</v>
      </c>
      <c r="F100" s="222">
        <v>0</v>
      </c>
      <c r="G100" s="222">
        <v>0</v>
      </c>
      <c r="H100" s="222">
        <v>0</v>
      </c>
      <c r="I100" s="222">
        <v>0</v>
      </c>
      <c r="J100" s="222">
        <v>0</v>
      </c>
    </row>
    <row r="101" spans="1:10" s="217" customFormat="1">
      <c r="A101" s="214" t="s">
        <v>174</v>
      </c>
      <c r="B101" s="214" t="s">
        <v>11</v>
      </c>
      <c r="C101" s="215">
        <v>0.33958333333333302</v>
      </c>
      <c r="D101" s="222">
        <v>0</v>
      </c>
      <c r="E101" s="222">
        <v>0</v>
      </c>
      <c r="F101" s="222">
        <v>0</v>
      </c>
      <c r="G101" s="222">
        <v>0</v>
      </c>
      <c r="H101" s="222">
        <v>0</v>
      </c>
      <c r="I101" s="222">
        <v>0</v>
      </c>
      <c r="J101" s="222">
        <v>0</v>
      </c>
    </row>
    <row r="102" spans="1:10" s="217" customFormat="1">
      <c r="A102" s="214" t="s">
        <v>174</v>
      </c>
      <c r="B102" s="214" t="s">
        <v>11</v>
      </c>
      <c r="C102" s="215">
        <v>0.34027777777777801</v>
      </c>
      <c r="D102" s="222">
        <v>0</v>
      </c>
      <c r="E102" s="222">
        <v>0</v>
      </c>
      <c r="F102" s="222">
        <v>0</v>
      </c>
      <c r="G102" s="222">
        <v>0</v>
      </c>
      <c r="H102" s="222">
        <v>0</v>
      </c>
      <c r="I102" s="222">
        <v>0</v>
      </c>
      <c r="J102" s="222">
        <v>0</v>
      </c>
    </row>
    <row r="103" spans="1:10" s="217" customFormat="1">
      <c r="A103" s="214" t="s">
        <v>174</v>
      </c>
      <c r="B103" s="214" t="s">
        <v>11</v>
      </c>
      <c r="C103" s="215">
        <v>0.34097222222222201</v>
      </c>
      <c r="D103" s="222">
        <v>0</v>
      </c>
      <c r="E103" s="222">
        <v>0</v>
      </c>
      <c r="F103" s="222">
        <v>0</v>
      </c>
      <c r="G103" s="222">
        <v>0</v>
      </c>
      <c r="H103" s="222">
        <v>0</v>
      </c>
      <c r="I103" s="222">
        <v>0</v>
      </c>
      <c r="J103" s="222">
        <v>0</v>
      </c>
    </row>
    <row r="104" spans="1:10" s="217" customFormat="1">
      <c r="A104" s="214" t="s">
        <v>174</v>
      </c>
      <c r="B104" s="214" t="s">
        <v>11</v>
      </c>
      <c r="C104" s="215">
        <v>0.34166666666666601</v>
      </c>
      <c r="D104" s="222">
        <v>0</v>
      </c>
      <c r="E104" s="222">
        <v>0</v>
      </c>
      <c r="F104" s="222">
        <v>0</v>
      </c>
      <c r="G104" s="222">
        <v>0</v>
      </c>
      <c r="H104" s="222">
        <v>0</v>
      </c>
      <c r="I104" s="222">
        <v>0</v>
      </c>
      <c r="J104" s="222">
        <v>0</v>
      </c>
    </row>
    <row r="105" spans="1:10" s="217" customFormat="1">
      <c r="A105" s="214" t="s">
        <v>174</v>
      </c>
      <c r="B105" s="214" t="s">
        <v>11</v>
      </c>
      <c r="C105" s="215">
        <v>0.34236111111111101</v>
      </c>
      <c r="D105" s="222">
        <v>0</v>
      </c>
      <c r="E105" s="222">
        <v>0</v>
      </c>
      <c r="F105" s="222">
        <v>0</v>
      </c>
      <c r="G105" s="222">
        <v>0</v>
      </c>
      <c r="H105" s="222">
        <v>0</v>
      </c>
      <c r="I105" s="222">
        <v>0</v>
      </c>
      <c r="J105" s="222">
        <v>0</v>
      </c>
    </row>
    <row r="106" spans="1:10" s="221" customFormat="1">
      <c r="A106" s="218" t="s">
        <v>174</v>
      </c>
      <c r="B106" s="218" t="s">
        <v>11</v>
      </c>
      <c r="C106" s="219">
        <v>0.343055555555555</v>
      </c>
      <c r="D106" s="223">
        <v>0</v>
      </c>
      <c r="E106" s="223">
        <v>0</v>
      </c>
      <c r="F106" s="223">
        <v>0</v>
      </c>
      <c r="G106" s="223">
        <v>0</v>
      </c>
      <c r="H106" s="223">
        <v>0</v>
      </c>
      <c r="I106" s="223">
        <v>0</v>
      </c>
      <c r="J106" s="223">
        <v>0</v>
      </c>
    </row>
    <row r="107" spans="1:10" s="217" customFormat="1">
      <c r="A107" s="214" t="s">
        <v>174</v>
      </c>
      <c r="B107" s="214" t="s">
        <v>11</v>
      </c>
      <c r="C107" s="215">
        <v>0.34375</v>
      </c>
      <c r="D107" s="222">
        <v>0</v>
      </c>
      <c r="E107" s="222">
        <v>0</v>
      </c>
      <c r="F107" s="222">
        <v>0</v>
      </c>
      <c r="G107" s="222">
        <v>0</v>
      </c>
      <c r="H107" s="222">
        <v>0</v>
      </c>
      <c r="I107" s="222">
        <v>0</v>
      </c>
      <c r="J107" s="222">
        <v>0</v>
      </c>
    </row>
    <row r="108" spans="1:10" s="217" customFormat="1">
      <c r="A108" s="214" t="s">
        <v>174</v>
      </c>
      <c r="B108" s="214" t="s">
        <v>11</v>
      </c>
      <c r="C108" s="215">
        <v>0.344444444444444</v>
      </c>
      <c r="D108" s="222">
        <v>0</v>
      </c>
      <c r="E108" s="222">
        <v>0</v>
      </c>
      <c r="F108" s="222">
        <v>0</v>
      </c>
      <c r="G108" s="222">
        <v>0</v>
      </c>
      <c r="H108" s="222">
        <v>0</v>
      </c>
      <c r="I108" s="222">
        <v>0</v>
      </c>
      <c r="J108" s="222">
        <v>0</v>
      </c>
    </row>
    <row r="109" spans="1:10" s="217" customFormat="1">
      <c r="A109" s="214" t="s">
        <v>174</v>
      </c>
      <c r="B109" s="214" t="s">
        <v>11</v>
      </c>
      <c r="C109" s="215">
        <v>0.34513888888888899</v>
      </c>
      <c r="D109" s="222">
        <v>0</v>
      </c>
      <c r="E109" s="222">
        <v>0</v>
      </c>
      <c r="F109" s="222">
        <v>0</v>
      </c>
      <c r="G109" s="222">
        <v>0</v>
      </c>
      <c r="H109" s="222">
        <v>0</v>
      </c>
      <c r="I109" s="222">
        <v>0</v>
      </c>
      <c r="J109" s="222">
        <v>0</v>
      </c>
    </row>
    <row r="110" spans="1:10" s="217" customFormat="1">
      <c r="A110" s="214" t="s">
        <v>174</v>
      </c>
      <c r="B110" s="214" t="s">
        <v>11</v>
      </c>
      <c r="C110" s="215">
        <v>0.34583333333333299</v>
      </c>
      <c r="D110" s="222">
        <v>0</v>
      </c>
      <c r="E110" s="222">
        <v>0</v>
      </c>
      <c r="F110" s="222">
        <v>0</v>
      </c>
      <c r="G110" s="222">
        <v>0</v>
      </c>
      <c r="H110" s="222">
        <v>0</v>
      </c>
      <c r="I110" s="222">
        <v>0</v>
      </c>
      <c r="J110" s="222">
        <v>0</v>
      </c>
    </row>
    <row r="111" spans="1:10" s="217" customFormat="1">
      <c r="A111" s="214" t="s">
        <v>174</v>
      </c>
      <c r="B111" s="214" t="s">
        <v>11</v>
      </c>
      <c r="C111" s="215">
        <v>0.34652777777777799</v>
      </c>
      <c r="D111" s="222">
        <v>0</v>
      </c>
      <c r="E111" s="222">
        <v>0</v>
      </c>
      <c r="F111" s="222">
        <v>0</v>
      </c>
      <c r="G111" s="222">
        <v>0</v>
      </c>
      <c r="H111" s="222">
        <v>0</v>
      </c>
      <c r="I111" s="222">
        <v>0</v>
      </c>
      <c r="J111" s="222">
        <v>0</v>
      </c>
    </row>
    <row r="112" spans="1:10" s="217" customFormat="1">
      <c r="A112" s="214" t="s">
        <v>174</v>
      </c>
      <c r="B112" s="214" t="s">
        <v>11</v>
      </c>
      <c r="C112" s="215">
        <v>0.34722222222222199</v>
      </c>
      <c r="D112" s="222">
        <v>0</v>
      </c>
      <c r="E112" s="222">
        <v>0</v>
      </c>
      <c r="F112" s="222">
        <v>0</v>
      </c>
      <c r="G112" s="222">
        <v>0</v>
      </c>
      <c r="H112" s="222">
        <v>0</v>
      </c>
      <c r="I112" s="222">
        <v>0</v>
      </c>
      <c r="J112" s="222">
        <v>0</v>
      </c>
    </row>
    <row r="113" spans="1:10" s="217" customFormat="1">
      <c r="A113" s="214" t="s">
        <v>174</v>
      </c>
      <c r="B113" s="214" t="s">
        <v>11</v>
      </c>
      <c r="C113" s="215">
        <v>0.34791666666666599</v>
      </c>
      <c r="D113" s="222">
        <v>0</v>
      </c>
      <c r="E113" s="222">
        <v>0</v>
      </c>
      <c r="F113" s="222">
        <v>0</v>
      </c>
      <c r="G113" s="222">
        <v>0</v>
      </c>
      <c r="H113" s="222">
        <v>0</v>
      </c>
      <c r="I113" s="222">
        <v>0</v>
      </c>
      <c r="J113" s="222">
        <v>0</v>
      </c>
    </row>
    <row r="114" spans="1:10" s="217" customFormat="1">
      <c r="A114" s="214" t="s">
        <v>174</v>
      </c>
      <c r="B114" s="214" t="s">
        <v>11</v>
      </c>
      <c r="C114" s="215">
        <v>0.34861111111111098</v>
      </c>
      <c r="D114" s="222">
        <v>0</v>
      </c>
      <c r="E114" s="222">
        <v>0</v>
      </c>
      <c r="F114" s="222">
        <v>0</v>
      </c>
      <c r="G114" s="222">
        <v>0</v>
      </c>
      <c r="H114" s="222">
        <v>0</v>
      </c>
      <c r="I114" s="222">
        <v>0</v>
      </c>
      <c r="J114" s="222">
        <v>0</v>
      </c>
    </row>
    <row r="115" spans="1:10" s="217" customFormat="1">
      <c r="A115" s="214" t="s">
        <v>174</v>
      </c>
      <c r="B115" s="214" t="s">
        <v>11</v>
      </c>
      <c r="C115" s="215">
        <v>0.34930555555555498</v>
      </c>
      <c r="D115" s="222">
        <v>0</v>
      </c>
      <c r="E115" s="222">
        <v>0</v>
      </c>
      <c r="F115" s="222">
        <v>0</v>
      </c>
      <c r="G115" s="222">
        <v>0</v>
      </c>
      <c r="H115" s="222">
        <v>0</v>
      </c>
      <c r="I115" s="222">
        <v>0</v>
      </c>
      <c r="J115" s="222">
        <v>0</v>
      </c>
    </row>
    <row r="116" spans="1:10" s="217" customFormat="1">
      <c r="A116" s="214" t="s">
        <v>174</v>
      </c>
      <c r="B116" s="214" t="s">
        <v>11</v>
      </c>
      <c r="C116" s="215">
        <v>0.35</v>
      </c>
      <c r="D116" s="222">
        <v>0</v>
      </c>
      <c r="E116" s="222">
        <v>0</v>
      </c>
      <c r="F116" s="222">
        <v>0</v>
      </c>
      <c r="G116" s="222">
        <v>0</v>
      </c>
      <c r="H116" s="222">
        <v>0</v>
      </c>
      <c r="I116" s="222">
        <v>0</v>
      </c>
      <c r="J116" s="222">
        <v>0</v>
      </c>
    </row>
    <row r="117" spans="1:10" s="217" customFormat="1">
      <c r="A117" s="214" t="s">
        <v>174</v>
      </c>
      <c r="B117" s="214" t="s">
        <v>11</v>
      </c>
      <c r="C117" s="215">
        <v>0.35069444444444398</v>
      </c>
      <c r="D117" s="222">
        <v>0</v>
      </c>
      <c r="E117" s="222">
        <v>0</v>
      </c>
      <c r="F117" s="222">
        <v>0</v>
      </c>
      <c r="G117" s="222">
        <v>0</v>
      </c>
      <c r="H117" s="222">
        <v>0</v>
      </c>
      <c r="I117" s="222">
        <v>0</v>
      </c>
      <c r="J117" s="222">
        <v>0</v>
      </c>
    </row>
    <row r="118" spans="1:10" s="217" customFormat="1">
      <c r="A118" s="214" t="s">
        <v>174</v>
      </c>
      <c r="B118" s="214" t="s">
        <v>11</v>
      </c>
      <c r="C118" s="215">
        <v>0.35138888888888897</v>
      </c>
      <c r="D118" s="222">
        <v>0</v>
      </c>
      <c r="E118" s="222">
        <v>0</v>
      </c>
      <c r="F118" s="222">
        <v>0</v>
      </c>
      <c r="G118" s="222">
        <v>0</v>
      </c>
      <c r="H118" s="222">
        <v>0</v>
      </c>
      <c r="I118" s="222">
        <v>0</v>
      </c>
      <c r="J118" s="222">
        <v>0</v>
      </c>
    </row>
    <row r="119" spans="1:10" s="217" customFormat="1">
      <c r="A119" s="214" t="s">
        <v>174</v>
      </c>
      <c r="B119" s="214" t="s">
        <v>11</v>
      </c>
      <c r="C119" s="215">
        <v>0.35208333333333303</v>
      </c>
      <c r="D119" s="222">
        <v>0</v>
      </c>
      <c r="E119" s="222">
        <v>0</v>
      </c>
      <c r="F119" s="222">
        <v>0</v>
      </c>
      <c r="G119" s="222">
        <v>0</v>
      </c>
      <c r="H119" s="222">
        <v>0</v>
      </c>
      <c r="I119" s="222">
        <v>0</v>
      </c>
      <c r="J119" s="222">
        <v>0</v>
      </c>
    </row>
    <row r="120" spans="1:10" s="217" customFormat="1">
      <c r="A120" s="214" t="s">
        <v>174</v>
      </c>
      <c r="B120" s="214" t="s">
        <v>11</v>
      </c>
      <c r="C120" s="215">
        <v>0.35277777777777802</v>
      </c>
      <c r="D120" s="222">
        <v>0</v>
      </c>
      <c r="E120" s="222">
        <v>0</v>
      </c>
      <c r="F120" s="222">
        <v>0</v>
      </c>
      <c r="G120" s="222">
        <v>0</v>
      </c>
      <c r="H120" s="222">
        <v>0</v>
      </c>
      <c r="I120" s="222">
        <v>0</v>
      </c>
      <c r="J120" s="222">
        <v>0</v>
      </c>
    </row>
    <row r="121" spans="1:10" s="227" customFormat="1" ht="17.5" thickBot="1">
      <c r="A121" s="224" t="s">
        <v>174</v>
      </c>
      <c r="B121" s="224" t="s">
        <v>11</v>
      </c>
      <c r="C121" s="225">
        <v>0.35347222222222202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</row>
    <row r="122" spans="1:10" s="217" customFormat="1">
      <c r="A122" s="214" t="s">
        <v>174</v>
      </c>
      <c r="B122" s="214" t="s">
        <v>12</v>
      </c>
      <c r="C122" s="215">
        <v>0.27083333333333331</v>
      </c>
      <c r="D122" s="222">
        <v>0</v>
      </c>
      <c r="E122" s="222">
        <v>0</v>
      </c>
      <c r="F122" s="222">
        <v>0</v>
      </c>
      <c r="G122" s="222">
        <v>0</v>
      </c>
      <c r="H122" s="222">
        <v>0</v>
      </c>
      <c r="I122" s="222">
        <v>0</v>
      </c>
      <c r="J122" s="222">
        <v>0</v>
      </c>
    </row>
    <row r="123" spans="1:10" s="217" customFormat="1">
      <c r="A123" s="214" t="s">
        <v>174</v>
      </c>
      <c r="B123" s="214" t="s">
        <v>12</v>
      </c>
      <c r="C123" s="215">
        <v>0.27152777777777776</v>
      </c>
      <c r="D123" s="222">
        <v>0</v>
      </c>
      <c r="E123" s="222">
        <v>0</v>
      </c>
      <c r="F123" s="222">
        <v>0</v>
      </c>
      <c r="G123" s="222">
        <v>0</v>
      </c>
      <c r="H123" s="222">
        <v>0</v>
      </c>
      <c r="I123" s="222">
        <v>0</v>
      </c>
      <c r="J123" s="222">
        <v>0</v>
      </c>
    </row>
    <row r="124" spans="1:10" s="217" customFormat="1">
      <c r="A124" s="214" t="s">
        <v>174</v>
      </c>
      <c r="B124" s="214" t="s">
        <v>12</v>
      </c>
      <c r="C124" s="215">
        <v>0.27222222222222198</v>
      </c>
      <c r="D124" s="222">
        <v>0</v>
      </c>
      <c r="E124" s="222">
        <v>0</v>
      </c>
      <c r="F124" s="222">
        <v>0</v>
      </c>
      <c r="G124" s="222">
        <v>0</v>
      </c>
      <c r="H124" s="222">
        <v>0</v>
      </c>
      <c r="I124" s="222">
        <v>0</v>
      </c>
      <c r="J124" s="222">
        <v>0</v>
      </c>
    </row>
    <row r="125" spans="1:10" s="217" customFormat="1">
      <c r="A125" s="214" t="s">
        <v>174</v>
      </c>
      <c r="B125" s="214" t="s">
        <v>12</v>
      </c>
      <c r="C125" s="215">
        <v>0.27291666666666697</v>
      </c>
      <c r="D125" s="222">
        <v>0</v>
      </c>
      <c r="E125" s="222">
        <v>0</v>
      </c>
      <c r="F125" s="222">
        <v>0</v>
      </c>
      <c r="G125" s="222">
        <v>0</v>
      </c>
      <c r="H125" s="222">
        <v>0</v>
      </c>
      <c r="I125" s="222">
        <v>0</v>
      </c>
      <c r="J125" s="222">
        <v>0</v>
      </c>
    </row>
    <row r="126" spans="1:10" s="217" customFormat="1">
      <c r="A126" s="214" t="s">
        <v>174</v>
      </c>
      <c r="B126" s="214" t="s">
        <v>12</v>
      </c>
      <c r="C126" s="215">
        <v>0.27361111111111103</v>
      </c>
      <c r="D126" s="222">
        <v>0</v>
      </c>
      <c r="E126" s="222">
        <v>0</v>
      </c>
      <c r="F126" s="222">
        <v>0</v>
      </c>
      <c r="G126" s="222">
        <v>0</v>
      </c>
      <c r="H126" s="222">
        <v>0</v>
      </c>
      <c r="I126" s="222">
        <v>0</v>
      </c>
      <c r="J126" s="222">
        <v>0</v>
      </c>
    </row>
    <row r="127" spans="1:10" s="217" customFormat="1">
      <c r="A127" s="214" t="s">
        <v>174</v>
      </c>
      <c r="B127" s="214" t="s">
        <v>12</v>
      </c>
      <c r="C127" s="215">
        <v>0.27430555555555602</v>
      </c>
      <c r="D127" s="222">
        <v>0</v>
      </c>
      <c r="E127" s="222">
        <v>0</v>
      </c>
      <c r="F127" s="222">
        <v>0</v>
      </c>
      <c r="G127" s="222">
        <v>0</v>
      </c>
      <c r="H127" s="222">
        <v>0</v>
      </c>
      <c r="I127" s="222">
        <v>0</v>
      </c>
      <c r="J127" s="222">
        <v>0</v>
      </c>
    </row>
    <row r="128" spans="1:10" s="217" customFormat="1">
      <c r="A128" s="214" t="s">
        <v>174</v>
      </c>
      <c r="B128" s="214" t="s">
        <v>12</v>
      </c>
      <c r="C128" s="215">
        <v>0.27500000000000002</v>
      </c>
      <c r="D128" s="222">
        <v>0</v>
      </c>
      <c r="E128" s="222">
        <v>0</v>
      </c>
      <c r="F128" s="222">
        <v>0</v>
      </c>
      <c r="G128" s="222">
        <v>0</v>
      </c>
      <c r="H128" s="222">
        <v>0</v>
      </c>
      <c r="I128" s="222">
        <v>0</v>
      </c>
      <c r="J128" s="222">
        <v>0</v>
      </c>
    </row>
    <row r="129" spans="1:10" s="217" customFormat="1">
      <c r="A129" s="214" t="s">
        <v>174</v>
      </c>
      <c r="B129" s="214" t="s">
        <v>12</v>
      </c>
      <c r="C129" s="215">
        <v>0.27569444444444402</v>
      </c>
      <c r="D129" s="222">
        <v>0</v>
      </c>
      <c r="E129" s="222">
        <v>0</v>
      </c>
      <c r="F129" s="222">
        <v>0</v>
      </c>
      <c r="G129" s="222">
        <v>0</v>
      </c>
      <c r="H129" s="222">
        <v>0</v>
      </c>
      <c r="I129" s="222">
        <v>0</v>
      </c>
      <c r="J129" s="222">
        <v>0</v>
      </c>
    </row>
    <row r="130" spans="1:10" s="217" customFormat="1">
      <c r="A130" s="214" t="s">
        <v>174</v>
      </c>
      <c r="B130" s="214" t="s">
        <v>12</v>
      </c>
      <c r="C130" s="215">
        <v>0.27638888888888902</v>
      </c>
      <c r="D130" s="222">
        <v>0</v>
      </c>
      <c r="E130" s="222">
        <v>0</v>
      </c>
      <c r="F130" s="222">
        <v>0</v>
      </c>
      <c r="G130" s="222">
        <v>0</v>
      </c>
      <c r="H130" s="222">
        <v>0</v>
      </c>
      <c r="I130" s="222">
        <v>0</v>
      </c>
      <c r="J130" s="222">
        <v>0</v>
      </c>
    </row>
    <row r="131" spans="1:10" s="217" customFormat="1">
      <c r="A131" s="214" t="s">
        <v>174</v>
      </c>
      <c r="B131" s="214" t="s">
        <v>12</v>
      </c>
      <c r="C131" s="215">
        <v>0.27708333333333302</v>
      </c>
      <c r="D131" s="222">
        <v>0</v>
      </c>
      <c r="E131" s="222">
        <v>0</v>
      </c>
      <c r="F131" s="222">
        <v>0</v>
      </c>
      <c r="G131" s="222">
        <v>0</v>
      </c>
      <c r="H131" s="222">
        <v>0</v>
      </c>
      <c r="I131" s="222">
        <v>0</v>
      </c>
      <c r="J131" s="222">
        <v>0</v>
      </c>
    </row>
    <row r="132" spans="1:10" s="217" customFormat="1">
      <c r="A132" s="214" t="s">
        <v>174</v>
      </c>
      <c r="B132" s="214" t="s">
        <v>12</v>
      </c>
      <c r="C132" s="215">
        <v>0.27777777777777801</v>
      </c>
      <c r="D132" s="222">
        <v>0</v>
      </c>
      <c r="E132" s="222">
        <v>0</v>
      </c>
      <c r="F132" s="222">
        <v>0</v>
      </c>
      <c r="G132" s="222">
        <v>0</v>
      </c>
      <c r="H132" s="222">
        <v>0</v>
      </c>
      <c r="I132" s="222">
        <v>0</v>
      </c>
      <c r="J132" s="222">
        <v>0</v>
      </c>
    </row>
    <row r="133" spans="1:10" s="217" customFormat="1">
      <c r="A133" s="214" t="s">
        <v>174</v>
      </c>
      <c r="B133" s="214" t="s">
        <v>12</v>
      </c>
      <c r="C133" s="215">
        <v>0.27847222222222201</v>
      </c>
      <c r="D133" s="222">
        <v>0</v>
      </c>
      <c r="E133" s="222">
        <v>0</v>
      </c>
      <c r="F133" s="222">
        <v>0</v>
      </c>
      <c r="G133" s="222">
        <v>0</v>
      </c>
      <c r="H133" s="222">
        <v>0</v>
      </c>
      <c r="I133" s="222">
        <v>0</v>
      </c>
      <c r="J133" s="222">
        <v>0</v>
      </c>
    </row>
    <row r="134" spans="1:10" s="217" customFormat="1">
      <c r="A134" s="214" t="s">
        <v>174</v>
      </c>
      <c r="B134" s="214" t="s">
        <v>12</v>
      </c>
      <c r="C134" s="215">
        <v>0.27916666666666701</v>
      </c>
      <c r="D134" s="222">
        <v>0</v>
      </c>
      <c r="E134" s="222">
        <v>0</v>
      </c>
      <c r="F134" s="222">
        <v>0</v>
      </c>
      <c r="G134" s="222">
        <v>0</v>
      </c>
      <c r="H134" s="222">
        <v>0</v>
      </c>
      <c r="I134" s="222">
        <v>0</v>
      </c>
      <c r="J134" s="222">
        <v>0</v>
      </c>
    </row>
    <row r="135" spans="1:10" s="217" customFormat="1">
      <c r="A135" s="214" t="s">
        <v>174</v>
      </c>
      <c r="B135" s="214" t="s">
        <v>12</v>
      </c>
      <c r="C135" s="215">
        <v>0.27986111111111101</v>
      </c>
      <c r="D135" s="222">
        <v>0</v>
      </c>
      <c r="E135" s="222">
        <v>0</v>
      </c>
      <c r="F135" s="222">
        <v>0</v>
      </c>
      <c r="G135" s="222">
        <v>0</v>
      </c>
      <c r="H135" s="222">
        <v>0</v>
      </c>
      <c r="I135" s="222">
        <v>0</v>
      </c>
      <c r="J135" s="222">
        <v>0</v>
      </c>
    </row>
    <row r="136" spans="1:10" s="221" customFormat="1">
      <c r="A136" s="218" t="s">
        <v>174</v>
      </c>
      <c r="B136" s="218" t="s">
        <v>12</v>
      </c>
      <c r="C136" s="219">
        <v>0.280555555555556</v>
      </c>
      <c r="D136" s="223">
        <v>0</v>
      </c>
      <c r="E136" s="223">
        <v>0</v>
      </c>
      <c r="F136" s="223">
        <v>0</v>
      </c>
      <c r="G136" s="223">
        <v>0</v>
      </c>
      <c r="H136" s="223">
        <v>0</v>
      </c>
      <c r="I136" s="223">
        <v>0</v>
      </c>
      <c r="J136" s="223">
        <v>0</v>
      </c>
    </row>
    <row r="137" spans="1:10" s="217" customFormat="1">
      <c r="A137" s="214" t="s">
        <v>174</v>
      </c>
      <c r="B137" s="214" t="s">
        <v>12</v>
      </c>
      <c r="C137" s="215">
        <v>0.28125</v>
      </c>
      <c r="D137" s="222">
        <v>0</v>
      </c>
      <c r="E137" s="222">
        <v>0</v>
      </c>
      <c r="F137" s="222">
        <v>0</v>
      </c>
      <c r="G137" s="222">
        <v>0</v>
      </c>
      <c r="H137" s="222">
        <v>0</v>
      </c>
      <c r="I137" s="222">
        <v>0</v>
      </c>
      <c r="J137" s="222">
        <v>0</v>
      </c>
    </row>
    <row r="138" spans="1:10" s="217" customFormat="1">
      <c r="A138" s="214" t="s">
        <v>174</v>
      </c>
      <c r="B138" s="214" t="s">
        <v>12</v>
      </c>
      <c r="C138" s="215">
        <v>0.281944444444444</v>
      </c>
      <c r="D138" s="222">
        <v>0</v>
      </c>
      <c r="E138" s="222">
        <v>0</v>
      </c>
      <c r="F138" s="222">
        <v>0</v>
      </c>
      <c r="G138" s="222">
        <v>0</v>
      </c>
      <c r="H138" s="222">
        <v>0</v>
      </c>
      <c r="I138" s="222">
        <v>0</v>
      </c>
      <c r="J138" s="222">
        <v>0</v>
      </c>
    </row>
    <row r="139" spans="1:10" s="217" customFormat="1">
      <c r="A139" s="214" t="s">
        <v>174</v>
      </c>
      <c r="B139" s="214" t="s">
        <v>12</v>
      </c>
      <c r="C139" s="215">
        <v>0.28263888888888899</v>
      </c>
      <c r="D139" s="222">
        <v>0</v>
      </c>
      <c r="E139" s="222">
        <v>0</v>
      </c>
      <c r="F139" s="222">
        <v>0</v>
      </c>
      <c r="G139" s="222">
        <v>0</v>
      </c>
      <c r="H139" s="222">
        <v>0</v>
      </c>
      <c r="I139" s="222">
        <v>0</v>
      </c>
      <c r="J139" s="222">
        <v>0</v>
      </c>
    </row>
    <row r="140" spans="1:10" s="217" customFormat="1">
      <c r="A140" s="214" t="s">
        <v>174</v>
      </c>
      <c r="B140" s="214" t="s">
        <v>12</v>
      </c>
      <c r="C140" s="215">
        <v>0.28333333333333299</v>
      </c>
      <c r="D140" s="222">
        <v>0</v>
      </c>
      <c r="E140" s="222">
        <v>0</v>
      </c>
      <c r="F140" s="222">
        <v>0</v>
      </c>
      <c r="G140" s="222">
        <v>0</v>
      </c>
      <c r="H140" s="222">
        <v>0</v>
      </c>
      <c r="I140" s="222">
        <v>0</v>
      </c>
      <c r="J140" s="222">
        <v>0</v>
      </c>
    </row>
    <row r="141" spans="1:10" s="217" customFormat="1">
      <c r="A141" s="214" t="s">
        <v>174</v>
      </c>
      <c r="B141" s="214" t="s">
        <v>12</v>
      </c>
      <c r="C141" s="215">
        <v>0.28402777777777799</v>
      </c>
      <c r="D141" s="222">
        <v>0</v>
      </c>
      <c r="E141" s="222">
        <v>0</v>
      </c>
      <c r="F141" s="222">
        <v>0</v>
      </c>
      <c r="G141" s="222">
        <v>0</v>
      </c>
      <c r="H141" s="222">
        <v>0</v>
      </c>
      <c r="I141" s="222">
        <v>0</v>
      </c>
      <c r="J141" s="222">
        <v>0</v>
      </c>
    </row>
    <row r="142" spans="1:10" s="217" customFormat="1">
      <c r="A142" s="214" t="s">
        <v>174</v>
      </c>
      <c r="B142" s="214" t="s">
        <v>12</v>
      </c>
      <c r="C142" s="215">
        <v>0.28472222222222199</v>
      </c>
      <c r="D142" s="222">
        <v>0</v>
      </c>
      <c r="E142" s="222">
        <v>0</v>
      </c>
      <c r="F142" s="222">
        <v>0</v>
      </c>
      <c r="G142" s="222">
        <v>0</v>
      </c>
      <c r="H142" s="222">
        <v>0</v>
      </c>
      <c r="I142" s="222">
        <v>0</v>
      </c>
      <c r="J142" s="222">
        <v>0</v>
      </c>
    </row>
    <row r="143" spans="1:10" s="217" customFormat="1">
      <c r="A143" s="214" t="s">
        <v>174</v>
      </c>
      <c r="B143" s="214" t="s">
        <v>12</v>
      </c>
      <c r="C143" s="215">
        <v>0.28541666666666698</v>
      </c>
      <c r="D143" s="222">
        <v>0</v>
      </c>
      <c r="E143" s="222">
        <v>0</v>
      </c>
      <c r="F143" s="222">
        <v>0</v>
      </c>
      <c r="G143" s="222">
        <v>0</v>
      </c>
      <c r="H143" s="222">
        <v>0</v>
      </c>
      <c r="I143" s="222">
        <v>0</v>
      </c>
      <c r="J143" s="222">
        <v>0</v>
      </c>
    </row>
    <row r="144" spans="1:10" s="217" customFormat="1">
      <c r="A144" s="214" t="s">
        <v>174</v>
      </c>
      <c r="B144" s="214" t="s">
        <v>12</v>
      </c>
      <c r="C144" s="215">
        <v>0.28611111111111098</v>
      </c>
      <c r="D144" s="222">
        <v>0</v>
      </c>
      <c r="E144" s="222">
        <v>0</v>
      </c>
      <c r="F144" s="222">
        <v>0</v>
      </c>
      <c r="G144" s="222">
        <v>0</v>
      </c>
      <c r="H144" s="222">
        <v>0</v>
      </c>
      <c r="I144" s="222">
        <v>0</v>
      </c>
      <c r="J144" s="222">
        <v>0</v>
      </c>
    </row>
    <row r="145" spans="1:10" s="217" customFormat="1">
      <c r="A145" s="214" t="s">
        <v>174</v>
      </c>
      <c r="B145" s="214" t="s">
        <v>12</v>
      </c>
      <c r="C145" s="215">
        <v>0.28680555555555598</v>
      </c>
      <c r="D145" s="222">
        <v>0</v>
      </c>
      <c r="E145" s="222">
        <v>0</v>
      </c>
      <c r="F145" s="222">
        <v>0</v>
      </c>
      <c r="G145" s="222">
        <v>0</v>
      </c>
      <c r="H145" s="222">
        <v>0</v>
      </c>
      <c r="I145" s="222">
        <v>0</v>
      </c>
      <c r="J145" s="222">
        <v>0</v>
      </c>
    </row>
    <row r="146" spans="1:10" s="217" customFormat="1">
      <c r="A146" s="214" t="s">
        <v>174</v>
      </c>
      <c r="B146" s="214" t="s">
        <v>12</v>
      </c>
      <c r="C146" s="215">
        <v>0.28749999999999998</v>
      </c>
      <c r="D146" s="222">
        <v>0</v>
      </c>
      <c r="E146" s="222">
        <v>0</v>
      </c>
      <c r="F146" s="222">
        <v>0</v>
      </c>
      <c r="G146" s="222">
        <v>0</v>
      </c>
      <c r="H146" s="222">
        <v>0</v>
      </c>
      <c r="I146" s="222">
        <v>0</v>
      </c>
      <c r="J146" s="222">
        <v>0</v>
      </c>
    </row>
    <row r="147" spans="1:10" s="217" customFormat="1">
      <c r="A147" s="214" t="s">
        <v>174</v>
      </c>
      <c r="B147" s="214" t="s">
        <v>12</v>
      </c>
      <c r="C147" s="215">
        <v>0.28819444444444398</v>
      </c>
      <c r="D147" s="222">
        <v>0</v>
      </c>
      <c r="E147" s="222">
        <v>0</v>
      </c>
      <c r="F147" s="222">
        <v>0</v>
      </c>
      <c r="G147" s="222">
        <v>0</v>
      </c>
      <c r="H147" s="222">
        <v>0</v>
      </c>
      <c r="I147" s="222">
        <v>0</v>
      </c>
      <c r="J147" s="222">
        <v>0</v>
      </c>
    </row>
    <row r="148" spans="1:10" s="217" customFormat="1">
      <c r="A148" s="214" t="s">
        <v>174</v>
      </c>
      <c r="B148" s="214" t="s">
        <v>12</v>
      </c>
      <c r="C148" s="215">
        <v>0.28888888888888897</v>
      </c>
      <c r="D148" s="222">
        <v>0</v>
      </c>
      <c r="E148" s="222">
        <v>0</v>
      </c>
      <c r="F148" s="222">
        <v>0</v>
      </c>
      <c r="G148" s="222">
        <v>0</v>
      </c>
      <c r="H148" s="222">
        <v>0</v>
      </c>
      <c r="I148" s="222">
        <v>0</v>
      </c>
      <c r="J148" s="222">
        <v>0</v>
      </c>
    </row>
    <row r="149" spans="1:10" s="217" customFormat="1">
      <c r="A149" s="214" t="s">
        <v>174</v>
      </c>
      <c r="B149" s="214" t="s">
        <v>12</v>
      </c>
      <c r="C149" s="215">
        <v>0.28958333333333303</v>
      </c>
      <c r="D149" s="222">
        <v>0</v>
      </c>
      <c r="E149" s="222">
        <v>0</v>
      </c>
      <c r="F149" s="222">
        <v>0</v>
      </c>
      <c r="G149" s="222">
        <v>0</v>
      </c>
      <c r="H149" s="222">
        <v>0</v>
      </c>
      <c r="I149" s="222">
        <v>0</v>
      </c>
      <c r="J149" s="222">
        <v>0</v>
      </c>
    </row>
    <row r="150" spans="1:10" s="217" customFormat="1">
      <c r="A150" s="214" t="s">
        <v>174</v>
      </c>
      <c r="B150" s="214" t="s">
        <v>12</v>
      </c>
      <c r="C150" s="215">
        <v>0.29027777777777802</v>
      </c>
      <c r="D150" s="222">
        <v>0</v>
      </c>
      <c r="E150" s="222">
        <v>0</v>
      </c>
      <c r="F150" s="222">
        <v>0</v>
      </c>
      <c r="G150" s="222">
        <v>0</v>
      </c>
      <c r="H150" s="222">
        <v>0</v>
      </c>
      <c r="I150" s="222">
        <v>0</v>
      </c>
      <c r="J150" s="222">
        <v>0</v>
      </c>
    </row>
    <row r="151" spans="1:10" s="221" customFormat="1">
      <c r="A151" s="218" t="s">
        <v>174</v>
      </c>
      <c r="B151" s="218" t="s">
        <v>12</v>
      </c>
      <c r="C151" s="219">
        <v>0.29097222222222202</v>
      </c>
      <c r="D151" s="223">
        <v>0</v>
      </c>
      <c r="E151" s="223">
        <v>0</v>
      </c>
      <c r="F151" s="223">
        <v>0</v>
      </c>
      <c r="G151" s="223">
        <v>0</v>
      </c>
      <c r="H151" s="223">
        <v>0</v>
      </c>
      <c r="I151" s="223">
        <v>0</v>
      </c>
      <c r="J151" s="223">
        <v>0</v>
      </c>
    </row>
    <row r="152" spans="1:10" s="217" customFormat="1">
      <c r="A152" s="214" t="s">
        <v>174</v>
      </c>
      <c r="B152" s="214" t="s">
        <v>12</v>
      </c>
      <c r="C152" s="215">
        <v>0.29166666666666702</v>
      </c>
      <c r="D152" s="222">
        <v>0</v>
      </c>
      <c r="E152" s="222">
        <v>0</v>
      </c>
      <c r="F152" s="222">
        <v>0</v>
      </c>
      <c r="G152" s="222">
        <v>0</v>
      </c>
      <c r="H152" s="222">
        <v>0</v>
      </c>
      <c r="I152" s="222">
        <v>0</v>
      </c>
      <c r="J152" s="222">
        <v>0</v>
      </c>
    </row>
    <row r="153" spans="1:10" s="217" customFormat="1">
      <c r="A153" s="214" t="s">
        <v>174</v>
      </c>
      <c r="B153" s="214" t="s">
        <v>12</v>
      </c>
      <c r="C153" s="215">
        <v>0.29236111111111102</v>
      </c>
      <c r="D153" s="222">
        <v>0</v>
      </c>
      <c r="E153" s="222">
        <v>0</v>
      </c>
      <c r="F153" s="222">
        <v>0</v>
      </c>
      <c r="G153" s="222">
        <v>0</v>
      </c>
      <c r="H153" s="222">
        <v>0</v>
      </c>
      <c r="I153" s="222">
        <v>0</v>
      </c>
      <c r="J153" s="222">
        <v>0</v>
      </c>
    </row>
    <row r="154" spans="1:10" s="217" customFormat="1">
      <c r="A154" s="214" t="s">
        <v>174</v>
      </c>
      <c r="B154" s="214" t="s">
        <v>12</v>
      </c>
      <c r="C154" s="215">
        <v>0.29305555555555501</v>
      </c>
      <c r="D154" s="222">
        <v>0</v>
      </c>
      <c r="E154" s="222">
        <v>0</v>
      </c>
      <c r="F154" s="222">
        <v>0</v>
      </c>
      <c r="G154" s="222">
        <v>0</v>
      </c>
      <c r="H154" s="222">
        <v>0</v>
      </c>
      <c r="I154" s="222">
        <v>0</v>
      </c>
      <c r="J154" s="222">
        <v>0</v>
      </c>
    </row>
    <row r="155" spans="1:10" s="217" customFormat="1">
      <c r="A155" s="214" t="s">
        <v>174</v>
      </c>
      <c r="B155" s="214" t="s">
        <v>12</v>
      </c>
      <c r="C155" s="215">
        <v>0.29375000000000001</v>
      </c>
      <c r="D155" s="222">
        <v>0</v>
      </c>
      <c r="E155" s="222">
        <v>0</v>
      </c>
      <c r="F155" s="222">
        <v>0</v>
      </c>
      <c r="G155" s="222">
        <v>0</v>
      </c>
      <c r="H155" s="222">
        <v>0</v>
      </c>
      <c r="I155" s="222">
        <v>0</v>
      </c>
      <c r="J155" s="222">
        <v>0</v>
      </c>
    </row>
    <row r="156" spans="1:10" s="217" customFormat="1">
      <c r="A156" s="214" t="s">
        <v>174</v>
      </c>
      <c r="B156" s="214" t="s">
        <v>12</v>
      </c>
      <c r="C156" s="215">
        <v>0.29444444444444401</v>
      </c>
      <c r="D156" s="222">
        <v>0</v>
      </c>
      <c r="E156" s="222">
        <v>0</v>
      </c>
      <c r="F156" s="222">
        <v>0</v>
      </c>
      <c r="G156" s="222">
        <v>0</v>
      </c>
      <c r="H156" s="222">
        <v>0</v>
      </c>
      <c r="I156" s="222">
        <v>0</v>
      </c>
      <c r="J156" s="222">
        <v>0</v>
      </c>
    </row>
    <row r="157" spans="1:10" s="217" customFormat="1">
      <c r="A157" s="214" t="s">
        <v>174</v>
      </c>
      <c r="B157" s="214" t="s">
        <v>12</v>
      </c>
      <c r="C157" s="215">
        <v>0.29513888888888901</v>
      </c>
      <c r="D157" s="222">
        <v>0</v>
      </c>
      <c r="E157" s="222">
        <v>0</v>
      </c>
      <c r="F157" s="222">
        <v>0</v>
      </c>
      <c r="G157" s="222">
        <v>0</v>
      </c>
      <c r="H157" s="222">
        <v>0</v>
      </c>
      <c r="I157" s="222">
        <v>0</v>
      </c>
      <c r="J157" s="222">
        <v>0</v>
      </c>
    </row>
    <row r="158" spans="1:10" s="217" customFormat="1">
      <c r="A158" s="214" t="s">
        <v>174</v>
      </c>
      <c r="B158" s="214" t="s">
        <v>12</v>
      </c>
      <c r="C158" s="215">
        <v>0.295833333333333</v>
      </c>
      <c r="D158" s="222">
        <v>0</v>
      </c>
      <c r="E158" s="222">
        <v>0</v>
      </c>
      <c r="F158" s="222">
        <v>0</v>
      </c>
      <c r="G158" s="222">
        <v>0</v>
      </c>
      <c r="H158" s="222">
        <v>0</v>
      </c>
      <c r="I158" s="222">
        <v>0</v>
      </c>
      <c r="J158" s="222">
        <v>0</v>
      </c>
    </row>
    <row r="159" spans="1:10" s="217" customFormat="1">
      <c r="A159" s="214" t="s">
        <v>174</v>
      </c>
      <c r="B159" s="214" t="s">
        <v>12</v>
      </c>
      <c r="C159" s="215">
        <v>0.296527777777778</v>
      </c>
      <c r="D159" s="222">
        <v>0</v>
      </c>
      <c r="E159" s="222">
        <v>0</v>
      </c>
      <c r="F159" s="222">
        <v>0</v>
      </c>
      <c r="G159" s="222">
        <v>0</v>
      </c>
      <c r="H159" s="222">
        <v>0</v>
      </c>
      <c r="I159" s="222">
        <v>0</v>
      </c>
      <c r="J159" s="222">
        <v>0</v>
      </c>
    </row>
    <row r="160" spans="1:10" s="217" customFormat="1">
      <c r="A160" s="214" t="s">
        <v>174</v>
      </c>
      <c r="B160" s="214" t="s">
        <v>12</v>
      </c>
      <c r="C160" s="215">
        <v>0.297222222222222</v>
      </c>
      <c r="D160" s="222">
        <v>0</v>
      </c>
      <c r="E160" s="222">
        <v>0</v>
      </c>
      <c r="F160" s="222">
        <v>0</v>
      </c>
      <c r="G160" s="222">
        <v>0</v>
      </c>
      <c r="H160" s="222">
        <v>0</v>
      </c>
      <c r="I160" s="222">
        <v>0</v>
      </c>
      <c r="J160" s="222">
        <v>0</v>
      </c>
    </row>
    <row r="161" spans="1:10" s="217" customFormat="1">
      <c r="A161" s="214" t="s">
        <v>174</v>
      </c>
      <c r="B161" s="214" t="s">
        <v>12</v>
      </c>
      <c r="C161" s="215">
        <v>0.297916666666666</v>
      </c>
      <c r="D161" s="222">
        <v>0</v>
      </c>
      <c r="E161" s="222">
        <v>0</v>
      </c>
      <c r="F161" s="222">
        <v>0</v>
      </c>
      <c r="G161" s="222">
        <v>0</v>
      </c>
      <c r="H161" s="222">
        <v>0</v>
      </c>
      <c r="I161" s="222">
        <v>0</v>
      </c>
      <c r="J161" s="222">
        <v>0</v>
      </c>
    </row>
    <row r="162" spans="1:10" s="217" customFormat="1">
      <c r="A162" s="214" t="s">
        <v>174</v>
      </c>
      <c r="B162" s="214" t="s">
        <v>12</v>
      </c>
      <c r="C162" s="215">
        <v>0.29861111111111099</v>
      </c>
      <c r="D162" s="222">
        <v>0</v>
      </c>
      <c r="E162" s="222">
        <v>0</v>
      </c>
      <c r="F162" s="222">
        <v>0</v>
      </c>
      <c r="G162" s="222">
        <v>0</v>
      </c>
      <c r="H162" s="222">
        <v>0</v>
      </c>
      <c r="I162" s="222">
        <v>0</v>
      </c>
      <c r="J162" s="222">
        <v>0</v>
      </c>
    </row>
    <row r="163" spans="1:10" s="217" customFormat="1">
      <c r="A163" s="214" t="s">
        <v>174</v>
      </c>
      <c r="B163" s="214" t="s">
        <v>12</v>
      </c>
      <c r="C163" s="215">
        <v>0.29930555555555499</v>
      </c>
      <c r="D163" s="222">
        <v>0</v>
      </c>
      <c r="E163" s="222">
        <v>0</v>
      </c>
      <c r="F163" s="222">
        <v>0</v>
      </c>
      <c r="G163" s="222">
        <v>0</v>
      </c>
      <c r="H163" s="222">
        <v>0</v>
      </c>
      <c r="I163" s="222">
        <v>0</v>
      </c>
      <c r="J163" s="222">
        <v>0</v>
      </c>
    </row>
    <row r="164" spans="1:10" s="217" customFormat="1">
      <c r="A164" s="214" t="s">
        <v>174</v>
      </c>
      <c r="B164" s="214" t="s">
        <v>12</v>
      </c>
      <c r="C164" s="215">
        <v>0.3</v>
      </c>
      <c r="D164" s="222">
        <v>0</v>
      </c>
      <c r="E164" s="222">
        <v>0</v>
      </c>
      <c r="F164" s="222">
        <v>0</v>
      </c>
      <c r="G164" s="222">
        <v>0</v>
      </c>
      <c r="H164" s="222">
        <v>0</v>
      </c>
      <c r="I164" s="222">
        <v>0</v>
      </c>
      <c r="J164" s="222">
        <v>0</v>
      </c>
    </row>
    <row r="165" spans="1:10" s="217" customFormat="1">
      <c r="A165" s="214" t="s">
        <v>174</v>
      </c>
      <c r="B165" s="214" t="s">
        <v>12</v>
      </c>
      <c r="C165" s="215">
        <v>0.30069444444444399</v>
      </c>
      <c r="D165" s="222">
        <v>0</v>
      </c>
      <c r="E165" s="222">
        <v>0</v>
      </c>
      <c r="F165" s="222">
        <v>0</v>
      </c>
      <c r="G165" s="222">
        <v>0</v>
      </c>
      <c r="H165" s="222">
        <v>0</v>
      </c>
      <c r="I165" s="222">
        <v>0</v>
      </c>
      <c r="J165" s="222">
        <v>0</v>
      </c>
    </row>
    <row r="166" spans="1:10" s="221" customFormat="1">
      <c r="A166" s="218" t="s">
        <v>174</v>
      </c>
      <c r="B166" s="218" t="s">
        <v>12</v>
      </c>
      <c r="C166" s="219">
        <v>0.30138888888888898</v>
      </c>
      <c r="D166" s="223">
        <v>0</v>
      </c>
      <c r="E166" s="223">
        <v>0</v>
      </c>
      <c r="F166" s="223">
        <v>0</v>
      </c>
      <c r="G166" s="223">
        <v>0</v>
      </c>
      <c r="H166" s="223">
        <v>0</v>
      </c>
      <c r="I166" s="223">
        <v>0</v>
      </c>
      <c r="J166" s="223">
        <v>0</v>
      </c>
    </row>
    <row r="167" spans="1:10" s="217" customFormat="1">
      <c r="A167" s="214" t="s">
        <v>174</v>
      </c>
      <c r="B167" s="214" t="s">
        <v>12</v>
      </c>
      <c r="C167" s="215">
        <v>0.30208333333333298</v>
      </c>
      <c r="D167" s="222">
        <v>0</v>
      </c>
      <c r="E167" s="222">
        <v>0</v>
      </c>
      <c r="F167" s="222">
        <v>0</v>
      </c>
      <c r="G167" s="222">
        <v>0</v>
      </c>
      <c r="H167" s="222">
        <v>0</v>
      </c>
      <c r="I167" s="222">
        <v>0</v>
      </c>
      <c r="J167" s="222">
        <v>0</v>
      </c>
    </row>
    <row r="168" spans="1:10" s="217" customFormat="1">
      <c r="A168" s="214" t="s">
        <v>174</v>
      </c>
      <c r="B168" s="214" t="s">
        <v>12</v>
      </c>
      <c r="C168" s="215">
        <v>0.30277777777777798</v>
      </c>
      <c r="D168" s="222">
        <v>0</v>
      </c>
      <c r="E168" s="222">
        <v>0</v>
      </c>
      <c r="F168" s="222">
        <v>0</v>
      </c>
      <c r="G168" s="222">
        <v>0</v>
      </c>
      <c r="H168" s="222">
        <v>0</v>
      </c>
      <c r="I168" s="222">
        <v>0</v>
      </c>
      <c r="J168" s="222">
        <v>0</v>
      </c>
    </row>
    <row r="169" spans="1:10" s="217" customFormat="1">
      <c r="A169" s="214" t="s">
        <v>174</v>
      </c>
      <c r="B169" s="214" t="s">
        <v>12</v>
      </c>
      <c r="C169" s="215">
        <v>0.30347222222222198</v>
      </c>
      <c r="D169" s="222">
        <v>0</v>
      </c>
      <c r="E169" s="222">
        <v>0</v>
      </c>
      <c r="F169" s="222">
        <v>0</v>
      </c>
      <c r="G169" s="222">
        <v>0</v>
      </c>
      <c r="H169" s="222">
        <v>0</v>
      </c>
      <c r="I169" s="222">
        <v>0</v>
      </c>
      <c r="J169" s="222">
        <v>0</v>
      </c>
    </row>
    <row r="170" spans="1:10" s="217" customFormat="1">
      <c r="A170" s="214" t="s">
        <v>174</v>
      </c>
      <c r="B170" s="214" t="s">
        <v>12</v>
      </c>
      <c r="C170" s="215">
        <v>0.30416666666666697</v>
      </c>
      <c r="D170" s="222">
        <v>0</v>
      </c>
      <c r="E170" s="222">
        <v>0</v>
      </c>
      <c r="F170" s="222">
        <v>0</v>
      </c>
      <c r="G170" s="222">
        <v>0</v>
      </c>
      <c r="H170" s="222">
        <v>0</v>
      </c>
      <c r="I170" s="222">
        <v>0</v>
      </c>
      <c r="J170" s="222">
        <v>0</v>
      </c>
    </row>
    <row r="171" spans="1:10" s="217" customFormat="1">
      <c r="A171" s="214" t="s">
        <v>174</v>
      </c>
      <c r="B171" s="214" t="s">
        <v>12</v>
      </c>
      <c r="C171" s="215">
        <v>0.30486111111111103</v>
      </c>
      <c r="D171" s="222">
        <v>0</v>
      </c>
      <c r="E171" s="222">
        <v>0</v>
      </c>
      <c r="F171" s="222">
        <v>0</v>
      </c>
      <c r="G171" s="222">
        <v>0</v>
      </c>
      <c r="H171" s="222">
        <v>0</v>
      </c>
      <c r="I171" s="222">
        <v>0</v>
      </c>
      <c r="J171" s="222">
        <v>0</v>
      </c>
    </row>
    <row r="172" spans="1:10" s="217" customFormat="1">
      <c r="A172" s="214" t="s">
        <v>174</v>
      </c>
      <c r="B172" s="214" t="s">
        <v>12</v>
      </c>
      <c r="C172" s="215">
        <v>0.30555555555555503</v>
      </c>
      <c r="D172" s="222">
        <v>0</v>
      </c>
      <c r="E172" s="222">
        <v>0</v>
      </c>
      <c r="F172" s="222">
        <v>0</v>
      </c>
      <c r="G172" s="222">
        <v>0</v>
      </c>
      <c r="H172" s="222">
        <v>0</v>
      </c>
      <c r="I172" s="222">
        <v>0</v>
      </c>
      <c r="J172" s="222">
        <v>0</v>
      </c>
    </row>
    <row r="173" spans="1:10" s="217" customFormat="1">
      <c r="A173" s="214" t="s">
        <v>174</v>
      </c>
      <c r="B173" s="214" t="s">
        <v>12</v>
      </c>
      <c r="C173" s="215">
        <v>0.30625000000000002</v>
      </c>
      <c r="D173" s="222">
        <v>0</v>
      </c>
      <c r="E173" s="222">
        <v>0</v>
      </c>
      <c r="F173" s="222">
        <v>0</v>
      </c>
      <c r="G173" s="222">
        <v>0</v>
      </c>
      <c r="H173" s="222">
        <v>0</v>
      </c>
      <c r="I173" s="222">
        <v>0</v>
      </c>
      <c r="J173" s="222">
        <v>0</v>
      </c>
    </row>
    <row r="174" spans="1:10" s="217" customFormat="1">
      <c r="A174" s="214" t="s">
        <v>174</v>
      </c>
      <c r="B174" s="214" t="s">
        <v>12</v>
      </c>
      <c r="C174" s="215">
        <v>0.30694444444444402</v>
      </c>
      <c r="D174" s="222">
        <v>0</v>
      </c>
      <c r="E174" s="222">
        <v>0</v>
      </c>
      <c r="F174" s="222">
        <v>0</v>
      </c>
      <c r="G174" s="222">
        <v>0</v>
      </c>
      <c r="H174" s="222">
        <v>0</v>
      </c>
      <c r="I174" s="222">
        <v>0</v>
      </c>
      <c r="J174" s="222">
        <v>0</v>
      </c>
    </row>
    <row r="175" spans="1:10" s="217" customFormat="1">
      <c r="A175" s="214" t="s">
        <v>174</v>
      </c>
      <c r="B175" s="214" t="s">
        <v>12</v>
      </c>
      <c r="C175" s="215">
        <v>0.30763888888888902</v>
      </c>
      <c r="D175" s="222">
        <v>0</v>
      </c>
      <c r="E175" s="222">
        <v>0</v>
      </c>
      <c r="F175" s="222">
        <v>0</v>
      </c>
      <c r="G175" s="222">
        <v>0</v>
      </c>
      <c r="H175" s="222">
        <v>0</v>
      </c>
      <c r="I175" s="222">
        <v>0</v>
      </c>
      <c r="J175" s="222">
        <v>0</v>
      </c>
    </row>
    <row r="176" spans="1:10" s="217" customFormat="1">
      <c r="A176" s="214" t="s">
        <v>174</v>
      </c>
      <c r="B176" s="214" t="s">
        <v>12</v>
      </c>
      <c r="C176" s="215">
        <v>0.30833333333333302</v>
      </c>
      <c r="D176" s="222">
        <v>0</v>
      </c>
      <c r="E176" s="222">
        <v>0</v>
      </c>
      <c r="F176" s="222">
        <v>0</v>
      </c>
      <c r="G176" s="222">
        <v>0</v>
      </c>
      <c r="H176" s="222">
        <v>0</v>
      </c>
      <c r="I176" s="222">
        <v>0</v>
      </c>
      <c r="J176" s="222">
        <v>0</v>
      </c>
    </row>
    <row r="177" spans="1:10" s="217" customFormat="1">
      <c r="A177" s="214" t="s">
        <v>174</v>
      </c>
      <c r="B177" s="214" t="s">
        <v>12</v>
      </c>
      <c r="C177" s="215">
        <v>0.30902777777777801</v>
      </c>
      <c r="D177" s="222">
        <v>0</v>
      </c>
      <c r="E177" s="222">
        <v>0</v>
      </c>
      <c r="F177" s="222">
        <v>0</v>
      </c>
      <c r="G177" s="222">
        <v>0</v>
      </c>
      <c r="H177" s="222">
        <v>0</v>
      </c>
      <c r="I177" s="222">
        <v>0</v>
      </c>
      <c r="J177" s="222">
        <v>0</v>
      </c>
    </row>
    <row r="178" spans="1:10" s="217" customFormat="1">
      <c r="A178" s="214" t="s">
        <v>174</v>
      </c>
      <c r="B178" s="214" t="s">
        <v>12</v>
      </c>
      <c r="C178" s="215">
        <v>0.30972222222222201</v>
      </c>
      <c r="D178" s="222">
        <v>0</v>
      </c>
      <c r="E178" s="222">
        <v>0</v>
      </c>
      <c r="F178" s="222">
        <v>0</v>
      </c>
      <c r="G178" s="222">
        <v>0</v>
      </c>
      <c r="H178" s="222">
        <v>0</v>
      </c>
      <c r="I178" s="222">
        <v>0</v>
      </c>
      <c r="J178" s="222">
        <v>0</v>
      </c>
    </row>
    <row r="179" spans="1:10" s="217" customFormat="1">
      <c r="A179" s="214" t="s">
        <v>174</v>
      </c>
      <c r="B179" s="214" t="s">
        <v>12</v>
      </c>
      <c r="C179" s="215">
        <v>0.31041666666666701</v>
      </c>
      <c r="D179" s="222">
        <v>0</v>
      </c>
      <c r="E179" s="222">
        <v>0</v>
      </c>
      <c r="F179" s="222">
        <v>0</v>
      </c>
      <c r="G179" s="222">
        <v>0</v>
      </c>
      <c r="H179" s="222">
        <v>0</v>
      </c>
      <c r="I179" s="222">
        <v>0</v>
      </c>
      <c r="J179" s="222">
        <v>0</v>
      </c>
    </row>
    <row r="180" spans="1:10" s="217" customFormat="1">
      <c r="A180" s="214" t="s">
        <v>174</v>
      </c>
      <c r="B180" s="214" t="s">
        <v>12</v>
      </c>
      <c r="C180" s="215">
        <v>0.31111111111111101</v>
      </c>
      <c r="D180" s="222">
        <v>0</v>
      </c>
      <c r="E180" s="222">
        <v>0</v>
      </c>
      <c r="F180" s="222">
        <v>0</v>
      </c>
      <c r="G180" s="222">
        <v>0</v>
      </c>
      <c r="H180" s="222">
        <v>0</v>
      </c>
      <c r="I180" s="222">
        <v>0</v>
      </c>
      <c r="J180" s="222">
        <v>0</v>
      </c>
    </row>
    <row r="181" spans="1:10" s="221" customFormat="1">
      <c r="A181" s="218" t="s">
        <v>174</v>
      </c>
      <c r="B181" s="218" t="s">
        <v>12</v>
      </c>
      <c r="C181" s="219">
        <v>0.311805555555555</v>
      </c>
      <c r="D181" s="223">
        <v>0</v>
      </c>
      <c r="E181" s="223">
        <v>0</v>
      </c>
      <c r="F181" s="223">
        <v>0</v>
      </c>
      <c r="G181" s="223">
        <v>0</v>
      </c>
      <c r="H181" s="223">
        <v>0</v>
      </c>
      <c r="I181" s="223">
        <v>0</v>
      </c>
      <c r="J181" s="223">
        <v>0</v>
      </c>
    </row>
    <row r="182" spans="1:10" s="217" customFormat="1">
      <c r="A182" s="214" t="s">
        <v>174</v>
      </c>
      <c r="B182" s="214" t="s">
        <v>12</v>
      </c>
      <c r="C182" s="215">
        <v>0.3125</v>
      </c>
      <c r="D182" s="222">
        <v>0</v>
      </c>
      <c r="E182" s="222">
        <v>0</v>
      </c>
      <c r="F182" s="222">
        <v>0</v>
      </c>
      <c r="G182" s="222">
        <v>0</v>
      </c>
      <c r="H182" s="222">
        <v>0</v>
      </c>
      <c r="I182" s="222">
        <v>0</v>
      </c>
      <c r="J182" s="222">
        <v>0</v>
      </c>
    </row>
    <row r="183" spans="1:10" s="217" customFormat="1">
      <c r="A183" s="214" t="s">
        <v>174</v>
      </c>
      <c r="B183" s="214" t="s">
        <v>12</v>
      </c>
      <c r="C183" s="215">
        <v>0.313194444444444</v>
      </c>
      <c r="D183" s="222">
        <v>0</v>
      </c>
      <c r="E183" s="222">
        <v>0</v>
      </c>
      <c r="F183" s="222">
        <v>0</v>
      </c>
      <c r="G183" s="222">
        <v>0</v>
      </c>
      <c r="H183" s="222">
        <v>0</v>
      </c>
      <c r="I183" s="222">
        <v>0</v>
      </c>
      <c r="J183" s="222">
        <v>0</v>
      </c>
    </row>
    <row r="184" spans="1:10" s="217" customFormat="1">
      <c r="A184" s="214" t="s">
        <v>174</v>
      </c>
      <c r="B184" s="214" t="s">
        <v>12</v>
      </c>
      <c r="C184" s="215">
        <v>0.31388888888888899</v>
      </c>
      <c r="D184" s="222">
        <v>0</v>
      </c>
      <c r="E184" s="222">
        <v>0</v>
      </c>
      <c r="F184" s="222">
        <v>0</v>
      </c>
      <c r="G184" s="222">
        <v>0</v>
      </c>
      <c r="H184" s="222">
        <v>0</v>
      </c>
      <c r="I184" s="222">
        <v>0</v>
      </c>
      <c r="J184" s="222">
        <v>0</v>
      </c>
    </row>
    <row r="185" spans="1:10" s="217" customFormat="1">
      <c r="A185" s="214" t="s">
        <v>174</v>
      </c>
      <c r="B185" s="214" t="s">
        <v>12</v>
      </c>
      <c r="C185" s="215">
        <v>0.31458333333333299</v>
      </c>
      <c r="D185" s="222">
        <v>0</v>
      </c>
      <c r="E185" s="222">
        <v>0</v>
      </c>
      <c r="F185" s="222">
        <v>0</v>
      </c>
      <c r="G185" s="222">
        <v>0</v>
      </c>
      <c r="H185" s="222">
        <v>0</v>
      </c>
      <c r="I185" s="222">
        <v>0</v>
      </c>
      <c r="J185" s="222">
        <v>0</v>
      </c>
    </row>
    <row r="186" spans="1:10" s="217" customFormat="1">
      <c r="A186" s="214" t="s">
        <v>174</v>
      </c>
      <c r="B186" s="214" t="s">
        <v>12</v>
      </c>
      <c r="C186" s="215">
        <v>0.31527777777777799</v>
      </c>
      <c r="D186" s="222">
        <v>0</v>
      </c>
      <c r="E186" s="222">
        <v>0</v>
      </c>
      <c r="F186" s="222">
        <v>0</v>
      </c>
      <c r="G186" s="222">
        <v>0</v>
      </c>
      <c r="H186" s="222">
        <v>0</v>
      </c>
      <c r="I186" s="222">
        <v>0</v>
      </c>
      <c r="J186" s="222">
        <v>0</v>
      </c>
    </row>
    <row r="187" spans="1:10" s="217" customFormat="1">
      <c r="A187" s="214" t="s">
        <v>174</v>
      </c>
      <c r="B187" s="214" t="s">
        <v>12</v>
      </c>
      <c r="C187" s="215">
        <v>0.31597222222222199</v>
      </c>
      <c r="D187" s="222">
        <v>0</v>
      </c>
      <c r="E187" s="222">
        <v>0</v>
      </c>
      <c r="F187" s="222">
        <v>0</v>
      </c>
      <c r="G187" s="222">
        <v>0</v>
      </c>
      <c r="H187" s="222">
        <v>0</v>
      </c>
      <c r="I187" s="222">
        <v>0</v>
      </c>
      <c r="J187" s="222">
        <v>0</v>
      </c>
    </row>
    <row r="188" spans="1:10" s="217" customFormat="1">
      <c r="A188" s="214" t="s">
        <v>174</v>
      </c>
      <c r="B188" s="214" t="s">
        <v>12</v>
      </c>
      <c r="C188" s="215">
        <v>0.31666666666666698</v>
      </c>
      <c r="D188" s="222">
        <v>0</v>
      </c>
      <c r="E188" s="222">
        <v>0</v>
      </c>
      <c r="F188" s="222">
        <v>0</v>
      </c>
      <c r="G188" s="222">
        <v>0</v>
      </c>
      <c r="H188" s="222">
        <v>0</v>
      </c>
      <c r="I188" s="222">
        <v>0</v>
      </c>
      <c r="J188" s="222">
        <v>0</v>
      </c>
    </row>
    <row r="189" spans="1:10" s="217" customFormat="1">
      <c r="A189" s="214" t="s">
        <v>174</v>
      </c>
      <c r="B189" s="214" t="s">
        <v>12</v>
      </c>
      <c r="C189" s="215">
        <v>0.31736111111111098</v>
      </c>
      <c r="D189" s="222">
        <v>0</v>
      </c>
      <c r="E189" s="222">
        <v>0</v>
      </c>
      <c r="F189" s="222">
        <v>0</v>
      </c>
      <c r="G189" s="222">
        <v>0</v>
      </c>
      <c r="H189" s="222">
        <v>0</v>
      </c>
      <c r="I189" s="222">
        <v>0</v>
      </c>
      <c r="J189" s="222">
        <v>0</v>
      </c>
    </row>
    <row r="190" spans="1:10" s="217" customFormat="1">
      <c r="A190" s="214" t="s">
        <v>174</v>
      </c>
      <c r="B190" s="214" t="s">
        <v>12</v>
      </c>
      <c r="C190" s="215">
        <v>0.31805555555555498</v>
      </c>
      <c r="D190" s="222">
        <v>0</v>
      </c>
      <c r="E190" s="222">
        <v>0</v>
      </c>
      <c r="F190" s="222">
        <v>0</v>
      </c>
      <c r="G190" s="222">
        <v>0</v>
      </c>
      <c r="H190" s="222">
        <v>0</v>
      </c>
      <c r="I190" s="222">
        <v>0</v>
      </c>
      <c r="J190" s="222">
        <v>0</v>
      </c>
    </row>
    <row r="191" spans="1:10" s="217" customFormat="1">
      <c r="A191" s="214" t="s">
        <v>174</v>
      </c>
      <c r="B191" s="214" t="s">
        <v>12</v>
      </c>
      <c r="C191" s="215">
        <v>0.31874999999999998</v>
      </c>
      <c r="D191" s="222">
        <v>0</v>
      </c>
      <c r="E191" s="222">
        <v>0</v>
      </c>
      <c r="F191" s="222">
        <v>0</v>
      </c>
      <c r="G191" s="222">
        <v>0</v>
      </c>
      <c r="H191" s="222">
        <v>0</v>
      </c>
      <c r="I191" s="222">
        <v>0</v>
      </c>
      <c r="J191" s="222">
        <v>0</v>
      </c>
    </row>
    <row r="192" spans="1:10" s="217" customFormat="1">
      <c r="A192" s="214" t="s">
        <v>174</v>
      </c>
      <c r="B192" s="214" t="s">
        <v>12</v>
      </c>
      <c r="C192" s="215">
        <v>0.31944444444444398</v>
      </c>
      <c r="D192" s="222">
        <v>0</v>
      </c>
      <c r="E192" s="222">
        <v>0</v>
      </c>
      <c r="F192" s="222">
        <v>0</v>
      </c>
      <c r="G192" s="222">
        <v>0</v>
      </c>
      <c r="H192" s="222">
        <v>0</v>
      </c>
      <c r="I192" s="222">
        <v>0</v>
      </c>
      <c r="J192" s="222">
        <v>0</v>
      </c>
    </row>
    <row r="193" spans="1:10" s="217" customFormat="1">
      <c r="A193" s="214" t="s">
        <v>174</v>
      </c>
      <c r="B193" s="214" t="s">
        <v>12</v>
      </c>
      <c r="C193" s="215">
        <v>0.32013888888888897</v>
      </c>
      <c r="D193" s="222">
        <v>0</v>
      </c>
      <c r="E193" s="222">
        <v>0</v>
      </c>
      <c r="F193" s="222">
        <v>0</v>
      </c>
      <c r="G193" s="222">
        <v>0</v>
      </c>
      <c r="H193" s="222">
        <v>0</v>
      </c>
      <c r="I193" s="222">
        <v>0</v>
      </c>
      <c r="J193" s="222">
        <v>0</v>
      </c>
    </row>
    <row r="194" spans="1:10" s="217" customFormat="1">
      <c r="A194" s="214" t="s">
        <v>174</v>
      </c>
      <c r="B194" s="214" t="s">
        <v>12</v>
      </c>
      <c r="C194" s="215">
        <v>0.32083333333333303</v>
      </c>
      <c r="D194" s="222">
        <v>0</v>
      </c>
      <c r="E194" s="222">
        <v>0</v>
      </c>
      <c r="F194" s="222">
        <v>0</v>
      </c>
      <c r="G194" s="222">
        <v>0</v>
      </c>
      <c r="H194" s="222">
        <v>0</v>
      </c>
      <c r="I194" s="222">
        <v>0</v>
      </c>
      <c r="J194" s="222">
        <v>0</v>
      </c>
    </row>
    <row r="195" spans="1:10" s="217" customFormat="1">
      <c r="A195" s="214" t="s">
        <v>174</v>
      </c>
      <c r="B195" s="214" t="s">
        <v>12</v>
      </c>
      <c r="C195" s="215">
        <v>0.32152777777777802</v>
      </c>
      <c r="D195" s="222">
        <v>0</v>
      </c>
      <c r="E195" s="222">
        <v>0</v>
      </c>
      <c r="F195" s="222">
        <v>0</v>
      </c>
      <c r="G195" s="222">
        <v>0</v>
      </c>
      <c r="H195" s="222">
        <v>0</v>
      </c>
      <c r="I195" s="222">
        <v>0</v>
      </c>
      <c r="J195" s="222">
        <v>0</v>
      </c>
    </row>
    <row r="196" spans="1:10" s="221" customFormat="1">
      <c r="A196" s="218" t="s">
        <v>174</v>
      </c>
      <c r="B196" s="218" t="s">
        <v>12</v>
      </c>
      <c r="C196" s="219">
        <v>0.32222222222222202</v>
      </c>
      <c r="D196" s="223">
        <v>0</v>
      </c>
      <c r="E196" s="223">
        <v>0</v>
      </c>
      <c r="F196" s="223">
        <v>0</v>
      </c>
      <c r="G196" s="223">
        <v>0</v>
      </c>
      <c r="H196" s="223">
        <v>0</v>
      </c>
      <c r="I196" s="223">
        <v>0</v>
      </c>
      <c r="J196" s="223">
        <v>0</v>
      </c>
    </row>
    <row r="197" spans="1:10" s="217" customFormat="1">
      <c r="A197" s="214" t="s">
        <v>174</v>
      </c>
      <c r="B197" s="214" t="s">
        <v>12</v>
      </c>
      <c r="C197" s="215">
        <v>0.32291666666666602</v>
      </c>
      <c r="D197" s="222">
        <v>0</v>
      </c>
      <c r="E197" s="222">
        <v>0</v>
      </c>
      <c r="F197" s="222">
        <v>0</v>
      </c>
      <c r="G197" s="222">
        <v>0</v>
      </c>
      <c r="H197" s="222">
        <v>0</v>
      </c>
      <c r="I197" s="222">
        <v>0</v>
      </c>
      <c r="J197" s="222">
        <v>0</v>
      </c>
    </row>
    <row r="198" spans="1:10" s="217" customFormat="1">
      <c r="A198" s="214" t="s">
        <v>174</v>
      </c>
      <c r="B198" s="214" t="s">
        <v>12</v>
      </c>
      <c r="C198" s="215">
        <v>0.32361111111111102</v>
      </c>
      <c r="D198" s="222">
        <v>0</v>
      </c>
      <c r="E198" s="222">
        <v>0</v>
      </c>
      <c r="F198" s="222">
        <v>0</v>
      </c>
      <c r="G198" s="222">
        <v>0</v>
      </c>
      <c r="H198" s="222">
        <v>0</v>
      </c>
      <c r="I198" s="222">
        <v>0</v>
      </c>
      <c r="J198" s="222">
        <v>0</v>
      </c>
    </row>
    <row r="199" spans="1:10" s="217" customFormat="1">
      <c r="A199" s="214" t="s">
        <v>174</v>
      </c>
      <c r="B199" s="214" t="s">
        <v>12</v>
      </c>
      <c r="C199" s="215">
        <v>0.32430555555555501</v>
      </c>
      <c r="D199" s="222">
        <v>0</v>
      </c>
      <c r="E199" s="222">
        <v>0</v>
      </c>
      <c r="F199" s="222">
        <v>0</v>
      </c>
      <c r="G199" s="222">
        <v>0</v>
      </c>
      <c r="H199" s="222">
        <v>0</v>
      </c>
      <c r="I199" s="222">
        <v>0</v>
      </c>
      <c r="J199" s="222">
        <v>0</v>
      </c>
    </row>
    <row r="200" spans="1:10" s="217" customFormat="1">
      <c r="A200" s="214" t="s">
        <v>174</v>
      </c>
      <c r="B200" s="214" t="s">
        <v>12</v>
      </c>
      <c r="C200" s="215">
        <v>0.32500000000000001</v>
      </c>
      <c r="D200" s="222">
        <v>0</v>
      </c>
      <c r="E200" s="222">
        <v>0</v>
      </c>
      <c r="F200" s="222">
        <v>0</v>
      </c>
      <c r="G200" s="222">
        <v>0</v>
      </c>
      <c r="H200" s="222">
        <v>0</v>
      </c>
      <c r="I200" s="222">
        <v>0</v>
      </c>
      <c r="J200" s="222">
        <v>0</v>
      </c>
    </row>
    <row r="201" spans="1:10" s="217" customFormat="1">
      <c r="A201" s="214" t="s">
        <v>174</v>
      </c>
      <c r="B201" s="214" t="s">
        <v>12</v>
      </c>
      <c r="C201" s="215">
        <v>0.32569444444444401</v>
      </c>
      <c r="D201" s="222">
        <v>0</v>
      </c>
      <c r="E201" s="222">
        <v>0</v>
      </c>
      <c r="F201" s="222">
        <v>0</v>
      </c>
      <c r="G201" s="222">
        <v>0</v>
      </c>
      <c r="H201" s="222">
        <v>0</v>
      </c>
      <c r="I201" s="222">
        <v>0</v>
      </c>
      <c r="J201" s="222">
        <v>0</v>
      </c>
    </row>
    <row r="202" spans="1:10" s="217" customFormat="1">
      <c r="A202" s="214" t="s">
        <v>174</v>
      </c>
      <c r="B202" s="214" t="s">
        <v>12</v>
      </c>
      <c r="C202" s="215">
        <v>0.32638888888888901</v>
      </c>
      <c r="D202" s="222">
        <v>0</v>
      </c>
      <c r="E202" s="222">
        <v>0</v>
      </c>
      <c r="F202" s="222">
        <v>0</v>
      </c>
      <c r="G202" s="222">
        <v>0</v>
      </c>
      <c r="H202" s="222">
        <v>0</v>
      </c>
      <c r="I202" s="222">
        <v>0</v>
      </c>
      <c r="J202" s="222">
        <v>0</v>
      </c>
    </row>
    <row r="203" spans="1:10" s="217" customFormat="1">
      <c r="A203" s="214" t="s">
        <v>174</v>
      </c>
      <c r="B203" s="214" t="s">
        <v>12</v>
      </c>
      <c r="C203" s="215">
        <v>0.327083333333333</v>
      </c>
      <c r="D203" s="222">
        <v>0</v>
      </c>
      <c r="E203" s="222">
        <v>0</v>
      </c>
      <c r="F203" s="222">
        <v>0</v>
      </c>
      <c r="G203" s="222">
        <v>0</v>
      </c>
      <c r="H203" s="222">
        <v>0</v>
      </c>
      <c r="I203" s="222">
        <v>0</v>
      </c>
      <c r="J203" s="222">
        <v>0</v>
      </c>
    </row>
    <row r="204" spans="1:10" s="217" customFormat="1">
      <c r="A204" s="214" t="s">
        <v>174</v>
      </c>
      <c r="B204" s="214" t="s">
        <v>12</v>
      </c>
      <c r="C204" s="215">
        <v>0.327777777777778</v>
      </c>
      <c r="D204" s="222">
        <v>0</v>
      </c>
      <c r="E204" s="222">
        <v>0</v>
      </c>
      <c r="F204" s="222">
        <v>0</v>
      </c>
      <c r="G204" s="222">
        <v>0</v>
      </c>
      <c r="H204" s="222">
        <v>0</v>
      </c>
      <c r="I204" s="222">
        <v>0</v>
      </c>
      <c r="J204" s="222">
        <v>0</v>
      </c>
    </row>
    <row r="205" spans="1:10" s="217" customFormat="1">
      <c r="A205" s="214" t="s">
        <v>174</v>
      </c>
      <c r="B205" s="214" t="s">
        <v>12</v>
      </c>
      <c r="C205" s="215">
        <v>0.328472222222222</v>
      </c>
      <c r="D205" s="222">
        <v>0</v>
      </c>
      <c r="E205" s="222">
        <v>0</v>
      </c>
      <c r="F205" s="222">
        <v>0</v>
      </c>
      <c r="G205" s="222">
        <v>0</v>
      </c>
      <c r="H205" s="222">
        <v>0</v>
      </c>
      <c r="I205" s="222">
        <v>0</v>
      </c>
      <c r="J205" s="222">
        <v>0</v>
      </c>
    </row>
    <row r="206" spans="1:10" s="217" customFormat="1">
      <c r="A206" s="214" t="s">
        <v>174</v>
      </c>
      <c r="B206" s="214" t="s">
        <v>12</v>
      </c>
      <c r="C206" s="215">
        <v>0.329166666666666</v>
      </c>
      <c r="D206" s="222">
        <v>0</v>
      </c>
      <c r="E206" s="222">
        <v>0</v>
      </c>
      <c r="F206" s="222">
        <v>0</v>
      </c>
      <c r="G206" s="222">
        <v>0</v>
      </c>
      <c r="H206" s="222">
        <v>0</v>
      </c>
      <c r="I206" s="222">
        <v>0</v>
      </c>
      <c r="J206" s="222">
        <v>0</v>
      </c>
    </row>
    <row r="207" spans="1:10" s="217" customFormat="1">
      <c r="A207" s="214" t="s">
        <v>174</v>
      </c>
      <c r="B207" s="214" t="s">
        <v>12</v>
      </c>
      <c r="C207" s="215">
        <v>0.32986111111111099</v>
      </c>
      <c r="D207" s="222">
        <v>0</v>
      </c>
      <c r="E207" s="222">
        <v>0</v>
      </c>
      <c r="F207" s="222">
        <v>0</v>
      </c>
      <c r="G207" s="222">
        <v>0</v>
      </c>
      <c r="H207" s="222">
        <v>0</v>
      </c>
      <c r="I207" s="222">
        <v>0</v>
      </c>
      <c r="J207" s="222">
        <v>0</v>
      </c>
    </row>
    <row r="208" spans="1:10" s="217" customFormat="1">
      <c r="A208" s="214" t="s">
        <v>174</v>
      </c>
      <c r="B208" s="214" t="s">
        <v>12</v>
      </c>
      <c r="C208" s="215">
        <v>0.33055555555555499</v>
      </c>
      <c r="D208" s="222">
        <v>0</v>
      </c>
      <c r="E208" s="222">
        <v>0</v>
      </c>
      <c r="F208" s="222">
        <v>0</v>
      </c>
      <c r="G208" s="222">
        <v>0</v>
      </c>
      <c r="H208" s="222">
        <v>0</v>
      </c>
      <c r="I208" s="222">
        <v>0</v>
      </c>
      <c r="J208" s="222">
        <v>0</v>
      </c>
    </row>
    <row r="209" spans="1:10" s="217" customFormat="1">
      <c r="A209" s="214" t="s">
        <v>174</v>
      </c>
      <c r="B209" s="214" t="s">
        <v>12</v>
      </c>
      <c r="C209" s="215">
        <v>0.33124999999999999</v>
      </c>
      <c r="D209" s="222">
        <v>0</v>
      </c>
      <c r="E209" s="222">
        <v>0</v>
      </c>
      <c r="F209" s="222">
        <v>0</v>
      </c>
      <c r="G209" s="222">
        <v>0</v>
      </c>
      <c r="H209" s="222">
        <v>0</v>
      </c>
      <c r="I209" s="222">
        <v>0</v>
      </c>
      <c r="J209" s="222">
        <v>0</v>
      </c>
    </row>
    <row r="210" spans="1:10" s="217" customFormat="1">
      <c r="A210" s="214" t="s">
        <v>174</v>
      </c>
      <c r="B210" s="214" t="s">
        <v>12</v>
      </c>
      <c r="C210" s="215">
        <v>0.33194444444444399</v>
      </c>
      <c r="D210" s="222">
        <v>0</v>
      </c>
      <c r="E210" s="222">
        <v>0</v>
      </c>
      <c r="F210" s="222">
        <v>0</v>
      </c>
      <c r="G210" s="222">
        <v>0</v>
      </c>
      <c r="H210" s="222">
        <v>0</v>
      </c>
      <c r="I210" s="222">
        <v>0</v>
      </c>
      <c r="J210" s="222">
        <v>0</v>
      </c>
    </row>
    <row r="211" spans="1:10" s="221" customFormat="1">
      <c r="A211" s="218" t="s">
        <v>174</v>
      </c>
      <c r="B211" s="218" t="s">
        <v>12</v>
      </c>
      <c r="C211" s="219">
        <v>0.33263888888888898</v>
      </c>
      <c r="D211" s="223">
        <v>0</v>
      </c>
      <c r="E211" s="223">
        <v>0</v>
      </c>
      <c r="F211" s="223">
        <v>0</v>
      </c>
      <c r="G211" s="223">
        <v>0</v>
      </c>
      <c r="H211" s="223">
        <v>0</v>
      </c>
      <c r="I211" s="223">
        <v>0</v>
      </c>
      <c r="J211" s="223">
        <v>0</v>
      </c>
    </row>
    <row r="212" spans="1:10" s="217" customFormat="1">
      <c r="A212" s="214" t="s">
        <v>174</v>
      </c>
      <c r="B212" s="214" t="s">
        <v>12</v>
      </c>
      <c r="C212" s="215">
        <v>0.33333333333333298</v>
      </c>
      <c r="D212" s="222">
        <v>0</v>
      </c>
      <c r="E212" s="222">
        <v>0</v>
      </c>
      <c r="F212" s="222">
        <v>0</v>
      </c>
      <c r="G212" s="222">
        <v>0</v>
      </c>
      <c r="H212" s="222">
        <v>0</v>
      </c>
      <c r="I212" s="222">
        <v>0</v>
      </c>
      <c r="J212" s="222">
        <v>0</v>
      </c>
    </row>
    <row r="213" spans="1:10" s="217" customFormat="1">
      <c r="A213" s="214" t="s">
        <v>174</v>
      </c>
      <c r="B213" s="214" t="s">
        <v>12</v>
      </c>
      <c r="C213" s="215">
        <v>0.33402777777777798</v>
      </c>
      <c r="D213" s="222">
        <v>0</v>
      </c>
      <c r="E213" s="222">
        <v>0</v>
      </c>
      <c r="F213" s="222">
        <v>0</v>
      </c>
      <c r="G213" s="222">
        <v>0</v>
      </c>
      <c r="H213" s="222">
        <v>0</v>
      </c>
      <c r="I213" s="222">
        <v>0</v>
      </c>
      <c r="J213" s="222">
        <v>0</v>
      </c>
    </row>
    <row r="214" spans="1:10" s="217" customFormat="1">
      <c r="A214" s="214" t="s">
        <v>174</v>
      </c>
      <c r="B214" s="214" t="s">
        <v>12</v>
      </c>
      <c r="C214" s="215">
        <v>0.33472222222222198</v>
      </c>
      <c r="D214" s="222">
        <v>0</v>
      </c>
      <c r="E214" s="222">
        <v>0</v>
      </c>
      <c r="F214" s="222">
        <v>0</v>
      </c>
      <c r="G214" s="222">
        <v>0</v>
      </c>
      <c r="H214" s="222">
        <v>0</v>
      </c>
      <c r="I214" s="222">
        <v>0</v>
      </c>
      <c r="J214" s="222">
        <v>0</v>
      </c>
    </row>
    <row r="215" spans="1:10" s="217" customFormat="1">
      <c r="A215" s="214" t="s">
        <v>174</v>
      </c>
      <c r="B215" s="214" t="s">
        <v>12</v>
      </c>
      <c r="C215" s="215">
        <v>0.33541666666666597</v>
      </c>
      <c r="D215" s="222">
        <v>0</v>
      </c>
      <c r="E215" s="222">
        <v>0</v>
      </c>
      <c r="F215" s="222">
        <v>0</v>
      </c>
      <c r="G215" s="222">
        <v>0</v>
      </c>
      <c r="H215" s="222">
        <v>0</v>
      </c>
      <c r="I215" s="222">
        <v>0</v>
      </c>
      <c r="J215" s="222">
        <v>0</v>
      </c>
    </row>
    <row r="216" spans="1:10" s="217" customFormat="1">
      <c r="A216" s="214" t="s">
        <v>174</v>
      </c>
      <c r="B216" s="214" t="s">
        <v>12</v>
      </c>
      <c r="C216" s="215">
        <v>0.33611111111111103</v>
      </c>
      <c r="D216" s="222">
        <v>0</v>
      </c>
      <c r="E216" s="222">
        <v>0</v>
      </c>
      <c r="F216" s="222">
        <v>0</v>
      </c>
      <c r="G216" s="222">
        <v>0</v>
      </c>
      <c r="H216" s="222">
        <v>0</v>
      </c>
      <c r="I216" s="222">
        <v>0</v>
      </c>
      <c r="J216" s="222">
        <v>0</v>
      </c>
    </row>
    <row r="217" spans="1:10" s="217" customFormat="1">
      <c r="A217" s="214" t="s">
        <v>174</v>
      </c>
      <c r="B217" s="214" t="s">
        <v>12</v>
      </c>
      <c r="C217" s="215">
        <v>0.33680555555555503</v>
      </c>
      <c r="D217" s="222">
        <v>0</v>
      </c>
      <c r="E217" s="222">
        <v>0</v>
      </c>
      <c r="F217" s="222">
        <v>0</v>
      </c>
      <c r="G217" s="222">
        <v>0</v>
      </c>
      <c r="H217" s="222">
        <v>0</v>
      </c>
      <c r="I217" s="222">
        <v>0</v>
      </c>
      <c r="J217" s="222">
        <v>0</v>
      </c>
    </row>
    <row r="218" spans="1:10" s="217" customFormat="1">
      <c r="A218" s="214" t="s">
        <v>174</v>
      </c>
      <c r="B218" s="214" t="s">
        <v>12</v>
      </c>
      <c r="C218" s="215">
        <v>0.33750000000000002</v>
      </c>
      <c r="D218" s="222">
        <v>0</v>
      </c>
      <c r="E218" s="222">
        <v>0</v>
      </c>
      <c r="F218" s="222">
        <v>0</v>
      </c>
      <c r="G218" s="222">
        <v>0</v>
      </c>
      <c r="H218" s="222">
        <v>0</v>
      </c>
      <c r="I218" s="222">
        <v>0</v>
      </c>
      <c r="J218" s="222">
        <v>0</v>
      </c>
    </row>
    <row r="219" spans="1:10" s="217" customFormat="1">
      <c r="A219" s="214" t="s">
        <v>174</v>
      </c>
      <c r="B219" s="214" t="s">
        <v>12</v>
      </c>
      <c r="C219" s="215">
        <v>0.33819444444444402</v>
      </c>
      <c r="D219" s="222">
        <v>0</v>
      </c>
      <c r="E219" s="222">
        <v>0</v>
      </c>
      <c r="F219" s="222">
        <v>0</v>
      </c>
      <c r="G219" s="222">
        <v>0</v>
      </c>
      <c r="H219" s="222">
        <v>0</v>
      </c>
      <c r="I219" s="222">
        <v>0</v>
      </c>
      <c r="J219" s="222">
        <v>0</v>
      </c>
    </row>
    <row r="220" spans="1:10" s="217" customFormat="1">
      <c r="A220" s="214" t="s">
        <v>174</v>
      </c>
      <c r="B220" s="214" t="s">
        <v>12</v>
      </c>
      <c r="C220" s="215">
        <v>0.33888888888888902</v>
      </c>
      <c r="D220" s="222">
        <v>0</v>
      </c>
      <c r="E220" s="222">
        <v>0</v>
      </c>
      <c r="F220" s="222">
        <v>0</v>
      </c>
      <c r="G220" s="222">
        <v>0</v>
      </c>
      <c r="H220" s="222">
        <v>0</v>
      </c>
      <c r="I220" s="222">
        <v>0</v>
      </c>
      <c r="J220" s="222">
        <v>0</v>
      </c>
    </row>
    <row r="221" spans="1:10" s="217" customFormat="1">
      <c r="A221" s="214" t="s">
        <v>174</v>
      </c>
      <c r="B221" s="214" t="s">
        <v>12</v>
      </c>
      <c r="C221" s="215">
        <v>0.33958333333333302</v>
      </c>
      <c r="D221" s="222">
        <v>0</v>
      </c>
      <c r="E221" s="222">
        <v>0</v>
      </c>
      <c r="F221" s="222">
        <v>0</v>
      </c>
      <c r="G221" s="222">
        <v>0</v>
      </c>
      <c r="H221" s="222">
        <v>0</v>
      </c>
      <c r="I221" s="222">
        <v>0</v>
      </c>
      <c r="J221" s="222">
        <v>0</v>
      </c>
    </row>
    <row r="222" spans="1:10" s="217" customFormat="1">
      <c r="A222" s="214" t="s">
        <v>174</v>
      </c>
      <c r="B222" s="214" t="s">
        <v>12</v>
      </c>
      <c r="C222" s="215">
        <v>0.34027777777777801</v>
      </c>
      <c r="D222" s="222">
        <v>0</v>
      </c>
      <c r="E222" s="222">
        <v>0</v>
      </c>
      <c r="F222" s="222">
        <v>0</v>
      </c>
      <c r="G222" s="222">
        <v>0</v>
      </c>
      <c r="H222" s="222">
        <v>0</v>
      </c>
      <c r="I222" s="222">
        <v>0</v>
      </c>
      <c r="J222" s="222">
        <v>0</v>
      </c>
    </row>
    <row r="223" spans="1:10" s="217" customFormat="1">
      <c r="A223" s="214" t="s">
        <v>174</v>
      </c>
      <c r="B223" s="214" t="s">
        <v>12</v>
      </c>
      <c r="C223" s="215">
        <v>0.34097222222222201</v>
      </c>
      <c r="D223" s="222">
        <v>0</v>
      </c>
      <c r="E223" s="222">
        <v>0</v>
      </c>
      <c r="F223" s="222">
        <v>0</v>
      </c>
      <c r="G223" s="222">
        <v>0</v>
      </c>
      <c r="H223" s="222">
        <v>0</v>
      </c>
      <c r="I223" s="222">
        <v>0</v>
      </c>
      <c r="J223" s="222">
        <v>0</v>
      </c>
    </row>
    <row r="224" spans="1:10" s="217" customFormat="1">
      <c r="A224" s="214" t="s">
        <v>174</v>
      </c>
      <c r="B224" s="214" t="s">
        <v>12</v>
      </c>
      <c r="C224" s="215">
        <v>0.34166666666666601</v>
      </c>
      <c r="D224" s="222">
        <v>0</v>
      </c>
      <c r="E224" s="222">
        <v>0</v>
      </c>
      <c r="F224" s="222">
        <v>0</v>
      </c>
      <c r="G224" s="222">
        <v>0</v>
      </c>
      <c r="H224" s="222">
        <v>0</v>
      </c>
      <c r="I224" s="222">
        <v>0</v>
      </c>
      <c r="J224" s="222">
        <v>0</v>
      </c>
    </row>
    <row r="225" spans="1:10" s="217" customFormat="1">
      <c r="A225" s="214" t="s">
        <v>174</v>
      </c>
      <c r="B225" s="214" t="s">
        <v>12</v>
      </c>
      <c r="C225" s="215">
        <v>0.34236111111111101</v>
      </c>
      <c r="D225" s="222">
        <v>0</v>
      </c>
      <c r="E225" s="222">
        <v>0</v>
      </c>
      <c r="F225" s="222">
        <v>0</v>
      </c>
      <c r="G225" s="222">
        <v>0</v>
      </c>
      <c r="H225" s="222">
        <v>0</v>
      </c>
      <c r="I225" s="222">
        <v>0</v>
      </c>
      <c r="J225" s="222">
        <v>0</v>
      </c>
    </row>
    <row r="226" spans="1:10" s="221" customFormat="1">
      <c r="A226" s="218" t="s">
        <v>174</v>
      </c>
      <c r="B226" s="218" t="s">
        <v>12</v>
      </c>
      <c r="C226" s="219">
        <v>0.343055555555555</v>
      </c>
      <c r="D226" s="223">
        <v>0</v>
      </c>
      <c r="E226" s="223">
        <v>0</v>
      </c>
      <c r="F226" s="223">
        <v>0</v>
      </c>
      <c r="G226" s="223">
        <v>0</v>
      </c>
      <c r="H226" s="223">
        <v>0</v>
      </c>
      <c r="I226" s="223">
        <v>0</v>
      </c>
      <c r="J226" s="223">
        <v>0</v>
      </c>
    </row>
    <row r="227" spans="1:10" s="217" customFormat="1">
      <c r="A227" s="214" t="s">
        <v>174</v>
      </c>
      <c r="B227" s="214" t="s">
        <v>12</v>
      </c>
      <c r="C227" s="215">
        <v>0.34375</v>
      </c>
      <c r="D227" s="222">
        <v>0</v>
      </c>
      <c r="E227" s="222">
        <v>0</v>
      </c>
      <c r="F227" s="222">
        <v>0</v>
      </c>
      <c r="G227" s="222">
        <v>0</v>
      </c>
      <c r="H227" s="222">
        <v>0</v>
      </c>
      <c r="I227" s="222">
        <v>0</v>
      </c>
      <c r="J227" s="222">
        <v>0</v>
      </c>
    </row>
    <row r="228" spans="1:10" s="217" customFormat="1">
      <c r="A228" s="214" t="s">
        <v>174</v>
      </c>
      <c r="B228" s="214" t="s">
        <v>12</v>
      </c>
      <c r="C228" s="215">
        <v>0.344444444444444</v>
      </c>
      <c r="D228" s="222">
        <v>0</v>
      </c>
      <c r="E228" s="222">
        <v>0</v>
      </c>
      <c r="F228" s="222">
        <v>0</v>
      </c>
      <c r="G228" s="222">
        <v>0</v>
      </c>
      <c r="H228" s="222">
        <v>0</v>
      </c>
      <c r="I228" s="222">
        <v>0</v>
      </c>
      <c r="J228" s="222">
        <v>0</v>
      </c>
    </row>
    <row r="229" spans="1:10" s="217" customFormat="1">
      <c r="A229" s="214" t="s">
        <v>174</v>
      </c>
      <c r="B229" s="214" t="s">
        <v>12</v>
      </c>
      <c r="C229" s="215">
        <v>0.34513888888888899</v>
      </c>
      <c r="D229" s="222">
        <v>0</v>
      </c>
      <c r="E229" s="222">
        <v>0</v>
      </c>
      <c r="F229" s="222">
        <v>0</v>
      </c>
      <c r="G229" s="222">
        <v>0</v>
      </c>
      <c r="H229" s="222">
        <v>0</v>
      </c>
      <c r="I229" s="222">
        <v>0</v>
      </c>
      <c r="J229" s="222">
        <v>0</v>
      </c>
    </row>
    <row r="230" spans="1:10" s="217" customFormat="1">
      <c r="A230" s="214" t="s">
        <v>174</v>
      </c>
      <c r="B230" s="214" t="s">
        <v>12</v>
      </c>
      <c r="C230" s="215">
        <v>0.34583333333333299</v>
      </c>
      <c r="D230" s="222">
        <v>0</v>
      </c>
      <c r="E230" s="222">
        <v>0</v>
      </c>
      <c r="F230" s="222">
        <v>0</v>
      </c>
      <c r="G230" s="222">
        <v>0</v>
      </c>
      <c r="H230" s="222">
        <v>0</v>
      </c>
      <c r="I230" s="222">
        <v>0</v>
      </c>
      <c r="J230" s="222">
        <v>0</v>
      </c>
    </row>
    <row r="231" spans="1:10" s="217" customFormat="1">
      <c r="A231" s="214" t="s">
        <v>174</v>
      </c>
      <c r="B231" s="214" t="s">
        <v>12</v>
      </c>
      <c r="C231" s="215">
        <v>0.34652777777777799</v>
      </c>
      <c r="D231" s="222">
        <v>0</v>
      </c>
      <c r="E231" s="222">
        <v>0</v>
      </c>
      <c r="F231" s="222">
        <v>0</v>
      </c>
      <c r="G231" s="222">
        <v>0</v>
      </c>
      <c r="H231" s="222">
        <v>0</v>
      </c>
      <c r="I231" s="222">
        <v>0</v>
      </c>
      <c r="J231" s="222">
        <v>0</v>
      </c>
    </row>
    <row r="232" spans="1:10" s="217" customFormat="1">
      <c r="A232" s="214" t="s">
        <v>174</v>
      </c>
      <c r="B232" s="214" t="s">
        <v>12</v>
      </c>
      <c r="C232" s="215">
        <v>0.34722222222222199</v>
      </c>
      <c r="D232" s="222">
        <v>0</v>
      </c>
      <c r="E232" s="222">
        <v>0</v>
      </c>
      <c r="F232" s="222">
        <v>0</v>
      </c>
      <c r="G232" s="222">
        <v>0</v>
      </c>
      <c r="H232" s="222">
        <v>0</v>
      </c>
      <c r="I232" s="222">
        <v>0</v>
      </c>
      <c r="J232" s="222">
        <v>0</v>
      </c>
    </row>
    <row r="233" spans="1:10" s="217" customFormat="1">
      <c r="A233" s="214" t="s">
        <v>174</v>
      </c>
      <c r="B233" s="214" t="s">
        <v>12</v>
      </c>
      <c r="C233" s="215">
        <v>0.34791666666666599</v>
      </c>
      <c r="D233" s="222">
        <v>0</v>
      </c>
      <c r="E233" s="222">
        <v>0</v>
      </c>
      <c r="F233" s="222">
        <v>0</v>
      </c>
      <c r="G233" s="222">
        <v>0</v>
      </c>
      <c r="H233" s="222">
        <v>0</v>
      </c>
      <c r="I233" s="222">
        <v>0</v>
      </c>
      <c r="J233" s="222">
        <v>0</v>
      </c>
    </row>
    <row r="234" spans="1:10" s="217" customFormat="1">
      <c r="A234" s="214" t="s">
        <v>174</v>
      </c>
      <c r="B234" s="214" t="s">
        <v>12</v>
      </c>
      <c r="C234" s="215">
        <v>0.34861111111111098</v>
      </c>
      <c r="D234" s="222">
        <v>0</v>
      </c>
      <c r="E234" s="222">
        <v>0</v>
      </c>
      <c r="F234" s="222">
        <v>0</v>
      </c>
      <c r="G234" s="222">
        <v>0</v>
      </c>
      <c r="H234" s="222">
        <v>0</v>
      </c>
      <c r="I234" s="222">
        <v>0</v>
      </c>
      <c r="J234" s="222">
        <v>0</v>
      </c>
    </row>
    <row r="235" spans="1:10" s="217" customFormat="1">
      <c r="A235" s="214" t="s">
        <v>174</v>
      </c>
      <c r="B235" s="214" t="s">
        <v>12</v>
      </c>
      <c r="C235" s="215">
        <v>0.34930555555555498</v>
      </c>
      <c r="D235" s="222">
        <v>0</v>
      </c>
      <c r="E235" s="222">
        <v>0</v>
      </c>
      <c r="F235" s="222">
        <v>0</v>
      </c>
      <c r="G235" s="222">
        <v>0</v>
      </c>
      <c r="H235" s="222">
        <v>0</v>
      </c>
      <c r="I235" s="222">
        <v>0</v>
      </c>
      <c r="J235" s="222">
        <v>0</v>
      </c>
    </row>
    <row r="236" spans="1:10" s="217" customFormat="1">
      <c r="A236" s="214" t="s">
        <v>174</v>
      </c>
      <c r="B236" s="214" t="s">
        <v>12</v>
      </c>
      <c r="C236" s="215">
        <v>0.35</v>
      </c>
      <c r="D236" s="222">
        <v>0</v>
      </c>
      <c r="E236" s="222">
        <v>0</v>
      </c>
      <c r="F236" s="222">
        <v>0</v>
      </c>
      <c r="G236" s="222">
        <v>0</v>
      </c>
      <c r="H236" s="222">
        <v>0</v>
      </c>
      <c r="I236" s="222">
        <v>0</v>
      </c>
      <c r="J236" s="222">
        <v>0</v>
      </c>
    </row>
    <row r="237" spans="1:10" s="217" customFormat="1">
      <c r="A237" s="214" t="s">
        <v>174</v>
      </c>
      <c r="B237" s="214" t="s">
        <v>12</v>
      </c>
      <c r="C237" s="215">
        <v>0.35069444444444398</v>
      </c>
      <c r="D237" s="222">
        <v>0</v>
      </c>
      <c r="E237" s="222">
        <v>0</v>
      </c>
      <c r="F237" s="222">
        <v>0</v>
      </c>
      <c r="G237" s="222">
        <v>0</v>
      </c>
      <c r="H237" s="222">
        <v>0</v>
      </c>
      <c r="I237" s="222">
        <v>0</v>
      </c>
      <c r="J237" s="222">
        <v>0</v>
      </c>
    </row>
    <row r="238" spans="1:10" s="217" customFormat="1">
      <c r="A238" s="214" t="s">
        <v>174</v>
      </c>
      <c r="B238" s="214" t="s">
        <v>12</v>
      </c>
      <c r="C238" s="215">
        <v>0.35138888888888897</v>
      </c>
      <c r="D238" s="222">
        <v>0</v>
      </c>
      <c r="E238" s="222">
        <v>0</v>
      </c>
      <c r="F238" s="222">
        <v>0</v>
      </c>
      <c r="G238" s="222">
        <v>0</v>
      </c>
      <c r="H238" s="222">
        <v>0</v>
      </c>
      <c r="I238" s="222">
        <v>0</v>
      </c>
      <c r="J238" s="222">
        <v>0</v>
      </c>
    </row>
    <row r="239" spans="1:10" s="217" customFormat="1">
      <c r="A239" s="214" t="s">
        <v>174</v>
      </c>
      <c r="B239" s="214" t="s">
        <v>12</v>
      </c>
      <c r="C239" s="215">
        <v>0.35208333333333303</v>
      </c>
      <c r="D239" s="222">
        <v>0</v>
      </c>
      <c r="E239" s="222">
        <v>0</v>
      </c>
      <c r="F239" s="222">
        <v>0</v>
      </c>
      <c r="G239" s="222">
        <v>0</v>
      </c>
      <c r="H239" s="222">
        <v>0</v>
      </c>
      <c r="I239" s="222">
        <v>0</v>
      </c>
      <c r="J239" s="222">
        <v>0</v>
      </c>
    </row>
    <row r="240" spans="1:10" s="217" customFormat="1">
      <c r="A240" s="214" t="s">
        <v>174</v>
      </c>
      <c r="B240" s="214" t="s">
        <v>12</v>
      </c>
      <c r="C240" s="215">
        <v>0.35277777777777802</v>
      </c>
      <c r="D240" s="222">
        <v>0</v>
      </c>
      <c r="E240" s="222">
        <v>0</v>
      </c>
      <c r="F240" s="222">
        <v>0</v>
      </c>
      <c r="G240" s="222">
        <v>0</v>
      </c>
      <c r="H240" s="222">
        <v>0</v>
      </c>
      <c r="I240" s="222">
        <v>0</v>
      </c>
      <c r="J240" s="222">
        <v>0</v>
      </c>
    </row>
    <row r="241" spans="1:10" s="227" customFormat="1" ht="17.5" thickBot="1">
      <c r="A241" s="224" t="s">
        <v>174</v>
      </c>
      <c r="B241" s="224" t="s">
        <v>12</v>
      </c>
      <c r="C241" s="225">
        <v>0.35347222222222202</v>
      </c>
      <c r="D241" s="226">
        <v>0</v>
      </c>
      <c r="E241" s="226">
        <v>0</v>
      </c>
      <c r="F241" s="226">
        <v>0</v>
      </c>
      <c r="G241" s="226">
        <v>0</v>
      </c>
      <c r="H241" s="226">
        <v>0</v>
      </c>
      <c r="I241" s="226">
        <v>0</v>
      </c>
      <c r="J241" s="226">
        <v>0</v>
      </c>
    </row>
    <row r="242" spans="1:10" s="217" customFormat="1">
      <c r="A242" s="214" t="s">
        <v>174</v>
      </c>
      <c r="B242" s="214" t="s">
        <v>13</v>
      </c>
      <c r="C242" s="215">
        <v>0.27083333333333331</v>
      </c>
      <c r="D242" s="222">
        <v>0</v>
      </c>
      <c r="E242" s="222">
        <v>0</v>
      </c>
      <c r="F242" s="222">
        <v>0</v>
      </c>
      <c r="G242" s="222">
        <v>0</v>
      </c>
      <c r="H242" s="222">
        <v>0</v>
      </c>
      <c r="I242" s="222">
        <v>0</v>
      </c>
      <c r="J242" s="222">
        <v>0</v>
      </c>
    </row>
    <row r="243" spans="1:10" s="217" customFormat="1">
      <c r="A243" s="214" t="s">
        <v>174</v>
      </c>
      <c r="B243" s="214" t="s">
        <v>13</v>
      </c>
      <c r="C243" s="215">
        <v>0.27152777777777776</v>
      </c>
      <c r="D243" s="222">
        <v>0</v>
      </c>
      <c r="E243" s="222">
        <v>0</v>
      </c>
      <c r="F243" s="222">
        <v>0</v>
      </c>
      <c r="G243" s="222">
        <v>0</v>
      </c>
      <c r="H243" s="222">
        <v>0</v>
      </c>
      <c r="I243" s="222">
        <v>0</v>
      </c>
      <c r="J243" s="222">
        <v>0</v>
      </c>
    </row>
    <row r="244" spans="1:10" s="217" customFormat="1">
      <c r="A244" s="214" t="s">
        <v>174</v>
      </c>
      <c r="B244" s="214" t="s">
        <v>13</v>
      </c>
      <c r="C244" s="215">
        <v>0.27222222222222198</v>
      </c>
      <c r="D244" s="222">
        <v>0</v>
      </c>
      <c r="E244" s="222">
        <v>0</v>
      </c>
      <c r="F244" s="222">
        <v>0</v>
      </c>
      <c r="G244" s="222">
        <v>0</v>
      </c>
      <c r="H244" s="222">
        <v>0</v>
      </c>
      <c r="I244" s="222">
        <v>0</v>
      </c>
      <c r="J244" s="222">
        <v>0</v>
      </c>
    </row>
    <row r="245" spans="1:10" s="217" customFormat="1">
      <c r="A245" s="214" t="s">
        <v>174</v>
      </c>
      <c r="B245" s="214" t="s">
        <v>13</v>
      </c>
      <c r="C245" s="215">
        <v>0.27291666666666697</v>
      </c>
      <c r="D245" s="222">
        <v>0</v>
      </c>
      <c r="E245" s="222">
        <v>0</v>
      </c>
      <c r="F245" s="222">
        <v>0</v>
      </c>
      <c r="G245" s="222">
        <v>0</v>
      </c>
      <c r="H245" s="222">
        <v>0</v>
      </c>
      <c r="I245" s="222">
        <v>0</v>
      </c>
      <c r="J245" s="222">
        <v>0</v>
      </c>
    </row>
    <row r="246" spans="1:10" s="217" customFormat="1">
      <c r="A246" s="214" t="s">
        <v>174</v>
      </c>
      <c r="B246" s="214" t="s">
        <v>13</v>
      </c>
      <c r="C246" s="215">
        <v>0.27361111111111103</v>
      </c>
      <c r="D246" s="222">
        <v>0</v>
      </c>
      <c r="E246" s="222">
        <v>0</v>
      </c>
      <c r="F246" s="222">
        <v>0</v>
      </c>
      <c r="G246" s="222">
        <v>0</v>
      </c>
      <c r="H246" s="222">
        <v>0</v>
      </c>
      <c r="I246" s="222">
        <v>0</v>
      </c>
      <c r="J246" s="222">
        <v>0</v>
      </c>
    </row>
    <row r="247" spans="1:10" s="217" customFormat="1">
      <c r="A247" s="214" t="s">
        <v>174</v>
      </c>
      <c r="B247" s="214" t="s">
        <v>13</v>
      </c>
      <c r="C247" s="215">
        <v>0.27430555555555602</v>
      </c>
      <c r="D247" s="222">
        <v>0</v>
      </c>
      <c r="E247" s="222">
        <v>0</v>
      </c>
      <c r="F247" s="222">
        <v>0</v>
      </c>
      <c r="G247" s="222">
        <v>0</v>
      </c>
      <c r="H247" s="222">
        <v>0</v>
      </c>
      <c r="I247" s="222">
        <v>0</v>
      </c>
      <c r="J247" s="222">
        <v>0</v>
      </c>
    </row>
    <row r="248" spans="1:10" s="217" customFormat="1">
      <c r="A248" s="214" t="s">
        <v>174</v>
      </c>
      <c r="B248" s="214" t="s">
        <v>13</v>
      </c>
      <c r="C248" s="215">
        <v>0.27500000000000002</v>
      </c>
      <c r="D248" s="222">
        <v>0</v>
      </c>
      <c r="E248" s="222">
        <v>0</v>
      </c>
      <c r="F248" s="222">
        <v>0</v>
      </c>
      <c r="G248" s="222">
        <v>0</v>
      </c>
      <c r="H248" s="222">
        <v>0</v>
      </c>
      <c r="I248" s="222">
        <v>0</v>
      </c>
      <c r="J248" s="222">
        <v>0</v>
      </c>
    </row>
    <row r="249" spans="1:10" s="217" customFormat="1">
      <c r="A249" s="214" t="s">
        <v>174</v>
      </c>
      <c r="B249" s="214" t="s">
        <v>13</v>
      </c>
      <c r="C249" s="215">
        <v>0.27569444444444402</v>
      </c>
      <c r="D249" s="222">
        <v>0</v>
      </c>
      <c r="E249" s="222">
        <v>0</v>
      </c>
      <c r="F249" s="222">
        <v>0</v>
      </c>
      <c r="G249" s="222">
        <v>0</v>
      </c>
      <c r="H249" s="222">
        <v>0</v>
      </c>
      <c r="I249" s="222">
        <v>0</v>
      </c>
      <c r="J249" s="222">
        <v>0</v>
      </c>
    </row>
    <row r="250" spans="1:10" s="217" customFormat="1">
      <c r="A250" s="214" t="s">
        <v>174</v>
      </c>
      <c r="B250" s="214" t="s">
        <v>13</v>
      </c>
      <c r="C250" s="215">
        <v>0.27638888888888902</v>
      </c>
      <c r="D250" s="222">
        <v>0</v>
      </c>
      <c r="E250" s="222">
        <v>0</v>
      </c>
      <c r="F250" s="222">
        <v>0</v>
      </c>
      <c r="G250" s="222">
        <v>0</v>
      </c>
      <c r="H250" s="222">
        <v>0</v>
      </c>
      <c r="I250" s="222">
        <v>0</v>
      </c>
      <c r="J250" s="222">
        <v>0</v>
      </c>
    </row>
    <row r="251" spans="1:10" s="217" customFormat="1">
      <c r="A251" s="214" t="s">
        <v>174</v>
      </c>
      <c r="B251" s="214" t="s">
        <v>13</v>
      </c>
      <c r="C251" s="215">
        <v>0.27708333333333302</v>
      </c>
      <c r="D251" s="222">
        <v>0</v>
      </c>
      <c r="E251" s="222">
        <v>0</v>
      </c>
      <c r="F251" s="222">
        <v>0</v>
      </c>
      <c r="G251" s="222">
        <v>0</v>
      </c>
      <c r="H251" s="222">
        <v>0</v>
      </c>
      <c r="I251" s="222">
        <v>0</v>
      </c>
      <c r="J251" s="222">
        <v>0</v>
      </c>
    </row>
    <row r="252" spans="1:10" s="217" customFormat="1">
      <c r="A252" s="214" t="s">
        <v>174</v>
      </c>
      <c r="B252" s="214" t="s">
        <v>13</v>
      </c>
      <c r="C252" s="215">
        <v>0.27777777777777801</v>
      </c>
      <c r="D252" s="222">
        <v>0</v>
      </c>
      <c r="E252" s="222">
        <v>0</v>
      </c>
      <c r="F252" s="222">
        <v>0</v>
      </c>
      <c r="G252" s="222">
        <v>0</v>
      </c>
      <c r="H252" s="222">
        <v>0</v>
      </c>
      <c r="I252" s="222">
        <v>0</v>
      </c>
      <c r="J252" s="222">
        <v>0</v>
      </c>
    </row>
    <row r="253" spans="1:10" s="217" customFormat="1">
      <c r="A253" s="214" t="s">
        <v>174</v>
      </c>
      <c r="B253" s="214" t="s">
        <v>13</v>
      </c>
      <c r="C253" s="215">
        <v>0.27847222222222201</v>
      </c>
      <c r="D253" s="222">
        <v>0</v>
      </c>
      <c r="E253" s="222">
        <v>0</v>
      </c>
      <c r="F253" s="222">
        <v>0</v>
      </c>
      <c r="G253" s="222">
        <v>0</v>
      </c>
      <c r="H253" s="222">
        <v>0</v>
      </c>
      <c r="I253" s="222">
        <v>0</v>
      </c>
      <c r="J253" s="222">
        <v>0</v>
      </c>
    </row>
    <row r="254" spans="1:10" s="217" customFormat="1">
      <c r="A254" s="214" t="s">
        <v>174</v>
      </c>
      <c r="B254" s="214" t="s">
        <v>13</v>
      </c>
      <c r="C254" s="215">
        <v>0.27916666666666701</v>
      </c>
      <c r="D254" s="222">
        <v>0</v>
      </c>
      <c r="E254" s="222">
        <v>0</v>
      </c>
      <c r="F254" s="222">
        <v>0</v>
      </c>
      <c r="G254" s="222">
        <v>0</v>
      </c>
      <c r="H254" s="222">
        <v>0</v>
      </c>
      <c r="I254" s="222">
        <v>0</v>
      </c>
      <c r="J254" s="222">
        <v>0</v>
      </c>
    </row>
    <row r="255" spans="1:10" s="217" customFormat="1">
      <c r="A255" s="214" t="s">
        <v>174</v>
      </c>
      <c r="B255" s="214" t="s">
        <v>13</v>
      </c>
      <c r="C255" s="215">
        <v>0.27986111111111101</v>
      </c>
      <c r="D255" s="222">
        <v>0</v>
      </c>
      <c r="E255" s="222">
        <v>0</v>
      </c>
      <c r="F255" s="222">
        <v>0</v>
      </c>
      <c r="G255" s="222">
        <v>0</v>
      </c>
      <c r="H255" s="222">
        <v>0</v>
      </c>
      <c r="I255" s="222">
        <v>0</v>
      </c>
      <c r="J255" s="222">
        <v>0</v>
      </c>
    </row>
    <row r="256" spans="1:10" s="221" customFormat="1">
      <c r="A256" s="218" t="s">
        <v>174</v>
      </c>
      <c r="B256" s="218" t="s">
        <v>13</v>
      </c>
      <c r="C256" s="219">
        <v>0.280555555555556</v>
      </c>
      <c r="D256" s="223">
        <v>0</v>
      </c>
      <c r="E256" s="223">
        <v>0</v>
      </c>
      <c r="F256" s="223">
        <v>0</v>
      </c>
      <c r="G256" s="223">
        <v>0</v>
      </c>
      <c r="H256" s="223">
        <v>0</v>
      </c>
      <c r="I256" s="223">
        <v>0</v>
      </c>
      <c r="J256" s="223">
        <v>0</v>
      </c>
    </row>
    <row r="257" spans="1:10" s="217" customFormat="1">
      <c r="A257" s="214" t="s">
        <v>174</v>
      </c>
      <c r="B257" s="214" t="s">
        <v>13</v>
      </c>
      <c r="C257" s="215">
        <v>0.28125</v>
      </c>
      <c r="D257" s="222">
        <v>0</v>
      </c>
      <c r="E257" s="222">
        <v>0</v>
      </c>
      <c r="F257" s="222">
        <v>0</v>
      </c>
      <c r="G257" s="222">
        <v>0</v>
      </c>
      <c r="H257" s="222">
        <v>0</v>
      </c>
      <c r="I257" s="222">
        <v>0</v>
      </c>
      <c r="J257" s="222">
        <v>0</v>
      </c>
    </row>
    <row r="258" spans="1:10" s="217" customFormat="1">
      <c r="A258" s="214" t="s">
        <v>174</v>
      </c>
      <c r="B258" s="214" t="s">
        <v>13</v>
      </c>
      <c r="C258" s="215">
        <v>0.281944444444444</v>
      </c>
      <c r="D258" s="222">
        <v>0</v>
      </c>
      <c r="E258" s="222">
        <v>0</v>
      </c>
      <c r="F258" s="222">
        <v>0</v>
      </c>
      <c r="G258" s="222">
        <v>0</v>
      </c>
      <c r="H258" s="222">
        <v>0</v>
      </c>
      <c r="I258" s="222">
        <v>0</v>
      </c>
      <c r="J258" s="222">
        <v>0</v>
      </c>
    </row>
    <row r="259" spans="1:10" s="217" customFormat="1">
      <c r="A259" s="214" t="s">
        <v>174</v>
      </c>
      <c r="B259" s="214" t="s">
        <v>13</v>
      </c>
      <c r="C259" s="215">
        <v>0.28263888888888899</v>
      </c>
      <c r="D259" s="222">
        <v>0</v>
      </c>
      <c r="E259" s="222">
        <v>0</v>
      </c>
      <c r="F259" s="222">
        <v>0</v>
      </c>
      <c r="G259" s="222">
        <v>0</v>
      </c>
      <c r="H259" s="222">
        <v>0</v>
      </c>
      <c r="I259" s="222">
        <v>0</v>
      </c>
      <c r="J259" s="222">
        <v>0</v>
      </c>
    </row>
    <row r="260" spans="1:10" s="217" customFormat="1">
      <c r="A260" s="214" t="s">
        <v>174</v>
      </c>
      <c r="B260" s="214" t="s">
        <v>13</v>
      </c>
      <c r="C260" s="215">
        <v>0.28333333333333299</v>
      </c>
      <c r="D260" s="222">
        <v>0</v>
      </c>
      <c r="E260" s="222">
        <v>0</v>
      </c>
      <c r="F260" s="222">
        <v>0</v>
      </c>
      <c r="G260" s="222">
        <v>0</v>
      </c>
      <c r="H260" s="222">
        <v>0</v>
      </c>
      <c r="I260" s="222">
        <v>0</v>
      </c>
      <c r="J260" s="222">
        <v>0</v>
      </c>
    </row>
    <row r="261" spans="1:10" s="217" customFormat="1">
      <c r="A261" s="214" t="s">
        <v>174</v>
      </c>
      <c r="B261" s="214" t="s">
        <v>13</v>
      </c>
      <c r="C261" s="215">
        <v>0.28402777777777799</v>
      </c>
      <c r="D261" s="222">
        <v>0</v>
      </c>
      <c r="E261" s="222">
        <v>0</v>
      </c>
      <c r="F261" s="222">
        <v>0</v>
      </c>
      <c r="G261" s="222">
        <v>0</v>
      </c>
      <c r="H261" s="222">
        <v>0</v>
      </c>
      <c r="I261" s="222">
        <v>0</v>
      </c>
      <c r="J261" s="222">
        <v>0</v>
      </c>
    </row>
    <row r="262" spans="1:10" s="217" customFormat="1">
      <c r="A262" s="214" t="s">
        <v>174</v>
      </c>
      <c r="B262" s="214" t="s">
        <v>13</v>
      </c>
      <c r="C262" s="215">
        <v>0.28472222222222199</v>
      </c>
      <c r="D262" s="222">
        <v>0</v>
      </c>
      <c r="E262" s="222">
        <v>0</v>
      </c>
      <c r="F262" s="222">
        <v>0</v>
      </c>
      <c r="G262" s="222">
        <v>0</v>
      </c>
      <c r="H262" s="222">
        <v>0</v>
      </c>
      <c r="I262" s="222">
        <v>0</v>
      </c>
      <c r="J262" s="222">
        <v>0</v>
      </c>
    </row>
    <row r="263" spans="1:10" s="217" customFormat="1">
      <c r="A263" s="214" t="s">
        <v>174</v>
      </c>
      <c r="B263" s="214" t="s">
        <v>13</v>
      </c>
      <c r="C263" s="215">
        <v>0.28541666666666698</v>
      </c>
      <c r="D263" s="222">
        <v>0</v>
      </c>
      <c r="E263" s="222">
        <v>0</v>
      </c>
      <c r="F263" s="222">
        <v>0</v>
      </c>
      <c r="G263" s="222">
        <v>0</v>
      </c>
      <c r="H263" s="222">
        <v>0</v>
      </c>
      <c r="I263" s="222">
        <v>0</v>
      </c>
      <c r="J263" s="222">
        <v>0</v>
      </c>
    </row>
    <row r="264" spans="1:10" s="217" customFormat="1">
      <c r="A264" s="214" t="s">
        <v>174</v>
      </c>
      <c r="B264" s="214" t="s">
        <v>13</v>
      </c>
      <c r="C264" s="215">
        <v>0.28611111111111098</v>
      </c>
      <c r="D264" s="222">
        <v>0</v>
      </c>
      <c r="E264" s="222">
        <v>0</v>
      </c>
      <c r="F264" s="222">
        <v>0</v>
      </c>
      <c r="G264" s="222">
        <v>0</v>
      </c>
      <c r="H264" s="222">
        <v>0</v>
      </c>
      <c r="I264" s="222">
        <v>0</v>
      </c>
      <c r="J264" s="222">
        <v>0</v>
      </c>
    </row>
    <row r="265" spans="1:10" s="217" customFormat="1">
      <c r="A265" s="214" t="s">
        <v>174</v>
      </c>
      <c r="B265" s="214" t="s">
        <v>13</v>
      </c>
      <c r="C265" s="215">
        <v>0.28680555555555598</v>
      </c>
      <c r="D265" s="222">
        <v>0</v>
      </c>
      <c r="E265" s="222">
        <v>0</v>
      </c>
      <c r="F265" s="222">
        <v>0</v>
      </c>
      <c r="G265" s="222">
        <v>0</v>
      </c>
      <c r="H265" s="222">
        <v>0</v>
      </c>
      <c r="I265" s="222">
        <v>0</v>
      </c>
      <c r="J265" s="222">
        <v>0</v>
      </c>
    </row>
    <row r="266" spans="1:10" s="217" customFormat="1">
      <c r="A266" s="214" t="s">
        <v>174</v>
      </c>
      <c r="B266" s="214" t="s">
        <v>13</v>
      </c>
      <c r="C266" s="215">
        <v>0.28749999999999998</v>
      </c>
      <c r="D266" s="222">
        <v>0</v>
      </c>
      <c r="E266" s="222">
        <v>0</v>
      </c>
      <c r="F266" s="222">
        <v>0</v>
      </c>
      <c r="G266" s="222">
        <v>0</v>
      </c>
      <c r="H266" s="222">
        <v>0</v>
      </c>
      <c r="I266" s="222">
        <v>0</v>
      </c>
      <c r="J266" s="222">
        <v>0</v>
      </c>
    </row>
    <row r="267" spans="1:10" s="217" customFormat="1">
      <c r="A267" s="214" t="s">
        <v>174</v>
      </c>
      <c r="B267" s="214" t="s">
        <v>13</v>
      </c>
      <c r="C267" s="215">
        <v>0.28819444444444398</v>
      </c>
      <c r="D267" s="222">
        <v>0</v>
      </c>
      <c r="E267" s="222">
        <v>0</v>
      </c>
      <c r="F267" s="222">
        <v>0</v>
      </c>
      <c r="G267" s="222">
        <v>0</v>
      </c>
      <c r="H267" s="222">
        <v>0</v>
      </c>
      <c r="I267" s="222">
        <v>0</v>
      </c>
      <c r="J267" s="222">
        <v>0</v>
      </c>
    </row>
    <row r="268" spans="1:10" s="217" customFormat="1">
      <c r="A268" s="214" t="s">
        <v>174</v>
      </c>
      <c r="B268" s="214" t="s">
        <v>13</v>
      </c>
      <c r="C268" s="215">
        <v>0.28888888888888897</v>
      </c>
      <c r="D268" s="222">
        <v>0</v>
      </c>
      <c r="E268" s="222">
        <v>0</v>
      </c>
      <c r="F268" s="222">
        <v>0</v>
      </c>
      <c r="G268" s="222">
        <v>0</v>
      </c>
      <c r="H268" s="222">
        <v>0</v>
      </c>
      <c r="I268" s="222">
        <v>0</v>
      </c>
      <c r="J268" s="222">
        <v>0</v>
      </c>
    </row>
    <row r="269" spans="1:10" s="217" customFormat="1">
      <c r="A269" s="214" t="s">
        <v>174</v>
      </c>
      <c r="B269" s="214" t="s">
        <v>13</v>
      </c>
      <c r="C269" s="215">
        <v>0.28958333333333303</v>
      </c>
      <c r="D269" s="222">
        <v>0</v>
      </c>
      <c r="E269" s="222">
        <v>0</v>
      </c>
      <c r="F269" s="222">
        <v>0</v>
      </c>
      <c r="G269" s="222">
        <v>0</v>
      </c>
      <c r="H269" s="222">
        <v>0</v>
      </c>
      <c r="I269" s="222">
        <v>0</v>
      </c>
      <c r="J269" s="222">
        <v>0</v>
      </c>
    </row>
    <row r="270" spans="1:10" s="217" customFormat="1">
      <c r="A270" s="214" t="s">
        <v>174</v>
      </c>
      <c r="B270" s="214" t="s">
        <v>13</v>
      </c>
      <c r="C270" s="215">
        <v>0.29027777777777802</v>
      </c>
      <c r="D270" s="222">
        <v>0</v>
      </c>
      <c r="E270" s="222">
        <v>0</v>
      </c>
      <c r="F270" s="222">
        <v>0</v>
      </c>
      <c r="G270" s="222">
        <v>0</v>
      </c>
      <c r="H270" s="222">
        <v>0</v>
      </c>
      <c r="I270" s="222">
        <v>0</v>
      </c>
      <c r="J270" s="222">
        <v>0</v>
      </c>
    </row>
    <row r="271" spans="1:10" s="221" customFormat="1">
      <c r="A271" s="218" t="s">
        <v>174</v>
      </c>
      <c r="B271" s="218" t="s">
        <v>13</v>
      </c>
      <c r="C271" s="219">
        <v>0.29097222222222202</v>
      </c>
      <c r="D271" s="223">
        <v>0</v>
      </c>
      <c r="E271" s="223">
        <v>0</v>
      </c>
      <c r="F271" s="223">
        <v>0</v>
      </c>
      <c r="G271" s="223">
        <v>0</v>
      </c>
      <c r="H271" s="223">
        <v>0</v>
      </c>
      <c r="I271" s="223">
        <v>0</v>
      </c>
      <c r="J271" s="223">
        <v>0</v>
      </c>
    </row>
    <row r="272" spans="1:10" s="217" customFormat="1">
      <c r="A272" s="214" t="s">
        <v>174</v>
      </c>
      <c r="B272" s="214" t="s">
        <v>13</v>
      </c>
      <c r="C272" s="215">
        <v>0.29166666666666702</v>
      </c>
      <c r="D272" s="222">
        <v>0</v>
      </c>
      <c r="E272" s="222">
        <v>0</v>
      </c>
      <c r="F272" s="222">
        <v>0</v>
      </c>
      <c r="G272" s="222">
        <v>0</v>
      </c>
      <c r="H272" s="222">
        <v>0</v>
      </c>
      <c r="I272" s="222">
        <v>0</v>
      </c>
      <c r="J272" s="222">
        <v>0</v>
      </c>
    </row>
    <row r="273" spans="1:10" s="217" customFormat="1">
      <c r="A273" s="214" t="s">
        <v>174</v>
      </c>
      <c r="B273" s="214" t="s">
        <v>13</v>
      </c>
      <c r="C273" s="215">
        <v>0.29236111111111102</v>
      </c>
      <c r="D273" s="222">
        <v>0</v>
      </c>
      <c r="E273" s="222">
        <v>0</v>
      </c>
      <c r="F273" s="222">
        <v>0</v>
      </c>
      <c r="G273" s="222">
        <v>0</v>
      </c>
      <c r="H273" s="222">
        <v>0</v>
      </c>
      <c r="I273" s="222">
        <v>0</v>
      </c>
      <c r="J273" s="222">
        <v>0</v>
      </c>
    </row>
    <row r="274" spans="1:10" s="217" customFormat="1">
      <c r="A274" s="214" t="s">
        <v>174</v>
      </c>
      <c r="B274" s="214" t="s">
        <v>13</v>
      </c>
      <c r="C274" s="215">
        <v>0.29305555555555501</v>
      </c>
      <c r="D274" s="222">
        <v>0</v>
      </c>
      <c r="E274" s="222">
        <v>0</v>
      </c>
      <c r="F274" s="222">
        <v>0</v>
      </c>
      <c r="G274" s="222">
        <v>0</v>
      </c>
      <c r="H274" s="222">
        <v>0</v>
      </c>
      <c r="I274" s="222">
        <v>0</v>
      </c>
      <c r="J274" s="222">
        <v>0</v>
      </c>
    </row>
    <row r="275" spans="1:10" s="217" customFormat="1">
      <c r="A275" s="214" t="s">
        <v>174</v>
      </c>
      <c r="B275" s="214" t="s">
        <v>13</v>
      </c>
      <c r="C275" s="215">
        <v>0.29375000000000001</v>
      </c>
      <c r="D275" s="222">
        <v>0</v>
      </c>
      <c r="E275" s="222">
        <v>0</v>
      </c>
      <c r="F275" s="222">
        <v>0</v>
      </c>
      <c r="G275" s="222">
        <v>0</v>
      </c>
      <c r="H275" s="222">
        <v>0</v>
      </c>
      <c r="I275" s="222">
        <v>0</v>
      </c>
      <c r="J275" s="222">
        <v>0</v>
      </c>
    </row>
    <row r="276" spans="1:10" s="217" customFormat="1">
      <c r="A276" s="214" t="s">
        <v>174</v>
      </c>
      <c r="B276" s="214" t="s">
        <v>13</v>
      </c>
      <c r="C276" s="215">
        <v>0.29444444444444401</v>
      </c>
      <c r="D276" s="222">
        <v>0</v>
      </c>
      <c r="E276" s="222">
        <v>0</v>
      </c>
      <c r="F276" s="222">
        <v>0</v>
      </c>
      <c r="G276" s="222">
        <v>0</v>
      </c>
      <c r="H276" s="222">
        <v>0</v>
      </c>
      <c r="I276" s="222">
        <v>0</v>
      </c>
      <c r="J276" s="222">
        <v>0</v>
      </c>
    </row>
    <row r="277" spans="1:10" s="217" customFormat="1">
      <c r="A277" s="214" t="s">
        <v>174</v>
      </c>
      <c r="B277" s="214" t="s">
        <v>13</v>
      </c>
      <c r="C277" s="215">
        <v>0.29513888888888901</v>
      </c>
      <c r="D277" s="222">
        <v>0</v>
      </c>
      <c r="E277" s="222">
        <v>0</v>
      </c>
      <c r="F277" s="222">
        <v>0</v>
      </c>
      <c r="G277" s="222">
        <v>0</v>
      </c>
      <c r="H277" s="222">
        <v>0</v>
      </c>
      <c r="I277" s="222">
        <v>0</v>
      </c>
      <c r="J277" s="222">
        <v>0</v>
      </c>
    </row>
    <row r="278" spans="1:10" s="217" customFormat="1">
      <c r="A278" s="214" t="s">
        <v>174</v>
      </c>
      <c r="B278" s="214" t="s">
        <v>13</v>
      </c>
      <c r="C278" s="215">
        <v>0.295833333333333</v>
      </c>
      <c r="D278" s="222">
        <v>0</v>
      </c>
      <c r="E278" s="222">
        <v>0</v>
      </c>
      <c r="F278" s="222">
        <v>0</v>
      </c>
      <c r="G278" s="222">
        <v>0</v>
      </c>
      <c r="H278" s="222">
        <v>0</v>
      </c>
      <c r="I278" s="222">
        <v>0</v>
      </c>
      <c r="J278" s="222">
        <v>0</v>
      </c>
    </row>
    <row r="279" spans="1:10" s="217" customFormat="1">
      <c r="A279" s="214" t="s">
        <v>174</v>
      </c>
      <c r="B279" s="214" t="s">
        <v>13</v>
      </c>
      <c r="C279" s="215">
        <v>0.296527777777778</v>
      </c>
      <c r="D279" s="222">
        <v>0</v>
      </c>
      <c r="E279" s="222">
        <v>0</v>
      </c>
      <c r="F279" s="222">
        <v>0</v>
      </c>
      <c r="G279" s="222">
        <v>0</v>
      </c>
      <c r="H279" s="222">
        <v>0</v>
      </c>
      <c r="I279" s="222">
        <v>0</v>
      </c>
      <c r="J279" s="222">
        <v>0</v>
      </c>
    </row>
    <row r="280" spans="1:10" s="217" customFormat="1">
      <c r="A280" s="214" t="s">
        <v>174</v>
      </c>
      <c r="B280" s="214" t="s">
        <v>13</v>
      </c>
      <c r="C280" s="215">
        <v>0.297222222222222</v>
      </c>
      <c r="D280" s="222">
        <v>0</v>
      </c>
      <c r="E280" s="222">
        <v>0</v>
      </c>
      <c r="F280" s="222">
        <v>0</v>
      </c>
      <c r="G280" s="222">
        <v>0</v>
      </c>
      <c r="H280" s="222">
        <v>0</v>
      </c>
      <c r="I280" s="222">
        <v>0</v>
      </c>
      <c r="J280" s="222">
        <v>0</v>
      </c>
    </row>
    <row r="281" spans="1:10" s="217" customFormat="1">
      <c r="A281" s="214" t="s">
        <v>174</v>
      </c>
      <c r="B281" s="214" t="s">
        <v>13</v>
      </c>
      <c r="C281" s="215">
        <v>0.297916666666666</v>
      </c>
      <c r="D281" s="222">
        <v>0</v>
      </c>
      <c r="E281" s="222">
        <v>0</v>
      </c>
      <c r="F281" s="222">
        <v>0</v>
      </c>
      <c r="G281" s="222">
        <v>0</v>
      </c>
      <c r="H281" s="222">
        <v>0</v>
      </c>
      <c r="I281" s="222">
        <v>0</v>
      </c>
      <c r="J281" s="222">
        <v>0</v>
      </c>
    </row>
    <row r="282" spans="1:10" s="217" customFormat="1">
      <c r="A282" s="214" t="s">
        <v>174</v>
      </c>
      <c r="B282" s="214" t="s">
        <v>13</v>
      </c>
      <c r="C282" s="215">
        <v>0.29861111111111099</v>
      </c>
      <c r="D282" s="222">
        <v>0</v>
      </c>
      <c r="E282" s="222">
        <v>0</v>
      </c>
      <c r="F282" s="222">
        <v>0</v>
      </c>
      <c r="G282" s="222">
        <v>0</v>
      </c>
      <c r="H282" s="222">
        <v>0</v>
      </c>
      <c r="I282" s="222">
        <v>0</v>
      </c>
      <c r="J282" s="222">
        <v>0</v>
      </c>
    </row>
    <row r="283" spans="1:10" s="217" customFormat="1">
      <c r="A283" s="214" t="s">
        <v>174</v>
      </c>
      <c r="B283" s="214" t="s">
        <v>13</v>
      </c>
      <c r="C283" s="215">
        <v>0.29930555555555499</v>
      </c>
      <c r="D283" s="222">
        <v>0</v>
      </c>
      <c r="E283" s="222">
        <v>0</v>
      </c>
      <c r="F283" s="222">
        <v>0</v>
      </c>
      <c r="G283" s="222">
        <v>0</v>
      </c>
      <c r="H283" s="222">
        <v>0</v>
      </c>
      <c r="I283" s="222">
        <v>0</v>
      </c>
      <c r="J283" s="222">
        <v>0</v>
      </c>
    </row>
    <row r="284" spans="1:10" s="217" customFormat="1">
      <c r="A284" s="214" t="s">
        <v>174</v>
      </c>
      <c r="B284" s="214" t="s">
        <v>13</v>
      </c>
      <c r="C284" s="215">
        <v>0.3</v>
      </c>
      <c r="D284" s="222">
        <v>0</v>
      </c>
      <c r="E284" s="222">
        <v>0</v>
      </c>
      <c r="F284" s="222">
        <v>0</v>
      </c>
      <c r="G284" s="222">
        <v>0</v>
      </c>
      <c r="H284" s="222">
        <v>0</v>
      </c>
      <c r="I284" s="222">
        <v>0</v>
      </c>
      <c r="J284" s="222">
        <v>0</v>
      </c>
    </row>
    <row r="285" spans="1:10" s="217" customFormat="1">
      <c r="A285" s="214" t="s">
        <v>174</v>
      </c>
      <c r="B285" s="214" t="s">
        <v>13</v>
      </c>
      <c r="C285" s="215">
        <v>0.30069444444444399</v>
      </c>
      <c r="D285" s="222">
        <v>0</v>
      </c>
      <c r="E285" s="222">
        <v>0</v>
      </c>
      <c r="F285" s="222">
        <v>0</v>
      </c>
      <c r="G285" s="222">
        <v>0</v>
      </c>
      <c r="H285" s="222">
        <v>0</v>
      </c>
      <c r="I285" s="222">
        <v>0</v>
      </c>
      <c r="J285" s="222">
        <v>0</v>
      </c>
    </row>
    <row r="286" spans="1:10" s="221" customFormat="1">
      <c r="A286" s="218" t="s">
        <v>174</v>
      </c>
      <c r="B286" s="218" t="s">
        <v>13</v>
      </c>
      <c r="C286" s="219">
        <v>0.30138888888888898</v>
      </c>
      <c r="D286" s="223">
        <v>0</v>
      </c>
      <c r="E286" s="223">
        <v>0</v>
      </c>
      <c r="F286" s="223">
        <v>0</v>
      </c>
      <c r="G286" s="223">
        <v>0</v>
      </c>
      <c r="H286" s="223">
        <v>0</v>
      </c>
      <c r="I286" s="223">
        <v>0</v>
      </c>
      <c r="J286" s="223">
        <v>0</v>
      </c>
    </row>
    <row r="287" spans="1:10" s="217" customFormat="1">
      <c r="A287" s="214" t="s">
        <v>174</v>
      </c>
      <c r="B287" s="214" t="s">
        <v>13</v>
      </c>
      <c r="C287" s="215">
        <v>0.30208333333333298</v>
      </c>
      <c r="D287" s="222">
        <v>0</v>
      </c>
      <c r="E287" s="222">
        <v>0</v>
      </c>
      <c r="F287" s="222">
        <v>0</v>
      </c>
      <c r="G287" s="222">
        <v>0</v>
      </c>
      <c r="H287" s="222">
        <v>0</v>
      </c>
      <c r="I287" s="222">
        <v>0</v>
      </c>
      <c r="J287" s="222">
        <v>0</v>
      </c>
    </row>
    <row r="288" spans="1:10" s="217" customFormat="1">
      <c r="A288" s="214" t="s">
        <v>174</v>
      </c>
      <c r="B288" s="214" t="s">
        <v>13</v>
      </c>
      <c r="C288" s="215">
        <v>0.30277777777777798</v>
      </c>
      <c r="D288" s="222">
        <v>0</v>
      </c>
      <c r="E288" s="222">
        <v>0</v>
      </c>
      <c r="F288" s="222">
        <v>0</v>
      </c>
      <c r="G288" s="222">
        <v>0</v>
      </c>
      <c r="H288" s="222">
        <v>0</v>
      </c>
      <c r="I288" s="222">
        <v>0</v>
      </c>
      <c r="J288" s="222">
        <v>0</v>
      </c>
    </row>
    <row r="289" spans="1:10" s="217" customFormat="1">
      <c r="A289" s="214" t="s">
        <v>174</v>
      </c>
      <c r="B289" s="214" t="s">
        <v>13</v>
      </c>
      <c r="C289" s="215">
        <v>0.30347222222222198</v>
      </c>
      <c r="D289" s="222">
        <v>0</v>
      </c>
      <c r="E289" s="222">
        <v>0</v>
      </c>
      <c r="F289" s="222">
        <v>0</v>
      </c>
      <c r="G289" s="222">
        <v>0</v>
      </c>
      <c r="H289" s="222">
        <v>0</v>
      </c>
      <c r="I289" s="222">
        <v>0</v>
      </c>
      <c r="J289" s="222">
        <v>0</v>
      </c>
    </row>
    <row r="290" spans="1:10" s="217" customFormat="1">
      <c r="A290" s="214" t="s">
        <v>174</v>
      </c>
      <c r="B290" s="214" t="s">
        <v>13</v>
      </c>
      <c r="C290" s="215">
        <v>0.30416666666666697</v>
      </c>
      <c r="D290" s="222">
        <v>0</v>
      </c>
      <c r="E290" s="222">
        <v>0</v>
      </c>
      <c r="F290" s="222">
        <v>0</v>
      </c>
      <c r="G290" s="222">
        <v>0</v>
      </c>
      <c r="H290" s="222">
        <v>0</v>
      </c>
      <c r="I290" s="222">
        <v>0</v>
      </c>
      <c r="J290" s="222">
        <v>0</v>
      </c>
    </row>
    <row r="291" spans="1:10" s="217" customFormat="1">
      <c r="A291" s="214" t="s">
        <v>174</v>
      </c>
      <c r="B291" s="214" t="s">
        <v>13</v>
      </c>
      <c r="C291" s="215">
        <v>0.30486111111111103</v>
      </c>
      <c r="D291" s="222">
        <v>0</v>
      </c>
      <c r="E291" s="222">
        <v>0</v>
      </c>
      <c r="F291" s="222">
        <v>0</v>
      </c>
      <c r="G291" s="222">
        <v>0</v>
      </c>
      <c r="H291" s="222">
        <v>0</v>
      </c>
      <c r="I291" s="222">
        <v>0</v>
      </c>
      <c r="J291" s="222">
        <v>0</v>
      </c>
    </row>
    <row r="292" spans="1:10" s="217" customFormat="1">
      <c r="A292" s="214" t="s">
        <v>174</v>
      </c>
      <c r="B292" s="214" t="s">
        <v>13</v>
      </c>
      <c r="C292" s="215">
        <v>0.30555555555555503</v>
      </c>
      <c r="D292" s="222">
        <v>0</v>
      </c>
      <c r="E292" s="222">
        <v>0</v>
      </c>
      <c r="F292" s="222">
        <v>0</v>
      </c>
      <c r="G292" s="222">
        <v>0</v>
      </c>
      <c r="H292" s="222">
        <v>0</v>
      </c>
      <c r="I292" s="222">
        <v>0</v>
      </c>
      <c r="J292" s="222">
        <v>0</v>
      </c>
    </row>
    <row r="293" spans="1:10" s="217" customFormat="1">
      <c r="A293" s="214" t="s">
        <v>174</v>
      </c>
      <c r="B293" s="214" t="s">
        <v>13</v>
      </c>
      <c r="C293" s="215">
        <v>0.30625000000000002</v>
      </c>
      <c r="D293" s="222">
        <v>0</v>
      </c>
      <c r="E293" s="222">
        <v>0</v>
      </c>
      <c r="F293" s="222">
        <v>0</v>
      </c>
      <c r="G293" s="222">
        <v>0</v>
      </c>
      <c r="H293" s="222">
        <v>0</v>
      </c>
      <c r="I293" s="222">
        <v>0</v>
      </c>
      <c r="J293" s="222">
        <v>0</v>
      </c>
    </row>
    <row r="294" spans="1:10" s="217" customFormat="1">
      <c r="A294" s="214" t="s">
        <v>174</v>
      </c>
      <c r="B294" s="214" t="s">
        <v>13</v>
      </c>
      <c r="C294" s="215">
        <v>0.30694444444444402</v>
      </c>
      <c r="D294" s="222">
        <v>0</v>
      </c>
      <c r="E294" s="222">
        <v>0</v>
      </c>
      <c r="F294" s="222">
        <v>0</v>
      </c>
      <c r="G294" s="222">
        <v>0</v>
      </c>
      <c r="H294" s="222">
        <v>0</v>
      </c>
      <c r="I294" s="222">
        <v>0</v>
      </c>
      <c r="J294" s="222">
        <v>0</v>
      </c>
    </row>
    <row r="295" spans="1:10" s="217" customFormat="1">
      <c r="A295" s="214" t="s">
        <v>174</v>
      </c>
      <c r="B295" s="214" t="s">
        <v>13</v>
      </c>
      <c r="C295" s="215">
        <v>0.30763888888888902</v>
      </c>
      <c r="D295" s="222">
        <v>0</v>
      </c>
      <c r="E295" s="222">
        <v>0</v>
      </c>
      <c r="F295" s="222">
        <v>0</v>
      </c>
      <c r="G295" s="222">
        <v>0</v>
      </c>
      <c r="H295" s="222">
        <v>0</v>
      </c>
      <c r="I295" s="222">
        <v>0</v>
      </c>
      <c r="J295" s="222">
        <v>0</v>
      </c>
    </row>
    <row r="296" spans="1:10" s="217" customFormat="1">
      <c r="A296" s="214" t="s">
        <v>174</v>
      </c>
      <c r="B296" s="214" t="s">
        <v>13</v>
      </c>
      <c r="C296" s="215">
        <v>0.30833333333333302</v>
      </c>
      <c r="D296" s="222">
        <v>0</v>
      </c>
      <c r="E296" s="222">
        <v>0</v>
      </c>
      <c r="F296" s="222">
        <v>0</v>
      </c>
      <c r="G296" s="222">
        <v>0</v>
      </c>
      <c r="H296" s="222">
        <v>0</v>
      </c>
      <c r="I296" s="222">
        <v>0</v>
      </c>
      <c r="J296" s="222">
        <v>0</v>
      </c>
    </row>
    <row r="297" spans="1:10" s="217" customFormat="1">
      <c r="A297" s="214" t="s">
        <v>174</v>
      </c>
      <c r="B297" s="214" t="s">
        <v>13</v>
      </c>
      <c r="C297" s="215">
        <v>0.30902777777777801</v>
      </c>
      <c r="D297" s="222">
        <v>0</v>
      </c>
      <c r="E297" s="222">
        <v>0</v>
      </c>
      <c r="F297" s="222">
        <v>0</v>
      </c>
      <c r="G297" s="222">
        <v>0</v>
      </c>
      <c r="H297" s="222">
        <v>0</v>
      </c>
      <c r="I297" s="222">
        <v>0</v>
      </c>
      <c r="J297" s="222">
        <v>0</v>
      </c>
    </row>
    <row r="298" spans="1:10" s="217" customFormat="1">
      <c r="A298" s="214" t="s">
        <v>174</v>
      </c>
      <c r="B298" s="214" t="s">
        <v>13</v>
      </c>
      <c r="C298" s="215">
        <v>0.30972222222222201</v>
      </c>
      <c r="D298" s="222">
        <v>0</v>
      </c>
      <c r="E298" s="222">
        <v>0</v>
      </c>
      <c r="F298" s="222">
        <v>0</v>
      </c>
      <c r="G298" s="222">
        <v>0</v>
      </c>
      <c r="H298" s="222">
        <v>0</v>
      </c>
      <c r="I298" s="222">
        <v>0</v>
      </c>
      <c r="J298" s="222">
        <v>0</v>
      </c>
    </row>
    <row r="299" spans="1:10" s="217" customFormat="1">
      <c r="A299" s="214" t="s">
        <v>174</v>
      </c>
      <c r="B299" s="214" t="s">
        <v>13</v>
      </c>
      <c r="C299" s="215">
        <v>0.31041666666666701</v>
      </c>
      <c r="D299" s="222">
        <v>0</v>
      </c>
      <c r="E299" s="222">
        <v>0</v>
      </c>
      <c r="F299" s="222">
        <v>0</v>
      </c>
      <c r="G299" s="222">
        <v>0</v>
      </c>
      <c r="H299" s="222">
        <v>0</v>
      </c>
      <c r="I299" s="222">
        <v>0</v>
      </c>
      <c r="J299" s="222">
        <v>0</v>
      </c>
    </row>
    <row r="300" spans="1:10" s="217" customFormat="1">
      <c r="A300" s="214" t="s">
        <v>174</v>
      </c>
      <c r="B300" s="214" t="s">
        <v>13</v>
      </c>
      <c r="C300" s="215">
        <v>0.31111111111111101</v>
      </c>
      <c r="D300" s="222">
        <v>0</v>
      </c>
      <c r="E300" s="222">
        <v>0</v>
      </c>
      <c r="F300" s="222">
        <v>0</v>
      </c>
      <c r="G300" s="222">
        <v>0</v>
      </c>
      <c r="H300" s="222">
        <v>0</v>
      </c>
      <c r="I300" s="222">
        <v>0</v>
      </c>
      <c r="J300" s="222">
        <v>0</v>
      </c>
    </row>
    <row r="301" spans="1:10" s="221" customFormat="1">
      <c r="A301" s="218" t="s">
        <v>174</v>
      </c>
      <c r="B301" s="218" t="s">
        <v>13</v>
      </c>
      <c r="C301" s="219">
        <v>0.311805555555555</v>
      </c>
      <c r="D301" s="223">
        <v>0</v>
      </c>
      <c r="E301" s="223">
        <v>0</v>
      </c>
      <c r="F301" s="223">
        <v>0</v>
      </c>
      <c r="G301" s="223">
        <v>0</v>
      </c>
      <c r="H301" s="223">
        <v>0</v>
      </c>
      <c r="I301" s="223">
        <v>0</v>
      </c>
      <c r="J301" s="223">
        <v>0</v>
      </c>
    </row>
    <row r="302" spans="1:10" s="217" customFormat="1">
      <c r="A302" s="214" t="s">
        <v>174</v>
      </c>
      <c r="B302" s="214" t="s">
        <v>13</v>
      </c>
      <c r="C302" s="215">
        <v>0.3125</v>
      </c>
      <c r="D302" s="222">
        <v>0</v>
      </c>
      <c r="E302" s="222">
        <v>0</v>
      </c>
      <c r="F302" s="222">
        <v>0</v>
      </c>
      <c r="G302" s="222">
        <v>0</v>
      </c>
      <c r="H302" s="222">
        <v>0</v>
      </c>
      <c r="I302" s="222">
        <v>0</v>
      </c>
      <c r="J302" s="222">
        <v>0</v>
      </c>
    </row>
    <row r="303" spans="1:10" s="217" customFormat="1">
      <c r="A303" s="214" t="s">
        <v>174</v>
      </c>
      <c r="B303" s="214" t="s">
        <v>13</v>
      </c>
      <c r="C303" s="215">
        <v>0.313194444444444</v>
      </c>
      <c r="D303" s="222">
        <v>0</v>
      </c>
      <c r="E303" s="222">
        <v>0</v>
      </c>
      <c r="F303" s="222">
        <v>0</v>
      </c>
      <c r="G303" s="222">
        <v>0</v>
      </c>
      <c r="H303" s="222">
        <v>0</v>
      </c>
      <c r="I303" s="222">
        <v>0</v>
      </c>
      <c r="J303" s="222">
        <v>0</v>
      </c>
    </row>
    <row r="304" spans="1:10" s="217" customFormat="1">
      <c r="A304" s="214" t="s">
        <v>174</v>
      </c>
      <c r="B304" s="214" t="s">
        <v>13</v>
      </c>
      <c r="C304" s="215">
        <v>0.31388888888888899</v>
      </c>
      <c r="D304" s="222">
        <v>0</v>
      </c>
      <c r="E304" s="222">
        <v>0</v>
      </c>
      <c r="F304" s="222">
        <v>0</v>
      </c>
      <c r="G304" s="222">
        <v>0</v>
      </c>
      <c r="H304" s="222">
        <v>0</v>
      </c>
      <c r="I304" s="222">
        <v>0</v>
      </c>
      <c r="J304" s="222">
        <v>0</v>
      </c>
    </row>
    <row r="305" spans="1:10" s="217" customFormat="1">
      <c r="A305" s="214" t="s">
        <v>174</v>
      </c>
      <c r="B305" s="214" t="s">
        <v>13</v>
      </c>
      <c r="C305" s="215">
        <v>0.31458333333333299</v>
      </c>
      <c r="D305" s="222">
        <v>0</v>
      </c>
      <c r="E305" s="222">
        <v>0</v>
      </c>
      <c r="F305" s="222">
        <v>0</v>
      </c>
      <c r="G305" s="222">
        <v>0</v>
      </c>
      <c r="H305" s="222">
        <v>0</v>
      </c>
      <c r="I305" s="222">
        <v>0</v>
      </c>
      <c r="J305" s="222">
        <v>0</v>
      </c>
    </row>
    <row r="306" spans="1:10" s="217" customFormat="1">
      <c r="A306" s="214" t="s">
        <v>174</v>
      </c>
      <c r="B306" s="214" t="s">
        <v>13</v>
      </c>
      <c r="C306" s="215">
        <v>0.31527777777777799</v>
      </c>
      <c r="D306" s="222">
        <v>0</v>
      </c>
      <c r="E306" s="222">
        <v>0</v>
      </c>
      <c r="F306" s="222">
        <v>0</v>
      </c>
      <c r="G306" s="222">
        <v>0</v>
      </c>
      <c r="H306" s="222">
        <v>0</v>
      </c>
      <c r="I306" s="222">
        <v>0</v>
      </c>
      <c r="J306" s="222">
        <v>0</v>
      </c>
    </row>
    <row r="307" spans="1:10" s="217" customFormat="1">
      <c r="A307" s="214" t="s">
        <v>174</v>
      </c>
      <c r="B307" s="214" t="s">
        <v>13</v>
      </c>
      <c r="C307" s="215">
        <v>0.31597222222222199</v>
      </c>
      <c r="D307" s="222">
        <v>0</v>
      </c>
      <c r="E307" s="222">
        <v>0</v>
      </c>
      <c r="F307" s="222">
        <v>0</v>
      </c>
      <c r="G307" s="222">
        <v>0</v>
      </c>
      <c r="H307" s="222">
        <v>0</v>
      </c>
      <c r="I307" s="222">
        <v>0</v>
      </c>
      <c r="J307" s="222">
        <v>0</v>
      </c>
    </row>
    <row r="308" spans="1:10" s="217" customFormat="1">
      <c r="A308" s="214" t="s">
        <v>174</v>
      </c>
      <c r="B308" s="214" t="s">
        <v>13</v>
      </c>
      <c r="C308" s="215">
        <v>0.31666666666666698</v>
      </c>
      <c r="D308" s="222">
        <v>0</v>
      </c>
      <c r="E308" s="222">
        <v>0</v>
      </c>
      <c r="F308" s="222">
        <v>0</v>
      </c>
      <c r="G308" s="222">
        <v>0</v>
      </c>
      <c r="H308" s="222">
        <v>0</v>
      </c>
      <c r="I308" s="222">
        <v>0</v>
      </c>
      <c r="J308" s="222">
        <v>0</v>
      </c>
    </row>
    <row r="309" spans="1:10" s="217" customFormat="1">
      <c r="A309" s="214" t="s">
        <v>174</v>
      </c>
      <c r="B309" s="214" t="s">
        <v>13</v>
      </c>
      <c r="C309" s="215">
        <v>0.31736111111111098</v>
      </c>
      <c r="D309" s="222">
        <v>0</v>
      </c>
      <c r="E309" s="222">
        <v>0</v>
      </c>
      <c r="F309" s="222">
        <v>0</v>
      </c>
      <c r="G309" s="222">
        <v>0</v>
      </c>
      <c r="H309" s="222">
        <v>0</v>
      </c>
      <c r="I309" s="222">
        <v>0</v>
      </c>
      <c r="J309" s="222">
        <v>0</v>
      </c>
    </row>
    <row r="310" spans="1:10" s="217" customFormat="1">
      <c r="A310" s="214" t="s">
        <v>174</v>
      </c>
      <c r="B310" s="214" t="s">
        <v>13</v>
      </c>
      <c r="C310" s="215">
        <v>0.31805555555555498</v>
      </c>
      <c r="D310" s="222">
        <v>0</v>
      </c>
      <c r="E310" s="222">
        <v>0</v>
      </c>
      <c r="F310" s="222">
        <v>0</v>
      </c>
      <c r="G310" s="222">
        <v>0</v>
      </c>
      <c r="H310" s="222">
        <v>0</v>
      </c>
      <c r="I310" s="222">
        <v>0</v>
      </c>
      <c r="J310" s="222">
        <v>0</v>
      </c>
    </row>
    <row r="311" spans="1:10" s="217" customFormat="1">
      <c r="A311" s="214" t="s">
        <v>174</v>
      </c>
      <c r="B311" s="214" t="s">
        <v>13</v>
      </c>
      <c r="C311" s="215">
        <v>0.31874999999999998</v>
      </c>
      <c r="D311" s="222">
        <v>0</v>
      </c>
      <c r="E311" s="222">
        <v>0</v>
      </c>
      <c r="F311" s="222">
        <v>0</v>
      </c>
      <c r="G311" s="222">
        <v>0</v>
      </c>
      <c r="H311" s="222">
        <v>0</v>
      </c>
      <c r="I311" s="222">
        <v>0</v>
      </c>
      <c r="J311" s="222">
        <v>0</v>
      </c>
    </row>
    <row r="312" spans="1:10" s="217" customFormat="1">
      <c r="A312" s="214" t="s">
        <v>174</v>
      </c>
      <c r="B312" s="214" t="s">
        <v>13</v>
      </c>
      <c r="C312" s="215">
        <v>0.31944444444444398</v>
      </c>
      <c r="D312" s="222">
        <v>0</v>
      </c>
      <c r="E312" s="222">
        <v>0</v>
      </c>
      <c r="F312" s="222">
        <v>0</v>
      </c>
      <c r="G312" s="222">
        <v>0</v>
      </c>
      <c r="H312" s="222">
        <v>0</v>
      </c>
      <c r="I312" s="222">
        <v>0</v>
      </c>
      <c r="J312" s="222">
        <v>0</v>
      </c>
    </row>
    <row r="313" spans="1:10" s="217" customFormat="1">
      <c r="A313" s="214" t="s">
        <v>174</v>
      </c>
      <c r="B313" s="214" t="s">
        <v>13</v>
      </c>
      <c r="C313" s="215">
        <v>0.32013888888888897</v>
      </c>
      <c r="D313" s="222">
        <v>0</v>
      </c>
      <c r="E313" s="222">
        <v>0</v>
      </c>
      <c r="F313" s="222">
        <v>0</v>
      </c>
      <c r="G313" s="222">
        <v>0</v>
      </c>
      <c r="H313" s="222">
        <v>0</v>
      </c>
      <c r="I313" s="222">
        <v>0</v>
      </c>
      <c r="J313" s="222">
        <v>0</v>
      </c>
    </row>
    <row r="314" spans="1:10" s="217" customFormat="1">
      <c r="A314" s="214" t="s">
        <v>174</v>
      </c>
      <c r="B314" s="214" t="s">
        <v>13</v>
      </c>
      <c r="C314" s="215">
        <v>0.32083333333333303</v>
      </c>
      <c r="D314" s="222">
        <v>0</v>
      </c>
      <c r="E314" s="222">
        <v>0</v>
      </c>
      <c r="F314" s="222">
        <v>0</v>
      </c>
      <c r="G314" s="222">
        <v>0</v>
      </c>
      <c r="H314" s="222">
        <v>0</v>
      </c>
      <c r="I314" s="222">
        <v>0</v>
      </c>
      <c r="J314" s="222">
        <v>0</v>
      </c>
    </row>
    <row r="315" spans="1:10" s="217" customFormat="1">
      <c r="A315" s="214" t="s">
        <v>174</v>
      </c>
      <c r="B315" s="214" t="s">
        <v>13</v>
      </c>
      <c r="C315" s="215">
        <v>0.32152777777777802</v>
      </c>
      <c r="D315" s="222">
        <v>0</v>
      </c>
      <c r="E315" s="222">
        <v>0</v>
      </c>
      <c r="F315" s="222">
        <v>0</v>
      </c>
      <c r="G315" s="222">
        <v>0</v>
      </c>
      <c r="H315" s="222">
        <v>0</v>
      </c>
      <c r="I315" s="222">
        <v>0</v>
      </c>
      <c r="J315" s="222">
        <v>0</v>
      </c>
    </row>
    <row r="316" spans="1:10" s="221" customFormat="1">
      <c r="A316" s="218" t="s">
        <v>174</v>
      </c>
      <c r="B316" s="218" t="s">
        <v>13</v>
      </c>
      <c r="C316" s="219">
        <v>0.32222222222222202</v>
      </c>
      <c r="D316" s="223">
        <v>0</v>
      </c>
      <c r="E316" s="223">
        <v>0</v>
      </c>
      <c r="F316" s="223">
        <v>0</v>
      </c>
      <c r="G316" s="223">
        <v>0</v>
      </c>
      <c r="H316" s="223">
        <v>0</v>
      </c>
      <c r="I316" s="223">
        <v>0</v>
      </c>
      <c r="J316" s="223">
        <v>0</v>
      </c>
    </row>
    <row r="317" spans="1:10" s="217" customFormat="1">
      <c r="A317" s="214" t="s">
        <v>174</v>
      </c>
      <c r="B317" s="214" t="s">
        <v>13</v>
      </c>
      <c r="C317" s="215">
        <v>0.32291666666666602</v>
      </c>
      <c r="D317" s="222">
        <v>0</v>
      </c>
      <c r="E317" s="222">
        <v>0</v>
      </c>
      <c r="F317" s="222">
        <v>0</v>
      </c>
      <c r="G317" s="222">
        <v>0</v>
      </c>
      <c r="H317" s="222">
        <v>0</v>
      </c>
      <c r="I317" s="222">
        <v>0</v>
      </c>
      <c r="J317" s="222">
        <v>0</v>
      </c>
    </row>
    <row r="318" spans="1:10" s="217" customFormat="1">
      <c r="A318" s="214" t="s">
        <v>174</v>
      </c>
      <c r="B318" s="214" t="s">
        <v>13</v>
      </c>
      <c r="C318" s="215">
        <v>0.32361111111111102</v>
      </c>
      <c r="D318" s="222">
        <v>0</v>
      </c>
      <c r="E318" s="222">
        <v>0</v>
      </c>
      <c r="F318" s="222">
        <v>0</v>
      </c>
      <c r="G318" s="222">
        <v>0</v>
      </c>
      <c r="H318" s="222">
        <v>0</v>
      </c>
      <c r="I318" s="222">
        <v>0</v>
      </c>
      <c r="J318" s="222">
        <v>0</v>
      </c>
    </row>
    <row r="319" spans="1:10" s="217" customFormat="1">
      <c r="A319" s="214" t="s">
        <v>174</v>
      </c>
      <c r="B319" s="214" t="s">
        <v>13</v>
      </c>
      <c r="C319" s="215">
        <v>0.32430555555555501</v>
      </c>
      <c r="D319" s="222">
        <v>0</v>
      </c>
      <c r="E319" s="222">
        <v>0</v>
      </c>
      <c r="F319" s="222">
        <v>0</v>
      </c>
      <c r="G319" s="222">
        <v>0</v>
      </c>
      <c r="H319" s="222">
        <v>0</v>
      </c>
      <c r="I319" s="222">
        <v>0</v>
      </c>
      <c r="J319" s="222">
        <v>0</v>
      </c>
    </row>
    <row r="320" spans="1:10" s="217" customFormat="1">
      <c r="A320" s="214" t="s">
        <v>174</v>
      </c>
      <c r="B320" s="214" t="s">
        <v>13</v>
      </c>
      <c r="C320" s="215">
        <v>0.32500000000000001</v>
      </c>
      <c r="D320" s="222">
        <v>0</v>
      </c>
      <c r="E320" s="222">
        <v>0</v>
      </c>
      <c r="F320" s="222">
        <v>0</v>
      </c>
      <c r="G320" s="222">
        <v>0</v>
      </c>
      <c r="H320" s="222">
        <v>0</v>
      </c>
      <c r="I320" s="222">
        <v>0</v>
      </c>
      <c r="J320" s="222">
        <v>0</v>
      </c>
    </row>
    <row r="321" spans="1:10" s="217" customFormat="1">
      <c r="A321" s="214" t="s">
        <v>174</v>
      </c>
      <c r="B321" s="214" t="s">
        <v>13</v>
      </c>
      <c r="C321" s="215">
        <v>0.32569444444444401</v>
      </c>
      <c r="D321" s="222">
        <v>0</v>
      </c>
      <c r="E321" s="222">
        <v>0</v>
      </c>
      <c r="F321" s="222">
        <v>0</v>
      </c>
      <c r="G321" s="222">
        <v>0</v>
      </c>
      <c r="H321" s="222">
        <v>0</v>
      </c>
      <c r="I321" s="222">
        <v>0</v>
      </c>
      <c r="J321" s="222">
        <v>0</v>
      </c>
    </row>
    <row r="322" spans="1:10" s="217" customFormat="1">
      <c r="A322" s="214" t="s">
        <v>174</v>
      </c>
      <c r="B322" s="214" t="s">
        <v>13</v>
      </c>
      <c r="C322" s="215">
        <v>0.32638888888888901</v>
      </c>
      <c r="D322" s="222">
        <v>0</v>
      </c>
      <c r="E322" s="222">
        <v>0</v>
      </c>
      <c r="F322" s="222">
        <v>0</v>
      </c>
      <c r="G322" s="222">
        <v>0</v>
      </c>
      <c r="H322" s="222">
        <v>0</v>
      </c>
      <c r="I322" s="222">
        <v>0</v>
      </c>
      <c r="J322" s="222">
        <v>0</v>
      </c>
    </row>
    <row r="323" spans="1:10" s="217" customFormat="1">
      <c r="A323" s="214" t="s">
        <v>174</v>
      </c>
      <c r="B323" s="214" t="s">
        <v>13</v>
      </c>
      <c r="C323" s="215">
        <v>0.327083333333333</v>
      </c>
      <c r="D323" s="222">
        <v>0</v>
      </c>
      <c r="E323" s="222">
        <v>0</v>
      </c>
      <c r="F323" s="222">
        <v>0</v>
      </c>
      <c r="G323" s="222">
        <v>0</v>
      </c>
      <c r="H323" s="222">
        <v>0</v>
      </c>
      <c r="I323" s="222">
        <v>0</v>
      </c>
      <c r="J323" s="222">
        <v>0</v>
      </c>
    </row>
    <row r="324" spans="1:10" s="217" customFormat="1">
      <c r="A324" s="214" t="s">
        <v>174</v>
      </c>
      <c r="B324" s="214" t="s">
        <v>13</v>
      </c>
      <c r="C324" s="215">
        <v>0.327777777777778</v>
      </c>
      <c r="D324" s="222">
        <v>0</v>
      </c>
      <c r="E324" s="222">
        <v>0</v>
      </c>
      <c r="F324" s="222">
        <v>0</v>
      </c>
      <c r="G324" s="222">
        <v>0</v>
      </c>
      <c r="H324" s="222">
        <v>0</v>
      </c>
      <c r="I324" s="222">
        <v>0</v>
      </c>
      <c r="J324" s="222">
        <v>0</v>
      </c>
    </row>
    <row r="325" spans="1:10" s="217" customFormat="1">
      <c r="A325" s="214" t="s">
        <v>174</v>
      </c>
      <c r="B325" s="214" t="s">
        <v>13</v>
      </c>
      <c r="C325" s="215">
        <v>0.328472222222222</v>
      </c>
      <c r="D325" s="222">
        <v>0</v>
      </c>
      <c r="E325" s="222">
        <v>0</v>
      </c>
      <c r="F325" s="222">
        <v>0</v>
      </c>
      <c r="G325" s="222">
        <v>0</v>
      </c>
      <c r="H325" s="222">
        <v>0</v>
      </c>
      <c r="I325" s="222">
        <v>0</v>
      </c>
      <c r="J325" s="222">
        <v>0</v>
      </c>
    </row>
    <row r="326" spans="1:10" s="217" customFormat="1">
      <c r="A326" s="214" t="s">
        <v>174</v>
      </c>
      <c r="B326" s="214" t="s">
        <v>13</v>
      </c>
      <c r="C326" s="215">
        <v>0.329166666666666</v>
      </c>
      <c r="D326" s="222">
        <v>0</v>
      </c>
      <c r="E326" s="222">
        <v>0</v>
      </c>
      <c r="F326" s="222">
        <v>0</v>
      </c>
      <c r="G326" s="222">
        <v>0</v>
      </c>
      <c r="H326" s="222">
        <v>0</v>
      </c>
      <c r="I326" s="222">
        <v>0</v>
      </c>
      <c r="J326" s="222">
        <v>0</v>
      </c>
    </row>
    <row r="327" spans="1:10" s="217" customFormat="1">
      <c r="A327" s="214" t="s">
        <v>174</v>
      </c>
      <c r="B327" s="214" t="s">
        <v>13</v>
      </c>
      <c r="C327" s="215">
        <v>0.32986111111111099</v>
      </c>
      <c r="D327" s="222">
        <v>0</v>
      </c>
      <c r="E327" s="222">
        <v>0</v>
      </c>
      <c r="F327" s="222">
        <v>0</v>
      </c>
      <c r="G327" s="222">
        <v>0</v>
      </c>
      <c r="H327" s="222">
        <v>0</v>
      </c>
      <c r="I327" s="222">
        <v>0</v>
      </c>
      <c r="J327" s="222">
        <v>0</v>
      </c>
    </row>
    <row r="328" spans="1:10" s="217" customFormat="1">
      <c r="A328" s="214" t="s">
        <v>174</v>
      </c>
      <c r="B328" s="214" t="s">
        <v>13</v>
      </c>
      <c r="C328" s="215">
        <v>0.33055555555555499</v>
      </c>
      <c r="D328" s="222">
        <v>0</v>
      </c>
      <c r="E328" s="222">
        <v>0</v>
      </c>
      <c r="F328" s="222">
        <v>0</v>
      </c>
      <c r="G328" s="222">
        <v>0</v>
      </c>
      <c r="H328" s="222">
        <v>0</v>
      </c>
      <c r="I328" s="222">
        <v>0</v>
      </c>
      <c r="J328" s="222">
        <v>0</v>
      </c>
    </row>
    <row r="329" spans="1:10" s="217" customFormat="1">
      <c r="A329" s="214" t="s">
        <v>174</v>
      </c>
      <c r="B329" s="214" t="s">
        <v>13</v>
      </c>
      <c r="C329" s="215">
        <v>0.33124999999999999</v>
      </c>
      <c r="D329" s="222">
        <v>0</v>
      </c>
      <c r="E329" s="222">
        <v>0</v>
      </c>
      <c r="F329" s="222">
        <v>0</v>
      </c>
      <c r="G329" s="222">
        <v>0</v>
      </c>
      <c r="H329" s="222">
        <v>0</v>
      </c>
      <c r="I329" s="222">
        <v>0</v>
      </c>
      <c r="J329" s="222">
        <v>0</v>
      </c>
    </row>
    <row r="330" spans="1:10" s="217" customFormat="1">
      <c r="A330" s="214" t="s">
        <v>174</v>
      </c>
      <c r="B330" s="214" t="s">
        <v>13</v>
      </c>
      <c r="C330" s="215">
        <v>0.33194444444444399</v>
      </c>
      <c r="D330" s="222">
        <v>0</v>
      </c>
      <c r="E330" s="222">
        <v>0</v>
      </c>
      <c r="F330" s="222">
        <v>0</v>
      </c>
      <c r="G330" s="222">
        <v>0</v>
      </c>
      <c r="H330" s="222">
        <v>0</v>
      </c>
      <c r="I330" s="222">
        <v>0</v>
      </c>
      <c r="J330" s="222">
        <v>0</v>
      </c>
    </row>
    <row r="331" spans="1:10" s="221" customFormat="1">
      <c r="A331" s="218" t="s">
        <v>174</v>
      </c>
      <c r="B331" s="218" t="s">
        <v>13</v>
      </c>
      <c r="C331" s="219">
        <v>0.33263888888888898</v>
      </c>
      <c r="D331" s="223">
        <v>0</v>
      </c>
      <c r="E331" s="223">
        <v>0</v>
      </c>
      <c r="F331" s="223">
        <v>0</v>
      </c>
      <c r="G331" s="223">
        <v>0</v>
      </c>
      <c r="H331" s="223">
        <v>0</v>
      </c>
      <c r="I331" s="223">
        <v>0</v>
      </c>
      <c r="J331" s="223">
        <v>0</v>
      </c>
    </row>
    <row r="332" spans="1:10" s="217" customFormat="1">
      <c r="A332" s="214" t="s">
        <v>174</v>
      </c>
      <c r="B332" s="214" t="s">
        <v>13</v>
      </c>
      <c r="C332" s="215">
        <v>0.33333333333333298</v>
      </c>
      <c r="D332" s="222">
        <v>0</v>
      </c>
      <c r="E332" s="222">
        <v>0</v>
      </c>
      <c r="F332" s="222">
        <v>0</v>
      </c>
      <c r="G332" s="222">
        <v>0</v>
      </c>
      <c r="H332" s="222">
        <v>0</v>
      </c>
      <c r="I332" s="222">
        <v>0</v>
      </c>
      <c r="J332" s="222">
        <v>0</v>
      </c>
    </row>
    <row r="333" spans="1:10" s="217" customFormat="1">
      <c r="A333" s="214" t="s">
        <v>174</v>
      </c>
      <c r="B333" s="214" t="s">
        <v>13</v>
      </c>
      <c r="C333" s="215">
        <v>0.33402777777777798</v>
      </c>
      <c r="D333" s="222">
        <v>0</v>
      </c>
      <c r="E333" s="222">
        <v>0</v>
      </c>
      <c r="F333" s="222">
        <v>0</v>
      </c>
      <c r="G333" s="222">
        <v>0</v>
      </c>
      <c r="H333" s="222">
        <v>0</v>
      </c>
      <c r="I333" s="222">
        <v>0</v>
      </c>
      <c r="J333" s="222">
        <v>0</v>
      </c>
    </row>
    <row r="334" spans="1:10" s="217" customFormat="1">
      <c r="A334" s="214" t="s">
        <v>174</v>
      </c>
      <c r="B334" s="214" t="s">
        <v>13</v>
      </c>
      <c r="C334" s="215">
        <v>0.33472222222222198</v>
      </c>
      <c r="D334" s="222">
        <v>0</v>
      </c>
      <c r="E334" s="222">
        <v>0</v>
      </c>
      <c r="F334" s="222">
        <v>0</v>
      </c>
      <c r="G334" s="222">
        <v>0</v>
      </c>
      <c r="H334" s="222">
        <v>0</v>
      </c>
      <c r="I334" s="222">
        <v>0</v>
      </c>
      <c r="J334" s="222">
        <v>0</v>
      </c>
    </row>
    <row r="335" spans="1:10" s="217" customFormat="1">
      <c r="A335" s="214" t="s">
        <v>174</v>
      </c>
      <c r="B335" s="214" t="s">
        <v>13</v>
      </c>
      <c r="C335" s="215">
        <v>0.33541666666666597</v>
      </c>
      <c r="D335" s="222">
        <v>0</v>
      </c>
      <c r="E335" s="222">
        <v>0</v>
      </c>
      <c r="F335" s="222">
        <v>0</v>
      </c>
      <c r="G335" s="222">
        <v>0</v>
      </c>
      <c r="H335" s="222">
        <v>0</v>
      </c>
      <c r="I335" s="222">
        <v>0</v>
      </c>
      <c r="J335" s="222">
        <v>0</v>
      </c>
    </row>
    <row r="336" spans="1:10" s="217" customFormat="1">
      <c r="A336" s="214" t="s">
        <v>174</v>
      </c>
      <c r="B336" s="214" t="s">
        <v>13</v>
      </c>
      <c r="C336" s="215">
        <v>0.33611111111111103</v>
      </c>
      <c r="D336" s="222">
        <v>0</v>
      </c>
      <c r="E336" s="222">
        <v>0</v>
      </c>
      <c r="F336" s="222">
        <v>0</v>
      </c>
      <c r="G336" s="222">
        <v>0</v>
      </c>
      <c r="H336" s="222">
        <v>0</v>
      </c>
      <c r="I336" s="222">
        <v>0</v>
      </c>
      <c r="J336" s="222">
        <v>0</v>
      </c>
    </row>
    <row r="337" spans="1:10" s="217" customFormat="1">
      <c r="A337" s="214" t="s">
        <v>174</v>
      </c>
      <c r="B337" s="214" t="s">
        <v>13</v>
      </c>
      <c r="C337" s="215">
        <v>0.33680555555555503</v>
      </c>
      <c r="D337" s="222">
        <v>0</v>
      </c>
      <c r="E337" s="222">
        <v>0</v>
      </c>
      <c r="F337" s="222">
        <v>0</v>
      </c>
      <c r="G337" s="222">
        <v>0</v>
      </c>
      <c r="H337" s="222">
        <v>0</v>
      </c>
      <c r="I337" s="222">
        <v>0</v>
      </c>
      <c r="J337" s="222">
        <v>0</v>
      </c>
    </row>
    <row r="338" spans="1:10" s="217" customFormat="1">
      <c r="A338" s="214" t="s">
        <v>174</v>
      </c>
      <c r="B338" s="214" t="s">
        <v>13</v>
      </c>
      <c r="C338" s="215">
        <v>0.33750000000000002</v>
      </c>
      <c r="D338" s="222">
        <v>0</v>
      </c>
      <c r="E338" s="222">
        <v>0</v>
      </c>
      <c r="F338" s="222">
        <v>0</v>
      </c>
      <c r="G338" s="222">
        <v>0</v>
      </c>
      <c r="H338" s="222">
        <v>0</v>
      </c>
      <c r="I338" s="222">
        <v>0</v>
      </c>
      <c r="J338" s="222">
        <v>0</v>
      </c>
    </row>
    <row r="339" spans="1:10" s="217" customFormat="1">
      <c r="A339" s="214" t="s">
        <v>174</v>
      </c>
      <c r="B339" s="214" t="s">
        <v>13</v>
      </c>
      <c r="C339" s="215">
        <v>0.33819444444444402</v>
      </c>
      <c r="D339" s="222">
        <v>0</v>
      </c>
      <c r="E339" s="222">
        <v>0</v>
      </c>
      <c r="F339" s="222">
        <v>0</v>
      </c>
      <c r="G339" s="222">
        <v>0</v>
      </c>
      <c r="H339" s="222">
        <v>0</v>
      </c>
      <c r="I339" s="222">
        <v>0</v>
      </c>
      <c r="J339" s="222">
        <v>0</v>
      </c>
    </row>
    <row r="340" spans="1:10" s="217" customFormat="1">
      <c r="A340" s="214" t="s">
        <v>174</v>
      </c>
      <c r="B340" s="214" t="s">
        <v>13</v>
      </c>
      <c r="C340" s="215">
        <v>0.33888888888888902</v>
      </c>
      <c r="D340" s="222">
        <v>0</v>
      </c>
      <c r="E340" s="222">
        <v>0</v>
      </c>
      <c r="F340" s="222">
        <v>0</v>
      </c>
      <c r="G340" s="222">
        <v>0</v>
      </c>
      <c r="H340" s="222">
        <v>0</v>
      </c>
      <c r="I340" s="222">
        <v>0</v>
      </c>
      <c r="J340" s="222">
        <v>0</v>
      </c>
    </row>
    <row r="341" spans="1:10" s="217" customFormat="1">
      <c r="A341" s="214" t="s">
        <v>174</v>
      </c>
      <c r="B341" s="214" t="s">
        <v>13</v>
      </c>
      <c r="C341" s="215">
        <v>0.33958333333333302</v>
      </c>
      <c r="D341" s="222">
        <v>0</v>
      </c>
      <c r="E341" s="222">
        <v>0</v>
      </c>
      <c r="F341" s="222">
        <v>0</v>
      </c>
      <c r="G341" s="222">
        <v>0</v>
      </c>
      <c r="H341" s="222">
        <v>0</v>
      </c>
      <c r="I341" s="222">
        <v>0</v>
      </c>
      <c r="J341" s="222">
        <v>0</v>
      </c>
    </row>
    <row r="342" spans="1:10" s="217" customFormat="1">
      <c r="A342" s="214" t="s">
        <v>174</v>
      </c>
      <c r="B342" s="214" t="s">
        <v>13</v>
      </c>
      <c r="C342" s="215">
        <v>0.34027777777777801</v>
      </c>
      <c r="D342" s="222">
        <v>0</v>
      </c>
      <c r="E342" s="222">
        <v>0</v>
      </c>
      <c r="F342" s="222">
        <v>0</v>
      </c>
      <c r="G342" s="222">
        <v>0</v>
      </c>
      <c r="H342" s="222">
        <v>0</v>
      </c>
      <c r="I342" s="222">
        <v>0</v>
      </c>
      <c r="J342" s="222">
        <v>0</v>
      </c>
    </row>
    <row r="343" spans="1:10" s="217" customFormat="1">
      <c r="A343" s="214" t="s">
        <v>174</v>
      </c>
      <c r="B343" s="214" t="s">
        <v>13</v>
      </c>
      <c r="C343" s="215">
        <v>0.34097222222222201</v>
      </c>
      <c r="D343" s="222">
        <v>0</v>
      </c>
      <c r="E343" s="222">
        <v>0</v>
      </c>
      <c r="F343" s="222">
        <v>0</v>
      </c>
      <c r="G343" s="222">
        <v>0</v>
      </c>
      <c r="H343" s="222">
        <v>0</v>
      </c>
      <c r="I343" s="222">
        <v>0</v>
      </c>
      <c r="J343" s="222">
        <v>0</v>
      </c>
    </row>
    <row r="344" spans="1:10" s="217" customFormat="1">
      <c r="A344" s="214" t="s">
        <v>174</v>
      </c>
      <c r="B344" s="214" t="s">
        <v>13</v>
      </c>
      <c r="C344" s="215">
        <v>0.34166666666666601</v>
      </c>
      <c r="D344" s="222">
        <v>0</v>
      </c>
      <c r="E344" s="222">
        <v>0</v>
      </c>
      <c r="F344" s="222">
        <v>0</v>
      </c>
      <c r="G344" s="222">
        <v>0</v>
      </c>
      <c r="H344" s="222">
        <v>0</v>
      </c>
      <c r="I344" s="222">
        <v>0</v>
      </c>
      <c r="J344" s="222">
        <v>0</v>
      </c>
    </row>
    <row r="345" spans="1:10" s="217" customFormat="1">
      <c r="A345" s="214" t="s">
        <v>174</v>
      </c>
      <c r="B345" s="214" t="s">
        <v>13</v>
      </c>
      <c r="C345" s="215">
        <v>0.34236111111111101</v>
      </c>
      <c r="D345" s="222">
        <v>0</v>
      </c>
      <c r="E345" s="222">
        <v>0</v>
      </c>
      <c r="F345" s="222">
        <v>0</v>
      </c>
      <c r="G345" s="222">
        <v>0</v>
      </c>
      <c r="H345" s="222">
        <v>0</v>
      </c>
      <c r="I345" s="222">
        <v>0</v>
      </c>
      <c r="J345" s="222">
        <v>0</v>
      </c>
    </row>
    <row r="346" spans="1:10" s="221" customFormat="1">
      <c r="A346" s="218" t="s">
        <v>174</v>
      </c>
      <c r="B346" s="218" t="s">
        <v>13</v>
      </c>
      <c r="C346" s="219">
        <v>0.343055555555555</v>
      </c>
      <c r="D346" s="223">
        <v>0</v>
      </c>
      <c r="E346" s="223">
        <v>0</v>
      </c>
      <c r="F346" s="223">
        <v>0</v>
      </c>
      <c r="G346" s="223">
        <v>0</v>
      </c>
      <c r="H346" s="223">
        <v>0</v>
      </c>
      <c r="I346" s="223">
        <v>0</v>
      </c>
      <c r="J346" s="223">
        <v>0</v>
      </c>
    </row>
    <row r="347" spans="1:10" s="217" customFormat="1">
      <c r="A347" s="214" t="s">
        <v>174</v>
      </c>
      <c r="B347" s="214" t="s">
        <v>13</v>
      </c>
      <c r="C347" s="215">
        <v>0.34375</v>
      </c>
      <c r="D347" s="222">
        <v>0</v>
      </c>
      <c r="E347" s="222">
        <v>0</v>
      </c>
      <c r="F347" s="222">
        <v>0</v>
      </c>
      <c r="G347" s="222">
        <v>0</v>
      </c>
      <c r="H347" s="222">
        <v>0</v>
      </c>
      <c r="I347" s="222">
        <v>0</v>
      </c>
      <c r="J347" s="222">
        <v>0</v>
      </c>
    </row>
    <row r="348" spans="1:10" s="217" customFormat="1">
      <c r="A348" s="214" t="s">
        <v>174</v>
      </c>
      <c r="B348" s="214" t="s">
        <v>13</v>
      </c>
      <c r="C348" s="215">
        <v>0.344444444444444</v>
      </c>
      <c r="D348" s="222">
        <v>0</v>
      </c>
      <c r="E348" s="222">
        <v>0</v>
      </c>
      <c r="F348" s="222">
        <v>0</v>
      </c>
      <c r="G348" s="222">
        <v>0</v>
      </c>
      <c r="H348" s="222">
        <v>0</v>
      </c>
      <c r="I348" s="222">
        <v>0</v>
      </c>
      <c r="J348" s="222">
        <v>0</v>
      </c>
    </row>
    <row r="349" spans="1:10" s="217" customFormat="1">
      <c r="A349" s="214" t="s">
        <v>174</v>
      </c>
      <c r="B349" s="214" t="s">
        <v>13</v>
      </c>
      <c r="C349" s="215">
        <v>0.34513888888888899</v>
      </c>
      <c r="D349" s="222">
        <v>0</v>
      </c>
      <c r="E349" s="222">
        <v>0</v>
      </c>
      <c r="F349" s="222">
        <v>0</v>
      </c>
      <c r="G349" s="222">
        <v>0</v>
      </c>
      <c r="H349" s="222">
        <v>0</v>
      </c>
      <c r="I349" s="222">
        <v>0</v>
      </c>
      <c r="J349" s="222">
        <v>0</v>
      </c>
    </row>
    <row r="350" spans="1:10" s="217" customFormat="1">
      <c r="A350" s="214" t="s">
        <v>174</v>
      </c>
      <c r="B350" s="214" t="s">
        <v>13</v>
      </c>
      <c r="C350" s="215">
        <v>0.34583333333333299</v>
      </c>
      <c r="D350" s="222">
        <v>0</v>
      </c>
      <c r="E350" s="222">
        <v>0</v>
      </c>
      <c r="F350" s="222">
        <v>0</v>
      </c>
      <c r="G350" s="222">
        <v>0</v>
      </c>
      <c r="H350" s="222">
        <v>0</v>
      </c>
      <c r="I350" s="222">
        <v>0</v>
      </c>
      <c r="J350" s="222">
        <v>0</v>
      </c>
    </row>
    <row r="351" spans="1:10" s="217" customFormat="1">
      <c r="A351" s="214" t="s">
        <v>174</v>
      </c>
      <c r="B351" s="214" t="s">
        <v>13</v>
      </c>
      <c r="C351" s="215">
        <v>0.34652777777777799</v>
      </c>
      <c r="D351" s="222">
        <v>0</v>
      </c>
      <c r="E351" s="222">
        <v>0</v>
      </c>
      <c r="F351" s="222">
        <v>0</v>
      </c>
      <c r="G351" s="222">
        <v>0</v>
      </c>
      <c r="H351" s="222">
        <v>0</v>
      </c>
      <c r="I351" s="222">
        <v>0</v>
      </c>
      <c r="J351" s="222">
        <v>0</v>
      </c>
    </row>
    <row r="352" spans="1:10" s="217" customFormat="1">
      <c r="A352" s="214" t="s">
        <v>174</v>
      </c>
      <c r="B352" s="214" t="s">
        <v>13</v>
      </c>
      <c r="C352" s="215">
        <v>0.34722222222222199</v>
      </c>
      <c r="D352" s="222">
        <v>0</v>
      </c>
      <c r="E352" s="222">
        <v>0</v>
      </c>
      <c r="F352" s="222">
        <v>0</v>
      </c>
      <c r="G352" s="222">
        <v>0</v>
      </c>
      <c r="H352" s="222">
        <v>0</v>
      </c>
      <c r="I352" s="222">
        <v>0</v>
      </c>
      <c r="J352" s="222">
        <v>0</v>
      </c>
    </row>
    <row r="353" spans="1:10" s="217" customFormat="1">
      <c r="A353" s="214" t="s">
        <v>174</v>
      </c>
      <c r="B353" s="214" t="s">
        <v>13</v>
      </c>
      <c r="C353" s="215">
        <v>0.34791666666666599</v>
      </c>
      <c r="D353" s="222">
        <v>0</v>
      </c>
      <c r="E353" s="222">
        <v>0</v>
      </c>
      <c r="F353" s="222">
        <v>0</v>
      </c>
      <c r="G353" s="222">
        <v>0</v>
      </c>
      <c r="H353" s="222">
        <v>0</v>
      </c>
      <c r="I353" s="222">
        <v>0</v>
      </c>
      <c r="J353" s="222">
        <v>0</v>
      </c>
    </row>
    <row r="354" spans="1:10" s="217" customFormat="1">
      <c r="A354" s="214" t="s">
        <v>174</v>
      </c>
      <c r="B354" s="214" t="s">
        <v>13</v>
      </c>
      <c r="C354" s="215">
        <v>0.34861111111111098</v>
      </c>
      <c r="D354" s="222">
        <v>0</v>
      </c>
      <c r="E354" s="222">
        <v>0</v>
      </c>
      <c r="F354" s="222">
        <v>0</v>
      </c>
      <c r="G354" s="222">
        <v>0</v>
      </c>
      <c r="H354" s="222">
        <v>0</v>
      </c>
      <c r="I354" s="222">
        <v>0</v>
      </c>
      <c r="J354" s="222">
        <v>0</v>
      </c>
    </row>
    <row r="355" spans="1:10" s="217" customFormat="1">
      <c r="A355" s="214" t="s">
        <v>174</v>
      </c>
      <c r="B355" s="214" t="s">
        <v>13</v>
      </c>
      <c r="C355" s="215">
        <v>0.34930555555555498</v>
      </c>
      <c r="D355" s="222">
        <v>0</v>
      </c>
      <c r="E355" s="222">
        <v>0</v>
      </c>
      <c r="F355" s="222">
        <v>0</v>
      </c>
      <c r="G355" s="222">
        <v>0</v>
      </c>
      <c r="H355" s="222">
        <v>0</v>
      </c>
      <c r="I355" s="222">
        <v>0</v>
      </c>
      <c r="J355" s="222">
        <v>0</v>
      </c>
    </row>
    <row r="356" spans="1:10" s="217" customFormat="1">
      <c r="A356" s="214" t="s">
        <v>174</v>
      </c>
      <c r="B356" s="214" t="s">
        <v>13</v>
      </c>
      <c r="C356" s="215">
        <v>0.35</v>
      </c>
      <c r="D356" s="222">
        <v>0</v>
      </c>
      <c r="E356" s="222">
        <v>0</v>
      </c>
      <c r="F356" s="222">
        <v>0</v>
      </c>
      <c r="G356" s="222">
        <v>0</v>
      </c>
      <c r="H356" s="222">
        <v>0</v>
      </c>
      <c r="I356" s="222">
        <v>0</v>
      </c>
      <c r="J356" s="222">
        <v>0</v>
      </c>
    </row>
    <row r="357" spans="1:10" s="217" customFormat="1">
      <c r="A357" s="214" t="s">
        <v>174</v>
      </c>
      <c r="B357" s="214" t="s">
        <v>13</v>
      </c>
      <c r="C357" s="215">
        <v>0.35069444444444398</v>
      </c>
      <c r="D357" s="222">
        <v>0</v>
      </c>
      <c r="E357" s="222">
        <v>0</v>
      </c>
      <c r="F357" s="222">
        <v>0</v>
      </c>
      <c r="G357" s="222">
        <v>0</v>
      </c>
      <c r="H357" s="222">
        <v>0</v>
      </c>
      <c r="I357" s="222">
        <v>0</v>
      </c>
      <c r="J357" s="222">
        <v>0</v>
      </c>
    </row>
    <row r="358" spans="1:10" s="217" customFormat="1">
      <c r="A358" s="214" t="s">
        <v>174</v>
      </c>
      <c r="B358" s="214" t="s">
        <v>13</v>
      </c>
      <c r="C358" s="215">
        <v>0.35138888888888897</v>
      </c>
      <c r="D358" s="222">
        <v>0</v>
      </c>
      <c r="E358" s="222">
        <v>0</v>
      </c>
      <c r="F358" s="222">
        <v>0</v>
      </c>
      <c r="G358" s="222">
        <v>0</v>
      </c>
      <c r="H358" s="222">
        <v>0</v>
      </c>
      <c r="I358" s="222">
        <v>0</v>
      </c>
      <c r="J358" s="222">
        <v>0</v>
      </c>
    </row>
    <row r="359" spans="1:10" s="217" customFormat="1">
      <c r="A359" s="214" t="s">
        <v>174</v>
      </c>
      <c r="B359" s="214" t="s">
        <v>13</v>
      </c>
      <c r="C359" s="215">
        <v>0.35208333333333303</v>
      </c>
      <c r="D359" s="222">
        <v>0</v>
      </c>
      <c r="E359" s="222">
        <v>0</v>
      </c>
      <c r="F359" s="222">
        <v>0</v>
      </c>
      <c r="G359" s="222">
        <v>0</v>
      </c>
      <c r="H359" s="222">
        <v>0</v>
      </c>
      <c r="I359" s="222">
        <v>0</v>
      </c>
      <c r="J359" s="222">
        <v>0</v>
      </c>
    </row>
    <row r="360" spans="1:10" s="217" customFormat="1">
      <c r="A360" s="214" t="s">
        <v>174</v>
      </c>
      <c r="B360" s="214" t="s">
        <v>13</v>
      </c>
      <c r="C360" s="215">
        <v>0.35277777777777802</v>
      </c>
      <c r="D360" s="222">
        <v>0</v>
      </c>
      <c r="E360" s="222">
        <v>0</v>
      </c>
      <c r="F360" s="222">
        <v>0</v>
      </c>
      <c r="G360" s="222">
        <v>0</v>
      </c>
      <c r="H360" s="222">
        <v>0</v>
      </c>
      <c r="I360" s="222">
        <v>0</v>
      </c>
      <c r="J360" s="222">
        <v>0</v>
      </c>
    </row>
    <row r="361" spans="1:10" s="227" customFormat="1" ht="17.5" thickBot="1">
      <c r="A361" s="224" t="s">
        <v>174</v>
      </c>
      <c r="B361" s="224" t="s">
        <v>13</v>
      </c>
      <c r="C361" s="225">
        <v>0.35347222222222202</v>
      </c>
      <c r="D361" s="226">
        <v>0</v>
      </c>
      <c r="E361" s="226">
        <v>0</v>
      </c>
      <c r="F361" s="226">
        <v>0</v>
      </c>
      <c r="G361" s="226">
        <v>0</v>
      </c>
      <c r="H361" s="226">
        <v>0</v>
      </c>
      <c r="I361" s="226">
        <v>0</v>
      </c>
      <c r="J361" s="226">
        <v>0</v>
      </c>
    </row>
    <row r="362" spans="1:10" s="217" customFormat="1">
      <c r="A362" s="214" t="s">
        <v>174</v>
      </c>
      <c r="B362" s="214" t="s">
        <v>14</v>
      </c>
      <c r="C362" s="215">
        <v>0.27083333333333331</v>
      </c>
      <c r="D362" s="222">
        <v>0</v>
      </c>
      <c r="E362" s="222">
        <v>0</v>
      </c>
      <c r="F362" s="222">
        <v>0</v>
      </c>
      <c r="G362" s="222">
        <v>0</v>
      </c>
      <c r="H362" s="222">
        <v>0</v>
      </c>
      <c r="I362" s="222">
        <v>0</v>
      </c>
      <c r="J362" s="222">
        <v>0</v>
      </c>
    </row>
    <row r="363" spans="1:10" s="217" customFormat="1">
      <c r="A363" s="214" t="s">
        <v>174</v>
      </c>
      <c r="B363" s="214" t="s">
        <v>14</v>
      </c>
      <c r="C363" s="215">
        <v>0.27152777777777776</v>
      </c>
      <c r="D363" s="222">
        <v>0</v>
      </c>
      <c r="E363" s="222">
        <v>0</v>
      </c>
      <c r="F363" s="222">
        <v>0</v>
      </c>
      <c r="G363" s="222">
        <v>0</v>
      </c>
      <c r="H363" s="222">
        <v>0</v>
      </c>
      <c r="I363" s="222">
        <v>0</v>
      </c>
      <c r="J363" s="222">
        <v>0</v>
      </c>
    </row>
    <row r="364" spans="1:10" s="217" customFormat="1">
      <c r="A364" s="214" t="s">
        <v>174</v>
      </c>
      <c r="B364" s="214" t="s">
        <v>14</v>
      </c>
      <c r="C364" s="215">
        <v>0.27222222222222198</v>
      </c>
      <c r="D364" s="222">
        <v>0</v>
      </c>
      <c r="E364" s="222">
        <v>0</v>
      </c>
      <c r="F364" s="222">
        <v>0</v>
      </c>
      <c r="G364" s="222">
        <v>0</v>
      </c>
      <c r="H364" s="222">
        <v>0</v>
      </c>
      <c r="I364" s="222">
        <v>0</v>
      </c>
      <c r="J364" s="222">
        <v>0</v>
      </c>
    </row>
    <row r="365" spans="1:10" s="217" customFormat="1">
      <c r="A365" s="214" t="s">
        <v>174</v>
      </c>
      <c r="B365" s="214" t="s">
        <v>14</v>
      </c>
      <c r="C365" s="215">
        <v>0.27291666666666697</v>
      </c>
      <c r="D365" s="222">
        <v>0</v>
      </c>
      <c r="E365" s="222">
        <v>0</v>
      </c>
      <c r="F365" s="222">
        <v>0</v>
      </c>
      <c r="G365" s="222">
        <v>0</v>
      </c>
      <c r="H365" s="222">
        <v>0</v>
      </c>
      <c r="I365" s="222">
        <v>0</v>
      </c>
      <c r="J365" s="222">
        <v>0</v>
      </c>
    </row>
    <row r="366" spans="1:10" s="217" customFormat="1">
      <c r="A366" s="214" t="s">
        <v>174</v>
      </c>
      <c r="B366" s="214" t="s">
        <v>14</v>
      </c>
      <c r="C366" s="215">
        <v>0.27361111111111103</v>
      </c>
      <c r="D366" s="222">
        <v>0</v>
      </c>
      <c r="E366" s="222">
        <v>0</v>
      </c>
      <c r="F366" s="222">
        <v>0</v>
      </c>
      <c r="G366" s="222">
        <v>0</v>
      </c>
      <c r="H366" s="222">
        <v>0</v>
      </c>
      <c r="I366" s="222">
        <v>0</v>
      </c>
      <c r="J366" s="222">
        <v>0</v>
      </c>
    </row>
    <row r="367" spans="1:10" s="217" customFormat="1">
      <c r="A367" s="214" t="s">
        <v>174</v>
      </c>
      <c r="B367" s="214" t="s">
        <v>14</v>
      </c>
      <c r="C367" s="215">
        <v>0.27430555555555602</v>
      </c>
      <c r="D367" s="222">
        <v>0</v>
      </c>
      <c r="E367" s="222">
        <v>0</v>
      </c>
      <c r="F367" s="222">
        <v>0</v>
      </c>
      <c r="G367" s="222">
        <v>0</v>
      </c>
      <c r="H367" s="222">
        <v>0</v>
      </c>
      <c r="I367" s="222">
        <v>0</v>
      </c>
      <c r="J367" s="222">
        <v>0</v>
      </c>
    </row>
    <row r="368" spans="1:10" s="217" customFormat="1">
      <c r="A368" s="214" t="s">
        <v>174</v>
      </c>
      <c r="B368" s="214" t="s">
        <v>14</v>
      </c>
      <c r="C368" s="215">
        <v>0.27500000000000002</v>
      </c>
      <c r="D368" s="222">
        <v>0</v>
      </c>
      <c r="E368" s="222">
        <v>0</v>
      </c>
      <c r="F368" s="222">
        <v>0</v>
      </c>
      <c r="G368" s="222">
        <v>0</v>
      </c>
      <c r="H368" s="222">
        <v>0</v>
      </c>
      <c r="I368" s="222">
        <v>0</v>
      </c>
      <c r="J368" s="222">
        <v>0</v>
      </c>
    </row>
    <row r="369" spans="1:10" s="217" customFormat="1">
      <c r="A369" s="214" t="s">
        <v>174</v>
      </c>
      <c r="B369" s="214" t="s">
        <v>14</v>
      </c>
      <c r="C369" s="215">
        <v>0.27569444444444402</v>
      </c>
      <c r="D369" s="222">
        <v>0</v>
      </c>
      <c r="E369" s="222">
        <v>0</v>
      </c>
      <c r="F369" s="222">
        <v>0</v>
      </c>
      <c r="G369" s="222">
        <v>0</v>
      </c>
      <c r="H369" s="222">
        <v>0</v>
      </c>
      <c r="I369" s="222">
        <v>0</v>
      </c>
      <c r="J369" s="222">
        <v>0</v>
      </c>
    </row>
    <row r="370" spans="1:10" s="217" customFormat="1">
      <c r="A370" s="214" t="s">
        <v>174</v>
      </c>
      <c r="B370" s="214" t="s">
        <v>14</v>
      </c>
      <c r="C370" s="215">
        <v>0.27638888888888902</v>
      </c>
      <c r="D370" s="222">
        <v>0</v>
      </c>
      <c r="E370" s="222">
        <v>0</v>
      </c>
      <c r="F370" s="222">
        <v>0</v>
      </c>
      <c r="G370" s="222">
        <v>0</v>
      </c>
      <c r="H370" s="222">
        <v>0</v>
      </c>
      <c r="I370" s="222">
        <v>0</v>
      </c>
      <c r="J370" s="222">
        <v>0</v>
      </c>
    </row>
    <row r="371" spans="1:10" s="217" customFormat="1">
      <c r="A371" s="214" t="s">
        <v>174</v>
      </c>
      <c r="B371" s="214" t="s">
        <v>14</v>
      </c>
      <c r="C371" s="215">
        <v>0.27708333333333302</v>
      </c>
      <c r="D371" s="222">
        <v>0</v>
      </c>
      <c r="E371" s="222">
        <v>0</v>
      </c>
      <c r="F371" s="222">
        <v>0</v>
      </c>
      <c r="G371" s="222">
        <v>0</v>
      </c>
      <c r="H371" s="222">
        <v>0</v>
      </c>
      <c r="I371" s="222">
        <v>0</v>
      </c>
      <c r="J371" s="222">
        <v>0</v>
      </c>
    </row>
    <row r="372" spans="1:10" s="217" customFormat="1">
      <c r="A372" s="214" t="s">
        <v>174</v>
      </c>
      <c r="B372" s="214" t="s">
        <v>14</v>
      </c>
      <c r="C372" s="215">
        <v>0.27777777777777801</v>
      </c>
      <c r="D372" s="222">
        <v>0</v>
      </c>
      <c r="E372" s="222">
        <v>0</v>
      </c>
      <c r="F372" s="222">
        <v>0</v>
      </c>
      <c r="G372" s="222">
        <v>0</v>
      </c>
      <c r="H372" s="222">
        <v>0</v>
      </c>
      <c r="I372" s="222">
        <v>0</v>
      </c>
      <c r="J372" s="222">
        <v>0</v>
      </c>
    </row>
    <row r="373" spans="1:10" s="217" customFormat="1">
      <c r="A373" s="214" t="s">
        <v>174</v>
      </c>
      <c r="B373" s="214" t="s">
        <v>14</v>
      </c>
      <c r="C373" s="215">
        <v>0.27847222222222201</v>
      </c>
      <c r="D373" s="222">
        <v>0</v>
      </c>
      <c r="E373" s="222">
        <v>0</v>
      </c>
      <c r="F373" s="222">
        <v>0</v>
      </c>
      <c r="G373" s="222">
        <v>0</v>
      </c>
      <c r="H373" s="222">
        <v>0</v>
      </c>
      <c r="I373" s="222">
        <v>0</v>
      </c>
      <c r="J373" s="222">
        <v>0</v>
      </c>
    </row>
    <row r="374" spans="1:10" s="217" customFormat="1">
      <c r="A374" s="214" t="s">
        <v>174</v>
      </c>
      <c r="B374" s="214" t="s">
        <v>14</v>
      </c>
      <c r="C374" s="215">
        <v>0.27916666666666701</v>
      </c>
      <c r="D374" s="222">
        <v>0</v>
      </c>
      <c r="E374" s="222">
        <v>0</v>
      </c>
      <c r="F374" s="222">
        <v>0</v>
      </c>
      <c r="G374" s="222">
        <v>0</v>
      </c>
      <c r="H374" s="222">
        <v>0</v>
      </c>
      <c r="I374" s="222">
        <v>0</v>
      </c>
      <c r="J374" s="222">
        <v>0</v>
      </c>
    </row>
    <row r="375" spans="1:10" s="217" customFormat="1">
      <c r="A375" s="214" t="s">
        <v>174</v>
      </c>
      <c r="B375" s="214" t="s">
        <v>14</v>
      </c>
      <c r="C375" s="215">
        <v>0.27986111111111101</v>
      </c>
      <c r="D375" s="222">
        <v>0</v>
      </c>
      <c r="E375" s="222">
        <v>0</v>
      </c>
      <c r="F375" s="222">
        <v>0</v>
      </c>
      <c r="G375" s="222">
        <v>0</v>
      </c>
      <c r="H375" s="222">
        <v>0</v>
      </c>
      <c r="I375" s="222">
        <v>0</v>
      </c>
      <c r="J375" s="222">
        <v>0</v>
      </c>
    </row>
    <row r="376" spans="1:10" s="221" customFormat="1">
      <c r="A376" s="218" t="s">
        <v>174</v>
      </c>
      <c r="B376" s="218" t="s">
        <v>14</v>
      </c>
      <c r="C376" s="219">
        <v>0.280555555555556</v>
      </c>
      <c r="D376" s="223">
        <v>0</v>
      </c>
      <c r="E376" s="223">
        <v>0</v>
      </c>
      <c r="F376" s="223">
        <v>0</v>
      </c>
      <c r="G376" s="223">
        <v>0</v>
      </c>
      <c r="H376" s="223">
        <v>0</v>
      </c>
      <c r="I376" s="223">
        <v>0</v>
      </c>
      <c r="J376" s="223">
        <v>0</v>
      </c>
    </row>
    <row r="377" spans="1:10" s="217" customFormat="1">
      <c r="A377" s="214" t="s">
        <v>174</v>
      </c>
      <c r="B377" s="214" t="s">
        <v>14</v>
      </c>
      <c r="C377" s="215">
        <v>0.28125</v>
      </c>
      <c r="D377" s="222">
        <v>0</v>
      </c>
      <c r="E377" s="222">
        <v>0</v>
      </c>
      <c r="F377" s="222">
        <v>0</v>
      </c>
      <c r="G377" s="222">
        <v>0</v>
      </c>
      <c r="H377" s="222">
        <v>0</v>
      </c>
      <c r="I377" s="222">
        <v>0</v>
      </c>
      <c r="J377" s="222">
        <v>0</v>
      </c>
    </row>
    <row r="378" spans="1:10" s="217" customFormat="1">
      <c r="A378" s="214" t="s">
        <v>174</v>
      </c>
      <c r="B378" s="214" t="s">
        <v>14</v>
      </c>
      <c r="C378" s="215">
        <v>0.281944444444444</v>
      </c>
      <c r="D378" s="222">
        <v>0</v>
      </c>
      <c r="E378" s="222">
        <v>0</v>
      </c>
      <c r="F378" s="222">
        <v>0</v>
      </c>
      <c r="G378" s="222">
        <v>0</v>
      </c>
      <c r="H378" s="222">
        <v>0</v>
      </c>
      <c r="I378" s="222">
        <v>0</v>
      </c>
      <c r="J378" s="222">
        <v>0</v>
      </c>
    </row>
    <row r="379" spans="1:10" s="217" customFormat="1">
      <c r="A379" s="214" t="s">
        <v>174</v>
      </c>
      <c r="B379" s="214" t="s">
        <v>14</v>
      </c>
      <c r="C379" s="215">
        <v>0.28263888888888899</v>
      </c>
      <c r="D379" s="222">
        <v>0</v>
      </c>
      <c r="E379" s="222">
        <v>0</v>
      </c>
      <c r="F379" s="222">
        <v>0</v>
      </c>
      <c r="G379" s="222">
        <v>0</v>
      </c>
      <c r="H379" s="222">
        <v>0</v>
      </c>
      <c r="I379" s="222">
        <v>0</v>
      </c>
      <c r="J379" s="222">
        <v>0</v>
      </c>
    </row>
    <row r="380" spans="1:10" s="217" customFormat="1">
      <c r="A380" s="214" t="s">
        <v>174</v>
      </c>
      <c r="B380" s="214" t="s">
        <v>14</v>
      </c>
      <c r="C380" s="215">
        <v>0.28333333333333299</v>
      </c>
      <c r="D380" s="222">
        <v>0</v>
      </c>
      <c r="E380" s="222">
        <v>0</v>
      </c>
      <c r="F380" s="222">
        <v>0</v>
      </c>
      <c r="G380" s="222">
        <v>0</v>
      </c>
      <c r="H380" s="222">
        <v>0</v>
      </c>
      <c r="I380" s="222">
        <v>0</v>
      </c>
      <c r="J380" s="222">
        <v>0</v>
      </c>
    </row>
    <row r="381" spans="1:10" s="217" customFormat="1">
      <c r="A381" s="214" t="s">
        <v>174</v>
      </c>
      <c r="B381" s="214" t="s">
        <v>14</v>
      </c>
      <c r="C381" s="215">
        <v>0.28402777777777799</v>
      </c>
      <c r="D381" s="222">
        <v>0</v>
      </c>
      <c r="E381" s="222">
        <v>0</v>
      </c>
      <c r="F381" s="222">
        <v>0</v>
      </c>
      <c r="G381" s="222">
        <v>0</v>
      </c>
      <c r="H381" s="222">
        <v>0</v>
      </c>
      <c r="I381" s="222">
        <v>0</v>
      </c>
      <c r="J381" s="222">
        <v>0</v>
      </c>
    </row>
    <row r="382" spans="1:10" s="217" customFormat="1">
      <c r="A382" s="214" t="s">
        <v>174</v>
      </c>
      <c r="B382" s="214" t="s">
        <v>14</v>
      </c>
      <c r="C382" s="215">
        <v>0.28472222222222199</v>
      </c>
      <c r="D382" s="222">
        <v>0</v>
      </c>
      <c r="E382" s="222">
        <v>0</v>
      </c>
      <c r="F382" s="222">
        <v>0</v>
      </c>
      <c r="G382" s="222">
        <v>0</v>
      </c>
      <c r="H382" s="222">
        <v>0</v>
      </c>
      <c r="I382" s="222">
        <v>0</v>
      </c>
      <c r="J382" s="222">
        <v>0</v>
      </c>
    </row>
    <row r="383" spans="1:10" s="217" customFormat="1">
      <c r="A383" s="214" t="s">
        <v>174</v>
      </c>
      <c r="B383" s="214" t="s">
        <v>14</v>
      </c>
      <c r="C383" s="215">
        <v>0.28541666666666698</v>
      </c>
      <c r="D383" s="222">
        <v>0</v>
      </c>
      <c r="E383" s="222">
        <v>0</v>
      </c>
      <c r="F383" s="222">
        <v>0</v>
      </c>
      <c r="G383" s="222">
        <v>0</v>
      </c>
      <c r="H383" s="222">
        <v>0</v>
      </c>
      <c r="I383" s="222">
        <v>0</v>
      </c>
      <c r="J383" s="222">
        <v>0</v>
      </c>
    </row>
    <row r="384" spans="1:10" s="217" customFormat="1">
      <c r="A384" s="214" t="s">
        <v>174</v>
      </c>
      <c r="B384" s="214" t="s">
        <v>14</v>
      </c>
      <c r="C384" s="215">
        <v>0.28611111111111098</v>
      </c>
      <c r="D384" s="222">
        <v>0</v>
      </c>
      <c r="E384" s="222">
        <v>0</v>
      </c>
      <c r="F384" s="222">
        <v>0</v>
      </c>
      <c r="G384" s="222">
        <v>0</v>
      </c>
      <c r="H384" s="222">
        <v>0</v>
      </c>
      <c r="I384" s="222">
        <v>0</v>
      </c>
      <c r="J384" s="222">
        <v>0</v>
      </c>
    </row>
    <row r="385" spans="1:10" s="217" customFormat="1">
      <c r="A385" s="214" t="s">
        <v>174</v>
      </c>
      <c r="B385" s="214" t="s">
        <v>14</v>
      </c>
      <c r="C385" s="215">
        <v>0.28680555555555598</v>
      </c>
      <c r="D385" s="222">
        <v>0</v>
      </c>
      <c r="E385" s="222">
        <v>0</v>
      </c>
      <c r="F385" s="222">
        <v>0</v>
      </c>
      <c r="G385" s="222">
        <v>0</v>
      </c>
      <c r="H385" s="222">
        <v>0</v>
      </c>
      <c r="I385" s="222">
        <v>0</v>
      </c>
      <c r="J385" s="222">
        <v>0</v>
      </c>
    </row>
    <row r="386" spans="1:10" s="217" customFormat="1">
      <c r="A386" s="214" t="s">
        <v>174</v>
      </c>
      <c r="B386" s="214" t="s">
        <v>14</v>
      </c>
      <c r="C386" s="215">
        <v>0.28749999999999998</v>
      </c>
      <c r="D386" s="222">
        <v>0</v>
      </c>
      <c r="E386" s="222">
        <v>0</v>
      </c>
      <c r="F386" s="222">
        <v>0</v>
      </c>
      <c r="G386" s="222">
        <v>0</v>
      </c>
      <c r="H386" s="222">
        <v>0</v>
      </c>
      <c r="I386" s="222">
        <v>0</v>
      </c>
      <c r="J386" s="222">
        <v>0</v>
      </c>
    </row>
    <row r="387" spans="1:10" s="217" customFormat="1">
      <c r="A387" s="214" t="s">
        <v>174</v>
      </c>
      <c r="B387" s="214" t="s">
        <v>14</v>
      </c>
      <c r="C387" s="215">
        <v>0.28819444444444398</v>
      </c>
      <c r="D387" s="222">
        <v>0</v>
      </c>
      <c r="E387" s="222">
        <v>0</v>
      </c>
      <c r="F387" s="222">
        <v>0</v>
      </c>
      <c r="G387" s="222">
        <v>0</v>
      </c>
      <c r="H387" s="222">
        <v>0</v>
      </c>
      <c r="I387" s="222">
        <v>0</v>
      </c>
      <c r="J387" s="222">
        <v>0</v>
      </c>
    </row>
    <row r="388" spans="1:10" s="217" customFormat="1">
      <c r="A388" s="214" t="s">
        <v>174</v>
      </c>
      <c r="B388" s="214" t="s">
        <v>14</v>
      </c>
      <c r="C388" s="215">
        <v>0.28888888888888897</v>
      </c>
      <c r="D388" s="222">
        <v>0</v>
      </c>
      <c r="E388" s="222">
        <v>0</v>
      </c>
      <c r="F388" s="222">
        <v>0</v>
      </c>
      <c r="G388" s="222">
        <v>0</v>
      </c>
      <c r="H388" s="222">
        <v>0</v>
      </c>
      <c r="I388" s="222">
        <v>0</v>
      </c>
      <c r="J388" s="222">
        <v>0</v>
      </c>
    </row>
    <row r="389" spans="1:10" s="217" customFormat="1">
      <c r="A389" s="214" t="s">
        <v>174</v>
      </c>
      <c r="B389" s="214" t="s">
        <v>14</v>
      </c>
      <c r="C389" s="215">
        <v>0.28958333333333303</v>
      </c>
      <c r="D389" s="222">
        <v>0</v>
      </c>
      <c r="E389" s="222">
        <v>0</v>
      </c>
      <c r="F389" s="222">
        <v>0</v>
      </c>
      <c r="G389" s="222">
        <v>0</v>
      </c>
      <c r="H389" s="222">
        <v>0</v>
      </c>
      <c r="I389" s="222">
        <v>0</v>
      </c>
      <c r="J389" s="222">
        <v>0</v>
      </c>
    </row>
    <row r="390" spans="1:10" s="217" customFormat="1">
      <c r="A390" s="214" t="s">
        <v>174</v>
      </c>
      <c r="B390" s="214" t="s">
        <v>14</v>
      </c>
      <c r="C390" s="215">
        <v>0.29027777777777802</v>
      </c>
      <c r="D390" s="222">
        <v>0</v>
      </c>
      <c r="E390" s="222">
        <v>0</v>
      </c>
      <c r="F390" s="222">
        <v>0</v>
      </c>
      <c r="G390" s="222">
        <v>0</v>
      </c>
      <c r="H390" s="222">
        <v>0</v>
      </c>
      <c r="I390" s="222">
        <v>0</v>
      </c>
      <c r="J390" s="222">
        <v>0</v>
      </c>
    </row>
    <row r="391" spans="1:10" s="221" customFormat="1">
      <c r="A391" s="218" t="s">
        <v>174</v>
      </c>
      <c r="B391" s="218" t="s">
        <v>14</v>
      </c>
      <c r="C391" s="219">
        <v>0.29097222222222202</v>
      </c>
      <c r="D391" s="223">
        <v>0</v>
      </c>
      <c r="E391" s="223">
        <v>0</v>
      </c>
      <c r="F391" s="223">
        <v>0</v>
      </c>
      <c r="G391" s="223">
        <v>0</v>
      </c>
      <c r="H391" s="223">
        <v>0</v>
      </c>
      <c r="I391" s="223">
        <v>0</v>
      </c>
      <c r="J391" s="223">
        <v>0</v>
      </c>
    </row>
    <row r="392" spans="1:10" s="217" customFormat="1">
      <c r="A392" s="214" t="s">
        <v>174</v>
      </c>
      <c r="B392" s="214" t="s">
        <v>14</v>
      </c>
      <c r="C392" s="215">
        <v>0.29166666666666702</v>
      </c>
      <c r="D392" s="222">
        <v>0</v>
      </c>
      <c r="E392" s="222">
        <v>0</v>
      </c>
      <c r="F392" s="222">
        <v>0</v>
      </c>
      <c r="G392" s="222">
        <v>0</v>
      </c>
      <c r="H392" s="222">
        <v>0</v>
      </c>
      <c r="I392" s="222">
        <v>0</v>
      </c>
      <c r="J392" s="222">
        <v>0</v>
      </c>
    </row>
    <row r="393" spans="1:10" s="217" customFormat="1">
      <c r="A393" s="214" t="s">
        <v>174</v>
      </c>
      <c r="B393" s="214" t="s">
        <v>14</v>
      </c>
      <c r="C393" s="215">
        <v>0.29236111111111102</v>
      </c>
      <c r="D393" s="222">
        <v>0</v>
      </c>
      <c r="E393" s="222">
        <v>0</v>
      </c>
      <c r="F393" s="222">
        <v>0</v>
      </c>
      <c r="G393" s="222">
        <v>0</v>
      </c>
      <c r="H393" s="222">
        <v>0</v>
      </c>
      <c r="I393" s="222">
        <v>0</v>
      </c>
      <c r="J393" s="222">
        <v>0</v>
      </c>
    </row>
    <row r="394" spans="1:10" s="217" customFormat="1">
      <c r="A394" s="214" t="s">
        <v>174</v>
      </c>
      <c r="B394" s="214" t="s">
        <v>14</v>
      </c>
      <c r="C394" s="215">
        <v>0.29305555555555501</v>
      </c>
      <c r="D394" s="222">
        <v>0</v>
      </c>
      <c r="E394" s="222">
        <v>0</v>
      </c>
      <c r="F394" s="222">
        <v>0</v>
      </c>
      <c r="G394" s="222">
        <v>0</v>
      </c>
      <c r="H394" s="222">
        <v>0</v>
      </c>
      <c r="I394" s="222">
        <v>0</v>
      </c>
      <c r="J394" s="222">
        <v>0</v>
      </c>
    </row>
    <row r="395" spans="1:10" s="217" customFormat="1">
      <c r="A395" s="214" t="s">
        <v>174</v>
      </c>
      <c r="B395" s="214" t="s">
        <v>14</v>
      </c>
      <c r="C395" s="215">
        <v>0.29375000000000001</v>
      </c>
      <c r="D395" s="222">
        <v>0</v>
      </c>
      <c r="E395" s="222">
        <v>0</v>
      </c>
      <c r="F395" s="222">
        <v>0</v>
      </c>
      <c r="G395" s="222">
        <v>0</v>
      </c>
      <c r="H395" s="222">
        <v>0</v>
      </c>
      <c r="I395" s="222">
        <v>0</v>
      </c>
      <c r="J395" s="222">
        <v>0</v>
      </c>
    </row>
    <row r="396" spans="1:10" s="217" customFormat="1">
      <c r="A396" s="214" t="s">
        <v>174</v>
      </c>
      <c r="B396" s="214" t="s">
        <v>14</v>
      </c>
      <c r="C396" s="215">
        <v>0.29444444444444401</v>
      </c>
      <c r="D396" s="222">
        <v>0</v>
      </c>
      <c r="E396" s="222">
        <v>0</v>
      </c>
      <c r="F396" s="222">
        <v>0</v>
      </c>
      <c r="G396" s="222">
        <v>0</v>
      </c>
      <c r="H396" s="222">
        <v>0</v>
      </c>
      <c r="I396" s="222">
        <v>0</v>
      </c>
      <c r="J396" s="222">
        <v>0</v>
      </c>
    </row>
    <row r="397" spans="1:10" s="217" customFormat="1">
      <c r="A397" s="214" t="s">
        <v>174</v>
      </c>
      <c r="B397" s="214" t="s">
        <v>14</v>
      </c>
      <c r="C397" s="215">
        <v>0.29513888888888901</v>
      </c>
      <c r="D397" s="222">
        <v>0</v>
      </c>
      <c r="E397" s="222">
        <v>0</v>
      </c>
      <c r="F397" s="222">
        <v>0</v>
      </c>
      <c r="G397" s="222">
        <v>0</v>
      </c>
      <c r="H397" s="222">
        <v>0</v>
      </c>
      <c r="I397" s="222">
        <v>0</v>
      </c>
      <c r="J397" s="222">
        <v>0</v>
      </c>
    </row>
    <row r="398" spans="1:10" s="217" customFormat="1">
      <c r="A398" s="214" t="s">
        <v>174</v>
      </c>
      <c r="B398" s="214" t="s">
        <v>14</v>
      </c>
      <c r="C398" s="215">
        <v>0.295833333333333</v>
      </c>
      <c r="D398" s="222">
        <v>0</v>
      </c>
      <c r="E398" s="222">
        <v>0</v>
      </c>
      <c r="F398" s="222">
        <v>0</v>
      </c>
      <c r="G398" s="222">
        <v>0</v>
      </c>
      <c r="H398" s="222">
        <v>0</v>
      </c>
      <c r="I398" s="222">
        <v>0</v>
      </c>
      <c r="J398" s="222">
        <v>0</v>
      </c>
    </row>
    <row r="399" spans="1:10" s="217" customFormat="1">
      <c r="A399" s="214" t="s">
        <v>174</v>
      </c>
      <c r="B399" s="214" t="s">
        <v>14</v>
      </c>
      <c r="C399" s="215">
        <v>0.296527777777778</v>
      </c>
      <c r="D399" s="222">
        <v>0</v>
      </c>
      <c r="E399" s="222">
        <v>0</v>
      </c>
      <c r="F399" s="222">
        <v>0</v>
      </c>
      <c r="G399" s="222">
        <v>0</v>
      </c>
      <c r="H399" s="222">
        <v>0</v>
      </c>
      <c r="I399" s="222">
        <v>0</v>
      </c>
      <c r="J399" s="222">
        <v>0</v>
      </c>
    </row>
    <row r="400" spans="1:10" s="217" customFormat="1">
      <c r="A400" s="214" t="s">
        <v>174</v>
      </c>
      <c r="B400" s="214" t="s">
        <v>14</v>
      </c>
      <c r="C400" s="215">
        <v>0.297222222222222</v>
      </c>
      <c r="D400" s="222">
        <v>0</v>
      </c>
      <c r="E400" s="222">
        <v>0</v>
      </c>
      <c r="F400" s="222">
        <v>0</v>
      </c>
      <c r="G400" s="222">
        <v>0</v>
      </c>
      <c r="H400" s="222">
        <v>0</v>
      </c>
      <c r="I400" s="222">
        <v>0</v>
      </c>
      <c r="J400" s="222">
        <v>0</v>
      </c>
    </row>
    <row r="401" spans="1:10" s="217" customFormat="1">
      <c r="A401" s="214" t="s">
        <v>174</v>
      </c>
      <c r="B401" s="214" t="s">
        <v>14</v>
      </c>
      <c r="C401" s="215">
        <v>0.297916666666666</v>
      </c>
      <c r="D401" s="222">
        <v>0</v>
      </c>
      <c r="E401" s="222">
        <v>0</v>
      </c>
      <c r="F401" s="222">
        <v>0</v>
      </c>
      <c r="G401" s="222">
        <v>0</v>
      </c>
      <c r="H401" s="222">
        <v>0</v>
      </c>
      <c r="I401" s="222">
        <v>0</v>
      </c>
      <c r="J401" s="222">
        <v>0</v>
      </c>
    </row>
    <row r="402" spans="1:10" s="217" customFormat="1">
      <c r="A402" s="214" t="s">
        <v>174</v>
      </c>
      <c r="B402" s="214" t="s">
        <v>14</v>
      </c>
      <c r="C402" s="215">
        <v>0.29861111111111099</v>
      </c>
      <c r="D402" s="222">
        <v>0</v>
      </c>
      <c r="E402" s="222">
        <v>0</v>
      </c>
      <c r="F402" s="222">
        <v>0</v>
      </c>
      <c r="G402" s="222">
        <v>0</v>
      </c>
      <c r="H402" s="222">
        <v>0</v>
      </c>
      <c r="I402" s="222">
        <v>0</v>
      </c>
      <c r="J402" s="222">
        <v>0</v>
      </c>
    </row>
    <row r="403" spans="1:10" s="217" customFormat="1">
      <c r="A403" s="214" t="s">
        <v>174</v>
      </c>
      <c r="B403" s="214" t="s">
        <v>14</v>
      </c>
      <c r="C403" s="215">
        <v>0.29930555555555499</v>
      </c>
      <c r="D403" s="222">
        <v>0</v>
      </c>
      <c r="E403" s="222">
        <v>0</v>
      </c>
      <c r="F403" s="222">
        <v>0</v>
      </c>
      <c r="G403" s="222">
        <v>0</v>
      </c>
      <c r="H403" s="222">
        <v>0</v>
      </c>
      <c r="I403" s="222">
        <v>0</v>
      </c>
      <c r="J403" s="222">
        <v>0</v>
      </c>
    </row>
    <row r="404" spans="1:10" s="217" customFormat="1">
      <c r="A404" s="214" t="s">
        <v>174</v>
      </c>
      <c r="B404" s="214" t="s">
        <v>14</v>
      </c>
      <c r="C404" s="215">
        <v>0.3</v>
      </c>
      <c r="D404" s="222">
        <v>0</v>
      </c>
      <c r="E404" s="222">
        <v>0</v>
      </c>
      <c r="F404" s="222">
        <v>0</v>
      </c>
      <c r="G404" s="222">
        <v>0</v>
      </c>
      <c r="H404" s="222">
        <v>0</v>
      </c>
      <c r="I404" s="222">
        <v>0</v>
      </c>
      <c r="J404" s="222">
        <v>0</v>
      </c>
    </row>
    <row r="405" spans="1:10" s="217" customFormat="1">
      <c r="A405" s="214" t="s">
        <v>174</v>
      </c>
      <c r="B405" s="214" t="s">
        <v>14</v>
      </c>
      <c r="C405" s="215">
        <v>0.30069444444444399</v>
      </c>
      <c r="D405" s="222">
        <v>0</v>
      </c>
      <c r="E405" s="222">
        <v>0</v>
      </c>
      <c r="F405" s="222">
        <v>0</v>
      </c>
      <c r="G405" s="222">
        <v>0</v>
      </c>
      <c r="H405" s="222">
        <v>0</v>
      </c>
      <c r="I405" s="222">
        <v>0</v>
      </c>
      <c r="J405" s="222">
        <v>0</v>
      </c>
    </row>
    <row r="406" spans="1:10" s="221" customFormat="1">
      <c r="A406" s="218" t="s">
        <v>174</v>
      </c>
      <c r="B406" s="218" t="s">
        <v>14</v>
      </c>
      <c r="C406" s="219">
        <v>0.30138888888888898</v>
      </c>
      <c r="D406" s="223">
        <v>0</v>
      </c>
      <c r="E406" s="223">
        <v>0</v>
      </c>
      <c r="F406" s="223">
        <v>0</v>
      </c>
      <c r="G406" s="223">
        <v>0</v>
      </c>
      <c r="H406" s="223">
        <v>0</v>
      </c>
      <c r="I406" s="223">
        <v>0</v>
      </c>
      <c r="J406" s="223">
        <v>0</v>
      </c>
    </row>
    <row r="407" spans="1:10" s="217" customFormat="1">
      <c r="A407" s="214" t="s">
        <v>174</v>
      </c>
      <c r="B407" s="214" t="s">
        <v>14</v>
      </c>
      <c r="C407" s="215">
        <v>0.30208333333333298</v>
      </c>
      <c r="D407" s="222">
        <v>0</v>
      </c>
      <c r="E407" s="222">
        <v>0</v>
      </c>
      <c r="F407" s="222">
        <v>0</v>
      </c>
      <c r="G407" s="222">
        <v>0</v>
      </c>
      <c r="H407" s="222">
        <v>0</v>
      </c>
      <c r="I407" s="222">
        <v>0</v>
      </c>
      <c r="J407" s="222">
        <v>0</v>
      </c>
    </row>
    <row r="408" spans="1:10" s="217" customFormat="1">
      <c r="A408" s="214" t="s">
        <v>174</v>
      </c>
      <c r="B408" s="214" t="s">
        <v>14</v>
      </c>
      <c r="C408" s="215">
        <v>0.30277777777777798</v>
      </c>
      <c r="D408" s="222">
        <v>0</v>
      </c>
      <c r="E408" s="222">
        <v>0</v>
      </c>
      <c r="F408" s="222">
        <v>0</v>
      </c>
      <c r="G408" s="222">
        <v>0</v>
      </c>
      <c r="H408" s="222">
        <v>0</v>
      </c>
      <c r="I408" s="222">
        <v>0</v>
      </c>
      <c r="J408" s="222">
        <v>0</v>
      </c>
    </row>
    <row r="409" spans="1:10" s="217" customFormat="1">
      <c r="A409" s="214" t="s">
        <v>174</v>
      </c>
      <c r="B409" s="214" t="s">
        <v>14</v>
      </c>
      <c r="C409" s="215">
        <v>0.30347222222222198</v>
      </c>
      <c r="D409" s="222">
        <v>0</v>
      </c>
      <c r="E409" s="222">
        <v>0</v>
      </c>
      <c r="F409" s="222">
        <v>0</v>
      </c>
      <c r="G409" s="222">
        <v>0</v>
      </c>
      <c r="H409" s="222">
        <v>0</v>
      </c>
      <c r="I409" s="222">
        <v>0</v>
      </c>
      <c r="J409" s="222">
        <v>0</v>
      </c>
    </row>
    <row r="410" spans="1:10" s="217" customFormat="1">
      <c r="A410" s="214" t="s">
        <v>174</v>
      </c>
      <c r="B410" s="214" t="s">
        <v>14</v>
      </c>
      <c r="C410" s="215">
        <v>0.30416666666666697</v>
      </c>
      <c r="D410" s="222">
        <v>0</v>
      </c>
      <c r="E410" s="222">
        <v>0</v>
      </c>
      <c r="F410" s="222">
        <v>0</v>
      </c>
      <c r="G410" s="222">
        <v>0</v>
      </c>
      <c r="H410" s="222">
        <v>0</v>
      </c>
      <c r="I410" s="222">
        <v>0</v>
      </c>
      <c r="J410" s="222">
        <v>0</v>
      </c>
    </row>
    <row r="411" spans="1:10" s="217" customFormat="1">
      <c r="A411" s="214" t="s">
        <v>174</v>
      </c>
      <c r="B411" s="214" t="s">
        <v>14</v>
      </c>
      <c r="C411" s="215">
        <v>0.30486111111111103</v>
      </c>
      <c r="D411" s="222">
        <v>0</v>
      </c>
      <c r="E411" s="222">
        <v>0</v>
      </c>
      <c r="F411" s="222">
        <v>0</v>
      </c>
      <c r="G411" s="222">
        <v>0</v>
      </c>
      <c r="H411" s="222">
        <v>0</v>
      </c>
      <c r="I411" s="222">
        <v>0</v>
      </c>
      <c r="J411" s="222">
        <v>0</v>
      </c>
    </row>
    <row r="412" spans="1:10" s="217" customFormat="1">
      <c r="A412" s="214" t="s">
        <v>174</v>
      </c>
      <c r="B412" s="214" t="s">
        <v>14</v>
      </c>
      <c r="C412" s="215">
        <v>0.30555555555555503</v>
      </c>
      <c r="D412" s="222">
        <v>0</v>
      </c>
      <c r="E412" s="222">
        <v>0</v>
      </c>
      <c r="F412" s="222">
        <v>0</v>
      </c>
      <c r="G412" s="222">
        <v>0</v>
      </c>
      <c r="H412" s="222">
        <v>0</v>
      </c>
      <c r="I412" s="222">
        <v>0</v>
      </c>
      <c r="J412" s="222">
        <v>0</v>
      </c>
    </row>
    <row r="413" spans="1:10" s="217" customFormat="1">
      <c r="A413" s="214" t="s">
        <v>174</v>
      </c>
      <c r="B413" s="214" t="s">
        <v>14</v>
      </c>
      <c r="C413" s="215">
        <v>0.30625000000000002</v>
      </c>
      <c r="D413" s="222">
        <v>0</v>
      </c>
      <c r="E413" s="222">
        <v>0</v>
      </c>
      <c r="F413" s="222">
        <v>0</v>
      </c>
      <c r="G413" s="222">
        <v>0</v>
      </c>
      <c r="H413" s="222">
        <v>0</v>
      </c>
      <c r="I413" s="222">
        <v>0</v>
      </c>
      <c r="J413" s="222">
        <v>0</v>
      </c>
    </row>
    <row r="414" spans="1:10" s="217" customFormat="1">
      <c r="A414" s="214" t="s">
        <v>174</v>
      </c>
      <c r="B414" s="214" t="s">
        <v>14</v>
      </c>
      <c r="C414" s="215">
        <v>0.30694444444444402</v>
      </c>
      <c r="D414" s="222">
        <v>0</v>
      </c>
      <c r="E414" s="222">
        <v>0</v>
      </c>
      <c r="F414" s="222">
        <v>0</v>
      </c>
      <c r="G414" s="222">
        <v>0</v>
      </c>
      <c r="H414" s="222">
        <v>0</v>
      </c>
      <c r="I414" s="222">
        <v>0</v>
      </c>
      <c r="J414" s="222">
        <v>0</v>
      </c>
    </row>
    <row r="415" spans="1:10" s="217" customFormat="1">
      <c r="A415" s="214" t="s">
        <v>174</v>
      </c>
      <c r="B415" s="214" t="s">
        <v>14</v>
      </c>
      <c r="C415" s="215">
        <v>0.30763888888888902</v>
      </c>
      <c r="D415" s="222">
        <v>0</v>
      </c>
      <c r="E415" s="222">
        <v>0</v>
      </c>
      <c r="F415" s="222">
        <v>0</v>
      </c>
      <c r="G415" s="222">
        <v>0</v>
      </c>
      <c r="H415" s="222">
        <v>0</v>
      </c>
      <c r="I415" s="222">
        <v>0</v>
      </c>
      <c r="J415" s="222">
        <v>0</v>
      </c>
    </row>
    <row r="416" spans="1:10" s="217" customFormat="1">
      <c r="A416" s="214" t="s">
        <v>174</v>
      </c>
      <c r="B416" s="214" t="s">
        <v>14</v>
      </c>
      <c r="C416" s="215">
        <v>0.30833333333333302</v>
      </c>
      <c r="D416" s="222">
        <v>0</v>
      </c>
      <c r="E416" s="222">
        <v>0</v>
      </c>
      <c r="F416" s="222">
        <v>0</v>
      </c>
      <c r="G416" s="222">
        <v>0</v>
      </c>
      <c r="H416" s="222">
        <v>0</v>
      </c>
      <c r="I416" s="222">
        <v>0</v>
      </c>
      <c r="J416" s="222">
        <v>0</v>
      </c>
    </row>
    <row r="417" spans="1:10" s="217" customFormat="1">
      <c r="A417" s="214" t="s">
        <v>174</v>
      </c>
      <c r="B417" s="214" t="s">
        <v>14</v>
      </c>
      <c r="C417" s="215">
        <v>0.30902777777777801</v>
      </c>
      <c r="D417" s="222">
        <v>0</v>
      </c>
      <c r="E417" s="222">
        <v>0</v>
      </c>
      <c r="F417" s="222">
        <v>0</v>
      </c>
      <c r="G417" s="222">
        <v>0</v>
      </c>
      <c r="H417" s="222">
        <v>0</v>
      </c>
      <c r="I417" s="222">
        <v>0</v>
      </c>
      <c r="J417" s="222">
        <v>0</v>
      </c>
    </row>
    <row r="418" spans="1:10" s="217" customFormat="1">
      <c r="A418" s="214" t="s">
        <v>174</v>
      </c>
      <c r="B418" s="214" t="s">
        <v>14</v>
      </c>
      <c r="C418" s="215">
        <v>0.30972222222222201</v>
      </c>
      <c r="D418" s="222">
        <v>0</v>
      </c>
      <c r="E418" s="222">
        <v>0</v>
      </c>
      <c r="F418" s="222">
        <v>0</v>
      </c>
      <c r="G418" s="222">
        <v>0</v>
      </c>
      <c r="H418" s="222">
        <v>0</v>
      </c>
      <c r="I418" s="222">
        <v>0</v>
      </c>
      <c r="J418" s="222">
        <v>0</v>
      </c>
    </row>
    <row r="419" spans="1:10" s="217" customFormat="1">
      <c r="A419" s="214" t="s">
        <v>174</v>
      </c>
      <c r="B419" s="214" t="s">
        <v>14</v>
      </c>
      <c r="C419" s="215">
        <v>0.31041666666666701</v>
      </c>
      <c r="D419" s="222">
        <v>0</v>
      </c>
      <c r="E419" s="222">
        <v>0</v>
      </c>
      <c r="F419" s="222">
        <v>0</v>
      </c>
      <c r="G419" s="222">
        <v>0</v>
      </c>
      <c r="H419" s="222">
        <v>0</v>
      </c>
      <c r="I419" s="222">
        <v>0</v>
      </c>
      <c r="J419" s="222">
        <v>0</v>
      </c>
    </row>
    <row r="420" spans="1:10" s="217" customFormat="1">
      <c r="A420" s="214" t="s">
        <v>174</v>
      </c>
      <c r="B420" s="214" t="s">
        <v>14</v>
      </c>
      <c r="C420" s="215">
        <v>0.31111111111111101</v>
      </c>
      <c r="D420" s="222">
        <v>0</v>
      </c>
      <c r="E420" s="222">
        <v>0</v>
      </c>
      <c r="F420" s="222">
        <v>0</v>
      </c>
      <c r="G420" s="222">
        <v>0</v>
      </c>
      <c r="H420" s="222">
        <v>0</v>
      </c>
      <c r="I420" s="222">
        <v>0</v>
      </c>
      <c r="J420" s="222">
        <v>0</v>
      </c>
    </row>
    <row r="421" spans="1:10" s="221" customFormat="1">
      <c r="A421" s="218" t="s">
        <v>174</v>
      </c>
      <c r="B421" s="218" t="s">
        <v>14</v>
      </c>
      <c r="C421" s="219">
        <v>0.311805555555555</v>
      </c>
      <c r="D421" s="223">
        <v>0</v>
      </c>
      <c r="E421" s="223">
        <v>0</v>
      </c>
      <c r="F421" s="223">
        <v>0</v>
      </c>
      <c r="G421" s="223">
        <v>0</v>
      </c>
      <c r="H421" s="223">
        <v>0</v>
      </c>
      <c r="I421" s="223">
        <v>0</v>
      </c>
      <c r="J421" s="223">
        <v>0</v>
      </c>
    </row>
    <row r="422" spans="1:10" s="217" customFormat="1">
      <c r="A422" s="214" t="s">
        <v>174</v>
      </c>
      <c r="B422" s="214" t="s">
        <v>14</v>
      </c>
      <c r="C422" s="215">
        <v>0.3125</v>
      </c>
      <c r="D422" s="222">
        <v>0</v>
      </c>
      <c r="E422" s="222">
        <v>0</v>
      </c>
      <c r="F422" s="222">
        <v>0</v>
      </c>
      <c r="G422" s="222">
        <v>0</v>
      </c>
      <c r="H422" s="222">
        <v>0</v>
      </c>
      <c r="I422" s="222">
        <v>0</v>
      </c>
      <c r="J422" s="222">
        <v>0</v>
      </c>
    </row>
    <row r="423" spans="1:10" s="217" customFormat="1">
      <c r="A423" s="214" t="s">
        <v>174</v>
      </c>
      <c r="B423" s="214" t="s">
        <v>14</v>
      </c>
      <c r="C423" s="215">
        <v>0.313194444444444</v>
      </c>
      <c r="D423" s="222">
        <v>0</v>
      </c>
      <c r="E423" s="222">
        <v>0</v>
      </c>
      <c r="F423" s="222">
        <v>0</v>
      </c>
      <c r="G423" s="222">
        <v>0</v>
      </c>
      <c r="H423" s="222">
        <v>0</v>
      </c>
      <c r="I423" s="222">
        <v>0</v>
      </c>
      <c r="J423" s="222">
        <v>0</v>
      </c>
    </row>
    <row r="424" spans="1:10" s="217" customFormat="1">
      <c r="A424" s="214" t="s">
        <v>174</v>
      </c>
      <c r="B424" s="214" t="s">
        <v>14</v>
      </c>
      <c r="C424" s="215">
        <v>0.31388888888888899</v>
      </c>
      <c r="D424" s="222">
        <v>0</v>
      </c>
      <c r="E424" s="222">
        <v>0</v>
      </c>
      <c r="F424" s="222">
        <v>0</v>
      </c>
      <c r="G424" s="222">
        <v>0</v>
      </c>
      <c r="H424" s="222">
        <v>0</v>
      </c>
      <c r="I424" s="222">
        <v>0</v>
      </c>
      <c r="J424" s="222">
        <v>0</v>
      </c>
    </row>
    <row r="425" spans="1:10" s="217" customFormat="1">
      <c r="A425" s="214" t="s">
        <v>174</v>
      </c>
      <c r="B425" s="214" t="s">
        <v>14</v>
      </c>
      <c r="C425" s="215">
        <v>0.31458333333333299</v>
      </c>
      <c r="D425" s="222">
        <v>0</v>
      </c>
      <c r="E425" s="222">
        <v>0</v>
      </c>
      <c r="F425" s="222">
        <v>0</v>
      </c>
      <c r="G425" s="222">
        <v>0</v>
      </c>
      <c r="H425" s="222">
        <v>0</v>
      </c>
      <c r="I425" s="222">
        <v>0</v>
      </c>
      <c r="J425" s="222">
        <v>0</v>
      </c>
    </row>
    <row r="426" spans="1:10" s="217" customFormat="1">
      <c r="A426" s="214" t="s">
        <v>174</v>
      </c>
      <c r="B426" s="214" t="s">
        <v>14</v>
      </c>
      <c r="C426" s="215">
        <v>0.31527777777777799</v>
      </c>
      <c r="D426" s="222">
        <v>0</v>
      </c>
      <c r="E426" s="222">
        <v>0</v>
      </c>
      <c r="F426" s="222">
        <v>0</v>
      </c>
      <c r="G426" s="222">
        <v>0</v>
      </c>
      <c r="H426" s="222">
        <v>0</v>
      </c>
      <c r="I426" s="222">
        <v>0</v>
      </c>
      <c r="J426" s="222">
        <v>0</v>
      </c>
    </row>
    <row r="427" spans="1:10" s="217" customFormat="1">
      <c r="A427" s="214" t="s">
        <v>174</v>
      </c>
      <c r="B427" s="214" t="s">
        <v>14</v>
      </c>
      <c r="C427" s="215">
        <v>0.31597222222222199</v>
      </c>
      <c r="D427" s="222">
        <v>0</v>
      </c>
      <c r="E427" s="222">
        <v>0</v>
      </c>
      <c r="F427" s="222">
        <v>0</v>
      </c>
      <c r="G427" s="222">
        <v>0</v>
      </c>
      <c r="H427" s="222">
        <v>0</v>
      </c>
      <c r="I427" s="222">
        <v>0</v>
      </c>
      <c r="J427" s="222">
        <v>0</v>
      </c>
    </row>
    <row r="428" spans="1:10" s="217" customFormat="1">
      <c r="A428" s="214" t="s">
        <v>174</v>
      </c>
      <c r="B428" s="214" t="s">
        <v>14</v>
      </c>
      <c r="C428" s="215">
        <v>0.31666666666666698</v>
      </c>
      <c r="D428" s="222">
        <v>0</v>
      </c>
      <c r="E428" s="222">
        <v>0</v>
      </c>
      <c r="F428" s="222">
        <v>0</v>
      </c>
      <c r="G428" s="222">
        <v>0</v>
      </c>
      <c r="H428" s="222">
        <v>0</v>
      </c>
      <c r="I428" s="222">
        <v>0</v>
      </c>
      <c r="J428" s="222">
        <v>0</v>
      </c>
    </row>
    <row r="429" spans="1:10" s="217" customFormat="1">
      <c r="A429" s="214" t="s">
        <v>174</v>
      </c>
      <c r="B429" s="214" t="s">
        <v>14</v>
      </c>
      <c r="C429" s="215">
        <v>0.31736111111111098</v>
      </c>
      <c r="D429" s="222">
        <v>0</v>
      </c>
      <c r="E429" s="222">
        <v>0</v>
      </c>
      <c r="F429" s="222">
        <v>0</v>
      </c>
      <c r="G429" s="222">
        <v>0</v>
      </c>
      <c r="H429" s="222">
        <v>0</v>
      </c>
      <c r="I429" s="222">
        <v>0</v>
      </c>
      <c r="J429" s="222">
        <v>0</v>
      </c>
    </row>
    <row r="430" spans="1:10" s="217" customFormat="1">
      <c r="A430" s="214" t="s">
        <v>174</v>
      </c>
      <c r="B430" s="214" t="s">
        <v>14</v>
      </c>
      <c r="C430" s="215">
        <v>0.31805555555555498</v>
      </c>
      <c r="D430" s="222">
        <v>0</v>
      </c>
      <c r="E430" s="222">
        <v>0</v>
      </c>
      <c r="F430" s="222">
        <v>0</v>
      </c>
      <c r="G430" s="222">
        <v>0</v>
      </c>
      <c r="H430" s="222">
        <v>0</v>
      </c>
      <c r="I430" s="222">
        <v>0</v>
      </c>
      <c r="J430" s="222">
        <v>0</v>
      </c>
    </row>
    <row r="431" spans="1:10" s="217" customFormat="1">
      <c r="A431" s="214" t="s">
        <v>174</v>
      </c>
      <c r="B431" s="214" t="s">
        <v>14</v>
      </c>
      <c r="C431" s="215">
        <v>0.31874999999999998</v>
      </c>
      <c r="D431" s="222">
        <v>0</v>
      </c>
      <c r="E431" s="222">
        <v>0</v>
      </c>
      <c r="F431" s="222">
        <v>0</v>
      </c>
      <c r="G431" s="222">
        <v>0</v>
      </c>
      <c r="H431" s="222">
        <v>0</v>
      </c>
      <c r="I431" s="222">
        <v>0</v>
      </c>
      <c r="J431" s="222">
        <v>0</v>
      </c>
    </row>
    <row r="432" spans="1:10" s="217" customFormat="1">
      <c r="A432" s="214" t="s">
        <v>174</v>
      </c>
      <c r="B432" s="214" t="s">
        <v>14</v>
      </c>
      <c r="C432" s="215">
        <v>0.31944444444444398</v>
      </c>
      <c r="D432" s="222">
        <v>0</v>
      </c>
      <c r="E432" s="222">
        <v>0</v>
      </c>
      <c r="F432" s="222">
        <v>0</v>
      </c>
      <c r="G432" s="222">
        <v>0</v>
      </c>
      <c r="H432" s="222">
        <v>0</v>
      </c>
      <c r="I432" s="222">
        <v>0</v>
      </c>
      <c r="J432" s="222">
        <v>0</v>
      </c>
    </row>
    <row r="433" spans="1:10" s="217" customFormat="1">
      <c r="A433" s="214" t="s">
        <v>174</v>
      </c>
      <c r="B433" s="214" t="s">
        <v>14</v>
      </c>
      <c r="C433" s="215">
        <v>0.32013888888888897</v>
      </c>
      <c r="D433" s="222">
        <v>0</v>
      </c>
      <c r="E433" s="222">
        <v>0</v>
      </c>
      <c r="F433" s="222">
        <v>0</v>
      </c>
      <c r="G433" s="222">
        <v>0</v>
      </c>
      <c r="H433" s="222">
        <v>0</v>
      </c>
      <c r="I433" s="222">
        <v>0</v>
      </c>
      <c r="J433" s="222">
        <v>0</v>
      </c>
    </row>
    <row r="434" spans="1:10" s="217" customFormat="1">
      <c r="A434" s="214" t="s">
        <v>174</v>
      </c>
      <c r="B434" s="214" t="s">
        <v>14</v>
      </c>
      <c r="C434" s="215">
        <v>0.32083333333333303</v>
      </c>
      <c r="D434" s="222">
        <v>0</v>
      </c>
      <c r="E434" s="222">
        <v>0</v>
      </c>
      <c r="F434" s="222">
        <v>0</v>
      </c>
      <c r="G434" s="222">
        <v>0</v>
      </c>
      <c r="H434" s="222">
        <v>0</v>
      </c>
      <c r="I434" s="222">
        <v>0</v>
      </c>
      <c r="J434" s="222">
        <v>0</v>
      </c>
    </row>
    <row r="435" spans="1:10" s="217" customFormat="1">
      <c r="A435" s="214" t="s">
        <v>174</v>
      </c>
      <c r="B435" s="214" t="s">
        <v>14</v>
      </c>
      <c r="C435" s="215">
        <v>0.32152777777777802</v>
      </c>
      <c r="D435" s="222">
        <v>0</v>
      </c>
      <c r="E435" s="222">
        <v>0</v>
      </c>
      <c r="F435" s="222">
        <v>0</v>
      </c>
      <c r="G435" s="222">
        <v>0</v>
      </c>
      <c r="H435" s="222">
        <v>0</v>
      </c>
      <c r="I435" s="222">
        <v>0</v>
      </c>
      <c r="J435" s="222">
        <v>0</v>
      </c>
    </row>
    <row r="436" spans="1:10" s="221" customFormat="1">
      <c r="A436" s="218" t="s">
        <v>174</v>
      </c>
      <c r="B436" s="218" t="s">
        <v>14</v>
      </c>
      <c r="C436" s="219">
        <v>0.32222222222222202</v>
      </c>
      <c r="D436" s="223">
        <v>0</v>
      </c>
      <c r="E436" s="223">
        <v>0</v>
      </c>
      <c r="F436" s="223">
        <v>0</v>
      </c>
      <c r="G436" s="223">
        <v>0</v>
      </c>
      <c r="H436" s="223">
        <v>0</v>
      </c>
      <c r="I436" s="223">
        <v>0</v>
      </c>
      <c r="J436" s="223">
        <v>0</v>
      </c>
    </row>
    <row r="437" spans="1:10" s="217" customFormat="1">
      <c r="A437" s="214" t="s">
        <v>174</v>
      </c>
      <c r="B437" s="214" t="s">
        <v>14</v>
      </c>
      <c r="C437" s="215">
        <v>0.32291666666666602</v>
      </c>
      <c r="D437" s="222">
        <v>0</v>
      </c>
      <c r="E437" s="222">
        <v>0</v>
      </c>
      <c r="F437" s="222">
        <v>0</v>
      </c>
      <c r="G437" s="222">
        <v>0</v>
      </c>
      <c r="H437" s="222">
        <v>0</v>
      </c>
      <c r="I437" s="222">
        <v>0</v>
      </c>
      <c r="J437" s="222">
        <v>0</v>
      </c>
    </row>
    <row r="438" spans="1:10" s="217" customFormat="1">
      <c r="A438" s="214" t="s">
        <v>174</v>
      </c>
      <c r="B438" s="214" t="s">
        <v>14</v>
      </c>
      <c r="C438" s="215">
        <v>0.32361111111111102</v>
      </c>
      <c r="D438" s="222">
        <v>0</v>
      </c>
      <c r="E438" s="222">
        <v>0</v>
      </c>
      <c r="F438" s="222">
        <v>0</v>
      </c>
      <c r="G438" s="222">
        <v>0</v>
      </c>
      <c r="H438" s="222">
        <v>0</v>
      </c>
      <c r="I438" s="222">
        <v>0</v>
      </c>
      <c r="J438" s="222">
        <v>0</v>
      </c>
    </row>
    <row r="439" spans="1:10" s="217" customFormat="1">
      <c r="A439" s="214" t="s">
        <v>174</v>
      </c>
      <c r="B439" s="214" t="s">
        <v>14</v>
      </c>
      <c r="C439" s="215">
        <v>0.32430555555555501</v>
      </c>
      <c r="D439" s="222">
        <v>0</v>
      </c>
      <c r="E439" s="222">
        <v>0</v>
      </c>
      <c r="F439" s="222">
        <v>0</v>
      </c>
      <c r="G439" s="222">
        <v>0</v>
      </c>
      <c r="H439" s="222">
        <v>0</v>
      </c>
      <c r="I439" s="222">
        <v>0</v>
      </c>
      <c r="J439" s="222">
        <v>0</v>
      </c>
    </row>
    <row r="440" spans="1:10" s="217" customFormat="1">
      <c r="A440" s="214" t="s">
        <v>174</v>
      </c>
      <c r="B440" s="214" t="s">
        <v>14</v>
      </c>
      <c r="C440" s="215">
        <v>0.32500000000000001</v>
      </c>
      <c r="D440" s="222">
        <v>0</v>
      </c>
      <c r="E440" s="222">
        <v>0</v>
      </c>
      <c r="F440" s="222">
        <v>0</v>
      </c>
      <c r="G440" s="222">
        <v>0</v>
      </c>
      <c r="H440" s="222">
        <v>0</v>
      </c>
      <c r="I440" s="222">
        <v>0</v>
      </c>
      <c r="J440" s="222">
        <v>0</v>
      </c>
    </row>
    <row r="441" spans="1:10" s="217" customFormat="1">
      <c r="A441" s="214" t="s">
        <v>174</v>
      </c>
      <c r="B441" s="214" t="s">
        <v>14</v>
      </c>
      <c r="C441" s="215">
        <v>0.32569444444444401</v>
      </c>
      <c r="D441" s="222">
        <v>0</v>
      </c>
      <c r="E441" s="222">
        <v>0</v>
      </c>
      <c r="F441" s="222">
        <v>0</v>
      </c>
      <c r="G441" s="222">
        <v>0</v>
      </c>
      <c r="H441" s="222">
        <v>0</v>
      </c>
      <c r="I441" s="222">
        <v>0</v>
      </c>
      <c r="J441" s="222">
        <v>0</v>
      </c>
    </row>
    <row r="442" spans="1:10" s="217" customFormat="1">
      <c r="A442" s="214" t="s">
        <v>174</v>
      </c>
      <c r="B442" s="214" t="s">
        <v>14</v>
      </c>
      <c r="C442" s="215">
        <v>0.32638888888888901</v>
      </c>
      <c r="D442" s="222">
        <v>0</v>
      </c>
      <c r="E442" s="222">
        <v>0</v>
      </c>
      <c r="F442" s="222">
        <v>0</v>
      </c>
      <c r="G442" s="222">
        <v>0</v>
      </c>
      <c r="H442" s="222">
        <v>0</v>
      </c>
      <c r="I442" s="222">
        <v>0</v>
      </c>
      <c r="J442" s="222">
        <v>0</v>
      </c>
    </row>
    <row r="443" spans="1:10" s="217" customFormat="1">
      <c r="A443" s="214" t="s">
        <v>174</v>
      </c>
      <c r="B443" s="214" t="s">
        <v>14</v>
      </c>
      <c r="C443" s="215">
        <v>0.327083333333333</v>
      </c>
      <c r="D443" s="222">
        <v>0</v>
      </c>
      <c r="E443" s="222">
        <v>0</v>
      </c>
      <c r="F443" s="222">
        <v>0</v>
      </c>
      <c r="G443" s="222">
        <v>0</v>
      </c>
      <c r="H443" s="222">
        <v>0</v>
      </c>
      <c r="I443" s="222">
        <v>0</v>
      </c>
      <c r="J443" s="222">
        <v>0</v>
      </c>
    </row>
    <row r="444" spans="1:10" s="217" customFormat="1">
      <c r="A444" s="214" t="s">
        <v>174</v>
      </c>
      <c r="B444" s="214" t="s">
        <v>14</v>
      </c>
      <c r="C444" s="215">
        <v>0.327777777777778</v>
      </c>
      <c r="D444" s="222">
        <v>0</v>
      </c>
      <c r="E444" s="222">
        <v>0</v>
      </c>
      <c r="F444" s="222">
        <v>0</v>
      </c>
      <c r="G444" s="222">
        <v>0</v>
      </c>
      <c r="H444" s="222">
        <v>0</v>
      </c>
      <c r="I444" s="222">
        <v>0</v>
      </c>
      <c r="J444" s="222">
        <v>0</v>
      </c>
    </row>
    <row r="445" spans="1:10" s="217" customFormat="1">
      <c r="A445" s="214" t="s">
        <v>174</v>
      </c>
      <c r="B445" s="214" t="s">
        <v>14</v>
      </c>
      <c r="C445" s="215">
        <v>0.328472222222222</v>
      </c>
      <c r="D445" s="222">
        <v>0</v>
      </c>
      <c r="E445" s="222">
        <v>0</v>
      </c>
      <c r="F445" s="222">
        <v>0</v>
      </c>
      <c r="G445" s="222">
        <v>0</v>
      </c>
      <c r="H445" s="222">
        <v>0</v>
      </c>
      <c r="I445" s="222">
        <v>0</v>
      </c>
      <c r="J445" s="222">
        <v>0</v>
      </c>
    </row>
    <row r="446" spans="1:10" s="217" customFormat="1">
      <c r="A446" s="214" t="s">
        <v>174</v>
      </c>
      <c r="B446" s="214" t="s">
        <v>14</v>
      </c>
      <c r="C446" s="215">
        <v>0.329166666666666</v>
      </c>
      <c r="D446" s="222">
        <v>0</v>
      </c>
      <c r="E446" s="222">
        <v>0</v>
      </c>
      <c r="F446" s="222">
        <v>0</v>
      </c>
      <c r="G446" s="222">
        <v>0</v>
      </c>
      <c r="H446" s="222">
        <v>0</v>
      </c>
      <c r="I446" s="222">
        <v>0</v>
      </c>
      <c r="J446" s="222">
        <v>0</v>
      </c>
    </row>
    <row r="447" spans="1:10" s="217" customFormat="1">
      <c r="A447" s="214" t="s">
        <v>174</v>
      </c>
      <c r="B447" s="214" t="s">
        <v>14</v>
      </c>
      <c r="C447" s="215">
        <v>0.32986111111111099</v>
      </c>
      <c r="D447" s="222">
        <v>0</v>
      </c>
      <c r="E447" s="222">
        <v>0</v>
      </c>
      <c r="F447" s="222">
        <v>0</v>
      </c>
      <c r="G447" s="222">
        <v>0</v>
      </c>
      <c r="H447" s="222">
        <v>0</v>
      </c>
      <c r="I447" s="222">
        <v>0</v>
      </c>
      <c r="J447" s="222">
        <v>0</v>
      </c>
    </row>
    <row r="448" spans="1:10" s="217" customFormat="1">
      <c r="A448" s="214" t="s">
        <v>174</v>
      </c>
      <c r="B448" s="214" t="s">
        <v>14</v>
      </c>
      <c r="C448" s="215">
        <v>0.33055555555555499</v>
      </c>
      <c r="D448" s="222">
        <v>0</v>
      </c>
      <c r="E448" s="222">
        <v>0</v>
      </c>
      <c r="F448" s="222">
        <v>0</v>
      </c>
      <c r="G448" s="222">
        <v>0</v>
      </c>
      <c r="H448" s="222">
        <v>0</v>
      </c>
      <c r="I448" s="222">
        <v>0</v>
      </c>
      <c r="J448" s="222">
        <v>0</v>
      </c>
    </row>
    <row r="449" spans="1:10" s="217" customFormat="1">
      <c r="A449" s="214" t="s">
        <v>174</v>
      </c>
      <c r="B449" s="214" t="s">
        <v>14</v>
      </c>
      <c r="C449" s="215">
        <v>0.33124999999999999</v>
      </c>
      <c r="D449" s="222">
        <v>0</v>
      </c>
      <c r="E449" s="222">
        <v>0</v>
      </c>
      <c r="F449" s="222">
        <v>0</v>
      </c>
      <c r="G449" s="222">
        <v>0</v>
      </c>
      <c r="H449" s="222">
        <v>0</v>
      </c>
      <c r="I449" s="222">
        <v>0</v>
      </c>
      <c r="J449" s="222">
        <v>0</v>
      </c>
    </row>
    <row r="450" spans="1:10" s="217" customFormat="1">
      <c r="A450" s="214" t="s">
        <v>174</v>
      </c>
      <c r="B450" s="214" t="s">
        <v>14</v>
      </c>
      <c r="C450" s="215">
        <v>0.33194444444444399</v>
      </c>
      <c r="D450" s="222">
        <v>0</v>
      </c>
      <c r="E450" s="222">
        <v>0</v>
      </c>
      <c r="F450" s="222">
        <v>0</v>
      </c>
      <c r="G450" s="222">
        <v>0</v>
      </c>
      <c r="H450" s="222">
        <v>0</v>
      </c>
      <c r="I450" s="222">
        <v>0</v>
      </c>
      <c r="J450" s="222">
        <v>0</v>
      </c>
    </row>
    <row r="451" spans="1:10" s="221" customFormat="1">
      <c r="A451" s="218" t="s">
        <v>174</v>
      </c>
      <c r="B451" s="218" t="s">
        <v>14</v>
      </c>
      <c r="C451" s="219">
        <v>0.33263888888888898</v>
      </c>
      <c r="D451" s="223">
        <v>0</v>
      </c>
      <c r="E451" s="223">
        <v>0</v>
      </c>
      <c r="F451" s="223">
        <v>0</v>
      </c>
      <c r="G451" s="223">
        <v>0</v>
      </c>
      <c r="H451" s="223">
        <v>0</v>
      </c>
      <c r="I451" s="223">
        <v>0</v>
      </c>
      <c r="J451" s="223">
        <v>0</v>
      </c>
    </row>
    <row r="452" spans="1:10" s="217" customFormat="1">
      <c r="A452" s="214" t="s">
        <v>174</v>
      </c>
      <c r="B452" s="214" t="s">
        <v>14</v>
      </c>
      <c r="C452" s="215">
        <v>0.33333333333333298</v>
      </c>
      <c r="D452" s="222">
        <v>0</v>
      </c>
      <c r="E452" s="222">
        <v>0</v>
      </c>
      <c r="F452" s="222">
        <v>0</v>
      </c>
      <c r="G452" s="222">
        <v>0</v>
      </c>
      <c r="H452" s="222">
        <v>0</v>
      </c>
      <c r="I452" s="222">
        <v>0</v>
      </c>
      <c r="J452" s="222">
        <v>0</v>
      </c>
    </row>
    <row r="453" spans="1:10" s="217" customFormat="1">
      <c r="A453" s="214" t="s">
        <v>174</v>
      </c>
      <c r="B453" s="214" t="s">
        <v>14</v>
      </c>
      <c r="C453" s="215">
        <v>0.33402777777777798</v>
      </c>
      <c r="D453" s="222">
        <v>0</v>
      </c>
      <c r="E453" s="222">
        <v>0</v>
      </c>
      <c r="F453" s="222">
        <v>0</v>
      </c>
      <c r="G453" s="222">
        <v>0</v>
      </c>
      <c r="H453" s="222">
        <v>0</v>
      </c>
      <c r="I453" s="222">
        <v>0</v>
      </c>
      <c r="J453" s="222">
        <v>0</v>
      </c>
    </row>
    <row r="454" spans="1:10" s="217" customFormat="1">
      <c r="A454" s="214" t="s">
        <v>174</v>
      </c>
      <c r="B454" s="214" t="s">
        <v>14</v>
      </c>
      <c r="C454" s="215">
        <v>0.33472222222222198</v>
      </c>
      <c r="D454" s="222">
        <v>0</v>
      </c>
      <c r="E454" s="222">
        <v>0</v>
      </c>
      <c r="F454" s="222">
        <v>0</v>
      </c>
      <c r="G454" s="222">
        <v>0</v>
      </c>
      <c r="H454" s="222">
        <v>0</v>
      </c>
      <c r="I454" s="222">
        <v>0</v>
      </c>
      <c r="J454" s="222">
        <v>0</v>
      </c>
    </row>
    <row r="455" spans="1:10" s="217" customFormat="1">
      <c r="A455" s="214" t="s">
        <v>174</v>
      </c>
      <c r="B455" s="214" t="s">
        <v>14</v>
      </c>
      <c r="C455" s="215">
        <v>0.33541666666666597</v>
      </c>
      <c r="D455" s="222">
        <v>0</v>
      </c>
      <c r="E455" s="222">
        <v>0</v>
      </c>
      <c r="F455" s="222">
        <v>0</v>
      </c>
      <c r="G455" s="222">
        <v>0</v>
      </c>
      <c r="H455" s="222">
        <v>0</v>
      </c>
      <c r="I455" s="222">
        <v>0</v>
      </c>
      <c r="J455" s="222">
        <v>0</v>
      </c>
    </row>
    <row r="456" spans="1:10" s="217" customFormat="1">
      <c r="A456" s="214" t="s">
        <v>174</v>
      </c>
      <c r="B456" s="214" t="s">
        <v>14</v>
      </c>
      <c r="C456" s="215">
        <v>0.33611111111111103</v>
      </c>
      <c r="D456" s="222">
        <v>0</v>
      </c>
      <c r="E456" s="222">
        <v>0</v>
      </c>
      <c r="F456" s="222">
        <v>0</v>
      </c>
      <c r="G456" s="222">
        <v>0</v>
      </c>
      <c r="H456" s="222">
        <v>0</v>
      </c>
      <c r="I456" s="222">
        <v>0</v>
      </c>
      <c r="J456" s="222">
        <v>0</v>
      </c>
    </row>
    <row r="457" spans="1:10" s="217" customFormat="1">
      <c r="A457" s="214" t="s">
        <v>174</v>
      </c>
      <c r="B457" s="214" t="s">
        <v>14</v>
      </c>
      <c r="C457" s="215">
        <v>0.33680555555555503</v>
      </c>
      <c r="D457" s="222">
        <v>0</v>
      </c>
      <c r="E457" s="222">
        <v>0</v>
      </c>
      <c r="F457" s="222">
        <v>0</v>
      </c>
      <c r="G457" s="222">
        <v>0</v>
      </c>
      <c r="H457" s="222">
        <v>0</v>
      </c>
      <c r="I457" s="222">
        <v>0</v>
      </c>
      <c r="J457" s="222">
        <v>0</v>
      </c>
    </row>
    <row r="458" spans="1:10" s="217" customFormat="1">
      <c r="A458" s="214" t="s">
        <v>174</v>
      </c>
      <c r="B458" s="214" t="s">
        <v>14</v>
      </c>
      <c r="C458" s="215">
        <v>0.33750000000000002</v>
      </c>
      <c r="D458" s="222">
        <v>0</v>
      </c>
      <c r="E458" s="222">
        <v>0</v>
      </c>
      <c r="F458" s="222">
        <v>0</v>
      </c>
      <c r="G458" s="222">
        <v>0</v>
      </c>
      <c r="H458" s="222">
        <v>0</v>
      </c>
      <c r="I458" s="222">
        <v>0</v>
      </c>
      <c r="J458" s="222">
        <v>0</v>
      </c>
    </row>
    <row r="459" spans="1:10" s="217" customFormat="1">
      <c r="A459" s="214" t="s">
        <v>174</v>
      </c>
      <c r="B459" s="214" t="s">
        <v>14</v>
      </c>
      <c r="C459" s="215">
        <v>0.33819444444444402</v>
      </c>
      <c r="D459" s="222">
        <v>0</v>
      </c>
      <c r="E459" s="222">
        <v>0</v>
      </c>
      <c r="F459" s="222">
        <v>0</v>
      </c>
      <c r="G459" s="222">
        <v>0</v>
      </c>
      <c r="H459" s="222">
        <v>0</v>
      </c>
      <c r="I459" s="222">
        <v>0</v>
      </c>
      <c r="J459" s="222">
        <v>0</v>
      </c>
    </row>
    <row r="460" spans="1:10" s="217" customFormat="1">
      <c r="A460" s="214" t="s">
        <v>174</v>
      </c>
      <c r="B460" s="214" t="s">
        <v>14</v>
      </c>
      <c r="C460" s="215">
        <v>0.33888888888888902</v>
      </c>
      <c r="D460" s="222">
        <v>0</v>
      </c>
      <c r="E460" s="222">
        <v>0</v>
      </c>
      <c r="F460" s="222">
        <v>0</v>
      </c>
      <c r="G460" s="222">
        <v>0</v>
      </c>
      <c r="H460" s="222">
        <v>0</v>
      </c>
      <c r="I460" s="222">
        <v>0</v>
      </c>
      <c r="J460" s="222">
        <v>0</v>
      </c>
    </row>
    <row r="461" spans="1:10" s="217" customFormat="1">
      <c r="A461" s="214" t="s">
        <v>174</v>
      </c>
      <c r="B461" s="214" t="s">
        <v>14</v>
      </c>
      <c r="C461" s="215">
        <v>0.33958333333333302</v>
      </c>
      <c r="D461" s="222">
        <v>0</v>
      </c>
      <c r="E461" s="222">
        <v>0</v>
      </c>
      <c r="F461" s="222">
        <v>0</v>
      </c>
      <c r="G461" s="222">
        <v>0</v>
      </c>
      <c r="H461" s="222">
        <v>0</v>
      </c>
      <c r="I461" s="222">
        <v>0</v>
      </c>
      <c r="J461" s="222">
        <v>0</v>
      </c>
    </row>
    <row r="462" spans="1:10" s="217" customFormat="1">
      <c r="A462" s="214" t="s">
        <v>174</v>
      </c>
      <c r="B462" s="214" t="s">
        <v>14</v>
      </c>
      <c r="C462" s="215">
        <v>0.34027777777777801</v>
      </c>
      <c r="D462" s="222">
        <v>0</v>
      </c>
      <c r="E462" s="222">
        <v>0</v>
      </c>
      <c r="F462" s="222">
        <v>0</v>
      </c>
      <c r="G462" s="222">
        <v>0</v>
      </c>
      <c r="H462" s="222">
        <v>0</v>
      </c>
      <c r="I462" s="222">
        <v>0</v>
      </c>
      <c r="J462" s="222">
        <v>0</v>
      </c>
    </row>
    <row r="463" spans="1:10" s="217" customFormat="1">
      <c r="A463" s="214" t="s">
        <v>174</v>
      </c>
      <c r="B463" s="214" t="s">
        <v>14</v>
      </c>
      <c r="C463" s="215">
        <v>0.34097222222222201</v>
      </c>
      <c r="D463" s="222">
        <v>0</v>
      </c>
      <c r="E463" s="222">
        <v>0</v>
      </c>
      <c r="F463" s="222">
        <v>0</v>
      </c>
      <c r="G463" s="222">
        <v>0</v>
      </c>
      <c r="H463" s="222">
        <v>0</v>
      </c>
      <c r="I463" s="222">
        <v>0</v>
      </c>
      <c r="J463" s="222">
        <v>0</v>
      </c>
    </row>
    <row r="464" spans="1:10" s="217" customFormat="1">
      <c r="A464" s="214" t="s">
        <v>174</v>
      </c>
      <c r="B464" s="214" t="s">
        <v>14</v>
      </c>
      <c r="C464" s="215">
        <v>0.34166666666666601</v>
      </c>
      <c r="D464" s="222">
        <v>0</v>
      </c>
      <c r="E464" s="222">
        <v>0</v>
      </c>
      <c r="F464" s="222">
        <v>0</v>
      </c>
      <c r="G464" s="222">
        <v>0</v>
      </c>
      <c r="H464" s="222">
        <v>0</v>
      </c>
      <c r="I464" s="222">
        <v>0</v>
      </c>
      <c r="J464" s="222">
        <v>0</v>
      </c>
    </row>
    <row r="465" spans="1:10" s="217" customFormat="1">
      <c r="A465" s="214" t="s">
        <v>174</v>
      </c>
      <c r="B465" s="214" t="s">
        <v>14</v>
      </c>
      <c r="C465" s="215">
        <v>0.34236111111111101</v>
      </c>
      <c r="D465" s="222">
        <v>0</v>
      </c>
      <c r="E465" s="222">
        <v>0</v>
      </c>
      <c r="F465" s="222">
        <v>0</v>
      </c>
      <c r="G465" s="222">
        <v>0</v>
      </c>
      <c r="H465" s="222">
        <v>0</v>
      </c>
      <c r="I465" s="222">
        <v>0</v>
      </c>
      <c r="J465" s="222">
        <v>0</v>
      </c>
    </row>
    <row r="466" spans="1:10" s="221" customFormat="1">
      <c r="A466" s="218" t="s">
        <v>174</v>
      </c>
      <c r="B466" s="218" t="s">
        <v>14</v>
      </c>
      <c r="C466" s="219">
        <v>0.343055555555555</v>
      </c>
      <c r="D466" s="223">
        <v>0</v>
      </c>
      <c r="E466" s="223">
        <v>0</v>
      </c>
      <c r="F466" s="223">
        <v>0</v>
      </c>
      <c r="G466" s="223">
        <v>0</v>
      </c>
      <c r="H466" s="223">
        <v>0</v>
      </c>
      <c r="I466" s="223">
        <v>0</v>
      </c>
      <c r="J466" s="223">
        <v>0</v>
      </c>
    </row>
    <row r="467" spans="1:10" s="217" customFormat="1">
      <c r="A467" s="214" t="s">
        <v>174</v>
      </c>
      <c r="B467" s="214" t="s">
        <v>14</v>
      </c>
      <c r="C467" s="215">
        <v>0.34375</v>
      </c>
      <c r="D467" s="222">
        <v>0</v>
      </c>
      <c r="E467" s="222">
        <v>0</v>
      </c>
      <c r="F467" s="222">
        <v>0</v>
      </c>
      <c r="G467" s="222">
        <v>0</v>
      </c>
      <c r="H467" s="222">
        <v>0</v>
      </c>
      <c r="I467" s="222">
        <v>0</v>
      </c>
      <c r="J467" s="222">
        <v>0</v>
      </c>
    </row>
    <row r="468" spans="1:10" s="217" customFormat="1">
      <c r="A468" s="214" t="s">
        <v>174</v>
      </c>
      <c r="B468" s="214" t="s">
        <v>14</v>
      </c>
      <c r="C468" s="215">
        <v>0.344444444444444</v>
      </c>
      <c r="D468" s="222">
        <v>0</v>
      </c>
      <c r="E468" s="222">
        <v>0</v>
      </c>
      <c r="F468" s="222">
        <v>0</v>
      </c>
      <c r="G468" s="222">
        <v>0</v>
      </c>
      <c r="H468" s="222">
        <v>0</v>
      </c>
      <c r="I468" s="222">
        <v>0</v>
      </c>
      <c r="J468" s="222">
        <v>0</v>
      </c>
    </row>
    <row r="469" spans="1:10" s="217" customFormat="1">
      <c r="A469" s="214" t="s">
        <v>174</v>
      </c>
      <c r="B469" s="214" t="s">
        <v>14</v>
      </c>
      <c r="C469" s="215">
        <v>0.34513888888888899</v>
      </c>
      <c r="D469" s="222">
        <v>0</v>
      </c>
      <c r="E469" s="222">
        <v>0</v>
      </c>
      <c r="F469" s="222">
        <v>0</v>
      </c>
      <c r="G469" s="222">
        <v>0</v>
      </c>
      <c r="H469" s="222">
        <v>0</v>
      </c>
      <c r="I469" s="222">
        <v>0</v>
      </c>
      <c r="J469" s="222">
        <v>0</v>
      </c>
    </row>
    <row r="470" spans="1:10" s="217" customFormat="1">
      <c r="A470" s="214" t="s">
        <v>174</v>
      </c>
      <c r="B470" s="214" t="s">
        <v>14</v>
      </c>
      <c r="C470" s="215">
        <v>0.34583333333333299</v>
      </c>
      <c r="D470" s="222">
        <v>0</v>
      </c>
      <c r="E470" s="222">
        <v>0</v>
      </c>
      <c r="F470" s="222">
        <v>0</v>
      </c>
      <c r="G470" s="222">
        <v>0</v>
      </c>
      <c r="H470" s="222">
        <v>0</v>
      </c>
      <c r="I470" s="222">
        <v>0</v>
      </c>
      <c r="J470" s="222">
        <v>0</v>
      </c>
    </row>
    <row r="471" spans="1:10" s="217" customFormat="1">
      <c r="A471" s="214" t="s">
        <v>174</v>
      </c>
      <c r="B471" s="214" t="s">
        <v>14</v>
      </c>
      <c r="C471" s="215">
        <v>0.34652777777777799</v>
      </c>
      <c r="D471" s="222">
        <v>0</v>
      </c>
      <c r="E471" s="222">
        <v>0</v>
      </c>
      <c r="F471" s="222">
        <v>0</v>
      </c>
      <c r="G471" s="222">
        <v>0</v>
      </c>
      <c r="H471" s="222">
        <v>0</v>
      </c>
      <c r="I471" s="222">
        <v>0</v>
      </c>
      <c r="J471" s="222">
        <v>0</v>
      </c>
    </row>
    <row r="472" spans="1:10" s="217" customFormat="1">
      <c r="A472" s="214" t="s">
        <v>174</v>
      </c>
      <c r="B472" s="214" t="s">
        <v>14</v>
      </c>
      <c r="C472" s="215">
        <v>0.34722222222222199</v>
      </c>
      <c r="D472" s="222">
        <v>0</v>
      </c>
      <c r="E472" s="222">
        <v>0</v>
      </c>
      <c r="F472" s="222">
        <v>0</v>
      </c>
      <c r="G472" s="222">
        <v>0</v>
      </c>
      <c r="H472" s="222">
        <v>0</v>
      </c>
      <c r="I472" s="222">
        <v>0</v>
      </c>
      <c r="J472" s="222">
        <v>0</v>
      </c>
    </row>
    <row r="473" spans="1:10" s="217" customFormat="1">
      <c r="A473" s="214" t="s">
        <v>174</v>
      </c>
      <c r="B473" s="214" t="s">
        <v>14</v>
      </c>
      <c r="C473" s="215">
        <v>0.34791666666666599</v>
      </c>
      <c r="D473" s="222">
        <v>0</v>
      </c>
      <c r="E473" s="222">
        <v>0</v>
      </c>
      <c r="F473" s="222">
        <v>0</v>
      </c>
      <c r="G473" s="222">
        <v>0</v>
      </c>
      <c r="H473" s="222">
        <v>0</v>
      </c>
      <c r="I473" s="222">
        <v>0</v>
      </c>
      <c r="J473" s="222">
        <v>0</v>
      </c>
    </row>
    <row r="474" spans="1:10" s="217" customFormat="1">
      <c r="A474" s="214" t="s">
        <v>174</v>
      </c>
      <c r="B474" s="214" t="s">
        <v>14</v>
      </c>
      <c r="C474" s="215">
        <v>0.34861111111111098</v>
      </c>
      <c r="D474" s="222">
        <v>0</v>
      </c>
      <c r="E474" s="222">
        <v>0</v>
      </c>
      <c r="F474" s="222">
        <v>0</v>
      </c>
      <c r="G474" s="222">
        <v>0</v>
      </c>
      <c r="H474" s="222">
        <v>0</v>
      </c>
      <c r="I474" s="222">
        <v>0</v>
      </c>
      <c r="J474" s="222">
        <v>0</v>
      </c>
    </row>
    <row r="475" spans="1:10" s="217" customFormat="1">
      <c r="A475" s="214" t="s">
        <v>174</v>
      </c>
      <c r="B475" s="214" t="s">
        <v>14</v>
      </c>
      <c r="C475" s="215">
        <v>0.34930555555555498</v>
      </c>
      <c r="D475" s="222">
        <v>0</v>
      </c>
      <c r="E475" s="222">
        <v>0</v>
      </c>
      <c r="F475" s="222">
        <v>0</v>
      </c>
      <c r="G475" s="222">
        <v>0</v>
      </c>
      <c r="H475" s="222">
        <v>0</v>
      </c>
      <c r="I475" s="222">
        <v>0</v>
      </c>
      <c r="J475" s="222">
        <v>0</v>
      </c>
    </row>
    <row r="476" spans="1:10" s="217" customFormat="1">
      <c r="A476" s="214" t="s">
        <v>174</v>
      </c>
      <c r="B476" s="214" t="s">
        <v>14</v>
      </c>
      <c r="C476" s="215">
        <v>0.35</v>
      </c>
      <c r="D476" s="222">
        <v>0</v>
      </c>
      <c r="E476" s="222">
        <v>0</v>
      </c>
      <c r="F476" s="222">
        <v>0</v>
      </c>
      <c r="G476" s="222">
        <v>0</v>
      </c>
      <c r="H476" s="222">
        <v>0</v>
      </c>
      <c r="I476" s="222">
        <v>0</v>
      </c>
      <c r="J476" s="222">
        <v>0</v>
      </c>
    </row>
    <row r="477" spans="1:10" s="217" customFormat="1">
      <c r="A477" s="214" t="s">
        <v>174</v>
      </c>
      <c r="B477" s="214" t="s">
        <v>14</v>
      </c>
      <c r="C477" s="215">
        <v>0.35069444444444398</v>
      </c>
      <c r="D477" s="222">
        <v>0</v>
      </c>
      <c r="E477" s="222">
        <v>0</v>
      </c>
      <c r="F477" s="222">
        <v>0</v>
      </c>
      <c r="G477" s="222">
        <v>0</v>
      </c>
      <c r="H477" s="222">
        <v>0</v>
      </c>
      <c r="I477" s="222">
        <v>0</v>
      </c>
      <c r="J477" s="222">
        <v>0</v>
      </c>
    </row>
    <row r="478" spans="1:10" s="217" customFormat="1">
      <c r="A478" s="214" t="s">
        <v>174</v>
      </c>
      <c r="B478" s="214" t="s">
        <v>14</v>
      </c>
      <c r="C478" s="215">
        <v>0.35138888888888897</v>
      </c>
      <c r="D478" s="222">
        <v>0</v>
      </c>
      <c r="E478" s="222">
        <v>0</v>
      </c>
      <c r="F478" s="222">
        <v>0</v>
      </c>
      <c r="G478" s="222">
        <v>0</v>
      </c>
      <c r="H478" s="222">
        <v>0</v>
      </c>
      <c r="I478" s="222">
        <v>0</v>
      </c>
      <c r="J478" s="222">
        <v>0</v>
      </c>
    </row>
    <row r="479" spans="1:10" s="217" customFormat="1">
      <c r="A479" s="214" t="s">
        <v>174</v>
      </c>
      <c r="B479" s="214" t="s">
        <v>14</v>
      </c>
      <c r="C479" s="215">
        <v>0.35208333333333303</v>
      </c>
      <c r="D479" s="222">
        <v>0</v>
      </c>
      <c r="E479" s="222">
        <v>0</v>
      </c>
      <c r="F479" s="222">
        <v>0</v>
      </c>
      <c r="G479" s="222">
        <v>0</v>
      </c>
      <c r="H479" s="222">
        <v>0</v>
      </c>
      <c r="I479" s="222">
        <v>0</v>
      </c>
      <c r="J479" s="222">
        <v>0</v>
      </c>
    </row>
    <row r="480" spans="1:10" s="217" customFormat="1">
      <c r="A480" s="214" t="s">
        <v>174</v>
      </c>
      <c r="B480" s="214" t="s">
        <v>14</v>
      </c>
      <c r="C480" s="215">
        <v>0.35277777777777802</v>
      </c>
      <c r="D480" s="222">
        <v>0</v>
      </c>
      <c r="E480" s="222">
        <v>0</v>
      </c>
      <c r="F480" s="222">
        <v>0</v>
      </c>
      <c r="G480" s="222">
        <v>0</v>
      </c>
      <c r="H480" s="222">
        <v>0</v>
      </c>
      <c r="I480" s="222">
        <v>0</v>
      </c>
      <c r="J480" s="222">
        <v>0</v>
      </c>
    </row>
    <row r="481" spans="1:10" s="227" customFormat="1" ht="17.5" thickBot="1">
      <c r="A481" s="224" t="s">
        <v>174</v>
      </c>
      <c r="B481" s="224" t="s">
        <v>14</v>
      </c>
      <c r="C481" s="225">
        <v>0.35347222222222202</v>
      </c>
      <c r="D481" s="226">
        <v>0</v>
      </c>
      <c r="E481" s="226">
        <v>0</v>
      </c>
      <c r="F481" s="226">
        <v>0</v>
      </c>
      <c r="G481" s="226">
        <v>0</v>
      </c>
      <c r="H481" s="226">
        <v>0</v>
      </c>
      <c r="I481" s="226">
        <v>0</v>
      </c>
      <c r="J481" s="226">
        <v>0</v>
      </c>
    </row>
    <row r="482" spans="1:10">
      <c r="A482" s="79" t="s">
        <v>10</v>
      </c>
      <c r="B482" s="79" t="s">
        <v>11</v>
      </c>
      <c r="C482" s="80">
        <v>0.29166666666666669</v>
      </c>
      <c r="D482" s="163">
        <v>0</v>
      </c>
      <c r="E482" s="163">
        <v>0</v>
      </c>
      <c r="F482" s="163">
        <v>0</v>
      </c>
      <c r="G482" s="163">
        <v>0</v>
      </c>
      <c r="H482" s="163">
        <v>0</v>
      </c>
      <c r="I482" s="163">
        <v>0</v>
      </c>
      <c r="J482" s="163">
        <v>0</v>
      </c>
    </row>
    <row r="483" spans="1:10">
      <c r="A483" s="79" t="s">
        <v>10</v>
      </c>
      <c r="B483" s="79" t="s">
        <v>11</v>
      </c>
      <c r="C483" s="80">
        <v>0.29236111111111113</v>
      </c>
      <c r="D483" s="163">
        <v>0</v>
      </c>
      <c r="E483" s="163">
        <v>0</v>
      </c>
      <c r="F483" s="163">
        <v>0</v>
      </c>
      <c r="G483" s="163">
        <v>0</v>
      </c>
      <c r="H483" s="163">
        <v>0</v>
      </c>
      <c r="I483" s="163">
        <v>0</v>
      </c>
      <c r="J483" s="163">
        <v>0</v>
      </c>
    </row>
    <row r="484" spans="1:10">
      <c r="A484" s="79" t="s">
        <v>10</v>
      </c>
      <c r="B484" s="79" t="s">
        <v>11</v>
      </c>
      <c r="C484" s="80">
        <v>0.29305555555555601</v>
      </c>
      <c r="D484" s="163">
        <v>0</v>
      </c>
      <c r="E484" s="163">
        <v>0</v>
      </c>
      <c r="F484" s="163">
        <v>0</v>
      </c>
      <c r="G484" s="163">
        <v>0</v>
      </c>
      <c r="H484" s="163">
        <v>0</v>
      </c>
      <c r="I484" s="163">
        <v>0</v>
      </c>
      <c r="J484" s="163">
        <v>0</v>
      </c>
    </row>
    <row r="485" spans="1:10">
      <c r="A485" s="79" t="s">
        <v>10</v>
      </c>
      <c r="B485" s="79" t="s">
        <v>11</v>
      </c>
      <c r="C485" s="80">
        <v>0.29375000000000001</v>
      </c>
      <c r="D485" s="163">
        <v>0</v>
      </c>
      <c r="E485" s="163">
        <v>0</v>
      </c>
      <c r="F485" s="163">
        <v>0</v>
      </c>
      <c r="G485" s="163">
        <v>0</v>
      </c>
      <c r="H485" s="163">
        <v>0</v>
      </c>
      <c r="I485" s="163">
        <v>0</v>
      </c>
      <c r="J485" s="163">
        <v>0</v>
      </c>
    </row>
    <row r="486" spans="1:10">
      <c r="A486" s="79" t="s">
        <v>10</v>
      </c>
      <c r="B486" s="79" t="s">
        <v>11</v>
      </c>
      <c r="C486" s="80">
        <v>0.29444444444444401</v>
      </c>
      <c r="D486" s="163">
        <v>0</v>
      </c>
      <c r="E486" s="163">
        <v>0</v>
      </c>
      <c r="F486" s="163">
        <v>0</v>
      </c>
      <c r="G486" s="163">
        <v>0</v>
      </c>
      <c r="H486" s="163">
        <v>0</v>
      </c>
      <c r="I486" s="163">
        <v>0</v>
      </c>
      <c r="J486" s="163">
        <v>0</v>
      </c>
    </row>
    <row r="487" spans="1:10">
      <c r="A487" s="79" t="s">
        <v>10</v>
      </c>
      <c r="B487" s="79" t="s">
        <v>11</v>
      </c>
      <c r="C487" s="80">
        <v>0.29513888888888901</v>
      </c>
      <c r="D487" s="163">
        <v>0</v>
      </c>
      <c r="E487" s="163">
        <v>0</v>
      </c>
      <c r="F487" s="163">
        <v>0</v>
      </c>
      <c r="G487" s="163">
        <v>0</v>
      </c>
      <c r="H487" s="163">
        <v>0</v>
      </c>
      <c r="I487" s="163">
        <v>0</v>
      </c>
      <c r="J487" s="163">
        <v>0</v>
      </c>
    </row>
    <row r="488" spans="1:10">
      <c r="A488" s="79" t="s">
        <v>10</v>
      </c>
      <c r="B488" s="79" t="s">
        <v>11</v>
      </c>
      <c r="C488" s="80">
        <v>0.295833333333333</v>
      </c>
      <c r="D488" s="163">
        <v>0</v>
      </c>
      <c r="E488" s="163">
        <v>0</v>
      </c>
      <c r="F488" s="163">
        <v>0</v>
      </c>
      <c r="G488" s="163">
        <v>0</v>
      </c>
      <c r="H488" s="163">
        <v>0</v>
      </c>
      <c r="I488" s="163">
        <v>0</v>
      </c>
      <c r="J488" s="163">
        <v>0</v>
      </c>
    </row>
    <row r="489" spans="1:10">
      <c r="A489" s="79" t="s">
        <v>10</v>
      </c>
      <c r="B489" s="79" t="s">
        <v>11</v>
      </c>
      <c r="C489" s="80">
        <v>0.296527777777778</v>
      </c>
      <c r="D489" s="163">
        <v>0</v>
      </c>
      <c r="E489" s="163">
        <v>0</v>
      </c>
      <c r="F489" s="163">
        <v>0</v>
      </c>
      <c r="G489" s="163">
        <v>0</v>
      </c>
      <c r="H489" s="163">
        <v>0</v>
      </c>
      <c r="I489" s="163">
        <v>0</v>
      </c>
      <c r="J489" s="163">
        <v>0</v>
      </c>
    </row>
    <row r="490" spans="1:10">
      <c r="A490" s="79" t="s">
        <v>10</v>
      </c>
      <c r="B490" s="79" t="s">
        <v>11</v>
      </c>
      <c r="C490" s="80">
        <v>0.297222222222222</v>
      </c>
      <c r="D490" s="163">
        <v>0</v>
      </c>
      <c r="E490" s="163">
        <v>0</v>
      </c>
      <c r="F490" s="163">
        <v>0</v>
      </c>
      <c r="G490" s="163">
        <v>0</v>
      </c>
      <c r="H490" s="163">
        <v>0</v>
      </c>
      <c r="I490" s="163">
        <v>0</v>
      </c>
      <c r="J490" s="163">
        <v>0</v>
      </c>
    </row>
    <row r="491" spans="1:10">
      <c r="A491" s="79" t="s">
        <v>10</v>
      </c>
      <c r="B491" s="79" t="s">
        <v>11</v>
      </c>
      <c r="C491" s="80">
        <v>0.297916666666667</v>
      </c>
      <c r="D491" s="163">
        <v>0</v>
      </c>
      <c r="E491" s="163">
        <v>0</v>
      </c>
      <c r="F491" s="163">
        <v>0</v>
      </c>
      <c r="G491" s="163">
        <v>0</v>
      </c>
      <c r="H491" s="163">
        <v>0</v>
      </c>
      <c r="I491" s="163">
        <v>0</v>
      </c>
      <c r="J491" s="163">
        <v>0</v>
      </c>
    </row>
    <row r="492" spans="1:10">
      <c r="A492" s="79" t="s">
        <v>10</v>
      </c>
      <c r="B492" s="79" t="s">
        <v>11</v>
      </c>
      <c r="C492" s="80">
        <v>0.29861111111111099</v>
      </c>
      <c r="D492" s="163">
        <v>0</v>
      </c>
      <c r="E492" s="163">
        <v>0</v>
      </c>
      <c r="F492" s="163">
        <v>0</v>
      </c>
      <c r="G492" s="163">
        <v>0</v>
      </c>
      <c r="H492" s="163">
        <v>0</v>
      </c>
      <c r="I492" s="163">
        <v>0</v>
      </c>
      <c r="J492" s="163">
        <v>0</v>
      </c>
    </row>
    <row r="493" spans="1:10">
      <c r="A493" s="79" t="s">
        <v>10</v>
      </c>
      <c r="B493" s="79" t="s">
        <v>11</v>
      </c>
      <c r="C493" s="80">
        <v>0.29930555555555599</v>
      </c>
      <c r="D493" s="163">
        <v>0</v>
      </c>
      <c r="E493" s="163">
        <v>0</v>
      </c>
      <c r="F493" s="163">
        <v>0</v>
      </c>
      <c r="G493" s="163">
        <v>0</v>
      </c>
      <c r="H493" s="163">
        <v>0</v>
      </c>
      <c r="I493" s="163">
        <v>0</v>
      </c>
      <c r="J493" s="163">
        <v>0</v>
      </c>
    </row>
    <row r="494" spans="1:10">
      <c r="A494" s="79" t="s">
        <v>10</v>
      </c>
      <c r="B494" s="79" t="s">
        <v>11</v>
      </c>
      <c r="C494" s="80">
        <v>0.3</v>
      </c>
      <c r="D494" s="163">
        <v>0</v>
      </c>
      <c r="E494" s="163">
        <v>0</v>
      </c>
      <c r="F494" s="163">
        <v>0</v>
      </c>
      <c r="G494" s="163">
        <v>0</v>
      </c>
      <c r="H494" s="163">
        <v>0</v>
      </c>
      <c r="I494" s="163">
        <v>0</v>
      </c>
      <c r="J494" s="163">
        <v>0</v>
      </c>
    </row>
    <row r="495" spans="1:10">
      <c r="A495" s="79" t="s">
        <v>10</v>
      </c>
      <c r="B495" s="79" t="s">
        <v>11</v>
      </c>
      <c r="C495" s="80">
        <v>0.30069444444444399</v>
      </c>
      <c r="D495" s="163">
        <v>0</v>
      </c>
      <c r="E495" s="163">
        <v>0</v>
      </c>
      <c r="F495" s="163">
        <v>0</v>
      </c>
      <c r="G495" s="163">
        <v>0</v>
      </c>
      <c r="H495" s="163">
        <v>0</v>
      </c>
      <c r="I495" s="163">
        <v>0</v>
      </c>
      <c r="J495" s="163">
        <v>0</v>
      </c>
    </row>
    <row r="496" spans="1:10" s="78" customFormat="1">
      <c r="A496" s="82" t="s">
        <v>10</v>
      </c>
      <c r="B496" s="82" t="s">
        <v>11</v>
      </c>
      <c r="C496" s="83">
        <v>0.30138888888888898</v>
      </c>
      <c r="D496" s="164">
        <v>0</v>
      </c>
      <c r="E496" s="164">
        <v>0</v>
      </c>
      <c r="F496" s="164">
        <v>0</v>
      </c>
      <c r="G496" s="164">
        <v>0</v>
      </c>
      <c r="H496" s="164">
        <v>0</v>
      </c>
      <c r="I496" s="164">
        <v>0</v>
      </c>
      <c r="J496" s="164">
        <v>0</v>
      </c>
    </row>
    <row r="497" spans="1:10">
      <c r="A497" s="79" t="s">
        <v>10</v>
      </c>
      <c r="B497" s="79" t="s">
        <v>11</v>
      </c>
      <c r="C497" s="80">
        <v>0.30208333333333298</v>
      </c>
      <c r="D497" s="81">
        <v>0</v>
      </c>
      <c r="E497" s="81">
        <v>0</v>
      </c>
      <c r="F497" s="81">
        <v>0</v>
      </c>
      <c r="G497" s="81">
        <v>0</v>
      </c>
      <c r="H497" s="81">
        <v>0</v>
      </c>
      <c r="I497" s="81">
        <v>0</v>
      </c>
      <c r="J497" s="81">
        <v>0</v>
      </c>
    </row>
    <row r="498" spans="1:10">
      <c r="A498" s="79" t="s">
        <v>10</v>
      </c>
      <c r="B498" s="79" t="s">
        <v>11</v>
      </c>
      <c r="C498" s="80">
        <v>0.30277777777777798</v>
      </c>
      <c r="D498" s="81">
        <v>0</v>
      </c>
      <c r="E498" s="81">
        <v>0</v>
      </c>
      <c r="F498" s="81">
        <v>0</v>
      </c>
      <c r="G498" s="81">
        <v>0</v>
      </c>
      <c r="H498" s="81">
        <v>0</v>
      </c>
      <c r="I498" s="81">
        <v>0</v>
      </c>
      <c r="J498" s="81">
        <v>0</v>
      </c>
    </row>
    <row r="499" spans="1:10">
      <c r="A499" s="79" t="s">
        <v>10</v>
      </c>
      <c r="B499" s="79" t="s">
        <v>11</v>
      </c>
      <c r="C499" s="80">
        <v>0.30347222222222198</v>
      </c>
      <c r="D499" s="81">
        <v>0</v>
      </c>
      <c r="E499" s="81">
        <v>0</v>
      </c>
      <c r="F499" s="81">
        <v>0</v>
      </c>
      <c r="G499" s="81">
        <v>0</v>
      </c>
      <c r="H499" s="81">
        <v>0</v>
      </c>
      <c r="I499" s="81">
        <v>0</v>
      </c>
      <c r="J499" s="81">
        <v>0</v>
      </c>
    </row>
    <row r="500" spans="1:10">
      <c r="A500" s="79" t="s">
        <v>10</v>
      </c>
      <c r="B500" s="79" t="s">
        <v>11</v>
      </c>
      <c r="C500" s="80">
        <v>0.30416666666666697</v>
      </c>
      <c r="D500" s="81">
        <v>0</v>
      </c>
      <c r="E500" s="81">
        <v>0</v>
      </c>
      <c r="F500" s="81">
        <v>0</v>
      </c>
      <c r="G500" s="81">
        <v>0</v>
      </c>
      <c r="H500" s="81">
        <v>0</v>
      </c>
      <c r="I500" s="81">
        <v>0</v>
      </c>
      <c r="J500" s="81">
        <v>0</v>
      </c>
    </row>
    <row r="501" spans="1:10">
      <c r="A501" s="79" t="s">
        <v>10</v>
      </c>
      <c r="B501" s="79" t="s">
        <v>11</v>
      </c>
      <c r="C501" s="80">
        <v>0.30486111111111103</v>
      </c>
      <c r="D501" s="81">
        <v>0</v>
      </c>
      <c r="E501" s="81">
        <v>0</v>
      </c>
      <c r="F501" s="81">
        <v>0</v>
      </c>
      <c r="G501" s="81">
        <v>0</v>
      </c>
      <c r="H501" s="81">
        <v>0</v>
      </c>
      <c r="I501" s="81">
        <v>0</v>
      </c>
      <c r="J501" s="81">
        <v>0</v>
      </c>
    </row>
    <row r="502" spans="1:10">
      <c r="A502" s="79" t="s">
        <v>10</v>
      </c>
      <c r="B502" s="79" t="s">
        <v>11</v>
      </c>
      <c r="C502" s="80">
        <v>0.30555555555555503</v>
      </c>
      <c r="D502" s="81">
        <v>0</v>
      </c>
      <c r="E502" s="81">
        <v>0</v>
      </c>
      <c r="F502" s="81">
        <v>0</v>
      </c>
      <c r="G502" s="81">
        <v>0</v>
      </c>
      <c r="H502" s="81">
        <v>0</v>
      </c>
      <c r="I502" s="81">
        <v>0</v>
      </c>
      <c r="J502" s="81">
        <v>0</v>
      </c>
    </row>
    <row r="503" spans="1:10">
      <c r="A503" s="79" t="s">
        <v>10</v>
      </c>
      <c r="B503" s="79" t="s">
        <v>11</v>
      </c>
      <c r="C503" s="80">
        <v>0.30625000000000002</v>
      </c>
      <c r="D503" s="81">
        <v>0</v>
      </c>
      <c r="E503" s="81">
        <v>0</v>
      </c>
      <c r="F503" s="81">
        <v>0</v>
      </c>
      <c r="G503" s="81">
        <v>0</v>
      </c>
      <c r="H503" s="81">
        <v>0</v>
      </c>
      <c r="I503" s="81">
        <v>0</v>
      </c>
      <c r="J503" s="81">
        <v>0</v>
      </c>
    </row>
    <row r="504" spans="1:10">
      <c r="A504" s="79" t="s">
        <v>10</v>
      </c>
      <c r="B504" s="79" t="s">
        <v>11</v>
      </c>
      <c r="C504" s="80">
        <v>0.30694444444444402</v>
      </c>
      <c r="D504" s="81">
        <v>0</v>
      </c>
      <c r="E504" s="81">
        <v>0</v>
      </c>
      <c r="F504" s="81">
        <v>0</v>
      </c>
      <c r="G504" s="81">
        <v>0</v>
      </c>
      <c r="H504" s="81">
        <v>0</v>
      </c>
      <c r="I504" s="81">
        <v>0</v>
      </c>
      <c r="J504" s="81">
        <v>0</v>
      </c>
    </row>
    <row r="505" spans="1:10">
      <c r="A505" s="79" t="s">
        <v>10</v>
      </c>
      <c r="B505" s="79" t="s">
        <v>11</v>
      </c>
      <c r="C505" s="80">
        <v>0.30763888888888902</v>
      </c>
      <c r="D505" s="81">
        <v>0</v>
      </c>
      <c r="E505" s="81">
        <v>0</v>
      </c>
      <c r="F505" s="81">
        <v>0</v>
      </c>
      <c r="G505" s="81">
        <v>0</v>
      </c>
      <c r="H505" s="81">
        <v>0</v>
      </c>
      <c r="I505" s="81">
        <v>0</v>
      </c>
      <c r="J505" s="81">
        <v>0</v>
      </c>
    </row>
    <row r="506" spans="1:10">
      <c r="A506" s="79" t="s">
        <v>10</v>
      </c>
      <c r="B506" s="79" t="s">
        <v>11</v>
      </c>
      <c r="C506" s="80">
        <v>0.30833333333333302</v>
      </c>
      <c r="D506" s="81">
        <v>0</v>
      </c>
      <c r="E506" s="81">
        <v>0</v>
      </c>
      <c r="F506" s="81">
        <v>0</v>
      </c>
      <c r="G506" s="81">
        <v>0</v>
      </c>
      <c r="H506" s="81">
        <v>0</v>
      </c>
      <c r="I506" s="81">
        <v>0</v>
      </c>
      <c r="J506" s="81">
        <v>0</v>
      </c>
    </row>
    <row r="507" spans="1:10">
      <c r="A507" s="79" t="s">
        <v>10</v>
      </c>
      <c r="B507" s="79" t="s">
        <v>11</v>
      </c>
      <c r="C507" s="80">
        <v>0.30902777777777801</v>
      </c>
      <c r="D507" s="81">
        <v>0</v>
      </c>
      <c r="E507" s="81">
        <v>0</v>
      </c>
      <c r="F507" s="81">
        <v>0</v>
      </c>
      <c r="G507" s="81">
        <v>0</v>
      </c>
      <c r="H507" s="81">
        <v>0</v>
      </c>
      <c r="I507" s="81">
        <v>0</v>
      </c>
      <c r="J507" s="81">
        <v>0</v>
      </c>
    </row>
    <row r="508" spans="1:10">
      <c r="A508" s="79" t="s">
        <v>10</v>
      </c>
      <c r="B508" s="79" t="s">
        <v>11</v>
      </c>
      <c r="C508" s="80">
        <v>0.30972222222222201</v>
      </c>
      <c r="D508" s="81">
        <v>0</v>
      </c>
      <c r="E508" s="81">
        <v>0</v>
      </c>
      <c r="F508" s="81">
        <v>0</v>
      </c>
      <c r="G508" s="81">
        <v>0</v>
      </c>
      <c r="H508" s="81">
        <v>0</v>
      </c>
      <c r="I508" s="81">
        <v>0</v>
      </c>
      <c r="J508" s="81">
        <v>0</v>
      </c>
    </row>
    <row r="509" spans="1:10">
      <c r="A509" s="79" t="s">
        <v>10</v>
      </c>
      <c r="B509" s="79" t="s">
        <v>11</v>
      </c>
      <c r="C509" s="80">
        <v>0.31041666666666701</v>
      </c>
      <c r="D509" s="81">
        <v>0</v>
      </c>
      <c r="E509" s="81">
        <v>0</v>
      </c>
      <c r="F509" s="81">
        <v>0</v>
      </c>
      <c r="G509" s="81">
        <v>0</v>
      </c>
      <c r="H509" s="81">
        <v>0</v>
      </c>
      <c r="I509" s="81">
        <v>0</v>
      </c>
      <c r="J509" s="81">
        <v>0</v>
      </c>
    </row>
    <row r="510" spans="1:10">
      <c r="A510" s="79" t="s">
        <v>10</v>
      </c>
      <c r="B510" s="79" t="s">
        <v>11</v>
      </c>
      <c r="C510" s="80">
        <v>0.31111111111111101</v>
      </c>
      <c r="D510" s="81">
        <v>0</v>
      </c>
      <c r="E510" s="81">
        <v>0</v>
      </c>
      <c r="F510" s="81">
        <v>0</v>
      </c>
      <c r="G510" s="81">
        <v>0</v>
      </c>
      <c r="H510" s="81">
        <v>0</v>
      </c>
      <c r="I510" s="81">
        <v>0</v>
      </c>
      <c r="J510" s="81">
        <v>0</v>
      </c>
    </row>
    <row r="511" spans="1:10" s="78" customFormat="1">
      <c r="A511" s="82" t="s">
        <v>10</v>
      </c>
      <c r="B511" s="82" t="s">
        <v>11</v>
      </c>
      <c r="C511" s="83">
        <v>0.311805555555556</v>
      </c>
      <c r="D511" s="84">
        <v>0</v>
      </c>
      <c r="E511" s="84">
        <v>0</v>
      </c>
      <c r="F511" s="84">
        <v>0</v>
      </c>
      <c r="G511" s="84">
        <v>0</v>
      </c>
      <c r="H511" s="84">
        <v>0</v>
      </c>
      <c r="I511" s="84">
        <v>0</v>
      </c>
      <c r="J511" s="84">
        <v>0</v>
      </c>
    </row>
    <row r="512" spans="1:10">
      <c r="A512" s="79" t="s">
        <v>10</v>
      </c>
      <c r="B512" s="79" t="s">
        <v>11</v>
      </c>
      <c r="C512" s="80">
        <v>0.3125</v>
      </c>
      <c r="D512" s="81">
        <v>0</v>
      </c>
      <c r="E512" s="81">
        <v>0</v>
      </c>
      <c r="F512" s="81">
        <v>0</v>
      </c>
      <c r="G512" s="81">
        <v>0</v>
      </c>
      <c r="H512" s="81">
        <v>0</v>
      </c>
      <c r="I512" s="81">
        <v>0</v>
      </c>
      <c r="J512" s="81">
        <v>0</v>
      </c>
    </row>
    <row r="513" spans="1:10">
      <c r="A513" s="79" t="s">
        <v>10</v>
      </c>
      <c r="B513" s="79" t="s">
        <v>11</v>
      </c>
      <c r="C513" s="80">
        <v>0.313194444444444</v>
      </c>
      <c r="D513" s="81">
        <v>0</v>
      </c>
      <c r="E513" s="81">
        <v>0</v>
      </c>
      <c r="F513" s="81">
        <v>0</v>
      </c>
      <c r="G513" s="81">
        <v>0</v>
      </c>
      <c r="H513" s="81">
        <v>0</v>
      </c>
      <c r="I513" s="81">
        <v>0</v>
      </c>
      <c r="J513" s="81">
        <v>0</v>
      </c>
    </row>
    <row r="514" spans="1:10">
      <c r="A514" s="79" t="s">
        <v>10</v>
      </c>
      <c r="B514" s="79" t="s">
        <v>11</v>
      </c>
      <c r="C514" s="80">
        <v>0.31388888888888899</v>
      </c>
      <c r="D514" s="81">
        <v>0</v>
      </c>
      <c r="E514" s="81">
        <v>0</v>
      </c>
      <c r="F514" s="81">
        <v>0</v>
      </c>
      <c r="G514" s="81">
        <v>0</v>
      </c>
      <c r="H514" s="81">
        <v>0</v>
      </c>
      <c r="I514" s="81">
        <v>0</v>
      </c>
      <c r="J514" s="81">
        <v>0</v>
      </c>
    </row>
    <row r="515" spans="1:10">
      <c r="A515" s="79" t="s">
        <v>10</v>
      </c>
      <c r="B515" s="79" t="s">
        <v>11</v>
      </c>
      <c r="C515" s="80">
        <v>0.31458333333333299</v>
      </c>
      <c r="D515" s="81">
        <v>0</v>
      </c>
      <c r="E515" s="81">
        <v>0</v>
      </c>
      <c r="F515" s="81">
        <v>0</v>
      </c>
      <c r="G515" s="81">
        <v>0</v>
      </c>
      <c r="H515" s="81">
        <v>0</v>
      </c>
      <c r="I515" s="81">
        <v>0</v>
      </c>
      <c r="J515" s="81">
        <v>0</v>
      </c>
    </row>
    <row r="516" spans="1:10">
      <c r="A516" s="79" t="s">
        <v>10</v>
      </c>
      <c r="B516" s="79" t="s">
        <v>11</v>
      </c>
      <c r="C516" s="80">
        <v>0.31527777777777799</v>
      </c>
      <c r="D516" s="81">
        <v>0</v>
      </c>
      <c r="E516" s="81">
        <v>0</v>
      </c>
      <c r="F516" s="81">
        <v>0</v>
      </c>
      <c r="G516" s="81">
        <v>0</v>
      </c>
      <c r="H516" s="81">
        <v>0</v>
      </c>
      <c r="I516" s="81">
        <v>0</v>
      </c>
      <c r="J516" s="81">
        <v>0</v>
      </c>
    </row>
    <row r="517" spans="1:10">
      <c r="A517" s="79" t="s">
        <v>10</v>
      </c>
      <c r="B517" s="79" t="s">
        <v>11</v>
      </c>
      <c r="C517" s="80">
        <v>0.31597222222222199</v>
      </c>
      <c r="D517" s="81">
        <v>0</v>
      </c>
      <c r="E517" s="81">
        <v>0</v>
      </c>
      <c r="F517" s="81">
        <v>0</v>
      </c>
      <c r="G517" s="81">
        <v>0</v>
      </c>
      <c r="H517" s="81">
        <v>0</v>
      </c>
      <c r="I517" s="81">
        <v>0</v>
      </c>
      <c r="J517" s="81">
        <v>0</v>
      </c>
    </row>
    <row r="518" spans="1:10">
      <c r="A518" s="79" t="s">
        <v>10</v>
      </c>
      <c r="B518" s="79" t="s">
        <v>11</v>
      </c>
      <c r="C518" s="80">
        <v>0.31666666666666698</v>
      </c>
      <c r="D518" s="81">
        <v>0</v>
      </c>
      <c r="E518" s="81">
        <v>0</v>
      </c>
      <c r="F518" s="81">
        <v>0</v>
      </c>
      <c r="G518" s="81">
        <v>0</v>
      </c>
      <c r="H518" s="81">
        <v>0</v>
      </c>
      <c r="I518" s="81">
        <v>0</v>
      </c>
      <c r="J518" s="81">
        <v>0</v>
      </c>
    </row>
    <row r="519" spans="1:10">
      <c r="A519" s="79" t="s">
        <v>10</v>
      </c>
      <c r="B519" s="79" t="s">
        <v>11</v>
      </c>
      <c r="C519" s="80">
        <v>0.31736111111111098</v>
      </c>
      <c r="D519" s="81">
        <v>0</v>
      </c>
      <c r="E519" s="81">
        <v>0</v>
      </c>
      <c r="F519" s="81">
        <v>0</v>
      </c>
      <c r="G519" s="81">
        <v>0</v>
      </c>
      <c r="H519" s="81">
        <v>0</v>
      </c>
      <c r="I519" s="81">
        <v>0</v>
      </c>
      <c r="J519" s="81">
        <v>0</v>
      </c>
    </row>
    <row r="520" spans="1:10">
      <c r="A520" s="79" t="s">
        <v>10</v>
      </c>
      <c r="B520" s="79" t="s">
        <v>11</v>
      </c>
      <c r="C520" s="80">
        <v>0.31805555555555498</v>
      </c>
      <c r="D520" s="81">
        <v>0</v>
      </c>
      <c r="E520" s="81">
        <v>0</v>
      </c>
      <c r="F520" s="81">
        <v>0</v>
      </c>
      <c r="G520" s="81">
        <v>0</v>
      </c>
      <c r="H520" s="81">
        <v>0</v>
      </c>
      <c r="I520" s="81">
        <v>0</v>
      </c>
      <c r="J520" s="81">
        <v>0</v>
      </c>
    </row>
    <row r="521" spans="1:10">
      <c r="A521" s="79" t="s">
        <v>10</v>
      </c>
      <c r="B521" s="79" t="s">
        <v>11</v>
      </c>
      <c r="C521" s="80">
        <v>0.31874999999999998</v>
      </c>
      <c r="D521" s="81">
        <v>0</v>
      </c>
      <c r="E521" s="81">
        <v>0</v>
      </c>
      <c r="F521" s="81">
        <v>0</v>
      </c>
      <c r="G521" s="81">
        <v>0</v>
      </c>
      <c r="H521" s="81">
        <v>0</v>
      </c>
      <c r="I521" s="81">
        <v>0</v>
      </c>
      <c r="J521" s="81">
        <v>0</v>
      </c>
    </row>
    <row r="522" spans="1:10">
      <c r="A522" s="79" t="s">
        <v>10</v>
      </c>
      <c r="B522" s="79" t="s">
        <v>11</v>
      </c>
      <c r="C522" s="80">
        <v>0.31944444444444398</v>
      </c>
      <c r="D522" s="81">
        <v>0</v>
      </c>
      <c r="E522" s="81">
        <v>0</v>
      </c>
      <c r="F522" s="81">
        <v>0</v>
      </c>
      <c r="G522" s="81">
        <v>0</v>
      </c>
      <c r="H522" s="81">
        <v>0</v>
      </c>
      <c r="I522" s="81">
        <v>0</v>
      </c>
      <c r="J522" s="81">
        <v>0</v>
      </c>
    </row>
    <row r="523" spans="1:10">
      <c r="A523" s="79" t="s">
        <v>10</v>
      </c>
      <c r="B523" s="79" t="s">
        <v>11</v>
      </c>
      <c r="C523" s="80">
        <v>0.32013888888888897</v>
      </c>
      <c r="D523" s="81">
        <v>0</v>
      </c>
      <c r="E523" s="81">
        <v>0</v>
      </c>
      <c r="F523" s="81">
        <v>0</v>
      </c>
      <c r="G523" s="81">
        <v>0</v>
      </c>
      <c r="H523" s="81">
        <v>0</v>
      </c>
      <c r="I523" s="81">
        <v>0</v>
      </c>
      <c r="J523" s="81">
        <v>0</v>
      </c>
    </row>
    <row r="524" spans="1:10">
      <c r="A524" s="79" t="s">
        <v>10</v>
      </c>
      <c r="B524" s="79" t="s">
        <v>11</v>
      </c>
      <c r="C524" s="80">
        <v>0.32083333333333303</v>
      </c>
      <c r="D524" s="81">
        <v>0</v>
      </c>
      <c r="E524" s="81">
        <v>0</v>
      </c>
      <c r="F524" s="81">
        <v>0</v>
      </c>
      <c r="G524" s="81">
        <v>0</v>
      </c>
      <c r="H524" s="81">
        <v>0</v>
      </c>
      <c r="I524" s="81">
        <v>0</v>
      </c>
      <c r="J524" s="81">
        <v>0</v>
      </c>
    </row>
    <row r="525" spans="1:10">
      <c r="A525" s="79" t="s">
        <v>10</v>
      </c>
      <c r="B525" s="79" t="s">
        <v>11</v>
      </c>
      <c r="C525" s="80">
        <v>0.32152777777777802</v>
      </c>
      <c r="D525" s="81">
        <v>0</v>
      </c>
      <c r="E525" s="81">
        <v>0</v>
      </c>
      <c r="F525" s="81">
        <v>0</v>
      </c>
      <c r="G525" s="81">
        <v>0</v>
      </c>
      <c r="H525" s="81">
        <v>0</v>
      </c>
      <c r="I525" s="81">
        <v>0</v>
      </c>
      <c r="J525" s="81">
        <v>0</v>
      </c>
    </row>
    <row r="526" spans="1:10" s="78" customFormat="1">
      <c r="A526" s="82" t="s">
        <v>10</v>
      </c>
      <c r="B526" s="82" t="s">
        <v>11</v>
      </c>
      <c r="C526" s="83">
        <v>0.32222222222222202</v>
      </c>
      <c r="D526" s="84">
        <v>0</v>
      </c>
      <c r="E526" s="84">
        <v>0</v>
      </c>
      <c r="F526" s="84">
        <v>0</v>
      </c>
      <c r="G526" s="84">
        <v>0</v>
      </c>
      <c r="H526" s="84">
        <v>0</v>
      </c>
      <c r="I526" s="84">
        <v>0</v>
      </c>
      <c r="J526" s="84">
        <v>0</v>
      </c>
    </row>
    <row r="527" spans="1:10">
      <c r="A527" s="79" t="s">
        <v>10</v>
      </c>
      <c r="B527" s="79" t="s">
        <v>11</v>
      </c>
      <c r="C527" s="80">
        <v>0.32291666666666702</v>
      </c>
      <c r="D527" s="81">
        <v>0</v>
      </c>
      <c r="E527" s="81">
        <v>0</v>
      </c>
      <c r="F527" s="81">
        <v>0</v>
      </c>
      <c r="G527" s="81">
        <v>0</v>
      </c>
      <c r="H527" s="81">
        <v>0</v>
      </c>
      <c r="I527" s="81">
        <v>0</v>
      </c>
      <c r="J527" s="81">
        <v>0</v>
      </c>
    </row>
    <row r="528" spans="1:10">
      <c r="A528" s="79" t="s">
        <v>10</v>
      </c>
      <c r="B528" s="79" t="s">
        <v>11</v>
      </c>
      <c r="C528" s="80">
        <v>0.32361111111111102</v>
      </c>
      <c r="D528" s="81">
        <v>0</v>
      </c>
      <c r="E528" s="81">
        <v>0</v>
      </c>
      <c r="F528" s="81">
        <v>0</v>
      </c>
      <c r="G528" s="81">
        <v>0</v>
      </c>
      <c r="H528" s="81">
        <v>0</v>
      </c>
      <c r="I528" s="81">
        <v>0</v>
      </c>
      <c r="J528" s="81">
        <v>0</v>
      </c>
    </row>
    <row r="529" spans="1:10">
      <c r="A529" s="79" t="s">
        <v>10</v>
      </c>
      <c r="B529" s="79" t="s">
        <v>11</v>
      </c>
      <c r="C529" s="80">
        <v>0.32430555555555601</v>
      </c>
      <c r="D529" s="81">
        <v>0</v>
      </c>
      <c r="E529" s="81">
        <v>0</v>
      </c>
      <c r="F529" s="81">
        <v>0</v>
      </c>
      <c r="G529" s="81">
        <v>0</v>
      </c>
      <c r="H529" s="81">
        <v>0</v>
      </c>
      <c r="I529" s="81">
        <v>0</v>
      </c>
      <c r="J529" s="81">
        <v>0</v>
      </c>
    </row>
    <row r="530" spans="1:10">
      <c r="A530" s="79" t="s">
        <v>10</v>
      </c>
      <c r="B530" s="79" t="s">
        <v>11</v>
      </c>
      <c r="C530" s="80">
        <v>0.32500000000000001</v>
      </c>
      <c r="D530" s="81">
        <v>0</v>
      </c>
      <c r="E530" s="81">
        <v>0</v>
      </c>
      <c r="F530" s="81">
        <v>0</v>
      </c>
      <c r="G530" s="81">
        <v>0</v>
      </c>
      <c r="H530" s="81">
        <v>0</v>
      </c>
      <c r="I530" s="81">
        <v>0</v>
      </c>
      <c r="J530" s="81">
        <v>0</v>
      </c>
    </row>
    <row r="531" spans="1:10">
      <c r="A531" s="79" t="s">
        <v>10</v>
      </c>
      <c r="B531" s="79" t="s">
        <v>11</v>
      </c>
      <c r="C531" s="80">
        <v>0.32569444444444401</v>
      </c>
      <c r="D531" s="81">
        <v>0</v>
      </c>
      <c r="E531" s="81">
        <v>0</v>
      </c>
      <c r="F531" s="81">
        <v>0</v>
      </c>
      <c r="G531" s="81">
        <v>0</v>
      </c>
      <c r="H531" s="81">
        <v>0</v>
      </c>
      <c r="I531" s="81">
        <v>0</v>
      </c>
      <c r="J531" s="81">
        <v>0</v>
      </c>
    </row>
    <row r="532" spans="1:10">
      <c r="A532" s="79" t="s">
        <v>10</v>
      </c>
      <c r="B532" s="79" t="s">
        <v>11</v>
      </c>
      <c r="C532" s="80">
        <v>0.32638888888888901</v>
      </c>
      <c r="D532" s="81">
        <v>0</v>
      </c>
      <c r="E532" s="81">
        <v>0</v>
      </c>
      <c r="F532" s="81">
        <v>0</v>
      </c>
      <c r="G532" s="81">
        <v>0</v>
      </c>
      <c r="H532" s="81">
        <v>0</v>
      </c>
      <c r="I532" s="81">
        <v>0</v>
      </c>
      <c r="J532" s="81">
        <v>0</v>
      </c>
    </row>
    <row r="533" spans="1:10">
      <c r="A533" s="79" t="s">
        <v>10</v>
      </c>
      <c r="B533" s="79" t="s">
        <v>11</v>
      </c>
      <c r="C533" s="80">
        <v>0.327083333333333</v>
      </c>
      <c r="D533" s="81">
        <v>0</v>
      </c>
      <c r="E533" s="81">
        <v>0</v>
      </c>
      <c r="F533" s="81">
        <v>0</v>
      </c>
      <c r="G533" s="81">
        <v>0</v>
      </c>
      <c r="H533" s="81">
        <v>0</v>
      </c>
      <c r="I533" s="81">
        <v>0</v>
      </c>
      <c r="J533" s="81">
        <v>0</v>
      </c>
    </row>
    <row r="534" spans="1:10">
      <c r="A534" s="79" t="s">
        <v>10</v>
      </c>
      <c r="B534" s="79" t="s">
        <v>11</v>
      </c>
      <c r="C534" s="80">
        <v>0.327777777777778</v>
      </c>
      <c r="D534" s="81">
        <v>0</v>
      </c>
      <c r="E534" s="81">
        <v>0</v>
      </c>
      <c r="F534" s="81">
        <v>0</v>
      </c>
      <c r="G534" s="81">
        <v>0</v>
      </c>
      <c r="H534" s="81">
        <v>0</v>
      </c>
      <c r="I534" s="81">
        <v>0</v>
      </c>
      <c r="J534" s="81">
        <v>0</v>
      </c>
    </row>
    <row r="535" spans="1:10">
      <c r="A535" s="79" t="s">
        <v>10</v>
      </c>
      <c r="B535" s="79" t="s">
        <v>11</v>
      </c>
      <c r="C535" s="80">
        <v>0.328472222222222</v>
      </c>
      <c r="D535" s="81">
        <v>0</v>
      </c>
      <c r="E535" s="81">
        <v>0</v>
      </c>
      <c r="F535" s="81">
        <v>0</v>
      </c>
      <c r="G535" s="81">
        <v>0</v>
      </c>
      <c r="H535" s="81">
        <v>0</v>
      </c>
      <c r="I535" s="81">
        <v>0</v>
      </c>
      <c r="J535" s="81">
        <v>0</v>
      </c>
    </row>
    <row r="536" spans="1:10">
      <c r="A536" s="79" t="s">
        <v>10</v>
      </c>
      <c r="B536" s="79" t="s">
        <v>11</v>
      </c>
      <c r="C536" s="80">
        <v>0.329166666666667</v>
      </c>
      <c r="D536" s="81">
        <v>0</v>
      </c>
      <c r="E536" s="81">
        <v>0</v>
      </c>
      <c r="F536" s="81">
        <v>0</v>
      </c>
      <c r="G536" s="81">
        <v>0</v>
      </c>
      <c r="H536" s="81">
        <v>0</v>
      </c>
      <c r="I536" s="81">
        <v>0</v>
      </c>
      <c r="J536" s="81">
        <v>0</v>
      </c>
    </row>
    <row r="537" spans="1:10">
      <c r="A537" s="79" t="s">
        <v>10</v>
      </c>
      <c r="B537" s="79" t="s">
        <v>11</v>
      </c>
      <c r="C537" s="80">
        <v>0.32986111111111099</v>
      </c>
      <c r="D537" s="81">
        <v>0</v>
      </c>
      <c r="E537" s="81">
        <v>0</v>
      </c>
      <c r="F537" s="81">
        <v>0</v>
      </c>
      <c r="G537" s="81">
        <v>0</v>
      </c>
      <c r="H537" s="81">
        <v>0</v>
      </c>
      <c r="I537" s="81">
        <v>0</v>
      </c>
      <c r="J537" s="81">
        <v>0</v>
      </c>
    </row>
    <row r="538" spans="1:10">
      <c r="A538" s="79" t="s">
        <v>10</v>
      </c>
      <c r="B538" s="79" t="s">
        <v>11</v>
      </c>
      <c r="C538" s="80">
        <v>0.33055555555555499</v>
      </c>
      <c r="D538" s="81">
        <v>0</v>
      </c>
      <c r="E538" s="81">
        <v>0</v>
      </c>
      <c r="F538" s="81">
        <v>0</v>
      </c>
      <c r="G538" s="81">
        <v>0</v>
      </c>
      <c r="H538" s="81">
        <v>0</v>
      </c>
      <c r="I538" s="81">
        <v>0</v>
      </c>
      <c r="J538" s="81">
        <v>0</v>
      </c>
    </row>
    <row r="539" spans="1:10">
      <c r="A539" s="79" t="s">
        <v>10</v>
      </c>
      <c r="B539" s="79" t="s">
        <v>11</v>
      </c>
      <c r="C539" s="80">
        <v>0.33124999999999999</v>
      </c>
      <c r="D539" s="81">
        <v>0</v>
      </c>
      <c r="E539" s="81">
        <v>0</v>
      </c>
      <c r="F539" s="81">
        <v>0</v>
      </c>
      <c r="G539" s="81">
        <v>0</v>
      </c>
      <c r="H539" s="81">
        <v>0</v>
      </c>
      <c r="I539" s="81">
        <v>0</v>
      </c>
      <c r="J539" s="81">
        <v>0</v>
      </c>
    </row>
    <row r="540" spans="1:10">
      <c r="A540" s="79" t="s">
        <v>10</v>
      </c>
      <c r="B540" s="79" t="s">
        <v>11</v>
      </c>
      <c r="C540" s="80">
        <v>0.33194444444444399</v>
      </c>
      <c r="D540" s="81">
        <v>0</v>
      </c>
      <c r="E540" s="81">
        <v>0</v>
      </c>
      <c r="F540" s="81">
        <v>0</v>
      </c>
      <c r="G540" s="81">
        <v>0</v>
      </c>
      <c r="H540" s="81">
        <v>0</v>
      </c>
      <c r="I540" s="81">
        <v>0</v>
      </c>
      <c r="J540" s="81">
        <v>0</v>
      </c>
    </row>
    <row r="541" spans="1:10" s="78" customFormat="1">
      <c r="A541" s="82" t="s">
        <v>10</v>
      </c>
      <c r="B541" s="82" t="s">
        <v>11</v>
      </c>
      <c r="C541" s="83">
        <v>0.33263888888888898</v>
      </c>
      <c r="D541" s="84">
        <v>0</v>
      </c>
      <c r="E541" s="84">
        <v>0</v>
      </c>
      <c r="F541" s="84">
        <v>0</v>
      </c>
      <c r="G541" s="84">
        <v>0</v>
      </c>
      <c r="H541" s="84">
        <v>0</v>
      </c>
      <c r="I541" s="84">
        <v>0</v>
      </c>
      <c r="J541" s="84">
        <v>0</v>
      </c>
    </row>
    <row r="542" spans="1:10">
      <c r="A542" s="79" t="s">
        <v>10</v>
      </c>
      <c r="B542" s="79" t="s">
        <v>11</v>
      </c>
      <c r="C542" s="80">
        <v>0.33333333333333298</v>
      </c>
      <c r="D542" s="81">
        <v>0</v>
      </c>
      <c r="E542" s="81">
        <v>0</v>
      </c>
      <c r="F542" s="81">
        <v>0</v>
      </c>
      <c r="G542" s="81">
        <v>0</v>
      </c>
      <c r="H542" s="81">
        <v>0</v>
      </c>
      <c r="I542" s="81">
        <v>0</v>
      </c>
      <c r="J542" s="81">
        <v>0</v>
      </c>
    </row>
    <row r="543" spans="1:10">
      <c r="A543" s="79" t="s">
        <v>10</v>
      </c>
      <c r="B543" s="79" t="s">
        <v>11</v>
      </c>
      <c r="C543" s="80">
        <v>0.33402777777777798</v>
      </c>
      <c r="D543" s="81">
        <v>0</v>
      </c>
      <c r="E543" s="81">
        <v>0</v>
      </c>
      <c r="F543" s="81">
        <v>0</v>
      </c>
      <c r="G543" s="81">
        <v>0</v>
      </c>
      <c r="H543" s="81">
        <v>0</v>
      </c>
      <c r="I543" s="81">
        <v>0</v>
      </c>
      <c r="J543" s="81">
        <v>0</v>
      </c>
    </row>
    <row r="544" spans="1:10">
      <c r="A544" s="79" t="s">
        <v>10</v>
      </c>
      <c r="B544" s="79" t="s">
        <v>11</v>
      </c>
      <c r="C544" s="80">
        <v>0.33472222222222198</v>
      </c>
      <c r="D544" s="81">
        <v>0</v>
      </c>
      <c r="E544" s="81">
        <v>0</v>
      </c>
      <c r="F544" s="81">
        <v>0</v>
      </c>
      <c r="G544" s="81">
        <v>0</v>
      </c>
      <c r="H544" s="81">
        <v>0</v>
      </c>
      <c r="I544" s="81">
        <v>0</v>
      </c>
      <c r="J544" s="81">
        <v>0</v>
      </c>
    </row>
    <row r="545" spans="1:10">
      <c r="A545" s="79" t="s">
        <v>10</v>
      </c>
      <c r="B545" s="79" t="s">
        <v>11</v>
      </c>
      <c r="C545" s="80">
        <v>0.33541666666666597</v>
      </c>
      <c r="D545" s="81">
        <v>0</v>
      </c>
      <c r="E545" s="81">
        <v>0</v>
      </c>
      <c r="F545" s="81">
        <v>0</v>
      </c>
      <c r="G545" s="81">
        <v>0</v>
      </c>
      <c r="H545" s="81">
        <v>0</v>
      </c>
      <c r="I545" s="81">
        <v>0</v>
      </c>
      <c r="J545" s="81">
        <v>0</v>
      </c>
    </row>
    <row r="546" spans="1:10">
      <c r="A546" s="79" t="s">
        <v>10</v>
      </c>
      <c r="B546" s="79" t="s">
        <v>11</v>
      </c>
      <c r="C546" s="80">
        <v>0.33611111111111103</v>
      </c>
      <c r="D546" s="81">
        <v>0</v>
      </c>
      <c r="E546" s="81">
        <v>0</v>
      </c>
      <c r="F546" s="81">
        <v>0</v>
      </c>
      <c r="G546" s="81">
        <v>0</v>
      </c>
      <c r="H546" s="81">
        <v>0</v>
      </c>
      <c r="I546" s="81">
        <v>0</v>
      </c>
      <c r="J546" s="81">
        <v>0</v>
      </c>
    </row>
    <row r="547" spans="1:10">
      <c r="A547" s="79" t="s">
        <v>10</v>
      </c>
      <c r="B547" s="79" t="s">
        <v>11</v>
      </c>
      <c r="C547" s="80">
        <v>0.33680555555555503</v>
      </c>
      <c r="D547" s="81">
        <v>0</v>
      </c>
      <c r="E547" s="81">
        <v>0</v>
      </c>
      <c r="F547" s="81">
        <v>0</v>
      </c>
      <c r="G547" s="81">
        <v>0</v>
      </c>
      <c r="H547" s="81">
        <v>0</v>
      </c>
      <c r="I547" s="81">
        <v>0</v>
      </c>
      <c r="J547" s="81">
        <v>0</v>
      </c>
    </row>
    <row r="548" spans="1:10">
      <c r="A548" s="79" t="s">
        <v>10</v>
      </c>
      <c r="B548" s="79" t="s">
        <v>11</v>
      </c>
      <c r="C548" s="80">
        <v>0.33750000000000002</v>
      </c>
      <c r="D548" s="81">
        <v>0</v>
      </c>
      <c r="E548" s="81">
        <v>0</v>
      </c>
      <c r="F548" s="81">
        <v>0</v>
      </c>
      <c r="G548" s="81">
        <v>0</v>
      </c>
      <c r="H548" s="81">
        <v>0</v>
      </c>
      <c r="I548" s="81">
        <v>0</v>
      </c>
      <c r="J548" s="81">
        <v>0</v>
      </c>
    </row>
    <row r="549" spans="1:10">
      <c r="A549" s="79" t="s">
        <v>10</v>
      </c>
      <c r="B549" s="79" t="s">
        <v>11</v>
      </c>
      <c r="C549" s="80">
        <v>0.33819444444444402</v>
      </c>
      <c r="D549" s="81">
        <v>0</v>
      </c>
      <c r="E549" s="81">
        <v>0</v>
      </c>
      <c r="F549" s="81">
        <v>0</v>
      </c>
      <c r="G549" s="81">
        <v>0</v>
      </c>
      <c r="H549" s="81">
        <v>0</v>
      </c>
      <c r="I549" s="81">
        <v>0</v>
      </c>
      <c r="J549" s="81">
        <v>0</v>
      </c>
    </row>
    <row r="550" spans="1:10">
      <c r="A550" s="79" t="s">
        <v>10</v>
      </c>
      <c r="B550" s="79" t="s">
        <v>11</v>
      </c>
      <c r="C550" s="80">
        <v>0.33888888888888902</v>
      </c>
      <c r="D550" s="81">
        <v>0</v>
      </c>
      <c r="E550" s="81">
        <v>0</v>
      </c>
      <c r="F550" s="81">
        <v>0</v>
      </c>
      <c r="G550" s="81">
        <v>0</v>
      </c>
      <c r="H550" s="81">
        <v>0</v>
      </c>
      <c r="I550" s="81">
        <v>0</v>
      </c>
      <c r="J550" s="81">
        <v>0</v>
      </c>
    </row>
    <row r="551" spans="1:10">
      <c r="A551" s="79" t="s">
        <v>10</v>
      </c>
      <c r="B551" s="79" t="s">
        <v>11</v>
      </c>
      <c r="C551" s="80">
        <v>0.33958333333333302</v>
      </c>
      <c r="D551" s="81">
        <v>0</v>
      </c>
      <c r="E551" s="81">
        <v>0</v>
      </c>
      <c r="F551" s="81">
        <v>0</v>
      </c>
      <c r="G551" s="81">
        <v>0</v>
      </c>
      <c r="H551" s="81">
        <v>0</v>
      </c>
      <c r="I551" s="81">
        <v>0</v>
      </c>
      <c r="J551" s="81">
        <v>0</v>
      </c>
    </row>
    <row r="552" spans="1:10">
      <c r="A552" s="79" t="s">
        <v>10</v>
      </c>
      <c r="B552" s="79" t="s">
        <v>11</v>
      </c>
      <c r="C552" s="80">
        <v>0.34027777777777801</v>
      </c>
      <c r="D552" s="81">
        <v>0</v>
      </c>
      <c r="E552" s="81">
        <v>0</v>
      </c>
      <c r="F552" s="81">
        <v>0</v>
      </c>
      <c r="G552" s="81">
        <v>0</v>
      </c>
      <c r="H552" s="81">
        <v>0</v>
      </c>
      <c r="I552" s="81">
        <v>0</v>
      </c>
      <c r="J552" s="81">
        <v>0</v>
      </c>
    </row>
    <row r="553" spans="1:10">
      <c r="A553" s="79" t="s">
        <v>10</v>
      </c>
      <c r="B553" s="79" t="s">
        <v>11</v>
      </c>
      <c r="C553" s="80">
        <v>0.34097222222222201</v>
      </c>
      <c r="D553" s="81">
        <v>0</v>
      </c>
      <c r="E553" s="81">
        <v>0</v>
      </c>
      <c r="F553" s="81">
        <v>0</v>
      </c>
      <c r="G553" s="81">
        <v>0</v>
      </c>
      <c r="H553" s="81">
        <v>0</v>
      </c>
      <c r="I553" s="81">
        <v>0</v>
      </c>
      <c r="J553" s="81">
        <v>0</v>
      </c>
    </row>
    <row r="554" spans="1:10">
      <c r="A554" s="79" t="s">
        <v>10</v>
      </c>
      <c r="B554" s="79" t="s">
        <v>11</v>
      </c>
      <c r="C554" s="80">
        <v>0.34166666666666701</v>
      </c>
      <c r="D554" s="81">
        <v>0</v>
      </c>
      <c r="E554" s="81">
        <v>0</v>
      </c>
      <c r="F554" s="81">
        <v>0</v>
      </c>
      <c r="G554" s="81">
        <v>0</v>
      </c>
      <c r="H554" s="81">
        <v>0</v>
      </c>
      <c r="I554" s="81">
        <v>0</v>
      </c>
      <c r="J554" s="81">
        <v>0</v>
      </c>
    </row>
    <row r="555" spans="1:10">
      <c r="A555" s="79" t="s">
        <v>10</v>
      </c>
      <c r="B555" s="79" t="s">
        <v>11</v>
      </c>
      <c r="C555" s="80">
        <v>0.34236111111111101</v>
      </c>
      <c r="D555" s="81">
        <v>0</v>
      </c>
      <c r="E555" s="81">
        <v>0</v>
      </c>
      <c r="F555" s="81">
        <v>0</v>
      </c>
      <c r="G555" s="81">
        <v>0</v>
      </c>
      <c r="H555" s="81">
        <v>0</v>
      </c>
      <c r="I555" s="81">
        <v>0</v>
      </c>
      <c r="J555" s="81">
        <v>0</v>
      </c>
    </row>
    <row r="556" spans="1:10" s="78" customFormat="1">
      <c r="A556" s="82" t="s">
        <v>10</v>
      </c>
      <c r="B556" s="82" t="s">
        <v>11</v>
      </c>
      <c r="C556" s="83">
        <v>0.343055555555555</v>
      </c>
      <c r="D556" s="84">
        <v>0</v>
      </c>
      <c r="E556" s="84">
        <v>0</v>
      </c>
      <c r="F556" s="84">
        <v>0</v>
      </c>
      <c r="G556" s="84">
        <v>0</v>
      </c>
      <c r="H556" s="84">
        <v>0</v>
      </c>
      <c r="I556" s="84">
        <v>0</v>
      </c>
      <c r="J556" s="84">
        <v>0</v>
      </c>
    </row>
    <row r="557" spans="1:10">
      <c r="A557" s="79" t="s">
        <v>10</v>
      </c>
      <c r="B557" s="79" t="s">
        <v>11</v>
      </c>
      <c r="C557" s="80">
        <v>0.34375</v>
      </c>
      <c r="D557" s="81">
        <v>0</v>
      </c>
      <c r="E557" s="81">
        <v>0</v>
      </c>
      <c r="F557" s="81">
        <v>0</v>
      </c>
      <c r="G557" s="81">
        <v>0</v>
      </c>
      <c r="H557" s="81">
        <v>0</v>
      </c>
      <c r="I557" s="81">
        <v>0</v>
      </c>
      <c r="J557" s="81">
        <v>0</v>
      </c>
    </row>
    <row r="558" spans="1:10">
      <c r="A558" s="79" t="s">
        <v>10</v>
      </c>
      <c r="B558" s="79" t="s">
        <v>11</v>
      </c>
      <c r="C558" s="80">
        <v>0.344444444444444</v>
      </c>
      <c r="D558" s="81">
        <v>0</v>
      </c>
      <c r="E558" s="81">
        <v>0</v>
      </c>
      <c r="F558" s="81">
        <v>0</v>
      </c>
      <c r="G558" s="81">
        <v>0</v>
      </c>
      <c r="H558" s="81">
        <v>0</v>
      </c>
      <c r="I558" s="81">
        <v>0</v>
      </c>
      <c r="J558" s="81">
        <v>0</v>
      </c>
    </row>
    <row r="559" spans="1:10">
      <c r="A559" s="79" t="s">
        <v>10</v>
      </c>
      <c r="B559" s="79" t="s">
        <v>11</v>
      </c>
      <c r="C559" s="80">
        <v>0.34513888888888899</v>
      </c>
      <c r="D559" s="81">
        <v>0</v>
      </c>
      <c r="E559" s="81">
        <v>0</v>
      </c>
      <c r="F559" s="81">
        <v>0</v>
      </c>
      <c r="G559" s="81">
        <v>0</v>
      </c>
      <c r="H559" s="81">
        <v>0</v>
      </c>
      <c r="I559" s="81">
        <v>0</v>
      </c>
      <c r="J559" s="81">
        <v>0</v>
      </c>
    </row>
    <row r="560" spans="1:10">
      <c r="A560" s="79" t="s">
        <v>10</v>
      </c>
      <c r="B560" s="79" t="s">
        <v>11</v>
      </c>
      <c r="C560" s="80">
        <v>0.34583333333333299</v>
      </c>
      <c r="D560" s="81">
        <v>0</v>
      </c>
      <c r="E560" s="81">
        <v>0</v>
      </c>
      <c r="F560" s="81">
        <v>0</v>
      </c>
      <c r="G560" s="81">
        <v>0</v>
      </c>
      <c r="H560" s="81">
        <v>0</v>
      </c>
      <c r="I560" s="81">
        <v>0</v>
      </c>
      <c r="J560" s="81">
        <v>0</v>
      </c>
    </row>
    <row r="561" spans="1:10">
      <c r="A561" s="79" t="s">
        <v>10</v>
      </c>
      <c r="B561" s="79" t="s">
        <v>11</v>
      </c>
      <c r="C561" s="80">
        <v>0.34652777777777799</v>
      </c>
      <c r="D561" s="81">
        <v>0</v>
      </c>
      <c r="E561" s="81">
        <v>0</v>
      </c>
      <c r="F561" s="81">
        <v>0</v>
      </c>
      <c r="G561" s="81">
        <v>0</v>
      </c>
      <c r="H561" s="81">
        <v>0</v>
      </c>
      <c r="I561" s="81">
        <v>0</v>
      </c>
      <c r="J561" s="81">
        <v>0</v>
      </c>
    </row>
    <row r="562" spans="1:10">
      <c r="A562" s="79" t="s">
        <v>10</v>
      </c>
      <c r="B562" s="79" t="s">
        <v>11</v>
      </c>
      <c r="C562" s="80">
        <v>0.34722222222222199</v>
      </c>
      <c r="D562" s="81">
        <v>0</v>
      </c>
      <c r="E562" s="81">
        <v>0</v>
      </c>
      <c r="F562" s="81">
        <v>0</v>
      </c>
      <c r="G562" s="81">
        <v>0</v>
      </c>
      <c r="H562" s="81">
        <v>0</v>
      </c>
      <c r="I562" s="81">
        <v>0</v>
      </c>
      <c r="J562" s="81">
        <v>0</v>
      </c>
    </row>
    <row r="563" spans="1:10">
      <c r="A563" s="79" t="s">
        <v>10</v>
      </c>
      <c r="B563" s="79" t="s">
        <v>11</v>
      </c>
      <c r="C563" s="80">
        <v>0.34791666666666599</v>
      </c>
      <c r="D563" s="81">
        <v>0</v>
      </c>
      <c r="E563" s="81">
        <v>0</v>
      </c>
      <c r="F563" s="81">
        <v>0</v>
      </c>
      <c r="G563" s="81">
        <v>0</v>
      </c>
      <c r="H563" s="81">
        <v>0</v>
      </c>
      <c r="I563" s="81">
        <v>0</v>
      </c>
      <c r="J563" s="81">
        <v>0</v>
      </c>
    </row>
    <row r="564" spans="1:10">
      <c r="A564" s="79" t="s">
        <v>10</v>
      </c>
      <c r="B564" s="79" t="s">
        <v>11</v>
      </c>
      <c r="C564" s="80">
        <v>0.34861111111111098</v>
      </c>
      <c r="D564" s="81">
        <v>0</v>
      </c>
      <c r="E564" s="81">
        <v>0</v>
      </c>
      <c r="F564" s="81">
        <v>0</v>
      </c>
      <c r="G564" s="81">
        <v>0</v>
      </c>
      <c r="H564" s="81">
        <v>0</v>
      </c>
      <c r="I564" s="81">
        <v>0</v>
      </c>
      <c r="J564" s="81">
        <v>0</v>
      </c>
    </row>
    <row r="565" spans="1:10">
      <c r="A565" s="79" t="s">
        <v>10</v>
      </c>
      <c r="B565" s="79" t="s">
        <v>11</v>
      </c>
      <c r="C565" s="80">
        <v>0.34930555555555498</v>
      </c>
      <c r="D565" s="81">
        <v>0</v>
      </c>
      <c r="E565" s="81">
        <v>0</v>
      </c>
      <c r="F565" s="81">
        <v>0</v>
      </c>
      <c r="G565" s="81">
        <v>0</v>
      </c>
      <c r="H565" s="81">
        <v>0</v>
      </c>
      <c r="I565" s="81">
        <v>0</v>
      </c>
      <c r="J565" s="81">
        <v>0</v>
      </c>
    </row>
    <row r="566" spans="1:10">
      <c r="A566" s="79" t="s">
        <v>10</v>
      </c>
      <c r="B566" s="79" t="s">
        <v>11</v>
      </c>
      <c r="C566" s="80">
        <v>0.35</v>
      </c>
      <c r="D566" s="81">
        <v>0</v>
      </c>
      <c r="E566" s="81">
        <v>0</v>
      </c>
      <c r="F566" s="81">
        <v>0</v>
      </c>
      <c r="G566" s="81">
        <v>0</v>
      </c>
      <c r="H566" s="81">
        <v>0</v>
      </c>
      <c r="I566" s="81">
        <v>0</v>
      </c>
      <c r="J566" s="81">
        <v>0</v>
      </c>
    </row>
    <row r="567" spans="1:10">
      <c r="A567" s="79" t="s">
        <v>10</v>
      </c>
      <c r="B567" s="79" t="s">
        <v>11</v>
      </c>
      <c r="C567" s="80">
        <v>0.35069444444444398</v>
      </c>
      <c r="D567" s="81">
        <v>0</v>
      </c>
      <c r="E567" s="81">
        <v>0</v>
      </c>
      <c r="F567" s="81">
        <v>0</v>
      </c>
      <c r="G567" s="81">
        <v>0</v>
      </c>
      <c r="H567" s="81">
        <v>0</v>
      </c>
      <c r="I567" s="81">
        <v>0</v>
      </c>
      <c r="J567" s="81">
        <v>0</v>
      </c>
    </row>
    <row r="568" spans="1:10">
      <c r="A568" s="79" t="s">
        <v>10</v>
      </c>
      <c r="B568" s="79" t="s">
        <v>11</v>
      </c>
      <c r="C568" s="80">
        <v>0.35138888888888897</v>
      </c>
      <c r="D568" s="81">
        <v>0</v>
      </c>
      <c r="E568" s="81">
        <v>0</v>
      </c>
      <c r="F568" s="81">
        <v>0</v>
      </c>
      <c r="G568" s="81">
        <v>0</v>
      </c>
      <c r="H568" s="81">
        <v>0</v>
      </c>
      <c r="I568" s="81">
        <v>0</v>
      </c>
      <c r="J568" s="81">
        <v>0</v>
      </c>
    </row>
    <row r="569" spans="1:10">
      <c r="A569" s="79" t="s">
        <v>10</v>
      </c>
      <c r="B569" s="79" t="s">
        <v>11</v>
      </c>
      <c r="C569" s="80">
        <v>0.35208333333333303</v>
      </c>
      <c r="D569" s="81">
        <v>0</v>
      </c>
      <c r="E569" s="81">
        <v>0</v>
      </c>
      <c r="F569" s="81">
        <v>0</v>
      </c>
      <c r="G569" s="81">
        <v>0</v>
      </c>
      <c r="H569" s="81">
        <v>0</v>
      </c>
      <c r="I569" s="81">
        <v>0</v>
      </c>
      <c r="J569" s="81">
        <v>0</v>
      </c>
    </row>
    <row r="570" spans="1:10">
      <c r="A570" s="79" t="s">
        <v>10</v>
      </c>
      <c r="B570" s="79" t="s">
        <v>11</v>
      </c>
      <c r="C570" s="80">
        <v>0.35277777777777802</v>
      </c>
      <c r="D570" s="81">
        <v>0</v>
      </c>
      <c r="E570" s="81">
        <v>0</v>
      </c>
      <c r="F570" s="81">
        <v>0</v>
      </c>
      <c r="G570" s="81">
        <v>0</v>
      </c>
      <c r="H570" s="81">
        <v>0</v>
      </c>
      <c r="I570" s="81">
        <v>0</v>
      </c>
      <c r="J570" s="81">
        <v>0</v>
      </c>
    </row>
    <row r="571" spans="1:10" s="78" customFormat="1">
      <c r="A571" s="82" t="s">
        <v>10</v>
      </c>
      <c r="B571" s="82" t="s">
        <v>11</v>
      </c>
      <c r="C571" s="83">
        <v>0.35347222222222202</v>
      </c>
      <c r="D571" s="84">
        <v>0</v>
      </c>
      <c r="E571" s="84">
        <v>0</v>
      </c>
      <c r="F571" s="84">
        <v>0</v>
      </c>
      <c r="G571" s="84">
        <v>0</v>
      </c>
      <c r="H571" s="84">
        <v>0</v>
      </c>
      <c r="I571" s="84">
        <v>0</v>
      </c>
      <c r="J571" s="84">
        <v>0</v>
      </c>
    </row>
    <row r="572" spans="1:10">
      <c r="A572" s="79" t="s">
        <v>10</v>
      </c>
      <c r="B572" s="79" t="s">
        <v>11</v>
      </c>
      <c r="C572" s="80">
        <v>0.35416666666666602</v>
      </c>
      <c r="D572" s="81">
        <v>0</v>
      </c>
      <c r="E572" s="81">
        <v>0</v>
      </c>
      <c r="F572" s="81">
        <v>0</v>
      </c>
      <c r="G572" s="81">
        <v>0</v>
      </c>
      <c r="H572" s="81">
        <v>0</v>
      </c>
      <c r="I572" s="81">
        <v>0</v>
      </c>
      <c r="J572" s="81">
        <v>0</v>
      </c>
    </row>
    <row r="573" spans="1:10">
      <c r="A573" s="79" t="s">
        <v>10</v>
      </c>
      <c r="B573" s="79" t="s">
        <v>11</v>
      </c>
      <c r="C573" s="80">
        <v>0.35486111111111102</v>
      </c>
      <c r="D573" s="81">
        <v>0</v>
      </c>
      <c r="E573" s="81">
        <v>0</v>
      </c>
      <c r="F573" s="81">
        <v>0</v>
      </c>
      <c r="G573" s="81">
        <v>0</v>
      </c>
      <c r="H573" s="81">
        <v>0</v>
      </c>
      <c r="I573" s="81">
        <v>0</v>
      </c>
      <c r="J573" s="81">
        <v>0</v>
      </c>
    </row>
    <row r="574" spans="1:10">
      <c r="A574" s="79" t="s">
        <v>10</v>
      </c>
      <c r="B574" s="79" t="s">
        <v>11</v>
      </c>
      <c r="C574" s="80">
        <v>0.35555555555555501</v>
      </c>
      <c r="D574" s="81">
        <v>0</v>
      </c>
      <c r="E574" s="81">
        <v>0</v>
      </c>
      <c r="F574" s="81">
        <v>0</v>
      </c>
      <c r="G574" s="81">
        <v>0</v>
      </c>
      <c r="H574" s="81">
        <v>0</v>
      </c>
      <c r="I574" s="81">
        <v>0</v>
      </c>
      <c r="J574" s="81">
        <v>0</v>
      </c>
    </row>
    <row r="575" spans="1:10">
      <c r="A575" s="79" t="s">
        <v>10</v>
      </c>
      <c r="B575" s="79" t="s">
        <v>11</v>
      </c>
      <c r="C575" s="80">
        <v>0.35625000000000001</v>
      </c>
      <c r="D575" s="81">
        <v>0</v>
      </c>
      <c r="E575" s="81">
        <v>0</v>
      </c>
      <c r="F575" s="81">
        <v>0</v>
      </c>
      <c r="G575" s="81">
        <v>0</v>
      </c>
      <c r="H575" s="81">
        <v>0</v>
      </c>
      <c r="I575" s="81">
        <v>0</v>
      </c>
      <c r="J575" s="81">
        <v>0</v>
      </c>
    </row>
    <row r="576" spans="1:10">
      <c r="A576" s="79" t="s">
        <v>10</v>
      </c>
      <c r="B576" s="79" t="s">
        <v>11</v>
      </c>
      <c r="C576" s="80">
        <v>0.35694444444444401</v>
      </c>
      <c r="D576" s="81">
        <v>0</v>
      </c>
      <c r="E576" s="81">
        <v>0</v>
      </c>
      <c r="F576" s="81">
        <v>0</v>
      </c>
      <c r="G576" s="81">
        <v>0</v>
      </c>
      <c r="H576" s="81">
        <v>0</v>
      </c>
      <c r="I576" s="81">
        <v>0</v>
      </c>
      <c r="J576" s="81">
        <v>0</v>
      </c>
    </row>
    <row r="577" spans="1:10">
      <c r="A577" s="79" t="s">
        <v>10</v>
      </c>
      <c r="B577" s="79" t="s">
        <v>11</v>
      </c>
      <c r="C577" s="80">
        <v>0.35763888888888901</v>
      </c>
      <c r="D577" s="81">
        <v>0</v>
      </c>
      <c r="E577" s="81">
        <v>0</v>
      </c>
      <c r="F577" s="81">
        <v>0</v>
      </c>
      <c r="G577" s="81">
        <v>0</v>
      </c>
      <c r="H577" s="81">
        <v>0</v>
      </c>
      <c r="I577" s="81">
        <v>0</v>
      </c>
      <c r="J577" s="81">
        <v>0</v>
      </c>
    </row>
    <row r="578" spans="1:10">
      <c r="A578" s="79" t="s">
        <v>10</v>
      </c>
      <c r="B578" s="79" t="s">
        <v>11</v>
      </c>
      <c r="C578" s="80">
        <v>0.358333333333333</v>
      </c>
      <c r="D578" s="81">
        <v>0</v>
      </c>
      <c r="E578" s="81">
        <v>0</v>
      </c>
      <c r="F578" s="81">
        <v>0</v>
      </c>
      <c r="G578" s="81">
        <v>0</v>
      </c>
      <c r="H578" s="81">
        <v>0</v>
      </c>
      <c r="I578" s="81">
        <v>0</v>
      </c>
      <c r="J578" s="81">
        <v>0</v>
      </c>
    </row>
    <row r="579" spans="1:10">
      <c r="A579" s="79" t="s">
        <v>10</v>
      </c>
      <c r="B579" s="79" t="s">
        <v>11</v>
      </c>
      <c r="C579" s="80">
        <v>0.359027777777778</v>
      </c>
      <c r="D579" s="81">
        <v>0</v>
      </c>
      <c r="E579" s="81">
        <v>0</v>
      </c>
      <c r="F579" s="81">
        <v>0</v>
      </c>
      <c r="G579" s="81">
        <v>0</v>
      </c>
      <c r="H579" s="81">
        <v>0</v>
      </c>
      <c r="I579" s="81">
        <v>0</v>
      </c>
      <c r="J579" s="81">
        <v>0</v>
      </c>
    </row>
    <row r="580" spans="1:10">
      <c r="A580" s="79" t="s">
        <v>10</v>
      </c>
      <c r="B580" s="79" t="s">
        <v>11</v>
      </c>
      <c r="C580" s="80">
        <v>0.359722222222222</v>
      </c>
      <c r="D580" s="81">
        <v>0</v>
      </c>
      <c r="E580" s="81">
        <v>0</v>
      </c>
      <c r="F580" s="81">
        <v>0</v>
      </c>
      <c r="G580" s="81">
        <v>0</v>
      </c>
      <c r="H580" s="81">
        <v>0</v>
      </c>
      <c r="I580" s="81">
        <v>0</v>
      </c>
      <c r="J580" s="81">
        <v>0</v>
      </c>
    </row>
    <row r="581" spans="1:10">
      <c r="A581" s="79" t="s">
        <v>10</v>
      </c>
      <c r="B581" s="79" t="s">
        <v>11</v>
      </c>
      <c r="C581" s="80">
        <v>0.360416666666666</v>
      </c>
      <c r="D581" s="81">
        <v>0</v>
      </c>
      <c r="E581" s="81">
        <v>0</v>
      </c>
      <c r="F581" s="81">
        <v>0</v>
      </c>
      <c r="G581" s="81">
        <v>0</v>
      </c>
      <c r="H581" s="81">
        <v>0</v>
      </c>
      <c r="I581" s="81">
        <v>0</v>
      </c>
      <c r="J581" s="81">
        <v>0</v>
      </c>
    </row>
    <row r="582" spans="1:10">
      <c r="A582" s="79" t="s">
        <v>10</v>
      </c>
      <c r="B582" s="79" t="s">
        <v>11</v>
      </c>
      <c r="C582" s="80">
        <v>0.36111111111111099</v>
      </c>
      <c r="D582" s="81">
        <v>0</v>
      </c>
      <c r="E582" s="81">
        <v>0</v>
      </c>
      <c r="F582" s="81">
        <v>0</v>
      </c>
      <c r="G582" s="81">
        <v>0</v>
      </c>
      <c r="H582" s="81">
        <v>0</v>
      </c>
      <c r="I582" s="81">
        <v>0</v>
      </c>
      <c r="J582" s="81">
        <v>0</v>
      </c>
    </row>
    <row r="583" spans="1:10">
      <c r="A583" s="79" t="s">
        <v>10</v>
      </c>
      <c r="B583" s="79" t="s">
        <v>11</v>
      </c>
      <c r="C583" s="80">
        <v>0.36180555555555499</v>
      </c>
      <c r="D583" s="81">
        <v>0</v>
      </c>
      <c r="E583" s="81">
        <v>0</v>
      </c>
      <c r="F583" s="81">
        <v>0</v>
      </c>
      <c r="G583" s="81">
        <v>0</v>
      </c>
      <c r="H583" s="81">
        <v>0</v>
      </c>
      <c r="I583" s="81">
        <v>0</v>
      </c>
      <c r="J583" s="81">
        <v>0</v>
      </c>
    </row>
    <row r="584" spans="1:10">
      <c r="A584" s="79" t="s">
        <v>10</v>
      </c>
      <c r="B584" s="79" t="s">
        <v>11</v>
      </c>
      <c r="C584" s="80">
        <v>0.36249999999999999</v>
      </c>
      <c r="D584" s="81">
        <v>0</v>
      </c>
      <c r="E584" s="81">
        <v>0</v>
      </c>
      <c r="F584" s="81">
        <v>0</v>
      </c>
      <c r="G584" s="81">
        <v>0</v>
      </c>
      <c r="H584" s="81">
        <v>0</v>
      </c>
      <c r="I584" s="81">
        <v>0</v>
      </c>
      <c r="J584" s="81">
        <v>0</v>
      </c>
    </row>
    <row r="585" spans="1:10">
      <c r="A585" s="79" t="s">
        <v>10</v>
      </c>
      <c r="B585" s="79" t="s">
        <v>11</v>
      </c>
      <c r="C585" s="80">
        <v>0.36319444444444399</v>
      </c>
      <c r="D585" s="81">
        <v>0</v>
      </c>
      <c r="E585" s="81">
        <v>0</v>
      </c>
      <c r="F585" s="81">
        <v>0</v>
      </c>
      <c r="G585" s="81">
        <v>0</v>
      </c>
      <c r="H585" s="81">
        <v>0</v>
      </c>
      <c r="I585" s="81">
        <v>0</v>
      </c>
      <c r="J585" s="81">
        <v>0</v>
      </c>
    </row>
    <row r="586" spans="1:10" s="78" customFormat="1">
      <c r="A586" s="82" t="s">
        <v>10</v>
      </c>
      <c r="B586" s="82" t="s">
        <v>11</v>
      </c>
      <c r="C586" s="83">
        <v>0.36388888888888898</v>
      </c>
      <c r="D586" s="84">
        <v>0</v>
      </c>
      <c r="E586" s="84">
        <v>0</v>
      </c>
      <c r="F586" s="84">
        <v>0</v>
      </c>
      <c r="G586" s="84">
        <v>0</v>
      </c>
      <c r="H586" s="84">
        <v>0</v>
      </c>
      <c r="I586" s="84">
        <v>0</v>
      </c>
      <c r="J586" s="84">
        <v>0</v>
      </c>
    </row>
    <row r="587" spans="1:10">
      <c r="A587" s="79" t="s">
        <v>10</v>
      </c>
      <c r="B587" s="79" t="s">
        <v>11</v>
      </c>
      <c r="C587" s="80">
        <v>0.36458333333333298</v>
      </c>
      <c r="D587" s="81">
        <v>0</v>
      </c>
      <c r="E587" s="81">
        <v>0</v>
      </c>
      <c r="F587" s="81">
        <v>0</v>
      </c>
      <c r="G587" s="81">
        <v>0</v>
      </c>
      <c r="H587" s="81">
        <v>0</v>
      </c>
      <c r="I587" s="81">
        <v>0</v>
      </c>
      <c r="J587" s="81">
        <v>0</v>
      </c>
    </row>
    <row r="588" spans="1:10">
      <c r="A588" s="79" t="s">
        <v>10</v>
      </c>
      <c r="B588" s="79" t="s">
        <v>11</v>
      </c>
      <c r="C588" s="80">
        <v>0.36527777777777698</v>
      </c>
      <c r="D588" s="81">
        <v>0</v>
      </c>
      <c r="E588" s="81">
        <v>0</v>
      </c>
      <c r="F588" s="81">
        <v>0</v>
      </c>
      <c r="G588" s="81">
        <v>0</v>
      </c>
      <c r="H588" s="81">
        <v>0</v>
      </c>
      <c r="I588" s="81">
        <v>0</v>
      </c>
      <c r="J588" s="81">
        <v>0</v>
      </c>
    </row>
    <row r="589" spans="1:10">
      <c r="A589" s="79" t="s">
        <v>10</v>
      </c>
      <c r="B589" s="79" t="s">
        <v>11</v>
      </c>
      <c r="C589" s="80">
        <v>0.36597222222222198</v>
      </c>
      <c r="D589" s="81">
        <v>0</v>
      </c>
      <c r="E589" s="81">
        <v>0</v>
      </c>
      <c r="F589" s="81">
        <v>0</v>
      </c>
      <c r="G589" s="81">
        <v>0</v>
      </c>
      <c r="H589" s="81">
        <v>0</v>
      </c>
      <c r="I589" s="81">
        <v>0</v>
      </c>
      <c r="J589" s="81">
        <v>0</v>
      </c>
    </row>
    <row r="590" spans="1:10">
      <c r="A590" s="79" t="s">
        <v>10</v>
      </c>
      <c r="B590" s="79" t="s">
        <v>11</v>
      </c>
      <c r="C590" s="80">
        <v>0.36666666666666597</v>
      </c>
      <c r="D590" s="81">
        <v>0</v>
      </c>
      <c r="E590" s="81">
        <v>0</v>
      </c>
      <c r="F590" s="81">
        <v>0</v>
      </c>
      <c r="G590" s="81">
        <v>0</v>
      </c>
      <c r="H590" s="81">
        <v>0</v>
      </c>
      <c r="I590" s="81">
        <v>0</v>
      </c>
      <c r="J590" s="81">
        <v>0</v>
      </c>
    </row>
    <row r="591" spans="1:10">
      <c r="A591" s="79" t="s">
        <v>10</v>
      </c>
      <c r="B591" s="79" t="s">
        <v>11</v>
      </c>
      <c r="C591" s="80">
        <v>0.36736111111111103</v>
      </c>
      <c r="D591" s="81">
        <v>0</v>
      </c>
      <c r="E591" s="81">
        <v>0</v>
      </c>
      <c r="F591" s="81">
        <v>0</v>
      </c>
      <c r="G591" s="81">
        <v>0</v>
      </c>
      <c r="H591" s="81">
        <v>0</v>
      </c>
      <c r="I591" s="81">
        <v>0</v>
      </c>
      <c r="J591" s="81">
        <v>0</v>
      </c>
    </row>
    <row r="592" spans="1:10">
      <c r="A592" s="79" t="s">
        <v>10</v>
      </c>
      <c r="B592" s="79" t="s">
        <v>11</v>
      </c>
      <c r="C592" s="80">
        <v>0.36805555555555503</v>
      </c>
      <c r="D592" s="81">
        <v>0</v>
      </c>
      <c r="E592" s="81">
        <v>0</v>
      </c>
      <c r="F592" s="81">
        <v>0</v>
      </c>
      <c r="G592" s="81">
        <v>0</v>
      </c>
      <c r="H592" s="81">
        <v>0</v>
      </c>
      <c r="I592" s="81">
        <v>0</v>
      </c>
      <c r="J592" s="81">
        <v>0</v>
      </c>
    </row>
    <row r="593" spans="1:10">
      <c r="A593" s="79" t="s">
        <v>10</v>
      </c>
      <c r="B593" s="79" t="s">
        <v>11</v>
      </c>
      <c r="C593" s="80">
        <v>0.36875000000000002</v>
      </c>
      <c r="D593" s="81">
        <v>0</v>
      </c>
      <c r="E593" s="81">
        <v>0</v>
      </c>
      <c r="F593" s="81">
        <v>0</v>
      </c>
      <c r="G593" s="81">
        <v>0</v>
      </c>
      <c r="H593" s="81">
        <v>0</v>
      </c>
      <c r="I593" s="81">
        <v>0</v>
      </c>
      <c r="J593" s="81">
        <v>0</v>
      </c>
    </row>
    <row r="594" spans="1:10">
      <c r="A594" s="79" t="s">
        <v>10</v>
      </c>
      <c r="B594" s="79" t="s">
        <v>11</v>
      </c>
      <c r="C594" s="80">
        <v>0.36944444444444402</v>
      </c>
      <c r="D594" s="81">
        <v>0</v>
      </c>
      <c r="E594" s="81">
        <v>0</v>
      </c>
      <c r="F594" s="81">
        <v>0</v>
      </c>
      <c r="G594" s="81">
        <v>0</v>
      </c>
      <c r="H594" s="81">
        <v>0</v>
      </c>
      <c r="I594" s="81">
        <v>0</v>
      </c>
      <c r="J594" s="81">
        <v>0</v>
      </c>
    </row>
    <row r="595" spans="1:10">
      <c r="A595" s="79" t="s">
        <v>10</v>
      </c>
      <c r="B595" s="79" t="s">
        <v>11</v>
      </c>
      <c r="C595" s="80">
        <v>0.37013888888888902</v>
      </c>
      <c r="D595" s="81">
        <v>0</v>
      </c>
      <c r="E595" s="81">
        <v>0</v>
      </c>
      <c r="F595" s="81">
        <v>0</v>
      </c>
      <c r="G595" s="81">
        <v>0</v>
      </c>
      <c r="H595" s="81">
        <v>0</v>
      </c>
      <c r="I595" s="81">
        <v>0</v>
      </c>
      <c r="J595" s="81">
        <v>0</v>
      </c>
    </row>
    <row r="596" spans="1:10">
      <c r="A596" s="79" t="s">
        <v>10</v>
      </c>
      <c r="B596" s="79" t="s">
        <v>11</v>
      </c>
      <c r="C596" s="80">
        <v>0.37083333333333302</v>
      </c>
      <c r="D596" s="81">
        <v>0</v>
      </c>
      <c r="E596" s="81">
        <v>0</v>
      </c>
      <c r="F596" s="81">
        <v>0</v>
      </c>
      <c r="G596" s="81">
        <v>0</v>
      </c>
      <c r="H596" s="81">
        <v>0</v>
      </c>
      <c r="I596" s="81">
        <v>0</v>
      </c>
      <c r="J596" s="81">
        <v>0</v>
      </c>
    </row>
    <row r="597" spans="1:10">
      <c r="A597" s="79" t="s">
        <v>10</v>
      </c>
      <c r="B597" s="79" t="s">
        <v>11</v>
      </c>
      <c r="C597" s="80">
        <v>0.37152777777777701</v>
      </c>
      <c r="D597" s="81">
        <v>0</v>
      </c>
      <c r="E597" s="81">
        <v>0</v>
      </c>
      <c r="F597" s="81">
        <v>0</v>
      </c>
      <c r="G597" s="81">
        <v>0</v>
      </c>
      <c r="H597" s="81">
        <v>0</v>
      </c>
      <c r="I597" s="81">
        <v>0</v>
      </c>
      <c r="J597" s="81">
        <v>0</v>
      </c>
    </row>
    <row r="598" spans="1:10">
      <c r="A598" s="79" t="s">
        <v>10</v>
      </c>
      <c r="B598" s="79" t="s">
        <v>11</v>
      </c>
      <c r="C598" s="80">
        <v>0.37222222222222201</v>
      </c>
      <c r="D598" s="81">
        <v>0</v>
      </c>
      <c r="E598" s="81">
        <v>0</v>
      </c>
      <c r="F598" s="81">
        <v>0</v>
      </c>
      <c r="G598" s="81">
        <v>0</v>
      </c>
      <c r="H598" s="81">
        <v>0</v>
      </c>
      <c r="I598" s="81">
        <v>0</v>
      </c>
      <c r="J598" s="81">
        <v>0</v>
      </c>
    </row>
    <row r="599" spans="1:10">
      <c r="A599" s="79" t="s">
        <v>10</v>
      </c>
      <c r="B599" s="79" t="s">
        <v>11</v>
      </c>
      <c r="C599" s="80">
        <v>0.37291666666666601</v>
      </c>
      <c r="D599" s="81">
        <v>0</v>
      </c>
      <c r="E599" s="81">
        <v>0</v>
      </c>
      <c r="F599" s="81">
        <v>0</v>
      </c>
      <c r="G599" s="81">
        <v>0</v>
      </c>
      <c r="H599" s="81">
        <v>0</v>
      </c>
      <c r="I599" s="81">
        <v>0</v>
      </c>
      <c r="J599" s="81">
        <v>0</v>
      </c>
    </row>
    <row r="600" spans="1:10">
      <c r="A600" s="79" t="s">
        <v>10</v>
      </c>
      <c r="B600" s="79" t="s">
        <v>11</v>
      </c>
      <c r="C600" s="80">
        <v>0.37361111111111101</v>
      </c>
      <c r="D600" s="81">
        <v>0</v>
      </c>
      <c r="E600" s="81">
        <v>0</v>
      </c>
      <c r="F600" s="81">
        <v>0</v>
      </c>
      <c r="G600" s="81">
        <v>0</v>
      </c>
      <c r="H600" s="81">
        <v>0</v>
      </c>
      <c r="I600" s="81">
        <v>0</v>
      </c>
      <c r="J600" s="81">
        <v>0</v>
      </c>
    </row>
    <row r="601" spans="1:10" s="28" customFormat="1" ht="17.5" thickBot="1">
      <c r="A601" s="97" t="s">
        <v>10</v>
      </c>
      <c r="B601" s="97" t="s">
        <v>11</v>
      </c>
      <c r="C601" s="98">
        <v>0.374305555555555</v>
      </c>
      <c r="D601" s="99">
        <v>0</v>
      </c>
      <c r="E601" s="99">
        <v>0</v>
      </c>
      <c r="F601" s="99">
        <v>0</v>
      </c>
      <c r="G601" s="99">
        <v>0</v>
      </c>
      <c r="H601" s="99">
        <v>0</v>
      </c>
      <c r="I601" s="99">
        <v>0</v>
      </c>
      <c r="J601" s="99">
        <v>0</v>
      </c>
    </row>
    <row r="602" spans="1:10">
      <c r="A602" s="79" t="s">
        <v>10</v>
      </c>
      <c r="B602" s="79" t="s">
        <v>12</v>
      </c>
      <c r="C602" s="80">
        <v>0.29166666666666669</v>
      </c>
      <c r="D602" s="81">
        <v>0</v>
      </c>
      <c r="E602" s="81">
        <v>0</v>
      </c>
      <c r="F602" s="81">
        <v>0</v>
      </c>
      <c r="G602" s="81">
        <v>0</v>
      </c>
      <c r="H602" s="81">
        <v>0</v>
      </c>
      <c r="I602" s="81">
        <v>0</v>
      </c>
      <c r="J602" s="81">
        <v>0</v>
      </c>
    </row>
    <row r="603" spans="1:10">
      <c r="A603" s="79" t="s">
        <v>10</v>
      </c>
      <c r="B603" s="79" t="s">
        <v>12</v>
      </c>
      <c r="C603" s="80">
        <v>0.29236111111111113</v>
      </c>
      <c r="D603" s="81">
        <v>0</v>
      </c>
      <c r="E603" s="81">
        <v>0</v>
      </c>
      <c r="F603" s="81">
        <v>0</v>
      </c>
      <c r="G603" s="81">
        <v>0</v>
      </c>
      <c r="H603" s="81">
        <v>0</v>
      </c>
      <c r="I603" s="81">
        <v>0</v>
      </c>
      <c r="J603" s="81">
        <v>0</v>
      </c>
    </row>
    <row r="604" spans="1:10">
      <c r="A604" s="79" t="s">
        <v>10</v>
      </c>
      <c r="B604" s="79" t="s">
        <v>12</v>
      </c>
      <c r="C604" s="80">
        <v>0.29305555555555601</v>
      </c>
      <c r="D604" s="81">
        <v>0</v>
      </c>
      <c r="E604" s="81">
        <v>0</v>
      </c>
      <c r="F604" s="81">
        <v>0</v>
      </c>
      <c r="G604" s="81">
        <v>0</v>
      </c>
      <c r="H604" s="81">
        <v>0</v>
      </c>
      <c r="I604" s="81">
        <v>0</v>
      </c>
      <c r="J604" s="81">
        <v>0</v>
      </c>
    </row>
    <row r="605" spans="1:10">
      <c r="A605" s="79" t="s">
        <v>10</v>
      </c>
      <c r="B605" s="79" t="s">
        <v>12</v>
      </c>
      <c r="C605" s="80">
        <v>0.29375000000000001</v>
      </c>
      <c r="D605" s="81">
        <v>0</v>
      </c>
      <c r="E605" s="81">
        <v>0</v>
      </c>
      <c r="F605" s="81">
        <v>0</v>
      </c>
      <c r="G605" s="81">
        <v>0</v>
      </c>
      <c r="H605" s="81">
        <v>0</v>
      </c>
      <c r="I605" s="81">
        <v>0</v>
      </c>
      <c r="J605" s="81">
        <v>0</v>
      </c>
    </row>
    <row r="606" spans="1:10">
      <c r="A606" s="79" t="s">
        <v>10</v>
      </c>
      <c r="B606" s="79" t="s">
        <v>12</v>
      </c>
      <c r="C606" s="80">
        <v>0.29444444444444401</v>
      </c>
      <c r="D606" s="81">
        <v>0</v>
      </c>
      <c r="E606" s="81">
        <v>0</v>
      </c>
      <c r="F606" s="81">
        <v>0</v>
      </c>
      <c r="G606" s="81">
        <v>0</v>
      </c>
      <c r="H606" s="81">
        <v>0</v>
      </c>
      <c r="I606" s="81">
        <v>0</v>
      </c>
      <c r="J606" s="81">
        <v>0</v>
      </c>
    </row>
    <row r="607" spans="1:10">
      <c r="A607" s="79" t="s">
        <v>10</v>
      </c>
      <c r="B607" s="79" t="s">
        <v>12</v>
      </c>
      <c r="C607" s="80">
        <v>0.29513888888888901</v>
      </c>
      <c r="D607" s="81">
        <v>0</v>
      </c>
      <c r="E607" s="81">
        <v>0</v>
      </c>
      <c r="F607" s="81">
        <v>0</v>
      </c>
      <c r="G607" s="81">
        <v>0</v>
      </c>
      <c r="H607" s="81">
        <v>0</v>
      </c>
      <c r="I607" s="81">
        <v>0</v>
      </c>
      <c r="J607" s="81">
        <v>0</v>
      </c>
    </row>
    <row r="608" spans="1:10">
      <c r="A608" s="79" t="s">
        <v>10</v>
      </c>
      <c r="B608" s="79" t="s">
        <v>12</v>
      </c>
      <c r="C608" s="80">
        <v>0.295833333333333</v>
      </c>
      <c r="D608" s="81">
        <v>0</v>
      </c>
      <c r="E608" s="81">
        <v>0</v>
      </c>
      <c r="F608" s="81">
        <v>0</v>
      </c>
      <c r="G608" s="81">
        <v>0</v>
      </c>
      <c r="H608" s="81">
        <v>0</v>
      </c>
      <c r="I608" s="81">
        <v>0</v>
      </c>
      <c r="J608" s="81">
        <v>0</v>
      </c>
    </row>
    <row r="609" spans="1:10">
      <c r="A609" s="79" t="s">
        <v>10</v>
      </c>
      <c r="B609" s="79" t="s">
        <v>12</v>
      </c>
      <c r="C609" s="80">
        <v>0.296527777777778</v>
      </c>
      <c r="D609" s="81">
        <v>0</v>
      </c>
      <c r="E609" s="81">
        <v>0</v>
      </c>
      <c r="F609" s="81">
        <v>0</v>
      </c>
      <c r="G609" s="81">
        <v>0</v>
      </c>
      <c r="H609" s="81">
        <v>0</v>
      </c>
      <c r="I609" s="81">
        <v>0</v>
      </c>
      <c r="J609" s="81">
        <v>0</v>
      </c>
    </row>
    <row r="610" spans="1:10">
      <c r="A610" s="79" t="s">
        <v>10</v>
      </c>
      <c r="B610" s="79" t="s">
        <v>12</v>
      </c>
      <c r="C610" s="80">
        <v>0.297222222222222</v>
      </c>
      <c r="D610" s="81">
        <v>0</v>
      </c>
      <c r="E610" s="81">
        <v>0</v>
      </c>
      <c r="F610" s="81">
        <v>0</v>
      </c>
      <c r="G610" s="81">
        <v>0</v>
      </c>
      <c r="H610" s="81">
        <v>0</v>
      </c>
      <c r="I610" s="81">
        <v>0</v>
      </c>
      <c r="J610" s="81">
        <v>0</v>
      </c>
    </row>
    <row r="611" spans="1:10">
      <c r="A611" s="79" t="s">
        <v>10</v>
      </c>
      <c r="B611" s="79" t="s">
        <v>12</v>
      </c>
      <c r="C611" s="80">
        <v>0.297916666666667</v>
      </c>
      <c r="D611" s="81">
        <v>0</v>
      </c>
      <c r="E611" s="81">
        <v>0</v>
      </c>
      <c r="F611" s="81">
        <v>0</v>
      </c>
      <c r="G611" s="81">
        <v>0</v>
      </c>
      <c r="H611" s="81">
        <v>0</v>
      </c>
      <c r="I611" s="81">
        <v>0</v>
      </c>
      <c r="J611" s="81">
        <v>0</v>
      </c>
    </row>
    <row r="612" spans="1:10">
      <c r="A612" s="79" t="s">
        <v>10</v>
      </c>
      <c r="B612" s="79" t="s">
        <v>12</v>
      </c>
      <c r="C612" s="80">
        <v>0.29861111111111099</v>
      </c>
      <c r="D612" s="81">
        <v>0</v>
      </c>
      <c r="E612" s="81">
        <v>0</v>
      </c>
      <c r="F612" s="81">
        <v>0</v>
      </c>
      <c r="G612" s="81">
        <v>0</v>
      </c>
      <c r="H612" s="81">
        <v>0</v>
      </c>
      <c r="I612" s="81">
        <v>0</v>
      </c>
      <c r="J612" s="81">
        <v>0</v>
      </c>
    </row>
    <row r="613" spans="1:10">
      <c r="A613" s="79" t="s">
        <v>10</v>
      </c>
      <c r="B613" s="79" t="s">
        <v>12</v>
      </c>
      <c r="C613" s="80">
        <v>0.29930555555555599</v>
      </c>
      <c r="D613" s="81">
        <v>0</v>
      </c>
      <c r="E613" s="81">
        <v>0</v>
      </c>
      <c r="F613" s="81">
        <v>0</v>
      </c>
      <c r="G613" s="81">
        <v>0</v>
      </c>
      <c r="H613" s="81">
        <v>0</v>
      </c>
      <c r="I613" s="81">
        <v>0</v>
      </c>
      <c r="J613" s="81">
        <v>0</v>
      </c>
    </row>
    <row r="614" spans="1:10">
      <c r="A614" s="79" t="s">
        <v>10</v>
      </c>
      <c r="B614" s="79" t="s">
        <v>12</v>
      </c>
      <c r="C614" s="80">
        <v>0.3</v>
      </c>
      <c r="D614" s="81">
        <v>0</v>
      </c>
      <c r="E614" s="81">
        <v>0</v>
      </c>
      <c r="F614" s="81">
        <v>0</v>
      </c>
      <c r="G614" s="81">
        <v>0</v>
      </c>
      <c r="H614" s="81">
        <v>0</v>
      </c>
      <c r="I614" s="81">
        <v>0</v>
      </c>
      <c r="J614" s="81">
        <v>0</v>
      </c>
    </row>
    <row r="615" spans="1:10">
      <c r="A615" s="79" t="s">
        <v>10</v>
      </c>
      <c r="B615" s="79" t="s">
        <v>12</v>
      </c>
      <c r="C615" s="80">
        <v>0.30069444444444399</v>
      </c>
      <c r="D615" s="81">
        <v>0</v>
      </c>
      <c r="E615" s="81">
        <v>0</v>
      </c>
      <c r="F615" s="81">
        <v>0</v>
      </c>
      <c r="G615" s="81">
        <v>0</v>
      </c>
      <c r="H615" s="81">
        <v>0</v>
      </c>
      <c r="I615" s="81">
        <v>0</v>
      </c>
      <c r="J615" s="81">
        <v>0</v>
      </c>
    </row>
    <row r="616" spans="1:10" s="78" customFormat="1">
      <c r="A616" s="82" t="s">
        <v>10</v>
      </c>
      <c r="B616" s="82" t="s">
        <v>12</v>
      </c>
      <c r="C616" s="83">
        <v>0.30138888888888898</v>
      </c>
      <c r="D616" s="84">
        <v>0</v>
      </c>
      <c r="E616" s="84">
        <v>0</v>
      </c>
      <c r="F616" s="84">
        <v>0</v>
      </c>
      <c r="G616" s="84">
        <v>0</v>
      </c>
      <c r="H616" s="84">
        <v>0</v>
      </c>
      <c r="I616" s="84">
        <v>0</v>
      </c>
      <c r="J616" s="84">
        <v>0</v>
      </c>
    </row>
    <row r="617" spans="1:10">
      <c r="A617" s="79" t="s">
        <v>10</v>
      </c>
      <c r="B617" s="79" t="s">
        <v>12</v>
      </c>
      <c r="C617" s="80">
        <v>0.30208333333333298</v>
      </c>
      <c r="D617" s="81">
        <v>0</v>
      </c>
      <c r="E617" s="81">
        <v>0</v>
      </c>
      <c r="F617" s="81">
        <v>0</v>
      </c>
      <c r="G617" s="81">
        <v>0</v>
      </c>
      <c r="H617" s="81">
        <v>0</v>
      </c>
      <c r="I617" s="81">
        <v>0</v>
      </c>
      <c r="J617" s="81">
        <v>0</v>
      </c>
    </row>
    <row r="618" spans="1:10">
      <c r="A618" s="79" t="s">
        <v>10</v>
      </c>
      <c r="B618" s="79" t="s">
        <v>12</v>
      </c>
      <c r="C618" s="80">
        <v>0.30277777777777798</v>
      </c>
      <c r="D618" s="81">
        <v>0</v>
      </c>
      <c r="E618" s="81">
        <v>0</v>
      </c>
      <c r="F618" s="81">
        <v>0</v>
      </c>
      <c r="G618" s="81">
        <v>0</v>
      </c>
      <c r="H618" s="81">
        <v>0</v>
      </c>
      <c r="I618" s="81">
        <v>0</v>
      </c>
      <c r="J618" s="81">
        <v>0</v>
      </c>
    </row>
    <row r="619" spans="1:10">
      <c r="A619" s="79" t="s">
        <v>10</v>
      </c>
      <c r="B619" s="79" t="s">
        <v>12</v>
      </c>
      <c r="C619" s="80">
        <v>0.30347222222222198</v>
      </c>
      <c r="D619" s="81">
        <v>0</v>
      </c>
      <c r="E619" s="81">
        <v>0</v>
      </c>
      <c r="F619" s="81">
        <v>0</v>
      </c>
      <c r="G619" s="81">
        <v>0</v>
      </c>
      <c r="H619" s="81">
        <v>0</v>
      </c>
      <c r="I619" s="81">
        <v>0</v>
      </c>
      <c r="J619" s="81">
        <v>0</v>
      </c>
    </row>
    <row r="620" spans="1:10">
      <c r="A620" s="79" t="s">
        <v>10</v>
      </c>
      <c r="B620" s="79" t="s">
        <v>12</v>
      </c>
      <c r="C620" s="80">
        <v>0.30416666666666697</v>
      </c>
      <c r="D620" s="81">
        <v>0</v>
      </c>
      <c r="E620" s="81">
        <v>0</v>
      </c>
      <c r="F620" s="81">
        <v>0</v>
      </c>
      <c r="G620" s="81">
        <v>0</v>
      </c>
      <c r="H620" s="81">
        <v>0</v>
      </c>
      <c r="I620" s="81">
        <v>0</v>
      </c>
      <c r="J620" s="81">
        <v>0</v>
      </c>
    </row>
    <row r="621" spans="1:10">
      <c r="A621" s="79" t="s">
        <v>10</v>
      </c>
      <c r="B621" s="79" t="s">
        <v>12</v>
      </c>
      <c r="C621" s="80">
        <v>0.30486111111111103</v>
      </c>
      <c r="D621" s="81">
        <v>0</v>
      </c>
      <c r="E621" s="81">
        <v>0</v>
      </c>
      <c r="F621" s="81">
        <v>0</v>
      </c>
      <c r="G621" s="81">
        <v>0</v>
      </c>
      <c r="H621" s="81">
        <v>0</v>
      </c>
      <c r="I621" s="81">
        <v>0</v>
      </c>
      <c r="J621" s="81">
        <v>0</v>
      </c>
    </row>
    <row r="622" spans="1:10">
      <c r="A622" s="79" t="s">
        <v>10</v>
      </c>
      <c r="B622" s="79" t="s">
        <v>12</v>
      </c>
      <c r="C622" s="80">
        <v>0.30555555555555503</v>
      </c>
      <c r="D622" s="81">
        <v>0</v>
      </c>
      <c r="E622" s="81">
        <v>0</v>
      </c>
      <c r="F622" s="81">
        <v>0</v>
      </c>
      <c r="G622" s="81">
        <v>0</v>
      </c>
      <c r="H622" s="81">
        <v>0</v>
      </c>
      <c r="I622" s="81">
        <v>0</v>
      </c>
      <c r="J622" s="81">
        <v>0</v>
      </c>
    </row>
    <row r="623" spans="1:10">
      <c r="A623" s="79" t="s">
        <v>10</v>
      </c>
      <c r="B623" s="79" t="s">
        <v>12</v>
      </c>
      <c r="C623" s="80">
        <v>0.30625000000000002</v>
      </c>
      <c r="D623" s="81">
        <v>0</v>
      </c>
      <c r="E623" s="81">
        <v>0</v>
      </c>
      <c r="F623" s="81">
        <v>0</v>
      </c>
      <c r="G623" s="81">
        <v>0</v>
      </c>
      <c r="H623" s="81">
        <v>0</v>
      </c>
      <c r="I623" s="81">
        <v>0</v>
      </c>
      <c r="J623" s="81">
        <v>0</v>
      </c>
    </row>
    <row r="624" spans="1:10">
      <c r="A624" s="79" t="s">
        <v>10</v>
      </c>
      <c r="B624" s="79" t="s">
        <v>12</v>
      </c>
      <c r="C624" s="80">
        <v>0.30694444444444402</v>
      </c>
      <c r="D624" s="81">
        <v>0</v>
      </c>
      <c r="E624" s="81">
        <v>0</v>
      </c>
      <c r="F624" s="81">
        <v>0</v>
      </c>
      <c r="G624" s="81">
        <v>0</v>
      </c>
      <c r="H624" s="81">
        <v>0</v>
      </c>
      <c r="I624" s="81">
        <v>0</v>
      </c>
      <c r="J624" s="81">
        <v>0</v>
      </c>
    </row>
    <row r="625" spans="1:10">
      <c r="A625" s="79" t="s">
        <v>10</v>
      </c>
      <c r="B625" s="79" t="s">
        <v>12</v>
      </c>
      <c r="C625" s="80">
        <v>0.30763888888888902</v>
      </c>
      <c r="D625" s="81">
        <v>0</v>
      </c>
      <c r="E625" s="81">
        <v>0</v>
      </c>
      <c r="F625" s="81">
        <v>0</v>
      </c>
      <c r="G625" s="81">
        <v>0</v>
      </c>
      <c r="H625" s="81">
        <v>0</v>
      </c>
      <c r="I625" s="81">
        <v>0</v>
      </c>
      <c r="J625" s="81">
        <v>0</v>
      </c>
    </row>
    <row r="626" spans="1:10">
      <c r="A626" s="79" t="s">
        <v>10</v>
      </c>
      <c r="B626" s="79" t="s">
        <v>12</v>
      </c>
      <c r="C626" s="80">
        <v>0.30833333333333302</v>
      </c>
      <c r="D626" s="81">
        <v>0</v>
      </c>
      <c r="E626" s="81">
        <v>0</v>
      </c>
      <c r="F626" s="81">
        <v>0</v>
      </c>
      <c r="G626" s="81">
        <v>0</v>
      </c>
      <c r="H626" s="81">
        <v>0</v>
      </c>
      <c r="I626" s="81">
        <v>0</v>
      </c>
      <c r="J626" s="81">
        <v>0</v>
      </c>
    </row>
    <row r="627" spans="1:10">
      <c r="A627" s="79" t="s">
        <v>10</v>
      </c>
      <c r="B627" s="79" t="s">
        <v>12</v>
      </c>
      <c r="C627" s="80">
        <v>0.30902777777777801</v>
      </c>
      <c r="D627" s="81">
        <v>0</v>
      </c>
      <c r="E627" s="81">
        <v>0</v>
      </c>
      <c r="F627" s="81">
        <v>0</v>
      </c>
      <c r="G627" s="81">
        <v>0</v>
      </c>
      <c r="H627" s="81">
        <v>0</v>
      </c>
      <c r="I627" s="81">
        <v>0</v>
      </c>
      <c r="J627" s="81">
        <v>0</v>
      </c>
    </row>
    <row r="628" spans="1:10">
      <c r="A628" s="79" t="s">
        <v>10</v>
      </c>
      <c r="B628" s="79" t="s">
        <v>12</v>
      </c>
      <c r="C628" s="80">
        <v>0.30972222222222201</v>
      </c>
      <c r="D628" s="81">
        <v>0</v>
      </c>
      <c r="E628" s="81">
        <v>0</v>
      </c>
      <c r="F628" s="81">
        <v>0</v>
      </c>
      <c r="G628" s="81">
        <v>0</v>
      </c>
      <c r="H628" s="81">
        <v>0</v>
      </c>
      <c r="I628" s="81">
        <v>0</v>
      </c>
      <c r="J628" s="81">
        <v>0</v>
      </c>
    </row>
    <row r="629" spans="1:10">
      <c r="A629" s="79" t="s">
        <v>10</v>
      </c>
      <c r="B629" s="79" t="s">
        <v>12</v>
      </c>
      <c r="C629" s="80">
        <v>0.31041666666666701</v>
      </c>
      <c r="D629" s="81">
        <v>0</v>
      </c>
      <c r="E629" s="81">
        <v>0</v>
      </c>
      <c r="F629" s="81">
        <v>0</v>
      </c>
      <c r="G629" s="81">
        <v>0</v>
      </c>
      <c r="H629" s="81">
        <v>0</v>
      </c>
      <c r="I629" s="81">
        <v>0</v>
      </c>
      <c r="J629" s="81">
        <v>0</v>
      </c>
    </row>
    <row r="630" spans="1:10">
      <c r="A630" s="79" t="s">
        <v>10</v>
      </c>
      <c r="B630" s="79" t="s">
        <v>12</v>
      </c>
      <c r="C630" s="80">
        <v>0.31111111111111101</v>
      </c>
      <c r="D630" s="81">
        <v>0</v>
      </c>
      <c r="E630" s="81">
        <v>0</v>
      </c>
      <c r="F630" s="81">
        <v>0</v>
      </c>
      <c r="G630" s="81">
        <v>0</v>
      </c>
      <c r="H630" s="81">
        <v>0</v>
      </c>
      <c r="I630" s="81">
        <v>0</v>
      </c>
      <c r="J630" s="81">
        <v>0</v>
      </c>
    </row>
    <row r="631" spans="1:10" s="78" customFormat="1">
      <c r="A631" s="82" t="s">
        <v>10</v>
      </c>
      <c r="B631" s="82" t="s">
        <v>12</v>
      </c>
      <c r="C631" s="83">
        <v>0.311805555555556</v>
      </c>
      <c r="D631" s="84">
        <v>0</v>
      </c>
      <c r="E631" s="84">
        <v>0</v>
      </c>
      <c r="F631" s="84">
        <v>0</v>
      </c>
      <c r="G631" s="84">
        <v>0</v>
      </c>
      <c r="H631" s="84">
        <v>0</v>
      </c>
      <c r="I631" s="84">
        <v>0</v>
      </c>
      <c r="J631" s="84">
        <v>0</v>
      </c>
    </row>
    <row r="632" spans="1:10">
      <c r="A632" s="79" t="s">
        <v>10</v>
      </c>
      <c r="B632" s="79" t="s">
        <v>12</v>
      </c>
      <c r="C632" s="80">
        <v>0.3125</v>
      </c>
      <c r="D632" s="81">
        <v>0</v>
      </c>
      <c r="E632" s="81">
        <v>0</v>
      </c>
      <c r="F632" s="81">
        <v>0</v>
      </c>
      <c r="G632" s="81">
        <v>0</v>
      </c>
      <c r="H632" s="81">
        <v>0</v>
      </c>
      <c r="I632" s="81">
        <v>0</v>
      </c>
      <c r="J632" s="81">
        <v>0</v>
      </c>
    </row>
    <row r="633" spans="1:10">
      <c r="A633" s="79" t="s">
        <v>10</v>
      </c>
      <c r="B633" s="79" t="s">
        <v>12</v>
      </c>
      <c r="C633" s="80">
        <v>0.313194444444444</v>
      </c>
      <c r="D633" s="81">
        <v>0</v>
      </c>
      <c r="E633" s="81">
        <v>0</v>
      </c>
      <c r="F633" s="81">
        <v>0</v>
      </c>
      <c r="G633" s="81">
        <v>0</v>
      </c>
      <c r="H633" s="81">
        <v>0</v>
      </c>
      <c r="I633" s="81">
        <v>0</v>
      </c>
      <c r="J633" s="81">
        <v>0</v>
      </c>
    </row>
    <row r="634" spans="1:10">
      <c r="A634" s="79" t="s">
        <v>10</v>
      </c>
      <c r="B634" s="79" t="s">
        <v>12</v>
      </c>
      <c r="C634" s="80">
        <v>0.31388888888888899</v>
      </c>
      <c r="D634" s="81">
        <v>0</v>
      </c>
      <c r="E634" s="81">
        <v>0</v>
      </c>
      <c r="F634" s="81">
        <v>0</v>
      </c>
      <c r="G634" s="81">
        <v>0</v>
      </c>
      <c r="H634" s="81">
        <v>0</v>
      </c>
      <c r="I634" s="81">
        <v>0</v>
      </c>
      <c r="J634" s="81">
        <v>0</v>
      </c>
    </row>
    <row r="635" spans="1:10">
      <c r="A635" s="79" t="s">
        <v>10</v>
      </c>
      <c r="B635" s="79" t="s">
        <v>12</v>
      </c>
      <c r="C635" s="80">
        <v>0.31458333333333299</v>
      </c>
      <c r="D635" s="81">
        <v>0</v>
      </c>
      <c r="E635" s="81">
        <v>0</v>
      </c>
      <c r="F635" s="81">
        <v>0</v>
      </c>
      <c r="G635" s="81">
        <v>0</v>
      </c>
      <c r="H635" s="81">
        <v>0</v>
      </c>
      <c r="I635" s="81">
        <v>0</v>
      </c>
      <c r="J635" s="81">
        <v>0</v>
      </c>
    </row>
    <row r="636" spans="1:10">
      <c r="A636" s="79" t="s">
        <v>10</v>
      </c>
      <c r="B636" s="79" t="s">
        <v>12</v>
      </c>
      <c r="C636" s="80">
        <v>0.31527777777777799</v>
      </c>
      <c r="D636" s="81">
        <v>0</v>
      </c>
      <c r="E636" s="81">
        <v>0</v>
      </c>
      <c r="F636" s="81">
        <v>0</v>
      </c>
      <c r="G636" s="81">
        <v>0</v>
      </c>
      <c r="H636" s="81">
        <v>0</v>
      </c>
      <c r="I636" s="81">
        <v>0</v>
      </c>
      <c r="J636" s="81">
        <v>0</v>
      </c>
    </row>
    <row r="637" spans="1:10">
      <c r="A637" s="79" t="s">
        <v>10</v>
      </c>
      <c r="B637" s="79" t="s">
        <v>12</v>
      </c>
      <c r="C637" s="80">
        <v>0.31597222222222199</v>
      </c>
      <c r="D637" s="81">
        <v>0</v>
      </c>
      <c r="E637" s="81">
        <v>0</v>
      </c>
      <c r="F637" s="81">
        <v>0</v>
      </c>
      <c r="G637" s="81">
        <v>0</v>
      </c>
      <c r="H637" s="81">
        <v>0</v>
      </c>
      <c r="I637" s="81">
        <v>0</v>
      </c>
      <c r="J637" s="81">
        <v>0</v>
      </c>
    </row>
    <row r="638" spans="1:10">
      <c r="A638" s="79" t="s">
        <v>10</v>
      </c>
      <c r="B638" s="79" t="s">
        <v>12</v>
      </c>
      <c r="C638" s="80">
        <v>0.31666666666666698</v>
      </c>
      <c r="D638" s="81">
        <v>0</v>
      </c>
      <c r="E638" s="81">
        <v>0</v>
      </c>
      <c r="F638" s="81">
        <v>0</v>
      </c>
      <c r="G638" s="81">
        <v>0</v>
      </c>
      <c r="H638" s="81">
        <v>0</v>
      </c>
      <c r="I638" s="81">
        <v>0</v>
      </c>
      <c r="J638" s="81">
        <v>0</v>
      </c>
    </row>
    <row r="639" spans="1:10">
      <c r="A639" s="79" t="s">
        <v>10</v>
      </c>
      <c r="B639" s="79" t="s">
        <v>12</v>
      </c>
      <c r="C639" s="80">
        <v>0.31736111111111098</v>
      </c>
      <c r="D639" s="81">
        <v>0</v>
      </c>
      <c r="E639" s="81">
        <v>0</v>
      </c>
      <c r="F639" s="81">
        <v>0</v>
      </c>
      <c r="G639" s="81">
        <v>0</v>
      </c>
      <c r="H639" s="81">
        <v>0</v>
      </c>
      <c r="I639" s="81">
        <v>0</v>
      </c>
      <c r="J639" s="81">
        <v>0</v>
      </c>
    </row>
    <row r="640" spans="1:10">
      <c r="A640" s="79" t="s">
        <v>10</v>
      </c>
      <c r="B640" s="79" t="s">
        <v>12</v>
      </c>
      <c r="C640" s="80">
        <v>0.31805555555555498</v>
      </c>
      <c r="D640" s="81">
        <v>0</v>
      </c>
      <c r="E640" s="81">
        <v>0</v>
      </c>
      <c r="F640" s="81">
        <v>0</v>
      </c>
      <c r="G640" s="81">
        <v>0</v>
      </c>
      <c r="H640" s="81">
        <v>0</v>
      </c>
      <c r="I640" s="81">
        <v>0</v>
      </c>
      <c r="J640" s="81">
        <v>0</v>
      </c>
    </row>
    <row r="641" spans="1:10">
      <c r="A641" s="79" t="s">
        <v>10</v>
      </c>
      <c r="B641" s="79" t="s">
        <v>12</v>
      </c>
      <c r="C641" s="80">
        <v>0.31874999999999998</v>
      </c>
      <c r="D641" s="81">
        <v>0</v>
      </c>
      <c r="E641" s="81">
        <v>0</v>
      </c>
      <c r="F641" s="81">
        <v>0</v>
      </c>
      <c r="G641" s="81">
        <v>0</v>
      </c>
      <c r="H641" s="81">
        <v>0</v>
      </c>
      <c r="I641" s="81">
        <v>0</v>
      </c>
      <c r="J641" s="81">
        <v>0</v>
      </c>
    </row>
    <row r="642" spans="1:10">
      <c r="A642" s="79" t="s">
        <v>10</v>
      </c>
      <c r="B642" s="79" t="s">
        <v>12</v>
      </c>
      <c r="C642" s="80">
        <v>0.31944444444444398</v>
      </c>
      <c r="D642" s="81">
        <v>0</v>
      </c>
      <c r="E642" s="81">
        <v>0</v>
      </c>
      <c r="F642" s="81">
        <v>0</v>
      </c>
      <c r="G642" s="81">
        <v>0</v>
      </c>
      <c r="H642" s="81">
        <v>0</v>
      </c>
      <c r="I642" s="81">
        <v>0</v>
      </c>
      <c r="J642" s="81">
        <v>0</v>
      </c>
    </row>
    <row r="643" spans="1:10">
      <c r="A643" s="79" t="s">
        <v>10</v>
      </c>
      <c r="B643" s="79" t="s">
        <v>12</v>
      </c>
      <c r="C643" s="80">
        <v>0.32013888888888897</v>
      </c>
      <c r="D643" s="81">
        <v>0</v>
      </c>
      <c r="E643" s="81">
        <v>0</v>
      </c>
      <c r="F643" s="81">
        <v>0</v>
      </c>
      <c r="G643" s="81">
        <v>0</v>
      </c>
      <c r="H643" s="81">
        <v>0</v>
      </c>
      <c r="I643" s="81">
        <v>0</v>
      </c>
      <c r="J643" s="81">
        <v>0</v>
      </c>
    </row>
    <row r="644" spans="1:10">
      <c r="A644" s="79" t="s">
        <v>10</v>
      </c>
      <c r="B644" s="79" t="s">
        <v>12</v>
      </c>
      <c r="C644" s="80">
        <v>0.32083333333333303</v>
      </c>
      <c r="D644" s="81">
        <v>0</v>
      </c>
      <c r="E644" s="81">
        <v>0</v>
      </c>
      <c r="F644" s="81">
        <v>0</v>
      </c>
      <c r="G644" s="81">
        <v>0</v>
      </c>
      <c r="H644" s="81">
        <v>0</v>
      </c>
      <c r="I644" s="81">
        <v>0</v>
      </c>
      <c r="J644" s="81">
        <v>0</v>
      </c>
    </row>
    <row r="645" spans="1:10">
      <c r="A645" s="79" t="s">
        <v>10</v>
      </c>
      <c r="B645" s="79" t="s">
        <v>12</v>
      </c>
      <c r="C645" s="80">
        <v>0.32152777777777802</v>
      </c>
      <c r="D645" s="81">
        <v>0</v>
      </c>
      <c r="E645" s="81">
        <v>0</v>
      </c>
      <c r="F645" s="81">
        <v>0</v>
      </c>
      <c r="G645" s="81">
        <v>0</v>
      </c>
      <c r="H645" s="81">
        <v>0</v>
      </c>
      <c r="I645" s="81">
        <v>0</v>
      </c>
      <c r="J645" s="81">
        <v>0</v>
      </c>
    </row>
    <row r="646" spans="1:10" s="78" customFormat="1">
      <c r="A646" s="82" t="s">
        <v>10</v>
      </c>
      <c r="B646" s="82" t="s">
        <v>12</v>
      </c>
      <c r="C646" s="83">
        <v>0.32222222222222202</v>
      </c>
      <c r="D646" s="84">
        <v>0</v>
      </c>
      <c r="E646" s="84">
        <v>0</v>
      </c>
      <c r="F646" s="84">
        <v>0</v>
      </c>
      <c r="G646" s="84">
        <v>0</v>
      </c>
      <c r="H646" s="84">
        <v>0</v>
      </c>
      <c r="I646" s="84">
        <v>0</v>
      </c>
      <c r="J646" s="84">
        <v>0</v>
      </c>
    </row>
    <row r="647" spans="1:10">
      <c r="A647" s="79" t="s">
        <v>10</v>
      </c>
      <c r="B647" s="79" t="s">
        <v>12</v>
      </c>
      <c r="C647" s="80">
        <v>0.32291666666666702</v>
      </c>
      <c r="D647" s="81">
        <v>0</v>
      </c>
      <c r="E647" s="81">
        <v>0</v>
      </c>
      <c r="F647" s="81">
        <v>0</v>
      </c>
      <c r="G647" s="81">
        <v>0</v>
      </c>
      <c r="H647" s="81">
        <v>0</v>
      </c>
      <c r="I647" s="81">
        <v>0</v>
      </c>
      <c r="J647" s="81">
        <v>0</v>
      </c>
    </row>
    <row r="648" spans="1:10">
      <c r="A648" s="79" t="s">
        <v>10</v>
      </c>
      <c r="B648" s="79" t="s">
        <v>12</v>
      </c>
      <c r="C648" s="80">
        <v>0.32361111111111102</v>
      </c>
      <c r="D648" s="81">
        <v>0</v>
      </c>
      <c r="E648" s="81">
        <v>0</v>
      </c>
      <c r="F648" s="81">
        <v>0</v>
      </c>
      <c r="G648" s="81">
        <v>0</v>
      </c>
      <c r="H648" s="81">
        <v>0</v>
      </c>
      <c r="I648" s="81">
        <v>0</v>
      </c>
      <c r="J648" s="81">
        <v>0</v>
      </c>
    </row>
    <row r="649" spans="1:10">
      <c r="A649" s="79" t="s">
        <v>10</v>
      </c>
      <c r="B649" s="79" t="s">
        <v>12</v>
      </c>
      <c r="C649" s="80">
        <v>0.32430555555555601</v>
      </c>
      <c r="D649" s="81">
        <v>0</v>
      </c>
      <c r="E649" s="81">
        <v>0</v>
      </c>
      <c r="F649" s="81">
        <v>0</v>
      </c>
      <c r="G649" s="81">
        <v>0</v>
      </c>
      <c r="H649" s="81">
        <v>0</v>
      </c>
      <c r="I649" s="81">
        <v>0</v>
      </c>
      <c r="J649" s="81">
        <v>0</v>
      </c>
    </row>
    <row r="650" spans="1:10">
      <c r="A650" s="79" t="s">
        <v>10</v>
      </c>
      <c r="B650" s="79" t="s">
        <v>12</v>
      </c>
      <c r="C650" s="80">
        <v>0.32500000000000001</v>
      </c>
      <c r="D650" s="81">
        <v>0</v>
      </c>
      <c r="E650" s="81">
        <v>0</v>
      </c>
      <c r="F650" s="81">
        <v>0</v>
      </c>
      <c r="G650" s="81">
        <v>0</v>
      </c>
      <c r="H650" s="81">
        <v>0</v>
      </c>
      <c r="I650" s="81">
        <v>0</v>
      </c>
      <c r="J650" s="81">
        <v>0</v>
      </c>
    </row>
    <row r="651" spans="1:10">
      <c r="A651" s="79" t="s">
        <v>10</v>
      </c>
      <c r="B651" s="79" t="s">
        <v>12</v>
      </c>
      <c r="C651" s="80">
        <v>0.32569444444444401</v>
      </c>
      <c r="D651" s="81">
        <v>0</v>
      </c>
      <c r="E651" s="81">
        <v>0</v>
      </c>
      <c r="F651" s="81">
        <v>0</v>
      </c>
      <c r="G651" s="81">
        <v>0</v>
      </c>
      <c r="H651" s="81">
        <v>0</v>
      </c>
      <c r="I651" s="81">
        <v>0</v>
      </c>
      <c r="J651" s="81">
        <v>0</v>
      </c>
    </row>
    <row r="652" spans="1:10">
      <c r="A652" s="79" t="s">
        <v>10</v>
      </c>
      <c r="B652" s="79" t="s">
        <v>12</v>
      </c>
      <c r="C652" s="80">
        <v>0.32638888888888901</v>
      </c>
      <c r="D652" s="81">
        <v>0</v>
      </c>
      <c r="E652" s="81">
        <v>0</v>
      </c>
      <c r="F652" s="81">
        <v>0</v>
      </c>
      <c r="G652" s="81">
        <v>0</v>
      </c>
      <c r="H652" s="81">
        <v>0</v>
      </c>
      <c r="I652" s="81">
        <v>0</v>
      </c>
      <c r="J652" s="81">
        <v>0</v>
      </c>
    </row>
    <row r="653" spans="1:10">
      <c r="A653" s="79" t="s">
        <v>10</v>
      </c>
      <c r="B653" s="79" t="s">
        <v>12</v>
      </c>
      <c r="C653" s="80">
        <v>0.327083333333333</v>
      </c>
      <c r="D653" s="81">
        <v>0</v>
      </c>
      <c r="E653" s="81">
        <v>0</v>
      </c>
      <c r="F653" s="81">
        <v>0</v>
      </c>
      <c r="G653" s="81">
        <v>0</v>
      </c>
      <c r="H653" s="81">
        <v>0</v>
      </c>
      <c r="I653" s="81">
        <v>0</v>
      </c>
      <c r="J653" s="81">
        <v>0</v>
      </c>
    </row>
    <row r="654" spans="1:10">
      <c r="A654" s="79" t="s">
        <v>10</v>
      </c>
      <c r="B654" s="79" t="s">
        <v>12</v>
      </c>
      <c r="C654" s="80">
        <v>0.327777777777778</v>
      </c>
      <c r="D654" s="81">
        <v>0</v>
      </c>
      <c r="E654" s="81">
        <v>0</v>
      </c>
      <c r="F654" s="81">
        <v>0</v>
      </c>
      <c r="G654" s="81">
        <v>0</v>
      </c>
      <c r="H654" s="81">
        <v>0</v>
      </c>
      <c r="I654" s="81">
        <v>0</v>
      </c>
      <c r="J654" s="81">
        <v>0</v>
      </c>
    </row>
    <row r="655" spans="1:10">
      <c r="A655" s="79" t="s">
        <v>10</v>
      </c>
      <c r="B655" s="79" t="s">
        <v>12</v>
      </c>
      <c r="C655" s="80">
        <v>0.328472222222222</v>
      </c>
      <c r="D655" s="81">
        <v>0</v>
      </c>
      <c r="E655" s="81">
        <v>0</v>
      </c>
      <c r="F655" s="81">
        <v>0</v>
      </c>
      <c r="G655" s="81">
        <v>0</v>
      </c>
      <c r="H655" s="81">
        <v>0</v>
      </c>
      <c r="I655" s="81">
        <v>0</v>
      </c>
      <c r="J655" s="81">
        <v>0</v>
      </c>
    </row>
    <row r="656" spans="1:10">
      <c r="A656" s="79" t="s">
        <v>10</v>
      </c>
      <c r="B656" s="79" t="s">
        <v>12</v>
      </c>
      <c r="C656" s="80">
        <v>0.329166666666667</v>
      </c>
      <c r="D656" s="81">
        <v>0</v>
      </c>
      <c r="E656" s="81">
        <v>0</v>
      </c>
      <c r="F656" s="81">
        <v>0</v>
      </c>
      <c r="G656" s="81">
        <v>0</v>
      </c>
      <c r="H656" s="81">
        <v>0</v>
      </c>
      <c r="I656" s="81">
        <v>0</v>
      </c>
      <c r="J656" s="81">
        <v>0</v>
      </c>
    </row>
    <row r="657" spans="1:10">
      <c r="A657" s="79" t="s">
        <v>10</v>
      </c>
      <c r="B657" s="79" t="s">
        <v>12</v>
      </c>
      <c r="C657" s="80">
        <v>0.32986111111111099</v>
      </c>
      <c r="D657" s="81">
        <v>0</v>
      </c>
      <c r="E657" s="81">
        <v>0</v>
      </c>
      <c r="F657" s="81">
        <v>0</v>
      </c>
      <c r="G657" s="81">
        <v>0</v>
      </c>
      <c r="H657" s="81">
        <v>0</v>
      </c>
      <c r="I657" s="81">
        <v>0</v>
      </c>
      <c r="J657" s="81">
        <v>0</v>
      </c>
    </row>
    <row r="658" spans="1:10">
      <c r="A658" s="79" t="s">
        <v>10</v>
      </c>
      <c r="B658" s="79" t="s">
        <v>12</v>
      </c>
      <c r="C658" s="80">
        <v>0.33055555555555499</v>
      </c>
      <c r="D658" s="81">
        <v>0</v>
      </c>
      <c r="E658" s="81">
        <v>0</v>
      </c>
      <c r="F658" s="81">
        <v>0</v>
      </c>
      <c r="G658" s="81">
        <v>0</v>
      </c>
      <c r="H658" s="81">
        <v>0</v>
      </c>
      <c r="I658" s="81">
        <v>0</v>
      </c>
      <c r="J658" s="81">
        <v>0</v>
      </c>
    </row>
    <row r="659" spans="1:10">
      <c r="A659" s="79" t="s">
        <v>10</v>
      </c>
      <c r="B659" s="79" t="s">
        <v>12</v>
      </c>
      <c r="C659" s="80">
        <v>0.33124999999999999</v>
      </c>
      <c r="D659" s="81">
        <v>0</v>
      </c>
      <c r="E659" s="81">
        <v>0</v>
      </c>
      <c r="F659" s="81">
        <v>0</v>
      </c>
      <c r="G659" s="81">
        <v>0</v>
      </c>
      <c r="H659" s="81">
        <v>0</v>
      </c>
      <c r="I659" s="81">
        <v>0</v>
      </c>
      <c r="J659" s="81">
        <v>0</v>
      </c>
    </row>
    <row r="660" spans="1:10">
      <c r="A660" s="79" t="s">
        <v>10</v>
      </c>
      <c r="B660" s="79" t="s">
        <v>12</v>
      </c>
      <c r="C660" s="80">
        <v>0.33194444444444399</v>
      </c>
      <c r="D660" s="81">
        <v>0</v>
      </c>
      <c r="E660" s="81">
        <v>0</v>
      </c>
      <c r="F660" s="81">
        <v>0</v>
      </c>
      <c r="G660" s="81">
        <v>0</v>
      </c>
      <c r="H660" s="81">
        <v>0</v>
      </c>
      <c r="I660" s="81">
        <v>0</v>
      </c>
      <c r="J660" s="81">
        <v>0</v>
      </c>
    </row>
    <row r="661" spans="1:10" s="78" customFormat="1">
      <c r="A661" s="82" t="s">
        <v>10</v>
      </c>
      <c r="B661" s="82" t="s">
        <v>12</v>
      </c>
      <c r="C661" s="83">
        <v>0.33263888888888898</v>
      </c>
      <c r="D661" s="84">
        <v>0</v>
      </c>
      <c r="E661" s="84">
        <v>0</v>
      </c>
      <c r="F661" s="84">
        <v>0</v>
      </c>
      <c r="G661" s="84">
        <v>0</v>
      </c>
      <c r="H661" s="84">
        <v>0</v>
      </c>
      <c r="I661" s="84">
        <v>0</v>
      </c>
      <c r="J661" s="84">
        <v>0</v>
      </c>
    </row>
    <row r="662" spans="1:10">
      <c r="A662" s="79" t="s">
        <v>10</v>
      </c>
      <c r="B662" s="79" t="s">
        <v>12</v>
      </c>
      <c r="C662" s="80">
        <v>0.33333333333333298</v>
      </c>
      <c r="D662" s="81">
        <v>0</v>
      </c>
      <c r="E662" s="81">
        <v>0</v>
      </c>
      <c r="F662" s="81">
        <v>0</v>
      </c>
      <c r="G662" s="81">
        <v>0</v>
      </c>
      <c r="H662" s="81">
        <v>0</v>
      </c>
      <c r="I662" s="81">
        <v>0</v>
      </c>
      <c r="J662" s="81">
        <v>0</v>
      </c>
    </row>
    <row r="663" spans="1:10">
      <c r="A663" s="79" t="s">
        <v>10</v>
      </c>
      <c r="B663" s="79" t="s">
        <v>12</v>
      </c>
      <c r="C663" s="80">
        <v>0.33402777777777798</v>
      </c>
      <c r="D663" s="81">
        <v>0</v>
      </c>
      <c r="E663" s="81">
        <v>0</v>
      </c>
      <c r="F663" s="81">
        <v>0</v>
      </c>
      <c r="G663" s="81">
        <v>0</v>
      </c>
      <c r="H663" s="81">
        <v>0</v>
      </c>
      <c r="I663" s="81">
        <v>0</v>
      </c>
      <c r="J663" s="81">
        <v>0</v>
      </c>
    </row>
    <row r="664" spans="1:10">
      <c r="A664" s="79" t="s">
        <v>10</v>
      </c>
      <c r="B664" s="79" t="s">
        <v>12</v>
      </c>
      <c r="C664" s="80">
        <v>0.33472222222222198</v>
      </c>
      <c r="D664" s="81">
        <v>0</v>
      </c>
      <c r="E664" s="81">
        <v>0</v>
      </c>
      <c r="F664" s="81">
        <v>0</v>
      </c>
      <c r="G664" s="81">
        <v>0</v>
      </c>
      <c r="H664" s="81">
        <v>0</v>
      </c>
      <c r="I664" s="81">
        <v>0</v>
      </c>
      <c r="J664" s="81">
        <v>0</v>
      </c>
    </row>
    <row r="665" spans="1:10">
      <c r="A665" s="79" t="s">
        <v>10</v>
      </c>
      <c r="B665" s="79" t="s">
        <v>12</v>
      </c>
      <c r="C665" s="80">
        <v>0.33541666666666597</v>
      </c>
      <c r="D665" s="81">
        <v>0</v>
      </c>
      <c r="E665" s="81">
        <v>0</v>
      </c>
      <c r="F665" s="81">
        <v>0</v>
      </c>
      <c r="G665" s="81">
        <v>0</v>
      </c>
      <c r="H665" s="81">
        <v>0</v>
      </c>
      <c r="I665" s="81">
        <v>0</v>
      </c>
      <c r="J665" s="81">
        <v>0</v>
      </c>
    </row>
    <row r="666" spans="1:10">
      <c r="A666" s="79" t="s">
        <v>10</v>
      </c>
      <c r="B666" s="79" t="s">
        <v>12</v>
      </c>
      <c r="C666" s="80">
        <v>0.33611111111111103</v>
      </c>
      <c r="D666" s="81">
        <v>0</v>
      </c>
      <c r="E666" s="81">
        <v>0</v>
      </c>
      <c r="F666" s="81">
        <v>0</v>
      </c>
      <c r="G666" s="81">
        <v>0</v>
      </c>
      <c r="H666" s="81">
        <v>0</v>
      </c>
      <c r="I666" s="81">
        <v>0</v>
      </c>
      <c r="J666" s="81">
        <v>0</v>
      </c>
    </row>
    <row r="667" spans="1:10">
      <c r="A667" s="79" t="s">
        <v>10</v>
      </c>
      <c r="B667" s="79" t="s">
        <v>12</v>
      </c>
      <c r="C667" s="80">
        <v>0.33680555555555503</v>
      </c>
      <c r="D667" s="81">
        <v>0</v>
      </c>
      <c r="E667" s="81">
        <v>0</v>
      </c>
      <c r="F667" s="81">
        <v>0</v>
      </c>
      <c r="G667" s="81">
        <v>0</v>
      </c>
      <c r="H667" s="81">
        <v>0</v>
      </c>
      <c r="I667" s="81">
        <v>0</v>
      </c>
      <c r="J667" s="81">
        <v>0</v>
      </c>
    </row>
    <row r="668" spans="1:10">
      <c r="A668" s="79" t="s">
        <v>10</v>
      </c>
      <c r="B668" s="79" t="s">
        <v>12</v>
      </c>
      <c r="C668" s="80">
        <v>0.33750000000000002</v>
      </c>
      <c r="D668" s="81">
        <v>0</v>
      </c>
      <c r="E668" s="81">
        <v>0</v>
      </c>
      <c r="F668" s="81">
        <v>0</v>
      </c>
      <c r="G668" s="81">
        <v>0</v>
      </c>
      <c r="H668" s="81">
        <v>0</v>
      </c>
      <c r="I668" s="81">
        <v>0</v>
      </c>
      <c r="J668" s="81">
        <v>0</v>
      </c>
    </row>
    <row r="669" spans="1:10">
      <c r="A669" s="79" t="s">
        <v>10</v>
      </c>
      <c r="B669" s="79" t="s">
        <v>12</v>
      </c>
      <c r="C669" s="80">
        <v>0.33819444444444402</v>
      </c>
      <c r="D669" s="81">
        <v>0</v>
      </c>
      <c r="E669" s="81">
        <v>0</v>
      </c>
      <c r="F669" s="81">
        <v>0</v>
      </c>
      <c r="G669" s="81">
        <v>0</v>
      </c>
      <c r="H669" s="81">
        <v>0</v>
      </c>
      <c r="I669" s="81">
        <v>0</v>
      </c>
      <c r="J669" s="81">
        <v>0</v>
      </c>
    </row>
    <row r="670" spans="1:10">
      <c r="A670" s="79" t="s">
        <v>10</v>
      </c>
      <c r="B670" s="79" t="s">
        <v>12</v>
      </c>
      <c r="C670" s="80">
        <v>0.33888888888888902</v>
      </c>
      <c r="D670" s="81">
        <v>0</v>
      </c>
      <c r="E670" s="81">
        <v>0</v>
      </c>
      <c r="F670" s="81">
        <v>0</v>
      </c>
      <c r="G670" s="81">
        <v>0</v>
      </c>
      <c r="H670" s="81">
        <v>0</v>
      </c>
      <c r="I670" s="81">
        <v>0</v>
      </c>
      <c r="J670" s="81">
        <v>0</v>
      </c>
    </row>
    <row r="671" spans="1:10">
      <c r="A671" s="79" t="s">
        <v>10</v>
      </c>
      <c r="B671" s="79" t="s">
        <v>12</v>
      </c>
      <c r="C671" s="80">
        <v>0.33958333333333302</v>
      </c>
      <c r="D671" s="81">
        <v>0</v>
      </c>
      <c r="E671" s="81">
        <v>0</v>
      </c>
      <c r="F671" s="81">
        <v>0</v>
      </c>
      <c r="G671" s="81">
        <v>0</v>
      </c>
      <c r="H671" s="81">
        <v>0</v>
      </c>
      <c r="I671" s="81">
        <v>0</v>
      </c>
      <c r="J671" s="81">
        <v>0</v>
      </c>
    </row>
    <row r="672" spans="1:10">
      <c r="A672" s="79" t="s">
        <v>10</v>
      </c>
      <c r="B672" s="79" t="s">
        <v>12</v>
      </c>
      <c r="C672" s="80">
        <v>0.34027777777777801</v>
      </c>
      <c r="D672" s="81">
        <v>0</v>
      </c>
      <c r="E672" s="81">
        <v>0</v>
      </c>
      <c r="F672" s="81">
        <v>0</v>
      </c>
      <c r="G672" s="81">
        <v>0</v>
      </c>
      <c r="H672" s="81">
        <v>0</v>
      </c>
      <c r="I672" s="81">
        <v>0</v>
      </c>
      <c r="J672" s="81">
        <v>0</v>
      </c>
    </row>
    <row r="673" spans="1:10">
      <c r="A673" s="79" t="s">
        <v>10</v>
      </c>
      <c r="B673" s="79" t="s">
        <v>12</v>
      </c>
      <c r="C673" s="80">
        <v>0.34097222222222201</v>
      </c>
      <c r="D673" s="81">
        <v>0</v>
      </c>
      <c r="E673" s="81">
        <v>0</v>
      </c>
      <c r="F673" s="81">
        <v>0</v>
      </c>
      <c r="G673" s="81">
        <v>0</v>
      </c>
      <c r="H673" s="81">
        <v>0</v>
      </c>
      <c r="I673" s="81">
        <v>0</v>
      </c>
      <c r="J673" s="81">
        <v>0</v>
      </c>
    </row>
    <row r="674" spans="1:10">
      <c r="A674" s="79" t="s">
        <v>10</v>
      </c>
      <c r="B674" s="79" t="s">
        <v>12</v>
      </c>
      <c r="C674" s="80">
        <v>0.34166666666666701</v>
      </c>
      <c r="D674" s="81">
        <v>0</v>
      </c>
      <c r="E674" s="81">
        <v>0</v>
      </c>
      <c r="F674" s="81">
        <v>0</v>
      </c>
      <c r="G674" s="81">
        <v>0</v>
      </c>
      <c r="H674" s="81">
        <v>0</v>
      </c>
      <c r="I674" s="81">
        <v>0</v>
      </c>
      <c r="J674" s="81">
        <v>0</v>
      </c>
    </row>
    <row r="675" spans="1:10">
      <c r="A675" s="79" t="s">
        <v>10</v>
      </c>
      <c r="B675" s="79" t="s">
        <v>12</v>
      </c>
      <c r="C675" s="80">
        <v>0.34236111111111101</v>
      </c>
      <c r="D675" s="81">
        <v>0</v>
      </c>
      <c r="E675" s="81">
        <v>0</v>
      </c>
      <c r="F675" s="81">
        <v>0</v>
      </c>
      <c r="G675" s="81">
        <v>0</v>
      </c>
      <c r="H675" s="81">
        <v>0</v>
      </c>
      <c r="I675" s="81">
        <v>0</v>
      </c>
      <c r="J675" s="81">
        <v>0</v>
      </c>
    </row>
    <row r="676" spans="1:10" s="78" customFormat="1">
      <c r="A676" s="82" t="s">
        <v>10</v>
      </c>
      <c r="B676" s="82" t="s">
        <v>12</v>
      </c>
      <c r="C676" s="83">
        <v>0.343055555555555</v>
      </c>
      <c r="D676" s="84">
        <v>0</v>
      </c>
      <c r="E676" s="84">
        <v>0</v>
      </c>
      <c r="F676" s="84">
        <v>0</v>
      </c>
      <c r="G676" s="84">
        <v>0</v>
      </c>
      <c r="H676" s="84">
        <v>0</v>
      </c>
      <c r="I676" s="84">
        <v>0</v>
      </c>
      <c r="J676" s="84">
        <v>0</v>
      </c>
    </row>
    <row r="677" spans="1:10">
      <c r="A677" s="79" t="s">
        <v>10</v>
      </c>
      <c r="B677" s="79" t="s">
        <v>12</v>
      </c>
      <c r="C677" s="80">
        <v>0.34375</v>
      </c>
      <c r="D677" s="81">
        <v>0</v>
      </c>
      <c r="E677" s="81">
        <v>0</v>
      </c>
      <c r="F677" s="81">
        <v>0</v>
      </c>
      <c r="G677" s="81">
        <v>0</v>
      </c>
      <c r="H677" s="81">
        <v>0</v>
      </c>
      <c r="I677" s="81">
        <v>0</v>
      </c>
      <c r="J677" s="81">
        <v>0</v>
      </c>
    </row>
    <row r="678" spans="1:10">
      <c r="A678" s="79" t="s">
        <v>10</v>
      </c>
      <c r="B678" s="79" t="s">
        <v>12</v>
      </c>
      <c r="C678" s="80">
        <v>0.344444444444444</v>
      </c>
      <c r="D678" s="81">
        <v>0</v>
      </c>
      <c r="E678" s="81">
        <v>0</v>
      </c>
      <c r="F678" s="81">
        <v>0</v>
      </c>
      <c r="G678" s="81">
        <v>0</v>
      </c>
      <c r="H678" s="81">
        <v>0</v>
      </c>
      <c r="I678" s="81">
        <v>0</v>
      </c>
      <c r="J678" s="81">
        <v>0</v>
      </c>
    </row>
    <row r="679" spans="1:10">
      <c r="A679" s="79" t="s">
        <v>10</v>
      </c>
      <c r="B679" s="79" t="s">
        <v>12</v>
      </c>
      <c r="C679" s="80">
        <v>0.34513888888888899</v>
      </c>
      <c r="D679" s="81">
        <v>0</v>
      </c>
      <c r="E679" s="81">
        <v>0</v>
      </c>
      <c r="F679" s="81">
        <v>0</v>
      </c>
      <c r="G679" s="81">
        <v>0</v>
      </c>
      <c r="H679" s="81">
        <v>0</v>
      </c>
      <c r="I679" s="81">
        <v>0</v>
      </c>
      <c r="J679" s="81">
        <v>0</v>
      </c>
    </row>
    <row r="680" spans="1:10">
      <c r="A680" s="79" t="s">
        <v>10</v>
      </c>
      <c r="B680" s="79" t="s">
        <v>12</v>
      </c>
      <c r="C680" s="80">
        <v>0.34583333333333299</v>
      </c>
      <c r="D680" s="81">
        <v>0</v>
      </c>
      <c r="E680" s="81">
        <v>0</v>
      </c>
      <c r="F680" s="81">
        <v>0</v>
      </c>
      <c r="G680" s="81">
        <v>0</v>
      </c>
      <c r="H680" s="81">
        <v>0</v>
      </c>
      <c r="I680" s="81">
        <v>0</v>
      </c>
      <c r="J680" s="81">
        <v>0</v>
      </c>
    </row>
    <row r="681" spans="1:10">
      <c r="A681" s="79" t="s">
        <v>10</v>
      </c>
      <c r="B681" s="79" t="s">
        <v>12</v>
      </c>
      <c r="C681" s="80">
        <v>0.34652777777777799</v>
      </c>
      <c r="D681" s="81">
        <v>0</v>
      </c>
      <c r="E681" s="81">
        <v>0</v>
      </c>
      <c r="F681" s="81">
        <v>0</v>
      </c>
      <c r="G681" s="81">
        <v>0</v>
      </c>
      <c r="H681" s="81">
        <v>0</v>
      </c>
      <c r="I681" s="81">
        <v>0</v>
      </c>
      <c r="J681" s="81">
        <v>0</v>
      </c>
    </row>
    <row r="682" spans="1:10">
      <c r="A682" s="79" t="s">
        <v>10</v>
      </c>
      <c r="B682" s="79" t="s">
        <v>12</v>
      </c>
      <c r="C682" s="80">
        <v>0.34722222222222199</v>
      </c>
      <c r="D682" s="81">
        <v>0</v>
      </c>
      <c r="E682" s="81">
        <v>0</v>
      </c>
      <c r="F682" s="81">
        <v>0</v>
      </c>
      <c r="G682" s="81">
        <v>0</v>
      </c>
      <c r="H682" s="81">
        <v>0</v>
      </c>
      <c r="I682" s="81">
        <v>0</v>
      </c>
      <c r="J682" s="81">
        <v>0</v>
      </c>
    </row>
    <row r="683" spans="1:10">
      <c r="A683" s="79" t="s">
        <v>10</v>
      </c>
      <c r="B683" s="79" t="s">
        <v>12</v>
      </c>
      <c r="C683" s="80">
        <v>0.34791666666666599</v>
      </c>
      <c r="D683" s="81">
        <v>0</v>
      </c>
      <c r="E683" s="81">
        <v>0</v>
      </c>
      <c r="F683" s="81">
        <v>0</v>
      </c>
      <c r="G683" s="81">
        <v>0</v>
      </c>
      <c r="H683" s="81">
        <v>0</v>
      </c>
      <c r="I683" s="81">
        <v>0</v>
      </c>
      <c r="J683" s="81">
        <v>0</v>
      </c>
    </row>
    <row r="684" spans="1:10">
      <c r="A684" s="79" t="s">
        <v>10</v>
      </c>
      <c r="B684" s="79" t="s">
        <v>12</v>
      </c>
      <c r="C684" s="80">
        <v>0.34861111111111098</v>
      </c>
      <c r="D684" s="81">
        <v>0</v>
      </c>
      <c r="E684" s="81">
        <v>0</v>
      </c>
      <c r="F684" s="81">
        <v>0</v>
      </c>
      <c r="G684" s="81">
        <v>0</v>
      </c>
      <c r="H684" s="81">
        <v>0</v>
      </c>
      <c r="I684" s="81">
        <v>0</v>
      </c>
      <c r="J684" s="81">
        <v>0</v>
      </c>
    </row>
    <row r="685" spans="1:10">
      <c r="A685" s="79" t="s">
        <v>10</v>
      </c>
      <c r="B685" s="79" t="s">
        <v>12</v>
      </c>
      <c r="C685" s="80">
        <v>0.34930555555555498</v>
      </c>
      <c r="D685" s="81">
        <v>0</v>
      </c>
      <c r="E685" s="81">
        <v>0</v>
      </c>
      <c r="F685" s="81">
        <v>0</v>
      </c>
      <c r="G685" s="81">
        <v>0</v>
      </c>
      <c r="H685" s="81">
        <v>0</v>
      </c>
      <c r="I685" s="81">
        <v>0</v>
      </c>
      <c r="J685" s="81">
        <v>0</v>
      </c>
    </row>
    <row r="686" spans="1:10">
      <c r="A686" s="79" t="s">
        <v>10</v>
      </c>
      <c r="B686" s="79" t="s">
        <v>12</v>
      </c>
      <c r="C686" s="80">
        <v>0.35</v>
      </c>
      <c r="D686" s="81">
        <v>0</v>
      </c>
      <c r="E686" s="81">
        <v>0</v>
      </c>
      <c r="F686" s="81">
        <v>0</v>
      </c>
      <c r="G686" s="81">
        <v>0</v>
      </c>
      <c r="H686" s="81">
        <v>0</v>
      </c>
      <c r="I686" s="81">
        <v>0</v>
      </c>
      <c r="J686" s="81">
        <v>0</v>
      </c>
    </row>
    <row r="687" spans="1:10">
      <c r="A687" s="79" t="s">
        <v>10</v>
      </c>
      <c r="B687" s="79" t="s">
        <v>12</v>
      </c>
      <c r="C687" s="80">
        <v>0.35069444444444398</v>
      </c>
      <c r="D687" s="81">
        <v>0</v>
      </c>
      <c r="E687" s="81">
        <v>0</v>
      </c>
      <c r="F687" s="81">
        <v>0</v>
      </c>
      <c r="G687" s="81">
        <v>0</v>
      </c>
      <c r="H687" s="81">
        <v>0</v>
      </c>
      <c r="I687" s="81">
        <v>0</v>
      </c>
      <c r="J687" s="81">
        <v>0</v>
      </c>
    </row>
    <row r="688" spans="1:10">
      <c r="A688" s="79" t="s">
        <v>10</v>
      </c>
      <c r="B688" s="79" t="s">
        <v>12</v>
      </c>
      <c r="C688" s="80">
        <v>0.35138888888888897</v>
      </c>
      <c r="D688" s="81">
        <v>0</v>
      </c>
      <c r="E688" s="81">
        <v>0</v>
      </c>
      <c r="F688" s="81">
        <v>0</v>
      </c>
      <c r="G688" s="81">
        <v>0</v>
      </c>
      <c r="H688" s="81">
        <v>0</v>
      </c>
      <c r="I688" s="81">
        <v>0</v>
      </c>
      <c r="J688" s="81">
        <v>0</v>
      </c>
    </row>
    <row r="689" spans="1:10">
      <c r="A689" s="79" t="s">
        <v>10</v>
      </c>
      <c r="B689" s="79" t="s">
        <v>12</v>
      </c>
      <c r="C689" s="80">
        <v>0.35208333333333303</v>
      </c>
      <c r="D689" s="81">
        <v>0</v>
      </c>
      <c r="E689" s="81">
        <v>0</v>
      </c>
      <c r="F689" s="81">
        <v>0</v>
      </c>
      <c r="G689" s="81">
        <v>0</v>
      </c>
      <c r="H689" s="81">
        <v>0</v>
      </c>
      <c r="I689" s="81">
        <v>0</v>
      </c>
      <c r="J689" s="81">
        <v>0</v>
      </c>
    </row>
    <row r="690" spans="1:10">
      <c r="A690" s="79" t="s">
        <v>10</v>
      </c>
      <c r="B690" s="79" t="s">
        <v>12</v>
      </c>
      <c r="C690" s="80">
        <v>0.35277777777777802</v>
      </c>
      <c r="D690" s="81">
        <v>0</v>
      </c>
      <c r="E690" s="81">
        <v>0</v>
      </c>
      <c r="F690" s="81">
        <v>0</v>
      </c>
      <c r="G690" s="81">
        <v>0</v>
      </c>
      <c r="H690" s="81">
        <v>0</v>
      </c>
      <c r="I690" s="81">
        <v>0</v>
      </c>
      <c r="J690" s="81">
        <v>0</v>
      </c>
    </row>
    <row r="691" spans="1:10" s="78" customFormat="1">
      <c r="A691" s="82" t="s">
        <v>10</v>
      </c>
      <c r="B691" s="82" t="s">
        <v>12</v>
      </c>
      <c r="C691" s="83">
        <v>0.35347222222222202</v>
      </c>
      <c r="D691" s="84">
        <v>0</v>
      </c>
      <c r="E691" s="84">
        <v>0</v>
      </c>
      <c r="F691" s="84">
        <v>0</v>
      </c>
      <c r="G691" s="84">
        <v>0</v>
      </c>
      <c r="H691" s="84">
        <v>0</v>
      </c>
      <c r="I691" s="84">
        <v>0</v>
      </c>
      <c r="J691" s="84">
        <v>0</v>
      </c>
    </row>
    <row r="692" spans="1:10">
      <c r="A692" s="79" t="s">
        <v>10</v>
      </c>
      <c r="B692" s="79" t="s">
        <v>12</v>
      </c>
      <c r="C692" s="80">
        <v>0.35416666666666602</v>
      </c>
      <c r="D692" s="81">
        <v>0</v>
      </c>
      <c r="E692" s="81">
        <v>0</v>
      </c>
      <c r="F692" s="81">
        <v>0</v>
      </c>
      <c r="G692" s="81">
        <v>0</v>
      </c>
      <c r="H692" s="81">
        <v>0</v>
      </c>
      <c r="I692" s="81">
        <v>0</v>
      </c>
      <c r="J692" s="81">
        <v>0</v>
      </c>
    </row>
    <row r="693" spans="1:10">
      <c r="A693" s="79" t="s">
        <v>10</v>
      </c>
      <c r="B693" s="79" t="s">
        <v>12</v>
      </c>
      <c r="C693" s="80">
        <v>0.35486111111111102</v>
      </c>
      <c r="D693" s="81">
        <v>0</v>
      </c>
      <c r="E693" s="81">
        <v>0</v>
      </c>
      <c r="F693" s="81">
        <v>0</v>
      </c>
      <c r="G693" s="81">
        <v>0</v>
      </c>
      <c r="H693" s="81">
        <v>0</v>
      </c>
      <c r="I693" s="81">
        <v>0</v>
      </c>
      <c r="J693" s="81">
        <v>0</v>
      </c>
    </row>
    <row r="694" spans="1:10">
      <c r="A694" s="79" t="s">
        <v>10</v>
      </c>
      <c r="B694" s="79" t="s">
        <v>12</v>
      </c>
      <c r="C694" s="80">
        <v>0.35555555555555501</v>
      </c>
      <c r="D694" s="81">
        <v>0</v>
      </c>
      <c r="E694" s="81">
        <v>0</v>
      </c>
      <c r="F694" s="81">
        <v>0</v>
      </c>
      <c r="G694" s="81">
        <v>0</v>
      </c>
      <c r="H694" s="81">
        <v>0</v>
      </c>
      <c r="I694" s="81">
        <v>0</v>
      </c>
      <c r="J694" s="81">
        <v>0</v>
      </c>
    </row>
    <row r="695" spans="1:10">
      <c r="A695" s="79" t="s">
        <v>10</v>
      </c>
      <c r="B695" s="79" t="s">
        <v>12</v>
      </c>
      <c r="C695" s="80">
        <v>0.35625000000000001</v>
      </c>
      <c r="D695" s="81">
        <v>0</v>
      </c>
      <c r="E695" s="81">
        <v>0</v>
      </c>
      <c r="F695" s="81">
        <v>0</v>
      </c>
      <c r="G695" s="81">
        <v>0</v>
      </c>
      <c r="H695" s="81">
        <v>0</v>
      </c>
      <c r="I695" s="81">
        <v>0</v>
      </c>
      <c r="J695" s="81">
        <v>0</v>
      </c>
    </row>
    <row r="696" spans="1:10">
      <c r="A696" s="79" t="s">
        <v>10</v>
      </c>
      <c r="B696" s="79" t="s">
        <v>12</v>
      </c>
      <c r="C696" s="80">
        <v>0.35694444444444401</v>
      </c>
      <c r="D696" s="81">
        <v>0</v>
      </c>
      <c r="E696" s="81">
        <v>0</v>
      </c>
      <c r="F696" s="81">
        <v>0</v>
      </c>
      <c r="G696" s="81">
        <v>0</v>
      </c>
      <c r="H696" s="81">
        <v>0</v>
      </c>
      <c r="I696" s="81">
        <v>0</v>
      </c>
      <c r="J696" s="81">
        <v>0</v>
      </c>
    </row>
    <row r="697" spans="1:10">
      <c r="A697" s="79" t="s">
        <v>10</v>
      </c>
      <c r="B697" s="79" t="s">
        <v>12</v>
      </c>
      <c r="C697" s="80">
        <v>0.35763888888888901</v>
      </c>
      <c r="D697" s="81">
        <v>0</v>
      </c>
      <c r="E697" s="81">
        <v>0</v>
      </c>
      <c r="F697" s="81">
        <v>0</v>
      </c>
      <c r="G697" s="81">
        <v>0</v>
      </c>
      <c r="H697" s="81">
        <v>0</v>
      </c>
      <c r="I697" s="81">
        <v>0</v>
      </c>
      <c r="J697" s="81">
        <v>0</v>
      </c>
    </row>
    <row r="698" spans="1:10">
      <c r="A698" s="79" t="s">
        <v>10</v>
      </c>
      <c r="B698" s="79" t="s">
        <v>12</v>
      </c>
      <c r="C698" s="80">
        <v>0.358333333333333</v>
      </c>
      <c r="D698" s="81">
        <v>0</v>
      </c>
      <c r="E698" s="81">
        <v>0</v>
      </c>
      <c r="F698" s="81">
        <v>0</v>
      </c>
      <c r="G698" s="81">
        <v>0</v>
      </c>
      <c r="H698" s="81">
        <v>0</v>
      </c>
      <c r="I698" s="81">
        <v>0</v>
      </c>
      <c r="J698" s="81">
        <v>0</v>
      </c>
    </row>
    <row r="699" spans="1:10">
      <c r="A699" s="79" t="s">
        <v>10</v>
      </c>
      <c r="B699" s="79" t="s">
        <v>12</v>
      </c>
      <c r="C699" s="80">
        <v>0.359027777777778</v>
      </c>
      <c r="D699" s="81">
        <v>0</v>
      </c>
      <c r="E699" s="81">
        <v>0</v>
      </c>
      <c r="F699" s="81">
        <v>0</v>
      </c>
      <c r="G699" s="81">
        <v>0</v>
      </c>
      <c r="H699" s="81">
        <v>0</v>
      </c>
      <c r="I699" s="81">
        <v>0</v>
      </c>
      <c r="J699" s="81">
        <v>0</v>
      </c>
    </row>
    <row r="700" spans="1:10">
      <c r="A700" s="79" t="s">
        <v>10</v>
      </c>
      <c r="B700" s="79" t="s">
        <v>12</v>
      </c>
      <c r="C700" s="80">
        <v>0.359722222222222</v>
      </c>
      <c r="D700" s="81">
        <v>0</v>
      </c>
      <c r="E700" s="81">
        <v>0</v>
      </c>
      <c r="F700" s="81">
        <v>0</v>
      </c>
      <c r="G700" s="81">
        <v>0</v>
      </c>
      <c r="H700" s="81">
        <v>0</v>
      </c>
      <c r="I700" s="81">
        <v>0</v>
      </c>
      <c r="J700" s="81">
        <v>0</v>
      </c>
    </row>
    <row r="701" spans="1:10">
      <c r="A701" s="79" t="s">
        <v>10</v>
      </c>
      <c r="B701" s="79" t="s">
        <v>12</v>
      </c>
      <c r="C701" s="80">
        <v>0.360416666666666</v>
      </c>
      <c r="D701" s="81">
        <v>0</v>
      </c>
      <c r="E701" s="81">
        <v>0</v>
      </c>
      <c r="F701" s="81">
        <v>0</v>
      </c>
      <c r="G701" s="81">
        <v>0</v>
      </c>
      <c r="H701" s="81">
        <v>0</v>
      </c>
      <c r="I701" s="81">
        <v>0</v>
      </c>
      <c r="J701" s="81">
        <v>0</v>
      </c>
    </row>
    <row r="702" spans="1:10">
      <c r="A702" s="79" t="s">
        <v>10</v>
      </c>
      <c r="B702" s="79" t="s">
        <v>12</v>
      </c>
      <c r="C702" s="80">
        <v>0.36111111111111099</v>
      </c>
      <c r="D702" s="81">
        <v>0</v>
      </c>
      <c r="E702" s="81">
        <v>0</v>
      </c>
      <c r="F702" s="81">
        <v>0</v>
      </c>
      <c r="G702" s="81">
        <v>0</v>
      </c>
      <c r="H702" s="81">
        <v>0</v>
      </c>
      <c r="I702" s="81">
        <v>0</v>
      </c>
      <c r="J702" s="81">
        <v>0</v>
      </c>
    </row>
    <row r="703" spans="1:10">
      <c r="A703" s="79" t="s">
        <v>10</v>
      </c>
      <c r="B703" s="79" t="s">
        <v>12</v>
      </c>
      <c r="C703" s="80">
        <v>0.36180555555555499</v>
      </c>
      <c r="D703" s="81">
        <v>0</v>
      </c>
      <c r="E703" s="81">
        <v>0</v>
      </c>
      <c r="F703" s="81">
        <v>0</v>
      </c>
      <c r="G703" s="81">
        <v>0</v>
      </c>
      <c r="H703" s="81">
        <v>0</v>
      </c>
      <c r="I703" s="81">
        <v>0</v>
      </c>
      <c r="J703" s="81">
        <v>0</v>
      </c>
    </row>
    <row r="704" spans="1:10">
      <c r="A704" s="79" t="s">
        <v>10</v>
      </c>
      <c r="B704" s="79" t="s">
        <v>12</v>
      </c>
      <c r="C704" s="80">
        <v>0.36249999999999999</v>
      </c>
      <c r="D704" s="81">
        <v>0</v>
      </c>
      <c r="E704" s="81">
        <v>0</v>
      </c>
      <c r="F704" s="81">
        <v>0</v>
      </c>
      <c r="G704" s="81">
        <v>0</v>
      </c>
      <c r="H704" s="81">
        <v>0</v>
      </c>
      <c r="I704" s="81">
        <v>0</v>
      </c>
      <c r="J704" s="81">
        <v>0</v>
      </c>
    </row>
    <row r="705" spans="1:10">
      <c r="A705" s="79" t="s">
        <v>10</v>
      </c>
      <c r="B705" s="79" t="s">
        <v>12</v>
      </c>
      <c r="C705" s="80">
        <v>0.36319444444444399</v>
      </c>
      <c r="D705" s="81">
        <v>0</v>
      </c>
      <c r="E705" s="81">
        <v>0</v>
      </c>
      <c r="F705" s="81">
        <v>0</v>
      </c>
      <c r="G705" s="81">
        <v>0</v>
      </c>
      <c r="H705" s="81">
        <v>0</v>
      </c>
      <c r="I705" s="81">
        <v>0</v>
      </c>
      <c r="J705" s="81">
        <v>0</v>
      </c>
    </row>
    <row r="706" spans="1:10" s="78" customFormat="1">
      <c r="A706" s="82" t="s">
        <v>10</v>
      </c>
      <c r="B706" s="82" t="s">
        <v>12</v>
      </c>
      <c r="C706" s="83">
        <v>0.36388888888888898</v>
      </c>
      <c r="D706" s="84">
        <v>0</v>
      </c>
      <c r="E706" s="84">
        <v>0</v>
      </c>
      <c r="F706" s="84">
        <v>0</v>
      </c>
      <c r="G706" s="84">
        <v>0</v>
      </c>
      <c r="H706" s="84">
        <v>0</v>
      </c>
      <c r="I706" s="84">
        <v>0</v>
      </c>
      <c r="J706" s="84">
        <v>0</v>
      </c>
    </row>
    <row r="707" spans="1:10">
      <c r="A707" s="79" t="s">
        <v>10</v>
      </c>
      <c r="B707" s="79" t="s">
        <v>12</v>
      </c>
      <c r="C707" s="80">
        <v>0.36458333333333298</v>
      </c>
      <c r="D707" s="81">
        <v>0</v>
      </c>
      <c r="E707" s="81">
        <v>0</v>
      </c>
      <c r="F707" s="81">
        <v>0</v>
      </c>
      <c r="G707" s="81">
        <v>0</v>
      </c>
      <c r="H707" s="81">
        <v>0</v>
      </c>
      <c r="I707" s="81">
        <v>0</v>
      </c>
      <c r="J707" s="81">
        <v>0</v>
      </c>
    </row>
    <row r="708" spans="1:10">
      <c r="A708" s="79" t="s">
        <v>10</v>
      </c>
      <c r="B708" s="79" t="s">
        <v>12</v>
      </c>
      <c r="C708" s="80">
        <v>0.36527777777777698</v>
      </c>
      <c r="D708" s="81">
        <v>0</v>
      </c>
      <c r="E708" s="81">
        <v>0</v>
      </c>
      <c r="F708" s="81">
        <v>0</v>
      </c>
      <c r="G708" s="81">
        <v>0</v>
      </c>
      <c r="H708" s="81">
        <v>0</v>
      </c>
      <c r="I708" s="81">
        <v>0</v>
      </c>
      <c r="J708" s="81">
        <v>0</v>
      </c>
    </row>
    <row r="709" spans="1:10">
      <c r="A709" s="79" t="s">
        <v>10</v>
      </c>
      <c r="B709" s="79" t="s">
        <v>12</v>
      </c>
      <c r="C709" s="80">
        <v>0.36597222222222198</v>
      </c>
      <c r="D709" s="81">
        <v>0</v>
      </c>
      <c r="E709" s="81">
        <v>0</v>
      </c>
      <c r="F709" s="81">
        <v>0</v>
      </c>
      <c r="G709" s="81">
        <v>0</v>
      </c>
      <c r="H709" s="81">
        <v>0</v>
      </c>
      <c r="I709" s="81">
        <v>0</v>
      </c>
      <c r="J709" s="81">
        <v>0</v>
      </c>
    </row>
    <row r="710" spans="1:10">
      <c r="A710" s="79" t="s">
        <v>10</v>
      </c>
      <c r="B710" s="79" t="s">
        <v>12</v>
      </c>
      <c r="C710" s="80">
        <v>0.36666666666666597</v>
      </c>
      <c r="D710" s="81">
        <v>0</v>
      </c>
      <c r="E710" s="81">
        <v>0</v>
      </c>
      <c r="F710" s="81">
        <v>0</v>
      </c>
      <c r="G710" s="81">
        <v>0</v>
      </c>
      <c r="H710" s="81">
        <v>0</v>
      </c>
      <c r="I710" s="81">
        <v>0</v>
      </c>
      <c r="J710" s="81">
        <v>0</v>
      </c>
    </row>
    <row r="711" spans="1:10">
      <c r="A711" s="79" t="s">
        <v>10</v>
      </c>
      <c r="B711" s="79" t="s">
        <v>12</v>
      </c>
      <c r="C711" s="80">
        <v>0.36736111111111103</v>
      </c>
      <c r="D711" s="81">
        <v>0</v>
      </c>
      <c r="E711" s="81">
        <v>0</v>
      </c>
      <c r="F711" s="81">
        <v>0</v>
      </c>
      <c r="G711" s="81">
        <v>0</v>
      </c>
      <c r="H711" s="81">
        <v>0</v>
      </c>
      <c r="I711" s="81">
        <v>0</v>
      </c>
      <c r="J711" s="81">
        <v>0</v>
      </c>
    </row>
    <row r="712" spans="1:10">
      <c r="A712" s="79" t="s">
        <v>10</v>
      </c>
      <c r="B712" s="79" t="s">
        <v>12</v>
      </c>
      <c r="C712" s="80">
        <v>0.36805555555555503</v>
      </c>
      <c r="D712" s="81">
        <v>0</v>
      </c>
      <c r="E712" s="81">
        <v>0</v>
      </c>
      <c r="F712" s="81">
        <v>0</v>
      </c>
      <c r="G712" s="81">
        <v>0</v>
      </c>
      <c r="H712" s="81">
        <v>0</v>
      </c>
      <c r="I712" s="81">
        <v>0</v>
      </c>
      <c r="J712" s="81">
        <v>0</v>
      </c>
    </row>
    <row r="713" spans="1:10">
      <c r="A713" s="79" t="s">
        <v>10</v>
      </c>
      <c r="B713" s="79" t="s">
        <v>12</v>
      </c>
      <c r="C713" s="80">
        <v>0.36875000000000002</v>
      </c>
      <c r="D713" s="81">
        <v>0</v>
      </c>
      <c r="E713" s="81">
        <v>0</v>
      </c>
      <c r="F713" s="81">
        <v>0</v>
      </c>
      <c r="G713" s="81">
        <v>0</v>
      </c>
      <c r="H713" s="81">
        <v>0</v>
      </c>
      <c r="I713" s="81">
        <v>0</v>
      </c>
      <c r="J713" s="81">
        <v>0</v>
      </c>
    </row>
    <row r="714" spans="1:10">
      <c r="A714" s="79" t="s">
        <v>10</v>
      </c>
      <c r="B714" s="79" t="s">
        <v>12</v>
      </c>
      <c r="C714" s="80">
        <v>0.36944444444444402</v>
      </c>
      <c r="D714" s="81">
        <v>0</v>
      </c>
      <c r="E714" s="81">
        <v>0</v>
      </c>
      <c r="F714" s="81">
        <v>0</v>
      </c>
      <c r="G714" s="81">
        <v>0</v>
      </c>
      <c r="H714" s="81">
        <v>0</v>
      </c>
      <c r="I714" s="81">
        <v>0</v>
      </c>
      <c r="J714" s="81">
        <v>0</v>
      </c>
    </row>
    <row r="715" spans="1:10">
      <c r="A715" s="79" t="s">
        <v>10</v>
      </c>
      <c r="B715" s="79" t="s">
        <v>12</v>
      </c>
      <c r="C715" s="80">
        <v>0.37013888888888902</v>
      </c>
      <c r="D715" s="81">
        <v>0</v>
      </c>
      <c r="E715" s="81">
        <v>0</v>
      </c>
      <c r="F715" s="81">
        <v>0</v>
      </c>
      <c r="G715" s="81">
        <v>0</v>
      </c>
      <c r="H715" s="81">
        <v>0</v>
      </c>
      <c r="I715" s="81">
        <v>0</v>
      </c>
      <c r="J715" s="81">
        <v>0</v>
      </c>
    </row>
    <row r="716" spans="1:10">
      <c r="A716" s="79" t="s">
        <v>10</v>
      </c>
      <c r="B716" s="79" t="s">
        <v>12</v>
      </c>
      <c r="C716" s="80">
        <v>0.37083333333333302</v>
      </c>
      <c r="D716" s="81">
        <v>0</v>
      </c>
      <c r="E716" s="81">
        <v>0</v>
      </c>
      <c r="F716" s="81">
        <v>0</v>
      </c>
      <c r="G716" s="81">
        <v>0</v>
      </c>
      <c r="H716" s="81">
        <v>0</v>
      </c>
      <c r="I716" s="81">
        <v>0</v>
      </c>
      <c r="J716" s="81">
        <v>0</v>
      </c>
    </row>
    <row r="717" spans="1:10">
      <c r="A717" s="79" t="s">
        <v>10</v>
      </c>
      <c r="B717" s="79" t="s">
        <v>12</v>
      </c>
      <c r="C717" s="80">
        <v>0.37152777777777701</v>
      </c>
      <c r="D717" s="81">
        <v>0</v>
      </c>
      <c r="E717" s="81">
        <v>0</v>
      </c>
      <c r="F717" s="81">
        <v>0</v>
      </c>
      <c r="G717" s="81">
        <v>0</v>
      </c>
      <c r="H717" s="81">
        <v>0</v>
      </c>
      <c r="I717" s="81">
        <v>0</v>
      </c>
      <c r="J717" s="81">
        <v>0</v>
      </c>
    </row>
    <row r="718" spans="1:10">
      <c r="A718" s="79" t="s">
        <v>10</v>
      </c>
      <c r="B718" s="79" t="s">
        <v>12</v>
      </c>
      <c r="C718" s="80">
        <v>0.37222222222222201</v>
      </c>
      <c r="D718" s="81">
        <v>0</v>
      </c>
      <c r="E718" s="81">
        <v>0</v>
      </c>
      <c r="F718" s="81">
        <v>0</v>
      </c>
      <c r="G718" s="81">
        <v>0</v>
      </c>
      <c r="H718" s="81">
        <v>0</v>
      </c>
      <c r="I718" s="81">
        <v>0</v>
      </c>
      <c r="J718" s="81">
        <v>0</v>
      </c>
    </row>
    <row r="719" spans="1:10">
      <c r="A719" s="79" t="s">
        <v>10</v>
      </c>
      <c r="B719" s="79" t="s">
        <v>12</v>
      </c>
      <c r="C719" s="80">
        <v>0.37291666666666601</v>
      </c>
      <c r="D719" s="81">
        <v>0</v>
      </c>
      <c r="E719" s="81">
        <v>0</v>
      </c>
      <c r="F719" s="81">
        <v>0</v>
      </c>
      <c r="G719" s="81">
        <v>0</v>
      </c>
      <c r="H719" s="81">
        <v>0</v>
      </c>
      <c r="I719" s="81">
        <v>0</v>
      </c>
      <c r="J719" s="81">
        <v>0</v>
      </c>
    </row>
    <row r="720" spans="1:10">
      <c r="A720" s="79" t="s">
        <v>10</v>
      </c>
      <c r="B720" s="79" t="s">
        <v>12</v>
      </c>
      <c r="C720" s="80">
        <v>0.37361111111111101</v>
      </c>
      <c r="D720" s="81">
        <v>0</v>
      </c>
      <c r="E720" s="81">
        <v>0</v>
      </c>
      <c r="F720" s="81">
        <v>0</v>
      </c>
      <c r="G720" s="81">
        <v>0</v>
      </c>
      <c r="H720" s="81">
        <v>0</v>
      </c>
      <c r="I720" s="81">
        <v>0</v>
      </c>
      <c r="J720" s="81">
        <v>0</v>
      </c>
    </row>
    <row r="721" spans="1:10" s="28" customFormat="1" ht="17.5" thickBot="1">
      <c r="A721" s="97" t="s">
        <v>10</v>
      </c>
      <c r="B721" s="97" t="s">
        <v>12</v>
      </c>
      <c r="C721" s="98">
        <v>0.374305555555555</v>
      </c>
      <c r="D721" s="99">
        <v>0</v>
      </c>
      <c r="E721" s="99">
        <v>0</v>
      </c>
      <c r="F721" s="99">
        <v>0</v>
      </c>
      <c r="G721" s="99">
        <v>0</v>
      </c>
      <c r="H721" s="99">
        <v>0</v>
      </c>
      <c r="I721" s="99">
        <v>0</v>
      </c>
      <c r="J721" s="99">
        <v>0</v>
      </c>
    </row>
    <row r="722" spans="1:10">
      <c r="A722" s="79" t="s">
        <v>10</v>
      </c>
      <c r="B722" s="79" t="s">
        <v>13</v>
      </c>
      <c r="C722" s="80">
        <v>0.29166666666666669</v>
      </c>
      <c r="D722" s="81">
        <v>0</v>
      </c>
      <c r="E722" s="81">
        <v>0</v>
      </c>
      <c r="F722" s="81">
        <v>0</v>
      </c>
      <c r="G722" s="81">
        <v>0</v>
      </c>
      <c r="H722" s="81">
        <v>0</v>
      </c>
      <c r="I722" s="81">
        <v>0</v>
      </c>
      <c r="J722" s="81">
        <v>0</v>
      </c>
    </row>
    <row r="723" spans="1:10">
      <c r="A723" s="79" t="s">
        <v>10</v>
      </c>
      <c r="B723" s="79" t="s">
        <v>13</v>
      </c>
      <c r="C723" s="80">
        <v>0.29236111111111113</v>
      </c>
      <c r="D723" s="81">
        <v>0</v>
      </c>
      <c r="E723" s="81">
        <v>0</v>
      </c>
      <c r="F723" s="81">
        <v>0</v>
      </c>
      <c r="G723" s="81">
        <v>0</v>
      </c>
      <c r="H723" s="81">
        <v>0</v>
      </c>
      <c r="I723" s="81">
        <v>0</v>
      </c>
      <c r="J723" s="81">
        <v>0</v>
      </c>
    </row>
    <row r="724" spans="1:10">
      <c r="A724" s="79" t="s">
        <v>10</v>
      </c>
      <c r="B724" s="79" t="s">
        <v>13</v>
      </c>
      <c r="C724" s="80">
        <v>0.29305555555555601</v>
      </c>
      <c r="D724" s="81">
        <v>0</v>
      </c>
      <c r="E724" s="81">
        <v>0</v>
      </c>
      <c r="F724" s="81">
        <v>0</v>
      </c>
      <c r="G724" s="81">
        <v>0</v>
      </c>
      <c r="H724" s="81">
        <v>0</v>
      </c>
      <c r="I724" s="81">
        <v>0</v>
      </c>
      <c r="J724" s="81">
        <v>0</v>
      </c>
    </row>
    <row r="725" spans="1:10">
      <c r="A725" s="79" t="s">
        <v>10</v>
      </c>
      <c r="B725" s="79" t="s">
        <v>13</v>
      </c>
      <c r="C725" s="80">
        <v>0.29375000000000001</v>
      </c>
      <c r="D725" s="81">
        <v>0</v>
      </c>
      <c r="E725" s="81">
        <v>0</v>
      </c>
      <c r="F725" s="81">
        <v>0</v>
      </c>
      <c r="G725" s="81">
        <v>0</v>
      </c>
      <c r="H725" s="81">
        <v>0</v>
      </c>
      <c r="I725" s="81">
        <v>0</v>
      </c>
      <c r="J725" s="81">
        <v>0</v>
      </c>
    </row>
    <row r="726" spans="1:10">
      <c r="A726" s="79" t="s">
        <v>10</v>
      </c>
      <c r="B726" s="79" t="s">
        <v>13</v>
      </c>
      <c r="C726" s="80">
        <v>0.29444444444444401</v>
      </c>
      <c r="D726" s="81">
        <v>0</v>
      </c>
      <c r="E726" s="81">
        <v>0</v>
      </c>
      <c r="F726" s="81">
        <v>0</v>
      </c>
      <c r="G726" s="81">
        <v>0</v>
      </c>
      <c r="H726" s="81">
        <v>0</v>
      </c>
      <c r="I726" s="81">
        <v>0</v>
      </c>
      <c r="J726" s="81">
        <v>0</v>
      </c>
    </row>
    <row r="727" spans="1:10">
      <c r="A727" s="79" t="s">
        <v>10</v>
      </c>
      <c r="B727" s="79" t="s">
        <v>13</v>
      </c>
      <c r="C727" s="80">
        <v>0.29513888888888901</v>
      </c>
      <c r="D727" s="81">
        <v>0</v>
      </c>
      <c r="E727" s="81">
        <v>0</v>
      </c>
      <c r="F727" s="81">
        <v>0</v>
      </c>
      <c r="G727" s="81">
        <v>0</v>
      </c>
      <c r="H727" s="81">
        <v>0</v>
      </c>
      <c r="I727" s="81">
        <v>0</v>
      </c>
      <c r="J727" s="81">
        <v>0</v>
      </c>
    </row>
    <row r="728" spans="1:10">
      <c r="A728" s="79" t="s">
        <v>10</v>
      </c>
      <c r="B728" s="79" t="s">
        <v>13</v>
      </c>
      <c r="C728" s="80">
        <v>0.295833333333333</v>
      </c>
      <c r="D728" s="81">
        <v>0</v>
      </c>
      <c r="E728" s="81">
        <v>0</v>
      </c>
      <c r="F728" s="81">
        <v>0</v>
      </c>
      <c r="G728" s="81">
        <v>0</v>
      </c>
      <c r="H728" s="81">
        <v>0</v>
      </c>
      <c r="I728" s="81">
        <v>0</v>
      </c>
      <c r="J728" s="81">
        <v>0</v>
      </c>
    </row>
    <row r="729" spans="1:10">
      <c r="A729" s="79" t="s">
        <v>10</v>
      </c>
      <c r="B729" s="79" t="s">
        <v>13</v>
      </c>
      <c r="C729" s="80">
        <v>0.296527777777778</v>
      </c>
      <c r="D729" s="81">
        <v>0</v>
      </c>
      <c r="E729" s="81">
        <v>0</v>
      </c>
      <c r="F729" s="81">
        <v>0</v>
      </c>
      <c r="G729" s="81">
        <v>0</v>
      </c>
      <c r="H729" s="81">
        <v>0</v>
      </c>
      <c r="I729" s="81">
        <v>0</v>
      </c>
      <c r="J729" s="81">
        <v>0</v>
      </c>
    </row>
    <row r="730" spans="1:10">
      <c r="A730" s="79" t="s">
        <v>10</v>
      </c>
      <c r="B730" s="79" t="s">
        <v>13</v>
      </c>
      <c r="C730" s="80">
        <v>0.297222222222222</v>
      </c>
      <c r="D730" s="81">
        <v>0</v>
      </c>
      <c r="E730" s="81">
        <v>0</v>
      </c>
      <c r="F730" s="81">
        <v>0</v>
      </c>
      <c r="G730" s="81">
        <v>0</v>
      </c>
      <c r="H730" s="81">
        <v>0</v>
      </c>
      <c r="I730" s="81">
        <v>0</v>
      </c>
      <c r="J730" s="81">
        <v>0</v>
      </c>
    </row>
    <row r="731" spans="1:10">
      <c r="A731" s="79" t="s">
        <v>10</v>
      </c>
      <c r="B731" s="79" t="s">
        <v>13</v>
      </c>
      <c r="C731" s="80">
        <v>0.297916666666667</v>
      </c>
      <c r="D731" s="81">
        <v>0</v>
      </c>
      <c r="E731" s="81">
        <v>0</v>
      </c>
      <c r="F731" s="81">
        <v>0</v>
      </c>
      <c r="G731" s="81">
        <v>0</v>
      </c>
      <c r="H731" s="81">
        <v>0</v>
      </c>
      <c r="I731" s="81">
        <v>0</v>
      </c>
      <c r="J731" s="81">
        <v>0</v>
      </c>
    </row>
    <row r="732" spans="1:10">
      <c r="A732" s="79" t="s">
        <v>10</v>
      </c>
      <c r="B732" s="79" t="s">
        <v>13</v>
      </c>
      <c r="C732" s="80">
        <v>0.29861111111111099</v>
      </c>
      <c r="D732" s="81">
        <v>0</v>
      </c>
      <c r="E732" s="81">
        <v>0</v>
      </c>
      <c r="F732" s="81">
        <v>0</v>
      </c>
      <c r="G732" s="81">
        <v>0</v>
      </c>
      <c r="H732" s="81">
        <v>0</v>
      </c>
      <c r="I732" s="81">
        <v>0</v>
      </c>
      <c r="J732" s="81">
        <v>0</v>
      </c>
    </row>
    <row r="733" spans="1:10">
      <c r="A733" s="79" t="s">
        <v>10</v>
      </c>
      <c r="B733" s="79" t="s">
        <v>13</v>
      </c>
      <c r="C733" s="80">
        <v>0.29930555555555599</v>
      </c>
      <c r="D733" s="81">
        <v>0</v>
      </c>
      <c r="E733" s="81">
        <v>0</v>
      </c>
      <c r="F733" s="81">
        <v>0</v>
      </c>
      <c r="G733" s="81">
        <v>0</v>
      </c>
      <c r="H733" s="81">
        <v>0</v>
      </c>
      <c r="I733" s="81">
        <v>0</v>
      </c>
      <c r="J733" s="81">
        <v>0</v>
      </c>
    </row>
    <row r="734" spans="1:10">
      <c r="A734" s="79" t="s">
        <v>10</v>
      </c>
      <c r="B734" s="79" t="s">
        <v>13</v>
      </c>
      <c r="C734" s="80">
        <v>0.3</v>
      </c>
      <c r="D734" s="81">
        <v>0</v>
      </c>
      <c r="E734" s="81">
        <v>0</v>
      </c>
      <c r="F734" s="81">
        <v>0</v>
      </c>
      <c r="G734" s="81">
        <v>0</v>
      </c>
      <c r="H734" s="81">
        <v>0</v>
      </c>
      <c r="I734" s="81">
        <v>0</v>
      </c>
      <c r="J734" s="81">
        <v>0</v>
      </c>
    </row>
    <row r="735" spans="1:10">
      <c r="A735" s="79" t="s">
        <v>10</v>
      </c>
      <c r="B735" s="79" t="s">
        <v>13</v>
      </c>
      <c r="C735" s="80">
        <v>0.30069444444444399</v>
      </c>
      <c r="D735" s="81">
        <v>0</v>
      </c>
      <c r="E735" s="81">
        <v>0</v>
      </c>
      <c r="F735" s="81">
        <v>0</v>
      </c>
      <c r="G735" s="81">
        <v>0</v>
      </c>
      <c r="H735" s="81">
        <v>0</v>
      </c>
      <c r="I735" s="81">
        <v>0</v>
      </c>
      <c r="J735" s="81">
        <v>0</v>
      </c>
    </row>
    <row r="736" spans="1:10" s="78" customFormat="1">
      <c r="A736" s="82" t="s">
        <v>10</v>
      </c>
      <c r="B736" s="82" t="s">
        <v>13</v>
      </c>
      <c r="C736" s="83">
        <v>0.30138888888888898</v>
      </c>
      <c r="D736" s="84">
        <v>0</v>
      </c>
      <c r="E736" s="84">
        <v>0</v>
      </c>
      <c r="F736" s="84">
        <v>0</v>
      </c>
      <c r="G736" s="84">
        <v>0</v>
      </c>
      <c r="H736" s="84">
        <v>0</v>
      </c>
      <c r="I736" s="84">
        <v>0</v>
      </c>
      <c r="J736" s="84">
        <v>0</v>
      </c>
    </row>
    <row r="737" spans="1:10">
      <c r="A737" s="79" t="s">
        <v>10</v>
      </c>
      <c r="B737" s="79" t="s">
        <v>13</v>
      </c>
      <c r="C737" s="80">
        <v>0.30208333333333298</v>
      </c>
      <c r="D737" s="81">
        <v>0</v>
      </c>
      <c r="E737" s="81">
        <v>0</v>
      </c>
      <c r="F737" s="81">
        <v>0</v>
      </c>
      <c r="G737" s="81">
        <v>0</v>
      </c>
      <c r="H737" s="81">
        <v>0</v>
      </c>
      <c r="I737" s="81">
        <v>0</v>
      </c>
      <c r="J737" s="81">
        <v>0</v>
      </c>
    </row>
    <row r="738" spans="1:10">
      <c r="A738" s="79" t="s">
        <v>10</v>
      </c>
      <c r="B738" s="79" t="s">
        <v>13</v>
      </c>
      <c r="C738" s="80">
        <v>0.30277777777777798</v>
      </c>
      <c r="D738" s="81">
        <v>0</v>
      </c>
      <c r="E738" s="81">
        <v>0</v>
      </c>
      <c r="F738" s="81">
        <v>0</v>
      </c>
      <c r="G738" s="81">
        <v>0</v>
      </c>
      <c r="H738" s="81">
        <v>0</v>
      </c>
      <c r="I738" s="81">
        <v>0</v>
      </c>
      <c r="J738" s="81">
        <v>0</v>
      </c>
    </row>
    <row r="739" spans="1:10">
      <c r="A739" s="79" t="s">
        <v>10</v>
      </c>
      <c r="B739" s="79" t="s">
        <v>13</v>
      </c>
      <c r="C739" s="80">
        <v>0.30347222222222198</v>
      </c>
      <c r="D739" s="81">
        <v>0</v>
      </c>
      <c r="E739" s="81">
        <v>0</v>
      </c>
      <c r="F739" s="81">
        <v>0</v>
      </c>
      <c r="G739" s="81">
        <v>0</v>
      </c>
      <c r="H739" s="81">
        <v>0</v>
      </c>
      <c r="I739" s="81">
        <v>0</v>
      </c>
      <c r="J739" s="81">
        <v>0</v>
      </c>
    </row>
    <row r="740" spans="1:10">
      <c r="A740" s="79" t="s">
        <v>10</v>
      </c>
      <c r="B740" s="79" t="s">
        <v>13</v>
      </c>
      <c r="C740" s="80">
        <v>0.30416666666666697</v>
      </c>
      <c r="D740" s="81">
        <v>0</v>
      </c>
      <c r="E740" s="81">
        <v>0</v>
      </c>
      <c r="F740" s="81">
        <v>0</v>
      </c>
      <c r="G740" s="81">
        <v>0</v>
      </c>
      <c r="H740" s="81">
        <v>0</v>
      </c>
      <c r="I740" s="81">
        <v>0</v>
      </c>
      <c r="J740" s="81">
        <v>0</v>
      </c>
    </row>
    <row r="741" spans="1:10">
      <c r="A741" s="79" t="s">
        <v>10</v>
      </c>
      <c r="B741" s="79" t="s">
        <v>13</v>
      </c>
      <c r="C741" s="80">
        <v>0.30486111111111103</v>
      </c>
      <c r="D741" s="81">
        <v>0</v>
      </c>
      <c r="E741" s="81">
        <v>0</v>
      </c>
      <c r="F741" s="81">
        <v>0</v>
      </c>
      <c r="G741" s="81">
        <v>0</v>
      </c>
      <c r="H741" s="81">
        <v>0</v>
      </c>
      <c r="I741" s="81">
        <v>0</v>
      </c>
      <c r="J741" s="81">
        <v>0</v>
      </c>
    </row>
    <row r="742" spans="1:10">
      <c r="A742" s="79" t="s">
        <v>10</v>
      </c>
      <c r="B742" s="79" t="s">
        <v>13</v>
      </c>
      <c r="C742" s="80">
        <v>0.30555555555555503</v>
      </c>
      <c r="D742" s="81">
        <v>0</v>
      </c>
      <c r="E742" s="81">
        <v>0</v>
      </c>
      <c r="F742" s="81">
        <v>0</v>
      </c>
      <c r="G742" s="81">
        <v>0</v>
      </c>
      <c r="H742" s="81">
        <v>0</v>
      </c>
      <c r="I742" s="81">
        <v>0</v>
      </c>
      <c r="J742" s="81">
        <v>0</v>
      </c>
    </row>
    <row r="743" spans="1:10">
      <c r="A743" s="79" t="s">
        <v>10</v>
      </c>
      <c r="B743" s="79" t="s">
        <v>13</v>
      </c>
      <c r="C743" s="80">
        <v>0.30625000000000002</v>
      </c>
      <c r="D743" s="81">
        <v>0</v>
      </c>
      <c r="E743" s="81">
        <v>0</v>
      </c>
      <c r="F743" s="81">
        <v>0</v>
      </c>
      <c r="G743" s="81">
        <v>0</v>
      </c>
      <c r="H743" s="81">
        <v>0</v>
      </c>
      <c r="I743" s="81">
        <v>0</v>
      </c>
      <c r="J743" s="81">
        <v>0</v>
      </c>
    </row>
    <row r="744" spans="1:10">
      <c r="A744" s="79" t="s">
        <v>10</v>
      </c>
      <c r="B744" s="79" t="s">
        <v>13</v>
      </c>
      <c r="C744" s="80">
        <v>0.30694444444444402</v>
      </c>
      <c r="D744" s="81">
        <v>0</v>
      </c>
      <c r="E744" s="81">
        <v>0</v>
      </c>
      <c r="F744" s="81">
        <v>0</v>
      </c>
      <c r="G744" s="81">
        <v>0</v>
      </c>
      <c r="H744" s="81">
        <v>0</v>
      </c>
      <c r="I744" s="81">
        <v>0</v>
      </c>
      <c r="J744" s="81">
        <v>0</v>
      </c>
    </row>
    <row r="745" spans="1:10">
      <c r="A745" s="79" t="s">
        <v>10</v>
      </c>
      <c r="B745" s="79" t="s">
        <v>13</v>
      </c>
      <c r="C745" s="80">
        <v>0.30763888888888902</v>
      </c>
      <c r="D745" s="81">
        <v>0</v>
      </c>
      <c r="E745" s="81">
        <v>0</v>
      </c>
      <c r="F745" s="81">
        <v>0</v>
      </c>
      <c r="G745" s="81">
        <v>0</v>
      </c>
      <c r="H745" s="81">
        <v>0</v>
      </c>
      <c r="I745" s="81">
        <v>0</v>
      </c>
      <c r="J745" s="81">
        <v>0</v>
      </c>
    </row>
    <row r="746" spans="1:10">
      <c r="A746" s="79" t="s">
        <v>10</v>
      </c>
      <c r="B746" s="79" t="s">
        <v>13</v>
      </c>
      <c r="C746" s="80">
        <v>0.30833333333333302</v>
      </c>
      <c r="D746" s="81">
        <v>0</v>
      </c>
      <c r="E746" s="81">
        <v>0</v>
      </c>
      <c r="F746" s="81">
        <v>0</v>
      </c>
      <c r="G746" s="81">
        <v>0</v>
      </c>
      <c r="H746" s="81">
        <v>0</v>
      </c>
      <c r="I746" s="81">
        <v>0</v>
      </c>
      <c r="J746" s="81">
        <v>0</v>
      </c>
    </row>
    <row r="747" spans="1:10">
      <c r="A747" s="79" t="s">
        <v>10</v>
      </c>
      <c r="B747" s="79" t="s">
        <v>13</v>
      </c>
      <c r="C747" s="80">
        <v>0.30902777777777801</v>
      </c>
      <c r="D747" s="81">
        <v>0</v>
      </c>
      <c r="E747" s="81">
        <v>0</v>
      </c>
      <c r="F747" s="81">
        <v>0</v>
      </c>
      <c r="G747" s="81">
        <v>0</v>
      </c>
      <c r="H747" s="81">
        <v>0</v>
      </c>
      <c r="I747" s="81">
        <v>0</v>
      </c>
      <c r="J747" s="81">
        <v>0</v>
      </c>
    </row>
    <row r="748" spans="1:10">
      <c r="A748" s="79" t="s">
        <v>10</v>
      </c>
      <c r="B748" s="79" t="s">
        <v>13</v>
      </c>
      <c r="C748" s="80">
        <v>0.30972222222222201</v>
      </c>
      <c r="D748" s="81">
        <v>0</v>
      </c>
      <c r="E748" s="81">
        <v>0</v>
      </c>
      <c r="F748" s="81">
        <v>0</v>
      </c>
      <c r="G748" s="81">
        <v>0</v>
      </c>
      <c r="H748" s="81">
        <v>0</v>
      </c>
      <c r="I748" s="81">
        <v>0</v>
      </c>
      <c r="J748" s="81">
        <v>0</v>
      </c>
    </row>
    <row r="749" spans="1:10">
      <c r="A749" s="79" t="s">
        <v>10</v>
      </c>
      <c r="B749" s="79" t="s">
        <v>13</v>
      </c>
      <c r="C749" s="80">
        <v>0.31041666666666701</v>
      </c>
      <c r="D749" s="81">
        <v>0</v>
      </c>
      <c r="E749" s="81">
        <v>0</v>
      </c>
      <c r="F749" s="81">
        <v>0</v>
      </c>
      <c r="G749" s="81">
        <v>0</v>
      </c>
      <c r="H749" s="81">
        <v>0</v>
      </c>
      <c r="I749" s="81">
        <v>0</v>
      </c>
      <c r="J749" s="81">
        <v>0</v>
      </c>
    </row>
    <row r="750" spans="1:10">
      <c r="A750" s="79" t="s">
        <v>10</v>
      </c>
      <c r="B750" s="79" t="s">
        <v>13</v>
      </c>
      <c r="C750" s="80">
        <v>0.31111111111111101</v>
      </c>
      <c r="D750" s="81">
        <v>0</v>
      </c>
      <c r="E750" s="81">
        <v>0</v>
      </c>
      <c r="F750" s="81">
        <v>0</v>
      </c>
      <c r="G750" s="81">
        <v>0</v>
      </c>
      <c r="H750" s="81">
        <v>0</v>
      </c>
      <c r="I750" s="81">
        <v>0</v>
      </c>
      <c r="J750" s="81">
        <v>0</v>
      </c>
    </row>
    <row r="751" spans="1:10" s="78" customFormat="1">
      <c r="A751" s="82" t="s">
        <v>10</v>
      </c>
      <c r="B751" s="82" t="s">
        <v>13</v>
      </c>
      <c r="C751" s="83">
        <v>0.311805555555556</v>
      </c>
      <c r="D751" s="84">
        <v>0</v>
      </c>
      <c r="E751" s="84">
        <v>0</v>
      </c>
      <c r="F751" s="84">
        <v>0</v>
      </c>
      <c r="G751" s="84">
        <v>0</v>
      </c>
      <c r="H751" s="84">
        <v>0</v>
      </c>
      <c r="I751" s="84">
        <v>0</v>
      </c>
      <c r="J751" s="84">
        <v>0</v>
      </c>
    </row>
    <row r="752" spans="1:10">
      <c r="A752" s="79" t="s">
        <v>10</v>
      </c>
      <c r="B752" s="79" t="s">
        <v>13</v>
      </c>
      <c r="C752" s="80">
        <v>0.3125</v>
      </c>
      <c r="D752" s="81">
        <v>0</v>
      </c>
      <c r="E752" s="81">
        <v>0</v>
      </c>
      <c r="F752" s="81">
        <v>0</v>
      </c>
      <c r="G752" s="81">
        <v>0</v>
      </c>
      <c r="H752" s="81">
        <v>0</v>
      </c>
      <c r="I752" s="81">
        <v>0</v>
      </c>
      <c r="J752" s="81">
        <v>0</v>
      </c>
    </row>
    <row r="753" spans="1:10">
      <c r="A753" s="79" t="s">
        <v>10</v>
      </c>
      <c r="B753" s="79" t="s">
        <v>13</v>
      </c>
      <c r="C753" s="80">
        <v>0.313194444444444</v>
      </c>
      <c r="D753" s="81">
        <v>0</v>
      </c>
      <c r="E753" s="81">
        <v>0</v>
      </c>
      <c r="F753" s="81">
        <v>0</v>
      </c>
      <c r="G753" s="81">
        <v>0</v>
      </c>
      <c r="H753" s="81">
        <v>0</v>
      </c>
      <c r="I753" s="81">
        <v>0</v>
      </c>
      <c r="J753" s="81">
        <v>0</v>
      </c>
    </row>
    <row r="754" spans="1:10">
      <c r="A754" s="79" t="s">
        <v>10</v>
      </c>
      <c r="B754" s="79" t="s">
        <v>13</v>
      </c>
      <c r="C754" s="80">
        <v>0.31388888888888899</v>
      </c>
      <c r="D754" s="81">
        <v>0</v>
      </c>
      <c r="E754" s="81">
        <v>0</v>
      </c>
      <c r="F754" s="81">
        <v>0</v>
      </c>
      <c r="G754" s="81">
        <v>0</v>
      </c>
      <c r="H754" s="81">
        <v>0</v>
      </c>
      <c r="I754" s="81">
        <v>0</v>
      </c>
      <c r="J754" s="81">
        <v>0</v>
      </c>
    </row>
    <row r="755" spans="1:10">
      <c r="A755" s="79" t="s">
        <v>10</v>
      </c>
      <c r="B755" s="79" t="s">
        <v>13</v>
      </c>
      <c r="C755" s="80">
        <v>0.31458333333333299</v>
      </c>
      <c r="D755" s="81">
        <v>0</v>
      </c>
      <c r="E755" s="81">
        <v>0</v>
      </c>
      <c r="F755" s="81">
        <v>0</v>
      </c>
      <c r="G755" s="81">
        <v>0</v>
      </c>
      <c r="H755" s="81">
        <v>0</v>
      </c>
      <c r="I755" s="81">
        <v>0</v>
      </c>
      <c r="J755" s="81">
        <v>0</v>
      </c>
    </row>
    <row r="756" spans="1:10">
      <c r="A756" s="79" t="s">
        <v>10</v>
      </c>
      <c r="B756" s="79" t="s">
        <v>13</v>
      </c>
      <c r="C756" s="80">
        <v>0.31527777777777799</v>
      </c>
      <c r="D756" s="81">
        <v>0</v>
      </c>
      <c r="E756" s="81">
        <v>0</v>
      </c>
      <c r="F756" s="81">
        <v>0</v>
      </c>
      <c r="G756" s="81">
        <v>0</v>
      </c>
      <c r="H756" s="81">
        <v>0</v>
      </c>
      <c r="I756" s="81">
        <v>0</v>
      </c>
      <c r="J756" s="81">
        <v>0</v>
      </c>
    </row>
    <row r="757" spans="1:10">
      <c r="A757" s="79" t="s">
        <v>10</v>
      </c>
      <c r="B757" s="79" t="s">
        <v>13</v>
      </c>
      <c r="C757" s="80">
        <v>0.31597222222222199</v>
      </c>
      <c r="D757" s="81">
        <v>0</v>
      </c>
      <c r="E757" s="81">
        <v>0</v>
      </c>
      <c r="F757" s="81">
        <v>0</v>
      </c>
      <c r="G757" s="81">
        <v>0</v>
      </c>
      <c r="H757" s="81">
        <v>0</v>
      </c>
      <c r="I757" s="81">
        <v>0</v>
      </c>
      <c r="J757" s="81">
        <v>0</v>
      </c>
    </row>
    <row r="758" spans="1:10">
      <c r="A758" s="79" t="s">
        <v>10</v>
      </c>
      <c r="B758" s="79" t="s">
        <v>13</v>
      </c>
      <c r="C758" s="80">
        <v>0.31666666666666698</v>
      </c>
      <c r="D758" s="81">
        <v>0</v>
      </c>
      <c r="E758" s="81">
        <v>0</v>
      </c>
      <c r="F758" s="81">
        <v>0</v>
      </c>
      <c r="G758" s="81">
        <v>0</v>
      </c>
      <c r="H758" s="81">
        <v>0</v>
      </c>
      <c r="I758" s="81">
        <v>0</v>
      </c>
      <c r="J758" s="81">
        <v>0</v>
      </c>
    </row>
    <row r="759" spans="1:10">
      <c r="A759" s="79" t="s">
        <v>10</v>
      </c>
      <c r="B759" s="79" t="s">
        <v>13</v>
      </c>
      <c r="C759" s="80">
        <v>0.31736111111111098</v>
      </c>
      <c r="D759" s="81">
        <v>0</v>
      </c>
      <c r="E759" s="81">
        <v>0</v>
      </c>
      <c r="F759" s="81">
        <v>0</v>
      </c>
      <c r="G759" s="81">
        <v>0</v>
      </c>
      <c r="H759" s="81">
        <v>0</v>
      </c>
      <c r="I759" s="81">
        <v>0</v>
      </c>
      <c r="J759" s="81">
        <v>0</v>
      </c>
    </row>
    <row r="760" spans="1:10">
      <c r="A760" s="79" t="s">
        <v>10</v>
      </c>
      <c r="B760" s="79" t="s">
        <v>13</v>
      </c>
      <c r="C760" s="80">
        <v>0.31805555555555498</v>
      </c>
      <c r="D760" s="81">
        <v>0</v>
      </c>
      <c r="E760" s="81">
        <v>0</v>
      </c>
      <c r="F760" s="81">
        <v>0</v>
      </c>
      <c r="G760" s="81">
        <v>0</v>
      </c>
      <c r="H760" s="81">
        <v>0</v>
      </c>
      <c r="I760" s="81">
        <v>0</v>
      </c>
      <c r="J760" s="81">
        <v>0</v>
      </c>
    </row>
    <row r="761" spans="1:10">
      <c r="A761" s="79" t="s">
        <v>10</v>
      </c>
      <c r="B761" s="79" t="s">
        <v>13</v>
      </c>
      <c r="C761" s="80">
        <v>0.31874999999999998</v>
      </c>
      <c r="D761" s="81">
        <v>0</v>
      </c>
      <c r="E761" s="81">
        <v>0</v>
      </c>
      <c r="F761" s="81">
        <v>0</v>
      </c>
      <c r="G761" s="81">
        <v>0</v>
      </c>
      <c r="H761" s="81">
        <v>0</v>
      </c>
      <c r="I761" s="81">
        <v>0</v>
      </c>
      <c r="J761" s="81">
        <v>0</v>
      </c>
    </row>
    <row r="762" spans="1:10">
      <c r="A762" s="79" t="s">
        <v>10</v>
      </c>
      <c r="B762" s="79" t="s">
        <v>13</v>
      </c>
      <c r="C762" s="80">
        <v>0.31944444444444398</v>
      </c>
      <c r="D762" s="81">
        <v>0</v>
      </c>
      <c r="E762" s="81">
        <v>0</v>
      </c>
      <c r="F762" s="81">
        <v>0</v>
      </c>
      <c r="G762" s="81">
        <v>0</v>
      </c>
      <c r="H762" s="81">
        <v>0</v>
      </c>
      <c r="I762" s="81">
        <v>0</v>
      </c>
      <c r="J762" s="81">
        <v>0</v>
      </c>
    </row>
    <row r="763" spans="1:10">
      <c r="A763" s="79" t="s">
        <v>10</v>
      </c>
      <c r="B763" s="79" t="s">
        <v>13</v>
      </c>
      <c r="C763" s="80">
        <v>0.32013888888888897</v>
      </c>
      <c r="D763" s="81">
        <v>0</v>
      </c>
      <c r="E763" s="81">
        <v>0</v>
      </c>
      <c r="F763" s="81">
        <v>0</v>
      </c>
      <c r="G763" s="81">
        <v>0</v>
      </c>
      <c r="H763" s="81">
        <v>0</v>
      </c>
      <c r="I763" s="81">
        <v>0</v>
      </c>
      <c r="J763" s="81">
        <v>0</v>
      </c>
    </row>
    <row r="764" spans="1:10">
      <c r="A764" s="79" t="s">
        <v>10</v>
      </c>
      <c r="B764" s="79" t="s">
        <v>13</v>
      </c>
      <c r="C764" s="80">
        <v>0.32083333333333303</v>
      </c>
      <c r="D764" s="81">
        <v>0</v>
      </c>
      <c r="E764" s="81">
        <v>0</v>
      </c>
      <c r="F764" s="81">
        <v>0</v>
      </c>
      <c r="G764" s="81">
        <v>0</v>
      </c>
      <c r="H764" s="81">
        <v>0</v>
      </c>
      <c r="I764" s="81">
        <v>0</v>
      </c>
      <c r="J764" s="81">
        <v>0</v>
      </c>
    </row>
    <row r="765" spans="1:10">
      <c r="A765" s="79" t="s">
        <v>10</v>
      </c>
      <c r="B765" s="79" t="s">
        <v>13</v>
      </c>
      <c r="C765" s="80">
        <v>0.32152777777777802</v>
      </c>
      <c r="D765" s="81">
        <v>0</v>
      </c>
      <c r="E765" s="81">
        <v>0</v>
      </c>
      <c r="F765" s="81">
        <v>0</v>
      </c>
      <c r="G765" s="81">
        <v>0</v>
      </c>
      <c r="H765" s="81">
        <v>0</v>
      </c>
      <c r="I765" s="81">
        <v>0</v>
      </c>
      <c r="J765" s="81">
        <v>0</v>
      </c>
    </row>
    <row r="766" spans="1:10" s="78" customFormat="1">
      <c r="A766" s="82" t="s">
        <v>10</v>
      </c>
      <c r="B766" s="82" t="s">
        <v>13</v>
      </c>
      <c r="C766" s="83">
        <v>0.32222222222222202</v>
      </c>
      <c r="D766" s="84">
        <v>0</v>
      </c>
      <c r="E766" s="84">
        <v>0</v>
      </c>
      <c r="F766" s="84">
        <v>0</v>
      </c>
      <c r="G766" s="84">
        <v>0</v>
      </c>
      <c r="H766" s="84">
        <v>0</v>
      </c>
      <c r="I766" s="84">
        <v>0</v>
      </c>
      <c r="J766" s="84">
        <v>0</v>
      </c>
    </row>
    <row r="767" spans="1:10">
      <c r="A767" s="79" t="s">
        <v>10</v>
      </c>
      <c r="B767" s="79" t="s">
        <v>13</v>
      </c>
      <c r="C767" s="80">
        <v>0.32291666666666702</v>
      </c>
      <c r="D767" s="81">
        <v>0</v>
      </c>
      <c r="E767" s="81">
        <v>0</v>
      </c>
      <c r="F767" s="81">
        <v>0</v>
      </c>
      <c r="G767" s="81">
        <v>0</v>
      </c>
      <c r="H767" s="81">
        <v>0</v>
      </c>
      <c r="I767" s="81">
        <v>0</v>
      </c>
      <c r="J767" s="81">
        <v>0</v>
      </c>
    </row>
    <row r="768" spans="1:10">
      <c r="A768" s="79" t="s">
        <v>10</v>
      </c>
      <c r="B768" s="79" t="s">
        <v>13</v>
      </c>
      <c r="C768" s="80">
        <v>0.32361111111111102</v>
      </c>
      <c r="D768" s="81">
        <v>0</v>
      </c>
      <c r="E768" s="81">
        <v>0</v>
      </c>
      <c r="F768" s="81">
        <v>0</v>
      </c>
      <c r="G768" s="81">
        <v>0</v>
      </c>
      <c r="H768" s="81">
        <v>0</v>
      </c>
      <c r="I768" s="81">
        <v>0</v>
      </c>
      <c r="J768" s="81">
        <v>0</v>
      </c>
    </row>
    <row r="769" spans="1:10">
      <c r="A769" s="79" t="s">
        <v>10</v>
      </c>
      <c r="B769" s="79" t="s">
        <v>13</v>
      </c>
      <c r="C769" s="80">
        <v>0.32430555555555601</v>
      </c>
      <c r="D769" s="81">
        <v>0</v>
      </c>
      <c r="E769" s="81">
        <v>0</v>
      </c>
      <c r="F769" s="81">
        <v>0</v>
      </c>
      <c r="G769" s="81">
        <v>0</v>
      </c>
      <c r="H769" s="81">
        <v>0</v>
      </c>
      <c r="I769" s="81">
        <v>0</v>
      </c>
      <c r="J769" s="81">
        <v>0</v>
      </c>
    </row>
    <row r="770" spans="1:10">
      <c r="A770" s="79" t="s">
        <v>10</v>
      </c>
      <c r="B770" s="79" t="s">
        <v>13</v>
      </c>
      <c r="C770" s="80">
        <v>0.32500000000000001</v>
      </c>
      <c r="D770" s="81">
        <v>0</v>
      </c>
      <c r="E770" s="81">
        <v>0</v>
      </c>
      <c r="F770" s="81">
        <v>0</v>
      </c>
      <c r="G770" s="81">
        <v>0</v>
      </c>
      <c r="H770" s="81">
        <v>0</v>
      </c>
      <c r="I770" s="81">
        <v>0</v>
      </c>
      <c r="J770" s="81">
        <v>0</v>
      </c>
    </row>
    <row r="771" spans="1:10">
      <c r="A771" s="79" t="s">
        <v>10</v>
      </c>
      <c r="B771" s="79" t="s">
        <v>13</v>
      </c>
      <c r="C771" s="80">
        <v>0.32569444444444401</v>
      </c>
      <c r="D771" s="81">
        <v>0</v>
      </c>
      <c r="E771" s="81">
        <v>0</v>
      </c>
      <c r="F771" s="81">
        <v>0</v>
      </c>
      <c r="G771" s="81">
        <v>0</v>
      </c>
      <c r="H771" s="81">
        <v>0</v>
      </c>
      <c r="I771" s="81">
        <v>0</v>
      </c>
      <c r="J771" s="81">
        <v>0</v>
      </c>
    </row>
    <row r="772" spans="1:10">
      <c r="A772" s="79" t="s">
        <v>10</v>
      </c>
      <c r="B772" s="79" t="s">
        <v>13</v>
      </c>
      <c r="C772" s="80">
        <v>0.32638888888888901</v>
      </c>
      <c r="D772" s="81">
        <v>0</v>
      </c>
      <c r="E772" s="81">
        <v>0</v>
      </c>
      <c r="F772" s="81">
        <v>0</v>
      </c>
      <c r="G772" s="81">
        <v>0</v>
      </c>
      <c r="H772" s="81">
        <v>0</v>
      </c>
      <c r="I772" s="81">
        <v>0</v>
      </c>
      <c r="J772" s="81">
        <v>0</v>
      </c>
    </row>
    <row r="773" spans="1:10">
      <c r="A773" s="79" t="s">
        <v>10</v>
      </c>
      <c r="B773" s="79" t="s">
        <v>13</v>
      </c>
      <c r="C773" s="80">
        <v>0.327083333333333</v>
      </c>
      <c r="D773" s="81">
        <v>0</v>
      </c>
      <c r="E773" s="81">
        <v>0</v>
      </c>
      <c r="F773" s="81">
        <v>0</v>
      </c>
      <c r="G773" s="81">
        <v>0</v>
      </c>
      <c r="H773" s="81">
        <v>0</v>
      </c>
      <c r="I773" s="81">
        <v>0</v>
      </c>
      <c r="J773" s="81">
        <v>0</v>
      </c>
    </row>
    <row r="774" spans="1:10">
      <c r="A774" s="79" t="s">
        <v>10</v>
      </c>
      <c r="B774" s="79" t="s">
        <v>13</v>
      </c>
      <c r="C774" s="80">
        <v>0.327777777777778</v>
      </c>
      <c r="D774" s="81">
        <v>0</v>
      </c>
      <c r="E774" s="81">
        <v>0</v>
      </c>
      <c r="F774" s="81">
        <v>0</v>
      </c>
      <c r="G774" s="81">
        <v>0</v>
      </c>
      <c r="H774" s="81">
        <v>0</v>
      </c>
      <c r="I774" s="81">
        <v>0</v>
      </c>
      <c r="J774" s="81">
        <v>0</v>
      </c>
    </row>
    <row r="775" spans="1:10">
      <c r="A775" s="79" t="s">
        <v>10</v>
      </c>
      <c r="B775" s="79" t="s">
        <v>13</v>
      </c>
      <c r="C775" s="80">
        <v>0.328472222222222</v>
      </c>
      <c r="D775" s="81">
        <v>0</v>
      </c>
      <c r="E775" s="81">
        <v>0</v>
      </c>
      <c r="F775" s="81">
        <v>0</v>
      </c>
      <c r="G775" s="81">
        <v>0</v>
      </c>
      <c r="H775" s="81">
        <v>0</v>
      </c>
      <c r="I775" s="81">
        <v>0</v>
      </c>
      <c r="J775" s="81">
        <v>0</v>
      </c>
    </row>
    <row r="776" spans="1:10">
      <c r="A776" s="79" t="s">
        <v>10</v>
      </c>
      <c r="B776" s="79" t="s">
        <v>13</v>
      </c>
      <c r="C776" s="80">
        <v>0.329166666666667</v>
      </c>
      <c r="D776" s="81">
        <v>0</v>
      </c>
      <c r="E776" s="81">
        <v>0</v>
      </c>
      <c r="F776" s="81">
        <v>0</v>
      </c>
      <c r="G776" s="81">
        <v>0</v>
      </c>
      <c r="H776" s="81">
        <v>0</v>
      </c>
      <c r="I776" s="81">
        <v>0</v>
      </c>
      <c r="J776" s="81">
        <v>0</v>
      </c>
    </row>
    <row r="777" spans="1:10">
      <c r="A777" s="79" t="s">
        <v>10</v>
      </c>
      <c r="B777" s="79" t="s">
        <v>13</v>
      </c>
      <c r="C777" s="80">
        <v>0.32986111111111099</v>
      </c>
      <c r="D777" s="81">
        <v>0</v>
      </c>
      <c r="E777" s="81">
        <v>0</v>
      </c>
      <c r="F777" s="81">
        <v>0</v>
      </c>
      <c r="G777" s="81">
        <v>0</v>
      </c>
      <c r="H777" s="81">
        <v>0</v>
      </c>
      <c r="I777" s="81">
        <v>0</v>
      </c>
      <c r="J777" s="81">
        <v>0</v>
      </c>
    </row>
    <row r="778" spans="1:10">
      <c r="A778" s="79" t="s">
        <v>10</v>
      </c>
      <c r="B778" s="79" t="s">
        <v>13</v>
      </c>
      <c r="C778" s="80">
        <v>0.33055555555555499</v>
      </c>
      <c r="D778" s="81">
        <v>0</v>
      </c>
      <c r="E778" s="81">
        <v>0</v>
      </c>
      <c r="F778" s="81">
        <v>0</v>
      </c>
      <c r="G778" s="81">
        <v>0</v>
      </c>
      <c r="H778" s="81">
        <v>0</v>
      </c>
      <c r="I778" s="81">
        <v>0</v>
      </c>
      <c r="J778" s="81">
        <v>0</v>
      </c>
    </row>
    <row r="779" spans="1:10">
      <c r="A779" s="79" t="s">
        <v>10</v>
      </c>
      <c r="B779" s="79" t="s">
        <v>13</v>
      </c>
      <c r="C779" s="80">
        <v>0.33124999999999999</v>
      </c>
      <c r="D779" s="81">
        <v>0</v>
      </c>
      <c r="E779" s="81">
        <v>0</v>
      </c>
      <c r="F779" s="81">
        <v>0</v>
      </c>
      <c r="G779" s="81">
        <v>0</v>
      </c>
      <c r="H779" s="81">
        <v>0</v>
      </c>
      <c r="I779" s="81">
        <v>0</v>
      </c>
      <c r="J779" s="81">
        <v>0</v>
      </c>
    </row>
    <row r="780" spans="1:10">
      <c r="A780" s="79" t="s">
        <v>10</v>
      </c>
      <c r="B780" s="79" t="s">
        <v>13</v>
      </c>
      <c r="C780" s="80">
        <v>0.33194444444444399</v>
      </c>
      <c r="D780" s="81">
        <v>0</v>
      </c>
      <c r="E780" s="81">
        <v>0</v>
      </c>
      <c r="F780" s="81">
        <v>0</v>
      </c>
      <c r="G780" s="81">
        <v>0</v>
      </c>
      <c r="H780" s="81">
        <v>0</v>
      </c>
      <c r="I780" s="81">
        <v>0</v>
      </c>
      <c r="J780" s="81">
        <v>0</v>
      </c>
    </row>
    <row r="781" spans="1:10" s="78" customFormat="1">
      <c r="A781" s="82" t="s">
        <v>10</v>
      </c>
      <c r="B781" s="82" t="s">
        <v>13</v>
      </c>
      <c r="C781" s="83">
        <v>0.33263888888888898</v>
      </c>
      <c r="D781" s="84">
        <v>0</v>
      </c>
      <c r="E781" s="84">
        <v>0</v>
      </c>
      <c r="F781" s="84">
        <v>0</v>
      </c>
      <c r="G781" s="84">
        <v>0</v>
      </c>
      <c r="H781" s="84">
        <v>0</v>
      </c>
      <c r="I781" s="84">
        <v>0</v>
      </c>
      <c r="J781" s="84">
        <v>0</v>
      </c>
    </row>
    <row r="782" spans="1:10">
      <c r="A782" s="79" t="s">
        <v>10</v>
      </c>
      <c r="B782" s="79" t="s">
        <v>13</v>
      </c>
      <c r="C782" s="80">
        <v>0.33333333333333298</v>
      </c>
      <c r="D782" s="81">
        <v>0</v>
      </c>
      <c r="E782" s="81">
        <v>0</v>
      </c>
      <c r="F782" s="81">
        <v>0</v>
      </c>
      <c r="G782" s="81">
        <v>0</v>
      </c>
      <c r="H782" s="81">
        <v>0</v>
      </c>
      <c r="I782" s="81">
        <v>0</v>
      </c>
      <c r="J782" s="81">
        <v>0</v>
      </c>
    </row>
    <row r="783" spans="1:10">
      <c r="A783" s="79" t="s">
        <v>10</v>
      </c>
      <c r="B783" s="79" t="s">
        <v>13</v>
      </c>
      <c r="C783" s="80">
        <v>0.33402777777777798</v>
      </c>
      <c r="D783" s="81">
        <v>0</v>
      </c>
      <c r="E783" s="81">
        <v>0</v>
      </c>
      <c r="F783" s="81">
        <v>0</v>
      </c>
      <c r="G783" s="81">
        <v>0</v>
      </c>
      <c r="H783" s="81">
        <v>0</v>
      </c>
      <c r="I783" s="81">
        <v>0</v>
      </c>
      <c r="J783" s="81">
        <v>0</v>
      </c>
    </row>
    <row r="784" spans="1:10">
      <c r="A784" s="79" t="s">
        <v>10</v>
      </c>
      <c r="B784" s="79" t="s">
        <v>13</v>
      </c>
      <c r="C784" s="80">
        <v>0.33472222222222198</v>
      </c>
      <c r="D784" s="81">
        <v>0</v>
      </c>
      <c r="E784" s="81">
        <v>0</v>
      </c>
      <c r="F784" s="81">
        <v>0</v>
      </c>
      <c r="G784" s="81">
        <v>0</v>
      </c>
      <c r="H784" s="81">
        <v>0</v>
      </c>
      <c r="I784" s="81">
        <v>0</v>
      </c>
      <c r="J784" s="81">
        <v>0</v>
      </c>
    </row>
    <row r="785" spans="1:10">
      <c r="A785" s="79" t="s">
        <v>10</v>
      </c>
      <c r="B785" s="79" t="s">
        <v>13</v>
      </c>
      <c r="C785" s="80">
        <v>0.33541666666666597</v>
      </c>
      <c r="D785" s="81">
        <v>0</v>
      </c>
      <c r="E785" s="81">
        <v>0</v>
      </c>
      <c r="F785" s="81">
        <v>0</v>
      </c>
      <c r="G785" s="81">
        <v>0</v>
      </c>
      <c r="H785" s="81">
        <v>0</v>
      </c>
      <c r="I785" s="81">
        <v>0</v>
      </c>
      <c r="J785" s="81">
        <v>0</v>
      </c>
    </row>
    <row r="786" spans="1:10">
      <c r="A786" s="79" t="s">
        <v>10</v>
      </c>
      <c r="B786" s="79" t="s">
        <v>13</v>
      </c>
      <c r="C786" s="80">
        <v>0.33611111111111103</v>
      </c>
      <c r="D786" s="81">
        <v>0</v>
      </c>
      <c r="E786" s="81">
        <v>0</v>
      </c>
      <c r="F786" s="81">
        <v>0</v>
      </c>
      <c r="G786" s="81">
        <v>0</v>
      </c>
      <c r="H786" s="81">
        <v>0</v>
      </c>
      <c r="I786" s="81">
        <v>0</v>
      </c>
      <c r="J786" s="81">
        <v>0</v>
      </c>
    </row>
    <row r="787" spans="1:10">
      <c r="A787" s="79" t="s">
        <v>10</v>
      </c>
      <c r="B787" s="79" t="s">
        <v>13</v>
      </c>
      <c r="C787" s="80">
        <v>0.33680555555555503</v>
      </c>
      <c r="D787" s="81">
        <v>0</v>
      </c>
      <c r="E787" s="81">
        <v>0</v>
      </c>
      <c r="F787" s="81">
        <v>0</v>
      </c>
      <c r="G787" s="81">
        <v>0</v>
      </c>
      <c r="H787" s="81">
        <v>0</v>
      </c>
      <c r="I787" s="81">
        <v>0</v>
      </c>
      <c r="J787" s="81">
        <v>0</v>
      </c>
    </row>
    <row r="788" spans="1:10">
      <c r="A788" s="79" t="s">
        <v>10</v>
      </c>
      <c r="B788" s="79" t="s">
        <v>13</v>
      </c>
      <c r="C788" s="80">
        <v>0.33750000000000002</v>
      </c>
      <c r="D788" s="81">
        <v>0</v>
      </c>
      <c r="E788" s="81">
        <v>0</v>
      </c>
      <c r="F788" s="81">
        <v>0</v>
      </c>
      <c r="G788" s="81">
        <v>0</v>
      </c>
      <c r="H788" s="81">
        <v>0</v>
      </c>
      <c r="I788" s="81">
        <v>0</v>
      </c>
      <c r="J788" s="81">
        <v>0</v>
      </c>
    </row>
    <row r="789" spans="1:10">
      <c r="A789" s="79" t="s">
        <v>10</v>
      </c>
      <c r="B789" s="79" t="s">
        <v>13</v>
      </c>
      <c r="C789" s="80">
        <v>0.33819444444444402</v>
      </c>
      <c r="D789" s="81">
        <v>0</v>
      </c>
      <c r="E789" s="81">
        <v>0</v>
      </c>
      <c r="F789" s="81">
        <v>0</v>
      </c>
      <c r="G789" s="81">
        <v>0</v>
      </c>
      <c r="H789" s="81">
        <v>0</v>
      </c>
      <c r="I789" s="81">
        <v>0</v>
      </c>
      <c r="J789" s="81">
        <v>0</v>
      </c>
    </row>
    <row r="790" spans="1:10">
      <c r="A790" s="79" t="s">
        <v>10</v>
      </c>
      <c r="B790" s="79" t="s">
        <v>13</v>
      </c>
      <c r="C790" s="80">
        <v>0.33888888888888902</v>
      </c>
      <c r="D790" s="81">
        <v>0</v>
      </c>
      <c r="E790" s="81">
        <v>0</v>
      </c>
      <c r="F790" s="81">
        <v>0</v>
      </c>
      <c r="G790" s="81">
        <v>0</v>
      </c>
      <c r="H790" s="81">
        <v>0</v>
      </c>
      <c r="I790" s="81">
        <v>0</v>
      </c>
      <c r="J790" s="81">
        <v>0</v>
      </c>
    </row>
    <row r="791" spans="1:10">
      <c r="A791" s="79" t="s">
        <v>10</v>
      </c>
      <c r="B791" s="79" t="s">
        <v>13</v>
      </c>
      <c r="C791" s="80">
        <v>0.33958333333333302</v>
      </c>
      <c r="D791" s="81">
        <v>0</v>
      </c>
      <c r="E791" s="81">
        <v>0</v>
      </c>
      <c r="F791" s="81">
        <v>0</v>
      </c>
      <c r="G791" s="81">
        <v>0</v>
      </c>
      <c r="H791" s="81">
        <v>0</v>
      </c>
      <c r="I791" s="81">
        <v>0</v>
      </c>
      <c r="J791" s="81">
        <v>0</v>
      </c>
    </row>
    <row r="792" spans="1:10">
      <c r="A792" s="79" t="s">
        <v>10</v>
      </c>
      <c r="B792" s="79" t="s">
        <v>13</v>
      </c>
      <c r="C792" s="80">
        <v>0.34027777777777801</v>
      </c>
      <c r="D792" s="81">
        <v>0</v>
      </c>
      <c r="E792" s="81">
        <v>0</v>
      </c>
      <c r="F792" s="81">
        <v>0</v>
      </c>
      <c r="G792" s="81">
        <v>0</v>
      </c>
      <c r="H792" s="81">
        <v>0</v>
      </c>
      <c r="I792" s="81">
        <v>0</v>
      </c>
      <c r="J792" s="81">
        <v>0</v>
      </c>
    </row>
    <row r="793" spans="1:10">
      <c r="A793" s="79" t="s">
        <v>10</v>
      </c>
      <c r="B793" s="79" t="s">
        <v>13</v>
      </c>
      <c r="C793" s="80">
        <v>0.34097222222222201</v>
      </c>
      <c r="D793" s="81">
        <v>0</v>
      </c>
      <c r="E793" s="81">
        <v>0</v>
      </c>
      <c r="F793" s="81">
        <v>0</v>
      </c>
      <c r="G793" s="81">
        <v>0</v>
      </c>
      <c r="H793" s="81">
        <v>0</v>
      </c>
      <c r="I793" s="81">
        <v>0</v>
      </c>
      <c r="J793" s="81">
        <v>0</v>
      </c>
    </row>
    <row r="794" spans="1:10">
      <c r="A794" s="79" t="s">
        <v>10</v>
      </c>
      <c r="B794" s="79" t="s">
        <v>13</v>
      </c>
      <c r="C794" s="80">
        <v>0.34166666666666701</v>
      </c>
      <c r="D794" s="81">
        <v>0</v>
      </c>
      <c r="E794" s="81">
        <v>0</v>
      </c>
      <c r="F794" s="81">
        <v>0</v>
      </c>
      <c r="G794" s="81">
        <v>0</v>
      </c>
      <c r="H794" s="81">
        <v>0</v>
      </c>
      <c r="I794" s="81">
        <v>0</v>
      </c>
      <c r="J794" s="81">
        <v>0</v>
      </c>
    </row>
    <row r="795" spans="1:10">
      <c r="A795" s="79" t="s">
        <v>10</v>
      </c>
      <c r="B795" s="79" t="s">
        <v>13</v>
      </c>
      <c r="C795" s="80">
        <v>0.34236111111111101</v>
      </c>
      <c r="D795" s="81">
        <v>0</v>
      </c>
      <c r="E795" s="81">
        <v>0</v>
      </c>
      <c r="F795" s="81">
        <v>0</v>
      </c>
      <c r="G795" s="81">
        <v>0</v>
      </c>
      <c r="H795" s="81">
        <v>0</v>
      </c>
      <c r="I795" s="81">
        <v>0</v>
      </c>
      <c r="J795" s="81">
        <v>0</v>
      </c>
    </row>
    <row r="796" spans="1:10" s="78" customFormat="1">
      <c r="A796" s="82" t="s">
        <v>10</v>
      </c>
      <c r="B796" s="82" t="s">
        <v>13</v>
      </c>
      <c r="C796" s="83">
        <v>0.343055555555555</v>
      </c>
      <c r="D796" s="84">
        <v>0</v>
      </c>
      <c r="E796" s="84">
        <v>0</v>
      </c>
      <c r="F796" s="84">
        <v>0</v>
      </c>
      <c r="G796" s="84">
        <v>0</v>
      </c>
      <c r="H796" s="84">
        <v>0</v>
      </c>
      <c r="I796" s="84">
        <v>0</v>
      </c>
      <c r="J796" s="84">
        <v>0</v>
      </c>
    </row>
    <row r="797" spans="1:10">
      <c r="A797" s="79" t="s">
        <v>10</v>
      </c>
      <c r="B797" s="79" t="s">
        <v>13</v>
      </c>
      <c r="C797" s="80">
        <v>0.34375</v>
      </c>
      <c r="D797" s="81">
        <v>0</v>
      </c>
      <c r="E797" s="81">
        <v>0</v>
      </c>
      <c r="F797" s="81">
        <v>0</v>
      </c>
      <c r="G797" s="81">
        <v>0</v>
      </c>
      <c r="H797" s="81">
        <v>0</v>
      </c>
      <c r="I797" s="81">
        <v>0</v>
      </c>
      <c r="J797" s="81">
        <v>0</v>
      </c>
    </row>
    <row r="798" spans="1:10">
      <c r="A798" s="79" t="s">
        <v>10</v>
      </c>
      <c r="B798" s="79" t="s">
        <v>13</v>
      </c>
      <c r="C798" s="80">
        <v>0.344444444444444</v>
      </c>
      <c r="D798" s="81">
        <v>0</v>
      </c>
      <c r="E798" s="81">
        <v>0</v>
      </c>
      <c r="F798" s="81">
        <v>0</v>
      </c>
      <c r="G798" s="81">
        <v>0</v>
      </c>
      <c r="H798" s="81">
        <v>0</v>
      </c>
      <c r="I798" s="81">
        <v>0</v>
      </c>
      <c r="J798" s="81">
        <v>0</v>
      </c>
    </row>
    <row r="799" spans="1:10">
      <c r="A799" s="79" t="s">
        <v>10</v>
      </c>
      <c r="B799" s="79" t="s">
        <v>13</v>
      </c>
      <c r="C799" s="80">
        <v>0.34513888888888899</v>
      </c>
      <c r="D799" s="81">
        <v>0</v>
      </c>
      <c r="E799" s="81">
        <v>0</v>
      </c>
      <c r="F799" s="81">
        <v>0</v>
      </c>
      <c r="G799" s="81">
        <v>0</v>
      </c>
      <c r="H799" s="81">
        <v>0</v>
      </c>
      <c r="I799" s="81">
        <v>0</v>
      </c>
      <c r="J799" s="81">
        <v>0</v>
      </c>
    </row>
    <row r="800" spans="1:10">
      <c r="A800" s="79" t="s">
        <v>10</v>
      </c>
      <c r="B800" s="79" t="s">
        <v>13</v>
      </c>
      <c r="C800" s="80">
        <v>0.34583333333333299</v>
      </c>
      <c r="D800" s="81">
        <v>0</v>
      </c>
      <c r="E800" s="81">
        <v>0</v>
      </c>
      <c r="F800" s="81">
        <v>0</v>
      </c>
      <c r="G800" s="81">
        <v>0</v>
      </c>
      <c r="H800" s="81">
        <v>0</v>
      </c>
      <c r="I800" s="81">
        <v>0</v>
      </c>
      <c r="J800" s="81">
        <v>0</v>
      </c>
    </row>
    <row r="801" spans="1:10">
      <c r="A801" s="79" t="s">
        <v>10</v>
      </c>
      <c r="B801" s="79" t="s">
        <v>13</v>
      </c>
      <c r="C801" s="80">
        <v>0.34652777777777799</v>
      </c>
      <c r="D801" s="81">
        <v>0</v>
      </c>
      <c r="E801" s="81">
        <v>0</v>
      </c>
      <c r="F801" s="81">
        <v>0</v>
      </c>
      <c r="G801" s="81">
        <v>0</v>
      </c>
      <c r="H801" s="81">
        <v>0</v>
      </c>
      <c r="I801" s="81">
        <v>0</v>
      </c>
      <c r="J801" s="81">
        <v>0</v>
      </c>
    </row>
    <row r="802" spans="1:10">
      <c r="A802" s="79" t="s">
        <v>10</v>
      </c>
      <c r="B802" s="79" t="s">
        <v>13</v>
      </c>
      <c r="C802" s="80">
        <v>0.34722222222222199</v>
      </c>
      <c r="D802" s="81">
        <v>0</v>
      </c>
      <c r="E802" s="81">
        <v>0</v>
      </c>
      <c r="F802" s="81">
        <v>0</v>
      </c>
      <c r="G802" s="81">
        <v>0</v>
      </c>
      <c r="H802" s="81">
        <v>0</v>
      </c>
      <c r="I802" s="81">
        <v>0</v>
      </c>
      <c r="J802" s="81">
        <v>0</v>
      </c>
    </row>
    <row r="803" spans="1:10">
      <c r="A803" s="79" t="s">
        <v>10</v>
      </c>
      <c r="B803" s="79" t="s">
        <v>13</v>
      </c>
      <c r="C803" s="80">
        <v>0.34791666666666599</v>
      </c>
      <c r="D803" s="81">
        <v>0</v>
      </c>
      <c r="E803" s="81">
        <v>0</v>
      </c>
      <c r="F803" s="81">
        <v>0</v>
      </c>
      <c r="G803" s="81">
        <v>0</v>
      </c>
      <c r="H803" s="81">
        <v>0</v>
      </c>
      <c r="I803" s="81">
        <v>0</v>
      </c>
      <c r="J803" s="81">
        <v>0</v>
      </c>
    </row>
    <row r="804" spans="1:10">
      <c r="A804" s="79" t="s">
        <v>10</v>
      </c>
      <c r="B804" s="79" t="s">
        <v>13</v>
      </c>
      <c r="C804" s="80">
        <v>0.34861111111111098</v>
      </c>
      <c r="D804" s="81">
        <v>0</v>
      </c>
      <c r="E804" s="81">
        <v>0</v>
      </c>
      <c r="F804" s="81">
        <v>0</v>
      </c>
      <c r="G804" s="81">
        <v>0</v>
      </c>
      <c r="H804" s="81">
        <v>0</v>
      </c>
      <c r="I804" s="81">
        <v>0</v>
      </c>
      <c r="J804" s="81">
        <v>0</v>
      </c>
    </row>
    <row r="805" spans="1:10">
      <c r="A805" s="79" t="s">
        <v>10</v>
      </c>
      <c r="B805" s="79" t="s">
        <v>13</v>
      </c>
      <c r="C805" s="80">
        <v>0.34930555555555498</v>
      </c>
      <c r="D805" s="81">
        <v>0</v>
      </c>
      <c r="E805" s="81">
        <v>0</v>
      </c>
      <c r="F805" s="81">
        <v>0</v>
      </c>
      <c r="G805" s="81">
        <v>0</v>
      </c>
      <c r="H805" s="81">
        <v>0</v>
      </c>
      <c r="I805" s="81">
        <v>0</v>
      </c>
      <c r="J805" s="81">
        <v>0</v>
      </c>
    </row>
    <row r="806" spans="1:10">
      <c r="A806" s="79" t="s">
        <v>10</v>
      </c>
      <c r="B806" s="79" t="s">
        <v>13</v>
      </c>
      <c r="C806" s="80">
        <v>0.35</v>
      </c>
      <c r="D806" s="81">
        <v>0</v>
      </c>
      <c r="E806" s="81">
        <v>0</v>
      </c>
      <c r="F806" s="81">
        <v>0</v>
      </c>
      <c r="G806" s="81">
        <v>0</v>
      </c>
      <c r="H806" s="81">
        <v>0</v>
      </c>
      <c r="I806" s="81">
        <v>0</v>
      </c>
      <c r="J806" s="81">
        <v>0</v>
      </c>
    </row>
    <row r="807" spans="1:10">
      <c r="A807" s="79" t="s">
        <v>10</v>
      </c>
      <c r="B807" s="79" t="s">
        <v>13</v>
      </c>
      <c r="C807" s="80">
        <v>0.35069444444444398</v>
      </c>
      <c r="D807" s="81">
        <v>0</v>
      </c>
      <c r="E807" s="81">
        <v>0</v>
      </c>
      <c r="F807" s="81">
        <v>0</v>
      </c>
      <c r="G807" s="81">
        <v>0</v>
      </c>
      <c r="H807" s="81">
        <v>0</v>
      </c>
      <c r="I807" s="81">
        <v>0</v>
      </c>
      <c r="J807" s="81">
        <v>0</v>
      </c>
    </row>
    <row r="808" spans="1:10">
      <c r="A808" s="79" t="s">
        <v>10</v>
      </c>
      <c r="B808" s="79" t="s">
        <v>13</v>
      </c>
      <c r="C808" s="80">
        <v>0.35138888888888897</v>
      </c>
      <c r="D808" s="81">
        <v>0</v>
      </c>
      <c r="E808" s="81">
        <v>0</v>
      </c>
      <c r="F808" s="81">
        <v>0</v>
      </c>
      <c r="G808" s="81">
        <v>0</v>
      </c>
      <c r="H808" s="81">
        <v>0</v>
      </c>
      <c r="I808" s="81">
        <v>0</v>
      </c>
      <c r="J808" s="81">
        <v>0</v>
      </c>
    </row>
    <row r="809" spans="1:10">
      <c r="A809" s="79" t="s">
        <v>10</v>
      </c>
      <c r="B809" s="79" t="s">
        <v>13</v>
      </c>
      <c r="C809" s="80">
        <v>0.35208333333333303</v>
      </c>
      <c r="D809" s="81">
        <v>0</v>
      </c>
      <c r="E809" s="81">
        <v>0</v>
      </c>
      <c r="F809" s="81">
        <v>0</v>
      </c>
      <c r="G809" s="81">
        <v>0</v>
      </c>
      <c r="H809" s="81">
        <v>0</v>
      </c>
      <c r="I809" s="81">
        <v>0</v>
      </c>
      <c r="J809" s="81">
        <v>0</v>
      </c>
    </row>
    <row r="810" spans="1:10">
      <c r="A810" s="79" t="s">
        <v>10</v>
      </c>
      <c r="B810" s="79" t="s">
        <v>13</v>
      </c>
      <c r="C810" s="80">
        <v>0.35277777777777802</v>
      </c>
      <c r="D810" s="81">
        <v>0</v>
      </c>
      <c r="E810" s="81">
        <v>0</v>
      </c>
      <c r="F810" s="81">
        <v>0</v>
      </c>
      <c r="G810" s="81">
        <v>0</v>
      </c>
      <c r="H810" s="81">
        <v>0</v>
      </c>
      <c r="I810" s="81">
        <v>0</v>
      </c>
      <c r="J810" s="81">
        <v>0</v>
      </c>
    </row>
    <row r="811" spans="1:10" s="78" customFormat="1">
      <c r="A811" s="82" t="s">
        <v>10</v>
      </c>
      <c r="B811" s="82" t="s">
        <v>13</v>
      </c>
      <c r="C811" s="83">
        <v>0.35347222222222202</v>
      </c>
      <c r="D811" s="84">
        <v>0</v>
      </c>
      <c r="E811" s="84">
        <v>0</v>
      </c>
      <c r="F811" s="84">
        <v>0</v>
      </c>
      <c r="G811" s="84">
        <v>0</v>
      </c>
      <c r="H811" s="84">
        <v>0</v>
      </c>
      <c r="I811" s="84">
        <v>0</v>
      </c>
      <c r="J811" s="84">
        <v>0</v>
      </c>
    </row>
    <row r="812" spans="1:10">
      <c r="A812" s="79" t="s">
        <v>10</v>
      </c>
      <c r="B812" s="79" t="s">
        <v>13</v>
      </c>
      <c r="C812" s="80">
        <v>0.35416666666666602</v>
      </c>
      <c r="D812" s="81">
        <v>0</v>
      </c>
      <c r="E812" s="81">
        <v>0</v>
      </c>
      <c r="F812" s="81">
        <v>0</v>
      </c>
      <c r="G812" s="81">
        <v>0</v>
      </c>
      <c r="H812" s="81">
        <v>0</v>
      </c>
      <c r="I812" s="81">
        <v>0</v>
      </c>
      <c r="J812" s="81">
        <v>0</v>
      </c>
    </row>
    <row r="813" spans="1:10">
      <c r="A813" s="79" t="s">
        <v>10</v>
      </c>
      <c r="B813" s="79" t="s">
        <v>13</v>
      </c>
      <c r="C813" s="80">
        <v>0.35486111111111102</v>
      </c>
      <c r="D813" s="81">
        <v>0</v>
      </c>
      <c r="E813" s="81">
        <v>0</v>
      </c>
      <c r="F813" s="81">
        <v>0</v>
      </c>
      <c r="G813" s="81">
        <v>0</v>
      </c>
      <c r="H813" s="81">
        <v>0</v>
      </c>
      <c r="I813" s="81">
        <v>0</v>
      </c>
      <c r="J813" s="81">
        <v>0</v>
      </c>
    </row>
    <row r="814" spans="1:10">
      <c r="A814" s="79" t="s">
        <v>10</v>
      </c>
      <c r="B814" s="79" t="s">
        <v>13</v>
      </c>
      <c r="C814" s="80">
        <v>0.35555555555555501</v>
      </c>
      <c r="D814" s="81">
        <v>0</v>
      </c>
      <c r="E814" s="81">
        <v>0</v>
      </c>
      <c r="F814" s="81">
        <v>0</v>
      </c>
      <c r="G814" s="81">
        <v>0</v>
      </c>
      <c r="H814" s="81">
        <v>0</v>
      </c>
      <c r="I814" s="81">
        <v>0</v>
      </c>
      <c r="J814" s="81">
        <v>0</v>
      </c>
    </row>
    <row r="815" spans="1:10">
      <c r="A815" s="79" t="s">
        <v>10</v>
      </c>
      <c r="B815" s="79" t="s">
        <v>13</v>
      </c>
      <c r="C815" s="80">
        <v>0.35625000000000001</v>
      </c>
      <c r="D815" s="81">
        <v>0</v>
      </c>
      <c r="E815" s="81">
        <v>0</v>
      </c>
      <c r="F815" s="81">
        <v>0</v>
      </c>
      <c r="G815" s="81">
        <v>0</v>
      </c>
      <c r="H815" s="81">
        <v>0</v>
      </c>
      <c r="I815" s="81">
        <v>0</v>
      </c>
      <c r="J815" s="81">
        <v>0</v>
      </c>
    </row>
    <row r="816" spans="1:10">
      <c r="A816" s="79" t="s">
        <v>10</v>
      </c>
      <c r="B816" s="79" t="s">
        <v>13</v>
      </c>
      <c r="C816" s="80">
        <v>0.35694444444444401</v>
      </c>
      <c r="D816" s="81">
        <v>0</v>
      </c>
      <c r="E816" s="81">
        <v>0</v>
      </c>
      <c r="F816" s="81">
        <v>0</v>
      </c>
      <c r="G816" s="81">
        <v>0</v>
      </c>
      <c r="H816" s="81">
        <v>0</v>
      </c>
      <c r="I816" s="81">
        <v>0</v>
      </c>
      <c r="J816" s="81">
        <v>0</v>
      </c>
    </row>
    <row r="817" spans="1:10">
      <c r="A817" s="79" t="s">
        <v>10</v>
      </c>
      <c r="B817" s="79" t="s">
        <v>13</v>
      </c>
      <c r="C817" s="80">
        <v>0.35763888888888901</v>
      </c>
      <c r="D817" s="81">
        <v>0</v>
      </c>
      <c r="E817" s="81">
        <v>0</v>
      </c>
      <c r="F817" s="81">
        <v>0</v>
      </c>
      <c r="G817" s="81">
        <v>0</v>
      </c>
      <c r="H817" s="81">
        <v>0</v>
      </c>
      <c r="I817" s="81">
        <v>0</v>
      </c>
      <c r="J817" s="81">
        <v>0</v>
      </c>
    </row>
    <row r="818" spans="1:10">
      <c r="A818" s="79" t="s">
        <v>10</v>
      </c>
      <c r="B818" s="79" t="s">
        <v>13</v>
      </c>
      <c r="C818" s="80">
        <v>0.358333333333333</v>
      </c>
      <c r="D818" s="81">
        <v>0</v>
      </c>
      <c r="E818" s="81">
        <v>0</v>
      </c>
      <c r="F818" s="81">
        <v>0</v>
      </c>
      <c r="G818" s="81">
        <v>0</v>
      </c>
      <c r="H818" s="81">
        <v>0</v>
      </c>
      <c r="I818" s="81">
        <v>0</v>
      </c>
      <c r="J818" s="81">
        <v>0</v>
      </c>
    </row>
    <row r="819" spans="1:10">
      <c r="A819" s="79" t="s">
        <v>10</v>
      </c>
      <c r="B819" s="79" t="s">
        <v>13</v>
      </c>
      <c r="C819" s="80">
        <v>0.359027777777778</v>
      </c>
      <c r="D819" s="81">
        <v>0</v>
      </c>
      <c r="E819" s="81">
        <v>0</v>
      </c>
      <c r="F819" s="81">
        <v>0</v>
      </c>
      <c r="G819" s="81">
        <v>0</v>
      </c>
      <c r="H819" s="81">
        <v>0</v>
      </c>
      <c r="I819" s="81">
        <v>0</v>
      </c>
      <c r="J819" s="81">
        <v>0</v>
      </c>
    </row>
    <row r="820" spans="1:10">
      <c r="A820" s="79" t="s">
        <v>10</v>
      </c>
      <c r="B820" s="79" t="s">
        <v>13</v>
      </c>
      <c r="C820" s="80">
        <v>0.359722222222222</v>
      </c>
      <c r="D820" s="81">
        <v>0</v>
      </c>
      <c r="E820" s="81">
        <v>0</v>
      </c>
      <c r="F820" s="81">
        <v>0</v>
      </c>
      <c r="G820" s="81">
        <v>0</v>
      </c>
      <c r="H820" s="81">
        <v>0</v>
      </c>
      <c r="I820" s="81">
        <v>0</v>
      </c>
      <c r="J820" s="81">
        <v>0</v>
      </c>
    </row>
    <row r="821" spans="1:10">
      <c r="A821" s="79" t="s">
        <v>10</v>
      </c>
      <c r="B821" s="79" t="s">
        <v>13</v>
      </c>
      <c r="C821" s="80">
        <v>0.360416666666666</v>
      </c>
      <c r="D821" s="81">
        <v>0</v>
      </c>
      <c r="E821" s="81">
        <v>0</v>
      </c>
      <c r="F821" s="81">
        <v>0</v>
      </c>
      <c r="G821" s="81">
        <v>0</v>
      </c>
      <c r="H821" s="81">
        <v>0</v>
      </c>
      <c r="I821" s="81">
        <v>0</v>
      </c>
      <c r="J821" s="81">
        <v>0</v>
      </c>
    </row>
    <row r="822" spans="1:10">
      <c r="A822" s="79" t="s">
        <v>10</v>
      </c>
      <c r="B822" s="79" t="s">
        <v>13</v>
      </c>
      <c r="C822" s="80">
        <v>0.36111111111111099</v>
      </c>
      <c r="D822" s="81">
        <v>0</v>
      </c>
      <c r="E822" s="81">
        <v>0</v>
      </c>
      <c r="F822" s="81">
        <v>0</v>
      </c>
      <c r="G822" s="81">
        <v>0</v>
      </c>
      <c r="H822" s="81">
        <v>0</v>
      </c>
      <c r="I822" s="81">
        <v>0</v>
      </c>
      <c r="J822" s="81">
        <v>0</v>
      </c>
    </row>
    <row r="823" spans="1:10">
      <c r="A823" s="79" t="s">
        <v>10</v>
      </c>
      <c r="B823" s="79" t="s">
        <v>13</v>
      </c>
      <c r="C823" s="80">
        <v>0.36180555555555499</v>
      </c>
      <c r="D823" s="81">
        <v>0</v>
      </c>
      <c r="E823" s="81">
        <v>0</v>
      </c>
      <c r="F823" s="81">
        <v>0</v>
      </c>
      <c r="G823" s="81">
        <v>0</v>
      </c>
      <c r="H823" s="81">
        <v>0</v>
      </c>
      <c r="I823" s="81">
        <v>0</v>
      </c>
      <c r="J823" s="81">
        <v>0</v>
      </c>
    </row>
    <row r="824" spans="1:10">
      <c r="A824" s="79" t="s">
        <v>10</v>
      </c>
      <c r="B824" s="79" t="s">
        <v>13</v>
      </c>
      <c r="C824" s="80">
        <v>0.36249999999999999</v>
      </c>
      <c r="D824" s="81">
        <v>0</v>
      </c>
      <c r="E824" s="81">
        <v>0</v>
      </c>
      <c r="F824" s="81">
        <v>0</v>
      </c>
      <c r="G824" s="81">
        <v>0</v>
      </c>
      <c r="H824" s="81">
        <v>0</v>
      </c>
      <c r="I824" s="81">
        <v>0</v>
      </c>
      <c r="J824" s="81">
        <v>0</v>
      </c>
    </row>
    <row r="825" spans="1:10">
      <c r="A825" s="79" t="s">
        <v>10</v>
      </c>
      <c r="B825" s="79" t="s">
        <v>13</v>
      </c>
      <c r="C825" s="80">
        <v>0.36319444444444399</v>
      </c>
      <c r="D825" s="81">
        <v>0</v>
      </c>
      <c r="E825" s="81">
        <v>0</v>
      </c>
      <c r="F825" s="81">
        <v>0</v>
      </c>
      <c r="G825" s="81">
        <v>0</v>
      </c>
      <c r="H825" s="81">
        <v>0</v>
      </c>
      <c r="I825" s="81">
        <v>0</v>
      </c>
      <c r="J825" s="81">
        <v>0</v>
      </c>
    </row>
    <row r="826" spans="1:10" s="78" customFormat="1">
      <c r="A826" s="82" t="s">
        <v>10</v>
      </c>
      <c r="B826" s="82" t="s">
        <v>13</v>
      </c>
      <c r="C826" s="83">
        <v>0.36388888888888898</v>
      </c>
      <c r="D826" s="84">
        <v>0</v>
      </c>
      <c r="E826" s="84">
        <v>0</v>
      </c>
      <c r="F826" s="84">
        <v>0</v>
      </c>
      <c r="G826" s="84">
        <v>0</v>
      </c>
      <c r="H826" s="84">
        <v>0</v>
      </c>
      <c r="I826" s="84">
        <v>0</v>
      </c>
      <c r="J826" s="84">
        <v>0</v>
      </c>
    </row>
    <row r="827" spans="1:10">
      <c r="A827" s="79" t="s">
        <v>10</v>
      </c>
      <c r="B827" s="79" t="s">
        <v>13</v>
      </c>
      <c r="C827" s="80">
        <v>0.36458333333333298</v>
      </c>
      <c r="D827" s="81">
        <v>0</v>
      </c>
      <c r="E827" s="81">
        <v>0</v>
      </c>
      <c r="F827" s="81">
        <v>0</v>
      </c>
      <c r="G827" s="81">
        <v>0</v>
      </c>
      <c r="H827" s="81">
        <v>0</v>
      </c>
      <c r="I827" s="81">
        <v>0</v>
      </c>
      <c r="J827" s="81">
        <v>0</v>
      </c>
    </row>
    <row r="828" spans="1:10">
      <c r="A828" s="79" t="s">
        <v>10</v>
      </c>
      <c r="B828" s="79" t="s">
        <v>13</v>
      </c>
      <c r="C828" s="80">
        <v>0.36527777777777698</v>
      </c>
      <c r="D828" s="81">
        <v>0</v>
      </c>
      <c r="E828" s="81">
        <v>0</v>
      </c>
      <c r="F828" s="81">
        <v>0</v>
      </c>
      <c r="G828" s="81">
        <v>0</v>
      </c>
      <c r="H828" s="81">
        <v>0</v>
      </c>
      <c r="I828" s="81">
        <v>0</v>
      </c>
      <c r="J828" s="81">
        <v>0</v>
      </c>
    </row>
    <row r="829" spans="1:10">
      <c r="A829" s="79" t="s">
        <v>10</v>
      </c>
      <c r="B829" s="79" t="s">
        <v>13</v>
      </c>
      <c r="C829" s="80">
        <v>0.36597222222222198</v>
      </c>
      <c r="D829" s="81">
        <v>0</v>
      </c>
      <c r="E829" s="81">
        <v>0</v>
      </c>
      <c r="F829" s="81">
        <v>0</v>
      </c>
      <c r="G829" s="81">
        <v>0</v>
      </c>
      <c r="H829" s="81">
        <v>0</v>
      </c>
      <c r="I829" s="81">
        <v>0</v>
      </c>
      <c r="J829" s="81">
        <v>0</v>
      </c>
    </row>
    <row r="830" spans="1:10">
      <c r="A830" s="79" t="s">
        <v>10</v>
      </c>
      <c r="B830" s="79" t="s">
        <v>13</v>
      </c>
      <c r="C830" s="80">
        <v>0.36666666666666597</v>
      </c>
      <c r="D830" s="81">
        <v>0</v>
      </c>
      <c r="E830" s="81">
        <v>0</v>
      </c>
      <c r="F830" s="81">
        <v>0</v>
      </c>
      <c r="G830" s="81">
        <v>0</v>
      </c>
      <c r="H830" s="81">
        <v>0</v>
      </c>
      <c r="I830" s="81">
        <v>0</v>
      </c>
      <c r="J830" s="81">
        <v>0</v>
      </c>
    </row>
    <row r="831" spans="1:10">
      <c r="A831" s="79" t="s">
        <v>10</v>
      </c>
      <c r="B831" s="79" t="s">
        <v>13</v>
      </c>
      <c r="C831" s="80">
        <v>0.36736111111111103</v>
      </c>
      <c r="D831" s="81">
        <v>0</v>
      </c>
      <c r="E831" s="81">
        <v>0</v>
      </c>
      <c r="F831" s="81">
        <v>0</v>
      </c>
      <c r="G831" s="81">
        <v>0</v>
      </c>
      <c r="H831" s="81">
        <v>0</v>
      </c>
      <c r="I831" s="81">
        <v>0</v>
      </c>
      <c r="J831" s="81">
        <v>0</v>
      </c>
    </row>
    <row r="832" spans="1:10">
      <c r="A832" s="79" t="s">
        <v>10</v>
      </c>
      <c r="B832" s="79" t="s">
        <v>13</v>
      </c>
      <c r="C832" s="80">
        <v>0.36805555555555503</v>
      </c>
      <c r="D832" s="81">
        <v>0</v>
      </c>
      <c r="E832" s="81">
        <v>0</v>
      </c>
      <c r="F832" s="81">
        <v>0</v>
      </c>
      <c r="G832" s="81">
        <v>0</v>
      </c>
      <c r="H832" s="81">
        <v>0</v>
      </c>
      <c r="I832" s="81">
        <v>0</v>
      </c>
      <c r="J832" s="81">
        <v>0</v>
      </c>
    </row>
    <row r="833" spans="1:10">
      <c r="A833" s="79" t="s">
        <v>10</v>
      </c>
      <c r="B833" s="79" t="s">
        <v>13</v>
      </c>
      <c r="C833" s="80">
        <v>0.36875000000000002</v>
      </c>
      <c r="D833" s="81">
        <v>0</v>
      </c>
      <c r="E833" s="81">
        <v>0</v>
      </c>
      <c r="F833" s="81">
        <v>0</v>
      </c>
      <c r="G833" s="81">
        <v>0</v>
      </c>
      <c r="H833" s="81">
        <v>0</v>
      </c>
      <c r="I833" s="81">
        <v>0</v>
      </c>
      <c r="J833" s="81">
        <v>0</v>
      </c>
    </row>
    <row r="834" spans="1:10">
      <c r="A834" s="79" t="s">
        <v>10</v>
      </c>
      <c r="B834" s="79" t="s">
        <v>13</v>
      </c>
      <c r="C834" s="80">
        <v>0.36944444444444402</v>
      </c>
      <c r="D834" s="81">
        <v>0</v>
      </c>
      <c r="E834" s="81">
        <v>0</v>
      </c>
      <c r="F834" s="81">
        <v>0</v>
      </c>
      <c r="G834" s="81">
        <v>0</v>
      </c>
      <c r="H834" s="81">
        <v>0</v>
      </c>
      <c r="I834" s="81">
        <v>0</v>
      </c>
      <c r="J834" s="81">
        <v>0</v>
      </c>
    </row>
    <row r="835" spans="1:10">
      <c r="A835" s="79" t="s">
        <v>10</v>
      </c>
      <c r="B835" s="79" t="s">
        <v>13</v>
      </c>
      <c r="C835" s="80">
        <v>0.37013888888888902</v>
      </c>
      <c r="D835" s="81">
        <v>0</v>
      </c>
      <c r="E835" s="81">
        <v>0</v>
      </c>
      <c r="F835" s="81">
        <v>0</v>
      </c>
      <c r="G835" s="81">
        <v>0</v>
      </c>
      <c r="H835" s="81">
        <v>0</v>
      </c>
      <c r="I835" s="81">
        <v>0</v>
      </c>
      <c r="J835" s="81">
        <v>0</v>
      </c>
    </row>
    <row r="836" spans="1:10">
      <c r="A836" s="79" t="s">
        <v>10</v>
      </c>
      <c r="B836" s="79" t="s">
        <v>13</v>
      </c>
      <c r="C836" s="80">
        <v>0.37083333333333302</v>
      </c>
      <c r="D836" s="81">
        <v>0</v>
      </c>
      <c r="E836" s="81">
        <v>0</v>
      </c>
      <c r="F836" s="81">
        <v>0</v>
      </c>
      <c r="G836" s="81">
        <v>0</v>
      </c>
      <c r="H836" s="81">
        <v>0</v>
      </c>
      <c r="I836" s="81">
        <v>0</v>
      </c>
      <c r="J836" s="81">
        <v>0</v>
      </c>
    </row>
    <row r="837" spans="1:10">
      <c r="A837" s="79" t="s">
        <v>10</v>
      </c>
      <c r="B837" s="79" t="s">
        <v>13</v>
      </c>
      <c r="C837" s="80">
        <v>0.37152777777777701</v>
      </c>
      <c r="D837" s="81">
        <v>0</v>
      </c>
      <c r="E837" s="81">
        <v>0</v>
      </c>
      <c r="F837" s="81">
        <v>0</v>
      </c>
      <c r="G837" s="81">
        <v>0</v>
      </c>
      <c r="H837" s="81">
        <v>0</v>
      </c>
      <c r="I837" s="81">
        <v>0</v>
      </c>
      <c r="J837" s="81">
        <v>0</v>
      </c>
    </row>
    <row r="838" spans="1:10">
      <c r="A838" s="79" t="s">
        <v>10</v>
      </c>
      <c r="B838" s="79" t="s">
        <v>13</v>
      </c>
      <c r="C838" s="80">
        <v>0.37222222222222201</v>
      </c>
      <c r="D838" s="81">
        <v>0</v>
      </c>
      <c r="E838" s="81">
        <v>0</v>
      </c>
      <c r="F838" s="81">
        <v>0</v>
      </c>
      <c r="G838" s="81">
        <v>0</v>
      </c>
      <c r="H838" s="81">
        <v>0</v>
      </c>
      <c r="I838" s="81">
        <v>0</v>
      </c>
      <c r="J838" s="81">
        <v>0</v>
      </c>
    </row>
    <row r="839" spans="1:10">
      <c r="A839" s="79" t="s">
        <v>10</v>
      </c>
      <c r="B839" s="79" t="s">
        <v>13</v>
      </c>
      <c r="C839" s="80">
        <v>0.37291666666666601</v>
      </c>
      <c r="D839" s="81">
        <v>0</v>
      </c>
      <c r="E839" s="81">
        <v>0</v>
      </c>
      <c r="F839" s="81">
        <v>0</v>
      </c>
      <c r="G839" s="81">
        <v>0</v>
      </c>
      <c r="H839" s="81">
        <v>0</v>
      </c>
      <c r="I839" s="81">
        <v>0</v>
      </c>
      <c r="J839" s="81">
        <v>0</v>
      </c>
    </row>
    <row r="840" spans="1:10">
      <c r="A840" s="79" t="s">
        <v>10</v>
      </c>
      <c r="B840" s="79" t="s">
        <v>13</v>
      </c>
      <c r="C840" s="80">
        <v>0.37361111111111101</v>
      </c>
      <c r="D840" s="81">
        <v>0</v>
      </c>
      <c r="E840" s="81">
        <v>0</v>
      </c>
      <c r="F840" s="81">
        <v>0</v>
      </c>
      <c r="G840" s="81">
        <v>0</v>
      </c>
      <c r="H840" s="81">
        <v>0</v>
      </c>
      <c r="I840" s="81">
        <v>0</v>
      </c>
      <c r="J840" s="81">
        <v>0</v>
      </c>
    </row>
    <row r="841" spans="1:10" s="28" customFormat="1" ht="17.5" thickBot="1">
      <c r="A841" s="97" t="s">
        <v>10</v>
      </c>
      <c r="B841" s="97" t="s">
        <v>13</v>
      </c>
      <c r="C841" s="98">
        <v>0.374305555555555</v>
      </c>
      <c r="D841" s="99">
        <v>0</v>
      </c>
      <c r="E841" s="99">
        <v>0</v>
      </c>
      <c r="F841" s="99">
        <v>0</v>
      </c>
      <c r="G841" s="99">
        <v>0</v>
      </c>
      <c r="H841" s="99">
        <v>0</v>
      </c>
      <c r="I841" s="99">
        <v>0</v>
      </c>
      <c r="J841" s="99">
        <v>0</v>
      </c>
    </row>
    <row r="842" spans="1:10">
      <c r="A842" s="79" t="s">
        <v>10</v>
      </c>
      <c r="B842" s="79" t="s">
        <v>14</v>
      </c>
      <c r="C842" s="80">
        <v>0.29166666666666669</v>
      </c>
      <c r="D842" s="81">
        <v>0</v>
      </c>
      <c r="E842" s="81">
        <v>0</v>
      </c>
      <c r="F842" s="81">
        <v>0</v>
      </c>
      <c r="G842" s="81">
        <v>0</v>
      </c>
      <c r="H842" s="81">
        <v>0</v>
      </c>
      <c r="I842" s="81">
        <v>0</v>
      </c>
      <c r="J842" s="81">
        <v>0</v>
      </c>
    </row>
    <row r="843" spans="1:10">
      <c r="A843" s="79" t="s">
        <v>10</v>
      </c>
      <c r="B843" s="79" t="s">
        <v>14</v>
      </c>
      <c r="C843" s="80">
        <v>0.29236111111111113</v>
      </c>
      <c r="D843" s="81">
        <v>0</v>
      </c>
      <c r="E843" s="81">
        <v>0</v>
      </c>
      <c r="F843" s="81">
        <v>0</v>
      </c>
      <c r="G843" s="81">
        <v>0</v>
      </c>
      <c r="H843" s="81">
        <v>0</v>
      </c>
      <c r="I843" s="81">
        <v>0</v>
      </c>
      <c r="J843" s="81">
        <v>0</v>
      </c>
    </row>
    <row r="844" spans="1:10">
      <c r="A844" s="79" t="s">
        <v>10</v>
      </c>
      <c r="B844" s="79" t="s">
        <v>14</v>
      </c>
      <c r="C844" s="80">
        <v>0.29305555555555601</v>
      </c>
      <c r="D844" s="81">
        <v>0</v>
      </c>
      <c r="E844" s="81">
        <v>0</v>
      </c>
      <c r="F844" s="81">
        <v>0</v>
      </c>
      <c r="G844" s="81">
        <v>0</v>
      </c>
      <c r="H844" s="81">
        <v>0</v>
      </c>
      <c r="I844" s="81">
        <v>0</v>
      </c>
      <c r="J844" s="81">
        <v>0</v>
      </c>
    </row>
    <row r="845" spans="1:10">
      <c r="A845" s="79" t="s">
        <v>10</v>
      </c>
      <c r="B845" s="79" t="s">
        <v>14</v>
      </c>
      <c r="C845" s="80">
        <v>0.29375000000000001</v>
      </c>
      <c r="D845" s="81">
        <v>0</v>
      </c>
      <c r="E845" s="81">
        <v>0</v>
      </c>
      <c r="F845" s="81">
        <v>0</v>
      </c>
      <c r="G845" s="81">
        <v>0</v>
      </c>
      <c r="H845" s="81">
        <v>0</v>
      </c>
      <c r="I845" s="81">
        <v>0</v>
      </c>
      <c r="J845" s="81">
        <v>0</v>
      </c>
    </row>
    <row r="846" spans="1:10">
      <c r="A846" s="79" t="s">
        <v>10</v>
      </c>
      <c r="B846" s="79" t="s">
        <v>14</v>
      </c>
      <c r="C846" s="80">
        <v>0.29444444444444401</v>
      </c>
      <c r="D846" s="81">
        <v>0</v>
      </c>
      <c r="E846" s="81">
        <v>0</v>
      </c>
      <c r="F846" s="81">
        <v>0</v>
      </c>
      <c r="G846" s="81">
        <v>0</v>
      </c>
      <c r="H846" s="81">
        <v>0</v>
      </c>
      <c r="I846" s="81">
        <v>0</v>
      </c>
      <c r="J846" s="81">
        <v>0</v>
      </c>
    </row>
    <row r="847" spans="1:10">
      <c r="A847" s="79" t="s">
        <v>10</v>
      </c>
      <c r="B847" s="79" t="s">
        <v>14</v>
      </c>
      <c r="C847" s="80">
        <v>0.29513888888888901</v>
      </c>
      <c r="D847" s="81">
        <v>0</v>
      </c>
      <c r="E847" s="81">
        <v>0</v>
      </c>
      <c r="F847" s="81">
        <v>0</v>
      </c>
      <c r="G847" s="81">
        <v>0</v>
      </c>
      <c r="H847" s="81">
        <v>0</v>
      </c>
      <c r="I847" s="81">
        <v>0</v>
      </c>
      <c r="J847" s="81">
        <v>0</v>
      </c>
    </row>
    <row r="848" spans="1:10">
      <c r="A848" s="79" t="s">
        <v>10</v>
      </c>
      <c r="B848" s="79" t="s">
        <v>14</v>
      </c>
      <c r="C848" s="80">
        <v>0.295833333333333</v>
      </c>
      <c r="D848" s="81">
        <v>0</v>
      </c>
      <c r="E848" s="81">
        <v>0</v>
      </c>
      <c r="F848" s="81">
        <v>0</v>
      </c>
      <c r="G848" s="81">
        <v>0</v>
      </c>
      <c r="H848" s="81">
        <v>0</v>
      </c>
      <c r="I848" s="81">
        <v>0</v>
      </c>
      <c r="J848" s="81">
        <v>0</v>
      </c>
    </row>
    <row r="849" spans="1:10">
      <c r="A849" s="79" t="s">
        <v>10</v>
      </c>
      <c r="B849" s="79" t="s">
        <v>14</v>
      </c>
      <c r="C849" s="80">
        <v>0.296527777777778</v>
      </c>
      <c r="D849" s="81">
        <v>0</v>
      </c>
      <c r="E849" s="81">
        <v>0</v>
      </c>
      <c r="F849" s="81">
        <v>0</v>
      </c>
      <c r="G849" s="81">
        <v>0</v>
      </c>
      <c r="H849" s="81">
        <v>0</v>
      </c>
      <c r="I849" s="81">
        <v>0</v>
      </c>
      <c r="J849" s="81">
        <v>0</v>
      </c>
    </row>
    <row r="850" spans="1:10">
      <c r="A850" s="79" t="s">
        <v>10</v>
      </c>
      <c r="B850" s="79" t="s">
        <v>14</v>
      </c>
      <c r="C850" s="80">
        <v>0.297222222222222</v>
      </c>
      <c r="D850" s="81">
        <v>0</v>
      </c>
      <c r="E850" s="81">
        <v>0</v>
      </c>
      <c r="F850" s="81">
        <v>0</v>
      </c>
      <c r="G850" s="81">
        <v>0</v>
      </c>
      <c r="H850" s="81">
        <v>0</v>
      </c>
      <c r="I850" s="81">
        <v>0</v>
      </c>
      <c r="J850" s="81">
        <v>0</v>
      </c>
    </row>
    <row r="851" spans="1:10">
      <c r="A851" s="79" t="s">
        <v>10</v>
      </c>
      <c r="B851" s="79" t="s">
        <v>14</v>
      </c>
      <c r="C851" s="80">
        <v>0.297916666666667</v>
      </c>
      <c r="D851" s="81">
        <v>0</v>
      </c>
      <c r="E851" s="81">
        <v>0</v>
      </c>
      <c r="F851" s="81">
        <v>0</v>
      </c>
      <c r="G851" s="81">
        <v>0</v>
      </c>
      <c r="H851" s="81">
        <v>0</v>
      </c>
      <c r="I851" s="81">
        <v>0</v>
      </c>
      <c r="J851" s="81">
        <v>0</v>
      </c>
    </row>
    <row r="852" spans="1:10">
      <c r="A852" s="79" t="s">
        <v>10</v>
      </c>
      <c r="B852" s="79" t="s">
        <v>14</v>
      </c>
      <c r="C852" s="80">
        <v>0.29861111111111099</v>
      </c>
      <c r="D852" s="81">
        <v>0</v>
      </c>
      <c r="E852" s="81">
        <v>0</v>
      </c>
      <c r="F852" s="81">
        <v>0</v>
      </c>
      <c r="G852" s="81">
        <v>0</v>
      </c>
      <c r="H852" s="81">
        <v>0</v>
      </c>
      <c r="I852" s="81">
        <v>0</v>
      </c>
      <c r="J852" s="81">
        <v>0</v>
      </c>
    </row>
    <row r="853" spans="1:10">
      <c r="A853" s="79" t="s">
        <v>10</v>
      </c>
      <c r="B853" s="79" t="s">
        <v>14</v>
      </c>
      <c r="C853" s="80">
        <v>0.29930555555555599</v>
      </c>
      <c r="D853" s="81">
        <v>0</v>
      </c>
      <c r="E853" s="81">
        <v>0</v>
      </c>
      <c r="F853" s="81">
        <v>0</v>
      </c>
      <c r="G853" s="81">
        <v>0</v>
      </c>
      <c r="H853" s="81">
        <v>0</v>
      </c>
      <c r="I853" s="81">
        <v>0</v>
      </c>
      <c r="J853" s="81">
        <v>0</v>
      </c>
    </row>
    <row r="854" spans="1:10">
      <c r="A854" s="79" t="s">
        <v>10</v>
      </c>
      <c r="B854" s="79" t="s">
        <v>14</v>
      </c>
      <c r="C854" s="80">
        <v>0.3</v>
      </c>
      <c r="D854" s="81">
        <v>0</v>
      </c>
      <c r="E854" s="81">
        <v>0</v>
      </c>
      <c r="F854" s="81">
        <v>0</v>
      </c>
      <c r="G854" s="81">
        <v>0</v>
      </c>
      <c r="H854" s="81">
        <v>0</v>
      </c>
      <c r="I854" s="81">
        <v>0</v>
      </c>
      <c r="J854" s="81">
        <v>0</v>
      </c>
    </row>
    <row r="855" spans="1:10">
      <c r="A855" s="79" t="s">
        <v>10</v>
      </c>
      <c r="B855" s="79" t="s">
        <v>14</v>
      </c>
      <c r="C855" s="80">
        <v>0.30069444444444399</v>
      </c>
      <c r="D855" s="81">
        <v>0</v>
      </c>
      <c r="E855" s="81">
        <v>0</v>
      </c>
      <c r="F855" s="81">
        <v>0</v>
      </c>
      <c r="G855" s="81">
        <v>0</v>
      </c>
      <c r="H855" s="81">
        <v>0</v>
      </c>
      <c r="I855" s="81">
        <v>0</v>
      </c>
      <c r="J855" s="81">
        <v>0</v>
      </c>
    </row>
    <row r="856" spans="1:10" s="78" customFormat="1">
      <c r="A856" s="82" t="s">
        <v>10</v>
      </c>
      <c r="B856" s="82" t="s">
        <v>14</v>
      </c>
      <c r="C856" s="83">
        <v>0.30138888888888898</v>
      </c>
      <c r="D856" s="84">
        <v>0</v>
      </c>
      <c r="E856" s="84">
        <v>0</v>
      </c>
      <c r="F856" s="84">
        <v>0</v>
      </c>
      <c r="G856" s="84">
        <v>0</v>
      </c>
      <c r="H856" s="84">
        <v>0</v>
      </c>
      <c r="I856" s="84">
        <v>0</v>
      </c>
      <c r="J856" s="84">
        <v>0</v>
      </c>
    </row>
    <row r="857" spans="1:10">
      <c r="A857" s="79" t="s">
        <v>10</v>
      </c>
      <c r="B857" s="79" t="s">
        <v>14</v>
      </c>
      <c r="C857" s="80">
        <v>0.30208333333333298</v>
      </c>
      <c r="D857" s="81">
        <v>0</v>
      </c>
      <c r="E857" s="81">
        <v>0</v>
      </c>
      <c r="F857" s="81">
        <v>0</v>
      </c>
      <c r="G857" s="81">
        <v>0</v>
      </c>
      <c r="H857" s="81">
        <v>0</v>
      </c>
      <c r="I857" s="81">
        <v>0</v>
      </c>
      <c r="J857" s="81">
        <v>0</v>
      </c>
    </row>
    <row r="858" spans="1:10">
      <c r="A858" s="79" t="s">
        <v>10</v>
      </c>
      <c r="B858" s="79" t="s">
        <v>14</v>
      </c>
      <c r="C858" s="80">
        <v>0.30277777777777798</v>
      </c>
      <c r="D858" s="81">
        <v>0</v>
      </c>
      <c r="E858" s="81">
        <v>0</v>
      </c>
      <c r="F858" s="81">
        <v>0</v>
      </c>
      <c r="G858" s="81">
        <v>0</v>
      </c>
      <c r="H858" s="81">
        <v>0</v>
      </c>
      <c r="I858" s="81">
        <v>0</v>
      </c>
      <c r="J858" s="81">
        <v>0</v>
      </c>
    </row>
    <row r="859" spans="1:10">
      <c r="A859" s="79" t="s">
        <v>10</v>
      </c>
      <c r="B859" s="79" t="s">
        <v>14</v>
      </c>
      <c r="C859" s="80">
        <v>0.30347222222222198</v>
      </c>
      <c r="D859" s="81">
        <v>0</v>
      </c>
      <c r="E859" s="81">
        <v>0</v>
      </c>
      <c r="F859" s="81">
        <v>0</v>
      </c>
      <c r="G859" s="81">
        <v>0</v>
      </c>
      <c r="H859" s="81">
        <v>0</v>
      </c>
      <c r="I859" s="81">
        <v>0</v>
      </c>
      <c r="J859" s="81">
        <v>0</v>
      </c>
    </row>
    <row r="860" spans="1:10">
      <c r="A860" s="79" t="s">
        <v>10</v>
      </c>
      <c r="B860" s="79" t="s">
        <v>14</v>
      </c>
      <c r="C860" s="80">
        <v>0.30416666666666697</v>
      </c>
      <c r="D860" s="81">
        <v>0</v>
      </c>
      <c r="E860" s="81">
        <v>0</v>
      </c>
      <c r="F860" s="81">
        <v>0</v>
      </c>
      <c r="G860" s="81">
        <v>0</v>
      </c>
      <c r="H860" s="81">
        <v>0</v>
      </c>
      <c r="I860" s="81">
        <v>0</v>
      </c>
      <c r="J860" s="81">
        <v>0</v>
      </c>
    </row>
    <row r="861" spans="1:10">
      <c r="A861" s="79" t="s">
        <v>10</v>
      </c>
      <c r="B861" s="79" t="s">
        <v>14</v>
      </c>
      <c r="C861" s="80">
        <v>0.30486111111111103</v>
      </c>
      <c r="D861" s="81">
        <v>0</v>
      </c>
      <c r="E861" s="81">
        <v>0</v>
      </c>
      <c r="F861" s="81">
        <v>0</v>
      </c>
      <c r="G861" s="81">
        <v>0</v>
      </c>
      <c r="H861" s="81">
        <v>0</v>
      </c>
      <c r="I861" s="81">
        <v>0</v>
      </c>
      <c r="J861" s="81">
        <v>0</v>
      </c>
    </row>
    <row r="862" spans="1:10">
      <c r="A862" s="79" t="s">
        <v>10</v>
      </c>
      <c r="B862" s="79" t="s">
        <v>14</v>
      </c>
      <c r="C862" s="80">
        <v>0.30555555555555503</v>
      </c>
      <c r="D862" s="81">
        <v>0</v>
      </c>
      <c r="E862" s="81">
        <v>0</v>
      </c>
      <c r="F862" s="81">
        <v>0</v>
      </c>
      <c r="G862" s="81">
        <v>0</v>
      </c>
      <c r="H862" s="81">
        <v>0</v>
      </c>
      <c r="I862" s="81">
        <v>0</v>
      </c>
      <c r="J862" s="81">
        <v>0</v>
      </c>
    </row>
    <row r="863" spans="1:10">
      <c r="A863" s="79" t="s">
        <v>10</v>
      </c>
      <c r="B863" s="79" t="s">
        <v>14</v>
      </c>
      <c r="C863" s="80">
        <v>0.30625000000000002</v>
      </c>
      <c r="D863" s="81">
        <v>0</v>
      </c>
      <c r="E863" s="81">
        <v>0</v>
      </c>
      <c r="F863" s="81">
        <v>0</v>
      </c>
      <c r="G863" s="81">
        <v>0</v>
      </c>
      <c r="H863" s="81">
        <v>0</v>
      </c>
      <c r="I863" s="81">
        <v>0</v>
      </c>
      <c r="J863" s="81">
        <v>0</v>
      </c>
    </row>
    <row r="864" spans="1:10">
      <c r="A864" s="79" t="s">
        <v>10</v>
      </c>
      <c r="B864" s="79" t="s">
        <v>14</v>
      </c>
      <c r="C864" s="80">
        <v>0.30694444444444402</v>
      </c>
      <c r="D864" s="81">
        <v>0</v>
      </c>
      <c r="E864" s="81">
        <v>0</v>
      </c>
      <c r="F864" s="81">
        <v>0</v>
      </c>
      <c r="G864" s="81">
        <v>0</v>
      </c>
      <c r="H864" s="81">
        <v>0</v>
      </c>
      <c r="I864" s="81">
        <v>0</v>
      </c>
      <c r="J864" s="81">
        <v>0</v>
      </c>
    </row>
    <row r="865" spans="1:10">
      <c r="A865" s="79" t="s">
        <v>10</v>
      </c>
      <c r="B865" s="79" t="s">
        <v>14</v>
      </c>
      <c r="C865" s="80">
        <v>0.30763888888888902</v>
      </c>
      <c r="D865" s="81">
        <v>0</v>
      </c>
      <c r="E865" s="81">
        <v>0</v>
      </c>
      <c r="F865" s="81">
        <v>0</v>
      </c>
      <c r="G865" s="81">
        <v>0</v>
      </c>
      <c r="H865" s="81">
        <v>0</v>
      </c>
      <c r="I865" s="81">
        <v>0</v>
      </c>
      <c r="J865" s="81">
        <v>0</v>
      </c>
    </row>
    <row r="866" spans="1:10">
      <c r="A866" s="79" t="s">
        <v>10</v>
      </c>
      <c r="B866" s="79" t="s">
        <v>14</v>
      </c>
      <c r="C866" s="80">
        <v>0.30833333333333302</v>
      </c>
      <c r="D866" s="81">
        <v>0</v>
      </c>
      <c r="E866" s="81">
        <v>0</v>
      </c>
      <c r="F866" s="81">
        <v>0</v>
      </c>
      <c r="G866" s="81">
        <v>0</v>
      </c>
      <c r="H866" s="81">
        <v>0</v>
      </c>
      <c r="I866" s="81">
        <v>0</v>
      </c>
      <c r="J866" s="81">
        <v>0</v>
      </c>
    </row>
    <row r="867" spans="1:10">
      <c r="A867" s="79" t="s">
        <v>10</v>
      </c>
      <c r="B867" s="79" t="s">
        <v>14</v>
      </c>
      <c r="C867" s="80">
        <v>0.30902777777777801</v>
      </c>
      <c r="D867" s="81">
        <v>0</v>
      </c>
      <c r="E867" s="81">
        <v>0</v>
      </c>
      <c r="F867" s="81">
        <v>0</v>
      </c>
      <c r="G867" s="81">
        <v>0</v>
      </c>
      <c r="H867" s="81">
        <v>0</v>
      </c>
      <c r="I867" s="81">
        <v>0</v>
      </c>
      <c r="J867" s="81">
        <v>0</v>
      </c>
    </row>
    <row r="868" spans="1:10">
      <c r="A868" s="79" t="s">
        <v>10</v>
      </c>
      <c r="B868" s="79" t="s">
        <v>14</v>
      </c>
      <c r="C868" s="80">
        <v>0.30972222222222201</v>
      </c>
      <c r="D868" s="81">
        <v>0</v>
      </c>
      <c r="E868" s="81">
        <v>0</v>
      </c>
      <c r="F868" s="81">
        <v>0</v>
      </c>
      <c r="G868" s="81">
        <v>0</v>
      </c>
      <c r="H868" s="81">
        <v>0</v>
      </c>
      <c r="I868" s="81">
        <v>0</v>
      </c>
      <c r="J868" s="81">
        <v>0</v>
      </c>
    </row>
    <row r="869" spans="1:10">
      <c r="A869" s="79" t="s">
        <v>10</v>
      </c>
      <c r="B869" s="79" t="s">
        <v>14</v>
      </c>
      <c r="C869" s="80">
        <v>0.31041666666666701</v>
      </c>
      <c r="D869" s="81">
        <v>0</v>
      </c>
      <c r="E869" s="81">
        <v>0</v>
      </c>
      <c r="F869" s="81">
        <v>0</v>
      </c>
      <c r="G869" s="81">
        <v>0</v>
      </c>
      <c r="H869" s="81">
        <v>0</v>
      </c>
      <c r="I869" s="81">
        <v>0</v>
      </c>
      <c r="J869" s="81">
        <v>0</v>
      </c>
    </row>
    <row r="870" spans="1:10">
      <c r="A870" s="79" t="s">
        <v>10</v>
      </c>
      <c r="B870" s="79" t="s">
        <v>14</v>
      </c>
      <c r="C870" s="80">
        <v>0.31111111111111101</v>
      </c>
      <c r="D870" s="81">
        <v>0</v>
      </c>
      <c r="E870" s="81">
        <v>0</v>
      </c>
      <c r="F870" s="81">
        <v>0</v>
      </c>
      <c r="G870" s="81">
        <v>0</v>
      </c>
      <c r="H870" s="81">
        <v>0</v>
      </c>
      <c r="I870" s="81">
        <v>0</v>
      </c>
      <c r="J870" s="81">
        <v>0</v>
      </c>
    </row>
    <row r="871" spans="1:10" s="78" customFormat="1">
      <c r="A871" s="82" t="s">
        <v>10</v>
      </c>
      <c r="B871" s="82" t="s">
        <v>14</v>
      </c>
      <c r="C871" s="83">
        <v>0.311805555555556</v>
      </c>
      <c r="D871" s="84">
        <v>0</v>
      </c>
      <c r="E871" s="84">
        <v>0</v>
      </c>
      <c r="F871" s="84">
        <v>0</v>
      </c>
      <c r="G871" s="84">
        <v>0</v>
      </c>
      <c r="H871" s="84">
        <v>0</v>
      </c>
      <c r="I871" s="84">
        <v>0</v>
      </c>
      <c r="J871" s="84">
        <v>0</v>
      </c>
    </row>
    <row r="872" spans="1:10">
      <c r="A872" s="79" t="s">
        <v>10</v>
      </c>
      <c r="B872" s="79" t="s">
        <v>14</v>
      </c>
      <c r="C872" s="80">
        <v>0.3125</v>
      </c>
      <c r="D872" s="81">
        <v>0</v>
      </c>
      <c r="E872" s="81">
        <v>0</v>
      </c>
      <c r="F872" s="81">
        <v>0</v>
      </c>
      <c r="G872" s="81">
        <v>0</v>
      </c>
      <c r="H872" s="81">
        <v>0</v>
      </c>
      <c r="I872" s="81">
        <v>0</v>
      </c>
      <c r="J872" s="81">
        <v>0</v>
      </c>
    </row>
    <row r="873" spans="1:10">
      <c r="A873" s="79" t="s">
        <v>10</v>
      </c>
      <c r="B873" s="79" t="s">
        <v>14</v>
      </c>
      <c r="C873" s="80">
        <v>0.313194444444444</v>
      </c>
      <c r="D873" s="81">
        <v>0</v>
      </c>
      <c r="E873" s="81">
        <v>0</v>
      </c>
      <c r="F873" s="81">
        <v>0</v>
      </c>
      <c r="G873" s="81">
        <v>0</v>
      </c>
      <c r="H873" s="81">
        <v>0</v>
      </c>
      <c r="I873" s="81">
        <v>0</v>
      </c>
      <c r="J873" s="81">
        <v>0</v>
      </c>
    </row>
    <row r="874" spans="1:10">
      <c r="A874" s="79" t="s">
        <v>10</v>
      </c>
      <c r="B874" s="79" t="s">
        <v>14</v>
      </c>
      <c r="C874" s="80">
        <v>0.31388888888888899</v>
      </c>
      <c r="D874" s="81">
        <v>0</v>
      </c>
      <c r="E874" s="81">
        <v>0</v>
      </c>
      <c r="F874" s="81">
        <v>0</v>
      </c>
      <c r="G874" s="81">
        <v>0</v>
      </c>
      <c r="H874" s="81">
        <v>0</v>
      </c>
      <c r="I874" s="81">
        <v>0</v>
      </c>
      <c r="J874" s="81">
        <v>0</v>
      </c>
    </row>
    <row r="875" spans="1:10">
      <c r="A875" s="79" t="s">
        <v>10</v>
      </c>
      <c r="B875" s="79" t="s">
        <v>14</v>
      </c>
      <c r="C875" s="80">
        <v>0.31458333333333299</v>
      </c>
      <c r="D875" s="81">
        <v>0</v>
      </c>
      <c r="E875" s="81">
        <v>0</v>
      </c>
      <c r="F875" s="81">
        <v>0</v>
      </c>
      <c r="G875" s="81">
        <v>0</v>
      </c>
      <c r="H875" s="81">
        <v>0</v>
      </c>
      <c r="I875" s="81">
        <v>0</v>
      </c>
      <c r="J875" s="81">
        <v>0</v>
      </c>
    </row>
    <row r="876" spans="1:10">
      <c r="A876" s="79" t="s">
        <v>10</v>
      </c>
      <c r="B876" s="79" t="s">
        <v>14</v>
      </c>
      <c r="C876" s="80">
        <v>0.31527777777777799</v>
      </c>
      <c r="D876" s="81">
        <v>0</v>
      </c>
      <c r="E876" s="81">
        <v>0</v>
      </c>
      <c r="F876" s="81">
        <v>0</v>
      </c>
      <c r="G876" s="81">
        <v>0</v>
      </c>
      <c r="H876" s="81">
        <v>0</v>
      </c>
      <c r="I876" s="81">
        <v>0</v>
      </c>
      <c r="J876" s="81">
        <v>0</v>
      </c>
    </row>
    <row r="877" spans="1:10">
      <c r="A877" s="79" t="s">
        <v>10</v>
      </c>
      <c r="B877" s="79" t="s">
        <v>14</v>
      </c>
      <c r="C877" s="80">
        <v>0.31597222222222199</v>
      </c>
      <c r="D877" s="81">
        <v>0</v>
      </c>
      <c r="E877" s="81">
        <v>0</v>
      </c>
      <c r="F877" s="81">
        <v>0</v>
      </c>
      <c r="G877" s="81">
        <v>0</v>
      </c>
      <c r="H877" s="81">
        <v>0</v>
      </c>
      <c r="I877" s="81">
        <v>0</v>
      </c>
      <c r="J877" s="81">
        <v>0</v>
      </c>
    </row>
    <row r="878" spans="1:10">
      <c r="A878" s="79" t="s">
        <v>10</v>
      </c>
      <c r="B878" s="79" t="s">
        <v>14</v>
      </c>
      <c r="C878" s="80">
        <v>0.31666666666666698</v>
      </c>
      <c r="D878" s="81">
        <v>0</v>
      </c>
      <c r="E878" s="81">
        <v>0</v>
      </c>
      <c r="F878" s="81">
        <v>0</v>
      </c>
      <c r="G878" s="81">
        <v>0</v>
      </c>
      <c r="H878" s="81">
        <v>0</v>
      </c>
      <c r="I878" s="81">
        <v>0</v>
      </c>
      <c r="J878" s="81">
        <v>0</v>
      </c>
    </row>
    <row r="879" spans="1:10">
      <c r="A879" s="79" t="s">
        <v>10</v>
      </c>
      <c r="B879" s="79" t="s">
        <v>14</v>
      </c>
      <c r="C879" s="80">
        <v>0.31736111111111098</v>
      </c>
      <c r="D879" s="81">
        <v>0</v>
      </c>
      <c r="E879" s="81">
        <v>0</v>
      </c>
      <c r="F879" s="81">
        <v>0</v>
      </c>
      <c r="G879" s="81">
        <v>0</v>
      </c>
      <c r="H879" s="81">
        <v>0</v>
      </c>
      <c r="I879" s="81">
        <v>0</v>
      </c>
      <c r="J879" s="81">
        <v>0</v>
      </c>
    </row>
    <row r="880" spans="1:10">
      <c r="A880" s="79" t="s">
        <v>10</v>
      </c>
      <c r="B880" s="79" t="s">
        <v>14</v>
      </c>
      <c r="C880" s="80">
        <v>0.31805555555555498</v>
      </c>
      <c r="D880" s="81">
        <v>0</v>
      </c>
      <c r="E880" s="81">
        <v>0</v>
      </c>
      <c r="F880" s="81">
        <v>0</v>
      </c>
      <c r="G880" s="81">
        <v>0</v>
      </c>
      <c r="H880" s="81">
        <v>0</v>
      </c>
      <c r="I880" s="81">
        <v>0</v>
      </c>
      <c r="J880" s="81">
        <v>0</v>
      </c>
    </row>
    <row r="881" spans="1:10">
      <c r="A881" s="79" t="s">
        <v>10</v>
      </c>
      <c r="B881" s="79" t="s">
        <v>14</v>
      </c>
      <c r="C881" s="80">
        <v>0.31874999999999998</v>
      </c>
      <c r="D881" s="81">
        <v>0</v>
      </c>
      <c r="E881" s="81">
        <v>0</v>
      </c>
      <c r="F881" s="81">
        <v>0</v>
      </c>
      <c r="G881" s="81">
        <v>0</v>
      </c>
      <c r="H881" s="81">
        <v>0</v>
      </c>
      <c r="I881" s="81">
        <v>0</v>
      </c>
      <c r="J881" s="81">
        <v>0</v>
      </c>
    </row>
    <row r="882" spans="1:10">
      <c r="A882" s="79" t="s">
        <v>10</v>
      </c>
      <c r="B882" s="79" t="s">
        <v>14</v>
      </c>
      <c r="C882" s="80">
        <v>0.31944444444444398</v>
      </c>
      <c r="D882" s="81">
        <v>0</v>
      </c>
      <c r="E882" s="81">
        <v>0</v>
      </c>
      <c r="F882" s="81">
        <v>0</v>
      </c>
      <c r="G882" s="81">
        <v>0</v>
      </c>
      <c r="H882" s="81">
        <v>0</v>
      </c>
      <c r="I882" s="81">
        <v>0</v>
      </c>
      <c r="J882" s="81">
        <v>0</v>
      </c>
    </row>
    <row r="883" spans="1:10">
      <c r="A883" s="79" t="s">
        <v>10</v>
      </c>
      <c r="B883" s="79" t="s">
        <v>14</v>
      </c>
      <c r="C883" s="80">
        <v>0.32013888888888897</v>
      </c>
      <c r="D883" s="81">
        <v>0</v>
      </c>
      <c r="E883" s="81">
        <v>0</v>
      </c>
      <c r="F883" s="81">
        <v>0</v>
      </c>
      <c r="G883" s="81">
        <v>0</v>
      </c>
      <c r="H883" s="81">
        <v>0</v>
      </c>
      <c r="I883" s="81">
        <v>0</v>
      </c>
      <c r="J883" s="81">
        <v>0</v>
      </c>
    </row>
    <row r="884" spans="1:10">
      <c r="A884" s="79" t="s">
        <v>10</v>
      </c>
      <c r="B884" s="79" t="s">
        <v>14</v>
      </c>
      <c r="C884" s="80">
        <v>0.32083333333333303</v>
      </c>
      <c r="D884" s="81">
        <v>0</v>
      </c>
      <c r="E884" s="81">
        <v>0</v>
      </c>
      <c r="F884" s="81">
        <v>0</v>
      </c>
      <c r="G884" s="81">
        <v>0</v>
      </c>
      <c r="H884" s="81">
        <v>0</v>
      </c>
      <c r="I884" s="81">
        <v>0</v>
      </c>
      <c r="J884" s="81">
        <v>0</v>
      </c>
    </row>
    <row r="885" spans="1:10">
      <c r="A885" s="79" t="s">
        <v>10</v>
      </c>
      <c r="B885" s="79" t="s">
        <v>14</v>
      </c>
      <c r="C885" s="80">
        <v>0.32152777777777802</v>
      </c>
      <c r="D885" s="81">
        <v>0</v>
      </c>
      <c r="E885" s="81">
        <v>0</v>
      </c>
      <c r="F885" s="81">
        <v>0</v>
      </c>
      <c r="G885" s="81">
        <v>0</v>
      </c>
      <c r="H885" s="81">
        <v>0</v>
      </c>
      <c r="I885" s="81">
        <v>0</v>
      </c>
      <c r="J885" s="81">
        <v>0</v>
      </c>
    </row>
    <row r="886" spans="1:10" s="78" customFormat="1">
      <c r="A886" s="82" t="s">
        <v>10</v>
      </c>
      <c r="B886" s="82" t="s">
        <v>14</v>
      </c>
      <c r="C886" s="83">
        <v>0.32222222222222202</v>
      </c>
      <c r="D886" s="84">
        <v>0</v>
      </c>
      <c r="E886" s="84">
        <v>0</v>
      </c>
      <c r="F886" s="84">
        <v>0</v>
      </c>
      <c r="G886" s="84">
        <v>0</v>
      </c>
      <c r="H886" s="84">
        <v>0</v>
      </c>
      <c r="I886" s="84">
        <v>0</v>
      </c>
      <c r="J886" s="84">
        <v>0</v>
      </c>
    </row>
    <row r="887" spans="1:10">
      <c r="A887" s="79" t="s">
        <v>10</v>
      </c>
      <c r="B887" s="79" t="s">
        <v>14</v>
      </c>
      <c r="C887" s="80">
        <v>0.32291666666666702</v>
      </c>
      <c r="D887" s="81">
        <v>0</v>
      </c>
      <c r="E887" s="81">
        <v>0</v>
      </c>
      <c r="F887" s="81">
        <v>0</v>
      </c>
      <c r="G887" s="81">
        <v>0</v>
      </c>
      <c r="H887" s="81">
        <v>0</v>
      </c>
      <c r="I887" s="81">
        <v>0</v>
      </c>
      <c r="J887" s="81">
        <v>0</v>
      </c>
    </row>
    <row r="888" spans="1:10">
      <c r="A888" s="79" t="s">
        <v>10</v>
      </c>
      <c r="B888" s="79" t="s">
        <v>14</v>
      </c>
      <c r="C888" s="80">
        <v>0.32361111111111102</v>
      </c>
      <c r="D888" s="81">
        <v>0</v>
      </c>
      <c r="E888" s="81">
        <v>0</v>
      </c>
      <c r="F888" s="81">
        <v>0</v>
      </c>
      <c r="G888" s="81">
        <v>0</v>
      </c>
      <c r="H888" s="81">
        <v>0</v>
      </c>
      <c r="I888" s="81">
        <v>0</v>
      </c>
      <c r="J888" s="81">
        <v>0</v>
      </c>
    </row>
    <row r="889" spans="1:10">
      <c r="A889" s="79" t="s">
        <v>10</v>
      </c>
      <c r="B889" s="79" t="s">
        <v>14</v>
      </c>
      <c r="C889" s="80">
        <v>0.32430555555555601</v>
      </c>
      <c r="D889" s="81">
        <v>0</v>
      </c>
      <c r="E889" s="81">
        <v>0</v>
      </c>
      <c r="F889" s="81">
        <v>0</v>
      </c>
      <c r="G889" s="81">
        <v>0</v>
      </c>
      <c r="H889" s="81">
        <v>0</v>
      </c>
      <c r="I889" s="81">
        <v>0</v>
      </c>
      <c r="J889" s="81">
        <v>0</v>
      </c>
    </row>
    <row r="890" spans="1:10">
      <c r="A890" s="79" t="s">
        <v>10</v>
      </c>
      <c r="B890" s="79" t="s">
        <v>14</v>
      </c>
      <c r="C890" s="80">
        <v>0.32500000000000001</v>
      </c>
      <c r="D890" s="81">
        <v>0</v>
      </c>
      <c r="E890" s="81">
        <v>0</v>
      </c>
      <c r="F890" s="81">
        <v>0</v>
      </c>
      <c r="G890" s="81">
        <v>0</v>
      </c>
      <c r="H890" s="81">
        <v>0</v>
      </c>
      <c r="I890" s="81">
        <v>0</v>
      </c>
      <c r="J890" s="81">
        <v>0</v>
      </c>
    </row>
    <row r="891" spans="1:10">
      <c r="A891" s="79" t="s">
        <v>10</v>
      </c>
      <c r="B891" s="79" t="s">
        <v>14</v>
      </c>
      <c r="C891" s="80">
        <v>0.32569444444444401</v>
      </c>
      <c r="D891" s="81">
        <v>0</v>
      </c>
      <c r="E891" s="81">
        <v>0</v>
      </c>
      <c r="F891" s="81">
        <v>0</v>
      </c>
      <c r="G891" s="81">
        <v>0</v>
      </c>
      <c r="H891" s="81">
        <v>0</v>
      </c>
      <c r="I891" s="81">
        <v>0</v>
      </c>
      <c r="J891" s="81">
        <v>0</v>
      </c>
    </row>
    <row r="892" spans="1:10">
      <c r="A892" s="79" t="s">
        <v>10</v>
      </c>
      <c r="B892" s="79" t="s">
        <v>14</v>
      </c>
      <c r="C892" s="80">
        <v>0.32638888888888901</v>
      </c>
      <c r="D892" s="81">
        <v>0</v>
      </c>
      <c r="E892" s="81">
        <v>0</v>
      </c>
      <c r="F892" s="81">
        <v>0</v>
      </c>
      <c r="G892" s="81">
        <v>0</v>
      </c>
      <c r="H892" s="81">
        <v>0</v>
      </c>
      <c r="I892" s="81">
        <v>0</v>
      </c>
      <c r="J892" s="81">
        <v>0</v>
      </c>
    </row>
    <row r="893" spans="1:10">
      <c r="A893" s="79" t="s">
        <v>10</v>
      </c>
      <c r="B893" s="79" t="s">
        <v>14</v>
      </c>
      <c r="C893" s="80">
        <v>0.327083333333333</v>
      </c>
      <c r="D893" s="81">
        <v>0</v>
      </c>
      <c r="E893" s="81">
        <v>0</v>
      </c>
      <c r="F893" s="81">
        <v>0</v>
      </c>
      <c r="G893" s="81">
        <v>0</v>
      </c>
      <c r="H893" s="81">
        <v>0</v>
      </c>
      <c r="I893" s="81">
        <v>0</v>
      </c>
      <c r="J893" s="81">
        <v>0</v>
      </c>
    </row>
    <row r="894" spans="1:10">
      <c r="A894" s="79" t="s">
        <v>10</v>
      </c>
      <c r="B894" s="79" t="s">
        <v>14</v>
      </c>
      <c r="C894" s="80">
        <v>0.327777777777778</v>
      </c>
      <c r="D894" s="81">
        <v>0</v>
      </c>
      <c r="E894" s="81">
        <v>0</v>
      </c>
      <c r="F894" s="81">
        <v>0</v>
      </c>
      <c r="G894" s="81">
        <v>0</v>
      </c>
      <c r="H894" s="81">
        <v>0</v>
      </c>
      <c r="I894" s="81">
        <v>0</v>
      </c>
      <c r="J894" s="81">
        <v>0</v>
      </c>
    </row>
    <row r="895" spans="1:10">
      <c r="A895" s="79" t="s">
        <v>10</v>
      </c>
      <c r="B895" s="79" t="s">
        <v>14</v>
      </c>
      <c r="C895" s="80">
        <v>0.328472222222222</v>
      </c>
      <c r="D895" s="81">
        <v>0</v>
      </c>
      <c r="E895" s="81">
        <v>0</v>
      </c>
      <c r="F895" s="81">
        <v>0</v>
      </c>
      <c r="G895" s="81">
        <v>0</v>
      </c>
      <c r="H895" s="81">
        <v>0</v>
      </c>
      <c r="I895" s="81">
        <v>0</v>
      </c>
      <c r="J895" s="81">
        <v>0</v>
      </c>
    </row>
    <row r="896" spans="1:10">
      <c r="A896" s="79" t="s">
        <v>10</v>
      </c>
      <c r="B896" s="79" t="s">
        <v>14</v>
      </c>
      <c r="C896" s="80">
        <v>0.329166666666667</v>
      </c>
      <c r="D896" s="81">
        <v>0</v>
      </c>
      <c r="E896" s="81">
        <v>0</v>
      </c>
      <c r="F896" s="81">
        <v>0</v>
      </c>
      <c r="G896" s="81">
        <v>0</v>
      </c>
      <c r="H896" s="81">
        <v>0</v>
      </c>
      <c r="I896" s="81">
        <v>0</v>
      </c>
      <c r="J896" s="81">
        <v>0</v>
      </c>
    </row>
    <row r="897" spans="1:10">
      <c r="A897" s="79" t="s">
        <v>10</v>
      </c>
      <c r="B897" s="79" t="s">
        <v>14</v>
      </c>
      <c r="C897" s="80">
        <v>0.32986111111111099</v>
      </c>
      <c r="D897" s="81">
        <v>0</v>
      </c>
      <c r="E897" s="81">
        <v>0</v>
      </c>
      <c r="F897" s="81">
        <v>0</v>
      </c>
      <c r="G897" s="81">
        <v>0</v>
      </c>
      <c r="H897" s="81">
        <v>0</v>
      </c>
      <c r="I897" s="81">
        <v>0</v>
      </c>
      <c r="J897" s="81">
        <v>0</v>
      </c>
    </row>
    <row r="898" spans="1:10">
      <c r="A898" s="79" t="s">
        <v>10</v>
      </c>
      <c r="B898" s="79" t="s">
        <v>14</v>
      </c>
      <c r="C898" s="80">
        <v>0.33055555555555499</v>
      </c>
      <c r="D898" s="81">
        <v>0</v>
      </c>
      <c r="E898" s="81">
        <v>0</v>
      </c>
      <c r="F898" s="81">
        <v>0</v>
      </c>
      <c r="G898" s="81">
        <v>0</v>
      </c>
      <c r="H898" s="81">
        <v>0</v>
      </c>
      <c r="I898" s="81">
        <v>0</v>
      </c>
      <c r="J898" s="81">
        <v>0</v>
      </c>
    </row>
    <row r="899" spans="1:10">
      <c r="A899" s="79" t="s">
        <v>10</v>
      </c>
      <c r="B899" s="79" t="s">
        <v>14</v>
      </c>
      <c r="C899" s="80">
        <v>0.33124999999999999</v>
      </c>
      <c r="D899" s="81">
        <v>0</v>
      </c>
      <c r="E899" s="81">
        <v>0</v>
      </c>
      <c r="F899" s="81">
        <v>0</v>
      </c>
      <c r="G899" s="81">
        <v>0</v>
      </c>
      <c r="H899" s="81">
        <v>0</v>
      </c>
      <c r="I899" s="81">
        <v>0</v>
      </c>
      <c r="J899" s="81">
        <v>0</v>
      </c>
    </row>
    <row r="900" spans="1:10">
      <c r="A900" s="79" t="s">
        <v>10</v>
      </c>
      <c r="B900" s="79" t="s">
        <v>14</v>
      </c>
      <c r="C900" s="80">
        <v>0.33194444444444399</v>
      </c>
      <c r="D900" s="81">
        <v>0</v>
      </c>
      <c r="E900" s="81">
        <v>0</v>
      </c>
      <c r="F900" s="81">
        <v>0</v>
      </c>
      <c r="G900" s="81">
        <v>0</v>
      </c>
      <c r="H900" s="81">
        <v>0</v>
      </c>
      <c r="I900" s="81">
        <v>0</v>
      </c>
      <c r="J900" s="81">
        <v>0</v>
      </c>
    </row>
    <row r="901" spans="1:10" s="78" customFormat="1">
      <c r="A901" s="82" t="s">
        <v>10</v>
      </c>
      <c r="B901" s="82" t="s">
        <v>14</v>
      </c>
      <c r="C901" s="83">
        <v>0.33263888888888898</v>
      </c>
      <c r="D901" s="84">
        <v>0</v>
      </c>
      <c r="E901" s="84">
        <v>0</v>
      </c>
      <c r="F901" s="84">
        <v>0</v>
      </c>
      <c r="G901" s="84">
        <v>0</v>
      </c>
      <c r="H901" s="84">
        <v>0</v>
      </c>
      <c r="I901" s="84">
        <v>0</v>
      </c>
      <c r="J901" s="84">
        <v>0</v>
      </c>
    </row>
    <row r="902" spans="1:10">
      <c r="A902" s="79" t="s">
        <v>10</v>
      </c>
      <c r="B902" s="79" t="s">
        <v>14</v>
      </c>
      <c r="C902" s="80">
        <v>0.33333333333333298</v>
      </c>
      <c r="D902" s="81">
        <v>0</v>
      </c>
      <c r="E902" s="81">
        <v>0</v>
      </c>
      <c r="F902" s="81">
        <v>0</v>
      </c>
      <c r="G902" s="81">
        <v>0</v>
      </c>
      <c r="H902" s="81">
        <v>0</v>
      </c>
      <c r="I902" s="81">
        <v>0</v>
      </c>
      <c r="J902" s="81">
        <v>0</v>
      </c>
    </row>
    <row r="903" spans="1:10">
      <c r="A903" s="79" t="s">
        <v>10</v>
      </c>
      <c r="B903" s="79" t="s">
        <v>14</v>
      </c>
      <c r="C903" s="80">
        <v>0.33402777777777798</v>
      </c>
      <c r="D903" s="81">
        <v>0</v>
      </c>
      <c r="E903" s="81">
        <v>0</v>
      </c>
      <c r="F903" s="81">
        <v>0</v>
      </c>
      <c r="G903" s="81">
        <v>0</v>
      </c>
      <c r="H903" s="81">
        <v>0</v>
      </c>
      <c r="I903" s="81">
        <v>0</v>
      </c>
      <c r="J903" s="81">
        <v>0</v>
      </c>
    </row>
    <row r="904" spans="1:10">
      <c r="A904" s="79" t="s">
        <v>10</v>
      </c>
      <c r="B904" s="79" t="s">
        <v>14</v>
      </c>
      <c r="C904" s="80">
        <v>0.33472222222222198</v>
      </c>
      <c r="D904" s="81">
        <v>0</v>
      </c>
      <c r="E904" s="81">
        <v>0</v>
      </c>
      <c r="F904" s="81">
        <v>0</v>
      </c>
      <c r="G904" s="81">
        <v>0</v>
      </c>
      <c r="H904" s="81">
        <v>0</v>
      </c>
      <c r="I904" s="81">
        <v>0</v>
      </c>
      <c r="J904" s="81">
        <v>0</v>
      </c>
    </row>
    <row r="905" spans="1:10">
      <c r="A905" s="79" t="s">
        <v>10</v>
      </c>
      <c r="B905" s="79" t="s">
        <v>14</v>
      </c>
      <c r="C905" s="80">
        <v>0.33541666666666597</v>
      </c>
      <c r="D905" s="81">
        <v>0</v>
      </c>
      <c r="E905" s="81">
        <v>0</v>
      </c>
      <c r="F905" s="81">
        <v>0</v>
      </c>
      <c r="G905" s="81">
        <v>0</v>
      </c>
      <c r="H905" s="81">
        <v>0</v>
      </c>
      <c r="I905" s="81">
        <v>0</v>
      </c>
      <c r="J905" s="81">
        <v>0</v>
      </c>
    </row>
    <row r="906" spans="1:10">
      <c r="A906" s="79" t="s">
        <v>10</v>
      </c>
      <c r="B906" s="79" t="s">
        <v>14</v>
      </c>
      <c r="C906" s="80">
        <v>0.33611111111111103</v>
      </c>
      <c r="D906" s="81">
        <v>0</v>
      </c>
      <c r="E906" s="81">
        <v>0</v>
      </c>
      <c r="F906" s="81">
        <v>0</v>
      </c>
      <c r="G906" s="81">
        <v>0</v>
      </c>
      <c r="H906" s="81">
        <v>0</v>
      </c>
      <c r="I906" s="81">
        <v>0</v>
      </c>
      <c r="J906" s="81">
        <v>0</v>
      </c>
    </row>
    <row r="907" spans="1:10">
      <c r="A907" s="79" t="s">
        <v>10</v>
      </c>
      <c r="B907" s="79" t="s">
        <v>14</v>
      </c>
      <c r="C907" s="80">
        <v>0.33680555555555503</v>
      </c>
      <c r="D907" s="81">
        <v>0</v>
      </c>
      <c r="E907" s="81">
        <v>0</v>
      </c>
      <c r="F907" s="81">
        <v>0</v>
      </c>
      <c r="G907" s="81">
        <v>0</v>
      </c>
      <c r="H907" s="81">
        <v>0</v>
      </c>
      <c r="I907" s="81">
        <v>0</v>
      </c>
      <c r="J907" s="81">
        <v>0</v>
      </c>
    </row>
    <row r="908" spans="1:10">
      <c r="A908" s="79" t="s">
        <v>10</v>
      </c>
      <c r="B908" s="79" t="s">
        <v>14</v>
      </c>
      <c r="C908" s="80">
        <v>0.33750000000000002</v>
      </c>
      <c r="D908" s="81">
        <v>0</v>
      </c>
      <c r="E908" s="81">
        <v>0</v>
      </c>
      <c r="F908" s="81">
        <v>0</v>
      </c>
      <c r="G908" s="81">
        <v>0</v>
      </c>
      <c r="H908" s="81">
        <v>0</v>
      </c>
      <c r="I908" s="81">
        <v>0</v>
      </c>
      <c r="J908" s="81">
        <v>0</v>
      </c>
    </row>
    <row r="909" spans="1:10">
      <c r="A909" s="79" t="s">
        <v>10</v>
      </c>
      <c r="B909" s="79" t="s">
        <v>14</v>
      </c>
      <c r="C909" s="80">
        <v>0.33819444444444402</v>
      </c>
      <c r="D909" s="81">
        <v>0</v>
      </c>
      <c r="E909" s="81">
        <v>0</v>
      </c>
      <c r="F909" s="81">
        <v>0</v>
      </c>
      <c r="G909" s="81">
        <v>0</v>
      </c>
      <c r="H909" s="81">
        <v>0</v>
      </c>
      <c r="I909" s="81">
        <v>0</v>
      </c>
      <c r="J909" s="81">
        <v>0</v>
      </c>
    </row>
    <row r="910" spans="1:10">
      <c r="A910" s="79" t="s">
        <v>10</v>
      </c>
      <c r="B910" s="79" t="s">
        <v>14</v>
      </c>
      <c r="C910" s="80">
        <v>0.33888888888888902</v>
      </c>
      <c r="D910" s="81">
        <v>0</v>
      </c>
      <c r="E910" s="81">
        <v>0</v>
      </c>
      <c r="F910" s="81">
        <v>0</v>
      </c>
      <c r="G910" s="81">
        <v>0</v>
      </c>
      <c r="H910" s="81">
        <v>0</v>
      </c>
      <c r="I910" s="81">
        <v>0</v>
      </c>
      <c r="J910" s="81">
        <v>0</v>
      </c>
    </row>
    <row r="911" spans="1:10">
      <c r="A911" s="79" t="s">
        <v>10</v>
      </c>
      <c r="B911" s="79" t="s">
        <v>14</v>
      </c>
      <c r="C911" s="80">
        <v>0.33958333333333302</v>
      </c>
      <c r="D911" s="81">
        <v>0</v>
      </c>
      <c r="E911" s="81">
        <v>0</v>
      </c>
      <c r="F911" s="81">
        <v>0</v>
      </c>
      <c r="G911" s="81">
        <v>0</v>
      </c>
      <c r="H911" s="81">
        <v>0</v>
      </c>
      <c r="I911" s="81">
        <v>0</v>
      </c>
      <c r="J911" s="81">
        <v>0</v>
      </c>
    </row>
    <row r="912" spans="1:10">
      <c r="A912" s="79" t="s">
        <v>10</v>
      </c>
      <c r="B912" s="79" t="s">
        <v>14</v>
      </c>
      <c r="C912" s="80">
        <v>0.34027777777777801</v>
      </c>
      <c r="D912" s="81">
        <v>0</v>
      </c>
      <c r="E912" s="81">
        <v>0</v>
      </c>
      <c r="F912" s="81">
        <v>0</v>
      </c>
      <c r="G912" s="81">
        <v>0</v>
      </c>
      <c r="H912" s="81">
        <v>0</v>
      </c>
      <c r="I912" s="81">
        <v>0</v>
      </c>
      <c r="J912" s="81">
        <v>0</v>
      </c>
    </row>
    <row r="913" spans="1:10">
      <c r="A913" s="79" t="s">
        <v>10</v>
      </c>
      <c r="B913" s="79" t="s">
        <v>14</v>
      </c>
      <c r="C913" s="80">
        <v>0.34097222222222201</v>
      </c>
      <c r="D913" s="81">
        <v>0</v>
      </c>
      <c r="E913" s="81">
        <v>0</v>
      </c>
      <c r="F913" s="81">
        <v>0</v>
      </c>
      <c r="G913" s="81">
        <v>0</v>
      </c>
      <c r="H913" s="81">
        <v>0</v>
      </c>
      <c r="I913" s="81">
        <v>0</v>
      </c>
      <c r="J913" s="81">
        <v>0</v>
      </c>
    </row>
    <row r="914" spans="1:10">
      <c r="A914" s="79" t="s">
        <v>10</v>
      </c>
      <c r="B914" s="79" t="s">
        <v>14</v>
      </c>
      <c r="C914" s="80">
        <v>0.34166666666666701</v>
      </c>
      <c r="D914" s="81">
        <v>0</v>
      </c>
      <c r="E914" s="81">
        <v>0</v>
      </c>
      <c r="F914" s="81">
        <v>0</v>
      </c>
      <c r="G914" s="81">
        <v>0</v>
      </c>
      <c r="H914" s="81">
        <v>0</v>
      </c>
      <c r="I914" s="81">
        <v>0</v>
      </c>
      <c r="J914" s="81">
        <v>0</v>
      </c>
    </row>
    <row r="915" spans="1:10">
      <c r="A915" s="79" t="s">
        <v>10</v>
      </c>
      <c r="B915" s="79" t="s">
        <v>14</v>
      </c>
      <c r="C915" s="80">
        <v>0.34236111111111101</v>
      </c>
      <c r="D915" s="81">
        <v>0</v>
      </c>
      <c r="E915" s="81">
        <v>0</v>
      </c>
      <c r="F915" s="81">
        <v>0</v>
      </c>
      <c r="G915" s="81">
        <v>0</v>
      </c>
      <c r="H915" s="81">
        <v>0</v>
      </c>
      <c r="I915" s="81">
        <v>0</v>
      </c>
      <c r="J915" s="81">
        <v>0</v>
      </c>
    </row>
    <row r="916" spans="1:10" s="78" customFormat="1">
      <c r="A916" s="82" t="s">
        <v>10</v>
      </c>
      <c r="B916" s="82" t="s">
        <v>14</v>
      </c>
      <c r="C916" s="83">
        <v>0.343055555555555</v>
      </c>
      <c r="D916" s="84">
        <v>0</v>
      </c>
      <c r="E916" s="84">
        <v>0</v>
      </c>
      <c r="F916" s="84">
        <v>0</v>
      </c>
      <c r="G916" s="84">
        <v>0</v>
      </c>
      <c r="H916" s="84">
        <v>0</v>
      </c>
      <c r="I916" s="84">
        <v>0</v>
      </c>
      <c r="J916" s="84">
        <v>0</v>
      </c>
    </row>
    <row r="917" spans="1:10">
      <c r="A917" s="79" t="s">
        <v>10</v>
      </c>
      <c r="B917" s="79" t="s">
        <v>14</v>
      </c>
      <c r="C917" s="80">
        <v>0.34375</v>
      </c>
      <c r="D917" s="81">
        <v>0</v>
      </c>
      <c r="E917" s="81">
        <v>0</v>
      </c>
      <c r="F917" s="81">
        <v>0</v>
      </c>
      <c r="G917" s="81">
        <v>0</v>
      </c>
      <c r="H917" s="81">
        <v>0</v>
      </c>
      <c r="I917" s="81">
        <v>0</v>
      </c>
      <c r="J917" s="81">
        <v>0</v>
      </c>
    </row>
    <row r="918" spans="1:10">
      <c r="A918" s="79" t="s">
        <v>10</v>
      </c>
      <c r="B918" s="79" t="s">
        <v>14</v>
      </c>
      <c r="C918" s="80">
        <v>0.344444444444444</v>
      </c>
      <c r="D918" s="81">
        <v>0</v>
      </c>
      <c r="E918" s="81">
        <v>0</v>
      </c>
      <c r="F918" s="81">
        <v>0</v>
      </c>
      <c r="G918" s="81">
        <v>0</v>
      </c>
      <c r="H918" s="81">
        <v>0</v>
      </c>
      <c r="I918" s="81">
        <v>0</v>
      </c>
      <c r="J918" s="81">
        <v>0</v>
      </c>
    </row>
    <row r="919" spans="1:10">
      <c r="A919" s="79" t="s">
        <v>10</v>
      </c>
      <c r="B919" s="79" t="s">
        <v>14</v>
      </c>
      <c r="C919" s="80">
        <v>0.34513888888888899</v>
      </c>
      <c r="D919" s="81">
        <v>0</v>
      </c>
      <c r="E919" s="81">
        <v>0</v>
      </c>
      <c r="F919" s="81">
        <v>0</v>
      </c>
      <c r="G919" s="81">
        <v>0</v>
      </c>
      <c r="H919" s="81">
        <v>0</v>
      </c>
      <c r="I919" s="81">
        <v>0</v>
      </c>
      <c r="J919" s="81">
        <v>0</v>
      </c>
    </row>
    <row r="920" spans="1:10">
      <c r="A920" s="79" t="s">
        <v>10</v>
      </c>
      <c r="B920" s="79" t="s">
        <v>14</v>
      </c>
      <c r="C920" s="80">
        <v>0.34583333333333299</v>
      </c>
      <c r="D920" s="81">
        <v>0</v>
      </c>
      <c r="E920" s="81">
        <v>0</v>
      </c>
      <c r="F920" s="81">
        <v>0</v>
      </c>
      <c r="G920" s="81">
        <v>0</v>
      </c>
      <c r="H920" s="81">
        <v>0</v>
      </c>
      <c r="I920" s="81">
        <v>0</v>
      </c>
      <c r="J920" s="81">
        <v>0</v>
      </c>
    </row>
    <row r="921" spans="1:10">
      <c r="A921" s="79" t="s">
        <v>10</v>
      </c>
      <c r="B921" s="79" t="s">
        <v>14</v>
      </c>
      <c r="C921" s="80">
        <v>0.34652777777777799</v>
      </c>
      <c r="D921" s="81">
        <v>0</v>
      </c>
      <c r="E921" s="81">
        <v>0</v>
      </c>
      <c r="F921" s="81">
        <v>0</v>
      </c>
      <c r="G921" s="81">
        <v>0</v>
      </c>
      <c r="H921" s="81">
        <v>0</v>
      </c>
      <c r="I921" s="81">
        <v>0</v>
      </c>
      <c r="J921" s="81">
        <v>0</v>
      </c>
    </row>
    <row r="922" spans="1:10">
      <c r="A922" s="79" t="s">
        <v>10</v>
      </c>
      <c r="B922" s="79" t="s">
        <v>14</v>
      </c>
      <c r="C922" s="80">
        <v>0.34722222222222199</v>
      </c>
      <c r="D922" s="81">
        <v>0</v>
      </c>
      <c r="E922" s="81">
        <v>0</v>
      </c>
      <c r="F922" s="81">
        <v>0</v>
      </c>
      <c r="G922" s="81">
        <v>0</v>
      </c>
      <c r="H922" s="81">
        <v>0</v>
      </c>
      <c r="I922" s="81">
        <v>0</v>
      </c>
      <c r="J922" s="81">
        <v>0</v>
      </c>
    </row>
    <row r="923" spans="1:10">
      <c r="A923" s="79" t="s">
        <v>10</v>
      </c>
      <c r="B923" s="79" t="s">
        <v>14</v>
      </c>
      <c r="C923" s="80">
        <v>0.34791666666666599</v>
      </c>
      <c r="D923" s="81">
        <v>0</v>
      </c>
      <c r="E923" s="81">
        <v>0</v>
      </c>
      <c r="F923" s="81">
        <v>0</v>
      </c>
      <c r="G923" s="81">
        <v>0</v>
      </c>
      <c r="H923" s="81">
        <v>0</v>
      </c>
      <c r="I923" s="81">
        <v>0</v>
      </c>
      <c r="J923" s="81">
        <v>0</v>
      </c>
    </row>
    <row r="924" spans="1:10">
      <c r="A924" s="79" t="s">
        <v>10</v>
      </c>
      <c r="B924" s="79" t="s">
        <v>14</v>
      </c>
      <c r="C924" s="80">
        <v>0.34861111111111098</v>
      </c>
      <c r="D924" s="81">
        <v>0</v>
      </c>
      <c r="E924" s="81">
        <v>0</v>
      </c>
      <c r="F924" s="81">
        <v>0</v>
      </c>
      <c r="G924" s="81">
        <v>0</v>
      </c>
      <c r="H924" s="81">
        <v>0</v>
      </c>
      <c r="I924" s="81">
        <v>0</v>
      </c>
      <c r="J924" s="81">
        <v>0</v>
      </c>
    </row>
    <row r="925" spans="1:10">
      <c r="A925" s="79" t="s">
        <v>10</v>
      </c>
      <c r="B925" s="79" t="s">
        <v>14</v>
      </c>
      <c r="C925" s="80">
        <v>0.34930555555555498</v>
      </c>
      <c r="D925" s="81">
        <v>0</v>
      </c>
      <c r="E925" s="81">
        <v>0</v>
      </c>
      <c r="F925" s="81">
        <v>0</v>
      </c>
      <c r="G925" s="81">
        <v>0</v>
      </c>
      <c r="H925" s="81">
        <v>0</v>
      </c>
      <c r="I925" s="81">
        <v>0</v>
      </c>
      <c r="J925" s="81">
        <v>0</v>
      </c>
    </row>
    <row r="926" spans="1:10">
      <c r="A926" s="79" t="s">
        <v>10</v>
      </c>
      <c r="B926" s="79" t="s">
        <v>14</v>
      </c>
      <c r="C926" s="80">
        <v>0.35</v>
      </c>
      <c r="D926" s="81">
        <v>0</v>
      </c>
      <c r="E926" s="81">
        <v>0</v>
      </c>
      <c r="F926" s="81">
        <v>0</v>
      </c>
      <c r="G926" s="81">
        <v>0</v>
      </c>
      <c r="H926" s="81">
        <v>0</v>
      </c>
      <c r="I926" s="81">
        <v>0</v>
      </c>
      <c r="J926" s="81">
        <v>0</v>
      </c>
    </row>
    <row r="927" spans="1:10">
      <c r="A927" s="79" t="s">
        <v>10</v>
      </c>
      <c r="B927" s="79" t="s">
        <v>14</v>
      </c>
      <c r="C927" s="80">
        <v>0.35069444444444398</v>
      </c>
      <c r="D927" s="81">
        <v>0</v>
      </c>
      <c r="E927" s="81">
        <v>0</v>
      </c>
      <c r="F927" s="81">
        <v>0</v>
      </c>
      <c r="G927" s="81">
        <v>0</v>
      </c>
      <c r="H927" s="81">
        <v>0</v>
      </c>
      <c r="I927" s="81">
        <v>0</v>
      </c>
      <c r="J927" s="81">
        <v>0</v>
      </c>
    </row>
    <row r="928" spans="1:10">
      <c r="A928" s="79" t="s">
        <v>10</v>
      </c>
      <c r="B928" s="79" t="s">
        <v>14</v>
      </c>
      <c r="C928" s="80">
        <v>0.35138888888888897</v>
      </c>
      <c r="D928" s="81">
        <v>0</v>
      </c>
      <c r="E928" s="81">
        <v>0</v>
      </c>
      <c r="F928" s="81">
        <v>0</v>
      </c>
      <c r="G928" s="81">
        <v>0</v>
      </c>
      <c r="H928" s="81">
        <v>0</v>
      </c>
      <c r="I928" s="81">
        <v>0</v>
      </c>
      <c r="J928" s="81">
        <v>0</v>
      </c>
    </row>
    <row r="929" spans="1:10">
      <c r="A929" s="79" t="s">
        <v>10</v>
      </c>
      <c r="B929" s="79" t="s">
        <v>14</v>
      </c>
      <c r="C929" s="80">
        <v>0.35208333333333303</v>
      </c>
      <c r="D929" s="81">
        <v>0</v>
      </c>
      <c r="E929" s="81">
        <v>0</v>
      </c>
      <c r="F929" s="81">
        <v>0</v>
      </c>
      <c r="G929" s="81">
        <v>0</v>
      </c>
      <c r="H929" s="81">
        <v>0</v>
      </c>
      <c r="I929" s="81">
        <v>0</v>
      </c>
      <c r="J929" s="81">
        <v>0</v>
      </c>
    </row>
    <row r="930" spans="1:10">
      <c r="A930" s="79" t="s">
        <v>10</v>
      </c>
      <c r="B930" s="79" t="s">
        <v>14</v>
      </c>
      <c r="C930" s="80">
        <v>0.35277777777777802</v>
      </c>
      <c r="D930" s="81">
        <v>0</v>
      </c>
      <c r="E930" s="81">
        <v>0</v>
      </c>
      <c r="F930" s="81">
        <v>0</v>
      </c>
      <c r="G930" s="81">
        <v>0</v>
      </c>
      <c r="H930" s="81">
        <v>0</v>
      </c>
      <c r="I930" s="81">
        <v>0</v>
      </c>
      <c r="J930" s="81">
        <v>0</v>
      </c>
    </row>
    <row r="931" spans="1:10" s="78" customFormat="1">
      <c r="A931" s="82" t="s">
        <v>10</v>
      </c>
      <c r="B931" s="82" t="s">
        <v>14</v>
      </c>
      <c r="C931" s="83">
        <v>0.35347222222222202</v>
      </c>
      <c r="D931" s="84">
        <v>0</v>
      </c>
      <c r="E931" s="84">
        <v>0</v>
      </c>
      <c r="F931" s="84">
        <v>0</v>
      </c>
      <c r="G931" s="84">
        <v>0</v>
      </c>
      <c r="H931" s="84">
        <v>0</v>
      </c>
      <c r="I931" s="84">
        <v>0</v>
      </c>
      <c r="J931" s="84">
        <v>0</v>
      </c>
    </row>
    <row r="932" spans="1:10">
      <c r="A932" s="79" t="s">
        <v>10</v>
      </c>
      <c r="B932" s="79" t="s">
        <v>14</v>
      </c>
      <c r="C932" s="80">
        <v>0.35416666666666602</v>
      </c>
      <c r="D932" s="81">
        <v>0</v>
      </c>
      <c r="E932" s="81">
        <v>0</v>
      </c>
      <c r="F932" s="81">
        <v>0</v>
      </c>
      <c r="G932" s="81">
        <v>0</v>
      </c>
      <c r="H932" s="81">
        <v>0</v>
      </c>
      <c r="I932" s="81">
        <v>0</v>
      </c>
      <c r="J932" s="81">
        <v>0</v>
      </c>
    </row>
    <row r="933" spans="1:10">
      <c r="A933" s="79" t="s">
        <v>10</v>
      </c>
      <c r="B933" s="79" t="s">
        <v>14</v>
      </c>
      <c r="C933" s="80">
        <v>0.35486111111111102</v>
      </c>
      <c r="D933" s="81">
        <v>0</v>
      </c>
      <c r="E933" s="81">
        <v>0</v>
      </c>
      <c r="F933" s="81">
        <v>0</v>
      </c>
      <c r="G933" s="81">
        <v>0</v>
      </c>
      <c r="H933" s="81">
        <v>0</v>
      </c>
      <c r="I933" s="81">
        <v>0</v>
      </c>
      <c r="J933" s="81">
        <v>0</v>
      </c>
    </row>
    <row r="934" spans="1:10">
      <c r="A934" s="79" t="s">
        <v>10</v>
      </c>
      <c r="B934" s="79" t="s">
        <v>14</v>
      </c>
      <c r="C934" s="80">
        <v>0.35555555555555501</v>
      </c>
      <c r="D934" s="81">
        <v>0</v>
      </c>
      <c r="E934" s="81">
        <v>0</v>
      </c>
      <c r="F934" s="81">
        <v>0</v>
      </c>
      <c r="G934" s="81">
        <v>0</v>
      </c>
      <c r="H934" s="81">
        <v>0</v>
      </c>
      <c r="I934" s="81">
        <v>0</v>
      </c>
      <c r="J934" s="81">
        <v>0</v>
      </c>
    </row>
    <row r="935" spans="1:10">
      <c r="A935" s="79" t="s">
        <v>10</v>
      </c>
      <c r="B935" s="79" t="s">
        <v>14</v>
      </c>
      <c r="C935" s="80">
        <v>0.35625000000000001</v>
      </c>
      <c r="D935" s="81">
        <v>0</v>
      </c>
      <c r="E935" s="81">
        <v>0</v>
      </c>
      <c r="F935" s="81">
        <v>0</v>
      </c>
      <c r="G935" s="81">
        <v>0</v>
      </c>
      <c r="H935" s="81">
        <v>0</v>
      </c>
      <c r="I935" s="81">
        <v>0</v>
      </c>
      <c r="J935" s="81">
        <v>0</v>
      </c>
    </row>
    <row r="936" spans="1:10">
      <c r="A936" s="79" t="s">
        <v>10</v>
      </c>
      <c r="B936" s="79" t="s">
        <v>14</v>
      </c>
      <c r="C936" s="80">
        <v>0.35694444444444401</v>
      </c>
      <c r="D936" s="81">
        <v>0</v>
      </c>
      <c r="E936" s="81">
        <v>0</v>
      </c>
      <c r="F936" s="81">
        <v>0</v>
      </c>
      <c r="G936" s="81">
        <v>0</v>
      </c>
      <c r="H936" s="81">
        <v>0</v>
      </c>
      <c r="I936" s="81">
        <v>0</v>
      </c>
      <c r="J936" s="81">
        <v>0</v>
      </c>
    </row>
    <row r="937" spans="1:10">
      <c r="A937" s="79" t="s">
        <v>10</v>
      </c>
      <c r="B937" s="79" t="s">
        <v>14</v>
      </c>
      <c r="C937" s="80">
        <v>0.35763888888888901</v>
      </c>
      <c r="D937" s="81">
        <v>0</v>
      </c>
      <c r="E937" s="81">
        <v>0</v>
      </c>
      <c r="F937" s="81">
        <v>0</v>
      </c>
      <c r="G937" s="81">
        <v>0</v>
      </c>
      <c r="H937" s="81">
        <v>0</v>
      </c>
      <c r="I937" s="81">
        <v>0</v>
      </c>
      <c r="J937" s="81">
        <v>0</v>
      </c>
    </row>
    <row r="938" spans="1:10">
      <c r="A938" s="79" t="s">
        <v>10</v>
      </c>
      <c r="B938" s="79" t="s">
        <v>14</v>
      </c>
      <c r="C938" s="80">
        <v>0.358333333333333</v>
      </c>
      <c r="D938" s="81">
        <v>0</v>
      </c>
      <c r="E938" s="81">
        <v>0</v>
      </c>
      <c r="F938" s="81">
        <v>0</v>
      </c>
      <c r="G938" s="81">
        <v>0</v>
      </c>
      <c r="H938" s="81">
        <v>0</v>
      </c>
      <c r="I938" s="81">
        <v>0</v>
      </c>
      <c r="J938" s="81">
        <v>0</v>
      </c>
    </row>
    <row r="939" spans="1:10">
      <c r="A939" s="79" t="s">
        <v>10</v>
      </c>
      <c r="B939" s="79" t="s">
        <v>14</v>
      </c>
      <c r="C939" s="80">
        <v>0.359027777777778</v>
      </c>
      <c r="D939" s="81">
        <v>0</v>
      </c>
      <c r="E939" s="81">
        <v>0</v>
      </c>
      <c r="F939" s="81">
        <v>0</v>
      </c>
      <c r="G939" s="81">
        <v>0</v>
      </c>
      <c r="H939" s="81">
        <v>0</v>
      </c>
      <c r="I939" s="81">
        <v>0</v>
      </c>
      <c r="J939" s="81">
        <v>0</v>
      </c>
    </row>
    <row r="940" spans="1:10">
      <c r="A940" s="79" t="s">
        <v>10</v>
      </c>
      <c r="B940" s="79" t="s">
        <v>14</v>
      </c>
      <c r="C940" s="80">
        <v>0.359722222222222</v>
      </c>
      <c r="D940" s="81">
        <v>0</v>
      </c>
      <c r="E940" s="81">
        <v>0</v>
      </c>
      <c r="F940" s="81">
        <v>0</v>
      </c>
      <c r="G940" s="81">
        <v>0</v>
      </c>
      <c r="H940" s="81">
        <v>0</v>
      </c>
      <c r="I940" s="81">
        <v>0</v>
      </c>
      <c r="J940" s="81">
        <v>0</v>
      </c>
    </row>
    <row r="941" spans="1:10">
      <c r="A941" s="79" t="s">
        <v>10</v>
      </c>
      <c r="B941" s="79" t="s">
        <v>14</v>
      </c>
      <c r="C941" s="80">
        <v>0.360416666666666</v>
      </c>
      <c r="D941" s="81">
        <v>0</v>
      </c>
      <c r="E941" s="81">
        <v>0</v>
      </c>
      <c r="F941" s="81">
        <v>0</v>
      </c>
      <c r="G941" s="81">
        <v>0</v>
      </c>
      <c r="H941" s="81">
        <v>0</v>
      </c>
      <c r="I941" s="81">
        <v>0</v>
      </c>
      <c r="J941" s="81">
        <v>0</v>
      </c>
    </row>
    <row r="942" spans="1:10">
      <c r="A942" s="79" t="s">
        <v>10</v>
      </c>
      <c r="B942" s="79" t="s">
        <v>14</v>
      </c>
      <c r="C942" s="80">
        <v>0.36111111111111099</v>
      </c>
      <c r="D942" s="81">
        <v>0</v>
      </c>
      <c r="E942" s="81">
        <v>0</v>
      </c>
      <c r="F942" s="81">
        <v>0</v>
      </c>
      <c r="G942" s="81">
        <v>0</v>
      </c>
      <c r="H942" s="81">
        <v>0</v>
      </c>
      <c r="I942" s="81">
        <v>0</v>
      </c>
      <c r="J942" s="81">
        <v>0</v>
      </c>
    </row>
    <row r="943" spans="1:10">
      <c r="A943" s="79" t="s">
        <v>10</v>
      </c>
      <c r="B943" s="79" t="s">
        <v>14</v>
      </c>
      <c r="C943" s="80">
        <v>0.36180555555555499</v>
      </c>
      <c r="D943" s="81">
        <v>0</v>
      </c>
      <c r="E943" s="81">
        <v>0</v>
      </c>
      <c r="F943" s="81">
        <v>0</v>
      </c>
      <c r="G943" s="81">
        <v>0</v>
      </c>
      <c r="H943" s="81">
        <v>0</v>
      </c>
      <c r="I943" s="81">
        <v>0</v>
      </c>
      <c r="J943" s="81">
        <v>0</v>
      </c>
    </row>
    <row r="944" spans="1:10">
      <c r="A944" s="79" t="s">
        <v>10</v>
      </c>
      <c r="B944" s="79" t="s">
        <v>14</v>
      </c>
      <c r="C944" s="80">
        <v>0.36249999999999999</v>
      </c>
      <c r="D944" s="81">
        <v>0</v>
      </c>
      <c r="E944" s="81">
        <v>0</v>
      </c>
      <c r="F944" s="81">
        <v>0</v>
      </c>
      <c r="G944" s="81">
        <v>0</v>
      </c>
      <c r="H944" s="81">
        <v>0</v>
      </c>
      <c r="I944" s="81">
        <v>0</v>
      </c>
      <c r="J944" s="81">
        <v>0</v>
      </c>
    </row>
    <row r="945" spans="1:10">
      <c r="A945" s="79" t="s">
        <v>10</v>
      </c>
      <c r="B945" s="79" t="s">
        <v>14</v>
      </c>
      <c r="C945" s="80">
        <v>0.36319444444444399</v>
      </c>
      <c r="D945" s="81">
        <v>0</v>
      </c>
      <c r="E945" s="81">
        <v>0</v>
      </c>
      <c r="F945" s="81">
        <v>0</v>
      </c>
      <c r="G945" s="81">
        <v>0</v>
      </c>
      <c r="H945" s="81">
        <v>0</v>
      </c>
      <c r="I945" s="81">
        <v>0</v>
      </c>
      <c r="J945" s="81">
        <v>0</v>
      </c>
    </row>
    <row r="946" spans="1:10" s="78" customFormat="1">
      <c r="A946" s="82" t="s">
        <v>10</v>
      </c>
      <c r="B946" s="82" t="s">
        <v>14</v>
      </c>
      <c r="C946" s="83">
        <v>0.36388888888888898</v>
      </c>
      <c r="D946" s="84">
        <v>0</v>
      </c>
      <c r="E946" s="84">
        <v>0</v>
      </c>
      <c r="F946" s="84">
        <v>0</v>
      </c>
      <c r="G946" s="84">
        <v>0</v>
      </c>
      <c r="H946" s="84">
        <v>0</v>
      </c>
      <c r="I946" s="84">
        <v>0</v>
      </c>
      <c r="J946" s="84">
        <v>0</v>
      </c>
    </row>
    <row r="947" spans="1:10">
      <c r="A947" s="79" t="s">
        <v>10</v>
      </c>
      <c r="B947" s="79" t="s">
        <v>14</v>
      </c>
      <c r="C947" s="80">
        <v>0.36458333333333298</v>
      </c>
      <c r="D947" s="81">
        <v>0</v>
      </c>
      <c r="E947" s="81">
        <v>0</v>
      </c>
      <c r="F947" s="81">
        <v>0</v>
      </c>
      <c r="G947" s="81">
        <v>0</v>
      </c>
      <c r="H947" s="81">
        <v>0</v>
      </c>
      <c r="I947" s="81">
        <v>0</v>
      </c>
      <c r="J947" s="81">
        <v>0</v>
      </c>
    </row>
    <row r="948" spans="1:10">
      <c r="A948" s="79" t="s">
        <v>10</v>
      </c>
      <c r="B948" s="79" t="s">
        <v>14</v>
      </c>
      <c r="C948" s="80">
        <v>0.36527777777777698</v>
      </c>
      <c r="D948" s="81">
        <v>0</v>
      </c>
      <c r="E948" s="81">
        <v>0</v>
      </c>
      <c r="F948" s="81">
        <v>0</v>
      </c>
      <c r="G948" s="81">
        <v>0</v>
      </c>
      <c r="H948" s="81">
        <v>0</v>
      </c>
      <c r="I948" s="81">
        <v>0</v>
      </c>
      <c r="J948" s="81">
        <v>0</v>
      </c>
    </row>
    <row r="949" spans="1:10">
      <c r="A949" s="79" t="s">
        <v>10</v>
      </c>
      <c r="B949" s="79" t="s">
        <v>14</v>
      </c>
      <c r="C949" s="80">
        <v>0.36597222222222198</v>
      </c>
      <c r="D949" s="81">
        <v>0</v>
      </c>
      <c r="E949" s="81">
        <v>0</v>
      </c>
      <c r="F949" s="81">
        <v>0</v>
      </c>
      <c r="G949" s="81">
        <v>0</v>
      </c>
      <c r="H949" s="81">
        <v>0</v>
      </c>
      <c r="I949" s="81">
        <v>0</v>
      </c>
      <c r="J949" s="81">
        <v>0</v>
      </c>
    </row>
    <row r="950" spans="1:10">
      <c r="A950" s="79" t="s">
        <v>10</v>
      </c>
      <c r="B950" s="79" t="s">
        <v>14</v>
      </c>
      <c r="C950" s="80">
        <v>0.36666666666666597</v>
      </c>
      <c r="D950" s="81">
        <v>0</v>
      </c>
      <c r="E950" s="81">
        <v>0</v>
      </c>
      <c r="F950" s="81">
        <v>0</v>
      </c>
      <c r="G950" s="81">
        <v>0</v>
      </c>
      <c r="H950" s="81">
        <v>0</v>
      </c>
      <c r="I950" s="81">
        <v>0</v>
      </c>
      <c r="J950" s="81">
        <v>0</v>
      </c>
    </row>
    <row r="951" spans="1:10">
      <c r="A951" s="79" t="s">
        <v>10</v>
      </c>
      <c r="B951" s="79" t="s">
        <v>14</v>
      </c>
      <c r="C951" s="80">
        <v>0.36736111111111103</v>
      </c>
      <c r="D951" s="81">
        <v>0</v>
      </c>
      <c r="E951" s="81">
        <v>0</v>
      </c>
      <c r="F951" s="81">
        <v>0</v>
      </c>
      <c r="G951" s="81">
        <v>0</v>
      </c>
      <c r="H951" s="81">
        <v>0</v>
      </c>
      <c r="I951" s="81">
        <v>0</v>
      </c>
      <c r="J951" s="81">
        <v>0</v>
      </c>
    </row>
    <row r="952" spans="1:10">
      <c r="A952" s="79" t="s">
        <v>10</v>
      </c>
      <c r="B952" s="79" t="s">
        <v>14</v>
      </c>
      <c r="C952" s="80">
        <v>0.36805555555555503</v>
      </c>
      <c r="D952" s="81">
        <v>0</v>
      </c>
      <c r="E952" s="81">
        <v>0</v>
      </c>
      <c r="F952" s="81">
        <v>0</v>
      </c>
      <c r="G952" s="81">
        <v>0</v>
      </c>
      <c r="H952" s="81">
        <v>0</v>
      </c>
      <c r="I952" s="81">
        <v>0</v>
      </c>
      <c r="J952" s="81">
        <v>0</v>
      </c>
    </row>
    <row r="953" spans="1:10">
      <c r="A953" s="79" t="s">
        <v>10</v>
      </c>
      <c r="B953" s="79" t="s">
        <v>14</v>
      </c>
      <c r="C953" s="80">
        <v>0.36875000000000002</v>
      </c>
      <c r="D953" s="81">
        <v>0</v>
      </c>
      <c r="E953" s="81">
        <v>0</v>
      </c>
      <c r="F953" s="81">
        <v>0</v>
      </c>
      <c r="G953" s="81">
        <v>0</v>
      </c>
      <c r="H953" s="81">
        <v>0</v>
      </c>
      <c r="I953" s="81">
        <v>0</v>
      </c>
      <c r="J953" s="81">
        <v>0</v>
      </c>
    </row>
    <row r="954" spans="1:10">
      <c r="A954" s="79" t="s">
        <v>10</v>
      </c>
      <c r="B954" s="79" t="s">
        <v>14</v>
      </c>
      <c r="C954" s="80">
        <v>0.36944444444444402</v>
      </c>
      <c r="D954" s="81">
        <v>0</v>
      </c>
      <c r="E954" s="81">
        <v>0</v>
      </c>
      <c r="F954" s="81">
        <v>0</v>
      </c>
      <c r="G954" s="81">
        <v>0</v>
      </c>
      <c r="H954" s="81">
        <v>0</v>
      </c>
      <c r="I954" s="81">
        <v>0</v>
      </c>
      <c r="J954" s="81">
        <v>0</v>
      </c>
    </row>
    <row r="955" spans="1:10">
      <c r="A955" s="79" t="s">
        <v>10</v>
      </c>
      <c r="B955" s="79" t="s">
        <v>14</v>
      </c>
      <c r="C955" s="80">
        <v>0.37013888888888902</v>
      </c>
      <c r="D955" s="81">
        <v>0</v>
      </c>
      <c r="E955" s="81">
        <v>0</v>
      </c>
      <c r="F955" s="81">
        <v>0</v>
      </c>
      <c r="G955" s="81">
        <v>0</v>
      </c>
      <c r="H955" s="81">
        <v>0</v>
      </c>
      <c r="I955" s="81">
        <v>0</v>
      </c>
      <c r="J955" s="81">
        <v>0</v>
      </c>
    </row>
    <row r="956" spans="1:10">
      <c r="A956" s="79" t="s">
        <v>10</v>
      </c>
      <c r="B956" s="79" t="s">
        <v>14</v>
      </c>
      <c r="C956" s="80">
        <v>0.37083333333333302</v>
      </c>
      <c r="D956" s="81">
        <v>0</v>
      </c>
      <c r="E956" s="81">
        <v>0</v>
      </c>
      <c r="F956" s="81">
        <v>0</v>
      </c>
      <c r="G956" s="81">
        <v>0</v>
      </c>
      <c r="H956" s="81">
        <v>0</v>
      </c>
      <c r="I956" s="81">
        <v>0</v>
      </c>
      <c r="J956" s="81">
        <v>0</v>
      </c>
    </row>
    <row r="957" spans="1:10">
      <c r="A957" s="79" t="s">
        <v>10</v>
      </c>
      <c r="B957" s="79" t="s">
        <v>14</v>
      </c>
      <c r="C957" s="80">
        <v>0.37152777777777701</v>
      </c>
      <c r="D957" s="81">
        <v>0</v>
      </c>
      <c r="E957" s="81">
        <v>0</v>
      </c>
      <c r="F957" s="81">
        <v>0</v>
      </c>
      <c r="G957" s="81">
        <v>0</v>
      </c>
      <c r="H957" s="81">
        <v>0</v>
      </c>
      <c r="I957" s="81">
        <v>0</v>
      </c>
      <c r="J957" s="81">
        <v>0</v>
      </c>
    </row>
    <row r="958" spans="1:10">
      <c r="A958" s="79" t="s">
        <v>10</v>
      </c>
      <c r="B958" s="79" t="s">
        <v>14</v>
      </c>
      <c r="C958" s="80">
        <v>0.37222222222222201</v>
      </c>
      <c r="D958" s="81">
        <v>0</v>
      </c>
      <c r="E958" s="81">
        <v>0</v>
      </c>
      <c r="F958" s="81">
        <v>0</v>
      </c>
      <c r="G958" s="81">
        <v>0</v>
      </c>
      <c r="H958" s="81">
        <v>0</v>
      </c>
      <c r="I958" s="81">
        <v>0</v>
      </c>
      <c r="J958" s="81">
        <v>0</v>
      </c>
    </row>
    <row r="959" spans="1:10">
      <c r="A959" s="79" t="s">
        <v>10</v>
      </c>
      <c r="B959" s="79" t="s">
        <v>14</v>
      </c>
      <c r="C959" s="80">
        <v>0.37291666666666601</v>
      </c>
      <c r="D959" s="81">
        <v>0</v>
      </c>
      <c r="E959" s="81">
        <v>0</v>
      </c>
      <c r="F959" s="81">
        <v>0</v>
      </c>
      <c r="G959" s="81">
        <v>0</v>
      </c>
      <c r="H959" s="81">
        <v>0</v>
      </c>
      <c r="I959" s="81">
        <v>0</v>
      </c>
      <c r="J959" s="81">
        <v>0</v>
      </c>
    </row>
    <row r="960" spans="1:10">
      <c r="A960" s="79" t="s">
        <v>10</v>
      </c>
      <c r="B960" s="79" t="s">
        <v>14</v>
      </c>
      <c r="C960" s="80">
        <v>0.37361111111111101</v>
      </c>
      <c r="D960" s="81">
        <v>0</v>
      </c>
      <c r="E960" s="81">
        <v>0</v>
      </c>
      <c r="F960" s="81">
        <v>0</v>
      </c>
      <c r="G960" s="81">
        <v>0</v>
      </c>
      <c r="H960" s="81">
        <v>0</v>
      </c>
      <c r="I960" s="81">
        <v>0</v>
      </c>
      <c r="J960" s="81">
        <v>0</v>
      </c>
    </row>
    <row r="961" spans="1:10" s="28" customFormat="1" ht="17.5" thickBot="1">
      <c r="A961" s="97" t="s">
        <v>10</v>
      </c>
      <c r="B961" s="97" t="s">
        <v>14</v>
      </c>
      <c r="C961" s="98">
        <v>0.374305555555555</v>
      </c>
      <c r="D961" s="99">
        <v>0</v>
      </c>
      <c r="E961" s="99">
        <v>0</v>
      </c>
      <c r="F961" s="99">
        <v>0</v>
      </c>
      <c r="G961" s="99">
        <v>0</v>
      </c>
      <c r="H961" s="99">
        <v>0</v>
      </c>
      <c r="I961" s="99">
        <v>0</v>
      </c>
      <c r="J961" s="99">
        <v>0</v>
      </c>
    </row>
    <row r="962" spans="1:10">
      <c r="A962" s="85" t="s">
        <v>100</v>
      </c>
      <c r="B962" s="85" t="s">
        <v>11</v>
      </c>
      <c r="C962" s="86">
        <v>0.45833333333333331</v>
      </c>
      <c r="D962" s="87">
        <v>0</v>
      </c>
      <c r="E962" s="87">
        <v>0</v>
      </c>
      <c r="F962" s="87">
        <v>0</v>
      </c>
      <c r="G962" s="87">
        <v>0</v>
      </c>
      <c r="H962" s="87">
        <v>0</v>
      </c>
      <c r="I962" s="87">
        <v>0</v>
      </c>
      <c r="J962" s="87">
        <v>0</v>
      </c>
    </row>
    <row r="963" spans="1:10">
      <c r="A963" s="85" t="s">
        <v>100</v>
      </c>
      <c r="B963" s="85" t="s">
        <v>11</v>
      </c>
      <c r="C963" s="86">
        <v>0.45902777777777776</v>
      </c>
      <c r="D963" s="87">
        <v>0</v>
      </c>
      <c r="E963" s="87">
        <v>0</v>
      </c>
      <c r="F963" s="87">
        <v>0</v>
      </c>
      <c r="G963" s="87">
        <v>0</v>
      </c>
      <c r="H963" s="87">
        <v>0</v>
      </c>
      <c r="I963" s="87">
        <v>0</v>
      </c>
      <c r="J963" s="87">
        <v>0</v>
      </c>
    </row>
    <row r="964" spans="1:10">
      <c r="A964" s="85" t="s">
        <v>100</v>
      </c>
      <c r="B964" s="85" t="s">
        <v>11</v>
      </c>
      <c r="C964" s="86">
        <v>0.45972222222222198</v>
      </c>
      <c r="D964" s="87">
        <v>0</v>
      </c>
      <c r="E964" s="87">
        <v>0</v>
      </c>
      <c r="F964" s="87">
        <v>0</v>
      </c>
      <c r="G964" s="87">
        <v>0</v>
      </c>
      <c r="H964" s="87">
        <v>0</v>
      </c>
      <c r="I964" s="87">
        <v>0</v>
      </c>
      <c r="J964" s="87">
        <v>0</v>
      </c>
    </row>
    <row r="965" spans="1:10">
      <c r="A965" s="85" t="s">
        <v>100</v>
      </c>
      <c r="B965" s="85" t="s">
        <v>11</v>
      </c>
      <c r="C965" s="86">
        <v>0.46041666666666697</v>
      </c>
      <c r="D965" s="87">
        <v>0</v>
      </c>
      <c r="E965" s="87">
        <v>0</v>
      </c>
      <c r="F965" s="87">
        <v>0</v>
      </c>
      <c r="G965" s="87">
        <v>0</v>
      </c>
      <c r="H965" s="87">
        <v>0</v>
      </c>
      <c r="I965" s="87">
        <v>0</v>
      </c>
      <c r="J965" s="87">
        <v>0</v>
      </c>
    </row>
    <row r="966" spans="1:10">
      <c r="A966" s="85" t="s">
        <v>100</v>
      </c>
      <c r="B966" s="85" t="s">
        <v>11</v>
      </c>
      <c r="C966" s="86">
        <v>0.46111111111111103</v>
      </c>
      <c r="D966" s="87">
        <v>0</v>
      </c>
      <c r="E966" s="87">
        <v>0</v>
      </c>
      <c r="F966" s="87">
        <v>0</v>
      </c>
      <c r="G966" s="87">
        <v>0</v>
      </c>
      <c r="H966" s="87">
        <v>0</v>
      </c>
      <c r="I966" s="87">
        <v>0</v>
      </c>
      <c r="J966" s="87">
        <v>0</v>
      </c>
    </row>
    <row r="967" spans="1:10">
      <c r="A967" s="85" t="s">
        <v>100</v>
      </c>
      <c r="B967" s="85" t="s">
        <v>11</v>
      </c>
      <c r="C967" s="86">
        <v>0.46180555555555602</v>
      </c>
      <c r="D967" s="87">
        <v>0</v>
      </c>
      <c r="E967" s="87">
        <v>0</v>
      </c>
      <c r="F967" s="87">
        <v>0</v>
      </c>
      <c r="G967" s="87">
        <v>0</v>
      </c>
      <c r="H967" s="87">
        <v>0</v>
      </c>
      <c r="I967" s="87">
        <v>0</v>
      </c>
      <c r="J967" s="87">
        <v>0</v>
      </c>
    </row>
    <row r="968" spans="1:10">
      <c r="A968" s="85" t="s">
        <v>100</v>
      </c>
      <c r="B968" s="85" t="s">
        <v>11</v>
      </c>
      <c r="C968" s="86">
        <v>0.46250000000000002</v>
      </c>
      <c r="D968" s="87">
        <v>0</v>
      </c>
      <c r="E968" s="87">
        <v>0</v>
      </c>
      <c r="F968" s="87">
        <v>0</v>
      </c>
      <c r="G968" s="87">
        <v>0</v>
      </c>
      <c r="H968" s="87">
        <v>0</v>
      </c>
      <c r="I968" s="87">
        <v>0</v>
      </c>
      <c r="J968" s="87">
        <v>0</v>
      </c>
    </row>
    <row r="969" spans="1:10">
      <c r="A969" s="85" t="s">
        <v>100</v>
      </c>
      <c r="B969" s="85" t="s">
        <v>11</v>
      </c>
      <c r="C969" s="86">
        <v>0.46319444444444402</v>
      </c>
      <c r="D969" s="87">
        <v>0</v>
      </c>
      <c r="E969" s="87">
        <v>0</v>
      </c>
      <c r="F969" s="87">
        <v>0</v>
      </c>
      <c r="G969" s="87">
        <v>0</v>
      </c>
      <c r="H969" s="87">
        <v>0</v>
      </c>
      <c r="I969" s="87">
        <v>0</v>
      </c>
      <c r="J969" s="87">
        <v>0</v>
      </c>
    </row>
    <row r="970" spans="1:10">
      <c r="A970" s="85" t="s">
        <v>100</v>
      </c>
      <c r="B970" s="85" t="s">
        <v>11</v>
      </c>
      <c r="C970" s="86">
        <v>0.46388888888888902</v>
      </c>
      <c r="D970" s="87">
        <v>0</v>
      </c>
      <c r="E970" s="87">
        <v>0</v>
      </c>
      <c r="F970" s="87">
        <v>0</v>
      </c>
      <c r="G970" s="87">
        <v>0</v>
      </c>
      <c r="H970" s="87">
        <v>0</v>
      </c>
      <c r="I970" s="87">
        <v>0</v>
      </c>
      <c r="J970" s="87">
        <v>0</v>
      </c>
    </row>
    <row r="971" spans="1:10">
      <c r="A971" s="85" t="s">
        <v>100</v>
      </c>
      <c r="B971" s="85" t="s">
        <v>11</v>
      </c>
      <c r="C971" s="86">
        <v>0.46458333333333302</v>
      </c>
      <c r="D971" s="87">
        <v>0</v>
      </c>
      <c r="E971" s="87">
        <v>0</v>
      </c>
      <c r="F971" s="87">
        <v>0</v>
      </c>
      <c r="G971" s="87">
        <v>0</v>
      </c>
      <c r="H971" s="87">
        <v>0</v>
      </c>
      <c r="I971" s="87">
        <v>0</v>
      </c>
      <c r="J971" s="87">
        <v>0</v>
      </c>
    </row>
    <row r="972" spans="1:10">
      <c r="A972" s="85" t="s">
        <v>100</v>
      </c>
      <c r="B972" s="85" t="s">
        <v>11</v>
      </c>
      <c r="C972" s="86">
        <v>0.46527777777777801</v>
      </c>
      <c r="D972" s="87">
        <v>0</v>
      </c>
      <c r="E972" s="87">
        <v>0</v>
      </c>
      <c r="F972" s="87">
        <v>0</v>
      </c>
      <c r="G972" s="87">
        <v>0</v>
      </c>
      <c r="H972" s="87">
        <v>0</v>
      </c>
      <c r="I972" s="87">
        <v>0</v>
      </c>
      <c r="J972" s="87">
        <v>0</v>
      </c>
    </row>
    <row r="973" spans="1:10">
      <c r="A973" s="85" t="s">
        <v>100</v>
      </c>
      <c r="B973" s="85" t="s">
        <v>11</v>
      </c>
      <c r="C973" s="86">
        <v>0.46597222222222201</v>
      </c>
      <c r="D973" s="87">
        <v>0</v>
      </c>
      <c r="E973" s="87">
        <v>0</v>
      </c>
      <c r="F973" s="87">
        <v>0</v>
      </c>
      <c r="G973" s="87">
        <v>0</v>
      </c>
      <c r="H973" s="87">
        <v>0</v>
      </c>
      <c r="I973" s="87">
        <v>0</v>
      </c>
      <c r="J973" s="87">
        <v>0</v>
      </c>
    </row>
    <row r="974" spans="1:10">
      <c r="A974" s="85" t="s">
        <v>100</v>
      </c>
      <c r="B974" s="85" t="s">
        <v>11</v>
      </c>
      <c r="C974" s="86">
        <v>0.46666666666666701</v>
      </c>
      <c r="D974" s="87">
        <v>0</v>
      </c>
      <c r="E974" s="87">
        <v>0</v>
      </c>
      <c r="F974" s="87">
        <v>0</v>
      </c>
      <c r="G974" s="87">
        <v>0</v>
      </c>
      <c r="H974" s="87">
        <v>0</v>
      </c>
      <c r="I974" s="87">
        <v>0</v>
      </c>
      <c r="J974" s="87">
        <v>0</v>
      </c>
    </row>
    <row r="975" spans="1:10">
      <c r="A975" s="85" t="s">
        <v>100</v>
      </c>
      <c r="B975" s="85" t="s">
        <v>11</v>
      </c>
      <c r="C975" s="86">
        <v>0.46736111111111101</v>
      </c>
      <c r="D975" s="87">
        <v>0</v>
      </c>
      <c r="E975" s="87">
        <v>0</v>
      </c>
      <c r="F975" s="87">
        <v>0</v>
      </c>
      <c r="G975" s="87">
        <v>0</v>
      </c>
      <c r="H975" s="87">
        <v>0</v>
      </c>
      <c r="I975" s="87">
        <v>0</v>
      </c>
      <c r="J975" s="87">
        <v>0</v>
      </c>
    </row>
    <row r="976" spans="1:10" s="78" customFormat="1">
      <c r="A976" s="88" t="s">
        <v>100</v>
      </c>
      <c r="B976" s="88" t="s">
        <v>11</v>
      </c>
      <c r="C976" s="89">
        <v>0.468055555555556</v>
      </c>
      <c r="D976" s="90">
        <v>0</v>
      </c>
      <c r="E976" s="90">
        <v>0</v>
      </c>
      <c r="F976" s="90">
        <v>0</v>
      </c>
      <c r="G976" s="90">
        <v>0</v>
      </c>
      <c r="H976" s="90">
        <v>0</v>
      </c>
      <c r="I976" s="90">
        <v>0</v>
      </c>
      <c r="J976" s="90">
        <v>0</v>
      </c>
    </row>
    <row r="977" spans="1:10">
      <c r="A977" s="85" t="s">
        <v>100</v>
      </c>
      <c r="B977" s="85" t="s">
        <v>11</v>
      </c>
      <c r="C977" s="86">
        <v>0.46875</v>
      </c>
      <c r="D977" s="91">
        <v>0</v>
      </c>
      <c r="E977" s="91">
        <v>0</v>
      </c>
      <c r="F977" s="91">
        <v>0</v>
      </c>
      <c r="G977" s="91">
        <v>0</v>
      </c>
      <c r="H977" s="91">
        <v>0</v>
      </c>
      <c r="I977" s="91">
        <v>0</v>
      </c>
      <c r="J977" s="91">
        <v>0</v>
      </c>
    </row>
    <row r="978" spans="1:10">
      <c r="A978" s="85" t="s">
        <v>100</v>
      </c>
      <c r="B978" s="85" t="s">
        <v>11</v>
      </c>
      <c r="C978" s="86">
        <v>0.469444444444444</v>
      </c>
      <c r="D978" s="87">
        <v>0</v>
      </c>
      <c r="E978" s="87">
        <v>0</v>
      </c>
      <c r="F978" s="87">
        <v>0</v>
      </c>
      <c r="G978" s="87">
        <v>0</v>
      </c>
      <c r="H978" s="87">
        <v>0</v>
      </c>
      <c r="I978" s="87">
        <v>0</v>
      </c>
      <c r="J978" s="87">
        <v>0</v>
      </c>
    </row>
    <row r="979" spans="1:10">
      <c r="A979" s="85" t="s">
        <v>100</v>
      </c>
      <c r="B979" s="85" t="s">
        <v>11</v>
      </c>
      <c r="C979" s="86">
        <v>0.47013888888888899</v>
      </c>
      <c r="D979" s="87">
        <v>0</v>
      </c>
      <c r="E979" s="87">
        <v>0</v>
      </c>
      <c r="F979" s="87">
        <v>0</v>
      </c>
      <c r="G979" s="87">
        <v>0</v>
      </c>
      <c r="H979" s="87">
        <v>0</v>
      </c>
      <c r="I979" s="87">
        <v>0</v>
      </c>
      <c r="J979" s="87">
        <v>0</v>
      </c>
    </row>
    <row r="980" spans="1:10">
      <c r="A980" s="85" t="s">
        <v>100</v>
      </c>
      <c r="B980" s="85" t="s">
        <v>11</v>
      </c>
      <c r="C980" s="86">
        <v>0.47083333333333299</v>
      </c>
      <c r="D980" s="87">
        <v>0</v>
      </c>
      <c r="E980" s="87">
        <v>0</v>
      </c>
      <c r="F980" s="87">
        <v>0</v>
      </c>
      <c r="G980" s="87">
        <v>0</v>
      </c>
      <c r="H980" s="87">
        <v>0</v>
      </c>
      <c r="I980" s="87">
        <v>0</v>
      </c>
      <c r="J980" s="87">
        <v>0</v>
      </c>
    </row>
    <row r="981" spans="1:10">
      <c r="A981" s="85" t="s">
        <v>100</v>
      </c>
      <c r="B981" s="85" t="s">
        <v>11</v>
      </c>
      <c r="C981" s="86">
        <v>0.47152777777777799</v>
      </c>
      <c r="D981" s="87">
        <v>0</v>
      </c>
      <c r="E981" s="87">
        <v>0</v>
      </c>
      <c r="F981" s="87">
        <v>0</v>
      </c>
      <c r="G981" s="87">
        <v>0</v>
      </c>
      <c r="H981" s="87">
        <v>0</v>
      </c>
      <c r="I981" s="87">
        <v>0</v>
      </c>
      <c r="J981" s="87">
        <v>0</v>
      </c>
    </row>
    <row r="982" spans="1:10">
      <c r="A982" s="85" t="s">
        <v>100</v>
      </c>
      <c r="B982" s="85" t="s">
        <v>11</v>
      </c>
      <c r="C982" s="86">
        <v>0.47222222222222199</v>
      </c>
      <c r="D982" s="87">
        <v>0</v>
      </c>
      <c r="E982" s="87">
        <v>0</v>
      </c>
      <c r="F982" s="87">
        <v>0</v>
      </c>
      <c r="G982" s="87">
        <v>0</v>
      </c>
      <c r="H982" s="87">
        <v>0</v>
      </c>
      <c r="I982" s="87">
        <v>0</v>
      </c>
      <c r="J982" s="87">
        <v>0</v>
      </c>
    </row>
    <row r="983" spans="1:10">
      <c r="A983" s="85" t="s">
        <v>100</v>
      </c>
      <c r="B983" s="85" t="s">
        <v>11</v>
      </c>
      <c r="C983" s="86">
        <v>0.47291666666666698</v>
      </c>
      <c r="D983" s="87">
        <v>0</v>
      </c>
      <c r="E983" s="87">
        <v>0</v>
      </c>
      <c r="F983" s="87">
        <v>0</v>
      </c>
      <c r="G983" s="87">
        <v>0</v>
      </c>
      <c r="H983" s="87">
        <v>0</v>
      </c>
      <c r="I983" s="87">
        <v>0</v>
      </c>
      <c r="J983" s="87">
        <v>0</v>
      </c>
    </row>
    <row r="984" spans="1:10">
      <c r="A984" s="85" t="s">
        <v>100</v>
      </c>
      <c r="B984" s="85" t="s">
        <v>11</v>
      </c>
      <c r="C984" s="86">
        <v>0.47361111111111098</v>
      </c>
      <c r="D984" s="87">
        <v>0</v>
      </c>
      <c r="E984" s="87">
        <v>0</v>
      </c>
      <c r="F984" s="87">
        <v>0</v>
      </c>
      <c r="G984" s="87">
        <v>0</v>
      </c>
      <c r="H984" s="87">
        <v>0</v>
      </c>
      <c r="I984" s="87">
        <v>0</v>
      </c>
      <c r="J984" s="87">
        <v>0</v>
      </c>
    </row>
    <row r="985" spans="1:10">
      <c r="A985" s="85" t="s">
        <v>100</v>
      </c>
      <c r="B985" s="85" t="s">
        <v>11</v>
      </c>
      <c r="C985" s="86">
        <v>0.47430555555555598</v>
      </c>
      <c r="D985" s="87">
        <v>0</v>
      </c>
      <c r="E985" s="87">
        <v>0</v>
      </c>
      <c r="F985" s="87">
        <v>0</v>
      </c>
      <c r="G985" s="87">
        <v>0</v>
      </c>
      <c r="H985" s="87">
        <v>0</v>
      </c>
      <c r="I985" s="87">
        <v>0</v>
      </c>
      <c r="J985" s="87">
        <v>0</v>
      </c>
    </row>
    <row r="986" spans="1:10">
      <c r="A986" s="85" t="s">
        <v>100</v>
      </c>
      <c r="B986" s="85" t="s">
        <v>11</v>
      </c>
      <c r="C986" s="86">
        <v>0.47499999999999998</v>
      </c>
      <c r="D986" s="87">
        <v>0</v>
      </c>
      <c r="E986" s="87">
        <v>0</v>
      </c>
      <c r="F986" s="87">
        <v>0</v>
      </c>
      <c r="G986" s="87">
        <v>0</v>
      </c>
      <c r="H986" s="87">
        <v>0</v>
      </c>
      <c r="I986" s="87">
        <v>0</v>
      </c>
      <c r="J986" s="87">
        <v>0</v>
      </c>
    </row>
    <row r="987" spans="1:10">
      <c r="A987" s="85" t="s">
        <v>100</v>
      </c>
      <c r="B987" s="85" t="s">
        <v>11</v>
      </c>
      <c r="C987" s="86">
        <v>0.47569444444444398</v>
      </c>
      <c r="D987" s="87">
        <v>0</v>
      </c>
      <c r="E987" s="87">
        <v>0</v>
      </c>
      <c r="F987" s="87">
        <v>0</v>
      </c>
      <c r="G987" s="87">
        <v>0</v>
      </c>
      <c r="H987" s="87">
        <v>0</v>
      </c>
      <c r="I987" s="87">
        <v>0</v>
      </c>
      <c r="J987" s="87">
        <v>0</v>
      </c>
    </row>
    <row r="988" spans="1:10">
      <c r="A988" s="85" t="s">
        <v>100</v>
      </c>
      <c r="B988" s="85" t="s">
        <v>11</v>
      </c>
      <c r="C988" s="86">
        <v>0.47638888888888897</v>
      </c>
      <c r="D988" s="87">
        <v>0</v>
      </c>
      <c r="E988" s="87">
        <v>0</v>
      </c>
      <c r="F988" s="87">
        <v>0</v>
      </c>
      <c r="G988" s="87">
        <v>0</v>
      </c>
      <c r="H988" s="87">
        <v>0</v>
      </c>
      <c r="I988" s="87">
        <v>0</v>
      </c>
      <c r="J988" s="87">
        <v>0</v>
      </c>
    </row>
    <row r="989" spans="1:10">
      <c r="A989" s="85" t="s">
        <v>100</v>
      </c>
      <c r="B989" s="85" t="s">
        <v>11</v>
      </c>
      <c r="C989" s="86">
        <v>0.47708333333333303</v>
      </c>
      <c r="D989" s="87">
        <v>0</v>
      </c>
      <c r="E989" s="87">
        <v>0</v>
      </c>
      <c r="F989" s="87">
        <v>0</v>
      </c>
      <c r="G989" s="87">
        <v>0</v>
      </c>
      <c r="H989" s="87">
        <v>0</v>
      </c>
      <c r="I989" s="87">
        <v>0</v>
      </c>
      <c r="J989" s="87">
        <v>0</v>
      </c>
    </row>
    <row r="990" spans="1:10">
      <c r="A990" s="85" t="s">
        <v>100</v>
      </c>
      <c r="B990" s="85" t="s">
        <v>11</v>
      </c>
      <c r="C990" s="86">
        <v>0.47777777777777802</v>
      </c>
      <c r="D990" s="87">
        <v>0</v>
      </c>
      <c r="E990" s="87">
        <v>0</v>
      </c>
      <c r="F990" s="87">
        <v>0</v>
      </c>
      <c r="G990" s="87">
        <v>0</v>
      </c>
      <c r="H990" s="87">
        <v>0</v>
      </c>
      <c r="I990" s="87">
        <v>0</v>
      </c>
      <c r="J990" s="87">
        <v>0</v>
      </c>
    </row>
    <row r="991" spans="1:10" s="78" customFormat="1">
      <c r="A991" s="88" t="s">
        <v>100</v>
      </c>
      <c r="B991" s="88" t="s">
        <v>11</v>
      </c>
      <c r="C991" s="89">
        <v>0.47847222222222202</v>
      </c>
      <c r="D991" s="90">
        <v>0</v>
      </c>
      <c r="E991" s="90">
        <v>0</v>
      </c>
      <c r="F991" s="90">
        <v>0</v>
      </c>
      <c r="G991" s="90">
        <v>0</v>
      </c>
      <c r="H991" s="90">
        <v>0</v>
      </c>
      <c r="I991" s="90">
        <v>0</v>
      </c>
      <c r="J991" s="90">
        <v>0</v>
      </c>
    </row>
    <row r="992" spans="1:10">
      <c r="A992" s="85" t="s">
        <v>100</v>
      </c>
      <c r="B992" s="85" t="s">
        <v>11</v>
      </c>
      <c r="C992" s="86">
        <v>0.47916666666666702</v>
      </c>
      <c r="D992" s="91">
        <v>0</v>
      </c>
      <c r="E992" s="91">
        <v>0</v>
      </c>
      <c r="F992" s="91">
        <v>0</v>
      </c>
      <c r="G992" s="91">
        <v>0</v>
      </c>
      <c r="H992" s="91">
        <v>0</v>
      </c>
      <c r="I992" s="91">
        <v>0</v>
      </c>
      <c r="J992" s="91">
        <v>0</v>
      </c>
    </row>
    <row r="993" spans="1:10">
      <c r="A993" s="85" t="s">
        <v>100</v>
      </c>
      <c r="B993" s="85" t="s">
        <v>11</v>
      </c>
      <c r="C993" s="86">
        <v>0.47986111111111102</v>
      </c>
      <c r="D993" s="87">
        <v>0</v>
      </c>
      <c r="E993" s="87">
        <v>0</v>
      </c>
      <c r="F993" s="87">
        <v>0</v>
      </c>
      <c r="G993" s="87">
        <v>0</v>
      </c>
      <c r="H993" s="87">
        <v>0</v>
      </c>
      <c r="I993" s="87">
        <v>0</v>
      </c>
      <c r="J993" s="87">
        <v>0</v>
      </c>
    </row>
    <row r="994" spans="1:10">
      <c r="A994" s="85" t="s">
        <v>100</v>
      </c>
      <c r="B994" s="85" t="s">
        <v>11</v>
      </c>
      <c r="C994" s="86">
        <v>0.48055555555555501</v>
      </c>
      <c r="D994" s="87">
        <v>0</v>
      </c>
      <c r="E994" s="87">
        <v>0</v>
      </c>
      <c r="F994" s="87">
        <v>0</v>
      </c>
      <c r="G994" s="87">
        <v>0</v>
      </c>
      <c r="H994" s="87">
        <v>0</v>
      </c>
      <c r="I994" s="87">
        <v>0</v>
      </c>
      <c r="J994" s="87">
        <v>0</v>
      </c>
    </row>
    <row r="995" spans="1:10">
      <c r="A995" s="85" t="s">
        <v>100</v>
      </c>
      <c r="B995" s="85" t="s">
        <v>11</v>
      </c>
      <c r="C995" s="86">
        <v>0.48125000000000001</v>
      </c>
      <c r="D995" s="87">
        <v>0</v>
      </c>
      <c r="E995" s="87">
        <v>0</v>
      </c>
      <c r="F995" s="87">
        <v>0</v>
      </c>
      <c r="G995" s="87">
        <v>0</v>
      </c>
      <c r="H995" s="87">
        <v>0</v>
      </c>
      <c r="I995" s="87">
        <v>0</v>
      </c>
      <c r="J995" s="87">
        <v>0</v>
      </c>
    </row>
    <row r="996" spans="1:10">
      <c r="A996" s="85" t="s">
        <v>100</v>
      </c>
      <c r="B996" s="85" t="s">
        <v>11</v>
      </c>
      <c r="C996" s="86">
        <v>0.48194444444444401</v>
      </c>
      <c r="D996" s="87">
        <v>0</v>
      </c>
      <c r="E996" s="87">
        <v>0</v>
      </c>
      <c r="F996" s="87">
        <v>0</v>
      </c>
      <c r="G996" s="87">
        <v>0</v>
      </c>
      <c r="H996" s="87">
        <v>0</v>
      </c>
      <c r="I996" s="87">
        <v>0</v>
      </c>
      <c r="J996" s="87">
        <v>0</v>
      </c>
    </row>
    <row r="997" spans="1:10">
      <c r="A997" s="85" t="s">
        <v>100</v>
      </c>
      <c r="B997" s="85" t="s">
        <v>11</v>
      </c>
      <c r="C997" s="86">
        <v>0.48263888888888901</v>
      </c>
      <c r="D997" s="87">
        <v>0</v>
      </c>
      <c r="E997" s="87">
        <v>0</v>
      </c>
      <c r="F997" s="87">
        <v>0</v>
      </c>
      <c r="G997" s="87">
        <v>0</v>
      </c>
      <c r="H997" s="87">
        <v>0</v>
      </c>
      <c r="I997" s="87">
        <v>0</v>
      </c>
      <c r="J997" s="87">
        <v>0</v>
      </c>
    </row>
    <row r="998" spans="1:10">
      <c r="A998" s="85" t="s">
        <v>100</v>
      </c>
      <c r="B998" s="85" t="s">
        <v>11</v>
      </c>
      <c r="C998" s="86">
        <v>0.483333333333333</v>
      </c>
      <c r="D998" s="87">
        <v>0</v>
      </c>
      <c r="E998" s="87">
        <v>0</v>
      </c>
      <c r="F998" s="87">
        <v>0</v>
      </c>
      <c r="G998" s="87">
        <v>0</v>
      </c>
      <c r="H998" s="87">
        <v>0</v>
      </c>
      <c r="I998" s="87">
        <v>0</v>
      </c>
      <c r="J998" s="87">
        <v>0</v>
      </c>
    </row>
    <row r="999" spans="1:10">
      <c r="A999" s="85" t="s">
        <v>100</v>
      </c>
      <c r="B999" s="85" t="s">
        <v>11</v>
      </c>
      <c r="C999" s="86">
        <v>0.484027777777778</v>
      </c>
      <c r="D999" s="87">
        <v>0</v>
      </c>
      <c r="E999" s="87">
        <v>0</v>
      </c>
      <c r="F999" s="87">
        <v>0</v>
      </c>
      <c r="G999" s="87">
        <v>0</v>
      </c>
      <c r="H999" s="87">
        <v>0</v>
      </c>
      <c r="I999" s="87">
        <v>0</v>
      </c>
      <c r="J999" s="87">
        <v>0</v>
      </c>
    </row>
    <row r="1000" spans="1:10">
      <c r="A1000" s="85" t="s">
        <v>100</v>
      </c>
      <c r="B1000" s="85" t="s">
        <v>11</v>
      </c>
      <c r="C1000" s="86">
        <v>0.484722222222222</v>
      </c>
      <c r="D1000" s="87">
        <v>0</v>
      </c>
      <c r="E1000" s="87">
        <v>0</v>
      </c>
      <c r="F1000" s="87">
        <v>0</v>
      </c>
      <c r="G1000" s="87">
        <v>0</v>
      </c>
      <c r="H1000" s="87">
        <v>0</v>
      </c>
      <c r="I1000" s="87">
        <v>0</v>
      </c>
      <c r="J1000" s="87">
        <v>0</v>
      </c>
    </row>
    <row r="1001" spans="1:10">
      <c r="A1001" s="85" t="s">
        <v>100</v>
      </c>
      <c r="B1001" s="85" t="s">
        <v>11</v>
      </c>
      <c r="C1001" s="86">
        <v>0.485416666666666</v>
      </c>
      <c r="D1001" s="87">
        <v>0</v>
      </c>
      <c r="E1001" s="87">
        <v>0</v>
      </c>
      <c r="F1001" s="87">
        <v>0</v>
      </c>
      <c r="G1001" s="87">
        <v>0</v>
      </c>
      <c r="H1001" s="87">
        <v>0</v>
      </c>
      <c r="I1001" s="87">
        <v>0</v>
      </c>
      <c r="J1001" s="87">
        <v>0</v>
      </c>
    </row>
    <row r="1002" spans="1:10">
      <c r="A1002" s="85" t="s">
        <v>100</v>
      </c>
      <c r="B1002" s="85" t="s">
        <v>11</v>
      </c>
      <c r="C1002" s="86">
        <v>0.48611111111111099</v>
      </c>
      <c r="D1002" s="87">
        <v>0</v>
      </c>
      <c r="E1002" s="87">
        <v>0</v>
      </c>
      <c r="F1002" s="87">
        <v>0</v>
      </c>
      <c r="G1002" s="87">
        <v>0</v>
      </c>
      <c r="H1002" s="87">
        <v>0</v>
      </c>
      <c r="I1002" s="87">
        <v>0</v>
      </c>
      <c r="J1002" s="87">
        <v>0</v>
      </c>
    </row>
    <row r="1003" spans="1:10">
      <c r="A1003" s="85" t="s">
        <v>100</v>
      </c>
      <c r="B1003" s="85" t="s">
        <v>11</v>
      </c>
      <c r="C1003" s="86">
        <v>0.48680555555555499</v>
      </c>
      <c r="D1003" s="87">
        <v>0</v>
      </c>
      <c r="E1003" s="87">
        <v>0</v>
      </c>
      <c r="F1003" s="87">
        <v>0</v>
      </c>
      <c r="G1003" s="87">
        <v>0</v>
      </c>
      <c r="H1003" s="87">
        <v>0</v>
      </c>
      <c r="I1003" s="87">
        <v>0</v>
      </c>
      <c r="J1003" s="87">
        <v>0</v>
      </c>
    </row>
    <row r="1004" spans="1:10">
      <c r="A1004" s="85" t="s">
        <v>100</v>
      </c>
      <c r="B1004" s="85" t="s">
        <v>11</v>
      </c>
      <c r="C1004" s="86">
        <v>0.48749999999999999</v>
      </c>
      <c r="D1004" s="87">
        <v>0</v>
      </c>
      <c r="E1004" s="87">
        <v>0</v>
      </c>
      <c r="F1004" s="87">
        <v>0</v>
      </c>
      <c r="G1004" s="87">
        <v>0</v>
      </c>
      <c r="H1004" s="87">
        <v>0</v>
      </c>
      <c r="I1004" s="87">
        <v>0</v>
      </c>
      <c r="J1004" s="87">
        <v>0</v>
      </c>
    </row>
    <row r="1005" spans="1:10">
      <c r="A1005" s="85" t="s">
        <v>100</v>
      </c>
      <c r="B1005" s="85" t="s">
        <v>11</v>
      </c>
      <c r="C1005" s="86">
        <v>0.48819444444444399</v>
      </c>
      <c r="D1005" s="87">
        <v>0</v>
      </c>
      <c r="E1005" s="87">
        <v>0</v>
      </c>
      <c r="F1005" s="87">
        <v>0</v>
      </c>
      <c r="G1005" s="87">
        <v>0</v>
      </c>
      <c r="H1005" s="87">
        <v>0</v>
      </c>
      <c r="I1005" s="87">
        <v>0</v>
      </c>
      <c r="J1005" s="87">
        <v>0</v>
      </c>
    </row>
    <row r="1006" spans="1:10" s="78" customFormat="1">
      <c r="A1006" s="88" t="s">
        <v>100</v>
      </c>
      <c r="B1006" s="88" t="s">
        <v>11</v>
      </c>
      <c r="C1006" s="89">
        <v>0.48888888888888898</v>
      </c>
      <c r="D1006" s="90">
        <v>0</v>
      </c>
      <c r="E1006" s="90">
        <v>0</v>
      </c>
      <c r="F1006" s="90">
        <v>0</v>
      </c>
      <c r="G1006" s="90">
        <v>0</v>
      </c>
      <c r="H1006" s="90">
        <v>0</v>
      </c>
      <c r="I1006" s="90">
        <v>0</v>
      </c>
      <c r="J1006" s="90">
        <v>0</v>
      </c>
    </row>
    <row r="1007" spans="1:10">
      <c r="A1007" s="85" t="s">
        <v>100</v>
      </c>
      <c r="B1007" s="85" t="s">
        <v>11</v>
      </c>
      <c r="C1007" s="86">
        <v>0.48958333333333298</v>
      </c>
      <c r="D1007" s="91">
        <v>0</v>
      </c>
      <c r="E1007" s="91">
        <v>0</v>
      </c>
      <c r="F1007" s="91">
        <v>0</v>
      </c>
      <c r="G1007" s="91">
        <v>0</v>
      </c>
      <c r="H1007" s="91">
        <v>0</v>
      </c>
      <c r="I1007" s="91">
        <v>0</v>
      </c>
      <c r="J1007" s="91">
        <v>0</v>
      </c>
    </row>
    <row r="1008" spans="1:10">
      <c r="A1008" s="85" t="s">
        <v>100</v>
      </c>
      <c r="B1008" s="85" t="s">
        <v>11</v>
      </c>
      <c r="C1008" s="86">
        <v>0.49027777777777798</v>
      </c>
      <c r="D1008" s="87">
        <v>0</v>
      </c>
      <c r="E1008" s="87">
        <v>0</v>
      </c>
      <c r="F1008" s="87">
        <v>0</v>
      </c>
      <c r="G1008" s="87">
        <v>0</v>
      </c>
      <c r="H1008" s="87">
        <v>0</v>
      </c>
      <c r="I1008" s="87">
        <v>0</v>
      </c>
      <c r="J1008" s="87">
        <v>0</v>
      </c>
    </row>
    <row r="1009" spans="1:10">
      <c r="A1009" s="85" t="s">
        <v>100</v>
      </c>
      <c r="B1009" s="85" t="s">
        <v>11</v>
      </c>
      <c r="C1009" s="86">
        <v>0.49097222222222198</v>
      </c>
      <c r="D1009" s="87">
        <v>0</v>
      </c>
      <c r="E1009" s="87">
        <v>0</v>
      </c>
      <c r="F1009" s="87">
        <v>0</v>
      </c>
      <c r="G1009" s="87">
        <v>0</v>
      </c>
      <c r="H1009" s="87">
        <v>0</v>
      </c>
      <c r="I1009" s="87">
        <v>0</v>
      </c>
      <c r="J1009" s="87">
        <v>0</v>
      </c>
    </row>
    <row r="1010" spans="1:10">
      <c r="A1010" s="85" t="s">
        <v>100</v>
      </c>
      <c r="B1010" s="85" t="s">
        <v>11</v>
      </c>
      <c r="C1010" s="86">
        <v>0.49166666666666697</v>
      </c>
      <c r="D1010" s="87">
        <v>0</v>
      </c>
      <c r="E1010" s="87">
        <v>0</v>
      </c>
      <c r="F1010" s="87">
        <v>0</v>
      </c>
      <c r="G1010" s="87">
        <v>0</v>
      </c>
      <c r="H1010" s="87">
        <v>0</v>
      </c>
      <c r="I1010" s="87">
        <v>0</v>
      </c>
      <c r="J1010" s="87">
        <v>0</v>
      </c>
    </row>
    <row r="1011" spans="1:10">
      <c r="A1011" s="85" t="s">
        <v>100</v>
      </c>
      <c r="B1011" s="85" t="s">
        <v>11</v>
      </c>
      <c r="C1011" s="86">
        <v>0.49236111111111103</v>
      </c>
      <c r="D1011" s="87">
        <v>0</v>
      </c>
      <c r="E1011" s="87">
        <v>0</v>
      </c>
      <c r="F1011" s="87">
        <v>0</v>
      </c>
      <c r="G1011" s="87">
        <v>0</v>
      </c>
      <c r="H1011" s="87">
        <v>0</v>
      </c>
      <c r="I1011" s="87">
        <v>0</v>
      </c>
      <c r="J1011" s="87">
        <v>0</v>
      </c>
    </row>
    <row r="1012" spans="1:10">
      <c r="A1012" s="85" t="s">
        <v>100</v>
      </c>
      <c r="B1012" s="85" t="s">
        <v>11</v>
      </c>
      <c r="C1012" s="86">
        <v>0.49305555555555503</v>
      </c>
      <c r="D1012" s="87">
        <v>0</v>
      </c>
      <c r="E1012" s="87">
        <v>0</v>
      </c>
      <c r="F1012" s="87">
        <v>0</v>
      </c>
      <c r="G1012" s="87">
        <v>0</v>
      </c>
      <c r="H1012" s="87">
        <v>0</v>
      </c>
      <c r="I1012" s="87">
        <v>0</v>
      </c>
      <c r="J1012" s="87">
        <v>0</v>
      </c>
    </row>
    <row r="1013" spans="1:10">
      <c r="A1013" s="85" t="s">
        <v>100</v>
      </c>
      <c r="B1013" s="85" t="s">
        <v>11</v>
      </c>
      <c r="C1013" s="86">
        <v>0.49375000000000002</v>
      </c>
      <c r="D1013" s="87">
        <v>0</v>
      </c>
      <c r="E1013" s="87">
        <v>0</v>
      </c>
      <c r="F1013" s="87">
        <v>0</v>
      </c>
      <c r="G1013" s="87">
        <v>0</v>
      </c>
      <c r="H1013" s="87">
        <v>0</v>
      </c>
      <c r="I1013" s="87">
        <v>0</v>
      </c>
      <c r="J1013" s="87">
        <v>0</v>
      </c>
    </row>
    <row r="1014" spans="1:10">
      <c r="A1014" s="85" t="s">
        <v>100</v>
      </c>
      <c r="B1014" s="85" t="s">
        <v>11</v>
      </c>
      <c r="C1014" s="86">
        <v>0.49444444444444402</v>
      </c>
      <c r="D1014" s="87">
        <v>0</v>
      </c>
      <c r="E1014" s="87">
        <v>0</v>
      </c>
      <c r="F1014" s="87">
        <v>0</v>
      </c>
      <c r="G1014" s="87">
        <v>0</v>
      </c>
      <c r="H1014" s="87">
        <v>0</v>
      </c>
      <c r="I1014" s="87">
        <v>0</v>
      </c>
      <c r="J1014" s="87">
        <v>0</v>
      </c>
    </row>
    <row r="1015" spans="1:10">
      <c r="A1015" s="85" t="s">
        <v>100</v>
      </c>
      <c r="B1015" s="85" t="s">
        <v>11</v>
      </c>
      <c r="C1015" s="86">
        <v>0.49513888888888902</v>
      </c>
      <c r="D1015" s="87">
        <v>0</v>
      </c>
      <c r="E1015" s="87">
        <v>0</v>
      </c>
      <c r="F1015" s="87">
        <v>0</v>
      </c>
      <c r="G1015" s="87">
        <v>0</v>
      </c>
      <c r="H1015" s="87">
        <v>0</v>
      </c>
      <c r="I1015" s="87">
        <v>0</v>
      </c>
      <c r="J1015" s="87">
        <v>0</v>
      </c>
    </row>
    <row r="1016" spans="1:10">
      <c r="A1016" s="85" t="s">
        <v>100</v>
      </c>
      <c r="B1016" s="85" t="s">
        <v>11</v>
      </c>
      <c r="C1016" s="86">
        <v>0.49583333333333302</v>
      </c>
      <c r="D1016" s="87">
        <v>0</v>
      </c>
      <c r="E1016" s="87">
        <v>0</v>
      </c>
      <c r="F1016" s="87">
        <v>0</v>
      </c>
      <c r="G1016" s="87">
        <v>0</v>
      </c>
      <c r="H1016" s="87">
        <v>0</v>
      </c>
      <c r="I1016" s="87">
        <v>0</v>
      </c>
      <c r="J1016" s="87">
        <v>0</v>
      </c>
    </row>
    <row r="1017" spans="1:10">
      <c r="A1017" s="85" t="s">
        <v>100</v>
      </c>
      <c r="B1017" s="85" t="s">
        <v>11</v>
      </c>
      <c r="C1017" s="86">
        <v>0.49652777777777801</v>
      </c>
      <c r="D1017" s="87">
        <v>0</v>
      </c>
      <c r="E1017" s="87">
        <v>0</v>
      </c>
      <c r="F1017" s="87">
        <v>0</v>
      </c>
      <c r="G1017" s="87">
        <v>0</v>
      </c>
      <c r="H1017" s="87">
        <v>0</v>
      </c>
      <c r="I1017" s="87">
        <v>0</v>
      </c>
      <c r="J1017" s="87">
        <v>0</v>
      </c>
    </row>
    <row r="1018" spans="1:10">
      <c r="A1018" s="85" t="s">
        <v>100</v>
      </c>
      <c r="B1018" s="85" t="s">
        <v>11</v>
      </c>
      <c r="C1018" s="86">
        <v>0.49722222222222201</v>
      </c>
      <c r="D1018" s="87">
        <v>0</v>
      </c>
      <c r="E1018" s="87">
        <v>0</v>
      </c>
      <c r="F1018" s="87">
        <v>0</v>
      </c>
      <c r="G1018" s="87">
        <v>0</v>
      </c>
      <c r="H1018" s="87">
        <v>0</v>
      </c>
      <c r="I1018" s="87">
        <v>0</v>
      </c>
      <c r="J1018" s="87">
        <v>0</v>
      </c>
    </row>
    <row r="1019" spans="1:10">
      <c r="A1019" s="85" t="s">
        <v>100</v>
      </c>
      <c r="B1019" s="85" t="s">
        <v>11</v>
      </c>
      <c r="C1019" s="86">
        <v>0.49791666666666701</v>
      </c>
      <c r="D1019" s="87">
        <v>0</v>
      </c>
      <c r="E1019" s="87">
        <v>0</v>
      </c>
      <c r="F1019" s="87">
        <v>0</v>
      </c>
      <c r="G1019" s="87">
        <v>0</v>
      </c>
      <c r="H1019" s="87">
        <v>0</v>
      </c>
      <c r="I1019" s="87">
        <v>0</v>
      </c>
      <c r="J1019" s="87">
        <v>0</v>
      </c>
    </row>
    <row r="1020" spans="1:10">
      <c r="A1020" s="85" t="s">
        <v>100</v>
      </c>
      <c r="B1020" s="85" t="s">
        <v>11</v>
      </c>
      <c r="C1020" s="86">
        <v>0.49861111111111101</v>
      </c>
      <c r="D1020" s="87">
        <v>0</v>
      </c>
      <c r="E1020" s="87">
        <v>0</v>
      </c>
      <c r="F1020" s="87">
        <v>0</v>
      </c>
      <c r="G1020" s="87">
        <v>0</v>
      </c>
      <c r="H1020" s="87">
        <v>0</v>
      </c>
      <c r="I1020" s="87">
        <v>0</v>
      </c>
      <c r="J1020" s="87">
        <v>0</v>
      </c>
    </row>
    <row r="1021" spans="1:10" s="78" customFormat="1">
      <c r="A1021" s="88" t="s">
        <v>100</v>
      </c>
      <c r="B1021" s="88" t="s">
        <v>11</v>
      </c>
      <c r="C1021" s="89">
        <v>0.499305555555555</v>
      </c>
      <c r="D1021" s="90">
        <v>0</v>
      </c>
      <c r="E1021" s="90">
        <v>0</v>
      </c>
      <c r="F1021" s="90">
        <v>0</v>
      </c>
      <c r="G1021" s="90">
        <v>0</v>
      </c>
      <c r="H1021" s="90">
        <v>0</v>
      </c>
      <c r="I1021" s="90">
        <v>0</v>
      </c>
      <c r="J1021" s="90">
        <v>0</v>
      </c>
    </row>
    <row r="1022" spans="1:10">
      <c r="A1022" s="85" t="s">
        <v>100</v>
      </c>
      <c r="B1022" s="85" t="s">
        <v>11</v>
      </c>
      <c r="C1022" s="86">
        <v>0.5</v>
      </c>
      <c r="D1022" s="91">
        <v>0</v>
      </c>
      <c r="E1022" s="91">
        <v>0</v>
      </c>
      <c r="F1022" s="91">
        <v>0</v>
      </c>
      <c r="G1022" s="91">
        <v>0</v>
      </c>
      <c r="H1022" s="91">
        <v>0</v>
      </c>
      <c r="I1022" s="91">
        <v>0</v>
      </c>
      <c r="J1022" s="91">
        <v>0</v>
      </c>
    </row>
    <row r="1023" spans="1:10">
      <c r="A1023" s="85" t="s">
        <v>100</v>
      </c>
      <c r="B1023" s="85" t="s">
        <v>11</v>
      </c>
      <c r="C1023" s="86">
        <v>0.500694444444444</v>
      </c>
      <c r="D1023" s="87">
        <v>0</v>
      </c>
      <c r="E1023" s="87">
        <v>0</v>
      </c>
      <c r="F1023" s="87">
        <v>0</v>
      </c>
      <c r="G1023" s="87">
        <v>0</v>
      </c>
      <c r="H1023" s="87">
        <v>0</v>
      </c>
      <c r="I1023" s="87">
        <v>0</v>
      </c>
      <c r="J1023" s="87">
        <v>0</v>
      </c>
    </row>
    <row r="1024" spans="1:10">
      <c r="A1024" s="85" t="s">
        <v>100</v>
      </c>
      <c r="B1024" s="85" t="s">
        <v>11</v>
      </c>
      <c r="C1024" s="86">
        <v>0.50138888888888899</v>
      </c>
      <c r="D1024" s="87">
        <v>0</v>
      </c>
      <c r="E1024" s="87">
        <v>0</v>
      </c>
      <c r="F1024" s="87">
        <v>0</v>
      </c>
      <c r="G1024" s="87">
        <v>0</v>
      </c>
      <c r="H1024" s="87">
        <v>0</v>
      </c>
      <c r="I1024" s="87">
        <v>0</v>
      </c>
      <c r="J1024" s="87">
        <v>0</v>
      </c>
    </row>
    <row r="1025" spans="1:10">
      <c r="A1025" s="85" t="s">
        <v>100</v>
      </c>
      <c r="B1025" s="85" t="s">
        <v>11</v>
      </c>
      <c r="C1025" s="86">
        <v>0.50208333333333299</v>
      </c>
      <c r="D1025" s="87">
        <v>0</v>
      </c>
      <c r="E1025" s="87">
        <v>0</v>
      </c>
      <c r="F1025" s="87">
        <v>0</v>
      </c>
      <c r="G1025" s="87">
        <v>0</v>
      </c>
      <c r="H1025" s="87">
        <v>0</v>
      </c>
      <c r="I1025" s="87">
        <v>0</v>
      </c>
      <c r="J1025" s="87">
        <v>0</v>
      </c>
    </row>
    <row r="1026" spans="1:10">
      <c r="A1026" s="85" t="s">
        <v>100</v>
      </c>
      <c r="B1026" s="85" t="s">
        <v>11</v>
      </c>
      <c r="C1026" s="86">
        <v>0.50277777777777799</v>
      </c>
      <c r="D1026" s="87">
        <v>0</v>
      </c>
      <c r="E1026" s="87">
        <v>0</v>
      </c>
      <c r="F1026" s="87">
        <v>0</v>
      </c>
      <c r="G1026" s="87">
        <v>0</v>
      </c>
      <c r="H1026" s="87">
        <v>0</v>
      </c>
      <c r="I1026" s="87">
        <v>0</v>
      </c>
      <c r="J1026" s="87">
        <v>0</v>
      </c>
    </row>
    <row r="1027" spans="1:10">
      <c r="A1027" s="85" t="s">
        <v>100</v>
      </c>
      <c r="B1027" s="85" t="s">
        <v>11</v>
      </c>
      <c r="C1027" s="86">
        <v>0.50347222222222199</v>
      </c>
      <c r="D1027" s="87">
        <v>0</v>
      </c>
      <c r="E1027" s="87">
        <v>0</v>
      </c>
      <c r="F1027" s="87">
        <v>0</v>
      </c>
      <c r="G1027" s="87">
        <v>0</v>
      </c>
      <c r="H1027" s="87">
        <v>0</v>
      </c>
      <c r="I1027" s="87">
        <v>0</v>
      </c>
      <c r="J1027" s="87">
        <v>0</v>
      </c>
    </row>
    <row r="1028" spans="1:10">
      <c r="A1028" s="85" t="s">
        <v>100</v>
      </c>
      <c r="B1028" s="85" t="s">
        <v>11</v>
      </c>
      <c r="C1028" s="86">
        <v>0.50416666666666698</v>
      </c>
      <c r="D1028" s="87">
        <v>0</v>
      </c>
      <c r="E1028" s="87">
        <v>0</v>
      </c>
      <c r="F1028" s="87">
        <v>0</v>
      </c>
      <c r="G1028" s="87">
        <v>0</v>
      </c>
      <c r="H1028" s="87">
        <v>0</v>
      </c>
      <c r="I1028" s="87">
        <v>0</v>
      </c>
      <c r="J1028" s="87">
        <v>0</v>
      </c>
    </row>
    <row r="1029" spans="1:10">
      <c r="A1029" s="85" t="s">
        <v>100</v>
      </c>
      <c r="B1029" s="85" t="s">
        <v>11</v>
      </c>
      <c r="C1029" s="86">
        <v>0.50486111111111098</v>
      </c>
      <c r="D1029" s="87">
        <v>0</v>
      </c>
      <c r="E1029" s="87">
        <v>0</v>
      </c>
      <c r="F1029" s="87">
        <v>0</v>
      </c>
      <c r="G1029" s="87">
        <v>0</v>
      </c>
      <c r="H1029" s="87">
        <v>0</v>
      </c>
      <c r="I1029" s="87">
        <v>0</v>
      </c>
      <c r="J1029" s="87">
        <v>0</v>
      </c>
    </row>
    <row r="1030" spans="1:10">
      <c r="A1030" s="85" t="s">
        <v>100</v>
      </c>
      <c r="B1030" s="85" t="s">
        <v>11</v>
      </c>
      <c r="C1030" s="86">
        <v>0.50555555555555498</v>
      </c>
      <c r="D1030" s="87">
        <v>0</v>
      </c>
      <c r="E1030" s="87">
        <v>0</v>
      </c>
      <c r="F1030" s="87">
        <v>0</v>
      </c>
      <c r="G1030" s="87">
        <v>0</v>
      </c>
      <c r="H1030" s="87">
        <v>0</v>
      </c>
      <c r="I1030" s="87">
        <v>0</v>
      </c>
      <c r="J1030" s="87">
        <v>0</v>
      </c>
    </row>
    <row r="1031" spans="1:10">
      <c r="A1031" s="85" t="s">
        <v>100</v>
      </c>
      <c r="B1031" s="85" t="s">
        <v>11</v>
      </c>
      <c r="C1031" s="86">
        <v>0.50624999999999998</v>
      </c>
      <c r="D1031" s="87">
        <v>0</v>
      </c>
      <c r="E1031" s="87">
        <v>0</v>
      </c>
      <c r="F1031" s="87">
        <v>0</v>
      </c>
      <c r="G1031" s="87">
        <v>0</v>
      </c>
      <c r="H1031" s="87">
        <v>0</v>
      </c>
      <c r="I1031" s="87">
        <v>0</v>
      </c>
      <c r="J1031" s="87">
        <v>0</v>
      </c>
    </row>
    <row r="1032" spans="1:10">
      <c r="A1032" s="85" t="s">
        <v>100</v>
      </c>
      <c r="B1032" s="85" t="s">
        <v>11</v>
      </c>
      <c r="C1032" s="86">
        <v>0.50694444444444398</v>
      </c>
      <c r="D1032" s="87">
        <v>0</v>
      </c>
      <c r="E1032" s="87">
        <v>0</v>
      </c>
      <c r="F1032" s="87">
        <v>0</v>
      </c>
      <c r="G1032" s="87">
        <v>0</v>
      </c>
      <c r="H1032" s="87">
        <v>0</v>
      </c>
      <c r="I1032" s="87">
        <v>0</v>
      </c>
      <c r="J1032" s="87">
        <v>0</v>
      </c>
    </row>
    <row r="1033" spans="1:10">
      <c r="A1033" s="85" t="s">
        <v>100</v>
      </c>
      <c r="B1033" s="85" t="s">
        <v>11</v>
      </c>
      <c r="C1033" s="86">
        <v>0.50763888888888897</v>
      </c>
      <c r="D1033" s="87">
        <v>0</v>
      </c>
      <c r="E1033" s="87">
        <v>0</v>
      </c>
      <c r="F1033" s="87">
        <v>0</v>
      </c>
      <c r="G1033" s="87">
        <v>0</v>
      </c>
      <c r="H1033" s="87">
        <v>0</v>
      </c>
      <c r="I1033" s="87">
        <v>0</v>
      </c>
      <c r="J1033" s="87">
        <v>0</v>
      </c>
    </row>
    <row r="1034" spans="1:10">
      <c r="A1034" s="85" t="s">
        <v>100</v>
      </c>
      <c r="B1034" s="85" t="s">
        <v>11</v>
      </c>
      <c r="C1034" s="86">
        <v>0.50833333333333297</v>
      </c>
      <c r="D1034" s="87">
        <v>0</v>
      </c>
      <c r="E1034" s="87">
        <v>0</v>
      </c>
      <c r="F1034" s="87">
        <v>0</v>
      </c>
      <c r="G1034" s="87">
        <v>0</v>
      </c>
      <c r="H1034" s="87">
        <v>0</v>
      </c>
      <c r="I1034" s="87">
        <v>0</v>
      </c>
      <c r="J1034" s="87">
        <v>0</v>
      </c>
    </row>
    <row r="1035" spans="1:10">
      <c r="A1035" s="85" t="s">
        <v>100</v>
      </c>
      <c r="B1035" s="85" t="s">
        <v>11</v>
      </c>
      <c r="C1035" s="86">
        <v>0.50902777777777797</v>
      </c>
      <c r="D1035" s="87">
        <v>0</v>
      </c>
      <c r="E1035" s="87">
        <v>0</v>
      </c>
      <c r="F1035" s="87">
        <v>0</v>
      </c>
      <c r="G1035" s="87">
        <v>0</v>
      </c>
      <c r="H1035" s="87">
        <v>0</v>
      </c>
      <c r="I1035" s="87">
        <v>0</v>
      </c>
      <c r="J1035" s="87">
        <v>0</v>
      </c>
    </row>
    <row r="1036" spans="1:10" s="78" customFormat="1">
      <c r="A1036" s="88" t="s">
        <v>100</v>
      </c>
      <c r="B1036" s="88" t="s">
        <v>11</v>
      </c>
      <c r="C1036" s="89">
        <v>0.50972222222222197</v>
      </c>
      <c r="D1036" s="90">
        <v>0</v>
      </c>
      <c r="E1036" s="90">
        <v>0</v>
      </c>
      <c r="F1036" s="90">
        <v>0</v>
      </c>
      <c r="G1036" s="90">
        <v>0</v>
      </c>
      <c r="H1036" s="90">
        <v>0</v>
      </c>
      <c r="I1036" s="90">
        <v>0</v>
      </c>
      <c r="J1036" s="90">
        <v>0</v>
      </c>
    </row>
    <row r="1037" spans="1:10">
      <c r="A1037" s="85" t="s">
        <v>100</v>
      </c>
      <c r="B1037" s="85" t="s">
        <v>11</v>
      </c>
      <c r="C1037" s="86">
        <v>0.51041666666666596</v>
      </c>
      <c r="D1037" s="91">
        <v>0</v>
      </c>
      <c r="E1037" s="91">
        <v>0</v>
      </c>
      <c r="F1037" s="91">
        <v>0</v>
      </c>
      <c r="G1037" s="91">
        <v>0</v>
      </c>
      <c r="H1037" s="91">
        <v>0</v>
      </c>
      <c r="I1037" s="91">
        <v>0</v>
      </c>
      <c r="J1037" s="91">
        <v>0</v>
      </c>
    </row>
    <row r="1038" spans="1:10">
      <c r="A1038" s="85" t="s">
        <v>100</v>
      </c>
      <c r="B1038" s="85" t="s">
        <v>11</v>
      </c>
      <c r="C1038" s="86">
        <v>0.51111111111111096</v>
      </c>
      <c r="D1038" s="87">
        <v>0</v>
      </c>
      <c r="E1038" s="87">
        <v>0</v>
      </c>
      <c r="F1038" s="87">
        <v>0</v>
      </c>
      <c r="G1038" s="87">
        <v>0</v>
      </c>
      <c r="H1038" s="87">
        <v>0</v>
      </c>
      <c r="I1038" s="87">
        <v>0</v>
      </c>
      <c r="J1038" s="87">
        <v>0</v>
      </c>
    </row>
    <row r="1039" spans="1:10">
      <c r="A1039" s="85" t="s">
        <v>100</v>
      </c>
      <c r="B1039" s="85" t="s">
        <v>11</v>
      </c>
      <c r="C1039" s="86">
        <v>0.51180555555555496</v>
      </c>
      <c r="D1039" s="87">
        <v>0</v>
      </c>
      <c r="E1039" s="87">
        <v>0</v>
      </c>
      <c r="F1039" s="87">
        <v>0</v>
      </c>
      <c r="G1039" s="87">
        <v>0</v>
      </c>
      <c r="H1039" s="87">
        <v>0</v>
      </c>
      <c r="I1039" s="87">
        <v>0</v>
      </c>
      <c r="J1039" s="87">
        <v>0</v>
      </c>
    </row>
    <row r="1040" spans="1:10">
      <c r="A1040" s="85" t="s">
        <v>100</v>
      </c>
      <c r="B1040" s="85" t="s">
        <v>11</v>
      </c>
      <c r="C1040" s="86">
        <v>0.51249999999999996</v>
      </c>
      <c r="D1040" s="87">
        <v>0</v>
      </c>
      <c r="E1040" s="87">
        <v>0</v>
      </c>
      <c r="F1040" s="87">
        <v>0</v>
      </c>
      <c r="G1040" s="87">
        <v>0</v>
      </c>
      <c r="H1040" s="87">
        <v>0</v>
      </c>
      <c r="I1040" s="87">
        <v>0</v>
      </c>
      <c r="J1040" s="87">
        <v>0</v>
      </c>
    </row>
    <row r="1041" spans="1:10">
      <c r="A1041" s="85" t="s">
        <v>100</v>
      </c>
      <c r="B1041" s="85" t="s">
        <v>11</v>
      </c>
      <c r="C1041" s="86">
        <v>0.51319444444444395</v>
      </c>
      <c r="D1041" s="87">
        <v>0</v>
      </c>
      <c r="E1041" s="87">
        <v>0</v>
      </c>
      <c r="F1041" s="87">
        <v>0</v>
      </c>
      <c r="G1041" s="87">
        <v>0</v>
      </c>
      <c r="H1041" s="87">
        <v>0</v>
      </c>
      <c r="I1041" s="87">
        <v>0</v>
      </c>
      <c r="J1041" s="87">
        <v>0</v>
      </c>
    </row>
    <row r="1042" spans="1:10">
      <c r="A1042" s="85" t="s">
        <v>100</v>
      </c>
      <c r="B1042" s="85" t="s">
        <v>11</v>
      </c>
      <c r="C1042" s="86">
        <v>0.51388888888888895</v>
      </c>
      <c r="D1042" s="87">
        <v>0</v>
      </c>
      <c r="E1042" s="87">
        <v>0</v>
      </c>
      <c r="F1042" s="87">
        <v>0</v>
      </c>
      <c r="G1042" s="87">
        <v>0</v>
      </c>
      <c r="H1042" s="87">
        <v>0</v>
      </c>
      <c r="I1042" s="87">
        <v>0</v>
      </c>
      <c r="J1042" s="87">
        <v>0</v>
      </c>
    </row>
    <row r="1043" spans="1:10">
      <c r="A1043" s="85" t="s">
        <v>100</v>
      </c>
      <c r="B1043" s="85" t="s">
        <v>11</v>
      </c>
      <c r="C1043" s="86">
        <v>0.51458333333333295</v>
      </c>
      <c r="D1043" s="87">
        <v>0</v>
      </c>
      <c r="E1043" s="87">
        <v>0</v>
      </c>
      <c r="F1043" s="87">
        <v>0</v>
      </c>
      <c r="G1043" s="87">
        <v>0</v>
      </c>
      <c r="H1043" s="87">
        <v>0</v>
      </c>
      <c r="I1043" s="87">
        <v>0</v>
      </c>
      <c r="J1043" s="87">
        <v>0</v>
      </c>
    </row>
    <row r="1044" spans="1:10">
      <c r="A1044" s="85" t="s">
        <v>100</v>
      </c>
      <c r="B1044" s="85" t="s">
        <v>11</v>
      </c>
      <c r="C1044" s="86">
        <v>0.51527777777777795</v>
      </c>
      <c r="D1044" s="87">
        <v>0</v>
      </c>
      <c r="E1044" s="87">
        <v>0</v>
      </c>
      <c r="F1044" s="87">
        <v>0</v>
      </c>
      <c r="G1044" s="87">
        <v>0</v>
      </c>
      <c r="H1044" s="87">
        <v>0</v>
      </c>
      <c r="I1044" s="87">
        <v>0</v>
      </c>
      <c r="J1044" s="87">
        <v>0</v>
      </c>
    </row>
    <row r="1045" spans="1:10">
      <c r="A1045" s="85" t="s">
        <v>100</v>
      </c>
      <c r="B1045" s="85" t="s">
        <v>11</v>
      </c>
      <c r="C1045" s="86">
        <v>0.51597222222222205</v>
      </c>
      <c r="D1045" s="87">
        <v>0</v>
      </c>
      <c r="E1045" s="87">
        <v>0</v>
      </c>
      <c r="F1045" s="87">
        <v>0</v>
      </c>
      <c r="G1045" s="87">
        <v>0</v>
      </c>
      <c r="H1045" s="87">
        <v>0</v>
      </c>
      <c r="I1045" s="87">
        <v>0</v>
      </c>
      <c r="J1045" s="87">
        <v>0</v>
      </c>
    </row>
    <row r="1046" spans="1:10">
      <c r="A1046" s="85" t="s">
        <v>100</v>
      </c>
      <c r="B1046" s="85" t="s">
        <v>11</v>
      </c>
      <c r="C1046" s="86">
        <v>0.51666666666666605</v>
      </c>
      <c r="D1046" s="87">
        <v>0</v>
      </c>
      <c r="E1046" s="87">
        <v>0</v>
      </c>
      <c r="F1046" s="87">
        <v>0</v>
      </c>
      <c r="G1046" s="87">
        <v>0</v>
      </c>
      <c r="H1046" s="87">
        <v>0</v>
      </c>
      <c r="I1046" s="87">
        <v>0</v>
      </c>
      <c r="J1046" s="87">
        <v>0</v>
      </c>
    </row>
    <row r="1047" spans="1:10">
      <c r="A1047" s="85" t="s">
        <v>100</v>
      </c>
      <c r="B1047" s="85" t="s">
        <v>11</v>
      </c>
      <c r="C1047" s="86">
        <v>0.51736111111111105</v>
      </c>
      <c r="D1047" s="87">
        <v>0</v>
      </c>
      <c r="E1047" s="87">
        <v>0</v>
      </c>
      <c r="F1047" s="87">
        <v>0</v>
      </c>
      <c r="G1047" s="87">
        <v>0</v>
      </c>
      <c r="H1047" s="87">
        <v>0</v>
      </c>
      <c r="I1047" s="87">
        <v>0</v>
      </c>
      <c r="J1047" s="87">
        <v>0</v>
      </c>
    </row>
    <row r="1048" spans="1:10">
      <c r="A1048" s="85" t="s">
        <v>100</v>
      </c>
      <c r="B1048" s="85" t="s">
        <v>11</v>
      </c>
      <c r="C1048" s="86">
        <v>0.51805555555555505</v>
      </c>
      <c r="D1048" s="87">
        <v>0</v>
      </c>
      <c r="E1048" s="87">
        <v>0</v>
      </c>
      <c r="F1048" s="87">
        <v>0</v>
      </c>
      <c r="G1048" s="87">
        <v>0</v>
      </c>
      <c r="H1048" s="87">
        <v>0</v>
      </c>
      <c r="I1048" s="87">
        <v>0</v>
      </c>
      <c r="J1048" s="87">
        <v>0</v>
      </c>
    </row>
    <row r="1049" spans="1:10">
      <c r="A1049" s="85" t="s">
        <v>100</v>
      </c>
      <c r="B1049" s="85" t="s">
        <v>11</v>
      </c>
      <c r="C1049" s="86">
        <v>0.51875000000000004</v>
      </c>
      <c r="D1049" s="87">
        <v>0</v>
      </c>
      <c r="E1049" s="87">
        <v>0</v>
      </c>
      <c r="F1049" s="87">
        <v>0</v>
      </c>
      <c r="G1049" s="87">
        <v>0</v>
      </c>
      <c r="H1049" s="87">
        <v>0</v>
      </c>
      <c r="I1049" s="87">
        <v>0</v>
      </c>
      <c r="J1049" s="87">
        <v>0</v>
      </c>
    </row>
    <row r="1050" spans="1:10">
      <c r="A1050" s="85" t="s">
        <v>100</v>
      </c>
      <c r="B1050" s="85" t="s">
        <v>11</v>
      </c>
      <c r="C1050" s="86">
        <v>0.51944444444444404</v>
      </c>
      <c r="D1050" s="87">
        <v>0</v>
      </c>
      <c r="E1050" s="87">
        <v>0</v>
      </c>
      <c r="F1050" s="87">
        <v>0</v>
      </c>
      <c r="G1050" s="87">
        <v>0</v>
      </c>
      <c r="H1050" s="87">
        <v>0</v>
      </c>
      <c r="I1050" s="87">
        <v>0</v>
      </c>
      <c r="J1050" s="87">
        <v>0</v>
      </c>
    </row>
    <row r="1051" spans="1:10" s="78" customFormat="1">
      <c r="A1051" s="88" t="s">
        <v>100</v>
      </c>
      <c r="B1051" s="88" t="s">
        <v>11</v>
      </c>
      <c r="C1051" s="89">
        <v>0.52013888888888904</v>
      </c>
      <c r="D1051" s="90">
        <v>0</v>
      </c>
      <c r="E1051" s="90">
        <v>0</v>
      </c>
      <c r="F1051" s="90">
        <v>0</v>
      </c>
      <c r="G1051" s="90">
        <v>0</v>
      </c>
      <c r="H1051" s="90">
        <v>0</v>
      </c>
      <c r="I1051" s="90">
        <v>0</v>
      </c>
      <c r="J1051" s="90">
        <v>0</v>
      </c>
    </row>
    <row r="1052" spans="1:10">
      <c r="A1052" s="85" t="s">
        <v>100</v>
      </c>
      <c r="B1052" s="85" t="s">
        <v>11</v>
      </c>
      <c r="C1052" s="86">
        <v>0.52083333333333304</v>
      </c>
      <c r="D1052" s="87">
        <v>0</v>
      </c>
      <c r="E1052" s="87">
        <v>0</v>
      </c>
      <c r="F1052" s="87">
        <v>0</v>
      </c>
      <c r="G1052" s="87">
        <v>0</v>
      </c>
      <c r="H1052" s="87">
        <v>0</v>
      </c>
      <c r="I1052" s="87">
        <v>0</v>
      </c>
      <c r="J1052" s="87">
        <v>0</v>
      </c>
    </row>
    <row r="1053" spans="1:10">
      <c r="A1053" s="85" t="s">
        <v>100</v>
      </c>
      <c r="B1053" s="85" t="s">
        <v>11</v>
      </c>
      <c r="C1053" s="86">
        <v>0.52152777777777704</v>
      </c>
      <c r="D1053" s="87">
        <v>0</v>
      </c>
      <c r="E1053" s="87">
        <v>0</v>
      </c>
      <c r="F1053" s="87">
        <v>0</v>
      </c>
      <c r="G1053" s="87">
        <v>0</v>
      </c>
      <c r="H1053" s="87">
        <v>0</v>
      </c>
      <c r="I1053" s="87">
        <v>0</v>
      </c>
      <c r="J1053" s="87">
        <v>0</v>
      </c>
    </row>
    <row r="1054" spans="1:10">
      <c r="A1054" s="85" t="s">
        <v>100</v>
      </c>
      <c r="B1054" s="85" t="s">
        <v>11</v>
      </c>
      <c r="C1054" s="86">
        <v>0.52222222222222203</v>
      </c>
      <c r="D1054" s="87">
        <v>0</v>
      </c>
      <c r="E1054" s="87">
        <v>0</v>
      </c>
      <c r="F1054" s="87">
        <v>0</v>
      </c>
      <c r="G1054" s="87">
        <v>0</v>
      </c>
      <c r="H1054" s="87">
        <v>0</v>
      </c>
      <c r="I1054" s="87">
        <v>0</v>
      </c>
      <c r="J1054" s="87">
        <v>0</v>
      </c>
    </row>
    <row r="1055" spans="1:10">
      <c r="A1055" s="85" t="s">
        <v>100</v>
      </c>
      <c r="B1055" s="85" t="s">
        <v>11</v>
      </c>
      <c r="C1055" s="86">
        <v>0.52291666666666603</v>
      </c>
      <c r="D1055" s="87">
        <v>0</v>
      </c>
      <c r="E1055" s="87">
        <v>0</v>
      </c>
      <c r="F1055" s="87">
        <v>0</v>
      </c>
      <c r="G1055" s="87">
        <v>0</v>
      </c>
      <c r="H1055" s="87">
        <v>0</v>
      </c>
      <c r="I1055" s="87">
        <v>0</v>
      </c>
      <c r="J1055" s="87">
        <v>0</v>
      </c>
    </row>
    <row r="1056" spans="1:10">
      <c r="A1056" s="85" t="s">
        <v>100</v>
      </c>
      <c r="B1056" s="85" t="s">
        <v>11</v>
      </c>
      <c r="C1056" s="86">
        <v>0.52361111111111103</v>
      </c>
      <c r="D1056" s="87">
        <v>0</v>
      </c>
      <c r="E1056" s="87">
        <v>0</v>
      </c>
      <c r="F1056" s="87">
        <v>0</v>
      </c>
      <c r="G1056" s="87">
        <v>0</v>
      </c>
      <c r="H1056" s="87">
        <v>0</v>
      </c>
      <c r="I1056" s="87">
        <v>0</v>
      </c>
      <c r="J1056" s="87">
        <v>0</v>
      </c>
    </row>
    <row r="1057" spans="1:10">
      <c r="A1057" s="85" t="s">
        <v>100</v>
      </c>
      <c r="B1057" s="85" t="s">
        <v>11</v>
      </c>
      <c r="C1057" s="86">
        <v>0.52430555555555503</v>
      </c>
      <c r="D1057" s="87">
        <v>0</v>
      </c>
      <c r="E1057" s="87">
        <v>0</v>
      </c>
      <c r="F1057" s="87">
        <v>0</v>
      </c>
      <c r="G1057" s="87">
        <v>0</v>
      </c>
      <c r="H1057" s="87">
        <v>0</v>
      </c>
      <c r="I1057" s="87">
        <v>0</v>
      </c>
      <c r="J1057" s="87">
        <v>0</v>
      </c>
    </row>
    <row r="1058" spans="1:10">
      <c r="A1058" s="85" t="s">
        <v>100</v>
      </c>
      <c r="B1058" s="85" t="s">
        <v>11</v>
      </c>
      <c r="C1058" s="86">
        <v>0.52500000000000002</v>
      </c>
      <c r="D1058" s="87">
        <v>0</v>
      </c>
      <c r="E1058" s="87">
        <v>0</v>
      </c>
      <c r="F1058" s="87">
        <v>0</v>
      </c>
      <c r="G1058" s="87">
        <v>0</v>
      </c>
      <c r="H1058" s="87">
        <v>0</v>
      </c>
      <c r="I1058" s="87">
        <v>0</v>
      </c>
      <c r="J1058" s="87">
        <v>0</v>
      </c>
    </row>
    <row r="1059" spans="1:10">
      <c r="A1059" s="85" t="s">
        <v>100</v>
      </c>
      <c r="B1059" s="85" t="s">
        <v>11</v>
      </c>
      <c r="C1059" s="86">
        <v>0.52569444444444402</v>
      </c>
      <c r="D1059" s="87">
        <v>0</v>
      </c>
      <c r="E1059" s="87">
        <v>0</v>
      </c>
      <c r="F1059" s="87">
        <v>0</v>
      </c>
      <c r="G1059" s="87">
        <v>0</v>
      </c>
      <c r="H1059" s="87">
        <v>0</v>
      </c>
      <c r="I1059" s="87">
        <v>0</v>
      </c>
      <c r="J1059" s="87">
        <v>0</v>
      </c>
    </row>
    <row r="1060" spans="1:10">
      <c r="A1060" s="85" t="s">
        <v>100</v>
      </c>
      <c r="B1060" s="85" t="s">
        <v>11</v>
      </c>
      <c r="C1060" s="86">
        <v>0.52638888888888902</v>
      </c>
      <c r="D1060" s="87">
        <v>0</v>
      </c>
      <c r="E1060" s="87">
        <v>0</v>
      </c>
      <c r="F1060" s="87">
        <v>0</v>
      </c>
      <c r="G1060" s="87">
        <v>0</v>
      </c>
      <c r="H1060" s="87">
        <v>0</v>
      </c>
      <c r="I1060" s="87">
        <v>0</v>
      </c>
      <c r="J1060" s="87">
        <v>0</v>
      </c>
    </row>
    <row r="1061" spans="1:10">
      <c r="A1061" s="85" t="s">
        <v>100</v>
      </c>
      <c r="B1061" s="85" t="s">
        <v>11</v>
      </c>
      <c r="C1061" s="86">
        <v>0.52708333333333302</v>
      </c>
      <c r="D1061" s="87">
        <v>0</v>
      </c>
      <c r="E1061" s="87">
        <v>0</v>
      </c>
      <c r="F1061" s="87">
        <v>0</v>
      </c>
      <c r="G1061" s="87">
        <v>0</v>
      </c>
      <c r="H1061" s="87">
        <v>0</v>
      </c>
      <c r="I1061" s="87">
        <v>0</v>
      </c>
      <c r="J1061" s="87">
        <v>0</v>
      </c>
    </row>
    <row r="1062" spans="1:10">
      <c r="A1062" s="85" t="s">
        <v>100</v>
      </c>
      <c r="B1062" s="85" t="s">
        <v>11</v>
      </c>
      <c r="C1062" s="86">
        <v>0.52777777777777701</v>
      </c>
      <c r="D1062" s="87">
        <v>0</v>
      </c>
      <c r="E1062" s="87">
        <v>0</v>
      </c>
      <c r="F1062" s="87">
        <v>0</v>
      </c>
      <c r="G1062" s="87">
        <v>0</v>
      </c>
      <c r="H1062" s="87">
        <v>0</v>
      </c>
      <c r="I1062" s="87">
        <v>0</v>
      </c>
      <c r="J1062" s="87">
        <v>0</v>
      </c>
    </row>
    <row r="1063" spans="1:10">
      <c r="A1063" s="85" t="s">
        <v>100</v>
      </c>
      <c r="B1063" s="85" t="s">
        <v>11</v>
      </c>
      <c r="C1063" s="86">
        <v>0.52847222222222201</v>
      </c>
      <c r="D1063" s="87">
        <v>0</v>
      </c>
      <c r="E1063" s="87">
        <v>0</v>
      </c>
      <c r="F1063" s="87">
        <v>0</v>
      </c>
      <c r="G1063" s="87">
        <v>0</v>
      </c>
      <c r="H1063" s="87">
        <v>0</v>
      </c>
      <c r="I1063" s="87">
        <v>0</v>
      </c>
      <c r="J1063" s="87">
        <v>0</v>
      </c>
    </row>
    <row r="1064" spans="1:10">
      <c r="A1064" s="85" t="s">
        <v>100</v>
      </c>
      <c r="B1064" s="85" t="s">
        <v>11</v>
      </c>
      <c r="C1064" s="86">
        <v>0.52916666666666601</v>
      </c>
      <c r="D1064" s="87">
        <v>0</v>
      </c>
      <c r="E1064" s="87">
        <v>0</v>
      </c>
      <c r="F1064" s="87">
        <v>0</v>
      </c>
      <c r="G1064" s="87">
        <v>0</v>
      </c>
      <c r="H1064" s="87">
        <v>0</v>
      </c>
      <c r="I1064" s="87">
        <v>0</v>
      </c>
      <c r="J1064" s="87">
        <v>0</v>
      </c>
    </row>
    <row r="1065" spans="1:10">
      <c r="A1065" s="85" t="s">
        <v>100</v>
      </c>
      <c r="B1065" s="85" t="s">
        <v>11</v>
      </c>
      <c r="C1065" s="86">
        <v>0.52986111111111101</v>
      </c>
      <c r="D1065" s="87">
        <v>0</v>
      </c>
      <c r="E1065" s="87">
        <v>0</v>
      </c>
      <c r="F1065" s="87">
        <v>0</v>
      </c>
      <c r="G1065" s="87">
        <v>0</v>
      </c>
      <c r="H1065" s="87">
        <v>0</v>
      </c>
      <c r="I1065" s="87">
        <v>0</v>
      </c>
      <c r="J1065" s="87">
        <v>0</v>
      </c>
    </row>
    <row r="1066" spans="1:10" s="78" customFormat="1">
      <c r="A1066" s="88" t="s">
        <v>100</v>
      </c>
      <c r="B1066" s="88" t="s">
        <v>11</v>
      </c>
      <c r="C1066" s="89">
        <v>0.530555555555555</v>
      </c>
      <c r="D1066" s="90">
        <v>0</v>
      </c>
      <c r="E1066" s="90">
        <v>0</v>
      </c>
      <c r="F1066" s="90">
        <v>0</v>
      </c>
      <c r="G1066" s="90">
        <v>0</v>
      </c>
      <c r="H1066" s="90">
        <v>0</v>
      </c>
      <c r="I1066" s="90">
        <v>0</v>
      </c>
      <c r="J1066" s="90">
        <v>0</v>
      </c>
    </row>
    <row r="1067" spans="1:10">
      <c r="A1067" s="85" t="s">
        <v>100</v>
      </c>
      <c r="B1067" s="85" t="s">
        <v>11</v>
      </c>
      <c r="C1067" s="86">
        <v>0.53125</v>
      </c>
      <c r="D1067" s="91">
        <v>0</v>
      </c>
      <c r="E1067" s="91">
        <v>0</v>
      </c>
      <c r="F1067" s="91">
        <v>0</v>
      </c>
      <c r="G1067" s="91">
        <v>0</v>
      </c>
      <c r="H1067" s="91">
        <v>0</v>
      </c>
      <c r="I1067" s="91">
        <v>0</v>
      </c>
      <c r="J1067" s="91">
        <v>0</v>
      </c>
    </row>
    <row r="1068" spans="1:10">
      <c r="A1068" s="85" t="s">
        <v>100</v>
      </c>
      <c r="B1068" s="85" t="s">
        <v>11</v>
      </c>
      <c r="C1068" s="86">
        <v>0.531944444444444</v>
      </c>
      <c r="D1068" s="87">
        <v>0</v>
      </c>
      <c r="E1068" s="87">
        <v>0</v>
      </c>
      <c r="F1068" s="87">
        <v>0</v>
      </c>
      <c r="G1068" s="87">
        <v>0</v>
      </c>
      <c r="H1068" s="87">
        <v>0</v>
      </c>
      <c r="I1068" s="87">
        <v>0</v>
      </c>
      <c r="J1068" s="87">
        <v>0</v>
      </c>
    </row>
    <row r="1069" spans="1:10">
      <c r="A1069" s="85" t="s">
        <v>100</v>
      </c>
      <c r="B1069" s="85" t="s">
        <v>11</v>
      </c>
      <c r="C1069" s="86">
        <v>0.53263888888888899</v>
      </c>
      <c r="D1069" s="87">
        <v>0</v>
      </c>
      <c r="E1069" s="87">
        <v>0</v>
      </c>
      <c r="F1069" s="87">
        <v>0</v>
      </c>
      <c r="G1069" s="87">
        <v>0</v>
      </c>
      <c r="H1069" s="87">
        <v>0</v>
      </c>
      <c r="I1069" s="87">
        <v>0</v>
      </c>
      <c r="J1069" s="87">
        <v>0</v>
      </c>
    </row>
    <row r="1070" spans="1:10">
      <c r="A1070" s="85" t="s">
        <v>100</v>
      </c>
      <c r="B1070" s="85" t="s">
        <v>11</v>
      </c>
      <c r="C1070" s="86">
        <v>0.53333333333333299</v>
      </c>
      <c r="D1070" s="87">
        <v>0</v>
      </c>
      <c r="E1070" s="87">
        <v>0</v>
      </c>
      <c r="F1070" s="87">
        <v>0</v>
      </c>
      <c r="G1070" s="87">
        <v>0</v>
      </c>
      <c r="H1070" s="87">
        <v>0</v>
      </c>
      <c r="I1070" s="87">
        <v>0</v>
      </c>
      <c r="J1070" s="87">
        <v>0</v>
      </c>
    </row>
    <row r="1071" spans="1:10">
      <c r="A1071" s="85" t="s">
        <v>100</v>
      </c>
      <c r="B1071" s="85" t="s">
        <v>11</v>
      </c>
      <c r="C1071" s="86">
        <v>0.53402777777777799</v>
      </c>
      <c r="D1071" s="87">
        <v>0</v>
      </c>
      <c r="E1071" s="87">
        <v>0</v>
      </c>
      <c r="F1071" s="87">
        <v>0</v>
      </c>
      <c r="G1071" s="87">
        <v>0</v>
      </c>
      <c r="H1071" s="87">
        <v>0</v>
      </c>
      <c r="I1071" s="87">
        <v>0</v>
      </c>
      <c r="J1071" s="87">
        <v>0</v>
      </c>
    </row>
    <row r="1072" spans="1:10">
      <c r="A1072" s="85" t="s">
        <v>100</v>
      </c>
      <c r="B1072" s="85" t="s">
        <v>11</v>
      </c>
      <c r="C1072" s="86">
        <v>0.53472222222222199</v>
      </c>
      <c r="D1072" s="87">
        <v>0</v>
      </c>
      <c r="E1072" s="87">
        <v>0</v>
      </c>
      <c r="F1072" s="87">
        <v>0</v>
      </c>
      <c r="G1072" s="87">
        <v>0</v>
      </c>
      <c r="H1072" s="87">
        <v>0</v>
      </c>
      <c r="I1072" s="87">
        <v>0</v>
      </c>
      <c r="J1072" s="87">
        <v>0</v>
      </c>
    </row>
    <row r="1073" spans="1:10">
      <c r="A1073" s="85" t="s">
        <v>100</v>
      </c>
      <c r="B1073" s="85" t="s">
        <v>11</v>
      </c>
      <c r="C1073" s="86">
        <v>0.53541666666666599</v>
      </c>
      <c r="D1073" s="87">
        <v>0</v>
      </c>
      <c r="E1073" s="87">
        <v>0</v>
      </c>
      <c r="F1073" s="87">
        <v>0</v>
      </c>
      <c r="G1073" s="87">
        <v>0</v>
      </c>
      <c r="H1073" s="87">
        <v>0</v>
      </c>
      <c r="I1073" s="87">
        <v>0</v>
      </c>
      <c r="J1073" s="87">
        <v>0</v>
      </c>
    </row>
    <row r="1074" spans="1:10">
      <c r="A1074" s="85" t="s">
        <v>100</v>
      </c>
      <c r="B1074" s="85" t="s">
        <v>11</v>
      </c>
      <c r="C1074" s="86">
        <v>0.53611111111111098</v>
      </c>
      <c r="D1074" s="87">
        <v>0</v>
      </c>
      <c r="E1074" s="87">
        <v>0</v>
      </c>
      <c r="F1074" s="87">
        <v>0</v>
      </c>
      <c r="G1074" s="87">
        <v>0</v>
      </c>
      <c r="H1074" s="87">
        <v>0</v>
      </c>
      <c r="I1074" s="87">
        <v>0</v>
      </c>
      <c r="J1074" s="87">
        <v>0</v>
      </c>
    </row>
    <row r="1075" spans="1:10">
      <c r="A1075" s="85" t="s">
        <v>100</v>
      </c>
      <c r="B1075" s="85" t="s">
        <v>11</v>
      </c>
      <c r="C1075" s="86">
        <v>0.53680555555555498</v>
      </c>
      <c r="D1075" s="87">
        <v>0</v>
      </c>
      <c r="E1075" s="87">
        <v>0</v>
      </c>
      <c r="F1075" s="87">
        <v>0</v>
      </c>
      <c r="G1075" s="87">
        <v>0</v>
      </c>
      <c r="H1075" s="87">
        <v>0</v>
      </c>
      <c r="I1075" s="87">
        <v>0</v>
      </c>
      <c r="J1075" s="87">
        <v>0</v>
      </c>
    </row>
    <row r="1076" spans="1:10">
      <c r="A1076" s="85" t="s">
        <v>100</v>
      </c>
      <c r="B1076" s="85" t="s">
        <v>11</v>
      </c>
      <c r="C1076" s="86">
        <v>0.53749999999999998</v>
      </c>
      <c r="D1076" s="87">
        <v>0</v>
      </c>
      <c r="E1076" s="87">
        <v>0</v>
      </c>
      <c r="F1076" s="87">
        <v>0</v>
      </c>
      <c r="G1076" s="87">
        <v>0</v>
      </c>
      <c r="H1076" s="87">
        <v>0</v>
      </c>
      <c r="I1076" s="87">
        <v>0</v>
      </c>
      <c r="J1076" s="87">
        <v>0</v>
      </c>
    </row>
    <row r="1077" spans="1:10">
      <c r="A1077" s="85" t="s">
        <v>100</v>
      </c>
      <c r="B1077" s="85" t="s">
        <v>11</v>
      </c>
      <c r="C1077" s="86">
        <v>0.53819444444444398</v>
      </c>
      <c r="D1077" s="87">
        <v>0</v>
      </c>
      <c r="E1077" s="87">
        <v>0</v>
      </c>
      <c r="F1077" s="87">
        <v>0</v>
      </c>
      <c r="G1077" s="87">
        <v>0</v>
      </c>
      <c r="H1077" s="87">
        <v>0</v>
      </c>
      <c r="I1077" s="87">
        <v>0</v>
      </c>
      <c r="J1077" s="87">
        <v>0</v>
      </c>
    </row>
    <row r="1078" spans="1:10">
      <c r="A1078" s="85" t="s">
        <v>100</v>
      </c>
      <c r="B1078" s="85" t="s">
        <v>11</v>
      </c>
      <c r="C1078" s="86">
        <v>0.53888888888888897</v>
      </c>
      <c r="D1078" s="87">
        <v>0</v>
      </c>
      <c r="E1078" s="87">
        <v>0</v>
      </c>
      <c r="F1078" s="87">
        <v>0</v>
      </c>
      <c r="G1078" s="87">
        <v>0</v>
      </c>
      <c r="H1078" s="87">
        <v>0</v>
      </c>
      <c r="I1078" s="87">
        <v>0</v>
      </c>
      <c r="J1078" s="87">
        <v>0</v>
      </c>
    </row>
    <row r="1079" spans="1:10">
      <c r="A1079" s="85" t="s">
        <v>100</v>
      </c>
      <c r="B1079" s="85" t="s">
        <v>11</v>
      </c>
      <c r="C1079" s="86">
        <v>0.53958333333333297</v>
      </c>
      <c r="D1079" s="87">
        <v>0</v>
      </c>
      <c r="E1079" s="87">
        <v>0</v>
      </c>
      <c r="F1079" s="87">
        <v>0</v>
      </c>
      <c r="G1079" s="87">
        <v>0</v>
      </c>
      <c r="H1079" s="87">
        <v>0</v>
      </c>
      <c r="I1079" s="87">
        <v>0</v>
      </c>
      <c r="J1079" s="87">
        <v>0</v>
      </c>
    </row>
    <row r="1080" spans="1:10">
      <c r="A1080" s="85" t="s">
        <v>100</v>
      </c>
      <c r="B1080" s="85" t="s">
        <v>11</v>
      </c>
      <c r="C1080" s="86">
        <v>0.54027777777777797</v>
      </c>
      <c r="D1080" s="87">
        <v>0</v>
      </c>
      <c r="E1080" s="87">
        <v>0</v>
      </c>
      <c r="F1080" s="87">
        <v>0</v>
      </c>
      <c r="G1080" s="87">
        <v>0</v>
      </c>
      <c r="H1080" s="87">
        <v>0</v>
      </c>
      <c r="I1080" s="87">
        <v>0</v>
      </c>
      <c r="J1080" s="87">
        <v>0</v>
      </c>
    </row>
    <row r="1081" spans="1:10" s="28" customFormat="1" ht="17.5" thickBot="1">
      <c r="A1081" s="100" t="s">
        <v>100</v>
      </c>
      <c r="B1081" s="100" t="s">
        <v>11</v>
      </c>
      <c r="C1081" s="101">
        <v>0.54097222222222197</v>
      </c>
      <c r="D1081" s="102">
        <v>0</v>
      </c>
      <c r="E1081" s="102">
        <v>0</v>
      </c>
      <c r="F1081" s="102">
        <v>0</v>
      </c>
      <c r="G1081" s="102">
        <v>0</v>
      </c>
      <c r="H1081" s="102">
        <v>0</v>
      </c>
      <c r="I1081" s="102">
        <v>0</v>
      </c>
      <c r="J1081" s="102">
        <v>0</v>
      </c>
    </row>
    <row r="1082" spans="1:10">
      <c r="A1082" s="85" t="s">
        <v>100</v>
      </c>
      <c r="B1082" s="85" t="s">
        <v>12</v>
      </c>
      <c r="C1082" s="86">
        <v>0.45833333333333331</v>
      </c>
      <c r="D1082" s="103">
        <v>0</v>
      </c>
      <c r="E1082" s="103">
        <v>0</v>
      </c>
      <c r="F1082" s="103">
        <v>0</v>
      </c>
      <c r="G1082" s="103">
        <v>0</v>
      </c>
      <c r="H1082" s="103">
        <v>0</v>
      </c>
      <c r="I1082" s="103">
        <v>0</v>
      </c>
      <c r="J1082" s="103">
        <v>0</v>
      </c>
    </row>
    <row r="1083" spans="1:10">
      <c r="A1083" s="85" t="s">
        <v>100</v>
      </c>
      <c r="B1083" s="85" t="s">
        <v>12</v>
      </c>
      <c r="C1083" s="86">
        <v>0.45902777777777776</v>
      </c>
      <c r="D1083" s="87">
        <v>0</v>
      </c>
      <c r="E1083" s="87">
        <v>0</v>
      </c>
      <c r="F1083" s="87">
        <v>0</v>
      </c>
      <c r="G1083" s="87">
        <v>0</v>
      </c>
      <c r="H1083" s="87">
        <v>0</v>
      </c>
      <c r="I1083" s="87">
        <v>0</v>
      </c>
      <c r="J1083" s="87">
        <v>0</v>
      </c>
    </row>
    <row r="1084" spans="1:10">
      <c r="A1084" s="85" t="s">
        <v>100</v>
      </c>
      <c r="B1084" s="85" t="s">
        <v>12</v>
      </c>
      <c r="C1084" s="86">
        <v>0.45972222222222198</v>
      </c>
      <c r="D1084" s="87">
        <v>0</v>
      </c>
      <c r="E1084" s="87">
        <v>0</v>
      </c>
      <c r="F1084" s="87">
        <v>0</v>
      </c>
      <c r="G1084" s="87">
        <v>0</v>
      </c>
      <c r="H1084" s="87">
        <v>0</v>
      </c>
      <c r="I1084" s="87">
        <v>0</v>
      </c>
      <c r="J1084" s="87">
        <v>0</v>
      </c>
    </row>
    <row r="1085" spans="1:10">
      <c r="A1085" s="85" t="s">
        <v>100</v>
      </c>
      <c r="B1085" s="85" t="s">
        <v>12</v>
      </c>
      <c r="C1085" s="86">
        <v>0.46041666666666697</v>
      </c>
      <c r="D1085" s="87">
        <v>0</v>
      </c>
      <c r="E1085" s="87">
        <v>0</v>
      </c>
      <c r="F1085" s="87">
        <v>0</v>
      </c>
      <c r="G1085" s="87">
        <v>0</v>
      </c>
      <c r="H1085" s="87">
        <v>0</v>
      </c>
      <c r="I1085" s="87">
        <v>0</v>
      </c>
      <c r="J1085" s="87">
        <v>0</v>
      </c>
    </row>
    <row r="1086" spans="1:10">
      <c r="A1086" s="85" t="s">
        <v>100</v>
      </c>
      <c r="B1086" s="85" t="s">
        <v>12</v>
      </c>
      <c r="C1086" s="86">
        <v>0.46111111111111103</v>
      </c>
      <c r="D1086" s="87">
        <v>0</v>
      </c>
      <c r="E1086" s="87">
        <v>0</v>
      </c>
      <c r="F1086" s="87">
        <v>0</v>
      </c>
      <c r="G1086" s="87">
        <v>0</v>
      </c>
      <c r="H1086" s="87">
        <v>0</v>
      </c>
      <c r="I1086" s="87">
        <v>0</v>
      </c>
      <c r="J1086" s="87">
        <v>0</v>
      </c>
    </row>
    <row r="1087" spans="1:10">
      <c r="A1087" s="85" t="s">
        <v>100</v>
      </c>
      <c r="B1087" s="85" t="s">
        <v>12</v>
      </c>
      <c r="C1087" s="86">
        <v>0.46180555555555602</v>
      </c>
      <c r="D1087" s="87">
        <v>0</v>
      </c>
      <c r="E1087" s="87">
        <v>0</v>
      </c>
      <c r="F1087" s="87">
        <v>0</v>
      </c>
      <c r="G1087" s="87">
        <v>0</v>
      </c>
      <c r="H1087" s="87">
        <v>0</v>
      </c>
      <c r="I1087" s="87">
        <v>0</v>
      </c>
      <c r="J1087" s="87">
        <v>0</v>
      </c>
    </row>
    <row r="1088" spans="1:10">
      <c r="A1088" s="85" t="s">
        <v>100</v>
      </c>
      <c r="B1088" s="85" t="s">
        <v>12</v>
      </c>
      <c r="C1088" s="86">
        <v>0.46250000000000002</v>
      </c>
      <c r="D1088" s="87">
        <v>0</v>
      </c>
      <c r="E1088" s="87">
        <v>0</v>
      </c>
      <c r="F1088" s="87">
        <v>0</v>
      </c>
      <c r="G1088" s="87">
        <v>0</v>
      </c>
      <c r="H1088" s="87">
        <v>0</v>
      </c>
      <c r="I1088" s="87">
        <v>0</v>
      </c>
      <c r="J1088" s="87">
        <v>0</v>
      </c>
    </row>
    <row r="1089" spans="1:10">
      <c r="A1089" s="85" t="s">
        <v>100</v>
      </c>
      <c r="B1089" s="85" t="s">
        <v>12</v>
      </c>
      <c r="C1089" s="86">
        <v>0.46319444444444402</v>
      </c>
      <c r="D1089" s="87">
        <v>0</v>
      </c>
      <c r="E1089" s="87">
        <v>0</v>
      </c>
      <c r="F1089" s="87">
        <v>0</v>
      </c>
      <c r="G1089" s="87">
        <v>0</v>
      </c>
      <c r="H1089" s="87">
        <v>0</v>
      </c>
      <c r="I1089" s="87">
        <v>0</v>
      </c>
      <c r="J1089" s="87">
        <v>0</v>
      </c>
    </row>
    <row r="1090" spans="1:10">
      <c r="A1090" s="85" t="s">
        <v>100</v>
      </c>
      <c r="B1090" s="85" t="s">
        <v>12</v>
      </c>
      <c r="C1090" s="86">
        <v>0.46388888888888902</v>
      </c>
      <c r="D1090" s="87">
        <v>0</v>
      </c>
      <c r="E1090" s="87">
        <v>0</v>
      </c>
      <c r="F1090" s="87">
        <v>0</v>
      </c>
      <c r="G1090" s="87">
        <v>0</v>
      </c>
      <c r="H1090" s="87">
        <v>0</v>
      </c>
      <c r="I1090" s="87">
        <v>0</v>
      </c>
      <c r="J1090" s="87">
        <v>0</v>
      </c>
    </row>
    <row r="1091" spans="1:10">
      <c r="A1091" s="85" t="s">
        <v>100</v>
      </c>
      <c r="B1091" s="85" t="s">
        <v>12</v>
      </c>
      <c r="C1091" s="86">
        <v>0.46458333333333302</v>
      </c>
      <c r="D1091" s="87">
        <v>0</v>
      </c>
      <c r="E1091" s="87">
        <v>0</v>
      </c>
      <c r="F1091" s="87">
        <v>0</v>
      </c>
      <c r="G1091" s="87">
        <v>0</v>
      </c>
      <c r="H1091" s="87">
        <v>0</v>
      </c>
      <c r="I1091" s="87">
        <v>0</v>
      </c>
      <c r="J1091" s="87">
        <v>0</v>
      </c>
    </row>
    <row r="1092" spans="1:10">
      <c r="A1092" s="85" t="s">
        <v>100</v>
      </c>
      <c r="B1092" s="85" t="s">
        <v>12</v>
      </c>
      <c r="C1092" s="86">
        <v>0.46527777777777801</v>
      </c>
      <c r="D1092" s="87">
        <v>0</v>
      </c>
      <c r="E1092" s="87">
        <v>0</v>
      </c>
      <c r="F1092" s="87">
        <v>0</v>
      </c>
      <c r="G1092" s="87">
        <v>0</v>
      </c>
      <c r="H1092" s="87">
        <v>0</v>
      </c>
      <c r="I1092" s="87">
        <v>0</v>
      </c>
      <c r="J1092" s="87">
        <v>0</v>
      </c>
    </row>
    <row r="1093" spans="1:10">
      <c r="A1093" s="85" t="s">
        <v>100</v>
      </c>
      <c r="B1093" s="85" t="s">
        <v>12</v>
      </c>
      <c r="C1093" s="86">
        <v>0.46597222222222201</v>
      </c>
      <c r="D1093" s="87">
        <v>0</v>
      </c>
      <c r="E1093" s="87">
        <v>0</v>
      </c>
      <c r="F1093" s="87">
        <v>0</v>
      </c>
      <c r="G1093" s="87">
        <v>0</v>
      </c>
      <c r="H1093" s="87">
        <v>0</v>
      </c>
      <c r="I1093" s="87">
        <v>0</v>
      </c>
      <c r="J1093" s="87">
        <v>0</v>
      </c>
    </row>
    <row r="1094" spans="1:10">
      <c r="A1094" s="85" t="s">
        <v>100</v>
      </c>
      <c r="B1094" s="85" t="s">
        <v>12</v>
      </c>
      <c r="C1094" s="86">
        <v>0.46666666666666701</v>
      </c>
      <c r="D1094" s="87">
        <v>0</v>
      </c>
      <c r="E1094" s="87">
        <v>0</v>
      </c>
      <c r="F1094" s="87">
        <v>0</v>
      </c>
      <c r="G1094" s="87">
        <v>0</v>
      </c>
      <c r="H1094" s="87">
        <v>0</v>
      </c>
      <c r="I1094" s="87">
        <v>0</v>
      </c>
      <c r="J1094" s="87">
        <v>0</v>
      </c>
    </row>
    <row r="1095" spans="1:10">
      <c r="A1095" s="85" t="s">
        <v>100</v>
      </c>
      <c r="B1095" s="85" t="s">
        <v>12</v>
      </c>
      <c r="C1095" s="86">
        <v>0.46736111111111101</v>
      </c>
      <c r="D1095" s="87">
        <v>0</v>
      </c>
      <c r="E1095" s="87">
        <v>0</v>
      </c>
      <c r="F1095" s="87">
        <v>0</v>
      </c>
      <c r="G1095" s="87">
        <v>0</v>
      </c>
      <c r="H1095" s="87">
        <v>0</v>
      </c>
      <c r="I1095" s="87">
        <v>0</v>
      </c>
      <c r="J1095" s="87">
        <v>0</v>
      </c>
    </row>
    <row r="1096" spans="1:10">
      <c r="A1096" s="88" t="s">
        <v>100</v>
      </c>
      <c r="B1096" s="88" t="s">
        <v>12</v>
      </c>
      <c r="C1096" s="89">
        <v>0.468055555555556</v>
      </c>
      <c r="D1096" s="90">
        <v>0</v>
      </c>
      <c r="E1096" s="90">
        <v>0</v>
      </c>
      <c r="F1096" s="90">
        <v>0</v>
      </c>
      <c r="G1096" s="90">
        <v>0</v>
      </c>
      <c r="H1096" s="90">
        <v>0</v>
      </c>
      <c r="I1096" s="90">
        <v>0</v>
      </c>
      <c r="J1096" s="90">
        <v>0</v>
      </c>
    </row>
    <row r="1097" spans="1:10">
      <c r="A1097" s="85" t="s">
        <v>100</v>
      </c>
      <c r="B1097" s="85" t="s">
        <v>12</v>
      </c>
      <c r="C1097" s="86">
        <v>0.46875</v>
      </c>
      <c r="D1097" s="91">
        <v>0</v>
      </c>
      <c r="E1097" s="91">
        <v>0</v>
      </c>
      <c r="F1097" s="91">
        <v>0</v>
      </c>
      <c r="G1097" s="91">
        <v>0</v>
      </c>
      <c r="H1097" s="91">
        <v>0</v>
      </c>
      <c r="I1097" s="91">
        <v>0</v>
      </c>
      <c r="J1097" s="91">
        <v>0</v>
      </c>
    </row>
    <row r="1098" spans="1:10">
      <c r="A1098" s="85" t="s">
        <v>100</v>
      </c>
      <c r="B1098" s="85" t="s">
        <v>12</v>
      </c>
      <c r="C1098" s="86">
        <v>0.469444444444444</v>
      </c>
      <c r="D1098" s="87">
        <v>0</v>
      </c>
      <c r="E1098" s="87">
        <v>0</v>
      </c>
      <c r="F1098" s="87">
        <v>0</v>
      </c>
      <c r="G1098" s="87">
        <v>0</v>
      </c>
      <c r="H1098" s="87">
        <v>0</v>
      </c>
      <c r="I1098" s="87">
        <v>0</v>
      </c>
      <c r="J1098" s="87">
        <v>0</v>
      </c>
    </row>
    <row r="1099" spans="1:10">
      <c r="A1099" s="85" t="s">
        <v>100</v>
      </c>
      <c r="B1099" s="85" t="s">
        <v>12</v>
      </c>
      <c r="C1099" s="86">
        <v>0.47013888888888899</v>
      </c>
      <c r="D1099" s="87">
        <v>0</v>
      </c>
      <c r="E1099" s="87">
        <v>0</v>
      </c>
      <c r="F1099" s="87">
        <v>0</v>
      </c>
      <c r="G1099" s="87">
        <v>0</v>
      </c>
      <c r="H1099" s="87">
        <v>0</v>
      </c>
      <c r="I1099" s="87">
        <v>0</v>
      </c>
      <c r="J1099" s="87">
        <v>0</v>
      </c>
    </row>
    <row r="1100" spans="1:10">
      <c r="A1100" s="85" t="s">
        <v>100</v>
      </c>
      <c r="B1100" s="85" t="s">
        <v>12</v>
      </c>
      <c r="C1100" s="86">
        <v>0.47083333333333299</v>
      </c>
      <c r="D1100" s="87">
        <v>0</v>
      </c>
      <c r="E1100" s="87">
        <v>0</v>
      </c>
      <c r="F1100" s="87">
        <v>0</v>
      </c>
      <c r="G1100" s="87">
        <v>0</v>
      </c>
      <c r="H1100" s="87">
        <v>0</v>
      </c>
      <c r="I1100" s="87">
        <v>0</v>
      </c>
      <c r="J1100" s="87">
        <v>0</v>
      </c>
    </row>
    <row r="1101" spans="1:10">
      <c r="A1101" s="85" t="s">
        <v>100</v>
      </c>
      <c r="B1101" s="85" t="s">
        <v>12</v>
      </c>
      <c r="C1101" s="86">
        <v>0.47152777777777799</v>
      </c>
      <c r="D1101" s="87">
        <v>0</v>
      </c>
      <c r="E1101" s="87">
        <v>0</v>
      </c>
      <c r="F1101" s="87">
        <v>0</v>
      </c>
      <c r="G1101" s="87">
        <v>0</v>
      </c>
      <c r="H1101" s="87">
        <v>0</v>
      </c>
      <c r="I1101" s="87">
        <v>0</v>
      </c>
      <c r="J1101" s="87">
        <v>0</v>
      </c>
    </row>
    <row r="1102" spans="1:10">
      <c r="A1102" s="85" t="s">
        <v>100</v>
      </c>
      <c r="B1102" s="85" t="s">
        <v>12</v>
      </c>
      <c r="C1102" s="86">
        <v>0.47222222222222199</v>
      </c>
      <c r="D1102" s="87">
        <v>0</v>
      </c>
      <c r="E1102" s="87">
        <v>0</v>
      </c>
      <c r="F1102" s="87">
        <v>0</v>
      </c>
      <c r="G1102" s="87">
        <v>0</v>
      </c>
      <c r="H1102" s="87">
        <v>0</v>
      </c>
      <c r="I1102" s="87">
        <v>0</v>
      </c>
      <c r="J1102" s="87">
        <v>0</v>
      </c>
    </row>
    <row r="1103" spans="1:10">
      <c r="A1103" s="85" t="s">
        <v>100</v>
      </c>
      <c r="B1103" s="85" t="s">
        <v>12</v>
      </c>
      <c r="C1103" s="86">
        <v>0.47291666666666698</v>
      </c>
      <c r="D1103" s="87">
        <v>0</v>
      </c>
      <c r="E1103" s="87">
        <v>0</v>
      </c>
      <c r="F1103" s="87">
        <v>0</v>
      </c>
      <c r="G1103" s="87">
        <v>0</v>
      </c>
      <c r="H1103" s="87">
        <v>0</v>
      </c>
      <c r="I1103" s="87">
        <v>0</v>
      </c>
      <c r="J1103" s="87">
        <v>0</v>
      </c>
    </row>
    <row r="1104" spans="1:10">
      <c r="A1104" s="85" t="s">
        <v>100</v>
      </c>
      <c r="B1104" s="85" t="s">
        <v>12</v>
      </c>
      <c r="C1104" s="86">
        <v>0.47361111111111098</v>
      </c>
      <c r="D1104" s="87">
        <v>0</v>
      </c>
      <c r="E1104" s="87">
        <v>0</v>
      </c>
      <c r="F1104" s="87">
        <v>0</v>
      </c>
      <c r="G1104" s="87">
        <v>0</v>
      </c>
      <c r="H1104" s="87">
        <v>0</v>
      </c>
      <c r="I1104" s="87">
        <v>0</v>
      </c>
      <c r="J1104" s="87">
        <v>0</v>
      </c>
    </row>
    <row r="1105" spans="1:10">
      <c r="A1105" s="85" t="s">
        <v>100</v>
      </c>
      <c r="B1105" s="85" t="s">
        <v>12</v>
      </c>
      <c r="C1105" s="86">
        <v>0.47430555555555598</v>
      </c>
      <c r="D1105" s="87">
        <v>0</v>
      </c>
      <c r="E1105" s="87">
        <v>0</v>
      </c>
      <c r="F1105" s="87">
        <v>0</v>
      </c>
      <c r="G1105" s="87">
        <v>0</v>
      </c>
      <c r="H1105" s="87">
        <v>0</v>
      </c>
      <c r="I1105" s="87">
        <v>0</v>
      </c>
      <c r="J1105" s="87">
        <v>0</v>
      </c>
    </row>
    <row r="1106" spans="1:10">
      <c r="A1106" s="85" t="s">
        <v>100</v>
      </c>
      <c r="B1106" s="85" t="s">
        <v>12</v>
      </c>
      <c r="C1106" s="86">
        <v>0.47499999999999998</v>
      </c>
      <c r="D1106" s="87">
        <v>0</v>
      </c>
      <c r="E1106" s="87">
        <v>0</v>
      </c>
      <c r="F1106" s="87">
        <v>0</v>
      </c>
      <c r="G1106" s="87">
        <v>0</v>
      </c>
      <c r="H1106" s="87">
        <v>0</v>
      </c>
      <c r="I1106" s="87">
        <v>0</v>
      </c>
      <c r="J1106" s="87">
        <v>0</v>
      </c>
    </row>
    <row r="1107" spans="1:10">
      <c r="A1107" s="85" t="s">
        <v>100</v>
      </c>
      <c r="B1107" s="85" t="s">
        <v>12</v>
      </c>
      <c r="C1107" s="86">
        <v>0.47569444444444398</v>
      </c>
      <c r="D1107" s="87">
        <v>0</v>
      </c>
      <c r="E1107" s="87">
        <v>0</v>
      </c>
      <c r="F1107" s="87">
        <v>0</v>
      </c>
      <c r="G1107" s="87">
        <v>0</v>
      </c>
      <c r="H1107" s="87">
        <v>0</v>
      </c>
      <c r="I1107" s="87">
        <v>0</v>
      </c>
      <c r="J1107" s="87">
        <v>0</v>
      </c>
    </row>
    <row r="1108" spans="1:10">
      <c r="A1108" s="85" t="s">
        <v>100</v>
      </c>
      <c r="B1108" s="85" t="s">
        <v>12</v>
      </c>
      <c r="C1108" s="86">
        <v>0.47638888888888897</v>
      </c>
      <c r="D1108" s="87">
        <v>0</v>
      </c>
      <c r="E1108" s="87">
        <v>0</v>
      </c>
      <c r="F1108" s="87">
        <v>0</v>
      </c>
      <c r="G1108" s="87">
        <v>0</v>
      </c>
      <c r="H1108" s="87">
        <v>0</v>
      </c>
      <c r="I1108" s="87">
        <v>0</v>
      </c>
      <c r="J1108" s="87">
        <v>0</v>
      </c>
    </row>
    <row r="1109" spans="1:10">
      <c r="A1109" s="85" t="s">
        <v>100</v>
      </c>
      <c r="B1109" s="85" t="s">
        <v>12</v>
      </c>
      <c r="C1109" s="86">
        <v>0.47708333333333303</v>
      </c>
      <c r="D1109" s="87">
        <v>0</v>
      </c>
      <c r="E1109" s="87">
        <v>0</v>
      </c>
      <c r="F1109" s="87">
        <v>0</v>
      </c>
      <c r="G1109" s="87">
        <v>0</v>
      </c>
      <c r="H1109" s="87">
        <v>0</v>
      </c>
      <c r="I1109" s="87">
        <v>0</v>
      </c>
      <c r="J1109" s="87">
        <v>0</v>
      </c>
    </row>
    <row r="1110" spans="1:10">
      <c r="A1110" s="85" t="s">
        <v>100</v>
      </c>
      <c r="B1110" s="85" t="s">
        <v>12</v>
      </c>
      <c r="C1110" s="86">
        <v>0.47777777777777802</v>
      </c>
      <c r="D1110" s="87">
        <v>0</v>
      </c>
      <c r="E1110" s="87">
        <v>0</v>
      </c>
      <c r="F1110" s="87">
        <v>0</v>
      </c>
      <c r="G1110" s="87">
        <v>0</v>
      </c>
      <c r="H1110" s="87">
        <v>0</v>
      </c>
      <c r="I1110" s="87">
        <v>0</v>
      </c>
      <c r="J1110" s="87">
        <v>0</v>
      </c>
    </row>
    <row r="1111" spans="1:10" s="78" customFormat="1">
      <c r="A1111" s="88" t="s">
        <v>100</v>
      </c>
      <c r="B1111" s="88" t="s">
        <v>12</v>
      </c>
      <c r="C1111" s="89">
        <v>0.47847222222222202</v>
      </c>
      <c r="D1111" s="90">
        <v>0</v>
      </c>
      <c r="E1111" s="90">
        <v>0</v>
      </c>
      <c r="F1111" s="90">
        <v>0</v>
      </c>
      <c r="G1111" s="90">
        <v>0</v>
      </c>
      <c r="H1111" s="90">
        <v>0</v>
      </c>
      <c r="I1111" s="90">
        <v>0</v>
      </c>
      <c r="J1111" s="90">
        <v>0</v>
      </c>
    </row>
    <row r="1112" spans="1:10">
      <c r="A1112" s="85" t="s">
        <v>100</v>
      </c>
      <c r="B1112" s="85" t="s">
        <v>12</v>
      </c>
      <c r="C1112" s="86">
        <v>0.47916666666666702</v>
      </c>
      <c r="D1112" s="91">
        <v>0</v>
      </c>
      <c r="E1112" s="91">
        <v>0</v>
      </c>
      <c r="F1112" s="91">
        <v>0</v>
      </c>
      <c r="G1112" s="91">
        <v>0</v>
      </c>
      <c r="H1112" s="91">
        <v>0</v>
      </c>
      <c r="I1112" s="91">
        <v>0</v>
      </c>
      <c r="J1112" s="91">
        <v>0</v>
      </c>
    </row>
    <row r="1113" spans="1:10">
      <c r="A1113" s="85" t="s">
        <v>100</v>
      </c>
      <c r="B1113" s="85" t="s">
        <v>12</v>
      </c>
      <c r="C1113" s="86">
        <v>0.47986111111111102</v>
      </c>
      <c r="D1113" s="87">
        <v>0</v>
      </c>
      <c r="E1113" s="87">
        <v>0</v>
      </c>
      <c r="F1113" s="87">
        <v>0</v>
      </c>
      <c r="G1113" s="87">
        <v>0</v>
      </c>
      <c r="H1113" s="87">
        <v>0</v>
      </c>
      <c r="I1113" s="87">
        <v>0</v>
      </c>
      <c r="J1113" s="87">
        <v>0</v>
      </c>
    </row>
    <row r="1114" spans="1:10">
      <c r="A1114" s="85" t="s">
        <v>100</v>
      </c>
      <c r="B1114" s="85" t="s">
        <v>12</v>
      </c>
      <c r="C1114" s="86">
        <v>0.48055555555555501</v>
      </c>
      <c r="D1114" s="87">
        <v>0</v>
      </c>
      <c r="E1114" s="87">
        <v>0</v>
      </c>
      <c r="F1114" s="87">
        <v>0</v>
      </c>
      <c r="G1114" s="87">
        <v>0</v>
      </c>
      <c r="H1114" s="87">
        <v>0</v>
      </c>
      <c r="I1114" s="87">
        <v>0</v>
      </c>
      <c r="J1114" s="87">
        <v>0</v>
      </c>
    </row>
    <row r="1115" spans="1:10">
      <c r="A1115" s="85" t="s">
        <v>100</v>
      </c>
      <c r="B1115" s="85" t="s">
        <v>12</v>
      </c>
      <c r="C1115" s="86">
        <v>0.48125000000000001</v>
      </c>
      <c r="D1115" s="87">
        <v>0</v>
      </c>
      <c r="E1115" s="87">
        <v>0</v>
      </c>
      <c r="F1115" s="87">
        <v>0</v>
      </c>
      <c r="G1115" s="87">
        <v>0</v>
      </c>
      <c r="H1115" s="87">
        <v>0</v>
      </c>
      <c r="I1115" s="87">
        <v>0</v>
      </c>
      <c r="J1115" s="87">
        <v>0</v>
      </c>
    </row>
    <row r="1116" spans="1:10">
      <c r="A1116" s="85" t="s">
        <v>100</v>
      </c>
      <c r="B1116" s="85" t="s">
        <v>12</v>
      </c>
      <c r="C1116" s="86">
        <v>0.48194444444444401</v>
      </c>
      <c r="D1116" s="87">
        <v>0</v>
      </c>
      <c r="E1116" s="87">
        <v>0</v>
      </c>
      <c r="F1116" s="87">
        <v>0</v>
      </c>
      <c r="G1116" s="87">
        <v>0</v>
      </c>
      <c r="H1116" s="87">
        <v>0</v>
      </c>
      <c r="I1116" s="87">
        <v>0</v>
      </c>
      <c r="J1116" s="87">
        <v>0</v>
      </c>
    </row>
    <row r="1117" spans="1:10">
      <c r="A1117" s="85" t="s">
        <v>100</v>
      </c>
      <c r="B1117" s="85" t="s">
        <v>12</v>
      </c>
      <c r="C1117" s="86">
        <v>0.48263888888888901</v>
      </c>
      <c r="D1117" s="87">
        <v>0</v>
      </c>
      <c r="E1117" s="87">
        <v>0</v>
      </c>
      <c r="F1117" s="87">
        <v>0</v>
      </c>
      <c r="G1117" s="87">
        <v>0</v>
      </c>
      <c r="H1117" s="87">
        <v>0</v>
      </c>
      <c r="I1117" s="87">
        <v>0</v>
      </c>
      <c r="J1117" s="87">
        <v>0</v>
      </c>
    </row>
    <row r="1118" spans="1:10">
      <c r="A1118" s="85" t="s">
        <v>100</v>
      </c>
      <c r="B1118" s="85" t="s">
        <v>12</v>
      </c>
      <c r="C1118" s="86">
        <v>0.483333333333333</v>
      </c>
      <c r="D1118" s="87">
        <v>0</v>
      </c>
      <c r="E1118" s="87">
        <v>0</v>
      </c>
      <c r="F1118" s="87">
        <v>0</v>
      </c>
      <c r="G1118" s="87">
        <v>0</v>
      </c>
      <c r="H1118" s="87">
        <v>0</v>
      </c>
      <c r="I1118" s="87">
        <v>0</v>
      </c>
      <c r="J1118" s="87">
        <v>0</v>
      </c>
    </row>
    <row r="1119" spans="1:10">
      <c r="A1119" s="85" t="s">
        <v>100</v>
      </c>
      <c r="B1119" s="85" t="s">
        <v>12</v>
      </c>
      <c r="C1119" s="86">
        <v>0.484027777777778</v>
      </c>
      <c r="D1119" s="87">
        <v>0</v>
      </c>
      <c r="E1119" s="87">
        <v>0</v>
      </c>
      <c r="F1119" s="87">
        <v>0</v>
      </c>
      <c r="G1119" s="87">
        <v>0</v>
      </c>
      <c r="H1119" s="87">
        <v>0</v>
      </c>
      <c r="I1119" s="87">
        <v>0</v>
      </c>
      <c r="J1119" s="87">
        <v>0</v>
      </c>
    </row>
    <row r="1120" spans="1:10">
      <c r="A1120" s="85" t="s">
        <v>100</v>
      </c>
      <c r="B1120" s="85" t="s">
        <v>12</v>
      </c>
      <c r="C1120" s="86">
        <v>0.484722222222222</v>
      </c>
      <c r="D1120" s="87">
        <v>0</v>
      </c>
      <c r="E1120" s="87">
        <v>0</v>
      </c>
      <c r="F1120" s="87">
        <v>0</v>
      </c>
      <c r="G1120" s="87">
        <v>0</v>
      </c>
      <c r="H1120" s="87">
        <v>0</v>
      </c>
      <c r="I1120" s="87">
        <v>0</v>
      </c>
      <c r="J1120" s="87">
        <v>0</v>
      </c>
    </row>
    <row r="1121" spans="1:10">
      <c r="A1121" s="85" t="s">
        <v>100</v>
      </c>
      <c r="B1121" s="85" t="s">
        <v>12</v>
      </c>
      <c r="C1121" s="86">
        <v>0.485416666666666</v>
      </c>
      <c r="D1121" s="87">
        <v>0</v>
      </c>
      <c r="E1121" s="87">
        <v>0</v>
      </c>
      <c r="F1121" s="87">
        <v>0</v>
      </c>
      <c r="G1121" s="87">
        <v>0</v>
      </c>
      <c r="H1121" s="87">
        <v>0</v>
      </c>
      <c r="I1121" s="87">
        <v>0</v>
      </c>
      <c r="J1121" s="87">
        <v>0</v>
      </c>
    </row>
    <row r="1122" spans="1:10">
      <c r="A1122" s="85" t="s">
        <v>100</v>
      </c>
      <c r="B1122" s="85" t="s">
        <v>12</v>
      </c>
      <c r="C1122" s="86">
        <v>0.48611111111111099</v>
      </c>
      <c r="D1122" s="87">
        <v>0</v>
      </c>
      <c r="E1122" s="87">
        <v>0</v>
      </c>
      <c r="F1122" s="87">
        <v>0</v>
      </c>
      <c r="G1122" s="87">
        <v>0</v>
      </c>
      <c r="H1122" s="87">
        <v>0</v>
      </c>
      <c r="I1122" s="87">
        <v>0</v>
      </c>
      <c r="J1122" s="87">
        <v>0</v>
      </c>
    </row>
    <row r="1123" spans="1:10">
      <c r="A1123" s="85" t="s">
        <v>100</v>
      </c>
      <c r="B1123" s="85" t="s">
        <v>12</v>
      </c>
      <c r="C1123" s="86">
        <v>0.48680555555555499</v>
      </c>
      <c r="D1123" s="87">
        <v>0</v>
      </c>
      <c r="E1123" s="87">
        <v>0</v>
      </c>
      <c r="F1123" s="87">
        <v>0</v>
      </c>
      <c r="G1123" s="87">
        <v>0</v>
      </c>
      <c r="H1123" s="87">
        <v>0</v>
      </c>
      <c r="I1123" s="87">
        <v>0</v>
      </c>
      <c r="J1123" s="87">
        <v>0</v>
      </c>
    </row>
    <row r="1124" spans="1:10">
      <c r="A1124" s="85" t="s">
        <v>100</v>
      </c>
      <c r="B1124" s="85" t="s">
        <v>12</v>
      </c>
      <c r="C1124" s="86">
        <v>0.48749999999999999</v>
      </c>
      <c r="D1124" s="87">
        <v>0</v>
      </c>
      <c r="E1124" s="87">
        <v>0</v>
      </c>
      <c r="F1124" s="87">
        <v>0</v>
      </c>
      <c r="G1124" s="87">
        <v>0</v>
      </c>
      <c r="H1124" s="87">
        <v>0</v>
      </c>
      <c r="I1124" s="87">
        <v>0</v>
      </c>
      <c r="J1124" s="87">
        <v>0</v>
      </c>
    </row>
    <row r="1125" spans="1:10">
      <c r="A1125" s="85" t="s">
        <v>100</v>
      </c>
      <c r="B1125" s="85" t="s">
        <v>12</v>
      </c>
      <c r="C1125" s="86">
        <v>0.48819444444444399</v>
      </c>
      <c r="D1125" s="87">
        <v>0</v>
      </c>
      <c r="E1125" s="87">
        <v>0</v>
      </c>
      <c r="F1125" s="87">
        <v>0</v>
      </c>
      <c r="G1125" s="87">
        <v>0</v>
      </c>
      <c r="H1125" s="87">
        <v>0</v>
      </c>
      <c r="I1125" s="87">
        <v>0</v>
      </c>
      <c r="J1125" s="87">
        <v>0</v>
      </c>
    </row>
    <row r="1126" spans="1:10" s="78" customFormat="1">
      <c r="A1126" s="88" t="s">
        <v>100</v>
      </c>
      <c r="B1126" s="88" t="s">
        <v>12</v>
      </c>
      <c r="C1126" s="89">
        <v>0.48888888888888898</v>
      </c>
      <c r="D1126" s="90">
        <v>0</v>
      </c>
      <c r="E1126" s="90">
        <v>0</v>
      </c>
      <c r="F1126" s="90">
        <v>0</v>
      </c>
      <c r="G1126" s="90">
        <v>0</v>
      </c>
      <c r="H1126" s="90">
        <v>0</v>
      </c>
      <c r="I1126" s="90">
        <v>0</v>
      </c>
      <c r="J1126" s="90">
        <v>0</v>
      </c>
    </row>
    <row r="1127" spans="1:10">
      <c r="A1127" s="85" t="s">
        <v>100</v>
      </c>
      <c r="B1127" s="85" t="s">
        <v>12</v>
      </c>
      <c r="C1127" s="86">
        <v>0.48958333333333298</v>
      </c>
      <c r="D1127" s="91">
        <v>0</v>
      </c>
      <c r="E1127" s="91">
        <v>0</v>
      </c>
      <c r="F1127" s="91">
        <v>0</v>
      </c>
      <c r="G1127" s="91">
        <v>0</v>
      </c>
      <c r="H1127" s="91">
        <v>0</v>
      </c>
      <c r="I1127" s="91">
        <v>0</v>
      </c>
      <c r="J1127" s="91">
        <v>0</v>
      </c>
    </row>
    <row r="1128" spans="1:10">
      <c r="A1128" s="85" t="s">
        <v>100</v>
      </c>
      <c r="B1128" s="85" t="s">
        <v>12</v>
      </c>
      <c r="C1128" s="86">
        <v>0.49027777777777798</v>
      </c>
      <c r="D1128" s="87">
        <v>0</v>
      </c>
      <c r="E1128" s="87">
        <v>0</v>
      </c>
      <c r="F1128" s="87">
        <v>0</v>
      </c>
      <c r="G1128" s="87">
        <v>0</v>
      </c>
      <c r="H1128" s="87">
        <v>0</v>
      </c>
      <c r="I1128" s="87">
        <v>0</v>
      </c>
      <c r="J1128" s="87">
        <v>0</v>
      </c>
    </row>
    <row r="1129" spans="1:10">
      <c r="A1129" s="85" t="s">
        <v>100</v>
      </c>
      <c r="B1129" s="85" t="s">
        <v>12</v>
      </c>
      <c r="C1129" s="86">
        <v>0.49097222222222198</v>
      </c>
      <c r="D1129" s="87">
        <v>0</v>
      </c>
      <c r="E1129" s="87">
        <v>0</v>
      </c>
      <c r="F1129" s="87">
        <v>0</v>
      </c>
      <c r="G1129" s="87">
        <v>0</v>
      </c>
      <c r="H1129" s="87">
        <v>0</v>
      </c>
      <c r="I1129" s="87">
        <v>0</v>
      </c>
      <c r="J1129" s="87">
        <v>0</v>
      </c>
    </row>
    <row r="1130" spans="1:10">
      <c r="A1130" s="85" t="s">
        <v>100</v>
      </c>
      <c r="B1130" s="85" t="s">
        <v>12</v>
      </c>
      <c r="C1130" s="86">
        <v>0.49166666666666697</v>
      </c>
      <c r="D1130" s="87">
        <v>0</v>
      </c>
      <c r="E1130" s="87">
        <v>0</v>
      </c>
      <c r="F1130" s="87">
        <v>0</v>
      </c>
      <c r="G1130" s="87">
        <v>0</v>
      </c>
      <c r="H1130" s="87">
        <v>0</v>
      </c>
      <c r="I1130" s="87">
        <v>0</v>
      </c>
      <c r="J1130" s="87">
        <v>0</v>
      </c>
    </row>
    <row r="1131" spans="1:10">
      <c r="A1131" s="85" t="s">
        <v>100</v>
      </c>
      <c r="B1131" s="85" t="s">
        <v>12</v>
      </c>
      <c r="C1131" s="86">
        <v>0.49236111111111103</v>
      </c>
      <c r="D1131" s="87">
        <v>0</v>
      </c>
      <c r="E1131" s="87">
        <v>0</v>
      </c>
      <c r="F1131" s="87">
        <v>0</v>
      </c>
      <c r="G1131" s="87">
        <v>0</v>
      </c>
      <c r="H1131" s="87">
        <v>0</v>
      </c>
      <c r="I1131" s="87">
        <v>0</v>
      </c>
      <c r="J1131" s="87">
        <v>0</v>
      </c>
    </row>
    <row r="1132" spans="1:10">
      <c r="A1132" s="85" t="s">
        <v>100</v>
      </c>
      <c r="B1132" s="85" t="s">
        <v>12</v>
      </c>
      <c r="C1132" s="86">
        <v>0.49305555555555503</v>
      </c>
      <c r="D1132" s="87">
        <v>0</v>
      </c>
      <c r="E1132" s="87">
        <v>0</v>
      </c>
      <c r="F1132" s="87">
        <v>0</v>
      </c>
      <c r="G1132" s="87">
        <v>0</v>
      </c>
      <c r="H1132" s="87">
        <v>0</v>
      </c>
      <c r="I1132" s="87">
        <v>0</v>
      </c>
      <c r="J1132" s="87">
        <v>0</v>
      </c>
    </row>
    <row r="1133" spans="1:10">
      <c r="A1133" s="85" t="s">
        <v>100</v>
      </c>
      <c r="B1133" s="85" t="s">
        <v>12</v>
      </c>
      <c r="C1133" s="86">
        <v>0.49375000000000002</v>
      </c>
      <c r="D1133" s="87">
        <v>0</v>
      </c>
      <c r="E1133" s="87">
        <v>0</v>
      </c>
      <c r="F1133" s="87">
        <v>0</v>
      </c>
      <c r="G1133" s="87">
        <v>0</v>
      </c>
      <c r="H1133" s="87">
        <v>0</v>
      </c>
      <c r="I1133" s="87">
        <v>0</v>
      </c>
      <c r="J1133" s="87">
        <v>0</v>
      </c>
    </row>
    <row r="1134" spans="1:10">
      <c r="A1134" s="85" t="s">
        <v>100</v>
      </c>
      <c r="B1134" s="85" t="s">
        <v>12</v>
      </c>
      <c r="C1134" s="86">
        <v>0.49444444444444402</v>
      </c>
      <c r="D1134" s="87">
        <v>0</v>
      </c>
      <c r="E1134" s="87">
        <v>0</v>
      </c>
      <c r="F1134" s="87">
        <v>0</v>
      </c>
      <c r="G1134" s="87">
        <v>0</v>
      </c>
      <c r="H1134" s="87">
        <v>0</v>
      </c>
      <c r="I1134" s="87">
        <v>0</v>
      </c>
      <c r="J1134" s="87">
        <v>0</v>
      </c>
    </row>
    <row r="1135" spans="1:10">
      <c r="A1135" s="85" t="s">
        <v>100</v>
      </c>
      <c r="B1135" s="85" t="s">
        <v>12</v>
      </c>
      <c r="C1135" s="86">
        <v>0.49513888888888902</v>
      </c>
      <c r="D1135" s="87">
        <v>0</v>
      </c>
      <c r="E1135" s="87">
        <v>0</v>
      </c>
      <c r="F1135" s="87">
        <v>0</v>
      </c>
      <c r="G1135" s="87">
        <v>0</v>
      </c>
      <c r="H1135" s="87">
        <v>0</v>
      </c>
      <c r="I1135" s="87">
        <v>0</v>
      </c>
      <c r="J1135" s="87">
        <v>0</v>
      </c>
    </row>
    <row r="1136" spans="1:10">
      <c r="A1136" s="85" t="s">
        <v>100</v>
      </c>
      <c r="B1136" s="85" t="s">
        <v>12</v>
      </c>
      <c r="C1136" s="86">
        <v>0.49583333333333302</v>
      </c>
      <c r="D1136" s="87">
        <v>0</v>
      </c>
      <c r="E1136" s="87">
        <v>0</v>
      </c>
      <c r="F1136" s="87">
        <v>0</v>
      </c>
      <c r="G1136" s="87">
        <v>0</v>
      </c>
      <c r="H1136" s="87">
        <v>0</v>
      </c>
      <c r="I1136" s="87">
        <v>0</v>
      </c>
      <c r="J1136" s="87">
        <v>0</v>
      </c>
    </row>
    <row r="1137" spans="1:10">
      <c r="A1137" s="85" t="s">
        <v>100</v>
      </c>
      <c r="B1137" s="85" t="s">
        <v>12</v>
      </c>
      <c r="C1137" s="86">
        <v>0.49652777777777801</v>
      </c>
      <c r="D1137" s="87">
        <v>0</v>
      </c>
      <c r="E1137" s="87">
        <v>0</v>
      </c>
      <c r="F1137" s="87">
        <v>0</v>
      </c>
      <c r="G1137" s="87">
        <v>0</v>
      </c>
      <c r="H1137" s="87">
        <v>0</v>
      </c>
      <c r="I1137" s="87">
        <v>0</v>
      </c>
      <c r="J1137" s="87">
        <v>0</v>
      </c>
    </row>
    <row r="1138" spans="1:10">
      <c r="A1138" s="85" t="s">
        <v>100</v>
      </c>
      <c r="B1138" s="85" t="s">
        <v>12</v>
      </c>
      <c r="C1138" s="86">
        <v>0.49722222222222201</v>
      </c>
      <c r="D1138" s="87">
        <v>0</v>
      </c>
      <c r="E1138" s="87">
        <v>0</v>
      </c>
      <c r="F1138" s="87">
        <v>0</v>
      </c>
      <c r="G1138" s="87">
        <v>0</v>
      </c>
      <c r="H1138" s="87">
        <v>0</v>
      </c>
      <c r="I1138" s="87">
        <v>0</v>
      </c>
      <c r="J1138" s="87">
        <v>0</v>
      </c>
    </row>
    <row r="1139" spans="1:10">
      <c r="A1139" s="85" t="s">
        <v>100</v>
      </c>
      <c r="B1139" s="85" t="s">
        <v>12</v>
      </c>
      <c r="C1139" s="86">
        <v>0.49791666666666701</v>
      </c>
      <c r="D1139" s="87">
        <v>0</v>
      </c>
      <c r="E1139" s="87">
        <v>0</v>
      </c>
      <c r="F1139" s="87">
        <v>0</v>
      </c>
      <c r="G1139" s="87">
        <v>0</v>
      </c>
      <c r="H1139" s="87">
        <v>0</v>
      </c>
      <c r="I1139" s="87">
        <v>0</v>
      </c>
      <c r="J1139" s="87">
        <v>0</v>
      </c>
    </row>
    <row r="1140" spans="1:10">
      <c r="A1140" s="85" t="s">
        <v>100</v>
      </c>
      <c r="B1140" s="85" t="s">
        <v>12</v>
      </c>
      <c r="C1140" s="86">
        <v>0.49861111111111101</v>
      </c>
      <c r="D1140" s="87">
        <v>0</v>
      </c>
      <c r="E1140" s="87">
        <v>0</v>
      </c>
      <c r="F1140" s="87">
        <v>0</v>
      </c>
      <c r="G1140" s="87">
        <v>0</v>
      </c>
      <c r="H1140" s="87">
        <v>0</v>
      </c>
      <c r="I1140" s="87">
        <v>0</v>
      </c>
      <c r="J1140" s="87">
        <v>0</v>
      </c>
    </row>
    <row r="1141" spans="1:10" s="78" customFormat="1">
      <c r="A1141" s="88" t="s">
        <v>100</v>
      </c>
      <c r="B1141" s="88" t="s">
        <v>12</v>
      </c>
      <c r="C1141" s="89">
        <v>0.499305555555555</v>
      </c>
      <c r="D1141" s="90">
        <v>0</v>
      </c>
      <c r="E1141" s="90">
        <v>0</v>
      </c>
      <c r="F1141" s="90">
        <v>0</v>
      </c>
      <c r="G1141" s="90">
        <v>0</v>
      </c>
      <c r="H1141" s="90">
        <v>0</v>
      </c>
      <c r="I1141" s="90">
        <v>0</v>
      </c>
      <c r="J1141" s="90">
        <v>0</v>
      </c>
    </row>
    <row r="1142" spans="1:10">
      <c r="A1142" s="85" t="s">
        <v>100</v>
      </c>
      <c r="B1142" s="85" t="s">
        <v>12</v>
      </c>
      <c r="C1142" s="86">
        <v>0.5</v>
      </c>
      <c r="D1142" s="87">
        <v>0</v>
      </c>
      <c r="E1142" s="87">
        <v>0</v>
      </c>
      <c r="F1142" s="87">
        <v>0</v>
      </c>
      <c r="G1142" s="87">
        <v>0</v>
      </c>
      <c r="H1142" s="87">
        <v>0</v>
      </c>
      <c r="I1142" s="87">
        <v>0</v>
      </c>
      <c r="J1142" s="87">
        <v>0</v>
      </c>
    </row>
    <row r="1143" spans="1:10">
      <c r="A1143" s="85" t="s">
        <v>100</v>
      </c>
      <c r="B1143" s="85" t="s">
        <v>12</v>
      </c>
      <c r="C1143" s="86">
        <v>0.500694444444444</v>
      </c>
      <c r="D1143" s="87">
        <v>0</v>
      </c>
      <c r="E1143" s="87">
        <v>0</v>
      </c>
      <c r="F1143" s="87">
        <v>0</v>
      </c>
      <c r="G1143" s="87">
        <v>0</v>
      </c>
      <c r="H1143" s="87">
        <v>0</v>
      </c>
      <c r="I1143" s="87">
        <v>0</v>
      </c>
      <c r="J1143" s="87">
        <v>0</v>
      </c>
    </row>
    <row r="1144" spans="1:10">
      <c r="A1144" s="85" t="s">
        <v>100</v>
      </c>
      <c r="B1144" s="85" t="s">
        <v>12</v>
      </c>
      <c r="C1144" s="86">
        <v>0.50138888888888899</v>
      </c>
      <c r="D1144" s="87">
        <v>0</v>
      </c>
      <c r="E1144" s="87">
        <v>0</v>
      </c>
      <c r="F1144" s="87">
        <v>0</v>
      </c>
      <c r="G1144" s="87">
        <v>0</v>
      </c>
      <c r="H1144" s="87">
        <v>0</v>
      </c>
      <c r="I1144" s="87">
        <v>0</v>
      </c>
      <c r="J1144" s="87">
        <v>0</v>
      </c>
    </row>
    <row r="1145" spans="1:10">
      <c r="A1145" s="85" t="s">
        <v>100</v>
      </c>
      <c r="B1145" s="85" t="s">
        <v>12</v>
      </c>
      <c r="C1145" s="86">
        <v>0.50208333333333299</v>
      </c>
      <c r="D1145" s="87">
        <v>0</v>
      </c>
      <c r="E1145" s="87">
        <v>0</v>
      </c>
      <c r="F1145" s="87">
        <v>0</v>
      </c>
      <c r="G1145" s="87">
        <v>0</v>
      </c>
      <c r="H1145" s="87">
        <v>0</v>
      </c>
      <c r="I1145" s="87">
        <v>0</v>
      </c>
      <c r="J1145" s="87">
        <v>0</v>
      </c>
    </row>
    <row r="1146" spans="1:10">
      <c r="A1146" s="85" t="s">
        <v>100</v>
      </c>
      <c r="B1146" s="85" t="s">
        <v>12</v>
      </c>
      <c r="C1146" s="86">
        <v>0.50277777777777799</v>
      </c>
      <c r="D1146" s="87">
        <v>0</v>
      </c>
      <c r="E1146" s="87">
        <v>0</v>
      </c>
      <c r="F1146" s="87">
        <v>0</v>
      </c>
      <c r="G1146" s="87">
        <v>0</v>
      </c>
      <c r="H1146" s="87">
        <v>0</v>
      </c>
      <c r="I1146" s="87">
        <v>0</v>
      </c>
      <c r="J1146" s="87">
        <v>0</v>
      </c>
    </row>
    <row r="1147" spans="1:10">
      <c r="A1147" s="85" t="s">
        <v>100</v>
      </c>
      <c r="B1147" s="85" t="s">
        <v>12</v>
      </c>
      <c r="C1147" s="86">
        <v>0.50347222222222199</v>
      </c>
      <c r="D1147" s="87">
        <v>0</v>
      </c>
      <c r="E1147" s="87">
        <v>0</v>
      </c>
      <c r="F1147" s="87">
        <v>0</v>
      </c>
      <c r="G1147" s="87">
        <v>0</v>
      </c>
      <c r="H1147" s="87">
        <v>0</v>
      </c>
      <c r="I1147" s="87">
        <v>0</v>
      </c>
      <c r="J1147" s="87">
        <v>0</v>
      </c>
    </row>
    <row r="1148" spans="1:10">
      <c r="A1148" s="85" t="s">
        <v>100</v>
      </c>
      <c r="B1148" s="85" t="s">
        <v>12</v>
      </c>
      <c r="C1148" s="86">
        <v>0.50416666666666698</v>
      </c>
      <c r="D1148" s="87">
        <v>0</v>
      </c>
      <c r="E1148" s="87">
        <v>0</v>
      </c>
      <c r="F1148" s="87">
        <v>0</v>
      </c>
      <c r="G1148" s="87">
        <v>0</v>
      </c>
      <c r="H1148" s="87">
        <v>0</v>
      </c>
      <c r="I1148" s="87">
        <v>0</v>
      </c>
      <c r="J1148" s="87">
        <v>0</v>
      </c>
    </row>
    <row r="1149" spans="1:10">
      <c r="A1149" s="85" t="s">
        <v>100</v>
      </c>
      <c r="B1149" s="85" t="s">
        <v>12</v>
      </c>
      <c r="C1149" s="86">
        <v>0.50486111111111098</v>
      </c>
      <c r="D1149" s="87">
        <v>0</v>
      </c>
      <c r="E1149" s="87">
        <v>0</v>
      </c>
      <c r="F1149" s="87">
        <v>0</v>
      </c>
      <c r="G1149" s="87">
        <v>0</v>
      </c>
      <c r="H1149" s="87">
        <v>0</v>
      </c>
      <c r="I1149" s="87">
        <v>0</v>
      </c>
      <c r="J1149" s="87">
        <v>0</v>
      </c>
    </row>
    <row r="1150" spans="1:10">
      <c r="A1150" s="85" t="s">
        <v>100</v>
      </c>
      <c r="B1150" s="85" t="s">
        <v>12</v>
      </c>
      <c r="C1150" s="86">
        <v>0.50555555555555498</v>
      </c>
      <c r="D1150" s="87">
        <v>0</v>
      </c>
      <c r="E1150" s="87">
        <v>0</v>
      </c>
      <c r="F1150" s="87">
        <v>0</v>
      </c>
      <c r="G1150" s="87">
        <v>0</v>
      </c>
      <c r="H1150" s="87">
        <v>0</v>
      </c>
      <c r="I1150" s="87">
        <v>0</v>
      </c>
      <c r="J1150" s="87">
        <v>0</v>
      </c>
    </row>
    <row r="1151" spans="1:10">
      <c r="A1151" s="85" t="s">
        <v>100</v>
      </c>
      <c r="B1151" s="85" t="s">
        <v>12</v>
      </c>
      <c r="C1151" s="86">
        <v>0.50624999999999998</v>
      </c>
      <c r="D1151" s="87">
        <v>0</v>
      </c>
      <c r="E1151" s="87">
        <v>0</v>
      </c>
      <c r="F1151" s="87">
        <v>0</v>
      </c>
      <c r="G1151" s="87">
        <v>0</v>
      </c>
      <c r="H1151" s="87">
        <v>0</v>
      </c>
      <c r="I1151" s="87">
        <v>0</v>
      </c>
      <c r="J1151" s="87">
        <v>0</v>
      </c>
    </row>
    <row r="1152" spans="1:10">
      <c r="A1152" s="85" t="s">
        <v>100</v>
      </c>
      <c r="B1152" s="85" t="s">
        <v>12</v>
      </c>
      <c r="C1152" s="86">
        <v>0.50694444444444398</v>
      </c>
      <c r="D1152" s="87">
        <v>0</v>
      </c>
      <c r="E1152" s="87">
        <v>0</v>
      </c>
      <c r="F1152" s="87">
        <v>0</v>
      </c>
      <c r="G1152" s="87">
        <v>0</v>
      </c>
      <c r="H1152" s="87">
        <v>0</v>
      </c>
      <c r="I1152" s="87">
        <v>0</v>
      </c>
      <c r="J1152" s="87">
        <v>0</v>
      </c>
    </row>
    <row r="1153" spans="1:10">
      <c r="A1153" s="85" t="s">
        <v>100</v>
      </c>
      <c r="B1153" s="85" t="s">
        <v>12</v>
      </c>
      <c r="C1153" s="86">
        <v>0.50763888888888897</v>
      </c>
      <c r="D1153" s="87">
        <v>0</v>
      </c>
      <c r="E1153" s="87">
        <v>0</v>
      </c>
      <c r="F1153" s="87">
        <v>0</v>
      </c>
      <c r="G1153" s="87">
        <v>0</v>
      </c>
      <c r="H1153" s="87">
        <v>0</v>
      </c>
      <c r="I1153" s="87">
        <v>0</v>
      </c>
      <c r="J1153" s="87">
        <v>0</v>
      </c>
    </row>
    <row r="1154" spans="1:10">
      <c r="A1154" s="85" t="s">
        <v>100</v>
      </c>
      <c r="B1154" s="85" t="s">
        <v>12</v>
      </c>
      <c r="C1154" s="86">
        <v>0.50833333333333297</v>
      </c>
      <c r="D1154" s="87">
        <v>0</v>
      </c>
      <c r="E1154" s="87">
        <v>0</v>
      </c>
      <c r="F1154" s="87">
        <v>0</v>
      </c>
      <c r="G1154" s="87">
        <v>0</v>
      </c>
      <c r="H1154" s="87">
        <v>0</v>
      </c>
      <c r="I1154" s="87">
        <v>0</v>
      </c>
      <c r="J1154" s="87">
        <v>0</v>
      </c>
    </row>
    <row r="1155" spans="1:10">
      <c r="A1155" s="85" t="s">
        <v>100</v>
      </c>
      <c r="B1155" s="85" t="s">
        <v>12</v>
      </c>
      <c r="C1155" s="86">
        <v>0.50902777777777797</v>
      </c>
      <c r="D1155" s="87">
        <v>0</v>
      </c>
      <c r="E1155" s="87">
        <v>0</v>
      </c>
      <c r="F1155" s="87">
        <v>0</v>
      </c>
      <c r="G1155" s="87">
        <v>0</v>
      </c>
      <c r="H1155" s="87">
        <v>0</v>
      </c>
      <c r="I1155" s="87">
        <v>0</v>
      </c>
      <c r="J1155" s="87">
        <v>0</v>
      </c>
    </row>
    <row r="1156" spans="1:10" s="78" customFormat="1">
      <c r="A1156" s="88" t="s">
        <v>100</v>
      </c>
      <c r="B1156" s="88" t="s">
        <v>12</v>
      </c>
      <c r="C1156" s="89">
        <v>0.50972222222222197</v>
      </c>
      <c r="D1156" s="90">
        <v>0</v>
      </c>
      <c r="E1156" s="90">
        <v>0</v>
      </c>
      <c r="F1156" s="90">
        <v>0</v>
      </c>
      <c r="G1156" s="90">
        <v>0</v>
      </c>
      <c r="H1156" s="90">
        <v>0</v>
      </c>
      <c r="I1156" s="90">
        <v>0</v>
      </c>
      <c r="J1156" s="90">
        <v>0</v>
      </c>
    </row>
    <row r="1157" spans="1:10">
      <c r="A1157" s="85" t="s">
        <v>100</v>
      </c>
      <c r="B1157" s="85" t="s">
        <v>12</v>
      </c>
      <c r="C1157" s="86">
        <v>0.51041666666666596</v>
      </c>
      <c r="D1157" s="87">
        <v>0</v>
      </c>
      <c r="E1157" s="87">
        <v>0</v>
      </c>
      <c r="F1157" s="87">
        <v>0</v>
      </c>
      <c r="G1157" s="87">
        <v>0</v>
      </c>
      <c r="H1157" s="87">
        <v>0</v>
      </c>
      <c r="I1157" s="87">
        <v>0</v>
      </c>
      <c r="J1157" s="87">
        <v>0</v>
      </c>
    </row>
    <row r="1158" spans="1:10">
      <c r="A1158" s="85" t="s">
        <v>100</v>
      </c>
      <c r="B1158" s="85" t="s">
        <v>12</v>
      </c>
      <c r="C1158" s="86">
        <v>0.51111111111111096</v>
      </c>
      <c r="D1158" s="87">
        <v>0</v>
      </c>
      <c r="E1158" s="87">
        <v>0</v>
      </c>
      <c r="F1158" s="87">
        <v>0</v>
      </c>
      <c r="G1158" s="87">
        <v>0</v>
      </c>
      <c r="H1158" s="87">
        <v>0</v>
      </c>
      <c r="I1158" s="87">
        <v>0</v>
      </c>
      <c r="J1158" s="87">
        <v>0</v>
      </c>
    </row>
    <row r="1159" spans="1:10">
      <c r="A1159" s="85" t="s">
        <v>100</v>
      </c>
      <c r="B1159" s="85" t="s">
        <v>12</v>
      </c>
      <c r="C1159" s="86">
        <v>0.51180555555555496</v>
      </c>
      <c r="D1159" s="87">
        <v>0</v>
      </c>
      <c r="E1159" s="87">
        <v>0</v>
      </c>
      <c r="F1159" s="87">
        <v>0</v>
      </c>
      <c r="G1159" s="87">
        <v>0</v>
      </c>
      <c r="H1159" s="87">
        <v>0</v>
      </c>
      <c r="I1159" s="87">
        <v>0</v>
      </c>
      <c r="J1159" s="87">
        <v>0</v>
      </c>
    </row>
    <row r="1160" spans="1:10">
      <c r="A1160" s="85" t="s">
        <v>100</v>
      </c>
      <c r="B1160" s="85" t="s">
        <v>12</v>
      </c>
      <c r="C1160" s="86">
        <v>0.51249999999999996</v>
      </c>
      <c r="D1160" s="87">
        <v>0</v>
      </c>
      <c r="E1160" s="87">
        <v>0</v>
      </c>
      <c r="F1160" s="87">
        <v>0</v>
      </c>
      <c r="G1160" s="87">
        <v>0</v>
      </c>
      <c r="H1160" s="87">
        <v>0</v>
      </c>
      <c r="I1160" s="87">
        <v>0</v>
      </c>
      <c r="J1160" s="87">
        <v>0</v>
      </c>
    </row>
    <row r="1161" spans="1:10">
      <c r="A1161" s="85" t="s">
        <v>100</v>
      </c>
      <c r="B1161" s="85" t="s">
        <v>12</v>
      </c>
      <c r="C1161" s="86">
        <v>0.51319444444444395</v>
      </c>
      <c r="D1161" s="87">
        <v>0</v>
      </c>
      <c r="E1161" s="87">
        <v>0</v>
      </c>
      <c r="F1161" s="87">
        <v>0</v>
      </c>
      <c r="G1161" s="87">
        <v>0</v>
      </c>
      <c r="H1161" s="87">
        <v>0</v>
      </c>
      <c r="I1161" s="87">
        <v>0</v>
      </c>
      <c r="J1161" s="87">
        <v>0</v>
      </c>
    </row>
    <row r="1162" spans="1:10">
      <c r="A1162" s="85" t="s">
        <v>100</v>
      </c>
      <c r="B1162" s="85" t="s">
        <v>12</v>
      </c>
      <c r="C1162" s="86">
        <v>0.51388888888888895</v>
      </c>
      <c r="D1162" s="87">
        <v>0</v>
      </c>
      <c r="E1162" s="87">
        <v>0</v>
      </c>
      <c r="F1162" s="87">
        <v>0</v>
      </c>
      <c r="G1162" s="87">
        <v>0</v>
      </c>
      <c r="H1162" s="87">
        <v>0</v>
      </c>
      <c r="I1162" s="87">
        <v>0</v>
      </c>
      <c r="J1162" s="87">
        <v>0</v>
      </c>
    </row>
    <row r="1163" spans="1:10">
      <c r="A1163" s="85" t="s">
        <v>100</v>
      </c>
      <c r="B1163" s="85" t="s">
        <v>12</v>
      </c>
      <c r="C1163" s="86">
        <v>0.51458333333333295</v>
      </c>
      <c r="D1163" s="87">
        <v>0</v>
      </c>
      <c r="E1163" s="87">
        <v>0</v>
      </c>
      <c r="F1163" s="87">
        <v>0</v>
      </c>
      <c r="G1163" s="87">
        <v>0</v>
      </c>
      <c r="H1163" s="87">
        <v>0</v>
      </c>
      <c r="I1163" s="87">
        <v>0</v>
      </c>
      <c r="J1163" s="87">
        <v>0</v>
      </c>
    </row>
    <row r="1164" spans="1:10">
      <c r="A1164" s="85" t="s">
        <v>100</v>
      </c>
      <c r="B1164" s="85" t="s">
        <v>12</v>
      </c>
      <c r="C1164" s="86">
        <v>0.51527777777777795</v>
      </c>
      <c r="D1164" s="87">
        <v>0</v>
      </c>
      <c r="E1164" s="87">
        <v>0</v>
      </c>
      <c r="F1164" s="87">
        <v>0</v>
      </c>
      <c r="G1164" s="87">
        <v>0</v>
      </c>
      <c r="H1164" s="87">
        <v>0</v>
      </c>
      <c r="I1164" s="87">
        <v>0</v>
      </c>
      <c r="J1164" s="87">
        <v>0</v>
      </c>
    </row>
    <row r="1165" spans="1:10">
      <c r="A1165" s="85" t="s">
        <v>100</v>
      </c>
      <c r="B1165" s="85" t="s">
        <v>12</v>
      </c>
      <c r="C1165" s="86">
        <v>0.51597222222222205</v>
      </c>
      <c r="D1165" s="87">
        <v>0</v>
      </c>
      <c r="E1165" s="87">
        <v>0</v>
      </c>
      <c r="F1165" s="87">
        <v>0</v>
      </c>
      <c r="G1165" s="87">
        <v>0</v>
      </c>
      <c r="H1165" s="87">
        <v>0</v>
      </c>
      <c r="I1165" s="87">
        <v>0</v>
      </c>
      <c r="J1165" s="87">
        <v>0</v>
      </c>
    </row>
    <row r="1166" spans="1:10">
      <c r="A1166" s="85" t="s">
        <v>100</v>
      </c>
      <c r="B1166" s="85" t="s">
        <v>12</v>
      </c>
      <c r="C1166" s="86">
        <v>0.51666666666666605</v>
      </c>
      <c r="D1166" s="87">
        <v>0</v>
      </c>
      <c r="E1166" s="87">
        <v>0</v>
      </c>
      <c r="F1166" s="87">
        <v>0</v>
      </c>
      <c r="G1166" s="87">
        <v>0</v>
      </c>
      <c r="H1166" s="87">
        <v>0</v>
      </c>
      <c r="I1166" s="87">
        <v>0</v>
      </c>
      <c r="J1166" s="87">
        <v>0</v>
      </c>
    </row>
    <row r="1167" spans="1:10">
      <c r="A1167" s="85" t="s">
        <v>100</v>
      </c>
      <c r="B1167" s="85" t="s">
        <v>12</v>
      </c>
      <c r="C1167" s="86">
        <v>0.51736111111111105</v>
      </c>
      <c r="D1167" s="87">
        <v>0</v>
      </c>
      <c r="E1167" s="87">
        <v>0</v>
      </c>
      <c r="F1167" s="87">
        <v>0</v>
      </c>
      <c r="G1167" s="87">
        <v>0</v>
      </c>
      <c r="H1167" s="87">
        <v>0</v>
      </c>
      <c r="I1167" s="87">
        <v>0</v>
      </c>
      <c r="J1167" s="87">
        <v>0</v>
      </c>
    </row>
    <row r="1168" spans="1:10">
      <c r="A1168" s="85" t="s">
        <v>100</v>
      </c>
      <c r="B1168" s="85" t="s">
        <v>12</v>
      </c>
      <c r="C1168" s="86">
        <v>0.51805555555555505</v>
      </c>
      <c r="D1168" s="87">
        <v>0</v>
      </c>
      <c r="E1168" s="87">
        <v>0</v>
      </c>
      <c r="F1168" s="87">
        <v>0</v>
      </c>
      <c r="G1168" s="87">
        <v>0</v>
      </c>
      <c r="H1168" s="87">
        <v>0</v>
      </c>
      <c r="I1168" s="87">
        <v>0</v>
      </c>
      <c r="J1168" s="87">
        <v>0</v>
      </c>
    </row>
    <row r="1169" spans="1:10">
      <c r="A1169" s="85" t="s">
        <v>100</v>
      </c>
      <c r="B1169" s="85" t="s">
        <v>12</v>
      </c>
      <c r="C1169" s="86">
        <v>0.51875000000000004</v>
      </c>
      <c r="D1169" s="87">
        <v>0</v>
      </c>
      <c r="E1169" s="87">
        <v>0</v>
      </c>
      <c r="F1169" s="87">
        <v>0</v>
      </c>
      <c r="G1169" s="87">
        <v>0</v>
      </c>
      <c r="H1169" s="87">
        <v>0</v>
      </c>
      <c r="I1169" s="87">
        <v>0</v>
      </c>
      <c r="J1169" s="87">
        <v>0</v>
      </c>
    </row>
    <row r="1170" spans="1:10">
      <c r="A1170" s="85" t="s">
        <v>100</v>
      </c>
      <c r="B1170" s="85" t="s">
        <v>12</v>
      </c>
      <c r="C1170" s="86">
        <v>0.51944444444444404</v>
      </c>
      <c r="D1170" s="87">
        <v>0</v>
      </c>
      <c r="E1170" s="87">
        <v>0</v>
      </c>
      <c r="F1170" s="87">
        <v>0</v>
      </c>
      <c r="G1170" s="87">
        <v>0</v>
      </c>
      <c r="H1170" s="87">
        <v>0</v>
      </c>
      <c r="I1170" s="87">
        <v>0</v>
      </c>
      <c r="J1170" s="87">
        <v>0</v>
      </c>
    </row>
    <row r="1171" spans="1:10" s="78" customFormat="1">
      <c r="A1171" s="88" t="s">
        <v>100</v>
      </c>
      <c r="B1171" s="88" t="s">
        <v>12</v>
      </c>
      <c r="C1171" s="89">
        <v>0.52013888888888904</v>
      </c>
      <c r="D1171" s="90">
        <v>0</v>
      </c>
      <c r="E1171" s="90">
        <v>0</v>
      </c>
      <c r="F1171" s="90">
        <v>0</v>
      </c>
      <c r="G1171" s="90">
        <v>0</v>
      </c>
      <c r="H1171" s="90">
        <v>0</v>
      </c>
      <c r="I1171" s="90">
        <v>0</v>
      </c>
      <c r="J1171" s="90">
        <v>0</v>
      </c>
    </row>
    <row r="1172" spans="1:10">
      <c r="A1172" s="85" t="s">
        <v>100</v>
      </c>
      <c r="B1172" s="85" t="s">
        <v>12</v>
      </c>
      <c r="C1172" s="86">
        <v>0.52083333333333304</v>
      </c>
      <c r="D1172" s="91">
        <v>0</v>
      </c>
      <c r="E1172" s="91">
        <v>0</v>
      </c>
      <c r="F1172" s="91">
        <v>0</v>
      </c>
      <c r="G1172" s="91">
        <v>0</v>
      </c>
      <c r="H1172" s="91">
        <v>0</v>
      </c>
      <c r="I1172" s="91">
        <v>0</v>
      </c>
      <c r="J1172" s="91">
        <v>0</v>
      </c>
    </row>
    <row r="1173" spans="1:10">
      <c r="A1173" s="85" t="s">
        <v>100</v>
      </c>
      <c r="B1173" s="85" t="s">
        <v>12</v>
      </c>
      <c r="C1173" s="86">
        <v>0.52152777777777704</v>
      </c>
      <c r="D1173" s="87">
        <v>0</v>
      </c>
      <c r="E1173" s="87">
        <v>0</v>
      </c>
      <c r="F1173" s="87">
        <v>0</v>
      </c>
      <c r="G1173" s="87">
        <v>0</v>
      </c>
      <c r="H1173" s="87">
        <v>0</v>
      </c>
      <c r="I1173" s="87">
        <v>0</v>
      </c>
      <c r="J1173" s="87">
        <v>0</v>
      </c>
    </row>
    <row r="1174" spans="1:10">
      <c r="A1174" s="85" t="s">
        <v>100</v>
      </c>
      <c r="B1174" s="85" t="s">
        <v>12</v>
      </c>
      <c r="C1174" s="86">
        <v>0.52222222222222203</v>
      </c>
      <c r="D1174" s="87">
        <v>0</v>
      </c>
      <c r="E1174" s="87">
        <v>0</v>
      </c>
      <c r="F1174" s="87">
        <v>0</v>
      </c>
      <c r="G1174" s="87">
        <v>0</v>
      </c>
      <c r="H1174" s="87">
        <v>0</v>
      </c>
      <c r="I1174" s="87">
        <v>0</v>
      </c>
      <c r="J1174" s="87">
        <v>0</v>
      </c>
    </row>
    <row r="1175" spans="1:10">
      <c r="A1175" s="85" t="s">
        <v>100</v>
      </c>
      <c r="B1175" s="85" t="s">
        <v>12</v>
      </c>
      <c r="C1175" s="86">
        <v>0.52291666666666603</v>
      </c>
      <c r="D1175" s="87">
        <v>0</v>
      </c>
      <c r="E1175" s="87">
        <v>0</v>
      </c>
      <c r="F1175" s="87">
        <v>0</v>
      </c>
      <c r="G1175" s="87">
        <v>0</v>
      </c>
      <c r="H1175" s="87">
        <v>0</v>
      </c>
      <c r="I1175" s="87">
        <v>0</v>
      </c>
      <c r="J1175" s="87">
        <v>0</v>
      </c>
    </row>
    <row r="1176" spans="1:10">
      <c r="A1176" s="85" t="s">
        <v>100</v>
      </c>
      <c r="B1176" s="85" t="s">
        <v>12</v>
      </c>
      <c r="C1176" s="86">
        <v>0.52361111111111103</v>
      </c>
      <c r="D1176" s="87">
        <v>0</v>
      </c>
      <c r="E1176" s="87">
        <v>0</v>
      </c>
      <c r="F1176" s="87">
        <v>0</v>
      </c>
      <c r="G1176" s="87">
        <v>0</v>
      </c>
      <c r="H1176" s="87">
        <v>0</v>
      </c>
      <c r="I1176" s="87">
        <v>0</v>
      </c>
      <c r="J1176" s="87">
        <v>0</v>
      </c>
    </row>
    <row r="1177" spans="1:10">
      <c r="A1177" s="85" t="s">
        <v>100</v>
      </c>
      <c r="B1177" s="85" t="s">
        <v>12</v>
      </c>
      <c r="C1177" s="86">
        <v>0.52430555555555503</v>
      </c>
      <c r="D1177" s="87">
        <v>0</v>
      </c>
      <c r="E1177" s="87">
        <v>0</v>
      </c>
      <c r="F1177" s="87">
        <v>0</v>
      </c>
      <c r="G1177" s="87">
        <v>0</v>
      </c>
      <c r="H1177" s="87">
        <v>0</v>
      </c>
      <c r="I1177" s="87">
        <v>0</v>
      </c>
      <c r="J1177" s="87">
        <v>0</v>
      </c>
    </row>
    <row r="1178" spans="1:10">
      <c r="A1178" s="85" t="s">
        <v>100</v>
      </c>
      <c r="B1178" s="85" t="s">
        <v>12</v>
      </c>
      <c r="C1178" s="86">
        <v>0.52500000000000002</v>
      </c>
      <c r="D1178" s="87">
        <v>0</v>
      </c>
      <c r="E1178" s="87">
        <v>0</v>
      </c>
      <c r="F1178" s="87">
        <v>0</v>
      </c>
      <c r="G1178" s="87">
        <v>0</v>
      </c>
      <c r="H1178" s="87">
        <v>0</v>
      </c>
      <c r="I1178" s="87">
        <v>0</v>
      </c>
      <c r="J1178" s="87">
        <v>0</v>
      </c>
    </row>
    <row r="1179" spans="1:10">
      <c r="A1179" s="85" t="s">
        <v>100</v>
      </c>
      <c r="B1179" s="85" t="s">
        <v>12</v>
      </c>
      <c r="C1179" s="86">
        <v>0.52569444444444402</v>
      </c>
      <c r="D1179" s="87">
        <v>0</v>
      </c>
      <c r="E1179" s="87">
        <v>0</v>
      </c>
      <c r="F1179" s="87">
        <v>0</v>
      </c>
      <c r="G1179" s="87">
        <v>0</v>
      </c>
      <c r="H1179" s="87">
        <v>0</v>
      </c>
      <c r="I1179" s="87">
        <v>0</v>
      </c>
      <c r="J1179" s="87">
        <v>0</v>
      </c>
    </row>
    <row r="1180" spans="1:10">
      <c r="A1180" s="85" t="s">
        <v>100</v>
      </c>
      <c r="B1180" s="85" t="s">
        <v>12</v>
      </c>
      <c r="C1180" s="86">
        <v>0.52638888888888902</v>
      </c>
      <c r="D1180" s="87">
        <v>0</v>
      </c>
      <c r="E1180" s="87">
        <v>0</v>
      </c>
      <c r="F1180" s="87">
        <v>0</v>
      </c>
      <c r="G1180" s="87">
        <v>0</v>
      </c>
      <c r="H1180" s="87">
        <v>0</v>
      </c>
      <c r="I1180" s="87">
        <v>0</v>
      </c>
      <c r="J1180" s="87">
        <v>0</v>
      </c>
    </row>
    <row r="1181" spans="1:10">
      <c r="A1181" s="85" t="s">
        <v>100</v>
      </c>
      <c r="B1181" s="85" t="s">
        <v>12</v>
      </c>
      <c r="C1181" s="86">
        <v>0.52708333333333302</v>
      </c>
      <c r="D1181" s="87">
        <v>0</v>
      </c>
      <c r="E1181" s="87">
        <v>0</v>
      </c>
      <c r="F1181" s="87">
        <v>0</v>
      </c>
      <c r="G1181" s="87">
        <v>0</v>
      </c>
      <c r="H1181" s="87">
        <v>0</v>
      </c>
      <c r="I1181" s="87">
        <v>0</v>
      </c>
      <c r="J1181" s="87">
        <v>0</v>
      </c>
    </row>
    <row r="1182" spans="1:10">
      <c r="A1182" s="85" t="s">
        <v>100</v>
      </c>
      <c r="B1182" s="85" t="s">
        <v>12</v>
      </c>
      <c r="C1182" s="86">
        <v>0.52777777777777701</v>
      </c>
      <c r="D1182" s="87">
        <v>0</v>
      </c>
      <c r="E1182" s="87">
        <v>0</v>
      </c>
      <c r="F1182" s="87">
        <v>0</v>
      </c>
      <c r="G1182" s="87">
        <v>0</v>
      </c>
      <c r="H1182" s="87">
        <v>0</v>
      </c>
      <c r="I1182" s="87">
        <v>0</v>
      </c>
      <c r="J1182" s="87">
        <v>0</v>
      </c>
    </row>
    <row r="1183" spans="1:10">
      <c r="A1183" s="85" t="s">
        <v>100</v>
      </c>
      <c r="B1183" s="85" t="s">
        <v>12</v>
      </c>
      <c r="C1183" s="86">
        <v>0.52847222222222201</v>
      </c>
      <c r="D1183" s="87">
        <v>0</v>
      </c>
      <c r="E1183" s="87">
        <v>0</v>
      </c>
      <c r="F1183" s="87">
        <v>0</v>
      </c>
      <c r="G1183" s="87">
        <v>0</v>
      </c>
      <c r="H1183" s="87">
        <v>0</v>
      </c>
      <c r="I1183" s="87">
        <v>0</v>
      </c>
      <c r="J1183" s="87">
        <v>0</v>
      </c>
    </row>
    <row r="1184" spans="1:10">
      <c r="A1184" s="85" t="s">
        <v>100</v>
      </c>
      <c r="B1184" s="85" t="s">
        <v>12</v>
      </c>
      <c r="C1184" s="86">
        <v>0.52916666666666601</v>
      </c>
      <c r="D1184" s="87">
        <v>0</v>
      </c>
      <c r="E1184" s="87">
        <v>0</v>
      </c>
      <c r="F1184" s="87">
        <v>0</v>
      </c>
      <c r="G1184" s="87">
        <v>0</v>
      </c>
      <c r="H1184" s="87">
        <v>0</v>
      </c>
      <c r="I1184" s="87">
        <v>0</v>
      </c>
      <c r="J1184" s="87">
        <v>0</v>
      </c>
    </row>
    <row r="1185" spans="1:10">
      <c r="A1185" s="85" t="s">
        <v>100</v>
      </c>
      <c r="B1185" s="85" t="s">
        <v>12</v>
      </c>
      <c r="C1185" s="86">
        <v>0.52986111111111101</v>
      </c>
      <c r="D1185" s="87">
        <v>0</v>
      </c>
      <c r="E1185" s="87">
        <v>0</v>
      </c>
      <c r="F1185" s="87">
        <v>0</v>
      </c>
      <c r="G1185" s="87">
        <v>0</v>
      </c>
      <c r="H1185" s="87">
        <v>0</v>
      </c>
      <c r="I1185" s="87">
        <v>0</v>
      </c>
      <c r="J1185" s="87">
        <v>0</v>
      </c>
    </row>
    <row r="1186" spans="1:10" s="78" customFormat="1">
      <c r="A1186" s="88" t="s">
        <v>100</v>
      </c>
      <c r="B1186" s="88" t="s">
        <v>12</v>
      </c>
      <c r="C1186" s="89">
        <v>0.530555555555555</v>
      </c>
      <c r="D1186" s="90">
        <v>0</v>
      </c>
      <c r="E1186" s="90">
        <v>0</v>
      </c>
      <c r="F1186" s="90">
        <v>0</v>
      </c>
      <c r="G1186" s="90">
        <v>0</v>
      </c>
      <c r="H1186" s="90">
        <v>0</v>
      </c>
      <c r="I1186" s="90">
        <v>0</v>
      </c>
      <c r="J1186" s="90">
        <v>0</v>
      </c>
    </row>
    <row r="1187" spans="1:10">
      <c r="A1187" s="85" t="s">
        <v>100</v>
      </c>
      <c r="B1187" s="85" t="s">
        <v>12</v>
      </c>
      <c r="C1187" s="86">
        <v>0.53125</v>
      </c>
      <c r="D1187" s="91">
        <v>0</v>
      </c>
      <c r="E1187" s="91">
        <v>0</v>
      </c>
      <c r="F1187" s="91">
        <v>0</v>
      </c>
      <c r="G1187" s="91">
        <v>0</v>
      </c>
      <c r="H1187" s="91">
        <v>0</v>
      </c>
      <c r="I1187" s="91">
        <v>0</v>
      </c>
      <c r="J1187" s="91">
        <v>0</v>
      </c>
    </row>
    <row r="1188" spans="1:10">
      <c r="A1188" s="85" t="s">
        <v>100</v>
      </c>
      <c r="B1188" s="85" t="s">
        <v>12</v>
      </c>
      <c r="C1188" s="86">
        <v>0.531944444444444</v>
      </c>
      <c r="D1188" s="87">
        <v>0</v>
      </c>
      <c r="E1188" s="87">
        <v>0</v>
      </c>
      <c r="F1188" s="87">
        <v>0</v>
      </c>
      <c r="G1188" s="87">
        <v>0</v>
      </c>
      <c r="H1188" s="87">
        <v>0</v>
      </c>
      <c r="I1188" s="87">
        <v>0</v>
      </c>
      <c r="J1188" s="87">
        <v>0</v>
      </c>
    </row>
    <row r="1189" spans="1:10">
      <c r="A1189" s="85" t="s">
        <v>100</v>
      </c>
      <c r="B1189" s="85" t="s">
        <v>12</v>
      </c>
      <c r="C1189" s="86">
        <v>0.53263888888888899</v>
      </c>
      <c r="D1189" s="87">
        <v>0</v>
      </c>
      <c r="E1189" s="87">
        <v>0</v>
      </c>
      <c r="F1189" s="87">
        <v>0</v>
      </c>
      <c r="G1189" s="87">
        <v>0</v>
      </c>
      <c r="H1189" s="87">
        <v>0</v>
      </c>
      <c r="I1189" s="87">
        <v>0</v>
      </c>
      <c r="J1189" s="87">
        <v>0</v>
      </c>
    </row>
    <row r="1190" spans="1:10">
      <c r="A1190" s="85" t="s">
        <v>100</v>
      </c>
      <c r="B1190" s="85" t="s">
        <v>12</v>
      </c>
      <c r="C1190" s="86">
        <v>0.53333333333333299</v>
      </c>
      <c r="D1190" s="87">
        <v>0</v>
      </c>
      <c r="E1190" s="87">
        <v>0</v>
      </c>
      <c r="F1190" s="87">
        <v>0</v>
      </c>
      <c r="G1190" s="87">
        <v>0</v>
      </c>
      <c r="H1190" s="87">
        <v>0</v>
      </c>
      <c r="I1190" s="87">
        <v>0</v>
      </c>
      <c r="J1190" s="87">
        <v>0</v>
      </c>
    </row>
    <row r="1191" spans="1:10">
      <c r="A1191" s="85" t="s">
        <v>100</v>
      </c>
      <c r="B1191" s="85" t="s">
        <v>12</v>
      </c>
      <c r="C1191" s="86">
        <v>0.53402777777777799</v>
      </c>
      <c r="D1191" s="87">
        <v>0</v>
      </c>
      <c r="E1191" s="87">
        <v>0</v>
      </c>
      <c r="F1191" s="87">
        <v>0</v>
      </c>
      <c r="G1191" s="87">
        <v>0</v>
      </c>
      <c r="H1191" s="87">
        <v>0</v>
      </c>
      <c r="I1191" s="87">
        <v>0</v>
      </c>
      <c r="J1191" s="87">
        <v>0</v>
      </c>
    </row>
    <row r="1192" spans="1:10">
      <c r="A1192" s="85" t="s">
        <v>100</v>
      </c>
      <c r="B1192" s="85" t="s">
        <v>12</v>
      </c>
      <c r="C1192" s="86">
        <v>0.53472222222222199</v>
      </c>
      <c r="D1192" s="87">
        <v>0</v>
      </c>
      <c r="E1192" s="87">
        <v>0</v>
      </c>
      <c r="F1192" s="87">
        <v>0</v>
      </c>
      <c r="G1192" s="87">
        <v>0</v>
      </c>
      <c r="H1192" s="87">
        <v>0</v>
      </c>
      <c r="I1192" s="87">
        <v>0</v>
      </c>
      <c r="J1192" s="87">
        <v>0</v>
      </c>
    </row>
    <row r="1193" spans="1:10">
      <c r="A1193" s="85" t="s">
        <v>100</v>
      </c>
      <c r="B1193" s="85" t="s">
        <v>12</v>
      </c>
      <c r="C1193" s="86">
        <v>0.53541666666666599</v>
      </c>
      <c r="D1193" s="87">
        <v>0</v>
      </c>
      <c r="E1193" s="87">
        <v>0</v>
      </c>
      <c r="F1193" s="87">
        <v>0</v>
      </c>
      <c r="G1193" s="87">
        <v>0</v>
      </c>
      <c r="H1193" s="87">
        <v>0</v>
      </c>
      <c r="I1193" s="87">
        <v>0</v>
      </c>
      <c r="J1193" s="87">
        <v>0</v>
      </c>
    </row>
    <row r="1194" spans="1:10">
      <c r="A1194" s="85" t="s">
        <v>100</v>
      </c>
      <c r="B1194" s="85" t="s">
        <v>12</v>
      </c>
      <c r="C1194" s="86">
        <v>0.53611111111111098</v>
      </c>
      <c r="D1194" s="87">
        <v>0</v>
      </c>
      <c r="E1194" s="87">
        <v>0</v>
      </c>
      <c r="F1194" s="87">
        <v>0</v>
      </c>
      <c r="G1194" s="87">
        <v>0</v>
      </c>
      <c r="H1194" s="87">
        <v>0</v>
      </c>
      <c r="I1194" s="87">
        <v>0</v>
      </c>
      <c r="J1194" s="87">
        <v>0</v>
      </c>
    </row>
    <row r="1195" spans="1:10">
      <c r="A1195" s="85" t="s">
        <v>100</v>
      </c>
      <c r="B1195" s="85" t="s">
        <v>12</v>
      </c>
      <c r="C1195" s="86">
        <v>0.53680555555555498</v>
      </c>
      <c r="D1195" s="87">
        <v>0</v>
      </c>
      <c r="E1195" s="87">
        <v>0</v>
      </c>
      <c r="F1195" s="87">
        <v>0</v>
      </c>
      <c r="G1195" s="87">
        <v>0</v>
      </c>
      <c r="H1195" s="87">
        <v>0</v>
      </c>
      <c r="I1195" s="87">
        <v>0</v>
      </c>
      <c r="J1195" s="87">
        <v>0</v>
      </c>
    </row>
    <row r="1196" spans="1:10">
      <c r="A1196" s="85" t="s">
        <v>100</v>
      </c>
      <c r="B1196" s="85" t="s">
        <v>12</v>
      </c>
      <c r="C1196" s="86">
        <v>0.53749999999999998</v>
      </c>
      <c r="D1196" s="87">
        <v>0</v>
      </c>
      <c r="E1196" s="87">
        <v>0</v>
      </c>
      <c r="F1196" s="87">
        <v>0</v>
      </c>
      <c r="G1196" s="87">
        <v>0</v>
      </c>
      <c r="H1196" s="87">
        <v>0</v>
      </c>
      <c r="I1196" s="87">
        <v>0</v>
      </c>
      <c r="J1196" s="87">
        <v>0</v>
      </c>
    </row>
    <row r="1197" spans="1:10">
      <c r="A1197" s="85" t="s">
        <v>100</v>
      </c>
      <c r="B1197" s="85" t="s">
        <v>12</v>
      </c>
      <c r="C1197" s="86">
        <v>0.53819444444444398</v>
      </c>
      <c r="D1197" s="87">
        <v>0</v>
      </c>
      <c r="E1197" s="87">
        <v>0</v>
      </c>
      <c r="F1197" s="87">
        <v>0</v>
      </c>
      <c r="G1197" s="87">
        <v>0</v>
      </c>
      <c r="H1197" s="87">
        <v>0</v>
      </c>
      <c r="I1197" s="87">
        <v>0</v>
      </c>
      <c r="J1197" s="87">
        <v>0</v>
      </c>
    </row>
    <row r="1198" spans="1:10">
      <c r="A1198" s="85" t="s">
        <v>100</v>
      </c>
      <c r="B1198" s="85" t="s">
        <v>12</v>
      </c>
      <c r="C1198" s="86">
        <v>0.53888888888888897</v>
      </c>
      <c r="D1198" s="87">
        <v>0</v>
      </c>
      <c r="E1198" s="87">
        <v>0</v>
      </c>
      <c r="F1198" s="87">
        <v>0</v>
      </c>
      <c r="G1198" s="87">
        <v>0</v>
      </c>
      <c r="H1198" s="87">
        <v>0</v>
      </c>
      <c r="I1198" s="87">
        <v>0</v>
      </c>
      <c r="J1198" s="87">
        <v>0</v>
      </c>
    </row>
    <row r="1199" spans="1:10">
      <c r="A1199" s="85" t="s">
        <v>100</v>
      </c>
      <c r="B1199" s="85" t="s">
        <v>12</v>
      </c>
      <c r="C1199" s="86">
        <v>0.53958333333333297</v>
      </c>
      <c r="D1199" s="87">
        <v>0</v>
      </c>
      <c r="E1199" s="87">
        <v>0</v>
      </c>
      <c r="F1199" s="87">
        <v>0</v>
      </c>
      <c r="G1199" s="87">
        <v>0</v>
      </c>
      <c r="H1199" s="87">
        <v>0</v>
      </c>
      <c r="I1199" s="87">
        <v>0</v>
      </c>
      <c r="J1199" s="87">
        <v>0</v>
      </c>
    </row>
    <row r="1200" spans="1:10">
      <c r="A1200" s="85" t="s">
        <v>100</v>
      </c>
      <c r="B1200" s="85" t="s">
        <v>12</v>
      </c>
      <c r="C1200" s="86">
        <v>0.54027777777777797</v>
      </c>
      <c r="D1200" s="87">
        <v>0</v>
      </c>
      <c r="E1200" s="87">
        <v>0</v>
      </c>
      <c r="F1200" s="87">
        <v>0</v>
      </c>
      <c r="G1200" s="87">
        <v>0</v>
      </c>
      <c r="H1200" s="87">
        <v>0</v>
      </c>
      <c r="I1200" s="87">
        <v>0</v>
      </c>
      <c r="J1200" s="87">
        <v>0</v>
      </c>
    </row>
    <row r="1201" spans="1:10" s="28" customFormat="1" ht="17.5" thickBot="1">
      <c r="A1201" s="100" t="s">
        <v>100</v>
      </c>
      <c r="B1201" s="100" t="s">
        <v>12</v>
      </c>
      <c r="C1201" s="101">
        <v>0.54097222222222197</v>
      </c>
      <c r="D1201" s="102">
        <v>0</v>
      </c>
      <c r="E1201" s="102">
        <v>0</v>
      </c>
      <c r="F1201" s="102">
        <v>0</v>
      </c>
      <c r="G1201" s="102">
        <v>0</v>
      </c>
      <c r="H1201" s="102">
        <v>0</v>
      </c>
      <c r="I1201" s="102">
        <v>0</v>
      </c>
      <c r="J1201" s="102">
        <v>0</v>
      </c>
    </row>
    <row r="1202" spans="1:10">
      <c r="A1202" s="85" t="s">
        <v>100</v>
      </c>
      <c r="B1202" s="85" t="s">
        <v>13</v>
      </c>
      <c r="C1202" s="86">
        <v>0.45833333333333331</v>
      </c>
      <c r="D1202" s="87">
        <v>0</v>
      </c>
      <c r="E1202" s="87">
        <v>0</v>
      </c>
      <c r="F1202" s="87">
        <v>0</v>
      </c>
      <c r="G1202" s="87">
        <v>0</v>
      </c>
      <c r="H1202" s="87">
        <v>0</v>
      </c>
      <c r="I1202" s="87">
        <v>0</v>
      </c>
      <c r="J1202" s="87">
        <v>0</v>
      </c>
    </row>
    <row r="1203" spans="1:10">
      <c r="A1203" s="85" t="s">
        <v>100</v>
      </c>
      <c r="B1203" s="85" t="s">
        <v>13</v>
      </c>
      <c r="C1203" s="86">
        <v>0.45902777777777776</v>
      </c>
      <c r="D1203" s="87">
        <v>0</v>
      </c>
      <c r="E1203" s="87">
        <v>0</v>
      </c>
      <c r="F1203" s="87">
        <v>0</v>
      </c>
      <c r="G1203" s="87">
        <v>0</v>
      </c>
      <c r="H1203" s="87">
        <v>0</v>
      </c>
      <c r="I1203" s="87">
        <v>0</v>
      </c>
      <c r="J1203" s="87">
        <v>0</v>
      </c>
    </row>
    <row r="1204" spans="1:10">
      <c r="A1204" s="85" t="s">
        <v>100</v>
      </c>
      <c r="B1204" s="85" t="s">
        <v>13</v>
      </c>
      <c r="C1204" s="86">
        <v>0.45972222222222198</v>
      </c>
      <c r="D1204" s="87">
        <v>0</v>
      </c>
      <c r="E1204" s="87">
        <v>0</v>
      </c>
      <c r="F1204" s="87">
        <v>0</v>
      </c>
      <c r="G1204" s="87">
        <v>0</v>
      </c>
      <c r="H1204" s="87">
        <v>0</v>
      </c>
      <c r="I1204" s="87">
        <v>0</v>
      </c>
      <c r="J1204" s="87">
        <v>0</v>
      </c>
    </row>
    <row r="1205" spans="1:10">
      <c r="A1205" s="85" t="s">
        <v>100</v>
      </c>
      <c r="B1205" s="85" t="s">
        <v>13</v>
      </c>
      <c r="C1205" s="86">
        <v>0.46041666666666697</v>
      </c>
      <c r="D1205" s="87">
        <v>0</v>
      </c>
      <c r="E1205" s="87">
        <v>0</v>
      </c>
      <c r="F1205" s="87">
        <v>0</v>
      </c>
      <c r="G1205" s="87">
        <v>0</v>
      </c>
      <c r="H1205" s="87">
        <v>0</v>
      </c>
      <c r="I1205" s="87">
        <v>0</v>
      </c>
      <c r="J1205" s="87">
        <v>0</v>
      </c>
    </row>
    <row r="1206" spans="1:10">
      <c r="A1206" s="85" t="s">
        <v>100</v>
      </c>
      <c r="B1206" s="85" t="s">
        <v>13</v>
      </c>
      <c r="C1206" s="86">
        <v>0.46111111111111103</v>
      </c>
      <c r="D1206" s="87">
        <v>0</v>
      </c>
      <c r="E1206" s="87">
        <v>0</v>
      </c>
      <c r="F1206" s="87">
        <v>0</v>
      </c>
      <c r="G1206" s="87">
        <v>0</v>
      </c>
      <c r="H1206" s="87">
        <v>0</v>
      </c>
      <c r="I1206" s="87">
        <v>0</v>
      </c>
      <c r="J1206" s="87">
        <v>0</v>
      </c>
    </row>
    <row r="1207" spans="1:10">
      <c r="A1207" s="85" t="s">
        <v>100</v>
      </c>
      <c r="B1207" s="85" t="s">
        <v>13</v>
      </c>
      <c r="C1207" s="86">
        <v>0.46180555555555602</v>
      </c>
      <c r="D1207" s="87">
        <v>0</v>
      </c>
      <c r="E1207" s="87">
        <v>0</v>
      </c>
      <c r="F1207" s="87">
        <v>0</v>
      </c>
      <c r="G1207" s="87">
        <v>0</v>
      </c>
      <c r="H1207" s="87">
        <v>0</v>
      </c>
      <c r="I1207" s="87">
        <v>0</v>
      </c>
      <c r="J1207" s="87">
        <v>0</v>
      </c>
    </row>
    <row r="1208" spans="1:10">
      <c r="A1208" s="85" t="s">
        <v>100</v>
      </c>
      <c r="B1208" s="85" t="s">
        <v>13</v>
      </c>
      <c r="C1208" s="86">
        <v>0.46250000000000002</v>
      </c>
      <c r="D1208" s="87">
        <v>0</v>
      </c>
      <c r="E1208" s="87">
        <v>0</v>
      </c>
      <c r="F1208" s="87">
        <v>0</v>
      </c>
      <c r="G1208" s="87">
        <v>0</v>
      </c>
      <c r="H1208" s="87">
        <v>0</v>
      </c>
      <c r="I1208" s="87">
        <v>0</v>
      </c>
      <c r="J1208" s="87">
        <v>0</v>
      </c>
    </row>
    <row r="1209" spans="1:10">
      <c r="A1209" s="85" t="s">
        <v>100</v>
      </c>
      <c r="B1209" s="85" t="s">
        <v>13</v>
      </c>
      <c r="C1209" s="86">
        <v>0.46319444444444402</v>
      </c>
      <c r="D1209" s="87">
        <v>0</v>
      </c>
      <c r="E1209" s="87">
        <v>0</v>
      </c>
      <c r="F1209" s="87">
        <v>0</v>
      </c>
      <c r="G1209" s="87">
        <v>0</v>
      </c>
      <c r="H1209" s="87">
        <v>0</v>
      </c>
      <c r="I1209" s="87">
        <v>0</v>
      </c>
      <c r="J1209" s="87">
        <v>0</v>
      </c>
    </row>
    <row r="1210" spans="1:10">
      <c r="A1210" s="85" t="s">
        <v>100</v>
      </c>
      <c r="B1210" s="85" t="s">
        <v>13</v>
      </c>
      <c r="C1210" s="86">
        <v>0.46388888888888902</v>
      </c>
      <c r="D1210" s="87">
        <v>0</v>
      </c>
      <c r="E1210" s="87">
        <v>0</v>
      </c>
      <c r="F1210" s="87">
        <v>0</v>
      </c>
      <c r="G1210" s="87">
        <v>0</v>
      </c>
      <c r="H1210" s="87">
        <v>0</v>
      </c>
      <c r="I1210" s="87">
        <v>0</v>
      </c>
      <c r="J1210" s="87">
        <v>0</v>
      </c>
    </row>
    <row r="1211" spans="1:10">
      <c r="A1211" s="85" t="s">
        <v>100</v>
      </c>
      <c r="B1211" s="85" t="s">
        <v>13</v>
      </c>
      <c r="C1211" s="86">
        <v>0.46458333333333302</v>
      </c>
      <c r="D1211" s="87">
        <v>0</v>
      </c>
      <c r="E1211" s="87">
        <v>0</v>
      </c>
      <c r="F1211" s="87">
        <v>0</v>
      </c>
      <c r="G1211" s="87">
        <v>0</v>
      </c>
      <c r="H1211" s="87">
        <v>0</v>
      </c>
      <c r="I1211" s="87">
        <v>0</v>
      </c>
      <c r="J1211" s="87">
        <v>0</v>
      </c>
    </row>
    <row r="1212" spans="1:10">
      <c r="A1212" s="85" t="s">
        <v>100</v>
      </c>
      <c r="B1212" s="85" t="s">
        <v>13</v>
      </c>
      <c r="C1212" s="86">
        <v>0.46527777777777801</v>
      </c>
      <c r="D1212" s="87">
        <v>0</v>
      </c>
      <c r="E1212" s="87">
        <v>0</v>
      </c>
      <c r="F1212" s="87">
        <v>0</v>
      </c>
      <c r="G1212" s="87">
        <v>0</v>
      </c>
      <c r="H1212" s="87">
        <v>0</v>
      </c>
      <c r="I1212" s="87">
        <v>0</v>
      </c>
      <c r="J1212" s="87">
        <v>0</v>
      </c>
    </row>
    <row r="1213" spans="1:10">
      <c r="A1213" s="85" t="s">
        <v>100</v>
      </c>
      <c r="B1213" s="85" t="s">
        <v>13</v>
      </c>
      <c r="C1213" s="86">
        <v>0.46597222222222201</v>
      </c>
      <c r="D1213" s="87">
        <v>0</v>
      </c>
      <c r="E1213" s="87">
        <v>0</v>
      </c>
      <c r="F1213" s="87">
        <v>0</v>
      </c>
      <c r="G1213" s="87">
        <v>0</v>
      </c>
      <c r="H1213" s="87">
        <v>0</v>
      </c>
      <c r="I1213" s="87">
        <v>0</v>
      </c>
      <c r="J1213" s="87">
        <v>0</v>
      </c>
    </row>
    <row r="1214" spans="1:10">
      <c r="A1214" s="85" t="s">
        <v>100</v>
      </c>
      <c r="B1214" s="85" t="s">
        <v>13</v>
      </c>
      <c r="C1214" s="86">
        <v>0.46666666666666701</v>
      </c>
      <c r="D1214" s="87">
        <v>0</v>
      </c>
      <c r="E1214" s="87">
        <v>0</v>
      </c>
      <c r="F1214" s="87">
        <v>0</v>
      </c>
      <c r="G1214" s="87">
        <v>0</v>
      </c>
      <c r="H1214" s="87">
        <v>0</v>
      </c>
      <c r="I1214" s="87">
        <v>0</v>
      </c>
      <c r="J1214" s="87">
        <v>0</v>
      </c>
    </row>
    <row r="1215" spans="1:10">
      <c r="A1215" s="85" t="s">
        <v>100</v>
      </c>
      <c r="B1215" s="85" t="s">
        <v>13</v>
      </c>
      <c r="C1215" s="86">
        <v>0.46736111111111101</v>
      </c>
      <c r="D1215" s="87">
        <v>0</v>
      </c>
      <c r="E1215" s="87">
        <v>0</v>
      </c>
      <c r="F1215" s="87">
        <v>0</v>
      </c>
      <c r="G1215" s="87">
        <v>0</v>
      </c>
      <c r="H1215" s="87">
        <v>0</v>
      </c>
      <c r="I1215" s="87">
        <v>0</v>
      </c>
      <c r="J1215" s="87">
        <v>0</v>
      </c>
    </row>
    <row r="1216" spans="1:10" s="78" customFormat="1">
      <c r="A1216" s="88" t="s">
        <v>100</v>
      </c>
      <c r="B1216" s="88" t="s">
        <v>13</v>
      </c>
      <c r="C1216" s="89">
        <v>0.468055555555556</v>
      </c>
      <c r="D1216" s="90">
        <v>0</v>
      </c>
      <c r="E1216" s="90">
        <v>0</v>
      </c>
      <c r="F1216" s="90">
        <v>0</v>
      </c>
      <c r="G1216" s="90">
        <v>0</v>
      </c>
      <c r="H1216" s="90">
        <v>0</v>
      </c>
      <c r="I1216" s="90">
        <v>0</v>
      </c>
      <c r="J1216" s="90">
        <v>0</v>
      </c>
    </row>
    <row r="1217" spans="1:10">
      <c r="A1217" s="85" t="s">
        <v>100</v>
      </c>
      <c r="B1217" s="85" t="s">
        <v>13</v>
      </c>
      <c r="C1217" s="86">
        <v>0.46875</v>
      </c>
      <c r="D1217" s="91">
        <v>0</v>
      </c>
      <c r="E1217" s="91">
        <v>0</v>
      </c>
      <c r="F1217" s="91">
        <v>0</v>
      </c>
      <c r="G1217" s="91">
        <v>0</v>
      </c>
      <c r="H1217" s="91">
        <v>0</v>
      </c>
      <c r="I1217" s="91">
        <v>0</v>
      </c>
      <c r="J1217" s="91">
        <v>0</v>
      </c>
    </row>
    <row r="1218" spans="1:10">
      <c r="A1218" s="85" t="s">
        <v>100</v>
      </c>
      <c r="B1218" s="85" t="s">
        <v>13</v>
      </c>
      <c r="C1218" s="86">
        <v>0.469444444444444</v>
      </c>
      <c r="D1218" s="87">
        <v>0</v>
      </c>
      <c r="E1218" s="87">
        <v>0</v>
      </c>
      <c r="F1218" s="87">
        <v>0</v>
      </c>
      <c r="G1218" s="87">
        <v>0</v>
      </c>
      <c r="H1218" s="87">
        <v>0</v>
      </c>
      <c r="I1218" s="87">
        <v>0</v>
      </c>
      <c r="J1218" s="87">
        <v>0</v>
      </c>
    </row>
    <row r="1219" spans="1:10">
      <c r="A1219" s="85" t="s">
        <v>100</v>
      </c>
      <c r="B1219" s="85" t="s">
        <v>13</v>
      </c>
      <c r="C1219" s="86">
        <v>0.47013888888888899</v>
      </c>
      <c r="D1219" s="87">
        <v>0</v>
      </c>
      <c r="E1219" s="87">
        <v>0</v>
      </c>
      <c r="F1219" s="87">
        <v>0</v>
      </c>
      <c r="G1219" s="87">
        <v>0</v>
      </c>
      <c r="H1219" s="87">
        <v>0</v>
      </c>
      <c r="I1219" s="87">
        <v>0</v>
      </c>
      <c r="J1219" s="87">
        <v>0</v>
      </c>
    </row>
    <row r="1220" spans="1:10">
      <c r="A1220" s="85" t="s">
        <v>100</v>
      </c>
      <c r="B1220" s="85" t="s">
        <v>13</v>
      </c>
      <c r="C1220" s="86">
        <v>0.47083333333333299</v>
      </c>
      <c r="D1220" s="87">
        <v>0</v>
      </c>
      <c r="E1220" s="87">
        <v>0</v>
      </c>
      <c r="F1220" s="87">
        <v>0</v>
      </c>
      <c r="G1220" s="87">
        <v>0</v>
      </c>
      <c r="H1220" s="87">
        <v>0</v>
      </c>
      <c r="I1220" s="87">
        <v>0</v>
      </c>
      <c r="J1220" s="87">
        <v>0</v>
      </c>
    </row>
    <row r="1221" spans="1:10">
      <c r="A1221" s="85" t="s">
        <v>100</v>
      </c>
      <c r="B1221" s="85" t="s">
        <v>13</v>
      </c>
      <c r="C1221" s="86">
        <v>0.47152777777777799</v>
      </c>
      <c r="D1221" s="87">
        <v>0</v>
      </c>
      <c r="E1221" s="87">
        <v>0</v>
      </c>
      <c r="F1221" s="87">
        <v>0</v>
      </c>
      <c r="G1221" s="87">
        <v>0</v>
      </c>
      <c r="H1221" s="87">
        <v>0</v>
      </c>
      <c r="I1221" s="87">
        <v>0</v>
      </c>
      <c r="J1221" s="87">
        <v>0</v>
      </c>
    </row>
    <row r="1222" spans="1:10">
      <c r="A1222" s="85" t="s">
        <v>100</v>
      </c>
      <c r="B1222" s="85" t="s">
        <v>13</v>
      </c>
      <c r="C1222" s="86">
        <v>0.47222222222222199</v>
      </c>
      <c r="D1222" s="87">
        <v>0</v>
      </c>
      <c r="E1222" s="87">
        <v>0</v>
      </c>
      <c r="F1222" s="87">
        <v>0</v>
      </c>
      <c r="G1222" s="87">
        <v>0</v>
      </c>
      <c r="H1222" s="87">
        <v>0</v>
      </c>
      <c r="I1222" s="87">
        <v>0</v>
      </c>
      <c r="J1222" s="87">
        <v>0</v>
      </c>
    </row>
    <row r="1223" spans="1:10">
      <c r="A1223" s="85" t="s">
        <v>100</v>
      </c>
      <c r="B1223" s="85" t="s">
        <v>13</v>
      </c>
      <c r="C1223" s="86">
        <v>0.47291666666666698</v>
      </c>
      <c r="D1223" s="87">
        <v>0</v>
      </c>
      <c r="E1223" s="87">
        <v>0</v>
      </c>
      <c r="F1223" s="87">
        <v>0</v>
      </c>
      <c r="G1223" s="87">
        <v>0</v>
      </c>
      <c r="H1223" s="87">
        <v>0</v>
      </c>
      <c r="I1223" s="87">
        <v>0</v>
      </c>
      <c r="J1223" s="87">
        <v>0</v>
      </c>
    </row>
    <row r="1224" spans="1:10">
      <c r="A1224" s="85" t="s">
        <v>100</v>
      </c>
      <c r="B1224" s="85" t="s">
        <v>13</v>
      </c>
      <c r="C1224" s="86">
        <v>0.47361111111111098</v>
      </c>
      <c r="D1224" s="87">
        <v>0</v>
      </c>
      <c r="E1224" s="87">
        <v>0</v>
      </c>
      <c r="F1224" s="87">
        <v>0</v>
      </c>
      <c r="G1224" s="87">
        <v>0</v>
      </c>
      <c r="H1224" s="87">
        <v>0</v>
      </c>
      <c r="I1224" s="87">
        <v>0</v>
      </c>
      <c r="J1224" s="87">
        <v>0</v>
      </c>
    </row>
    <row r="1225" spans="1:10">
      <c r="A1225" s="85" t="s">
        <v>100</v>
      </c>
      <c r="B1225" s="85" t="s">
        <v>13</v>
      </c>
      <c r="C1225" s="86">
        <v>0.47430555555555598</v>
      </c>
      <c r="D1225" s="87">
        <v>0</v>
      </c>
      <c r="E1225" s="87">
        <v>0</v>
      </c>
      <c r="F1225" s="87">
        <v>0</v>
      </c>
      <c r="G1225" s="87">
        <v>0</v>
      </c>
      <c r="H1225" s="87">
        <v>0</v>
      </c>
      <c r="I1225" s="87">
        <v>0</v>
      </c>
      <c r="J1225" s="87">
        <v>0</v>
      </c>
    </row>
    <row r="1226" spans="1:10">
      <c r="A1226" s="85" t="s">
        <v>100</v>
      </c>
      <c r="B1226" s="85" t="s">
        <v>13</v>
      </c>
      <c r="C1226" s="86">
        <v>0.47499999999999998</v>
      </c>
      <c r="D1226" s="87">
        <v>0</v>
      </c>
      <c r="E1226" s="87">
        <v>0</v>
      </c>
      <c r="F1226" s="87">
        <v>0</v>
      </c>
      <c r="G1226" s="87">
        <v>0</v>
      </c>
      <c r="H1226" s="87">
        <v>0</v>
      </c>
      <c r="I1226" s="87">
        <v>0</v>
      </c>
      <c r="J1226" s="87">
        <v>0</v>
      </c>
    </row>
    <row r="1227" spans="1:10">
      <c r="A1227" s="85" t="s">
        <v>100</v>
      </c>
      <c r="B1227" s="85" t="s">
        <v>13</v>
      </c>
      <c r="C1227" s="86">
        <v>0.47569444444444398</v>
      </c>
      <c r="D1227" s="87">
        <v>0</v>
      </c>
      <c r="E1227" s="87">
        <v>0</v>
      </c>
      <c r="F1227" s="87">
        <v>0</v>
      </c>
      <c r="G1227" s="87">
        <v>0</v>
      </c>
      <c r="H1227" s="87">
        <v>0</v>
      </c>
      <c r="I1227" s="87">
        <v>0</v>
      </c>
      <c r="J1227" s="87">
        <v>0</v>
      </c>
    </row>
    <row r="1228" spans="1:10">
      <c r="A1228" s="85" t="s">
        <v>100</v>
      </c>
      <c r="B1228" s="85" t="s">
        <v>13</v>
      </c>
      <c r="C1228" s="86">
        <v>0.47638888888888897</v>
      </c>
      <c r="D1228" s="87">
        <v>0</v>
      </c>
      <c r="E1228" s="87">
        <v>0</v>
      </c>
      <c r="F1228" s="87">
        <v>0</v>
      </c>
      <c r="G1228" s="87">
        <v>0</v>
      </c>
      <c r="H1228" s="87">
        <v>0</v>
      </c>
      <c r="I1228" s="87">
        <v>0</v>
      </c>
      <c r="J1228" s="87">
        <v>0</v>
      </c>
    </row>
    <row r="1229" spans="1:10">
      <c r="A1229" s="85" t="s">
        <v>100</v>
      </c>
      <c r="B1229" s="85" t="s">
        <v>13</v>
      </c>
      <c r="C1229" s="86">
        <v>0.47708333333333303</v>
      </c>
      <c r="D1229" s="87">
        <v>0</v>
      </c>
      <c r="E1229" s="87">
        <v>0</v>
      </c>
      <c r="F1229" s="87">
        <v>0</v>
      </c>
      <c r="G1229" s="87">
        <v>0</v>
      </c>
      <c r="H1229" s="87">
        <v>0</v>
      </c>
      <c r="I1229" s="87">
        <v>0</v>
      </c>
      <c r="J1229" s="87">
        <v>0</v>
      </c>
    </row>
    <row r="1230" spans="1:10">
      <c r="A1230" s="85" t="s">
        <v>100</v>
      </c>
      <c r="B1230" s="85" t="s">
        <v>13</v>
      </c>
      <c r="C1230" s="86">
        <v>0.47777777777777802</v>
      </c>
      <c r="D1230" s="87">
        <v>0</v>
      </c>
      <c r="E1230" s="87">
        <v>0</v>
      </c>
      <c r="F1230" s="87">
        <v>0</v>
      </c>
      <c r="G1230" s="87">
        <v>0</v>
      </c>
      <c r="H1230" s="87">
        <v>0</v>
      </c>
      <c r="I1230" s="87">
        <v>0</v>
      </c>
      <c r="J1230" s="87">
        <v>0</v>
      </c>
    </row>
    <row r="1231" spans="1:10" s="78" customFormat="1">
      <c r="A1231" s="88" t="s">
        <v>100</v>
      </c>
      <c r="B1231" s="88" t="s">
        <v>13</v>
      </c>
      <c r="C1231" s="89">
        <v>0.47847222222222202</v>
      </c>
      <c r="D1231" s="90">
        <v>0</v>
      </c>
      <c r="E1231" s="90">
        <v>0</v>
      </c>
      <c r="F1231" s="90">
        <v>0</v>
      </c>
      <c r="G1231" s="90">
        <v>0</v>
      </c>
      <c r="H1231" s="90">
        <v>0</v>
      </c>
      <c r="I1231" s="90">
        <v>0</v>
      </c>
      <c r="J1231" s="90">
        <v>0</v>
      </c>
    </row>
    <row r="1232" spans="1:10">
      <c r="A1232" s="85" t="s">
        <v>100</v>
      </c>
      <c r="B1232" s="85" t="s">
        <v>13</v>
      </c>
      <c r="C1232" s="86">
        <v>0.47916666666666702</v>
      </c>
      <c r="D1232" s="91">
        <v>0</v>
      </c>
      <c r="E1232" s="91">
        <v>0</v>
      </c>
      <c r="F1232" s="91">
        <v>0</v>
      </c>
      <c r="G1232" s="91">
        <v>0</v>
      </c>
      <c r="H1232" s="91">
        <v>0</v>
      </c>
      <c r="I1232" s="91">
        <v>0</v>
      </c>
      <c r="J1232" s="91">
        <v>0</v>
      </c>
    </row>
    <row r="1233" spans="1:10">
      <c r="A1233" s="85" t="s">
        <v>100</v>
      </c>
      <c r="B1233" s="85" t="s">
        <v>13</v>
      </c>
      <c r="C1233" s="86">
        <v>0.47986111111111102</v>
      </c>
      <c r="D1233" s="87">
        <v>0</v>
      </c>
      <c r="E1233" s="87">
        <v>0</v>
      </c>
      <c r="F1233" s="87">
        <v>0</v>
      </c>
      <c r="G1233" s="87">
        <v>0</v>
      </c>
      <c r="H1233" s="87">
        <v>0</v>
      </c>
      <c r="I1233" s="87">
        <v>0</v>
      </c>
      <c r="J1233" s="87">
        <v>0</v>
      </c>
    </row>
    <row r="1234" spans="1:10">
      <c r="A1234" s="85" t="s">
        <v>100</v>
      </c>
      <c r="B1234" s="85" t="s">
        <v>13</v>
      </c>
      <c r="C1234" s="86">
        <v>0.48055555555555501</v>
      </c>
      <c r="D1234" s="87">
        <v>0</v>
      </c>
      <c r="E1234" s="87">
        <v>0</v>
      </c>
      <c r="F1234" s="87">
        <v>0</v>
      </c>
      <c r="G1234" s="87">
        <v>0</v>
      </c>
      <c r="H1234" s="87">
        <v>0</v>
      </c>
      <c r="I1234" s="87">
        <v>0</v>
      </c>
      <c r="J1234" s="87">
        <v>0</v>
      </c>
    </row>
    <row r="1235" spans="1:10">
      <c r="A1235" s="85" t="s">
        <v>100</v>
      </c>
      <c r="B1235" s="85" t="s">
        <v>13</v>
      </c>
      <c r="C1235" s="86">
        <v>0.48125000000000001</v>
      </c>
      <c r="D1235" s="87">
        <v>0</v>
      </c>
      <c r="E1235" s="87">
        <v>0</v>
      </c>
      <c r="F1235" s="87">
        <v>0</v>
      </c>
      <c r="G1235" s="87">
        <v>0</v>
      </c>
      <c r="H1235" s="87">
        <v>0</v>
      </c>
      <c r="I1235" s="87">
        <v>0</v>
      </c>
      <c r="J1235" s="87">
        <v>0</v>
      </c>
    </row>
    <row r="1236" spans="1:10">
      <c r="A1236" s="85" t="s">
        <v>100</v>
      </c>
      <c r="B1236" s="85" t="s">
        <v>13</v>
      </c>
      <c r="C1236" s="86">
        <v>0.48194444444444401</v>
      </c>
      <c r="D1236" s="87">
        <v>0</v>
      </c>
      <c r="E1236" s="87">
        <v>0</v>
      </c>
      <c r="F1236" s="87">
        <v>0</v>
      </c>
      <c r="G1236" s="87">
        <v>0</v>
      </c>
      <c r="H1236" s="87">
        <v>0</v>
      </c>
      <c r="I1236" s="87">
        <v>0</v>
      </c>
      <c r="J1236" s="87">
        <v>0</v>
      </c>
    </row>
    <row r="1237" spans="1:10">
      <c r="A1237" s="85" t="s">
        <v>100</v>
      </c>
      <c r="B1237" s="85" t="s">
        <v>13</v>
      </c>
      <c r="C1237" s="86">
        <v>0.48263888888888901</v>
      </c>
      <c r="D1237" s="87">
        <v>0</v>
      </c>
      <c r="E1237" s="87">
        <v>0</v>
      </c>
      <c r="F1237" s="87">
        <v>0</v>
      </c>
      <c r="G1237" s="87">
        <v>0</v>
      </c>
      <c r="H1237" s="87">
        <v>0</v>
      </c>
      <c r="I1237" s="87">
        <v>0</v>
      </c>
      <c r="J1237" s="87">
        <v>0</v>
      </c>
    </row>
    <row r="1238" spans="1:10">
      <c r="A1238" s="85" t="s">
        <v>100</v>
      </c>
      <c r="B1238" s="85" t="s">
        <v>13</v>
      </c>
      <c r="C1238" s="86">
        <v>0.483333333333333</v>
      </c>
      <c r="D1238" s="87">
        <v>0</v>
      </c>
      <c r="E1238" s="87">
        <v>0</v>
      </c>
      <c r="F1238" s="87">
        <v>0</v>
      </c>
      <c r="G1238" s="87">
        <v>0</v>
      </c>
      <c r="H1238" s="87">
        <v>0</v>
      </c>
      <c r="I1238" s="87">
        <v>0</v>
      </c>
      <c r="J1238" s="87">
        <v>0</v>
      </c>
    </row>
    <row r="1239" spans="1:10">
      <c r="A1239" s="85" t="s">
        <v>100</v>
      </c>
      <c r="B1239" s="85" t="s">
        <v>13</v>
      </c>
      <c r="C1239" s="86">
        <v>0.484027777777778</v>
      </c>
      <c r="D1239" s="87">
        <v>0</v>
      </c>
      <c r="E1239" s="87">
        <v>0</v>
      </c>
      <c r="F1239" s="87">
        <v>0</v>
      </c>
      <c r="G1239" s="87">
        <v>0</v>
      </c>
      <c r="H1239" s="87">
        <v>0</v>
      </c>
      <c r="I1239" s="87">
        <v>0</v>
      </c>
      <c r="J1239" s="87">
        <v>0</v>
      </c>
    </row>
    <row r="1240" spans="1:10">
      <c r="A1240" s="85" t="s">
        <v>100</v>
      </c>
      <c r="B1240" s="85" t="s">
        <v>13</v>
      </c>
      <c r="C1240" s="86">
        <v>0.484722222222222</v>
      </c>
      <c r="D1240" s="87">
        <v>0</v>
      </c>
      <c r="E1240" s="87">
        <v>0</v>
      </c>
      <c r="F1240" s="87">
        <v>0</v>
      </c>
      <c r="G1240" s="87">
        <v>0</v>
      </c>
      <c r="H1240" s="87">
        <v>0</v>
      </c>
      <c r="I1240" s="87">
        <v>0</v>
      </c>
      <c r="J1240" s="87">
        <v>0</v>
      </c>
    </row>
    <row r="1241" spans="1:10">
      <c r="A1241" s="85" t="s">
        <v>100</v>
      </c>
      <c r="B1241" s="85" t="s">
        <v>13</v>
      </c>
      <c r="C1241" s="86">
        <v>0.485416666666666</v>
      </c>
      <c r="D1241" s="87">
        <v>0</v>
      </c>
      <c r="E1241" s="87">
        <v>0</v>
      </c>
      <c r="F1241" s="87">
        <v>0</v>
      </c>
      <c r="G1241" s="87">
        <v>0</v>
      </c>
      <c r="H1241" s="87">
        <v>0</v>
      </c>
      <c r="I1241" s="87">
        <v>0</v>
      </c>
      <c r="J1241" s="87">
        <v>0</v>
      </c>
    </row>
    <row r="1242" spans="1:10">
      <c r="A1242" s="85" t="s">
        <v>100</v>
      </c>
      <c r="B1242" s="85" t="s">
        <v>13</v>
      </c>
      <c r="C1242" s="86">
        <v>0.48611111111111099</v>
      </c>
      <c r="D1242" s="87">
        <v>0</v>
      </c>
      <c r="E1242" s="87">
        <v>0</v>
      </c>
      <c r="F1242" s="87">
        <v>0</v>
      </c>
      <c r="G1242" s="87">
        <v>0</v>
      </c>
      <c r="H1242" s="87">
        <v>0</v>
      </c>
      <c r="I1242" s="87">
        <v>0</v>
      </c>
      <c r="J1242" s="87">
        <v>0</v>
      </c>
    </row>
    <row r="1243" spans="1:10">
      <c r="A1243" s="85" t="s">
        <v>100</v>
      </c>
      <c r="B1243" s="85" t="s">
        <v>13</v>
      </c>
      <c r="C1243" s="86">
        <v>0.48680555555555499</v>
      </c>
      <c r="D1243" s="87">
        <v>0</v>
      </c>
      <c r="E1243" s="87">
        <v>0</v>
      </c>
      <c r="F1243" s="87">
        <v>0</v>
      </c>
      <c r="G1243" s="87">
        <v>0</v>
      </c>
      <c r="H1243" s="87">
        <v>0</v>
      </c>
      <c r="I1243" s="87">
        <v>0</v>
      </c>
      <c r="J1243" s="87">
        <v>0</v>
      </c>
    </row>
    <row r="1244" spans="1:10">
      <c r="A1244" s="85" t="s">
        <v>100</v>
      </c>
      <c r="B1244" s="85" t="s">
        <v>13</v>
      </c>
      <c r="C1244" s="86">
        <v>0.48749999999999999</v>
      </c>
      <c r="D1244" s="87">
        <v>0</v>
      </c>
      <c r="E1244" s="87">
        <v>0</v>
      </c>
      <c r="F1244" s="87">
        <v>0</v>
      </c>
      <c r="G1244" s="87">
        <v>0</v>
      </c>
      <c r="H1244" s="87">
        <v>0</v>
      </c>
      <c r="I1244" s="87">
        <v>0</v>
      </c>
      <c r="J1244" s="87">
        <v>0</v>
      </c>
    </row>
    <row r="1245" spans="1:10">
      <c r="A1245" s="85" t="s">
        <v>100</v>
      </c>
      <c r="B1245" s="85" t="s">
        <v>13</v>
      </c>
      <c r="C1245" s="86">
        <v>0.48819444444444399</v>
      </c>
      <c r="D1245" s="87">
        <v>0</v>
      </c>
      <c r="E1245" s="87">
        <v>0</v>
      </c>
      <c r="F1245" s="87">
        <v>0</v>
      </c>
      <c r="G1245" s="87">
        <v>0</v>
      </c>
      <c r="H1245" s="87">
        <v>0</v>
      </c>
      <c r="I1245" s="87">
        <v>0</v>
      </c>
      <c r="J1245" s="87">
        <v>0</v>
      </c>
    </row>
    <row r="1246" spans="1:10" s="78" customFormat="1">
      <c r="A1246" s="88" t="s">
        <v>100</v>
      </c>
      <c r="B1246" s="88" t="s">
        <v>13</v>
      </c>
      <c r="C1246" s="89">
        <v>0.48888888888888898</v>
      </c>
      <c r="D1246" s="90">
        <v>0</v>
      </c>
      <c r="E1246" s="90">
        <v>0</v>
      </c>
      <c r="F1246" s="90">
        <v>0</v>
      </c>
      <c r="G1246" s="90">
        <v>0</v>
      </c>
      <c r="H1246" s="90">
        <v>0</v>
      </c>
      <c r="I1246" s="90">
        <v>0</v>
      </c>
      <c r="J1246" s="90">
        <v>0</v>
      </c>
    </row>
    <row r="1247" spans="1:10">
      <c r="A1247" s="85" t="s">
        <v>100</v>
      </c>
      <c r="B1247" s="85" t="s">
        <v>13</v>
      </c>
      <c r="C1247" s="86">
        <v>0.48958333333333298</v>
      </c>
      <c r="D1247" s="91">
        <v>0</v>
      </c>
      <c r="E1247" s="91">
        <v>0</v>
      </c>
      <c r="F1247" s="91">
        <v>0</v>
      </c>
      <c r="G1247" s="91">
        <v>0</v>
      </c>
      <c r="H1247" s="91">
        <v>0</v>
      </c>
      <c r="I1247" s="91">
        <v>0</v>
      </c>
      <c r="J1247" s="91">
        <v>0</v>
      </c>
    </row>
    <row r="1248" spans="1:10">
      <c r="A1248" s="85" t="s">
        <v>100</v>
      </c>
      <c r="B1248" s="85" t="s">
        <v>13</v>
      </c>
      <c r="C1248" s="86">
        <v>0.49027777777777798</v>
      </c>
      <c r="D1248" s="87">
        <v>0</v>
      </c>
      <c r="E1248" s="87">
        <v>0</v>
      </c>
      <c r="F1248" s="87">
        <v>0</v>
      </c>
      <c r="G1248" s="87">
        <v>0</v>
      </c>
      <c r="H1248" s="87">
        <v>0</v>
      </c>
      <c r="I1248" s="87">
        <v>0</v>
      </c>
      <c r="J1248" s="87">
        <v>0</v>
      </c>
    </row>
    <row r="1249" spans="1:10">
      <c r="A1249" s="85" t="s">
        <v>100</v>
      </c>
      <c r="B1249" s="85" t="s">
        <v>13</v>
      </c>
      <c r="C1249" s="86">
        <v>0.49097222222222198</v>
      </c>
      <c r="D1249" s="87">
        <v>0</v>
      </c>
      <c r="E1249" s="87">
        <v>0</v>
      </c>
      <c r="F1249" s="87">
        <v>0</v>
      </c>
      <c r="G1249" s="87">
        <v>0</v>
      </c>
      <c r="H1249" s="87">
        <v>0</v>
      </c>
      <c r="I1249" s="87">
        <v>0</v>
      </c>
      <c r="J1249" s="87">
        <v>0</v>
      </c>
    </row>
    <row r="1250" spans="1:10">
      <c r="A1250" s="85" t="s">
        <v>100</v>
      </c>
      <c r="B1250" s="85" t="s">
        <v>13</v>
      </c>
      <c r="C1250" s="86">
        <v>0.49166666666666697</v>
      </c>
      <c r="D1250" s="87">
        <v>0</v>
      </c>
      <c r="E1250" s="87">
        <v>0</v>
      </c>
      <c r="F1250" s="87">
        <v>0</v>
      </c>
      <c r="G1250" s="87">
        <v>0</v>
      </c>
      <c r="H1250" s="87">
        <v>0</v>
      </c>
      <c r="I1250" s="87">
        <v>0</v>
      </c>
      <c r="J1250" s="87">
        <v>0</v>
      </c>
    </row>
    <row r="1251" spans="1:10">
      <c r="A1251" s="85" t="s">
        <v>100</v>
      </c>
      <c r="B1251" s="85" t="s">
        <v>13</v>
      </c>
      <c r="C1251" s="86">
        <v>0.49236111111111103</v>
      </c>
      <c r="D1251" s="87">
        <v>0</v>
      </c>
      <c r="E1251" s="87">
        <v>0</v>
      </c>
      <c r="F1251" s="87">
        <v>0</v>
      </c>
      <c r="G1251" s="87">
        <v>0</v>
      </c>
      <c r="H1251" s="87">
        <v>0</v>
      </c>
      <c r="I1251" s="87">
        <v>0</v>
      </c>
      <c r="J1251" s="87">
        <v>0</v>
      </c>
    </row>
    <row r="1252" spans="1:10">
      <c r="A1252" s="85" t="s">
        <v>100</v>
      </c>
      <c r="B1252" s="85" t="s">
        <v>13</v>
      </c>
      <c r="C1252" s="86">
        <v>0.49305555555555503</v>
      </c>
      <c r="D1252" s="87">
        <v>0</v>
      </c>
      <c r="E1252" s="87">
        <v>0</v>
      </c>
      <c r="F1252" s="87">
        <v>0</v>
      </c>
      <c r="G1252" s="87">
        <v>0</v>
      </c>
      <c r="H1252" s="87">
        <v>0</v>
      </c>
      <c r="I1252" s="87">
        <v>0</v>
      </c>
      <c r="J1252" s="87">
        <v>0</v>
      </c>
    </row>
    <row r="1253" spans="1:10">
      <c r="A1253" s="85" t="s">
        <v>100</v>
      </c>
      <c r="B1253" s="85" t="s">
        <v>13</v>
      </c>
      <c r="C1253" s="86">
        <v>0.49375000000000002</v>
      </c>
      <c r="D1253" s="87">
        <v>0</v>
      </c>
      <c r="E1253" s="87">
        <v>0</v>
      </c>
      <c r="F1253" s="87">
        <v>0</v>
      </c>
      <c r="G1253" s="87">
        <v>0</v>
      </c>
      <c r="H1253" s="87">
        <v>0</v>
      </c>
      <c r="I1253" s="87">
        <v>0</v>
      </c>
      <c r="J1253" s="87">
        <v>0</v>
      </c>
    </row>
    <row r="1254" spans="1:10">
      <c r="A1254" s="85" t="s">
        <v>100</v>
      </c>
      <c r="B1254" s="85" t="s">
        <v>13</v>
      </c>
      <c r="C1254" s="86">
        <v>0.49444444444444402</v>
      </c>
      <c r="D1254" s="87">
        <v>0</v>
      </c>
      <c r="E1254" s="87">
        <v>0</v>
      </c>
      <c r="F1254" s="87">
        <v>0</v>
      </c>
      <c r="G1254" s="87">
        <v>0</v>
      </c>
      <c r="H1254" s="87">
        <v>0</v>
      </c>
      <c r="I1254" s="87">
        <v>0</v>
      </c>
      <c r="J1254" s="87">
        <v>0</v>
      </c>
    </row>
    <row r="1255" spans="1:10">
      <c r="A1255" s="85" t="s">
        <v>100</v>
      </c>
      <c r="B1255" s="85" t="s">
        <v>13</v>
      </c>
      <c r="C1255" s="86">
        <v>0.49513888888888902</v>
      </c>
      <c r="D1255" s="87">
        <v>0</v>
      </c>
      <c r="E1255" s="87">
        <v>0</v>
      </c>
      <c r="F1255" s="87">
        <v>0</v>
      </c>
      <c r="G1255" s="87">
        <v>0</v>
      </c>
      <c r="H1255" s="87">
        <v>0</v>
      </c>
      <c r="I1255" s="87">
        <v>0</v>
      </c>
      <c r="J1255" s="87">
        <v>0</v>
      </c>
    </row>
    <row r="1256" spans="1:10">
      <c r="A1256" s="85" t="s">
        <v>100</v>
      </c>
      <c r="B1256" s="85" t="s">
        <v>13</v>
      </c>
      <c r="C1256" s="86">
        <v>0.49583333333333302</v>
      </c>
      <c r="D1256" s="87">
        <v>0</v>
      </c>
      <c r="E1256" s="87">
        <v>0</v>
      </c>
      <c r="F1256" s="87">
        <v>0</v>
      </c>
      <c r="G1256" s="87">
        <v>0</v>
      </c>
      <c r="H1256" s="87">
        <v>0</v>
      </c>
      <c r="I1256" s="87">
        <v>0</v>
      </c>
      <c r="J1256" s="87">
        <v>0</v>
      </c>
    </row>
    <row r="1257" spans="1:10">
      <c r="A1257" s="85" t="s">
        <v>100</v>
      </c>
      <c r="B1257" s="85" t="s">
        <v>13</v>
      </c>
      <c r="C1257" s="86">
        <v>0.49652777777777801</v>
      </c>
      <c r="D1257" s="87">
        <v>0</v>
      </c>
      <c r="E1257" s="87">
        <v>0</v>
      </c>
      <c r="F1257" s="87">
        <v>0</v>
      </c>
      <c r="G1257" s="87">
        <v>0</v>
      </c>
      <c r="H1257" s="87">
        <v>0</v>
      </c>
      <c r="I1257" s="87">
        <v>0</v>
      </c>
      <c r="J1257" s="87">
        <v>0</v>
      </c>
    </row>
    <row r="1258" spans="1:10">
      <c r="A1258" s="85" t="s">
        <v>100</v>
      </c>
      <c r="B1258" s="85" t="s">
        <v>13</v>
      </c>
      <c r="C1258" s="86">
        <v>0.49722222222222201</v>
      </c>
      <c r="D1258" s="87">
        <v>0</v>
      </c>
      <c r="E1258" s="87">
        <v>0</v>
      </c>
      <c r="F1258" s="87">
        <v>0</v>
      </c>
      <c r="G1258" s="87">
        <v>0</v>
      </c>
      <c r="H1258" s="87">
        <v>0</v>
      </c>
      <c r="I1258" s="87">
        <v>0</v>
      </c>
      <c r="J1258" s="87">
        <v>0</v>
      </c>
    </row>
    <row r="1259" spans="1:10">
      <c r="A1259" s="85" t="s">
        <v>100</v>
      </c>
      <c r="B1259" s="85" t="s">
        <v>13</v>
      </c>
      <c r="C1259" s="86">
        <v>0.49791666666666701</v>
      </c>
      <c r="D1259" s="87">
        <v>0</v>
      </c>
      <c r="E1259" s="87">
        <v>0</v>
      </c>
      <c r="F1259" s="87">
        <v>0</v>
      </c>
      <c r="G1259" s="87">
        <v>0</v>
      </c>
      <c r="H1259" s="87">
        <v>0</v>
      </c>
      <c r="I1259" s="87">
        <v>0</v>
      </c>
      <c r="J1259" s="87">
        <v>0</v>
      </c>
    </row>
    <row r="1260" spans="1:10">
      <c r="A1260" s="85" t="s">
        <v>100</v>
      </c>
      <c r="B1260" s="85" t="s">
        <v>13</v>
      </c>
      <c r="C1260" s="86">
        <v>0.49861111111111101</v>
      </c>
      <c r="D1260" s="87">
        <v>0</v>
      </c>
      <c r="E1260" s="87">
        <v>0</v>
      </c>
      <c r="F1260" s="87">
        <v>0</v>
      </c>
      <c r="G1260" s="87">
        <v>0</v>
      </c>
      <c r="H1260" s="87">
        <v>0</v>
      </c>
      <c r="I1260" s="87">
        <v>0</v>
      </c>
      <c r="J1260" s="87">
        <v>0</v>
      </c>
    </row>
    <row r="1261" spans="1:10" s="78" customFormat="1">
      <c r="A1261" s="88" t="s">
        <v>100</v>
      </c>
      <c r="B1261" s="88" t="s">
        <v>13</v>
      </c>
      <c r="C1261" s="89">
        <v>0.499305555555555</v>
      </c>
      <c r="D1261" s="90">
        <v>0</v>
      </c>
      <c r="E1261" s="90">
        <v>0</v>
      </c>
      <c r="F1261" s="90">
        <v>0</v>
      </c>
      <c r="G1261" s="90">
        <v>0</v>
      </c>
      <c r="H1261" s="90">
        <v>0</v>
      </c>
      <c r="I1261" s="90">
        <v>0</v>
      </c>
      <c r="J1261" s="90">
        <v>0</v>
      </c>
    </row>
    <row r="1262" spans="1:10">
      <c r="A1262" s="85" t="s">
        <v>100</v>
      </c>
      <c r="B1262" s="85" t="s">
        <v>13</v>
      </c>
      <c r="C1262" s="86">
        <v>0.5</v>
      </c>
      <c r="D1262" s="87">
        <v>0</v>
      </c>
      <c r="E1262" s="87">
        <v>0</v>
      </c>
      <c r="F1262" s="87">
        <v>0</v>
      </c>
      <c r="G1262" s="87">
        <v>0</v>
      </c>
      <c r="H1262" s="87">
        <v>0</v>
      </c>
      <c r="I1262" s="87">
        <v>0</v>
      </c>
      <c r="J1262" s="87">
        <v>0</v>
      </c>
    </row>
    <row r="1263" spans="1:10">
      <c r="A1263" s="85" t="s">
        <v>100</v>
      </c>
      <c r="B1263" s="85" t="s">
        <v>13</v>
      </c>
      <c r="C1263" s="86">
        <v>0.500694444444444</v>
      </c>
      <c r="D1263" s="87">
        <v>0</v>
      </c>
      <c r="E1263" s="87">
        <v>0</v>
      </c>
      <c r="F1263" s="87">
        <v>0</v>
      </c>
      <c r="G1263" s="87">
        <v>0</v>
      </c>
      <c r="H1263" s="87">
        <v>0</v>
      </c>
      <c r="I1263" s="87">
        <v>0</v>
      </c>
      <c r="J1263" s="87">
        <v>0</v>
      </c>
    </row>
    <row r="1264" spans="1:10">
      <c r="A1264" s="85" t="s">
        <v>100</v>
      </c>
      <c r="B1264" s="85" t="s">
        <v>13</v>
      </c>
      <c r="C1264" s="86">
        <v>0.50138888888888899</v>
      </c>
      <c r="D1264" s="87">
        <v>0</v>
      </c>
      <c r="E1264" s="87">
        <v>0</v>
      </c>
      <c r="F1264" s="87">
        <v>0</v>
      </c>
      <c r="G1264" s="87">
        <v>0</v>
      </c>
      <c r="H1264" s="87">
        <v>0</v>
      </c>
      <c r="I1264" s="87">
        <v>0</v>
      </c>
      <c r="J1264" s="87">
        <v>0</v>
      </c>
    </row>
    <row r="1265" spans="1:10">
      <c r="A1265" s="85" t="s">
        <v>100</v>
      </c>
      <c r="B1265" s="85" t="s">
        <v>13</v>
      </c>
      <c r="C1265" s="86">
        <v>0.50208333333333299</v>
      </c>
      <c r="D1265" s="87">
        <v>0</v>
      </c>
      <c r="E1265" s="87">
        <v>0</v>
      </c>
      <c r="F1265" s="87">
        <v>0</v>
      </c>
      <c r="G1265" s="87">
        <v>0</v>
      </c>
      <c r="H1265" s="87">
        <v>0</v>
      </c>
      <c r="I1265" s="87">
        <v>0</v>
      </c>
      <c r="J1265" s="87">
        <v>0</v>
      </c>
    </row>
    <row r="1266" spans="1:10">
      <c r="A1266" s="85" t="s">
        <v>100</v>
      </c>
      <c r="B1266" s="85" t="s">
        <v>13</v>
      </c>
      <c r="C1266" s="86">
        <v>0.50277777777777799</v>
      </c>
      <c r="D1266" s="87">
        <v>0</v>
      </c>
      <c r="E1266" s="87">
        <v>0</v>
      </c>
      <c r="F1266" s="87">
        <v>0</v>
      </c>
      <c r="G1266" s="87">
        <v>0</v>
      </c>
      <c r="H1266" s="87">
        <v>0</v>
      </c>
      <c r="I1266" s="87">
        <v>0</v>
      </c>
      <c r="J1266" s="87">
        <v>0</v>
      </c>
    </row>
    <row r="1267" spans="1:10">
      <c r="A1267" s="85" t="s">
        <v>100</v>
      </c>
      <c r="B1267" s="85" t="s">
        <v>13</v>
      </c>
      <c r="C1267" s="86">
        <v>0.50347222222222199</v>
      </c>
      <c r="D1267" s="87">
        <v>0</v>
      </c>
      <c r="E1267" s="87">
        <v>0</v>
      </c>
      <c r="F1267" s="87">
        <v>0</v>
      </c>
      <c r="G1267" s="87">
        <v>0</v>
      </c>
      <c r="H1267" s="87">
        <v>0</v>
      </c>
      <c r="I1267" s="87">
        <v>0</v>
      </c>
      <c r="J1267" s="87">
        <v>0</v>
      </c>
    </row>
    <row r="1268" spans="1:10">
      <c r="A1268" s="85" t="s">
        <v>100</v>
      </c>
      <c r="B1268" s="85" t="s">
        <v>13</v>
      </c>
      <c r="C1268" s="86">
        <v>0.50416666666666698</v>
      </c>
      <c r="D1268" s="87">
        <v>0</v>
      </c>
      <c r="E1268" s="87">
        <v>0</v>
      </c>
      <c r="F1268" s="87">
        <v>0</v>
      </c>
      <c r="G1268" s="87">
        <v>0</v>
      </c>
      <c r="H1268" s="87">
        <v>0</v>
      </c>
      <c r="I1268" s="87">
        <v>0</v>
      </c>
      <c r="J1268" s="87">
        <v>0</v>
      </c>
    </row>
    <row r="1269" spans="1:10">
      <c r="A1269" s="85" t="s">
        <v>100</v>
      </c>
      <c r="B1269" s="85" t="s">
        <v>13</v>
      </c>
      <c r="C1269" s="86">
        <v>0.50486111111111098</v>
      </c>
      <c r="D1269" s="87">
        <v>0</v>
      </c>
      <c r="E1269" s="87">
        <v>0</v>
      </c>
      <c r="F1269" s="87">
        <v>0</v>
      </c>
      <c r="G1269" s="87">
        <v>0</v>
      </c>
      <c r="H1269" s="87">
        <v>0</v>
      </c>
      <c r="I1269" s="87">
        <v>0</v>
      </c>
      <c r="J1269" s="87">
        <v>0</v>
      </c>
    </row>
    <row r="1270" spans="1:10">
      <c r="A1270" s="85" t="s">
        <v>100</v>
      </c>
      <c r="B1270" s="85" t="s">
        <v>13</v>
      </c>
      <c r="C1270" s="86">
        <v>0.50555555555555498</v>
      </c>
      <c r="D1270" s="87">
        <v>0</v>
      </c>
      <c r="E1270" s="87">
        <v>0</v>
      </c>
      <c r="F1270" s="87">
        <v>0</v>
      </c>
      <c r="G1270" s="87">
        <v>0</v>
      </c>
      <c r="H1270" s="87">
        <v>0</v>
      </c>
      <c r="I1270" s="87">
        <v>0</v>
      </c>
      <c r="J1270" s="87">
        <v>0</v>
      </c>
    </row>
    <row r="1271" spans="1:10">
      <c r="A1271" s="85" t="s">
        <v>100</v>
      </c>
      <c r="B1271" s="85" t="s">
        <v>13</v>
      </c>
      <c r="C1271" s="86">
        <v>0.50624999999999998</v>
      </c>
      <c r="D1271" s="87">
        <v>0</v>
      </c>
      <c r="E1271" s="87">
        <v>0</v>
      </c>
      <c r="F1271" s="87">
        <v>0</v>
      </c>
      <c r="G1271" s="87">
        <v>0</v>
      </c>
      <c r="H1271" s="87">
        <v>0</v>
      </c>
      <c r="I1271" s="87">
        <v>0</v>
      </c>
      <c r="J1271" s="87">
        <v>0</v>
      </c>
    </row>
    <row r="1272" spans="1:10">
      <c r="A1272" s="85" t="s">
        <v>100</v>
      </c>
      <c r="B1272" s="85" t="s">
        <v>13</v>
      </c>
      <c r="C1272" s="86">
        <v>0.50694444444444398</v>
      </c>
      <c r="D1272" s="87">
        <v>0</v>
      </c>
      <c r="E1272" s="87">
        <v>0</v>
      </c>
      <c r="F1272" s="87">
        <v>0</v>
      </c>
      <c r="G1272" s="87">
        <v>0</v>
      </c>
      <c r="H1272" s="87">
        <v>0</v>
      </c>
      <c r="I1272" s="87">
        <v>0</v>
      </c>
      <c r="J1272" s="87">
        <v>0</v>
      </c>
    </row>
    <row r="1273" spans="1:10">
      <c r="A1273" s="85" t="s">
        <v>100</v>
      </c>
      <c r="B1273" s="85" t="s">
        <v>13</v>
      </c>
      <c r="C1273" s="86">
        <v>0.50763888888888897</v>
      </c>
      <c r="D1273" s="87">
        <v>0</v>
      </c>
      <c r="E1273" s="87">
        <v>0</v>
      </c>
      <c r="F1273" s="87">
        <v>0</v>
      </c>
      <c r="G1273" s="87">
        <v>0</v>
      </c>
      <c r="H1273" s="87">
        <v>0</v>
      </c>
      <c r="I1273" s="87">
        <v>0</v>
      </c>
      <c r="J1273" s="87">
        <v>0</v>
      </c>
    </row>
    <row r="1274" spans="1:10">
      <c r="A1274" s="85" t="s">
        <v>100</v>
      </c>
      <c r="B1274" s="85" t="s">
        <v>13</v>
      </c>
      <c r="C1274" s="86">
        <v>0.50833333333333297</v>
      </c>
      <c r="D1274" s="87">
        <v>0</v>
      </c>
      <c r="E1274" s="87">
        <v>0</v>
      </c>
      <c r="F1274" s="87">
        <v>0</v>
      </c>
      <c r="G1274" s="87">
        <v>0</v>
      </c>
      <c r="H1274" s="87">
        <v>0</v>
      </c>
      <c r="I1274" s="87">
        <v>0</v>
      </c>
      <c r="J1274" s="87">
        <v>0</v>
      </c>
    </row>
    <row r="1275" spans="1:10">
      <c r="A1275" s="85" t="s">
        <v>100</v>
      </c>
      <c r="B1275" s="85" t="s">
        <v>13</v>
      </c>
      <c r="C1275" s="86">
        <v>0.50902777777777797</v>
      </c>
      <c r="D1275" s="87">
        <v>0</v>
      </c>
      <c r="E1275" s="87">
        <v>0</v>
      </c>
      <c r="F1275" s="87">
        <v>0</v>
      </c>
      <c r="G1275" s="87">
        <v>0</v>
      </c>
      <c r="H1275" s="87">
        <v>0</v>
      </c>
      <c r="I1275" s="87">
        <v>0</v>
      </c>
      <c r="J1275" s="87">
        <v>0</v>
      </c>
    </row>
    <row r="1276" spans="1:10" s="78" customFormat="1">
      <c r="A1276" s="88" t="s">
        <v>100</v>
      </c>
      <c r="B1276" s="88" t="s">
        <v>13</v>
      </c>
      <c r="C1276" s="89">
        <v>0.50972222222222197</v>
      </c>
      <c r="D1276" s="90">
        <v>0</v>
      </c>
      <c r="E1276" s="90">
        <v>0</v>
      </c>
      <c r="F1276" s="90">
        <v>0</v>
      </c>
      <c r="G1276" s="90">
        <v>0</v>
      </c>
      <c r="H1276" s="90">
        <v>0</v>
      </c>
      <c r="I1276" s="90">
        <v>0</v>
      </c>
      <c r="J1276" s="90">
        <v>0</v>
      </c>
    </row>
    <row r="1277" spans="1:10">
      <c r="A1277" s="85" t="s">
        <v>100</v>
      </c>
      <c r="B1277" s="85" t="s">
        <v>13</v>
      </c>
      <c r="C1277" s="86">
        <v>0.51041666666666596</v>
      </c>
      <c r="D1277" s="91">
        <v>0</v>
      </c>
      <c r="E1277" s="91">
        <v>0</v>
      </c>
      <c r="F1277" s="91">
        <v>0</v>
      </c>
      <c r="G1277" s="91">
        <v>0</v>
      </c>
      <c r="H1277" s="91">
        <v>0</v>
      </c>
      <c r="I1277" s="91">
        <v>0</v>
      </c>
      <c r="J1277" s="91">
        <v>0</v>
      </c>
    </row>
    <row r="1278" spans="1:10">
      <c r="A1278" s="85" t="s">
        <v>100</v>
      </c>
      <c r="B1278" s="85" t="s">
        <v>13</v>
      </c>
      <c r="C1278" s="86">
        <v>0.51111111111111096</v>
      </c>
      <c r="D1278" s="87">
        <v>0</v>
      </c>
      <c r="E1278" s="87">
        <v>0</v>
      </c>
      <c r="F1278" s="87">
        <v>0</v>
      </c>
      <c r="G1278" s="87">
        <v>0</v>
      </c>
      <c r="H1278" s="87">
        <v>0</v>
      </c>
      <c r="I1278" s="87">
        <v>0</v>
      </c>
      <c r="J1278" s="87">
        <v>0</v>
      </c>
    </row>
    <row r="1279" spans="1:10">
      <c r="A1279" s="85" t="s">
        <v>100</v>
      </c>
      <c r="B1279" s="85" t="s">
        <v>13</v>
      </c>
      <c r="C1279" s="86">
        <v>0.51180555555555496</v>
      </c>
      <c r="D1279" s="87">
        <v>0</v>
      </c>
      <c r="E1279" s="87">
        <v>0</v>
      </c>
      <c r="F1279" s="87">
        <v>0</v>
      </c>
      <c r="G1279" s="87">
        <v>0</v>
      </c>
      <c r="H1279" s="87">
        <v>0</v>
      </c>
      <c r="I1279" s="87">
        <v>0</v>
      </c>
      <c r="J1279" s="87">
        <v>0</v>
      </c>
    </row>
    <row r="1280" spans="1:10">
      <c r="A1280" s="85" t="s">
        <v>100</v>
      </c>
      <c r="B1280" s="85" t="s">
        <v>13</v>
      </c>
      <c r="C1280" s="86">
        <v>0.51249999999999996</v>
      </c>
      <c r="D1280" s="87">
        <v>0</v>
      </c>
      <c r="E1280" s="87">
        <v>0</v>
      </c>
      <c r="F1280" s="87">
        <v>0</v>
      </c>
      <c r="G1280" s="87">
        <v>0</v>
      </c>
      <c r="H1280" s="87">
        <v>0</v>
      </c>
      <c r="I1280" s="87">
        <v>0</v>
      </c>
      <c r="J1280" s="87">
        <v>0</v>
      </c>
    </row>
    <row r="1281" spans="1:10">
      <c r="A1281" s="85" t="s">
        <v>100</v>
      </c>
      <c r="B1281" s="85" t="s">
        <v>13</v>
      </c>
      <c r="C1281" s="86">
        <v>0.51319444444444395</v>
      </c>
      <c r="D1281" s="87">
        <v>0</v>
      </c>
      <c r="E1281" s="87">
        <v>0</v>
      </c>
      <c r="F1281" s="87">
        <v>0</v>
      </c>
      <c r="G1281" s="87">
        <v>0</v>
      </c>
      <c r="H1281" s="87">
        <v>0</v>
      </c>
      <c r="I1281" s="87">
        <v>0</v>
      </c>
      <c r="J1281" s="87">
        <v>0</v>
      </c>
    </row>
    <row r="1282" spans="1:10">
      <c r="A1282" s="85" t="s">
        <v>100</v>
      </c>
      <c r="B1282" s="85" t="s">
        <v>13</v>
      </c>
      <c r="C1282" s="86">
        <v>0.51388888888888895</v>
      </c>
      <c r="D1282" s="87">
        <v>0</v>
      </c>
      <c r="E1282" s="87">
        <v>0</v>
      </c>
      <c r="F1282" s="87">
        <v>0</v>
      </c>
      <c r="G1282" s="87">
        <v>0</v>
      </c>
      <c r="H1282" s="87">
        <v>0</v>
      </c>
      <c r="I1282" s="87">
        <v>0</v>
      </c>
      <c r="J1282" s="87">
        <v>0</v>
      </c>
    </row>
    <row r="1283" spans="1:10">
      <c r="A1283" s="85" t="s">
        <v>100</v>
      </c>
      <c r="B1283" s="85" t="s">
        <v>13</v>
      </c>
      <c r="C1283" s="86">
        <v>0.51458333333333295</v>
      </c>
      <c r="D1283" s="87">
        <v>0</v>
      </c>
      <c r="E1283" s="87">
        <v>0</v>
      </c>
      <c r="F1283" s="87">
        <v>0</v>
      </c>
      <c r="G1283" s="87">
        <v>0</v>
      </c>
      <c r="H1283" s="87">
        <v>0</v>
      </c>
      <c r="I1283" s="87">
        <v>0</v>
      </c>
      <c r="J1283" s="87">
        <v>0</v>
      </c>
    </row>
    <row r="1284" spans="1:10">
      <c r="A1284" s="85" t="s">
        <v>100</v>
      </c>
      <c r="B1284" s="85" t="s">
        <v>13</v>
      </c>
      <c r="C1284" s="86">
        <v>0.51527777777777795</v>
      </c>
      <c r="D1284" s="87">
        <v>0</v>
      </c>
      <c r="E1284" s="87">
        <v>0</v>
      </c>
      <c r="F1284" s="87">
        <v>0</v>
      </c>
      <c r="G1284" s="87">
        <v>0</v>
      </c>
      <c r="H1284" s="87">
        <v>0</v>
      </c>
      <c r="I1284" s="87">
        <v>0</v>
      </c>
      <c r="J1284" s="87">
        <v>0</v>
      </c>
    </row>
    <row r="1285" spans="1:10">
      <c r="A1285" s="85" t="s">
        <v>100</v>
      </c>
      <c r="B1285" s="85" t="s">
        <v>13</v>
      </c>
      <c r="C1285" s="86">
        <v>0.51597222222222205</v>
      </c>
      <c r="D1285" s="87">
        <v>0</v>
      </c>
      <c r="E1285" s="87">
        <v>0</v>
      </c>
      <c r="F1285" s="87">
        <v>0</v>
      </c>
      <c r="G1285" s="87">
        <v>0</v>
      </c>
      <c r="H1285" s="87">
        <v>0</v>
      </c>
      <c r="I1285" s="87">
        <v>0</v>
      </c>
      <c r="J1285" s="87">
        <v>0</v>
      </c>
    </row>
    <row r="1286" spans="1:10">
      <c r="A1286" s="85" t="s">
        <v>100</v>
      </c>
      <c r="B1286" s="85" t="s">
        <v>13</v>
      </c>
      <c r="C1286" s="86">
        <v>0.51666666666666605</v>
      </c>
      <c r="D1286" s="87">
        <v>0</v>
      </c>
      <c r="E1286" s="87">
        <v>0</v>
      </c>
      <c r="F1286" s="87">
        <v>0</v>
      </c>
      <c r="G1286" s="87">
        <v>0</v>
      </c>
      <c r="H1286" s="87">
        <v>0</v>
      </c>
      <c r="I1286" s="87">
        <v>0</v>
      </c>
      <c r="J1286" s="87">
        <v>0</v>
      </c>
    </row>
    <row r="1287" spans="1:10">
      <c r="A1287" s="85" t="s">
        <v>100</v>
      </c>
      <c r="B1287" s="85" t="s">
        <v>13</v>
      </c>
      <c r="C1287" s="86">
        <v>0.51736111111111105</v>
      </c>
      <c r="D1287" s="87">
        <v>0</v>
      </c>
      <c r="E1287" s="87">
        <v>0</v>
      </c>
      <c r="F1287" s="87">
        <v>0</v>
      </c>
      <c r="G1287" s="87">
        <v>0</v>
      </c>
      <c r="H1287" s="87">
        <v>0</v>
      </c>
      <c r="I1287" s="87">
        <v>0</v>
      </c>
      <c r="J1287" s="87">
        <v>0</v>
      </c>
    </row>
    <row r="1288" spans="1:10">
      <c r="A1288" s="85" t="s">
        <v>100</v>
      </c>
      <c r="B1288" s="85" t="s">
        <v>13</v>
      </c>
      <c r="C1288" s="86">
        <v>0.51805555555555505</v>
      </c>
      <c r="D1288" s="87">
        <v>0</v>
      </c>
      <c r="E1288" s="87">
        <v>0</v>
      </c>
      <c r="F1288" s="87">
        <v>0</v>
      </c>
      <c r="G1288" s="87">
        <v>0</v>
      </c>
      <c r="H1288" s="87">
        <v>0</v>
      </c>
      <c r="I1288" s="87">
        <v>0</v>
      </c>
      <c r="J1288" s="87">
        <v>0</v>
      </c>
    </row>
    <row r="1289" spans="1:10">
      <c r="A1289" s="85" t="s">
        <v>100</v>
      </c>
      <c r="B1289" s="85" t="s">
        <v>13</v>
      </c>
      <c r="C1289" s="86">
        <v>0.51875000000000004</v>
      </c>
      <c r="D1289" s="87">
        <v>0</v>
      </c>
      <c r="E1289" s="87">
        <v>0</v>
      </c>
      <c r="F1289" s="87">
        <v>0</v>
      </c>
      <c r="G1289" s="87">
        <v>0</v>
      </c>
      <c r="H1289" s="87">
        <v>0</v>
      </c>
      <c r="I1289" s="87">
        <v>0</v>
      </c>
      <c r="J1289" s="87">
        <v>0</v>
      </c>
    </row>
    <row r="1290" spans="1:10">
      <c r="A1290" s="85" t="s">
        <v>100</v>
      </c>
      <c r="B1290" s="85" t="s">
        <v>13</v>
      </c>
      <c r="C1290" s="86">
        <v>0.51944444444444404</v>
      </c>
      <c r="D1290" s="87">
        <v>0</v>
      </c>
      <c r="E1290" s="87">
        <v>0</v>
      </c>
      <c r="F1290" s="87">
        <v>0</v>
      </c>
      <c r="G1290" s="87">
        <v>0</v>
      </c>
      <c r="H1290" s="87">
        <v>0</v>
      </c>
      <c r="I1290" s="87">
        <v>0</v>
      </c>
      <c r="J1290" s="87">
        <v>0</v>
      </c>
    </row>
    <row r="1291" spans="1:10" s="78" customFormat="1">
      <c r="A1291" s="88" t="s">
        <v>100</v>
      </c>
      <c r="B1291" s="88" t="s">
        <v>13</v>
      </c>
      <c r="C1291" s="89">
        <v>0.52013888888888904</v>
      </c>
      <c r="D1291" s="90">
        <v>0</v>
      </c>
      <c r="E1291" s="90">
        <v>0</v>
      </c>
      <c r="F1291" s="90">
        <v>0</v>
      </c>
      <c r="G1291" s="90">
        <v>0</v>
      </c>
      <c r="H1291" s="90">
        <v>0</v>
      </c>
      <c r="I1291" s="90">
        <v>0</v>
      </c>
      <c r="J1291" s="90">
        <v>0</v>
      </c>
    </row>
    <row r="1292" spans="1:10">
      <c r="A1292" s="85" t="s">
        <v>100</v>
      </c>
      <c r="B1292" s="85" t="s">
        <v>13</v>
      </c>
      <c r="C1292" s="86">
        <v>0.52083333333333304</v>
      </c>
      <c r="D1292" s="91">
        <v>0</v>
      </c>
      <c r="E1292" s="91">
        <v>0</v>
      </c>
      <c r="F1292" s="91">
        <v>0</v>
      </c>
      <c r="G1292" s="91">
        <v>0</v>
      </c>
      <c r="H1292" s="91">
        <v>0</v>
      </c>
      <c r="I1292" s="91">
        <v>0</v>
      </c>
      <c r="J1292" s="91">
        <v>0</v>
      </c>
    </row>
    <row r="1293" spans="1:10">
      <c r="A1293" s="85" t="s">
        <v>100</v>
      </c>
      <c r="B1293" s="85" t="s">
        <v>13</v>
      </c>
      <c r="C1293" s="86">
        <v>0.52152777777777704</v>
      </c>
      <c r="D1293" s="87">
        <v>0</v>
      </c>
      <c r="E1293" s="87">
        <v>0</v>
      </c>
      <c r="F1293" s="87">
        <v>0</v>
      </c>
      <c r="G1293" s="87">
        <v>0</v>
      </c>
      <c r="H1293" s="87">
        <v>0</v>
      </c>
      <c r="I1293" s="87">
        <v>0</v>
      </c>
      <c r="J1293" s="87">
        <v>0</v>
      </c>
    </row>
    <row r="1294" spans="1:10">
      <c r="A1294" s="85" t="s">
        <v>100</v>
      </c>
      <c r="B1294" s="85" t="s">
        <v>13</v>
      </c>
      <c r="C1294" s="86">
        <v>0.52222222222222203</v>
      </c>
      <c r="D1294" s="87">
        <v>0</v>
      </c>
      <c r="E1294" s="87">
        <v>0</v>
      </c>
      <c r="F1294" s="87">
        <v>0</v>
      </c>
      <c r="G1294" s="87">
        <v>0</v>
      </c>
      <c r="H1294" s="87">
        <v>0</v>
      </c>
      <c r="I1294" s="87">
        <v>0</v>
      </c>
      <c r="J1294" s="87">
        <v>0</v>
      </c>
    </row>
    <row r="1295" spans="1:10">
      <c r="A1295" s="85" t="s">
        <v>100</v>
      </c>
      <c r="B1295" s="85" t="s">
        <v>13</v>
      </c>
      <c r="C1295" s="86">
        <v>0.52291666666666603</v>
      </c>
      <c r="D1295" s="87">
        <v>0</v>
      </c>
      <c r="E1295" s="87">
        <v>0</v>
      </c>
      <c r="F1295" s="87">
        <v>0</v>
      </c>
      <c r="G1295" s="87">
        <v>0</v>
      </c>
      <c r="H1295" s="87">
        <v>0</v>
      </c>
      <c r="I1295" s="87">
        <v>0</v>
      </c>
      <c r="J1295" s="87">
        <v>0</v>
      </c>
    </row>
    <row r="1296" spans="1:10">
      <c r="A1296" s="85" t="s">
        <v>100</v>
      </c>
      <c r="B1296" s="85" t="s">
        <v>13</v>
      </c>
      <c r="C1296" s="86">
        <v>0.52361111111111103</v>
      </c>
      <c r="D1296" s="87">
        <v>0</v>
      </c>
      <c r="E1296" s="87">
        <v>0</v>
      </c>
      <c r="F1296" s="87">
        <v>0</v>
      </c>
      <c r="G1296" s="87">
        <v>0</v>
      </c>
      <c r="H1296" s="87">
        <v>0</v>
      </c>
      <c r="I1296" s="87">
        <v>0</v>
      </c>
      <c r="J1296" s="87">
        <v>0</v>
      </c>
    </row>
    <row r="1297" spans="1:10">
      <c r="A1297" s="85" t="s">
        <v>100</v>
      </c>
      <c r="B1297" s="85" t="s">
        <v>13</v>
      </c>
      <c r="C1297" s="86">
        <v>0.52430555555555503</v>
      </c>
      <c r="D1297" s="87">
        <v>0</v>
      </c>
      <c r="E1297" s="87">
        <v>0</v>
      </c>
      <c r="F1297" s="87">
        <v>0</v>
      </c>
      <c r="G1297" s="87">
        <v>0</v>
      </c>
      <c r="H1297" s="87">
        <v>0</v>
      </c>
      <c r="I1297" s="87">
        <v>0</v>
      </c>
      <c r="J1297" s="87">
        <v>0</v>
      </c>
    </row>
    <row r="1298" spans="1:10">
      <c r="A1298" s="85" t="s">
        <v>100</v>
      </c>
      <c r="B1298" s="85" t="s">
        <v>13</v>
      </c>
      <c r="C1298" s="86">
        <v>0.52500000000000002</v>
      </c>
      <c r="D1298" s="87">
        <v>0</v>
      </c>
      <c r="E1298" s="87">
        <v>0</v>
      </c>
      <c r="F1298" s="87">
        <v>0</v>
      </c>
      <c r="G1298" s="87">
        <v>0</v>
      </c>
      <c r="H1298" s="87">
        <v>0</v>
      </c>
      <c r="I1298" s="87">
        <v>0</v>
      </c>
      <c r="J1298" s="87">
        <v>0</v>
      </c>
    </row>
    <row r="1299" spans="1:10">
      <c r="A1299" s="85" t="s">
        <v>100</v>
      </c>
      <c r="B1299" s="85" t="s">
        <v>13</v>
      </c>
      <c r="C1299" s="86">
        <v>0.52569444444444402</v>
      </c>
      <c r="D1299" s="87">
        <v>0</v>
      </c>
      <c r="E1299" s="87">
        <v>0</v>
      </c>
      <c r="F1299" s="87">
        <v>0</v>
      </c>
      <c r="G1299" s="87">
        <v>0</v>
      </c>
      <c r="H1299" s="87">
        <v>0</v>
      </c>
      <c r="I1299" s="87">
        <v>0</v>
      </c>
      <c r="J1299" s="87">
        <v>0</v>
      </c>
    </row>
    <row r="1300" spans="1:10">
      <c r="A1300" s="85" t="s">
        <v>100</v>
      </c>
      <c r="B1300" s="85" t="s">
        <v>13</v>
      </c>
      <c r="C1300" s="86">
        <v>0.52638888888888902</v>
      </c>
      <c r="D1300" s="87">
        <v>0</v>
      </c>
      <c r="E1300" s="87">
        <v>0</v>
      </c>
      <c r="F1300" s="87">
        <v>0</v>
      </c>
      <c r="G1300" s="87">
        <v>0</v>
      </c>
      <c r="H1300" s="87">
        <v>0</v>
      </c>
      <c r="I1300" s="87">
        <v>0</v>
      </c>
      <c r="J1300" s="87">
        <v>0</v>
      </c>
    </row>
    <row r="1301" spans="1:10">
      <c r="A1301" s="85" t="s">
        <v>100</v>
      </c>
      <c r="B1301" s="85" t="s">
        <v>13</v>
      </c>
      <c r="C1301" s="86">
        <v>0.52708333333333302</v>
      </c>
      <c r="D1301" s="87">
        <v>0</v>
      </c>
      <c r="E1301" s="87">
        <v>0</v>
      </c>
      <c r="F1301" s="87">
        <v>0</v>
      </c>
      <c r="G1301" s="87">
        <v>0</v>
      </c>
      <c r="H1301" s="87">
        <v>0</v>
      </c>
      <c r="I1301" s="87">
        <v>0</v>
      </c>
      <c r="J1301" s="87">
        <v>0</v>
      </c>
    </row>
    <row r="1302" spans="1:10">
      <c r="A1302" s="85" t="s">
        <v>100</v>
      </c>
      <c r="B1302" s="85" t="s">
        <v>13</v>
      </c>
      <c r="C1302" s="86">
        <v>0.52777777777777701</v>
      </c>
      <c r="D1302" s="87">
        <v>0</v>
      </c>
      <c r="E1302" s="87">
        <v>0</v>
      </c>
      <c r="F1302" s="87">
        <v>0</v>
      </c>
      <c r="G1302" s="87">
        <v>0</v>
      </c>
      <c r="H1302" s="87">
        <v>0</v>
      </c>
      <c r="I1302" s="87">
        <v>0</v>
      </c>
      <c r="J1302" s="87">
        <v>0</v>
      </c>
    </row>
    <row r="1303" spans="1:10">
      <c r="A1303" s="85" t="s">
        <v>100</v>
      </c>
      <c r="B1303" s="85" t="s">
        <v>13</v>
      </c>
      <c r="C1303" s="86">
        <v>0.52847222222222201</v>
      </c>
      <c r="D1303" s="87">
        <v>0</v>
      </c>
      <c r="E1303" s="87">
        <v>0</v>
      </c>
      <c r="F1303" s="87">
        <v>0</v>
      </c>
      <c r="G1303" s="87">
        <v>0</v>
      </c>
      <c r="H1303" s="87">
        <v>0</v>
      </c>
      <c r="I1303" s="87">
        <v>0</v>
      </c>
      <c r="J1303" s="87">
        <v>0</v>
      </c>
    </row>
    <row r="1304" spans="1:10">
      <c r="A1304" s="85" t="s">
        <v>100</v>
      </c>
      <c r="B1304" s="85" t="s">
        <v>13</v>
      </c>
      <c r="C1304" s="86">
        <v>0.52916666666666601</v>
      </c>
      <c r="D1304" s="87">
        <v>0</v>
      </c>
      <c r="E1304" s="87">
        <v>0</v>
      </c>
      <c r="F1304" s="87">
        <v>0</v>
      </c>
      <c r="G1304" s="87">
        <v>0</v>
      </c>
      <c r="H1304" s="87">
        <v>0</v>
      </c>
      <c r="I1304" s="87">
        <v>0</v>
      </c>
      <c r="J1304" s="87">
        <v>0</v>
      </c>
    </row>
    <row r="1305" spans="1:10">
      <c r="A1305" s="85" t="s">
        <v>100</v>
      </c>
      <c r="B1305" s="85" t="s">
        <v>13</v>
      </c>
      <c r="C1305" s="86">
        <v>0.52986111111111101</v>
      </c>
      <c r="D1305" s="87">
        <v>0</v>
      </c>
      <c r="E1305" s="87">
        <v>0</v>
      </c>
      <c r="F1305" s="87">
        <v>0</v>
      </c>
      <c r="G1305" s="87">
        <v>0</v>
      </c>
      <c r="H1305" s="87">
        <v>0</v>
      </c>
      <c r="I1305" s="87">
        <v>0</v>
      </c>
      <c r="J1305" s="87">
        <v>0</v>
      </c>
    </row>
    <row r="1306" spans="1:10" s="78" customFormat="1">
      <c r="A1306" s="88" t="s">
        <v>100</v>
      </c>
      <c r="B1306" s="88" t="s">
        <v>13</v>
      </c>
      <c r="C1306" s="89">
        <v>0.530555555555555</v>
      </c>
      <c r="D1306" s="90">
        <v>0</v>
      </c>
      <c r="E1306" s="90">
        <v>0</v>
      </c>
      <c r="F1306" s="90">
        <v>0</v>
      </c>
      <c r="G1306" s="90">
        <v>0</v>
      </c>
      <c r="H1306" s="90">
        <v>0</v>
      </c>
      <c r="I1306" s="90">
        <v>0</v>
      </c>
      <c r="J1306" s="90">
        <v>0</v>
      </c>
    </row>
    <row r="1307" spans="1:10">
      <c r="A1307" s="85" t="s">
        <v>100</v>
      </c>
      <c r="B1307" s="85" t="s">
        <v>13</v>
      </c>
      <c r="C1307" s="86">
        <v>0.53125</v>
      </c>
      <c r="D1307" s="91">
        <v>0</v>
      </c>
      <c r="E1307" s="91">
        <v>0</v>
      </c>
      <c r="F1307" s="91">
        <v>0</v>
      </c>
      <c r="G1307" s="91">
        <v>0</v>
      </c>
      <c r="H1307" s="91">
        <v>0</v>
      </c>
      <c r="I1307" s="91">
        <v>0</v>
      </c>
      <c r="J1307" s="91">
        <v>0</v>
      </c>
    </row>
    <row r="1308" spans="1:10">
      <c r="A1308" s="85" t="s">
        <v>100</v>
      </c>
      <c r="B1308" s="85" t="s">
        <v>13</v>
      </c>
      <c r="C1308" s="86">
        <v>0.531944444444444</v>
      </c>
      <c r="D1308" s="87">
        <v>0</v>
      </c>
      <c r="E1308" s="87">
        <v>0</v>
      </c>
      <c r="F1308" s="87">
        <v>0</v>
      </c>
      <c r="G1308" s="87">
        <v>0</v>
      </c>
      <c r="H1308" s="87">
        <v>0</v>
      </c>
      <c r="I1308" s="87">
        <v>0</v>
      </c>
      <c r="J1308" s="87">
        <v>0</v>
      </c>
    </row>
    <row r="1309" spans="1:10">
      <c r="A1309" s="85" t="s">
        <v>100</v>
      </c>
      <c r="B1309" s="85" t="s">
        <v>13</v>
      </c>
      <c r="C1309" s="86">
        <v>0.53263888888888899</v>
      </c>
      <c r="D1309" s="87">
        <v>0</v>
      </c>
      <c r="E1309" s="87">
        <v>0</v>
      </c>
      <c r="F1309" s="87">
        <v>0</v>
      </c>
      <c r="G1309" s="87">
        <v>0</v>
      </c>
      <c r="H1309" s="87">
        <v>0</v>
      </c>
      <c r="I1309" s="87">
        <v>0</v>
      </c>
      <c r="J1309" s="87">
        <v>0</v>
      </c>
    </row>
    <row r="1310" spans="1:10">
      <c r="A1310" s="85" t="s">
        <v>100</v>
      </c>
      <c r="B1310" s="85" t="s">
        <v>13</v>
      </c>
      <c r="C1310" s="86">
        <v>0.53333333333333299</v>
      </c>
      <c r="D1310" s="87">
        <v>0</v>
      </c>
      <c r="E1310" s="87">
        <v>0</v>
      </c>
      <c r="F1310" s="87">
        <v>0</v>
      </c>
      <c r="G1310" s="87">
        <v>0</v>
      </c>
      <c r="H1310" s="87">
        <v>0</v>
      </c>
      <c r="I1310" s="87">
        <v>0</v>
      </c>
      <c r="J1310" s="87">
        <v>0</v>
      </c>
    </row>
    <row r="1311" spans="1:10">
      <c r="A1311" s="85" t="s">
        <v>100</v>
      </c>
      <c r="B1311" s="85" t="s">
        <v>13</v>
      </c>
      <c r="C1311" s="86">
        <v>0.53402777777777799</v>
      </c>
      <c r="D1311" s="87">
        <v>0</v>
      </c>
      <c r="E1311" s="87">
        <v>0</v>
      </c>
      <c r="F1311" s="87">
        <v>0</v>
      </c>
      <c r="G1311" s="87">
        <v>0</v>
      </c>
      <c r="H1311" s="87">
        <v>0</v>
      </c>
      <c r="I1311" s="87">
        <v>0</v>
      </c>
      <c r="J1311" s="87">
        <v>0</v>
      </c>
    </row>
    <row r="1312" spans="1:10">
      <c r="A1312" s="85" t="s">
        <v>100</v>
      </c>
      <c r="B1312" s="85" t="s">
        <v>13</v>
      </c>
      <c r="C1312" s="86">
        <v>0.53472222222222199</v>
      </c>
      <c r="D1312" s="87">
        <v>0</v>
      </c>
      <c r="E1312" s="87">
        <v>0</v>
      </c>
      <c r="F1312" s="87">
        <v>0</v>
      </c>
      <c r="G1312" s="87">
        <v>0</v>
      </c>
      <c r="H1312" s="87">
        <v>0</v>
      </c>
      <c r="I1312" s="87">
        <v>0</v>
      </c>
      <c r="J1312" s="87">
        <v>0</v>
      </c>
    </row>
    <row r="1313" spans="1:10">
      <c r="A1313" s="85" t="s">
        <v>100</v>
      </c>
      <c r="B1313" s="85" t="s">
        <v>13</v>
      </c>
      <c r="C1313" s="86">
        <v>0.53541666666666599</v>
      </c>
      <c r="D1313" s="87">
        <v>0</v>
      </c>
      <c r="E1313" s="87">
        <v>0</v>
      </c>
      <c r="F1313" s="87">
        <v>0</v>
      </c>
      <c r="G1313" s="87">
        <v>0</v>
      </c>
      <c r="H1313" s="87">
        <v>0</v>
      </c>
      <c r="I1313" s="87">
        <v>0</v>
      </c>
      <c r="J1313" s="87">
        <v>0</v>
      </c>
    </row>
    <row r="1314" spans="1:10">
      <c r="A1314" s="85" t="s">
        <v>100</v>
      </c>
      <c r="B1314" s="85" t="s">
        <v>13</v>
      </c>
      <c r="C1314" s="86">
        <v>0.53611111111111098</v>
      </c>
      <c r="D1314" s="87">
        <v>0</v>
      </c>
      <c r="E1314" s="87">
        <v>0</v>
      </c>
      <c r="F1314" s="87">
        <v>0</v>
      </c>
      <c r="G1314" s="87">
        <v>0</v>
      </c>
      <c r="H1314" s="87">
        <v>0</v>
      </c>
      <c r="I1314" s="87">
        <v>0</v>
      </c>
      <c r="J1314" s="87">
        <v>0</v>
      </c>
    </row>
    <row r="1315" spans="1:10">
      <c r="A1315" s="85" t="s">
        <v>100</v>
      </c>
      <c r="B1315" s="85" t="s">
        <v>13</v>
      </c>
      <c r="C1315" s="86">
        <v>0.53680555555555498</v>
      </c>
      <c r="D1315" s="87">
        <v>0</v>
      </c>
      <c r="E1315" s="87">
        <v>0</v>
      </c>
      <c r="F1315" s="87">
        <v>0</v>
      </c>
      <c r="G1315" s="87">
        <v>0</v>
      </c>
      <c r="H1315" s="87">
        <v>0</v>
      </c>
      <c r="I1315" s="87">
        <v>0</v>
      </c>
      <c r="J1315" s="87">
        <v>0</v>
      </c>
    </row>
    <row r="1316" spans="1:10">
      <c r="A1316" s="85" t="s">
        <v>100</v>
      </c>
      <c r="B1316" s="85" t="s">
        <v>13</v>
      </c>
      <c r="C1316" s="86">
        <v>0.53749999999999998</v>
      </c>
      <c r="D1316" s="87">
        <v>0</v>
      </c>
      <c r="E1316" s="87">
        <v>0</v>
      </c>
      <c r="F1316" s="87">
        <v>0</v>
      </c>
      <c r="G1316" s="87">
        <v>0</v>
      </c>
      <c r="H1316" s="87">
        <v>0</v>
      </c>
      <c r="I1316" s="87">
        <v>0</v>
      </c>
      <c r="J1316" s="87">
        <v>0</v>
      </c>
    </row>
    <row r="1317" spans="1:10">
      <c r="A1317" s="85" t="s">
        <v>100</v>
      </c>
      <c r="B1317" s="85" t="s">
        <v>13</v>
      </c>
      <c r="C1317" s="86">
        <v>0.53819444444444398</v>
      </c>
      <c r="D1317" s="87">
        <v>0</v>
      </c>
      <c r="E1317" s="87">
        <v>0</v>
      </c>
      <c r="F1317" s="87">
        <v>0</v>
      </c>
      <c r="G1317" s="87">
        <v>0</v>
      </c>
      <c r="H1317" s="87">
        <v>0</v>
      </c>
      <c r="I1317" s="87">
        <v>0</v>
      </c>
      <c r="J1317" s="87">
        <v>0</v>
      </c>
    </row>
    <row r="1318" spans="1:10">
      <c r="A1318" s="85" t="s">
        <v>100</v>
      </c>
      <c r="B1318" s="85" t="s">
        <v>13</v>
      </c>
      <c r="C1318" s="86">
        <v>0.53888888888888897</v>
      </c>
      <c r="D1318" s="87">
        <v>0</v>
      </c>
      <c r="E1318" s="87">
        <v>0</v>
      </c>
      <c r="F1318" s="87">
        <v>0</v>
      </c>
      <c r="G1318" s="87">
        <v>0</v>
      </c>
      <c r="H1318" s="87">
        <v>0</v>
      </c>
      <c r="I1318" s="87">
        <v>0</v>
      </c>
      <c r="J1318" s="87">
        <v>0</v>
      </c>
    </row>
    <row r="1319" spans="1:10">
      <c r="A1319" s="85" t="s">
        <v>100</v>
      </c>
      <c r="B1319" s="85" t="s">
        <v>13</v>
      </c>
      <c r="C1319" s="86">
        <v>0.53958333333333297</v>
      </c>
      <c r="D1319" s="87">
        <v>0</v>
      </c>
      <c r="E1319" s="87">
        <v>0</v>
      </c>
      <c r="F1319" s="87">
        <v>0</v>
      </c>
      <c r="G1319" s="87">
        <v>0</v>
      </c>
      <c r="H1319" s="87">
        <v>0</v>
      </c>
      <c r="I1319" s="87">
        <v>0</v>
      </c>
      <c r="J1319" s="87">
        <v>0</v>
      </c>
    </row>
    <row r="1320" spans="1:10">
      <c r="A1320" s="85" t="s">
        <v>100</v>
      </c>
      <c r="B1320" s="85" t="s">
        <v>13</v>
      </c>
      <c r="C1320" s="86">
        <v>0.54027777777777797</v>
      </c>
      <c r="D1320" s="87">
        <v>0</v>
      </c>
      <c r="E1320" s="87">
        <v>0</v>
      </c>
      <c r="F1320" s="87">
        <v>0</v>
      </c>
      <c r="G1320" s="87">
        <v>0</v>
      </c>
      <c r="H1320" s="87">
        <v>0</v>
      </c>
      <c r="I1320" s="87">
        <v>0</v>
      </c>
      <c r="J1320" s="87">
        <v>0</v>
      </c>
    </row>
    <row r="1321" spans="1:10" s="28" customFormat="1" ht="17.5" thickBot="1">
      <c r="A1321" s="100" t="s">
        <v>100</v>
      </c>
      <c r="B1321" s="100" t="s">
        <v>13</v>
      </c>
      <c r="C1321" s="101">
        <v>0.54097222222222197</v>
      </c>
      <c r="D1321" s="102">
        <v>0</v>
      </c>
      <c r="E1321" s="102">
        <v>0</v>
      </c>
      <c r="F1321" s="102">
        <v>0</v>
      </c>
      <c r="G1321" s="102">
        <v>0</v>
      </c>
      <c r="H1321" s="102">
        <v>0</v>
      </c>
      <c r="I1321" s="102">
        <v>0</v>
      </c>
      <c r="J1321" s="102">
        <v>0</v>
      </c>
    </row>
    <row r="1322" spans="1:10">
      <c r="A1322" s="85" t="s">
        <v>100</v>
      </c>
      <c r="B1322" s="85" t="s">
        <v>14</v>
      </c>
      <c r="C1322" s="86">
        <v>0.45833333333333331</v>
      </c>
      <c r="D1322" s="103">
        <v>0</v>
      </c>
      <c r="E1322" s="103">
        <v>0</v>
      </c>
      <c r="F1322" s="103">
        <v>0</v>
      </c>
      <c r="G1322" s="103">
        <v>0</v>
      </c>
      <c r="H1322" s="103">
        <v>0</v>
      </c>
      <c r="I1322" s="103">
        <v>0</v>
      </c>
      <c r="J1322" s="103">
        <v>0</v>
      </c>
    </row>
    <row r="1323" spans="1:10">
      <c r="A1323" s="85" t="s">
        <v>100</v>
      </c>
      <c r="B1323" s="85" t="s">
        <v>14</v>
      </c>
      <c r="C1323" s="86">
        <v>0.45902777777777776</v>
      </c>
      <c r="D1323" s="87">
        <v>0</v>
      </c>
      <c r="E1323" s="87">
        <v>0</v>
      </c>
      <c r="F1323" s="87">
        <v>0</v>
      </c>
      <c r="G1323" s="87">
        <v>0</v>
      </c>
      <c r="H1323" s="87">
        <v>0</v>
      </c>
      <c r="I1323" s="87">
        <v>0</v>
      </c>
      <c r="J1323" s="87">
        <v>0</v>
      </c>
    </row>
    <row r="1324" spans="1:10">
      <c r="A1324" s="85" t="s">
        <v>100</v>
      </c>
      <c r="B1324" s="85" t="s">
        <v>14</v>
      </c>
      <c r="C1324" s="86">
        <v>0.45972222222222198</v>
      </c>
      <c r="D1324" s="87">
        <v>0</v>
      </c>
      <c r="E1324" s="87">
        <v>0</v>
      </c>
      <c r="F1324" s="87">
        <v>0</v>
      </c>
      <c r="G1324" s="87">
        <v>0</v>
      </c>
      <c r="H1324" s="87">
        <v>0</v>
      </c>
      <c r="I1324" s="87">
        <v>0</v>
      </c>
      <c r="J1324" s="87">
        <v>0</v>
      </c>
    </row>
    <row r="1325" spans="1:10">
      <c r="A1325" s="85" t="s">
        <v>100</v>
      </c>
      <c r="B1325" s="85" t="s">
        <v>14</v>
      </c>
      <c r="C1325" s="86">
        <v>0.46041666666666697</v>
      </c>
      <c r="D1325" s="87">
        <v>0</v>
      </c>
      <c r="E1325" s="87">
        <v>0</v>
      </c>
      <c r="F1325" s="87">
        <v>0</v>
      </c>
      <c r="G1325" s="87">
        <v>0</v>
      </c>
      <c r="H1325" s="87">
        <v>0</v>
      </c>
      <c r="I1325" s="87">
        <v>0</v>
      </c>
      <c r="J1325" s="87">
        <v>0</v>
      </c>
    </row>
    <row r="1326" spans="1:10">
      <c r="A1326" s="85" t="s">
        <v>100</v>
      </c>
      <c r="B1326" s="85" t="s">
        <v>14</v>
      </c>
      <c r="C1326" s="86">
        <v>0.46111111111111103</v>
      </c>
      <c r="D1326" s="87">
        <v>0</v>
      </c>
      <c r="E1326" s="87">
        <v>0</v>
      </c>
      <c r="F1326" s="87">
        <v>0</v>
      </c>
      <c r="G1326" s="87">
        <v>0</v>
      </c>
      <c r="H1326" s="87">
        <v>0</v>
      </c>
      <c r="I1326" s="87">
        <v>0</v>
      </c>
      <c r="J1326" s="87">
        <v>0</v>
      </c>
    </row>
    <row r="1327" spans="1:10">
      <c r="A1327" s="85" t="s">
        <v>100</v>
      </c>
      <c r="B1327" s="85" t="s">
        <v>14</v>
      </c>
      <c r="C1327" s="86">
        <v>0.46180555555555602</v>
      </c>
      <c r="D1327" s="87">
        <v>0</v>
      </c>
      <c r="E1327" s="87">
        <v>0</v>
      </c>
      <c r="F1327" s="87">
        <v>0</v>
      </c>
      <c r="G1327" s="87">
        <v>0</v>
      </c>
      <c r="H1327" s="87">
        <v>0</v>
      </c>
      <c r="I1327" s="87">
        <v>0</v>
      </c>
      <c r="J1327" s="87">
        <v>0</v>
      </c>
    </row>
    <row r="1328" spans="1:10">
      <c r="A1328" s="85" t="s">
        <v>100</v>
      </c>
      <c r="B1328" s="85" t="s">
        <v>14</v>
      </c>
      <c r="C1328" s="86">
        <v>0.46250000000000002</v>
      </c>
      <c r="D1328" s="87">
        <v>0</v>
      </c>
      <c r="E1328" s="87">
        <v>0</v>
      </c>
      <c r="F1328" s="87">
        <v>0</v>
      </c>
      <c r="G1328" s="87">
        <v>0</v>
      </c>
      <c r="H1328" s="87">
        <v>0</v>
      </c>
      <c r="I1328" s="87">
        <v>0</v>
      </c>
      <c r="J1328" s="87">
        <v>0</v>
      </c>
    </row>
    <row r="1329" spans="1:10">
      <c r="A1329" s="85" t="s">
        <v>100</v>
      </c>
      <c r="B1329" s="85" t="s">
        <v>14</v>
      </c>
      <c r="C1329" s="86">
        <v>0.46319444444444402</v>
      </c>
      <c r="D1329" s="87">
        <v>0</v>
      </c>
      <c r="E1329" s="87">
        <v>0</v>
      </c>
      <c r="F1329" s="87">
        <v>0</v>
      </c>
      <c r="G1329" s="87">
        <v>0</v>
      </c>
      <c r="H1329" s="87">
        <v>0</v>
      </c>
      <c r="I1329" s="87">
        <v>0</v>
      </c>
      <c r="J1329" s="87">
        <v>0</v>
      </c>
    </row>
    <row r="1330" spans="1:10">
      <c r="A1330" s="85" t="s">
        <v>100</v>
      </c>
      <c r="B1330" s="85" t="s">
        <v>14</v>
      </c>
      <c r="C1330" s="86">
        <v>0.46388888888888902</v>
      </c>
      <c r="D1330" s="87">
        <v>0</v>
      </c>
      <c r="E1330" s="87">
        <v>0</v>
      </c>
      <c r="F1330" s="87">
        <v>0</v>
      </c>
      <c r="G1330" s="87">
        <v>0</v>
      </c>
      <c r="H1330" s="87">
        <v>0</v>
      </c>
      <c r="I1330" s="87">
        <v>0</v>
      </c>
      <c r="J1330" s="87">
        <v>0</v>
      </c>
    </row>
    <row r="1331" spans="1:10">
      <c r="A1331" s="85" t="s">
        <v>100</v>
      </c>
      <c r="B1331" s="85" t="s">
        <v>14</v>
      </c>
      <c r="C1331" s="86">
        <v>0.46458333333333302</v>
      </c>
      <c r="D1331" s="87">
        <v>0</v>
      </c>
      <c r="E1331" s="87">
        <v>0</v>
      </c>
      <c r="F1331" s="87">
        <v>0</v>
      </c>
      <c r="G1331" s="87">
        <v>0</v>
      </c>
      <c r="H1331" s="87">
        <v>0</v>
      </c>
      <c r="I1331" s="87">
        <v>0</v>
      </c>
      <c r="J1331" s="87">
        <v>0</v>
      </c>
    </row>
    <row r="1332" spans="1:10">
      <c r="A1332" s="85" t="s">
        <v>100</v>
      </c>
      <c r="B1332" s="85" t="s">
        <v>14</v>
      </c>
      <c r="C1332" s="86">
        <v>0.46527777777777801</v>
      </c>
      <c r="D1332" s="87">
        <v>0</v>
      </c>
      <c r="E1332" s="87">
        <v>0</v>
      </c>
      <c r="F1332" s="87">
        <v>0</v>
      </c>
      <c r="G1332" s="87">
        <v>0</v>
      </c>
      <c r="H1332" s="87">
        <v>0</v>
      </c>
      <c r="I1332" s="87">
        <v>0</v>
      </c>
      <c r="J1332" s="87">
        <v>0</v>
      </c>
    </row>
    <row r="1333" spans="1:10">
      <c r="A1333" s="85" t="s">
        <v>100</v>
      </c>
      <c r="B1333" s="85" t="s">
        <v>14</v>
      </c>
      <c r="C1333" s="86">
        <v>0.46597222222222201</v>
      </c>
      <c r="D1333" s="87">
        <v>0</v>
      </c>
      <c r="E1333" s="87">
        <v>0</v>
      </c>
      <c r="F1333" s="87">
        <v>0</v>
      </c>
      <c r="G1333" s="87">
        <v>0</v>
      </c>
      <c r="H1333" s="87">
        <v>0</v>
      </c>
      <c r="I1333" s="87">
        <v>0</v>
      </c>
      <c r="J1333" s="87">
        <v>0</v>
      </c>
    </row>
    <row r="1334" spans="1:10">
      <c r="A1334" s="85" t="s">
        <v>100</v>
      </c>
      <c r="B1334" s="85" t="s">
        <v>14</v>
      </c>
      <c r="C1334" s="86">
        <v>0.46666666666666701</v>
      </c>
      <c r="D1334" s="87">
        <v>0</v>
      </c>
      <c r="E1334" s="87">
        <v>0</v>
      </c>
      <c r="F1334" s="87">
        <v>0</v>
      </c>
      <c r="G1334" s="87">
        <v>0</v>
      </c>
      <c r="H1334" s="87">
        <v>0</v>
      </c>
      <c r="I1334" s="87">
        <v>0</v>
      </c>
      <c r="J1334" s="87">
        <v>0</v>
      </c>
    </row>
    <row r="1335" spans="1:10">
      <c r="A1335" s="85" t="s">
        <v>100</v>
      </c>
      <c r="B1335" s="85" t="s">
        <v>14</v>
      </c>
      <c r="C1335" s="86">
        <v>0.46736111111111101</v>
      </c>
      <c r="D1335" s="87">
        <v>0</v>
      </c>
      <c r="E1335" s="87">
        <v>0</v>
      </c>
      <c r="F1335" s="87">
        <v>0</v>
      </c>
      <c r="G1335" s="87">
        <v>0</v>
      </c>
      <c r="H1335" s="87">
        <v>0</v>
      </c>
      <c r="I1335" s="87">
        <v>0</v>
      </c>
      <c r="J1335" s="87">
        <v>0</v>
      </c>
    </row>
    <row r="1336" spans="1:10" s="78" customFormat="1">
      <c r="A1336" s="88" t="s">
        <v>100</v>
      </c>
      <c r="B1336" s="88" t="s">
        <v>14</v>
      </c>
      <c r="C1336" s="89">
        <v>0.468055555555556</v>
      </c>
      <c r="D1336" s="90">
        <v>0</v>
      </c>
      <c r="E1336" s="90">
        <v>0</v>
      </c>
      <c r="F1336" s="90">
        <v>0</v>
      </c>
      <c r="G1336" s="90">
        <v>0</v>
      </c>
      <c r="H1336" s="90">
        <v>0</v>
      </c>
      <c r="I1336" s="90">
        <v>0</v>
      </c>
      <c r="J1336" s="90">
        <v>0</v>
      </c>
    </row>
    <row r="1337" spans="1:10">
      <c r="A1337" s="85" t="s">
        <v>100</v>
      </c>
      <c r="B1337" s="85" t="s">
        <v>14</v>
      </c>
      <c r="C1337" s="86">
        <v>0.46875</v>
      </c>
      <c r="D1337" s="91">
        <v>0</v>
      </c>
      <c r="E1337" s="91">
        <v>0</v>
      </c>
      <c r="F1337" s="91">
        <v>0</v>
      </c>
      <c r="G1337" s="91">
        <v>0</v>
      </c>
      <c r="H1337" s="91">
        <v>0</v>
      </c>
      <c r="I1337" s="91">
        <v>0</v>
      </c>
      <c r="J1337" s="91">
        <v>0</v>
      </c>
    </row>
    <row r="1338" spans="1:10">
      <c r="A1338" s="85" t="s">
        <v>100</v>
      </c>
      <c r="B1338" s="85" t="s">
        <v>14</v>
      </c>
      <c r="C1338" s="86">
        <v>0.469444444444444</v>
      </c>
      <c r="D1338" s="87">
        <v>0</v>
      </c>
      <c r="E1338" s="87">
        <v>0</v>
      </c>
      <c r="F1338" s="87">
        <v>0</v>
      </c>
      <c r="G1338" s="87">
        <v>0</v>
      </c>
      <c r="H1338" s="87">
        <v>0</v>
      </c>
      <c r="I1338" s="87">
        <v>0</v>
      </c>
      <c r="J1338" s="87">
        <v>0</v>
      </c>
    </row>
    <row r="1339" spans="1:10">
      <c r="A1339" s="85" t="s">
        <v>100</v>
      </c>
      <c r="B1339" s="85" t="s">
        <v>14</v>
      </c>
      <c r="C1339" s="86">
        <v>0.47013888888888899</v>
      </c>
      <c r="D1339" s="87">
        <v>0</v>
      </c>
      <c r="E1339" s="87">
        <v>0</v>
      </c>
      <c r="F1339" s="87">
        <v>0</v>
      </c>
      <c r="G1339" s="87">
        <v>0</v>
      </c>
      <c r="H1339" s="87">
        <v>0</v>
      </c>
      <c r="I1339" s="87">
        <v>0</v>
      </c>
      <c r="J1339" s="87">
        <v>0</v>
      </c>
    </row>
    <row r="1340" spans="1:10">
      <c r="A1340" s="85" t="s">
        <v>100</v>
      </c>
      <c r="B1340" s="85" t="s">
        <v>14</v>
      </c>
      <c r="C1340" s="86">
        <v>0.47083333333333299</v>
      </c>
      <c r="D1340" s="87">
        <v>0</v>
      </c>
      <c r="E1340" s="87">
        <v>0</v>
      </c>
      <c r="F1340" s="87">
        <v>0</v>
      </c>
      <c r="G1340" s="87">
        <v>0</v>
      </c>
      <c r="H1340" s="87">
        <v>0</v>
      </c>
      <c r="I1340" s="87">
        <v>0</v>
      </c>
      <c r="J1340" s="87">
        <v>0</v>
      </c>
    </row>
    <row r="1341" spans="1:10">
      <c r="A1341" s="85" t="s">
        <v>100</v>
      </c>
      <c r="B1341" s="85" t="s">
        <v>14</v>
      </c>
      <c r="C1341" s="86">
        <v>0.47152777777777799</v>
      </c>
      <c r="D1341" s="87">
        <v>0</v>
      </c>
      <c r="E1341" s="87">
        <v>0</v>
      </c>
      <c r="F1341" s="87">
        <v>0</v>
      </c>
      <c r="G1341" s="87">
        <v>0</v>
      </c>
      <c r="H1341" s="87">
        <v>0</v>
      </c>
      <c r="I1341" s="87">
        <v>0</v>
      </c>
      <c r="J1341" s="87">
        <v>0</v>
      </c>
    </row>
    <row r="1342" spans="1:10">
      <c r="A1342" s="85" t="s">
        <v>100</v>
      </c>
      <c r="B1342" s="85" t="s">
        <v>14</v>
      </c>
      <c r="C1342" s="86">
        <v>0.47222222222222199</v>
      </c>
      <c r="D1342" s="87">
        <v>0</v>
      </c>
      <c r="E1342" s="87">
        <v>0</v>
      </c>
      <c r="F1342" s="87">
        <v>0</v>
      </c>
      <c r="G1342" s="87">
        <v>0</v>
      </c>
      <c r="H1342" s="87">
        <v>0</v>
      </c>
      <c r="I1342" s="87">
        <v>0</v>
      </c>
      <c r="J1342" s="87">
        <v>0</v>
      </c>
    </row>
    <row r="1343" spans="1:10">
      <c r="A1343" s="85" t="s">
        <v>100</v>
      </c>
      <c r="B1343" s="85" t="s">
        <v>14</v>
      </c>
      <c r="C1343" s="86">
        <v>0.47291666666666698</v>
      </c>
      <c r="D1343" s="87">
        <v>0</v>
      </c>
      <c r="E1343" s="87">
        <v>0</v>
      </c>
      <c r="F1343" s="87">
        <v>0</v>
      </c>
      <c r="G1343" s="87">
        <v>0</v>
      </c>
      <c r="H1343" s="87">
        <v>0</v>
      </c>
      <c r="I1343" s="87">
        <v>0</v>
      </c>
      <c r="J1343" s="87">
        <v>0</v>
      </c>
    </row>
    <row r="1344" spans="1:10">
      <c r="A1344" s="85" t="s">
        <v>100</v>
      </c>
      <c r="B1344" s="85" t="s">
        <v>14</v>
      </c>
      <c r="C1344" s="86">
        <v>0.47361111111111098</v>
      </c>
      <c r="D1344" s="87">
        <v>0</v>
      </c>
      <c r="E1344" s="87">
        <v>0</v>
      </c>
      <c r="F1344" s="87">
        <v>0</v>
      </c>
      <c r="G1344" s="87">
        <v>0</v>
      </c>
      <c r="H1344" s="87">
        <v>0</v>
      </c>
      <c r="I1344" s="87">
        <v>0</v>
      </c>
      <c r="J1344" s="87">
        <v>0</v>
      </c>
    </row>
    <row r="1345" spans="1:10">
      <c r="A1345" s="85" t="s">
        <v>100</v>
      </c>
      <c r="B1345" s="85" t="s">
        <v>14</v>
      </c>
      <c r="C1345" s="86">
        <v>0.47430555555555598</v>
      </c>
      <c r="D1345" s="87">
        <v>0</v>
      </c>
      <c r="E1345" s="87">
        <v>0</v>
      </c>
      <c r="F1345" s="87">
        <v>0</v>
      </c>
      <c r="G1345" s="87">
        <v>0</v>
      </c>
      <c r="H1345" s="87">
        <v>0</v>
      </c>
      <c r="I1345" s="87">
        <v>0</v>
      </c>
      <c r="J1345" s="87">
        <v>0</v>
      </c>
    </row>
    <row r="1346" spans="1:10">
      <c r="A1346" s="85" t="s">
        <v>100</v>
      </c>
      <c r="B1346" s="85" t="s">
        <v>14</v>
      </c>
      <c r="C1346" s="86">
        <v>0.47499999999999998</v>
      </c>
      <c r="D1346" s="87">
        <v>0</v>
      </c>
      <c r="E1346" s="87">
        <v>0</v>
      </c>
      <c r="F1346" s="87">
        <v>0</v>
      </c>
      <c r="G1346" s="87">
        <v>0</v>
      </c>
      <c r="H1346" s="87">
        <v>0</v>
      </c>
      <c r="I1346" s="87">
        <v>0</v>
      </c>
      <c r="J1346" s="87">
        <v>0</v>
      </c>
    </row>
    <row r="1347" spans="1:10">
      <c r="A1347" s="85" t="s">
        <v>100</v>
      </c>
      <c r="B1347" s="85" t="s">
        <v>14</v>
      </c>
      <c r="C1347" s="86">
        <v>0.47569444444444398</v>
      </c>
      <c r="D1347" s="87">
        <v>0</v>
      </c>
      <c r="E1347" s="87">
        <v>0</v>
      </c>
      <c r="F1347" s="87">
        <v>0</v>
      </c>
      <c r="G1347" s="87">
        <v>0</v>
      </c>
      <c r="H1347" s="87">
        <v>0</v>
      </c>
      <c r="I1347" s="87">
        <v>0</v>
      </c>
      <c r="J1347" s="87">
        <v>0</v>
      </c>
    </row>
    <row r="1348" spans="1:10">
      <c r="A1348" s="85" t="s">
        <v>100</v>
      </c>
      <c r="B1348" s="85" t="s">
        <v>14</v>
      </c>
      <c r="C1348" s="86">
        <v>0.47638888888888897</v>
      </c>
      <c r="D1348" s="87">
        <v>0</v>
      </c>
      <c r="E1348" s="87">
        <v>0</v>
      </c>
      <c r="F1348" s="87">
        <v>0</v>
      </c>
      <c r="G1348" s="87">
        <v>0</v>
      </c>
      <c r="H1348" s="87">
        <v>0</v>
      </c>
      <c r="I1348" s="87">
        <v>0</v>
      </c>
      <c r="J1348" s="87">
        <v>0</v>
      </c>
    </row>
    <row r="1349" spans="1:10">
      <c r="A1349" s="85" t="s">
        <v>100</v>
      </c>
      <c r="B1349" s="85" t="s">
        <v>14</v>
      </c>
      <c r="C1349" s="86">
        <v>0.47708333333333303</v>
      </c>
      <c r="D1349" s="87">
        <v>0</v>
      </c>
      <c r="E1349" s="87">
        <v>0</v>
      </c>
      <c r="F1349" s="87">
        <v>0</v>
      </c>
      <c r="G1349" s="87">
        <v>0</v>
      </c>
      <c r="H1349" s="87">
        <v>0</v>
      </c>
      <c r="I1349" s="87">
        <v>0</v>
      </c>
      <c r="J1349" s="87">
        <v>0</v>
      </c>
    </row>
    <row r="1350" spans="1:10">
      <c r="A1350" s="85" t="s">
        <v>100</v>
      </c>
      <c r="B1350" s="85" t="s">
        <v>14</v>
      </c>
      <c r="C1350" s="86">
        <v>0.47777777777777802</v>
      </c>
      <c r="D1350" s="87">
        <v>0</v>
      </c>
      <c r="E1350" s="87">
        <v>0</v>
      </c>
      <c r="F1350" s="87">
        <v>0</v>
      </c>
      <c r="G1350" s="87">
        <v>0</v>
      </c>
      <c r="H1350" s="87">
        <v>0</v>
      </c>
      <c r="I1350" s="87">
        <v>0</v>
      </c>
      <c r="J1350" s="87">
        <v>0</v>
      </c>
    </row>
    <row r="1351" spans="1:10" s="78" customFormat="1">
      <c r="A1351" s="88" t="s">
        <v>100</v>
      </c>
      <c r="B1351" s="88" t="s">
        <v>14</v>
      </c>
      <c r="C1351" s="89">
        <v>0.47847222222222202</v>
      </c>
      <c r="D1351" s="90">
        <v>0</v>
      </c>
      <c r="E1351" s="90">
        <v>0</v>
      </c>
      <c r="F1351" s="90">
        <v>0</v>
      </c>
      <c r="G1351" s="90">
        <v>0</v>
      </c>
      <c r="H1351" s="90">
        <v>0</v>
      </c>
      <c r="I1351" s="90">
        <v>0</v>
      </c>
      <c r="J1351" s="90">
        <v>0</v>
      </c>
    </row>
    <row r="1352" spans="1:10">
      <c r="A1352" s="85" t="s">
        <v>100</v>
      </c>
      <c r="B1352" s="85" t="s">
        <v>14</v>
      </c>
      <c r="C1352" s="86">
        <v>0.47916666666666702</v>
      </c>
      <c r="D1352" s="91">
        <v>0</v>
      </c>
      <c r="E1352" s="91">
        <v>0</v>
      </c>
      <c r="F1352" s="91">
        <v>0</v>
      </c>
      <c r="G1352" s="91">
        <v>0</v>
      </c>
      <c r="H1352" s="91">
        <v>0</v>
      </c>
      <c r="I1352" s="91">
        <v>0</v>
      </c>
      <c r="J1352" s="91">
        <v>0</v>
      </c>
    </row>
    <row r="1353" spans="1:10">
      <c r="A1353" s="85" t="s">
        <v>100</v>
      </c>
      <c r="B1353" s="85" t="s">
        <v>14</v>
      </c>
      <c r="C1353" s="86">
        <v>0.47986111111111102</v>
      </c>
      <c r="D1353" s="87">
        <v>0</v>
      </c>
      <c r="E1353" s="87">
        <v>0</v>
      </c>
      <c r="F1353" s="87">
        <v>0</v>
      </c>
      <c r="G1353" s="87">
        <v>0</v>
      </c>
      <c r="H1353" s="87">
        <v>0</v>
      </c>
      <c r="I1353" s="87">
        <v>0</v>
      </c>
      <c r="J1353" s="87">
        <v>0</v>
      </c>
    </row>
    <row r="1354" spans="1:10">
      <c r="A1354" s="85" t="s">
        <v>100</v>
      </c>
      <c r="B1354" s="85" t="s">
        <v>14</v>
      </c>
      <c r="C1354" s="86">
        <v>0.48055555555555501</v>
      </c>
      <c r="D1354" s="87">
        <v>0</v>
      </c>
      <c r="E1354" s="87">
        <v>0</v>
      </c>
      <c r="F1354" s="87">
        <v>0</v>
      </c>
      <c r="G1354" s="87">
        <v>0</v>
      </c>
      <c r="H1354" s="87">
        <v>0</v>
      </c>
      <c r="I1354" s="87">
        <v>0</v>
      </c>
      <c r="J1354" s="87">
        <v>0</v>
      </c>
    </row>
    <row r="1355" spans="1:10">
      <c r="A1355" s="85" t="s">
        <v>100</v>
      </c>
      <c r="B1355" s="85" t="s">
        <v>14</v>
      </c>
      <c r="C1355" s="86">
        <v>0.48125000000000001</v>
      </c>
      <c r="D1355" s="87">
        <v>0</v>
      </c>
      <c r="E1355" s="87">
        <v>0</v>
      </c>
      <c r="F1355" s="87">
        <v>0</v>
      </c>
      <c r="G1355" s="87">
        <v>0</v>
      </c>
      <c r="H1355" s="87">
        <v>0</v>
      </c>
      <c r="I1355" s="87">
        <v>0</v>
      </c>
      <c r="J1355" s="87">
        <v>0</v>
      </c>
    </row>
    <row r="1356" spans="1:10">
      <c r="A1356" s="85" t="s">
        <v>100</v>
      </c>
      <c r="B1356" s="85" t="s">
        <v>14</v>
      </c>
      <c r="C1356" s="86">
        <v>0.48194444444444401</v>
      </c>
      <c r="D1356" s="87">
        <v>0</v>
      </c>
      <c r="E1356" s="87">
        <v>0</v>
      </c>
      <c r="F1356" s="87">
        <v>0</v>
      </c>
      <c r="G1356" s="87">
        <v>0</v>
      </c>
      <c r="H1356" s="87">
        <v>0</v>
      </c>
      <c r="I1356" s="87">
        <v>0</v>
      </c>
      <c r="J1356" s="87">
        <v>0</v>
      </c>
    </row>
    <row r="1357" spans="1:10">
      <c r="A1357" s="85" t="s">
        <v>100</v>
      </c>
      <c r="B1357" s="85" t="s">
        <v>14</v>
      </c>
      <c r="C1357" s="86">
        <v>0.48263888888888901</v>
      </c>
      <c r="D1357" s="87">
        <v>0</v>
      </c>
      <c r="E1357" s="87">
        <v>0</v>
      </c>
      <c r="F1357" s="87">
        <v>0</v>
      </c>
      <c r="G1357" s="87">
        <v>0</v>
      </c>
      <c r="H1357" s="87">
        <v>0</v>
      </c>
      <c r="I1357" s="87">
        <v>0</v>
      </c>
      <c r="J1357" s="87">
        <v>0</v>
      </c>
    </row>
    <row r="1358" spans="1:10">
      <c r="A1358" s="85" t="s">
        <v>100</v>
      </c>
      <c r="B1358" s="85" t="s">
        <v>14</v>
      </c>
      <c r="C1358" s="86">
        <v>0.483333333333333</v>
      </c>
      <c r="D1358" s="87">
        <v>0</v>
      </c>
      <c r="E1358" s="87">
        <v>0</v>
      </c>
      <c r="F1358" s="87">
        <v>0</v>
      </c>
      <c r="G1358" s="87">
        <v>0</v>
      </c>
      <c r="H1358" s="87">
        <v>0</v>
      </c>
      <c r="I1358" s="87">
        <v>0</v>
      </c>
      <c r="J1358" s="87">
        <v>0</v>
      </c>
    </row>
    <row r="1359" spans="1:10">
      <c r="A1359" s="85" t="s">
        <v>100</v>
      </c>
      <c r="B1359" s="85" t="s">
        <v>14</v>
      </c>
      <c r="C1359" s="86">
        <v>0.484027777777778</v>
      </c>
      <c r="D1359" s="87">
        <v>0</v>
      </c>
      <c r="E1359" s="87">
        <v>0</v>
      </c>
      <c r="F1359" s="87">
        <v>0</v>
      </c>
      <c r="G1359" s="87">
        <v>0</v>
      </c>
      <c r="H1359" s="87">
        <v>0</v>
      </c>
      <c r="I1359" s="87">
        <v>0</v>
      </c>
      <c r="J1359" s="87">
        <v>0</v>
      </c>
    </row>
    <row r="1360" spans="1:10">
      <c r="A1360" s="85" t="s">
        <v>100</v>
      </c>
      <c r="B1360" s="85" t="s">
        <v>14</v>
      </c>
      <c r="C1360" s="86">
        <v>0.484722222222222</v>
      </c>
      <c r="D1360" s="87">
        <v>0</v>
      </c>
      <c r="E1360" s="87">
        <v>0</v>
      </c>
      <c r="F1360" s="87">
        <v>0</v>
      </c>
      <c r="G1360" s="87">
        <v>0</v>
      </c>
      <c r="H1360" s="87">
        <v>0</v>
      </c>
      <c r="I1360" s="87">
        <v>0</v>
      </c>
      <c r="J1360" s="87">
        <v>0</v>
      </c>
    </row>
    <row r="1361" spans="1:10">
      <c r="A1361" s="85" t="s">
        <v>100</v>
      </c>
      <c r="B1361" s="85" t="s">
        <v>14</v>
      </c>
      <c r="C1361" s="86">
        <v>0.485416666666666</v>
      </c>
      <c r="D1361" s="87">
        <v>0</v>
      </c>
      <c r="E1361" s="87">
        <v>0</v>
      </c>
      <c r="F1361" s="87">
        <v>0</v>
      </c>
      <c r="G1361" s="87">
        <v>0</v>
      </c>
      <c r="H1361" s="87">
        <v>0</v>
      </c>
      <c r="I1361" s="87">
        <v>0</v>
      </c>
      <c r="J1361" s="87">
        <v>0</v>
      </c>
    </row>
    <row r="1362" spans="1:10">
      <c r="A1362" s="85" t="s">
        <v>100</v>
      </c>
      <c r="B1362" s="85" t="s">
        <v>14</v>
      </c>
      <c r="C1362" s="86">
        <v>0.48611111111111099</v>
      </c>
      <c r="D1362" s="87">
        <v>0</v>
      </c>
      <c r="E1362" s="87">
        <v>0</v>
      </c>
      <c r="F1362" s="87">
        <v>0</v>
      </c>
      <c r="G1362" s="87">
        <v>0</v>
      </c>
      <c r="H1362" s="87">
        <v>0</v>
      </c>
      <c r="I1362" s="87">
        <v>0</v>
      </c>
      <c r="J1362" s="87">
        <v>0</v>
      </c>
    </row>
    <row r="1363" spans="1:10">
      <c r="A1363" s="85" t="s">
        <v>100</v>
      </c>
      <c r="B1363" s="85" t="s">
        <v>14</v>
      </c>
      <c r="C1363" s="86">
        <v>0.48680555555555499</v>
      </c>
      <c r="D1363" s="87">
        <v>0</v>
      </c>
      <c r="E1363" s="87">
        <v>0</v>
      </c>
      <c r="F1363" s="87">
        <v>0</v>
      </c>
      <c r="G1363" s="87">
        <v>0</v>
      </c>
      <c r="H1363" s="87">
        <v>0</v>
      </c>
      <c r="I1363" s="87">
        <v>0</v>
      </c>
      <c r="J1363" s="87">
        <v>0</v>
      </c>
    </row>
    <row r="1364" spans="1:10">
      <c r="A1364" s="85" t="s">
        <v>100</v>
      </c>
      <c r="B1364" s="85" t="s">
        <v>14</v>
      </c>
      <c r="C1364" s="86">
        <v>0.48749999999999999</v>
      </c>
      <c r="D1364" s="87">
        <v>0</v>
      </c>
      <c r="E1364" s="87">
        <v>0</v>
      </c>
      <c r="F1364" s="87">
        <v>0</v>
      </c>
      <c r="G1364" s="87">
        <v>0</v>
      </c>
      <c r="H1364" s="87">
        <v>0</v>
      </c>
      <c r="I1364" s="87">
        <v>0</v>
      </c>
      <c r="J1364" s="87">
        <v>0</v>
      </c>
    </row>
    <row r="1365" spans="1:10">
      <c r="A1365" s="85" t="s">
        <v>100</v>
      </c>
      <c r="B1365" s="85" t="s">
        <v>14</v>
      </c>
      <c r="C1365" s="86">
        <v>0.48819444444444399</v>
      </c>
      <c r="D1365" s="87">
        <v>0</v>
      </c>
      <c r="E1365" s="87">
        <v>0</v>
      </c>
      <c r="F1365" s="87">
        <v>0</v>
      </c>
      <c r="G1365" s="87">
        <v>0</v>
      </c>
      <c r="H1365" s="87">
        <v>0</v>
      </c>
      <c r="I1365" s="87">
        <v>0</v>
      </c>
      <c r="J1365" s="87">
        <v>0</v>
      </c>
    </row>
    <row r="1366" spans="1:10" s="78" customFormat="1">
      <c r="A1366" s="88" t="s">
        <v>100</v>
      </c>
      <c r="B1366" s="88" t="s">
        <v>14</v>
      </c>
      <c r="C1366" s="89">
        <v>0.48888888888888898</v>
      </c>
      <c r="D1366" s="90">
        <v>0</v>
      </c>
      <c r="E1366" s="90">
        <v>0</v>
      </c>
      <c r="F1366" s="90">
        <v>0</v>
      </c>
      <c r="G1366" s="90">
        <v>0</v>
      </c>
      <c r="H1366" s="90">
        <v>0</v>
      </c>
      <c r="I1366" s="90">
        <v>0</v>
      </c>
      <c r="J1366" s="90">
        <v>0</v>
      </c>
    </row>
    <row r="1367" spans="1:10">
      <c r="A1367" s="85" t="s">
        <v>100</v>
      </c>
      <c r="B1367" s="85" t="s">
        <v>14</v>
      </c>
      <c r="C1367" s="86">
        <v>0.48958333333333298</v>
      </c>
      <c r="D1367" s="91">
        <v>0</v>
      </c>
      <c r="E1367" s="91">
        <v>0</v>
      </c>
      <c r="F1367" s="91">
        <v>0</v>
      </c>
      <c r="G1367" s="91">
        <v>0</v>
      </c>
      <c r="H1367" s="91">
        <v>0</v>
      </c>
      <c r="I1367" s="91">
        <v>0</v>
      </c>
      <c r="J1367" s="91">
        <v>0</v>
      </c>
    </row>
    <row r="1368" spans="1:10">
      <c r="A1368" s="85" t="s">
        <v>100</v>
      </c>
      <c r="B1368" s="85" t="s">
        <v>14</v>
      </c>
      <c r="C1368" s="86">
        <v>0.49027777777777798</v>
      </c>
      <c r="D1368" s="87">
        <v>0</v>
      </c>
      <c r="E1368" s="87">
        <v>0</v>
      </c>
      <c r="F1368" s="87">
        <v>0</v>
      </c>
      <c r="G1368" s="87">
        <v>0</v>
      </c>
      <c r="H1368" s="87">
        <v>0</v>
      </c>
      <c r="I1368" s="87">
        <v>0</v>
      </c>
      <c r="J1368" s="87">
        <v>0</v>
      </c>
    </row>
    <row r="1369" spans="1:10">
      <c r="A1369" s="85" t="s">
        <v>100</v>
      </c>
      <c r="B1369" s="85" t="s">
        <v>14</v>
      </c>
      <c r="C1369" s="86">
        <v>0.49097222222222198</v>
      </c>
      <c r="D1369" s="87">
        <v>0</v>
      </c>
      <c r="E1369" s="87">
        <v>0</v>
      </c>
      <c r="F1369" s="87">
        <v>0</v>
      </c>
      <c r="G1369" s="87">
        <v>0</v>
      </c>
      <c r="H1369" s="87">
        <v>0</v>
      </c>
      <c r="I1369" s="87">
        <v>0</v>
      </c>
      <c r="J1369" s="87">
        <v>0</v>
      </c>
    </row>
    <row r="1370" spans="1:10">
      <c r="A1370" s="85" t="s">
        <v>100</v>
      </c>
      <c r="B1370" s="85" t="s">
        <v>14</v>
      </c>
      <c r="C1370" s="86">
        <v>0.49166666666666697</v>
      </c>
      <c r="D1370" s="87">
        <v>0</v>
      </c>
      <c r="E1370" s="87">
        <v>0</v>
      </c>
      <c r="F1370" s="87">
        <v>0</v>
      </c>
      <c r="G1370" s="87">
        <v>0</v>
      </c>
      <c r="H1370" s="87">
        <v>0</v>
      </c>
      <c r="I1370" s="87">
        <v>0</v>
      </c>
      <c r="J1370" s="87">
        <v>0</v>
      </c>
    </row>
    <row r="1371" spans="1:10">
      <c r="A1371" s="85" t="s">
        <v>100</v>
      </c>
      <c r="B1371" s="85" t="s">
        <v>14</v>
      </c>
      <c r="C1371" s="86">
        <v>0.49236111111111103</v>
      </c>
      <c r="D1371" s="87">
        <v>0</v>
      </c>
      <c r="E1371" s="87">
        <v>0</v>
      </c>
      <c r="F1371" s="87">
        <v>0</v>
      </c>
      <c r="G1371" s="87">
        <v>0</v>
      </c>
      <c r="H1371" s="87">
        <v>0</v>
      </c>
      <c r="I1371" s="87">
        <v>0</v>
      </c>
      <c r="J1371" s="87">
        <v>0</v>
      </c>
    </row>
    <row r="1372" spans="1:10">
      <c r="A1372" s="85" t="s">
        <v>100</v>
      </c>
      <c r="B1372" s="85" t="s">
        <v>14</v>
      </c>
      <c r="C1372" s="86">
        <v>0.49305555555555503</v>
      </c>
      <c r="D1372" s="87">
        <v>0</v>
      </c>
      <c r="E1372" s="87">
        <v>0</v>
      </c>
      <c r="F1372" s="87">
        <v>0</v>
      </c>
      <c r="G1372" s="87">
        <v>0</v>
      </c>
      <c r="H1372" s="87">
        <v>0</v>
      </c>
      <c r="I1372" s="87">
        <v>0</v>
      </c>
      <c r="J1372" s="87">
        <v>0</v>
      </c>
    </row>
    <row r="1373" spans="1:10">
      <c r="A1373" s="85" t="s">
        <v>100</v>
      </c>
      <c r="B1373" s="85" t="s">
        <v>14</v>
      </c>
      <c r="C1373" s="86">
        <v>0.49375000000000002</v>
      </c>
      <c r="D1373" s="87">
        <v>0</v>
      </c>
      <c r="E1373" s="87">
        <v>0</v>
      </c>
      <c r="F1373" s="87">
        <v>0</v>
      </c>
      <c r="G1373" s="87">
        <v>0</v>
      </c>
      <c r="H1373" s="87">
        <v>0</v>
      </c>
      <c r="I1373" s="87">
        <v>0</v>
      </c>
      <c r="J1373" s="87">
        <v>0</v>
      </c>
    </row>
    <row r="1374" spans="1:10">
      <c r="A1374" s="85" t="s">
        <v>100</v>
      </c>
      <c r="B1374" s="85" t="s">
        <v>14</v>
      </c>
      <c r="C1374" s="86">
        <v>0.49444444444444402</v>
      </c>
      <c r="D1374" s="87">
        <v>0</v>
      </c>
      <c r="E1374" s="87">
        <v>0</v>
      </c>
      <c r="F1374" s="87">
        <v>0</v>
      </c>
      <c r="G1374" s="87">
        <v>0</v>
      </c>
      <c r="H1374" s="87">
        <v>0</v>
      </c>
      <c r="I1374" s="87">
        <v>0</v>
      </c>
      <c r="J1374" s="87">
        <v>0</v>
      </c>
    </row>
    <row r="1375" spans="1:10">
      <c r="A1375" s="85" t="s">
        <v>100</v>
      </c>
      <c r="B1375" s="85" t="s">
        <v>14</v>
      </c>
      <c r="C1375" s="86">
        <v>0.49513888888888902</v>
      </c>
      <c r="D1375" s="87">
        <v>0</v>
      </c>
      <c r="E1375" s="87">
        <v>0</v>
      </c>
      <c r="F1375" s="87">
        <v>0</v>
      </c>
      <c r="G1375" s="87">
        <v>0</v>
      </c>
      <c r="H1375" s="87">
        <v>0</v>
      </c>
      <c r="I1375" s="87">
        <v>0</v>
      </c>
      <c r="J1375" s="87">
        <v>0</v>
      </c>
    </row>
    <row r="1376" spans="1:10">
      <c r="A1376" s="85" t="s">
        <v>100</v>
      </c>
      <c r="B1376" s="85" t="s">
        <v>14</v>
      </c>
      <c r="C1376" s="86">
        <v>0.49583333333333302</v>
      </c>
      <c r="D1376" s="87">
        <v>0</v>
      </c>
      <c r="E1376" s="87">
        <v>0</v>
      </c>
      <c r="F1376" s="87">
        <v>0</v>
      </c>
      <c r="G1376" s="87">
        <v>0</v>
      </c>
      <c r="H1376" s="87">
        <v>0</v>
      </c>
      <c r="I1376" s="87">
        <v>0</v>
      </c>
      <c r="J1376" s="87">
        <v>0</v>
      </c>
    </row>
    <row r="1377" spans="1:10">
      <c r="A1377" s="85" t="s">
        <v>100</v>
      </c>
      <c r="B1377" s="85" t="s">
        <v>14</v>
      </c>
      <c r="C1377" s="86">
        <v>0.49652777777777801</v>
      </c>
      <c r="D1377" s="87">
        <v>0</v>
      </c>
      <c r="E1377" s="87">
        <v>0</v>
      </c>
      <c r="F1377" s="87">
        <v>0</v>
      </c>
      <c r="G1377" s="87">
        <v>0</v>
      </c>
      <c r="H1377" s="87">
        <v>0</v>
      </c>
      <c r="I1377" s="87">
        <v>0</v>
      </c>
      <c r="J1377" s="87">
        <v>0</v>
      </c>
    </row>
    <row r="1378" spans="1:10">
      <c r="A1378" s="85" t="s">
        <v>100</v>
      </c>
      <c r="B1378" s="85" t="s">
        <v>14</v>
      </c>
      <c r="C1378" s="86">
        <v>0.49722222222222201</v>
      </c>
      <c r="D1378" s="87">
        <v>0</v>
      </c>
      <c r="E1378" s="87">
        <v>0</v>
      </c>
      <c r="F1378" s="87">
        <v>0</v>
      </c>
      <c r="G1378" s="87">
        <v>0</v>
      </c>
      <c r="H1378" s="87">
        <v>0</v>
      </c>
      <c r="I1378" s="87">
        <v>0</v>
      </c>
      <c r="J1378" s="87">
        <v>0</v>
      </c>
    </row>
    <row r="1379" spans="1:10">
      <c r="A1379" s="85" t="s">
        <v>100</v>
      </c>
      <c r="B1379" s="85" t="s">
        <v>14</v>
      </c>
      <c r="C1379" s="86">
        <v>0.49791666666666701</v>
      </c>
      <c r="D1379" s="87">
        <v>0</v>
      </c>
      <c r="E1379" s="87">
        <v>0</v>
      </c>
      <c r="F1379" s="87">
        <v>0</v>
      </c>
      <c r="G1379" s="87">
        <v>0</v>
      </c>
      <c r="H1379" s="87">
        <v>0</v>
      </c>
      <c r="I1379" s="87">
        <v>0</v>
      </c>
      <c r="J1379" s="87">
        <v>0</v>
      </c>
    </row>
    <row r="1380" spans="1:10">
      <c r="A1380" s="85" t="s">
        <v>100</v>
      </c>
      <c r="B1380" s="85" t="s">
        <v>14</v>
      </c>
      <c r="C1380" s="86">
        <v>0.49861111111111101</v>
      </c>
      <c r="D1380" s="87">
        <v>0</v>
      </c>
      <c r="E1380" s="87">
        <v>0</v>
      </c>
      <c r="F1380" s="87">
        <v>0</v>
      </c>
      <c r="G1380" s="87">
        <v>0</v>
      </c>
      <c r="H1380" s="87">
        <v>0</v>
      </c>
      <c r="I1380" s="87">
        <v>0</v>
      </c>
      <c r="J1380" s="87">
        <v>0</v>
      </c>
    </row>
    <row r="1381" spans="1:10" s="78" customFormat="1">
      <c r="A1381" s="88" t="s">
        <v>100</v>
      </c>
      <c r="B1381" s="88" t="s">
        <v>14</v>
      </c>
      <c r="C1381" s="89">
        <v>0.499305555555555</v>
      </c>
      <c r="D1381" s="90">
        <v>0</v>
      </c>
      <c r="E1381" s="90">
        <v>0</v>
      </c>
      <c r="F1381" s="90">
        <v>0</v>
      </c>
      <c r="G1381" s="90">
        <v>0</v>
      </c>
      <c r="H1381" s="90">
        <v>0</v>
      </c>
      <c r="I1381" s="90">
        <v>0</v>
      </c>
      <c r="J1381" s="90">
        <v>0</v>
      </c>
    </row>
    <row r="1382" spans="1:10">
      <c r="A1382" s="85" t="s">
        <v>100</v>
      </c>
      <c r="B1382" s="85" t="s">
        <v>14</v>
      </c>
      <c r="C1382" s="86">
        <v>0.5</v>
      </c>
      <c r="D1382" s="91">
        <v>0</v>
      </c>
      <c r="E1382" s="91">
        <v>0</v>
      </c>
      <c r="F1382" s="91">
        <v>0</v>
      </c>
      <c r="G1382" s="91">
        <v>0</v>
      </c>
      <c r="H1382" s="91">
        <v>0</v>
      </c>
      <c r="I1382" s="91">
        <v>0</v>
      </c>
      <c r="J1382" s="91">
        <v>0</v>
      </c>
    </row>
    <row r="1383" spans="1:10">
      <c r="A1383" s="85" t="s">
        <v>100</v>
      </c>
      <c r="B1383" s="85" t="s">
        <v>14</v>
      </c>
      <c r="C1383" s="86">
        <v>0.500694444444444</v>
      </c>
      <c r="D1383" s="87">
        <v>0</v>
      </c>
      <c r="E1383" s="87">
        <v>0</v>
      </c>
      <c r="F1383" s="87">
        <v>0</v>
      </c>
      <c r="G1383" s="87">
        <v>0</v>
      </c>
      <c r="H1383" s="87">
        <v>0</v>
      </c>
      <c r="I1383" s="87">
        <v>0</v>
      </c>
      <c r="J1383" s="87">
        <v>0</v>
      </c>
    </row>
    <row r="1384" spans="1:10">
      <c r="A1384" s="85" t="s">
        <v>100</v>
      </c>
      <c r="B1384" s="85" t="s">
        <v>14</v>
      </c>
      <c r="C1384" s="86">
        <v>0.50138888888888899</v>
      </c>
      <c r="D1384" s="87">
        <v>0</v>
      </c>
      <c r="E1384" s="87">
        <v>0</v>
      </c>
      <c r="F1384" s="87">
        <v>0</v>
      </c>
      <c r="G1384" s="87">
        <v>0</v>
      </c>
      <c r="H1384" s="87">
        <v>0</v>
      </c>
      <c r="I1384" s="87">
        <v>0</v>
      </c>
      <c r="J1384" s="87">
        <v>0</v>
      </c>
    </row>
    <row r="1385" spans="1:10">
      <c r="A1385" s="85" t="s">
        <v>100</v>
      </c>
      <c r="B1385" s="85" t="s">
        <v>14</v>
      </c>
      <c r="C1385" s="86">
        <v>0.50208333333333299</v>
      </c>
      <c r="D1385" s="87">
        <v>0</v>
      </c>
      <c r="E1385" s="87">
        <v>0</v>
      </c>
      <c r="F1385" s="87">
        <v>0</v>
      </c>
      <c r="G1385" s="87">
        <v>0</v>
      </c>
      <c r="H1385" s="87">
        <v>0</v>
      </c>
      <c r="I1385" s="87">
        <v>0</v>
      </c>
      <c r="J1385" s="87">
        <v>0</v>
      </c>
    </row>
    <row r="1386" spans="1:10">
      <c r="A1386" s="85" t="s">
        <v>100</v>
      </c>
      <c r="B1386" s="85" t="s">
        <v>14</v>
      </c>
      <c r="C1386" s="86">
        <v>0.50277777777777799</v>
      </c>
      <c r="D1386" s="87">
        <v>0</v>
      </c>
      <c r="E1386" s="87">
        <v>0</v>
      </c>
      <c r="F1386" s="87">
        <v>0</v>
      </c>
      <c r="G1386" s="87">
        <v>0</v>
      </c>
      <c r="H1386" s="87">
        <v>0</v>
      </c>
      <c r="I1386" s="87">
        <v>0</v>
      </c>
      <c r="J1386" s="87">
        <v>0</v>
      </c>
    </row>
    <row r="1387" spans="1:10">
      <c r="A1387" s="85" t="s">
        <v>100</v>
      </c>
      <c r="B1387" s="85" t="s">
        <v>14</v>
      </c>
      <c r="C1387" s="86">
        <v>0.50347222222222199</v>
      </c>
      <c r="D1387" s="87">
        <v>0</v>
      </c>
      <c r="E1387" s="87">
        <v>0</v>
      </c>
      <c r="F1387" s="87">
        <v>0</v>
      </c>
      <c r="G1387" s="87">
        <v>0</v>
      </c>
      <c r="H1387" s="87">
        <v>0</v>
      </c>
      <c r="I1387" s="87">
        <v>0</v>
      </c>
      <c r="J1387" s="87">
        <v>0</v>
      </c>
    </row>
    <row r="1388" spans="1:10">
      <c r="A1388" s="85" t="s">
        <v>100</v>
      </c>
      <c r="B1388" s="85" t="s">
        <v>14</v>
      </c>
      <c r="C1388" s="86">
        <v>0.50416666666666698</v>
      </c>
      <c r="D1388" s="87">
        <v>0</v>
      </c>
      <c r="E1388" s="87">
        <v>0</v>
      </c>
      <c r="F1388" s="87">
        <v>0</v>
      </c>
      <c r="G1388" s="87">
        <v>0</v>
      </c>
      <c r="H1388" s="87">
        <v>0</v>
      </c>
      <c r="I1388" s="87">
        <v>0</v>
      </c>
      <c r="J1388" s="87">
        <v>0</v>
      </c>
    </row>
    <row r="1389" spans="1:10">
      <c r="A1389" s="85" t="s">
        <v>100</v>
      </c>
      <c r="B1389" s="85" t="s">
        <v>14</v>
      </c>
      <c r="C1389" s="86">
        <v>0.50486111111111098</v>
      </c>
      <c r="D1389" s="87">
        <v>0</v>
      </c>
      <c r="E1389" s="87">
        <v>0</v>
      </c>
      <c r="F1389" s="87">
        <v>0</v>
      </c>
      <c r="G1389" s="87">
        <v>0</v>
      </c>
      <c r="H1389" s="87">
        <v>0</v>
      </c>
      <c r="I1389" s="87">
        <v>0</v>
      </c>
      <c r="J1389" s="87">
        <v>0</v>
      </c>
    </row>
    <row r="1390" spans="1:10">
      <c r="A1390" s="85" t="s">
        <v>100</v>
      </c>
      <c r="B1390" s="85" t="s">
        <v>14</v>
      </c>
      <c r="C1390" s="86">
        <v>0.50555555555555498</v>
      </c>
      <c r="D1390" s="87">
        <v>0</v>
      </c>
      <c r="E1390" s="87">
        <v>0</v>
      </c>
      <c r="F1390" s="87">
        <v>0</v>
      </c>
      <c r="G1390" s="87">
        <v>0</v>
      </c>
      <c r="H1390" s="87">
        <v>0</v>
      </c>
      <c r="I1390" s="87">
        <v>0</v>
      </c>
      <c r="J1390" s="87">
        <v>0</v>
      </c>
    </row>
    <row r="1391" spans="1:10">
      <c r="A1391" s="85" t="s">
        <v>100</v>
      </c>
      <c r="B1391" s="85" t="s">
        <v>14</v>
      </c>
      <c r="C1391" s="86">
        <v>0.50624999999999998</v>
      </c>
      <c r="D1391" s="87">
        <v>0</v>
      </c>
      <c r="E1391" s="87">
        <v>0</v>
      </c>
      <c r="F1391" s="87">
        <v>0</v>
      </c>
      <c r="G1391" s="87">
        <v>0</v>
      </c>
      <c r="H1391" s="87">
        <v>0</v>
      </c>
      <c r="I1391" s="87">
        <v>0</v>
      </c>
      <c r="J1391" s="87">
        <v>0</v>
      </c>
    </row>
    <row r="1392" spans="1:10">
      <c r="A1392" s="85" t="s">
        <v>100</v>
      </c>
      <c r="B1392" s="85" t="s">
        <v>14</v>
      </c>
      <c r="C1392" s="86">
        <v>0.50694444444444398</v>
      </c>
      <c r="D1392" s="87">
        <v>0</v>
      </c>
      <c r="E1392" s="87">
        <v>0</v>
      </c>
      <c r="F1392" s="87">
        <v>0</v>
      </c>
      <c r="G1392" s="87">
        <v>0</v>
      </c>
      <c r="H1392" s="87">
        <v>0</v>
      </c>
      <c r="I1392" s="87">
        <v>0</v>
      </c>
      <c r="J1392" s="87">
        <v>0</v>
      </c>
    </row>
    <row r="1393" spans="1:10">
      <c r="A1393" s="85" t="s">
        <v>100</v>
      </c>
      <c r="B1393" s="85" t="s">
        <v>14</v>
      </c>
      <c r="C1393" s="86">
        <v>0.50763888888888897</v>
      </c>
      <c r="D1393" s="87">
        <v>0</v>
      </c>
      <c r="E1393" s="87">
        <v>0</v>
      </c>
      <c r="F1393" s="87">
        <v>0</v>
      </c>
      <c r="G1393" s="87">
        <v>0</v>
      </c>
      <c r="H1393" s="87">
        <v>0</v>
      </c>
      <c r="I1393" s="87">
        <v>0</v>
      </c>
      <c r="J1393" s="87">
        <v>0</v>
      </c>
    </row>
    <row r="1394" spans="1:10">
      <c r="A1394" s="85" t="s">
        <v>100</v>
      </c>
      <c r="B1394" s="85" t="s">
        <v>14</v>
      </c>
      <c r="C1394" s="86">
        <v>0.50833333333333297</v>
      </c>
      <c r="D1394" s="87">
        <v>0</v>
      </c>
      <c r="E1394" s="87">
        <v>0</v>
      </c>
      <c r="F1394" s="87">
        <v>0</v>
      </c>
      <c r="G1394" s="87">
        <v>0</v>
      </c>
      <c r="H1394" s="87">
        <v>0</v>
      </c>
      <c r="I1394" s="87">
        <v>0</v>
      </c>
      <c r="J1394" s="87">
        <v>0</v>
      </c>
    </row>
    <row r="1395" spans="1:10">
      <c r="A1395" s="85" t="s">
        <v>100</v>
      </c>
      <c r="B1395" s="85" t="s">
        <v>14</v>
      </c>
      <c r="C1395" s="86">
        <v>0.50902777777777797</v>
      </c>
      <c r="D1395" s="87">
        <v>0</v>
      </c>
      <c r="E1395" s="87">
        <v>0</v>
      </c>
      <c r="F1395" s="87">
        <v>0</v>
      </c>
      <c r="G1395" s="87">
        <v>0</v>
      </c>
      <c r="H1395" s="87">
        <v>0</v>
      </c>
      <c r="I1395" s="87">
        <v>0</v>
      </c>
      <c r="J1395" s="87">
        <v>0</v>
      </c>
    </row>
    <row r="1396" spans="1:10" s="78" customFormat="1">
      <c r="A1396" s="88" t="s">
        <v>100</v>
      </c>
      <c r="B1396" s="88" t="s">
        <v>14</v>
      </c>
      <c r="C1396" s="89">
        <v>0.50972222222222197</v>
      </c>
      <c r="D1396" s="90">
        <v>0</v>
      </c>
      <c r="E1396" s="90">
        <v>0</v>
      </c>
      <c r="F1396" s="90">
        <v>0</v>
      </c>
      <c r="G1396" s="90">
        <v>0</v>
      </c>
      <c r="H1396" s="90">
        <v>0</v>
      </c>
      <c r="I1396" s="90">
        <v>0</v>
      </c>
      <c r="J1396" s="90">
        <v>0</v>
      </c>
    </row>
    <row r="1397" spans="1:10">
      <c r="A1397" s="85" t="s">
        <v>100</v>
      </c>
      <c r="B1397" s="85" t="s">
        <v>14</v>
      </c>
      <c r="C1397" s="86">
        <v>0.51041666666666596</v>
      </c>
      <c r="D1397" s="91">
        <v>0</v>
      </c>
      <c r="E1397" s="91">
        <v>0</v>
      </c>
      <c r="F1397" s="91">
        <v>0</v>
      </c>
      <c r="G1397" s="91">
        <v>0</v>
      </c>
      <c r="H1397" s="91">
        <v>0</v>
      </c>
      <c r="I1397" s="91">
        <v>0</v>
      </c>
      <c r="J1397" s="91">
        <v>0</v>
      </c>
    </row>
    <row r="1398" spans="1:10">
      <c r="A1398" s="85" t="s">
        <v>100</v>
      </c>
      <c r="B1398" s="85" t="s">
        <v>14</v>
      </c>
      <c r="C1398" s="86">
        <v>0.51111111111111096</v>
      </c>
      <c r="D1398" s="87">
        <v>0</v>
      </c>
      <c r="E1398" s="87">
        <v>0</v>
      </c>
      <c r="F1398" s="87">
        <v>0</v>
      </c>
      <c r="G1398" s="87">
        <v>0</v>
      </c>
      <c r="H1398" s="87">
        <v>0</v>
      </c>
      <c r="I1398" s="87">
        <v>0</v>
      </c>
      <c r="J1398" s="87">
        <v>0</v>
      </c>
    </row>
    <row r="1399" spans="1:10">
      <c r="A1399" s="85" t="s">
        <v>100</v>
      </c>
      <c r="B1399" s="85" t="s">
        <v>14</v>
      </c>
      <c r="C1399" s="86">
        <v>0.51180555555555496</v>
      </c>
      <c r="D1399" s="87">
        <v>0</v>
      </c>
      <c r="E1399" s="87">
        <v>0</v>
      </c>
      <c r="F1399" s="87">
        <v>0</v>
      </c>
      <c r="G1399" s="87">
        <v>0</v>
      </c>
      <c r="H1399" s="87">
        <v>0</v>
      </c>
      <c r="I1399" s="87">
        <v>0</v>
      </c>
      <c r="J1399" s="87">
        <v>0</v>
      </c>
    </row>
    <row r="1400" spans="1:10">
      <c r="A1400" s="85" t="s">
        <v>100</v>
      </c>
      <c r="B1400" s="85" t="s">
        <v>14</v>
      </c>
      <c r="C1400" s="86">
        <v>0.51249999999999996</v>
      </c>
      <c r="D1400" s="87">
        <v>0</v>
      </c>
      <c r="E1400" s="87">
        <v>0</v>
      </c>
      <c r="F1400" s="87">
        <v>0</v>
      </c>
      <c r="G1400" s="87">
        <v>0</v>
      </c>
      <c r="H1400" s="87">
        <v>0</v>
      </c>
      <c r="I1400" s="87">
        <v>0</v>
      </c>
      <c r="J1400" s="87">
        <v>0</v>
      </c>
    </row>
    <row r="1401" spans="1:10">
      <c r="A1401" s="85" t="s">
        <v>100</v>
      </c>
      <c r="B1401" s="85" t="s">
        <v>14</v>
      </c>
      <c r="C1401" s="86">
        <v>0.51319444444444395</v>
      </c>
      <c r="D1401" s="87">
        <v>0</v>
      </c>
      <c r="E1401" s="87">
        <v>0</v>
      </c>
      <c r="F1401" s="87">
        <v>0</v>
      </c>
      <c r="G1401" s="87">
        <v>0</v>
      </c>
      <c r="H1401" s="87">
        <v>0</v>
      </c>
      <c r="I1401" s="87">
        <v>0</v>
      </c>
      <c r="J1401" s="87">
        <v>0</v>
      </c>
    </row>
    <row r="1402" spans="1:10">
      <c r="A1402" s="85" t="s">
        <v>100</v>
      </c>
      <c r="B1402" s="85" t="s">
        <v>14</v>
      </c>
      <c r="C1402" s="86">
        <v>0.51388888888888895</v>
      </c>
      <c r="D1402" s="87">
        <v>0</v>
      </c>
      <c r="E1402" s="87">
        <v>0</v>
      </c>
      <c r="F1402" s="87">
        <v>0</v>
      </c>
      <c r="G1402" s="87">
        <v>0</v>
      </c>
      <c r="H1402" s="87">
        <v>0</v>
      </c>
      <c r="I1402" s="87">
        <v>0</v>
      </c>
      <c r="J1402" s="87">
        <v>0</v>
      </c>
    </row>
    <row r="1403" spans="1:10">
      <c r="A1403" s="85" t="s">
        <v>100</v>
      </c>
      <c r="B1403" s="85" t="s">
        <v>14</v>
      </c>
      <c r="C1403" s="86">
        <v>0.51458333333333295</v>
      </c>
      <c r="D1403" s="87">
        <v>0</v>
      </c>
      <c r="E1403" s="87">
        <v>0</v>
      </c>
      <c r="F1403" s="87">
        <v>0</v>
      </c>
      <c r="G1403" s="87">
        <v>0</v>
      </c>
      <c r="H1403" s="87">
        <v>0</v>
      </c>
      <c r="I1403" s="87">
        <v>0</v>
      </c>
      <c r="J1403" s="87">
        <v>0</v>
      </c>
    </row>
    <row r="1404" spans="1:10">
      <c r="A1404" s="85" t="s">
        <v>100</v>
      </c>
      <c r="B1404" s="85" t="s">
        <v>14</v>
      </c>
      <c r="C1404" s="86">
        <v>0.51527777777777795</v>
      </c>
      <c r="D1404" s="87">
        <v>0</v>
      </c>
      <c r="E1404" s="87">
        <v>0</v>
      </c>
      <c r="F1404" s="87">
        <v>0</v>
      </c>
      <c r="G1404" s="87">
        <v>0</v>
      </c>
      <c r="H1404" s="87">
        <v>0</v>
      </c>
      <c r="I1404" s="87">
        <v>0</v>
      </c>
      <c r="J1404" s="87">
        <v>0</v>
      </c>
    </row>
    <row r="1405" spans="1:10">
      <c r="A1405" s="85" t="s">
        <v>100</v>
      </c>
      <c r="B1405" s="85" t="s">
        <v>14</v>
      </c>
      <c r="C1405" s="86">
        <v>0.51597222222222205</v>
      </c>
      <c r="D1405" s="87">
        <v>0</v>
      </c>
      <c r="E1405" s="87">
        <v>0</v>
      </c>
      <c r="F1405" s="87">
        <v>0</v>
      </c>
      <c r="G1405" s="87">
        <v>0</v>
      </c>
      <c r="H1405" s="87">
        <v>0</v>
      </c>
      <c r="I1405" s="87">
        <v>0</v>
      </c>
      <c r="J1405" s="87">
        <v>0</v>
      </c>
    </row>
    <row r="1406" spans="1:10">
      <c r="A1406" s="85" t="s">
        <v>100</v>
      </c>
      <c r="B1406" s="85" t="s">
        <v>14</v>
      </c>
      <c r="C1406" s="86">
        <v>0.51666666666666605</v>
      </c>
      <c r="D1406" s="87">
        <v>0</v>
      </c>
      <c r="E1406" s="87">
        <v>0</v>
      </c>
      <c r="F1406" s="87">
        <v>0</v>
      </c>
      <c r="G1406" s="87">
        <v>0</v>
      </c>
      <c r="H1406" s="87">
        <v>0</v>
      </c>
      <c r="I1406" s="87">
        <v>0</v>
      </c>
      <c r="J1406" s="87">
        <v>0</v>
      </c>
    </row>
    <row r="1407" spans="1:10">
      <c r="A1407" s="85" t="s">
        <v>100</v>
      </c>
      <c r="B1407" s="85" t="s">
        <v>14</v>
      </c>
      <c r="C1407" s="86">
        <v>0.51736111111111105</v>
      </c>
      <c r="D1407" s="87">
        <v>0</v>
      </c>
      <c r="E1407" s="87">
        <v>0</v>
      </c>
      <c r="F1407" s="87">
        <v>0</v>
      </c>
      <c r="G1407" s="87">
        <v>0</v>
      </c>
      <c r="H1407" s="87">
        <v>0</v>
      </c>
      <c r="I1407" s="87">
        <v>0</v>
      </c>
      <c r="J1407" s="87">
        <v>0</v>
      </c>
    </row>
    <row r="1408" spans="1:10">
      <c r="A1408" s="85" t="s">
        <v>100</v>
      </c>
      <c r="B1408" s="85" t="s">
        <v>14</v>
      </c>
      <c r="C1408" s="86">
        <v>0.51805555555555505</v>
      </c>
      <c r="D1408" s="87">
        <v>0</v>
      </c>
      <c r="E1408" s="87">
        <v>0</v>
      </c>
      <c r="F1408" s="87">
        <v>0</v>
      </c>
      <c r="G1408" s="87">
        <v>0</v>
      </c>
      <c r="H1408" s="87">
        <v>0</v>
      </c>
      <c r="I1408" s="87">
        <v>0</v>
      </c>
      <c r="J1408" s="87">
        <v>0</v>
      </c>
    </row>
    <row r="1409" spans="1:10">
      <c r="A1409" s="85" t="s">
        <v>100</v>
      </c>
      <c r="B1409" s="85" t="s">
        <v>14</v>
      </c>
      <c r="C1409" s="86">
        <v>0.51875000000000004</v>
      </c>
      <c r="D1409" s="87">
        <v>0</v>
      </c>
      <c r="E1409" s="87">
        <v>0</v>
      </c>
      <c r="F1409" s="87">
        <v>0</v>
      </c>
      <c r="G1409" s="87">
        <v>0</v>
      </c>
      <c r="H1409" s="87">
        <v>0</v>
      </c>
      <c r="I1409" s="87">
        <v>0</v>
      </c>
      <c r="J1409" s="87">
        <v>0</v>
      </c>
    </row>
    <row r="1410" spans="1:10">
      <c r="A1410" s="85" t="s">
        <v>100</v>
      </c>
      <c r="B1410" s="85" t="s">
        <v>14</v>
      </c>
      <c r="C1410" s="86">
        <v>0.51944444444444404</v>
      </c>
      <c r="D1410" s="87">
        <v>0</v>
      </c>
      <c r="E1410" s="87">
        <v>0</v>
      </c>
      <c r="F1410" s="87">
        <v>0</v>
      </c>
      <c r="G1410" s="87">
        <v>0</v>
      </c>
      <c r="H1410" s="87">
        <v>0</v>
      </c>
      <c r="I1410" s="87">
        <v>0</v>
      </c>
      <c r="J1410" s="87">
        <v>0</v>
      </c>
    </row>
    <row r="1411" spans="1:10" s="78" customFormat="1">
      <c r="A1411" s="88" t="s">
        <v>100</v>
      </c>
      <c r="B1411" s="88" t="s">
        <v>14</v>
      </c>
      <c r="C1411" s="89">
        <v>0.52013888888888904</v>
      </c>
      <c r="D1411" s="90">
        <v>0</v>
      </c>
      <c r="E1411" s="90">
        <v>0</v>
      </c>
      <c r="F1411" s="90">
        <v>0</v>
      </c>
      <c r="G1411" s="90">
        <v>0</v>
      </c>
      <c r="H1411" s="90">
        <v>0</v>
      </c>
      <c r="I1411" s="90">
        <v>0</v>
      </c>
      <c r="J1411" s="90">
        <v>0</v>
      </c>
    </row>
    <row r="1412" spans="1:10">
      <c r="A1412" s="85" t="s">
        <v>100</v>
      </c>
      <c r="B1412" s="85" t="s">
        <v>14</v>
      </c>
      <c r="C1412" s="86">
        <v>0.52083333333333304</v>
      </c>
      <c r="D1412" s="91">
        <v>0</v>
      </c>
      <c r="E1412" s="91">
        <v>0</v>
      </c>
      <c r="F1412" s="91">
        <v>0</v>
      </c>
      <c r="G1412" s="91">
        <v>0</v>
      </c>
      <c r="H1412" s="91">
        <v>0</v>
      </c>
      <c r="I1412" s="91">
        <v>0</v>
      </c>
      <c r="J1412" s="91">
        <v>0</v>
      </c>
    </row>
    <row r="1413" spans="1:10">
      <c r="A1413" s="85" t="s">
        <v>100</v>
      </c>
      <c r="B1413" s="85" t="s">
        <v>14</v>
      </c>
      <c r="C1413" s="86">
        <v>0.52152777777777704</v>
      </c>
      <c r="D1413" s="87">
        <v>0</v>
      </c>
      <c r="E1413" s="87">
        <v>0</v>
      </c>
      <c r="F1413" s="87">
        <v>0</v>
      </c>
      <c r="G1413" s="87">
        <v>0</v>
      </c>
      <c r="H1413" s="87">
        <v>0</v>
      </c>
      <c r="I1413" s="87">
        <v>0</v>
      </c>
      <c r="J1413" s="87">
        <v>0</v>
      </c>
    </row>
    <row r="1414" spans="1:10">
      <c r="A1414" s="85" t="s">
        <v>100</v>
      </c>
      <c r="B1414" s="85" t="s">
        <v>14</v>
      </c>
      <c r="C1414" s="86">
        <v>0.52222222222222203</v>
      </c>
      <c r="D1414" s="87">
        <v>0</v>
      </c>
      <c r="E1414" s="87">
        <v>0</v>
      </c>
      <c r="F1414" s="87">
        <v>0</v>
      </c>
      <c r="G1414" s="87">
        <v>0</v>
      </c>
      <c r="H1414" s="87">
        <v>0</v>
      </c>
      <c r="I1414" s="87">
        <v>0</v>
      </c>
      <c r="J1414" s="87">
        <v>0</v>
      </c>
    </row>
    <row r="1415" spans="1:10">
      <c r="A1415" s="85" t="s">
        <v>100</v>
      </c>
      <c r="B1415" s="85" t="s">
        <v>14</v>
      </c>
      <c r="C1415" s="86">
        <v>0.52291666666666603</v>
      </c>
      <c r="D1415" s="87">
        <v>0</v>
      </c>
      <c r="E1415" s="87">
        <v>0</v>
      </c>
      <c r="F1415" s="87">
        <v>0</v>
      </c>
      <c r="G1415" s="87">
        <v>0</v>
      </c>
      <c r="H1415" s="87">
        <v>0</v>
      </c>
      <c r="I1415" s="87">
        <v>0</v>
      </c>
      <c r="J1415" s="87">
        <v>0</v>
      </c>
    </row>
    <row r="1416" spans="1:10">
      <c r="A1416" s="85" t="s">
        <v>100</v>
      </c>
      <c r="B1416" s="85" t="s">
        <v>14</v>
      </c>
      <c r="C1416" s="86">
        <v>0.52361111111111103</v>
      </c>
      <c r="D1416" s="87">
        <v>0</v>
      </c>
      <c r="E1416" s="87">
        <v>0</v>
      </c>
      <c r="F1416" s="87">
        <v>0</v>
      </c>
      <c r="G1416" s="87">
        <v>0</v>
      </c>
      <c r="H1416" s="87">
        <v>0</v>
      </c>
      <c r="I1416" s="87">
        <v>0</v>
      </c>
      <c r="J1416" s="87">
        <v>0</v>
      </c>
    </row>
    <row r="1417" spans="1:10">
      <c r="A1417" s="85" t="s">
        <v>100</v>
      </c>
      <c r="B1417" s="85" t="s">
        <v>14</v>
      </c>
      <c r="C1417" s="86">
        <v>0.52430555555555503</v>
      </c>
      <c r="D1417" s="87">
        <v>0</v>
      </c>
      <c r="E1417" s="87">
        <v>0</v>
      </c>
      <c r="F1417" s="87">
        <v>0</v>
      </c>
      <c r="G1417" s="87">
        <v>0</v>
      </c>
      <c r="H1417" s="87">
        <v>0</v>
      </c>
      <c r="I1417" s="87">
        <v>0</v>
      </c>
      <c r="J1417" s="87">
        <v>0</v>
      </c>
    </row>
    <row r="1418" spans="1:10">
      <c r="A1418" s="85" t="s">
        <v>100</v>
      </c>
      <c r="B1418" s="85" t="s">
        <v>14</v>
      </c>
      <c r="C1418" s="86">
        <v>0.52500000000000002</v>
      </c>
      <c r="D1418" s="87">
        <v>0</v>
      </c>
      <c r="E1418" s="87">
        <v>0</v>
      </c>
      <c r="F1418" s="87">
        <v>0</v>
      </c>
      <c r="G1418" s="87">
        <v>0</v>
      </c>
      <c r="H1418" s="87">
        <v>0</v>
      </c>
      <c r="I1418" s="87">
        <v>0</v>
      </c>
      <c r="J1418" s="87">
        <v>0</v>
      </c>
    </row>
    <row r="1419" spans="1:10">
      <c r="A1419" s="85" t="s">
        <v>100</v>
      </c>
      <c r="B1419" s="85" t="s">
        <v>14</v>
      </c>
      <c r="C1419" s="86">
        <v>0.52569444444444402</v>
      </c>
      <c r="D1419" s="87">
        <v>0</v>
      </c>
      <c r="E1419" s="87">
        <v>0</v>
      </c>
      <c r="F1419" s="87">
        <v>0</v>
      </c>
      <c r="G1419" s="87">
        <v>0</v>
      </c>
      <c r="H1419" s="87">
        <v>0</v>
      </c>
      <c r="I1419" s="87">
        <v>0</v>
      </c>
      <c r="J1419" s="87">
        <v>0</v>
      </c>
    </row>
    <row r="1420" spans="1:10">
      <c r="A1420" s="85" t="s">
        <v>100</v>
      </c>
      <c r="B1420" s="85" t="s">
        <v>14</v>
      </c>
      <c r="C1420" s="86">
        <v>0.52638888888888902</v>
      </c>
      <c r="D1420" s="87">
        <v>0</v>
      </c>
      <c r="E1420" s="87">
        <v>0</v>
      </c>
      <c r="F1420" s="87">
        <v>0</v>
      </c>
      <c r="G1420" s="87">
        <v>0</v>
      </c>
      <c r="H1420" s="87">
        <v>0</v>
      </c>
      <c r="I1420" s="87">
        <v>0</v>
      </c>
      <c r="J1420" s="87">
        <v>0</v>
      </c>
    </row>
    <row r="1421" spans="1:10">
      <c r="A1421" s="85" t="s">
        <v>100</v>
      </c>
      <c r="B1421" s="85" t="s">
        <v>14</v>
      </c>
      <c r="C1421" s="86">
        <v>0.52708333333333302</v>
      </c>
      <c r="D1421" s="87">
        <v>0</v>
      </c>
      <c r="E1421" s="87">
        <v>0</v>
      </c>
      <c r="F1421" s="87">
        <v>0</v>
      </c>
      <c r="G1421" s="87">
        <v>0</v>
      </c>
      <c r="H1421" s="87">
        <v>0</v>
      </c>
      <c r="I1421" s="87">
        <v>0</v>
      </c>
      <c r="J1421" s="87">
        <v>0</v>
      </c>
    </row>
    <row r="1422" spans="1:10">
      <c r="A1422" s="85" t="s">
        <v>100</v>
      </c>
      <c r="B1422" s="85" t="s">
        <v>14</v>
      </c>
      <c r="C1422" s="86">
        <v>0.52777777777777701</v>
      </c>
      <c r="D1422" s="87">
        <v>0</v>
      </c>
      <c r="E1422" s="87">
        <v>0</v>
      </c>
      <c r="F1422" s="87">
        <v>0</v>
      </c>
      <c r="G1422" s="87">
        <v>0</v>
      </c>
      <c r="H1422" s="87">
        <v>0</v>
      </c>
      <c r="I1422" s="87">
        <v>0</v>
      </c>
      <c r="J1422" s="87">
        <v>0</v>
      </c>
    </row>
    <row r="1423" spans="1:10">
      <c r="A1423" s="85" t="s">
        <v>100</v>
      </c>
      <c r="B1423" s="85" t="s">
        <v>14</v>
      </c>
      <c r="C1423" s="86">
        <v>0.52847222222222201</v>
      </c>
      <c r="D1423" s="87">
        <v>0</v>
      </c>
      <c r="E1423" s="87">
        <v>0</v>
      </c>
      <c r="F1423" s="87">
        <v>0</v>
      </c>
      <c r="G1423" s="87">
        <v>0</v>
      </c>
      <c r="H1423" s="87">
        <v>0</v>
      </c>
      <c r="I1423" s="87">
        <v>0</v>
      </c>
      <c r="J1423" s="87">
        <v>0</v>
      </c>
    </row>
    <row r="1424" spans="1:10">
      <c r="A1424" s="85" t="s">
        <v>100</v>
      </c>
      <c r="B1424" s="85" t="s">
        <v>14</v>
      </c>
      <c r="C1424" s="86">
        <v>0.52916666666666601</v>
      </c>
      <c r="D1424" s="87">
        <v>0</v>
      </c>
      <c r="E1424" s="87">
        <v>0</v>
      </c>
      <c r="F1424" s="87">
        <v>0</v>
      </c>
      <c r="G1424" s="87">
        <v>0</v>
      </c>
      <c r="H1424" s="87">
        <v>0</v>
      </c>
      <c r="I1424" s="87">
        <v>0</v>
      </c>
      <c r="J1424" s="87">
        <v>0</v>
      </c>
    </row>
    <row r="1425" spans="1:10">
      <c r="A1425" s="85" t="s">
        <v>100</v>
      </c>
      <c r="B1425" s="85" t="s">
        <v>14</v>
      </c>
      <c r="C1425" s="86">
        <v>0.52986111111111101</v>
      </c>
      <c r="D1425" s="87">
        <v>0</v>
      </c>
      <c r="E1425" s="87">
        <v>0</v>
      </c>
      <c r="F1425" s="87">
        <v>0</v>
      </c>
      <c r="G1425" s="87">
        <v>0</v>
      </c>
      <c r="H1425" s="87">
        <v>0</v>
      </c>
      <c r="I1425" s="87">
        <v>0</v>
      </c>
      <c r="J1425" s="87">
        <v>0</v>
      </c>
    </row>
    <row r="1426" spans="1:10" s="78" customFormat="1">
      <c r="A1426" s="88" t="s">
        <v>100</v>
      </c>
      <c r="B1426" s="88" t="s">
        <v>14</v>
      </c>
      <c r="C1426" s="89">
        <v>0.530555555555555</v>
      </c>
      <c r="D1426" s="90">
        <v>0</v>
      </c>
      <c r="E1426" s="90">
        <v>0</v>
      </c>
      <c r="F1426" s="90">
        <v>0</v>
      </c>
      <c r="G1426" s="90">
        <v>0</v>
      </c>
      <c r="H1426" s="90">
        <v>0</v>
      </c>
      <c r="I1426" s="90">
        <v>0</v>
      </c>
      <c r="J1426" s="90">
        <v>0</v>
      </c>
    </row>
    <row r="1427" spans="1:10">
      <c r="A1427" s="85" t="s">
        <v>100</v>
      </c>
      <c r="B1427" s="85" t="s">
        <v>14</v>
      </c>
      <c r="C1427" s="86">
        <v>0.53125</v>
      </c>
      <c r="D1427" s="91">
        <v>0</v>
      </c>
      <c r="E1427" s="91">
        <v>0</v>
      </c>
      <c r="F1427" s="91">
        <v>0</v>
      </c>
      <c r="G1427" s="91">
        <v>0</v>
      </c>
      <c r="H1427" s="91">
        <v>0</v>
      </c>
      <c r="I1427" s="91">
        <v>0</v>
      </c>
      <c r="J1427" s="91">
        <v>0</v>
      </c>
    </row>
    <row r="1428" spans="1:10">
      <c r="A1428" s="85" t="s">
        <v>100</v>
      </c>
      <c r="B1428" s="85" t="s">
        <v>14</v>
      </c>
      <c r="C1428" s="86">
        <v>0.531944444444444</v>
      </c>
      <c r="D1428" s="87">
        <v>0</v>
      </c>
      <c r="E1428" s="87">
        <v>0</v>
      </c>
      <c r="F1428" s="87">
        <v>0</v>
      </c>
      <c r="G1428" s="87">
        <v>0</v>
      </c>
      <c r="H1428" s="87">
        <v>0</v>
      </c>
      <c r="I1428" s="87">
        <v>0</v>
      </c>
      <c r="J1428" s="87">
        <v>0</v>
      </c>
    </row>
    <row r="1429" spans="1:10">
      <c r="A1429" s="85" t="s">
        <v>100</v>
      </c>
      <c r="B1429" s="85" t="s">
        <v>14</v>
      </c>
      <c r="C1429" s="86">
        <v>0.53263888888888899</v>
      </c>
      <c r="D1429" s="87">
        <v>0</v>
      </c>
      <c r="E1429" s="87">
        <v>0</v>
      </c>
      <c r="F1429" s="87">
        <v>0</v>
      </c>
      <c r="G1429" s="87">
        <v>0</v>
      </c>
      <c r="H1429" s="87">
        <v>0</v>
      </c>
      <c r="I1429" s="87">
        <v>0</v>
      </c>
      <c r="J1429" s="87">
        <v>0</v>
      </c>
    </row>
    <row r="1430" spans="1:10">
      <c r="A1430" s="85" t="s">
        <v>100</v>
      </c>
      <c r="B1430" s="85" t="s">
        <v>14</v>
      </c>
      <c r="C1430" s="86">
        <v>0.53333333333333299</v>
      </c>
      <c r="D1430" s="87">
        <v>0</v>
      </c>
      <c r="E1430" s="87">
        <v>0</v>
      </c>
      <c r="F1430" s="87">
        <v>0</v>
      </c>
      <c r="G1430" s="87">
        <v>0</v>
      </c>
      <c r="H1430" s="87">
        <v>0</v>
      </c>
      <c r="I1430" s="87">
        <v>0</v>
      </c>
      <c r="J1430" s="87">
        <v>0</v>
      </c>
    </row>
    <row r="1431" spans="1:10">
      <c r="A1431" s="85" t="s">
        <v>100</v>
      </c>
      <c r="B1431" s="85" t="s">
        <v>14</v>
      </c>
      <c r="C1431" s="86">
        <v>0.53402777777777799</v>
      </c>
      <c r="D1431" s="87">
        <v>0</v>
      </c>
      <c r="E1431" s="87">
        <v>0</v>
      </c>
      <c r="F1431" s="87">
        <v>0</v>
      </c>
      <c r="G1431" s="87">
        <v>0</v>
      </c>
      <c r="H1431" s="87">
        <v>0</v>
      </c>
      <c r="I1431" s="87">
        <v>0</v>
      </c>
      <c r="J1431" s="87">
        <v>0</v>
      </c>
    </row>
    <row r="1432" spans="1:10">
      <c r="A1432" s="85" t="s">
        <v>100</v>
      </c>
      <c r="B1432" s="85" t="s">
        <v>14</v>
      </c>
      <c r="C1432" s="86">
        <v>0.53472222222222199</v>
      </c>
      <c r="D1432" s="87">
        <v>0</v>
      </c>
      <c r="E1432" s="87">
        <v>0</v>
      </c>
      <c r="F1432" s="87">
        <v>0</v>
      </c>
      <c r="G1432" s="87">
        <v>0</v>
      </c>
      <c r="H1432" s="87">
        <v>0</v>
      </c>
      <c r="I1432" s="87">
        <v>0</v>
      </c>
      <c r="J1432" s="87">
        <v>0</v>
      </c>
    </row>
    <row r="1433" spans="1:10">
      <c r="A1433" s="85" t="s">
        <v>100</v>
      </c>
      <c r="B1433" s="85" t="s">
        <v>14</v>
      </c>
      <c r="C1433" s="86">
        <v>0.53541666666666599</v>
      </c>
      <c r="D1433" s="87">
        <v>0</v>
      </c>
      <c r="E1433" s="87">
        <v>0</v>
      </c>
      <c r="F1433" s="87">
        <v>0</v>
      </c>
      <c r="G1433" s="87">
        <v>0</v>
      </c>
      <c r="H1433" s="87">
        <v>0</v>
      </c>
      <c r="I1433" s="87">
        <v>0</v>
      </c>
      <c r="J1433" s="87">
        <v>0</v>
      </c>
    </row>
    <row r="1434" spans="1:10">
      <c r="A1434" s="85" t="s">
        <v>100</v>
      </c>
      <c r="B1434" s="85" t="s">
        <v>14</v>
      </c>
      <c r="C1434" s="86">
        <v>0.53611111111111098</v>
      </c>
      <c r="D1434" s="87">
        <v>0</v>
      </c>
      <c r="E1434" s="87">
        <v>0</v>
      </c>
      <c r="F1434" s="87">
        <v>0</v>
      </c>
      <c r="G1434" s="87">
        <v>0</v>
      </c>
      <c r="H1434" s="87">
        <v>0</v>
      </c>
      <c r="I1434" s="87">
        <v>0</v>
      </c>
      <c r="J1434" s="87">
        <v>0</v>
      </c>
    </row>
    <row r="1435" spans="1:10">
      <c r="A1435" s="85" t="s">
        <v>100</v>
      </c>
      <c r="B1435" s="85" t="s">
        <v>14</v>
      </c>
      <c r="C1435" s="86">
        <v>0.53680555555555498</v>
      </c>
      <c r="D1435" s="87">
        <v>0</v>
      </c>
      <c r="E1435" s="87">
        <v>0</v>
      </c>
      <c r="F1435" s="87">
        <v>0</v>
      </c>
      <c r="G1435" s="87">
        <v>0</v>
      </c>
      <c r="H1435" s="87">
        <v>0</v>
      </c>
      <c r="I1435" s="87">
        <v>0</v>
      </c>
      <c r="J1435" s="87">
        <v>0</v>
      </c>
    </row>
    <row r="1436" spans="1:10">
      <c r="A1436" s="85" t="s">
        <v>100</v>
      </c>
      <c r="B1436" s="85" t="s">
        <v>14</v>
      </c>
      <c r="C1436" s="86">
        <v>0.53749999999999998</v>
      </c>
      <c r="D1436" s="87">
        <v>0</v>
      </c>
      <c r="E1436" s="87">
        <v>0</v>
      </c>
      <c r="F1436" s="87">
        <v>0</v>
      </c>
      <c r="G1436" s="87">
        <v>0</v>
      </c>
      <c r="H1436" s="87">
        <v>0</v>
      </c>
      <c r="I1436" s="87">
        <v>0</v>
      </c>
      <c r="J1436" s="87">
        <v>0</v>
      </c>
    </row>
    <row r="1437" spans="1:10">
      <c r="A1437" s="85" t="s">
        <v>100</v>
      </c>
      <c r="B1437" s="85" t="s">
        <v>14</v>
      </c>
      <c r="C1437" s="86">
        <v>0.53819444444444398</v>
      </c>
      <c r="D1437" s="87">
        <v>0</v>
      </c>
      <c r="E1437" s="87">
        <v>0</v>
      </c>
      <c r="F1437" s="87">
        <v>0</v>
      </c>
      <c r="G1437" s="87">
        <v>0</v>
      </c>
      <c r="H1437" s="87">
        <v>0</v>
      </c>
      <c r="I1437" s="87">
        <v>0</v>
      </c>
      <c r="J1437" s="87">
        <v>0</v>
      </c>
    </row>
    <row r="1438" spans="1:10">
      <c r="A1438" s="85" t="s">
        <v>100</v>
      </c>
      <c r="B1438" s="85" t="s">
        <v>14</v>
      </c>
      <c r="C1438" s="86">
        <v>0.53888888888888897</v>
      </c>
      <c r="D1438" s="87">
        <v>0</v>
      </c>
      <c r="E1438" s="87">
        <v>0</v>
      </c>
      <c r="F1438" s="87">
        <v>0</v>
      </c>
      <c r="G1438" s="87">
        <v>0</v>
      </c>
      <c r="H1438" s="87">
        <v>0</v>
      </c>
      <c r="I1438" s="87">
        <v>0</v>
      </c>
      <c r="J1438" s="87">
        <v>0</v>
      </c>
    </row>
    <row r="1439" spans="1:10">
      <c r="A1439" s="85" t="s">
        <v>100</v>
      </c>
      <c r="B1439" s="85" t="s">
        <v>14</v>
      </c>
      <c r="C1439" s="86">
        <v>0.53958333333333297</v>
      </c>
      <c r="D1439" s="87">
        <v>0</v>
      </c>
      <c r="E1439" s="87">
        <v>0</v>
      </c>
      <c r="F1439" s="87">
        <v>0</v>
      </c>
      <c r="G1439" s="87">
        <v>0</v>
      </c>
      <c r="H1439" s="87">
        <v>0</v>
      </c>
      <c r="I1439" s="87">
        <v>0</v>
      </c>
      <c r="J1439" s="87">
        <v>0</v>
      </c>
    </row>
    <row r="1440" spans="1:10">
      <c r="A1440" s="85" t="s">
        <v>100</v>
      </c>
      <c r="B1440" s="85" t="s">
        <v>14</v>
      </c>
      <c r="C1440" s="86">
        <v>0.54027777777777797</v>
      </c>
      <c r="D1440" s="87">
        <v>0</v>
      </c>
      <c r="E1440" s="87">
        <v>0</v>
      </c>
      <c r="F1440" s="87">
        <v>0</v>
      </c>
      <c r="G1440" s="87">
        <v>0</v>
      </c>
      <c r="H1440" s="87">
        <v>0</v>
      </c>
      <c r="I1440" s="87">
        <v>0</v>
      </c>
      <c r="J1440" s="87">
        <v>0</v>
      </c>
    </row>
    <row r="1441" spans="1:10" s="28" customFormat="1" ht="17.5" thickBot="1">
      <c r="A1441" s="100" t="s">
        <v>100</v>
      </c>
      <c r="B1441" s="100" t="s">
        <v>14</v>
      </c>
      <c r="C1441" s="101">
        <v>0.54097222222222197</v>
      </c>
      <c r="D1441" s="102">
        <v>0</v>
      </c>
      <c r="E1441" s="102">
        <v>0</v>
      </c>
      <c r="F1441" s="102">
        <v>0</v>
      </c>
      <c r="G1441" s="102">
        <v>0</v>
      </c>
      <c r="H1441" s="102">
        <v>0</v>
      </c>
      <c r="I1441" s="102">
        <v>0</v>
      </c>
      <c r="J1441" s="102">
        <v>0</v>
      </c>
    </row>
    <row r="1442" spans="1:10">
      <c r="A1442" s="203" t="s">
        <v>161</v>
      </c>
      <c r="B1442" s="203" t="s">
        <v>11</v>
      </c>
      <c r="C1442" s="204">
        <v>0.5</v>
      </c>
      <c r="D1442" s="213">
        <v>0</v>
      </c>
      <c r="E1442" s="213">
        <v>0</v>
      </c>
      <c r="F1442" s="213">
        <v>0</v>
      </c>
      <c r="G1442" s="213">
        <v>0</v>
      </c>
      <c r="H1442" s="213">
        <v>0</v>
      </c>
      <c r="I1442" s="213">
        <v>0</v>
      </c>
      <c r="J1442" s="213">
        <v>0</v>
      </c>
    </row>
    <row r="1443" spans="1:10">
      <c r="A1443" s="203" t="s">
        <v>161</v>
      </c>
      <c r="B1443" s="203" t="s">
        <v>11</v>
      </c>
      <c r="C1443" s="204">
        <v>0.50069444444444444</v>
      </c>
      <c r="D1443" s="205">
        <v>0</v>
      </c>
      <c r="E1443" s="205">
        <v>0</v>
      </c>
      <c r="F1443" s="205">
        <v>0</v>
      </c>
      <c r="G1443" s="205">
        <v>0</v>
      </c>
      <c r="H1443" s="205">
        <v>0</v>
      </c>
      <c r="I1443" s="205">
        <v>0</v>
      </c>
      <c r="J1443" s="205">
        <v>0</v>
      </c>
    </row>
    <row r="1444" spans="1:10">
      <c r="A1444" s="203" t="s">
        <v>161</v>
      </c>
      <c r="B1444" s="203" t="s">
        <v>11</v>
      </c>
      <c r="C1444" s="204">
        <v>0.50138888888888899</v>
      </c>
      <c r="D1444" s="205">
        <v>0</v>
      </c>
      <c r="E1444" s="205">
        <v>0</v>
      </c>
      <c r="F1444" s="205">
        <v>0</v>
      </c>
      <c r="G1444" s="205">
        <v>0</v>
      </c>
      <c r="H1444" s="205">
        <v>0</v>
      </c>
      <c r="I1444" s="205">
        <v>0</v>
      </c>
      <c r="J1444" s="205">
        <v>0</v>
      </c>
    </row>
    <row r="1445" spans="1:10">
      <c r="A1445" s="203" t="s">
        <v>161</v>
      </c>
      <c r="B1445" s="203" t="s">
        <v>11</v>
      </c>
      <c r="C1445" s="204">
        <v>0.50208333333333299</v>
      </c>
      <c r="D1445" s="205">
        <v>0</v>
      </c>
      <c r="E1445" s="205">
        <v>0</v>
      </c>
      <c r="F1445" s="205">
        <v>0</v>
      </c>
      <c r="G1445" s="205">
        <v>0</v>
      </c>
      <c r="H1445" s="205">
        <v>0</v>
      </c>
      <c r="I1445" s="205">
        <v>0</v>
      </c>
      <c r="J1445" s="205">
        <v>0</v>
      </c>
    </row>
    <row r="1446" spans="1:10">
      <c r="A1446" s="203" t="s">
        <v>161</v>
      </c>
      <c r="B1446" s="203" t="s">
        <v>11</v>
      </c>
      <c r="C1446" s="204">
        <v>0.50277777777777799</v>
      </c>
      <c r="D1446" s="205">
        <v>0</v>
      </c>
      <c r="E1446" s="205">
        <v>0</v>
      </c>
      <c r="F1446" s="205">
        <v>0</v>
      </c>
      <c r="G1446" s="205">
        <v>0</v>
      </c>
      <c r="H1446" s="205">
        <v>0</v>
      </c>
      <c r="I1446" s="205">
        <v>0</v>
      </c>
      <c r="J1446" s="205">
        <v>0</v>
      </c>
    </row>
    <row r="1447" spans="1:10">
      <c r="A1447" s="203" t="s">
        <v>161</v>
      </c>
      <c r="B1447" s="203" t="s">
        <v>11</v>
      </c>
      <c r="C1447" s="204">
        <v>0.50347222222222199</v>
      </c>
      <c r="D1447" s="205">
        <v>0</v>
      </c>
      <c r="E1447" s="205">
        <v>0</v>
      </c>
      <c r="F1447" s="205">
        <v>0</v>
      </c>
      <c r="G1447" s="205">
        <v>0</v>
      </c>
      <c r="H1447" s="205">
        <v>0</v>
      </c>
      <c r="I1447" s="205">
        <v>0</v>
      </c>
      <c r="J1447" s="205">
        <v>0</v>
      </c>
    </row>
    <row r="1448" spans="1:10">
      <c r="A1448" s="203" t="s">
        <v>161</v>
      </c>
      <c r="B1448" s="203" t="s">
        <v>11</v>
      </c>
      <c r="C1448" s="204">
        <v>0.50416666666666698</v>
      </c>
      <c r="D1448" s="205">
        <v>0</v>
      </c>
      <c r="E1448" s="205">
        <v>0</v>
      </c>
      <c r="F1448" s="205">
        <v>0</v>
      </c>
      <c r="G1448" s="205">
        <v>0</v>
      </c>
      <c r="H1448" s="205">
        <v>0</v>
      </c>
      <c r="I1448" s="205">
        <v>0</v>
      </c>
      <c r="J1448" s="205">
        <v>0</v>
      </c>
    </row>
    <row r="1449" spans="1:10">
      <c r="A1449" s="203" t="s">
        <v>161</v>
      </c>
      <c r="B1449" s="203" t="s">
        <v>11</v>
      </c>
      <c r="C1449" s="204">
        <v>0.50486111111111098</v>
      </c>
      <c r="D1449" s="205">
        <v>0</v>
      </c>
      <c r="E1449" s="205">
        <v>0</v>
      </c>
      <c r="F1449" s="205">
        <v>0</v>
      </c>
      <c r="G1449" s="205">
        <v>0</v>
      </c>
      <c r="H1449" s="205">
        <v>0</v>
      </c>
      <c r="I1449" s="205">
        <v>0</v>
      </c>
      <c r="J1449" s="205">
        <v>0</v>
      </c>
    </row>
    <row r="1450" spans="1:10">
      <c r="A1450" s="203" t="s">
        <v>161</v>
      </c>
      <c r="B1450" s="203" t="s">
        <v>11</v>
      </c>
      <c r="C1450" s="204">
        <v>0.50555555555555598</v>
      </c>
      <c r="D1450" s="205">
        <v>0</v>
      </c>
      <c r="E1450" s="205">
        <v>0</v>
      </c>
      <c r="F1450" s="205">
        <v>0</v>
      </c>
      <c r="G1450" s="205">
        <v>0</v>
      </c>
      <c r="H1450" s="205">
        <v>0</v>
      </c>
      <c r="I1450" s="205">
        <v>0</v>
      </c>
      <c r="J1450" s="205">
        <v>0</v>
      </c>
    </row>
    <row r="1451" spans="1:10">
      <c r="A1451" s="203" t="s">
        <v>161</v>
      </c>
      <c r="B1451" s="203" t="s">
        <v>11</v>
      </c>
      <c r="C1451" s="204">
        <v>0.50624999999999998</v>
      </c>
      <c r="D1451" s="205">
        <v>0</v>
      </c>
      <c r="E1451" s="205">
        <v>0</v>
      </c>
      <c r="F1451" s="205">
        <v>0</v>
      </c>
      <c r="G1451" s="205">
        <v>0</v>
      </c>
      <c r="H1451" s="205">
        <v>0</v>
      </c>
      <c r="I1451" s="205">
        <v>0</v>
      </c>
      <c r="J1451" s="205">
        <v>0</v>
      </c>
    </row>
    <row r="1452" spans="1:10">
      <c r="A1452" s="203" t="s">
        <v>161</v>
      </c>
      <c r="B1452" s="203" t="s">
        <v>11</v>
      </c>
      <c r="C1452" s="204">
        <v>0.50694444444444398</v>
      </c>
      <c r="D1452" s="205">
        <v>0</v>
      </c>
      <c r="E1452" s="205">
        <v>0</v>
      </c>
      <c r="F1452" s="205">
        <v>0</v>
      </c>
      <c r="G1452" s="205">
        <v>0</v>
      </c>
      <c r="H1452" s="205">
        <v>0</v>
      </c>
      <c r="I1452" s="205">
        <v>0</v>
      </c>
      <c r="J1452" s="205">
        <v>0</v>
      </c>
    </row>
    <row r="1453" spans="1:10">
      <c r="A1453" s="203" t="s">
        <v>161</v>
      </c>
      <c r="B1453" s="203" t="s">
        <v>11</v>
      </c>
      <c r="C1453" s="204">
        <v>0.50763888888888897</v>
      </c>
      <c r="D1453" s="205">
        <v>0</v>
      </c>
      <c r="E1453" s="205">
        <v>0</v>
      </c>
      <c r="F1453" s="205">
        <v>0</v>
      </c>
      <c r="G1453" s="205">
        <v>0</v>
      </c>
      <c r="H1453" s="205">
        <v>0</v>
      </c>
      <c r="I1453" s="205">
        <v>0</v>
      </c>
      <c r="J1453" s="205">
        <v>0</v>
      </c>
    </row>
    <row r="1454" spans="1:10">
      <c r="A1454" s="203" t="s">
        <v>161</v>
      </c>
      <c r="B1454" s="203" t="s">
        <v>11</v>
      </c>
      <c r="C1454" s="204">
        <v>0.50833333333333297</v>
      </c>
      <c r="D1454" s="205">
        <v>0</v>
      </c>
      <c r="E1454" s="205">
        <v>0</v>
      </c>
      <c r="F1454" s="205">
        <v>0</v>
      </c>
      <c r="G1454" s="205">
        <v>0</v>
      </c>
      <c r="H1454" s="205">
        <v>0</v>
      </c>
      <c r="I1454" s="205">
        <v>0</v>
      </c>
      <c r="J1454" s="205">
        <v>0</v>
      </c>
    </row>
    <row r="1455" spans="1:10">
      <c r="A1455" s="203" t="s">
        <v>161</v>
      </c>
      <c r="B1455" s="203" t="s">
        <v>11</v>
      </c>
      <c r="C1455" s="204">
        <v>0.50902777777777797</v>
      </c>
      <c r="D1455" s="205">
        <v>0</v>
      </c>
      <c r="E1455" s="205">
        <v>0</v>
      </c>
      <c r="F1455" s="205">
        <v>0</v>
      </c>
      <c r="G1455" s="205">
        <v>0</v>
      </c>
      <c r="H1455" s="205">
        <v>0</v>
      </c>
      <c r="I1455" s="205">
        <v>0</v>
      </c>
      <c r="J1455" s="205">
        <v>0</v>
      </c>
    </row>
    <row r="1456" spans="1:10" s="78" customFormat="1">
      <c r="A1456" s="206" t="s">
        <v>161</v>
      </c>
      <c r="B1456" s="206" t="s">
        <v>11</v>
      </c>
      <c r="C1456" s="207">
        <v>0.50972222222222197</v>
      </c>
      <c r="D1456" s="205">
        <v>0</v>
      </c>
      <c r="E1456" s="205">
        <v>0</v>
      </c>
      <c r="F1456" s="205">
        <v>0</v>
      </c>
      <c r="G1456" s="205">
        <v>0</v>
      </c>
      <c r="H1456" s="205">
        <v>0</v>
      </c>
      <c r="I1456" s="205">
        <v>0</v>
      </c>
      <c r="J1456" s="205">
        <v>0</v>
      </c>
    </row>
    <row r="1457" spans="1:10">
      <c r="A1457" s="203" t="s">
        <v>161</v>
      </c>
      <c r="B1457" s="203" t="s">
        <v>11</v>
      </c>
      <c r="C1457" s="204">
        <v>0.51041666666666663</v>
      </c>
      <c r="D1457" s="209">
        <v>0</v>
      </c>
      <c r="E1457" s="209">
        <v>0</v>
      </c>
      <c r="F1457" s="209">
        <v>0</v>
      </c>
      <c r="G1457" s="209">
        <v>0</v>
      </c>
      <c r="H1457" s="209">
        <v>0</v>
      </c>
      <c r="I1457" s="209">
        <v>0</v>
      </c>
      <c r="J1457" s="209">
        <v>0</v>
      </c>
    </row>
    <row r="1458" spans="1:10">
      <c r="A1458" s="203" t="s">
        <v>161</v>
      </c>
      <c r="B1458" s="203" t="s">
        <v>11</v>
      </c>
      <c r="C1458" s="204">
        <v>0.51111111111111107</v>
      </c>
      <c r="D1458" s="205">
        <v>0</v>
      </c>
      <c r="E1458" s="205">
        <v>0</v>
      </c>
      <c r="F1458" s="205">
        <v>0</v>
      </c>
      <c r="G1458" s="205">
        <v>0</v>
      </c>
      <c r="H1458" s="205">
        <v>0</v>
      </c>
      <c r="I1458" s="205">
        <v>0</v>
      </c>
      <c r="J1458" s="205">
        <v>0</v>
      </c>
    </row>
    <row r="1459" spans="1:10">
      <c r="A1459" s="203" t="s">
        <v>161</v>
      </c>
      <c r="B1459" s="203" t="s">
        <v>11</v>
      </c>
      <c r="C1459" s="204">
        <v>0.51180555555555551</v>
      </c>
      <c r="D1459" s="205">
        <v>0</v>
      </c>
      <c r="E1459" s="205">
        <v>0</v>
      </c>
      <c r="F1459" s="205">
        <v>0</v>
      </c>
      <c r="G1459" s="205">
        <v>0</v>
      </c>
      <c r="H1459" s="205">
        <v>0</v>
      </c>
      <c r="I1459" s="205">
        <v>0</v>
      </c>
      <c r="J1459" s="205">
        <v>0</v>
      </c>
    </row>
    <row r="1460" spans="1:10">
      <c r="A1460" s="203" t="s">
        <v>161</v>
      </c>
      <c r="B1460" s="203" t="s">
        <v>11</v>
      </c>
      <c r="C1460" s="204">
        <v>0.51249999999999996</v>
      </c>
      <c r="D1460" s="205">
        <v>0</v>
      </c>
      <c r="E1460" s="205">
        <v>0</v>
      </c>
      <c r="F1460" s="205">
        <v>0</v>
      </c>
      <c r="G1460" s="205">
        <v>0</v>
      </c>
      <c r="H1460" s="205">
        <v>0</v>
      </c>
      <c r="I1460" s="205">
        <v>0</v>
      </c>
      <c r="J1460" s="205">
        <v>0</v>
      </c>
    </row>
    <row r="1461" spans="1:10">
      <c r="A1461" s="203" t="s">
        <v>161</v>
      </c>
      <c r="B1461" s="203" t="s">
        <v>11</v>
      </c>
      <c r="C1461" s="204">
        <v>0.5131944444444444</v>
      </c>
      <c r="D1461" s="205">
        <v>0</v>
      </c>
      <c r="E1461" s="205">
        <v>0</v>
      </c>
      <c r="F1461" s="205">
        <v>0</v>
      </c>
      <c r="G1461" s="205">
        <v>0</v>
      </c>
      <c r="H1461" s="205">
        <v>0</v>
      </c>
      <c r="I1461" s="205">
        <v>0</v>
      </c>
      <c r="J1461" s="205">
        <v>0</v>
      </c>
    </row>
    <row r="1462" spans="1:10">
      <c r="A1462" s="203" t="s">
        <v>161</v>
      </c>
      <c r="B1462" s="203" t="s">
        <v>11</v>
      </c>
      <c r="C1462" s="204">
        <v>0.51388888888888884</v>
      </c>
      <c r="D1462" s="205">
        <v>0</v>
      </c>
      <c r="E1462" s="205">
        <v>0</v>
      </c>
      <c r="F1462" s="205">
        <v>0</v>
      </c>
      <c r="G1462" s="205">
        <v>0</v>
      </c>
      <c r="H1462" s="205">
        <v>0</v>
      </c>
      <c r="I1462" s="205">
        <v>0</v>
      </c>
      <c r="J1462" s="205">
        <v>0</v>
      </c>
    </row>
    <row r="1463" spans="1:10">
      <c r="A1463" s="203" t="s">
        <v>161</v>
      </c>
      <c r="B1463" s="203" t="s">
        <v>11</v>
      </c>
      <c r="C1463" s="204">
        <v>0.51458333333333328</v>
      </c>
      <c r="D1463" s="205">
        <v>0</v>
      </c>
      <c r="E1463" s="205">
        <v>0</v>
      </c>
      <c r="F1463" s="205">
        <v>0</v>
      </c>
      <c r="G1463" s="205">
        <v>0</v>
      </c>
      <c r="H1463" s="205">
        <v>0</v>
      </c>
      <c r="I1463" s="205">
        <v>0</v>
      </c>
      <c r="J1463" s="205">
        <v>0</v>
      </c>
    </row>
    <row r="1464" spans="1:10">
      <c r="A1464" s="203" t="s">
        <v>161</v>
      </c>
      <c r="B1464" s="203" t="s">
        <v>11</v>
      </c>
      <c r="C1464" s="204">
        <v>0.51527777777777772</v>
      </c>
      <c r="D1464" s="205">
        <v>0</v>
      </c>
      <c r="E1464" s="205">
        <v>0</v>
      </c>
      <c r="F1464" s="205">
        <v>0</v>
      </c>
      <c r="G1464" s="205">
        <v>0</v>
      </c>
      <c r="H1464" s="205">
        <v>0</v>
      </c>
      <c r="I1464" s="205">
        <v>0</v>
      </c>
      <c r="J1464" s="205">
        <v>0</v>
      </c>
    </row>
    <row r="1465" spans="1:10">
      <c r="A1465" s="203" t="s">
        <v>161</v>
      </c>
      <c r="B1465" s="203" t="s">
        <v>11</v>
      </c>
      <c r="C1465" s="204">
        <v>0.51597222222222228</v>
      </c>
      <c r="D1465" s="205">
        <v>0</v>
      </c>
      <c r="E1465" s="205">
        <v>0</v>
      </c>
      <c r="F1465" s="205">
        <v>0</v>
      </c>
      <c r="G1465" s="205">
        <v>0</v>
      </c>
      <c r="H1465" s="205">
        <v>0</v>
      </c>
      <c r="I1465" s="205">
        <v>0</v>
      </c>
      <c r="J1465" s="205">
        <v>0</v>
      </c>
    </row>
    <row r="1466" spans="1:10">
      <c r="A1466" s="203" t="s">
        <v>161</v>
      </c>
      <c r="B1466" s="203" t="s">
        <v>11</v>
      </c>
      <c r="C1466" s="204">
        <v>0.51666666666666672</v>
      </c>
      <c r="D1466" s="205">
        <v>0</v>
      </c>
      <c r="E1466" s="205">
        <v>0</v>
      </c>
      <c r="F1466" s="205">
        <v>0</v>
      </c>
      <c r="G1466" s="205">
        <v>0</v>
      </c>
      <c r="H1466" s="205">
        <v>0</v>
      </c>
      <c r="I1466" s="205">
        <v>0</v>
      </c>
      <c r="J1466" s="205">
        <v>0</v>
      </c>
    </row>
    <row r="1467" spans="1:10">
      <c r="A1467" s="203" t="s">
        <v>161</v>
      </c>
      <c r="B1467" s="203" t="s">
        <v>11</v>
      </c>
      <c r="C1467" s="204">
        <v>0.51736111111111116</v>
      </c>
      <c r="D1467" s="205">
        <v>0</v>
      </c>
      <c r="E1467" s="205">
        <v>0</v>
      </c>
      <c r="F1467" s="205">
        <v>0</v>
      </c>
      <c r="G1467" s="205">
        <v>0</v>
      </c>
      <c r="H1467" s="205">
        <v>0</v>
      </c>
      <c r="I1467" s="205">
        <v>0</v>
      </c>
      <c r="J1467" s="205">
        <v>0</v>
      </c>
    </row>
    <row r="1468" spans="1:10">
      <c r="A1468" s="203" t="s">
        <v>161</v>
      </c>
      <c r="B1468" s="203" t="s">
        <v>11</v>
      </c>
      <c r="C1468" s="204">
        <v>0.5180555555555556</v>
      </c>
      <c r="D1468" s="205">
        <v>0</v>
      </c>
      <c r="E1468" s="205">
        <v>0</v>
      </c>
      <c r="F1468" s="205">
        <v>0</v>
      </c>
      <c r="G1468" s="205">
        <v>0</v>
      </c>
      <c r="H1468" s="205">
        <v>0</v>
      </c>
      <c r="I1468" s="205">
        <v>0</v>
      </c>
      <c r="J1468" s="205">
        <v>0</v>
      </c>
    </row>
    <row r="1469" spans="1:10">
      <c r="A1469" s="203" t="s">
        <v>161</v>
      </c>
      <c r="B1469" s="203" t="s">
        <v>11</v>
      </c>
      <c r="C1469" s="204">
        <v>0.51875000000000004</v>
      </c>
      <c r="D1469" s="205">
        <v>0</v>
      </c>
      <c r="E1469" s="205">
        <v>0</v>
      </c>
      <c r="F1469" s="205">
        <v>0</v>
      </c>
      <c r="G1469" s="205">
        <v>0</v>
      </c>
      <c r="H1469" s="205">
        <v>0</v>
      </c>
      <c r="I1469" s="205">
        <v>0</v>
      </c>
      <c r="J1469" s="205">
        <v>0</v>
      </c>
    </row>
    <row r="1470" spans="1:10">
      <c r="A1470" s="203" t="s">
        <v>161</v>
      </c>
      <c r="B1470" s="203" t="s">
        <v>11</v>
      </c>
      <c r="C1470" s="204">
        <v>0.51944444444444449</v>
      </c>
      <c r="D1470" s="205">
        <v>0</v>
      </c>
      <c r="E1470" s="205">
        <v>0</v>
      </c>
      <c r="F1470" s="205">
        <v>0</v>
      </c>
      <c r="G1470" s="205">
        <v>0</v>
      </c>
      <c r="H1470" s="205">
        <v>0</v>
      </c>
      <c r="I1470" s="205">
        <v>0</v>
      </c>
      <c r="J1470" s="205">
        <v>0</v>
      </c>
    </row>
    <row r="1471" spans="1:10" s="78" customFormat="1">
      <c r="A1471" s="206" t="s">
        <v>161</v>
      </c>
      <c r="B1471" s="206" t="s">
        <v>11</v>
      </c>
      <c r="C1471" s="207">
        <v>0.52013888888888893</v>
      </c>
      <c r="D1471" s="208">
        <v>0</v>
      </c>
      <c r="E1471" s="208">
        <v>0</v>
      </c>
      <c r="F1471" s="208">
        <v>0</v>
      </c>
      <c r="G1471" s="208">
        <v>0</v>
      </c>
      <c r="H1471" s="208">
        <v>0</v>
      </c>
      <c r="I1471" s="208">
        <v>0</v>
      </c>
      <c r="J1471" s="208">
        <v>0</v>
      </c>
    </row>
    <row r="1472" spans="1:10">
      <c r="A1472" s="203" t="s">
        <v>161</v>
      </c>
      <c r="B1472" s="203" t="s">
        <v>11</v>
      </c>
      <c r="C1472" s="204">
        <v>0.52083333333333337</v>
      </c>
      <c r="D1472" s="205">
        <v>0</v>
      </c>
      <c r="E1472" s="205">
        <v>0</v>
      </c>
      <c r="F1472" s="205">
        <v>0</v>
      </c>
      <c r="G1472" s="205">
        <v>0</v>
      </c>
      <c r="H1472" s="205">
        <v>0</v>
      </c>
      <c r="I1472" s="205">
        <v>0</v>
      </c>
      <c r="J1472" s="205">
        <v>0</v>
      </c>
    </row>
    <row r="1473" spans="1:10">
      <c r="A1473" s="203" t="s">
        <v>161</v>
      </c>
      <c r="B1473" s="203" t="s">
        <v>11</v>
      </c>
      <c r="C1473" s="204">
        <v>0.52152777777777781</v>
      </c>
      <c r="D1473" s="205">
        <v>0</v>
      </c>
      <c r="E1473" s="205">
        <v>0</v>
      </c>
      <c r="F1473" s="205">
        <v>0</v>
      </c>
      <c r="G1473" s="205">
        <v>0</v>
      </c>
      <c r="H1473" s="205">
        <v>0</v>
      </c>
      <c r="I1473" s="205">
        <v>0</v>
      </c>
      <c r="J1473" s="205">
        <v>0</v>
      </c>
    </row>
    <row r="1474" spans="1:10">
      <c r="A1474" s="203" t="s">
        <v>161</v>
      </c>
      <c r="B1474" s="203" t="s">
        <v>11</v>
      </c>
      <c r="C1474" s="204">
        <v>0.52222222222222225</v>
      </c>
      <c r="D1474" s="205">
        <v>0</v>
      </c>
      <c r="E1474" s="205">
        <v>0</v>
      </c>
      <c r="F1474" s="205">
        <v>0</v>
      </c>
      <c r="G1474" s="205">
        <v>0</v>
      </c>
      <c r="H1474" s="205">
        <v>0</v>
      </c>
      <c r="I1474" s="205">
        <v>0</v>
      </c>
      <c r="J1474" s="205">
        <v>0</v>
      </c>
    </row>
    <row r="1475" spans="1:10">
      <c r="A1475" s="203" t="s">
        <v>161</v>
      </c>
      <c r="B1475" s="203" t="s">
        <v>11</v>
      </c>
      <c r="C1475" s="204">
        <v>0.5229166666666667</v>
      </c>
      <c r="D1475" s="205">
        <v>0</v>
      </c>
      <c r="E1475" s="205">
        <v>0</v>
      </c>
      <c r="F1475" s="205">
        <v>0</v>
      </c>
      <c r="G1475" s="205">
        <v>0</v>
      </c>
      <c r="H1475" s="205">
        <v>0</v>
      </c>
      <c r="I1475" s="205">
        <v>0</v>
      </c>
      <c r="J1475" s="205">
        <v>0</v>
      </c>
    </row>
    <row r="1476" spans="1:10">
      <c r="A1476" s="203" t="s">
        <v>161</v>
      </c>
      <c r="B1476" s="203" t="s">
        <v>11</v>
      </c>
      <c r="C1476" s="204">
        <v>0.52361111111111114</v>
      </c>
      <c r="D1476" s="205">
        <v>0</v>
      </c>
      <c r="E1476" s="205">
        <v>0</v>
      </c>
      <c r="F1476" s="205">
        <v>0</v>
      </c>
      <c r="G1476" s="205">
        <v>0</v>
      </c>
      <c r="H1476" s="205">
        <v>0</v>
      </c>
      <c r="I1476" s="205">
        <v>0</v>
      </c>
      <c r="J1476" s="205">
        <v>0</v>
      </c>
    </row>
    <row r="1477" spans="1:10">
      <c r="A1477" s="203" t="s">
        <v>161</v>
      </c>
      <c r="B1477" s="203" t="s">
        <v>11</v>
      </c>
      <c r="C1477" s="204">
        <v>0.52430555555555558</v>
      </c>
      <c r="D1477" s="205">
        <v>0</v>
      </c>
      <c r="E1477" s="205">
        <v>0</v>
      </c>
      <c r="F1477" s="205">
        <v>0</v>
      </c>
      <c r="G1477" s="205">
        <v>0</v>
      </c>
      <c r="H1477" s="205">
        <v>0</v>
      </c>
      <c r="I1477" s="205">
        <v>0</v>
      </c>
      <c r="J1477" s="205">
        <v>0</v>
      </c>
    </row>
    <row r="1478" spans="1:10">
      <c r="A1478" s="203" t="s">
        <v>161</v>
      </c>
      <c r="B1478" s="203" t="s">
        <v>11</v>
      </c>
      <c r="C1478" s="204">
        <v>0.52500000000000002</v>
      </c>
      <c r="D1478" s="205">
        <v>0</v>
      </c>
      <c r="E1478" s="205">
        <v>0</v>
      </c>
      <c r="F1478" s="205">
        <v>0</v>
      </c>
      <c r="G1478" s="205">
        <v>0</v>
      </c>
      <c r="H1478" s="205">
        <v>0</v>
      </c>
      <c r="I1478" s="205">
        <v>0</v>
      </c>
      <c r="J1478" s="205">
        <v>0</v>
      </c>
    </row>
    <row r="1479" spans="1:10">
      <c r="A1479" s="203" t="s">
        <v>161</v>
      </c>
      <c r="B1479" s="203" t="s">
        <v>11</v>
      </c>
      <c r="C1479" s="204">
        <v>0.52569444444444446</v>
      </c>
      <c r="D1479" s="205">
        <v>0</v>
      </c>
      <c r="E1479" s="205">
        <v>0</v>
      </c>
      <c r="F1479" s="205">
        <v>0</v>
      </c>
      <c r="G1479" s="205">
        <v>0</v>
      </c>
      <c r="H1479" s="205">
        <v>0</v>
      </c>
      <c r="I1479" s="205">
        <v>0</v>
      </c>
      <c r="J1479" s="205">
        <v>0</v>
      </c>
    </row>
    <row r="1480" spans="1:10">
      <c r="A1480" s="203" t="s">
        <v>161</v>
      </c>
      <c r="B1480" s="203" t="s">
        <v>11</v>
      </c>
      <c r="C1480" s="204">
        <v>0.52638888888888891</v>
      </c>
      <c r="D1480" s="205">
        <v>0</v>
      </c>
      <c r="E1480" s="205">
        <v>0</v>
      </c>
      <c r="F1480" s="205">
        <v>0</v>
      </c>
      <c r="G1480" s="205">
        <v>0</v>
      </c>
      <c r="H1480" s="205">
        <v>0</v>
      </c>
      <c r="I1480" s="205">
        <v>0</v>
      </c>
      <c r="J1480" s="205">
        <v>0</v>
      </c>
    </row>
    <row r="1481" spans="1:10">
      <c r="A1481" s="203" t="s">
        <v>161</v>
      </c>
      <c r="B1481" s="203" t="s">
        <v>11</v>
      </c>
      <c r="C1481" s="204">
        <v>0.52708333333333335</v>
      </c>
      <c r="D1481" s="205">
        <v>0</v>
      </c>
      <c r="E1481" s="205">
        <v>0</v>
      </c>
      <c r="F1481" s="205">
        <v>0</v>
      </c>
      <c r="G1481" s="205">
        <v>0</v>
      </c>
      <c r="H1481" s="205">
        <v>0</v>
      </c>
      <c r="I1481" s="205">
        <v>0</v>
      </c>
      <c r="J1481" s="205">
        <v>0</v>
      </c>
    </row>
    <row r="1482" spans="1:10">
      <c r="A1482" s="203" t="s">
        <v>161</v>
      </c>
      <c r="B1482" s="203" t="s">
        <v>11</v>
      </c>
      <c r="C1482" s="204">
        <v>0.52777777777777779</v>
      </c>
      <c r="D1482" s="205">
        <v>0</v>
      </c>
      <c r="E1482" s="205">
        <v>0</v>
      </c>
      <c r="F1482" s="205">
        <v>0</v>
      </c>
      <c r="G1482" s="205">
        <v>0</v>
      </c>
      <c r="H1482" s="205">
        <v>0</v>
      </c>
      <c r="I1482" s="205">
        <v>0</v>
      </c>
      <c r="J1482" s="205">
        <v>0</v>
      </c>
    </row>
    <row r="1483" spans="1:10">
      <c r="A1483" s="203" t="s">
        <v>161</v>
      </c>
      <c r="B1483" s="203" t="s">
        <v>11</v>
      </c>
      <c r="C1483" s="204">
        <v>0.52847222222222223</v>
      </c>
      <c r="D1483" s="205">
        <v>0</v>
      </c>
      <c r="E1483" s="205">
        <v>0</v>
      </c>
      <c r="F1483" s="205">
        <v>0</v>
      </c>
      <c r="G1483" s="205">
        <v>0</v>
      </c>
      <c r="H1483" s="205">
        <v>0</v>
      </c>
      <c r="I1483" s="205">
        <v>0</v>
      </c>
      <c r="J1483" s="205">
        <v>0</v>
      </c>
    </row>
    <row r="1484" spans="1:10">
      <c r="A1484" s="203" t="s">
        <v>161</v>
      </c>
      <c r="B1484" s="203" t="s">
        <v>11</v>
      </c>
      <c r="C1484" s="204">
        <v>0.52916666666666667</v>
      </c>
      <c r="D1484" s="205">
        <v>0</v>
      </c>
      <c r="E1484" s="205">
        <v>0</v>
      </c>
      <c r="F1484" s="205">
        <v>0</v>
      </c>
      <c r="G1484" s="205">
        <v>0</v>
      </c>
      <c r="H1484" s="205">
        <v>0</v>
      </c>
      <c r="I1484" s="205">
        <v>0</v>
      </c>
      <c r="J1484" s="205">
        <v>0</v>
      </c>
    </row>
    <row r="1485" spans="1:10">
      <c r="A1485" s="203" t="s">
        <v>161</v>
      </c>
      <c r="B1485" s="203" t="s">
        <v>11</v>
      </c>
      <c r="C1485" s="204">
        <v>0.52986111111111112</v>
      </c>
      <c r="D1485" s="205">
        <v>0</v>
      </c>
      <c r="E1485" s="205">
        <v>0</v>
      </c>
      <c r="F1485" s="205">
        <v>0</v>
      </c>
      <c r="G1485" s="205">
        <v>0</v>
      </c>
      <c r="H1485" s="205">
        <v>0</v>
      </c>
      <c r="I1485" s="205">
        <v>0</v>
      </c>
      <c r="J1485" s="205">
        <v>0</v>
      </c>
    </row>
    <row r="1486" spans="1:10" s="78" customFormat="1">
      <c r="A1486" s="206" t="s">
        <v>161</v>
      </c>
      <c r="B1486" s="206" t="s">
        <v>11</v>
      </c>
      <c r="C1486" s="207">
        <v>0.53055555555555556</v>
      </c>
      <c r="D1486" s="205">
        <v>0</v>
      </c>
      <c r="E1486" s="205">
        <v>0</v>
      </c>
      <c r="F1486" s="205">
        <v>0</v>
      </c>
      <c r="G1486" s="205">
        <v>0</v>
      </c>
      <c r="H1486" s="205">
        <v>0</v>
      </c>
      <c r="I1486" s="205">
        <v>0</v>
      </c>
      <c r="J1486" s="205">
        <v>0</v>
      </c>
    </row>
    <row r="1487" spans="1:10">
      <c r="A1487" s="203" t="s">
        <v>161</v>
      </c>
      <c r="B1487" s="203" t="s">
        <v>11</v>
      </c>
      <c r="C1487" s="204">
        <v>0.53125</v>
      </c>
      <c r="D1487" s="209">
        <v>0</v>
      </c>
      <c r="E1487" s="209">
        <v>0</v>
      </c>
      <c r="F1487" s="209">
        <v>0</v>
      </c>
      <c r="G1487" s="209">
        <v>0</v>
      </c>
      <c r="H1487" s="209">
        <v>0</v>
      </c>
      <c r="I1487" s="209">
        <v>0</v>
      </c>
      <c r="J1487" s="209">
        <v>0</v>
      </c>
    </row>
    <row r="1488" spans="1:10">
      <c r="A1488" s="203" t="s">
        <v>161</v>
      </c>
      <c r="B1488" s="203" t="s">
        <v>11</v>
      </c>
      <c r="C1488" s="204">
        <v>0.53194444444444444</v>
      </c>
      <c r="D1488" s="205">
        <v>0</v>
      </c>
      <c r="E1488" s="205">
        <v>0</v>
      </c>
      <c r="F1488" s="205">
        <v>0</v>
      </c>
      <c r="G1488" s="205">
        <v>0</v>
      </c>
      <c r="H1488" s="205">
        <v>0</v>
      </c>
      <c r="I1488" s="205">
        <v>0</v>
      </c>
      <c r="J1488" s="205">
        <v>0</v>
      </c>
    </row>
    <row r="1489" spans="1:10">
      <c r="A1489" s="203" t="s">
        <v>161</v>
      </c>
      <c r="B1489" s="203" t="s">
        <v>11</v>
      </c>
      <c r="C1489" s="204">
        <v>0.53263888888888888</v>
      </c>
      <c r="D1489" s="205">
        <v>0</v>
      </c>
      <c r="E1489" s="205">
        <v>0</v>
      </c>
      <c r="F1489" s="205">
        <v>0</v>
      </c>
      <c r="G1489" s="205">
        <v>0</v>
      </c>
      <c r="H1489" s="205">
        <v>0</v>
      </c>
      <c r="I1489" s="205">
        <v>0</v>
      </c>
      <c r="J1489" s="205">
        <v>0</v>
      </c>
    </row>
    <row r="1490" spans="1:10">
      <c r="A1490" s="203" t="s">
        <v>161</v>
      </c>
      <c r="B1490" s="203" t="s">
        <v>11</v>
      </c>
      <c r="C1490" s="204">
        <v>0.53333333333333333</v>
      </c>
      <c r="D1490" s="205">
        <v>0</v>
      </c>
      <c r="E1490" s="205">
        <v>0</v>
      </c>
      <c r="F1490" s="205">
        <v>0</v>
      </c>
      <c r="G1490" s="205">
        <v>0</v>
      </c>
      <c r="H1490" s="205">
        <v>0</v>
      </c>
      <c r="I1490" s="205">
        <v>0</v>
      </c>
      <c r="J1490" s="205">
        <v>0</v>
      </c>
    </row>
    <row r="1491" spans="1:10">
      <c r="A1491" s="203" t="s">
        <v>161</v>
      </c>
      <c r="B1491" s="203" t="s">
        <v>11</v>
      </c>
      <c r="C1491" s="204">
        <v>0.53402777777777777</v>
      </c>
      <c r="D1491" s="205">
        <v>0</v>
      </c>
      <c r="E1491" s="205">
        <v>0</v>
      </c>
      <c r="F1491" s="205">
        <v>0</v>
      </c>
      <c r="G1491" s="205">
        <v>0</v>
      </c>
      <c r="H1491" s="205">
        <v>0</v>
      </c>
      <c r="I1491" s="205">
        <v>0</v>
      </c>
      <c r="J1491" s="205">
        <v>0</v>
      </c>
    </row>
    <row r="1492" spans="1:10">
      <c r="A1492" s="203" t="s">
        <v>161</v>
      </c>
      <c r="B1492" s="203" t="s">
        <v>11</v>
      </c>
      <c r="C1492" s="204">
        <v>0.53472222222222221</v>
      </c>
      <c r="D1492" s="205">
        <v>0</v>
      </c>
      <c r="E1492" s="205">
        <v>0</v>
      </c>
      <c r="F1492" s="205">
        <v>0</v>
      </c>
      <c r="G1492" s="205">
        <v>0</v>
      </c>
      <c r="H1492" s="205">
        <v>0</v>
      </c>
      <c r="I1492" s="205">
        <v>0</v>
      </c>
      <c r="J1492" s="205">
        <v>0</v>
      </c>
    </row>
    <row r="1493" spans="1:10">
      <c r="A1493" s="203" t="s">
        <v>161</v>
      </c>
      <c r="B1493" s="203" t="s">
        <v>11</v>
      </c>
      <c r="C1493" s="204">
        <v>0.53541666666666665</v>
      </c>
      <c r="D1493" s="205">
        <v>0</v>
      </c>
      <c r="E1493" s="205">
        <v>0</v>
      </c>
      <c r="F1493" s="205">
        <v>0</v>
      </c>
      <c r="G1493" s="205">
        <v>0</v>
      </c>
      <c r="H1493" s="205">
        <v>0</v>
      </c>
      <c r="I1493" s="205">
        <v>0</v>
      </c>
      <c r="J1493" s="205">
        <v>0</v>
      </c>
    </row>
    <row r="1494" spans="1:10">
      <c r="A1494" s="203" t="s">
        <v>161</v>
      </c>
      <c r="B1494" s="203" t="s">
        <v>11</v>
      </c>
      <c r="C1494" s="204">
        <v>0.53611111111111109</v>
      </c>
      <c r="D1494" s="205">
        <v>0</v>
      </c>
      <c r="E1494" s="205">
        <v>0</v>
      </c>
      <c r="F1494" s="205">
        <v>0</v>
      </c>
      <c r="G1494" s="205">
        <v>0</v>
      </c>
      <c r="H1494" s="205">
        <v>0</v>
      </c>
      <c r="I1494" s="205">
        <v>0</v>
      </c>
      <c r="J1494" s="205">
        <v>0</v>
      </c>
    </row>
    <row r="1495" spans="1:10">
      <c r="A1495" s="203" t="s">
        <v>161</v>
      </c>
      <c r="B1495" s="203" t="s">
        <v>11</v>
      </c>
      <c r="C1495" s="204">
        <v>0.53680555555555554</v>
      </c>
      <c r="D1495" s="205">
        <v>0</v>
      </c>
      <c r="E1495" s="205">
        <v>0</v>
      </c>
      <c r="F1495" s="205">
        <v>0</v>
      </c>
      <c r="G1495" s="205">
        <v>0</v>
      </c>
      <c r="H1495" s="205">
        <v>0</v>
      </c>
      <c r="I1495" s="205">
        <v>0</v>
      </c>
      <c r="J1495" s="205">
        <v>0</v>
      </c>
    </row>
    <row r="1496" spans="1:10">
      <c r="A1496" s="203" t="s">
        <v>161</v>
      </c>
      <c r="B1496" s="203" t="s">
        <v>11</v>
      </c>
      <c r="C1496" s="204">
        <v>0.53749999999999998</v>
      </c>
      <c r="D1496" s="205">
        <v>0</v>
      </c>
      <c r="E1496" s="205">
        <v>0</v>
      </c>
      <c r="F1496" s="205">
        <v>0</v>
      </c>
      <c r="G1496" s="205">
        <v>0</v>
      </c>
      <c r="H1496" s="205">
        <v>0</v>
      </c>
      <c r="I1496" s="205">
        <v>0</v>
      </c>
      <c r="J1496" s="205">
        <v>0</v>
      </c>
    </row>
    <row r="1497" spans="1:10">
      <c r="A1497" s="203" t="s">
        <v>161</v>
      </c>
      <c r="B1497" s="203" t="s">
        <v>11</v>
      </c>
      <c r="C1497" s="204">
        <v>0.53819444444444442</v>
      </c>
      <c r="D1497" s="205">
        <v>0</v>
      </c>
      <c r="E1497" s="205">
        <v>0</v>
      </c>
      <c r="F1497" s="205">
        <v>0</v>
      </c>
      <c r="G1497" s="205">
        <v>0</v>
      </c>
      <c r="H1497" s="205">
        <v>0</v>
      </c>
      <c r="I1497" s="205">
        <v>0</v>
      </c>
      <c r="J1497" s="205">
        <v>0</v>
      </c>
    </row>
    <row r="1498" spans="1:10">
      <c r="A1498" s="203" t="s">
        <v>161</v>
      </c>
      <c r="B1498" s="203" t="s">
        <v>11</v>
      </c>
      <c r="C1498" s="204">
        <v>0.53888888888888886</v>
      </c>
      <c r="D1498" s="205">
        <v>0</v>
      </c>
      <c r="E1498" s="205">
        <v>0</v>
      </c>
      <c r="F1498" s="205">
        <v>0</v>
      </c>
      <c r="G1498" s="205">
        <v>0</v>
      </c>
      <c r="H1498" s="205">
        <v>0</v>
      </c>
      <c r="I1498" s="205">
        <v>0</v>
      </c>
      <c r="J1498" s="205">
        <v>0</v>
      </c>
    </row>
    <row r="1499" spans="1:10">
      <c r="A1499" s="203" t="s">
        <v>161</v>
      </c>
      <c r="B1499" s="203" t="s">
        <v>11</v>
      </c>
      <c r="C1499" s="204">
        <v>0.5395833333333333</v>
      </c>
      <c r="D1499" s="205">
        <v>0</v>
      </c>
      <c r="E1499" s="205">
        <v>0</v>
      </c>
      <c r="F1499" s="205">
        <v>0</v>
      </c>
      <c r="G1499" s="205">
        <v>0</v>
      </c>
      <c r="H1499" s="205">
        <v>0</v>
      </c>
      <c r="I1499" s="205">
        <v>0</v>
      </c>
      <c r="J1499" s="205">
        <v>0</v>
      </c>
    </row>
    <row r="1500" spans="1:10">
      <c r="A1500" s="203" t="s">
        <v>161</v>
      </c>
      <c r="B1500" s="203" t="s">
        <v>11</v>
      </c>
      <c r="C1500" s="204">
        <v>0.54027777777777775</v>
      </c>
      <c r="D1500" s="205">
        <v>0</v>
      </c>
      <c r="E1500" s="205">
        <v>0</v>
      </c>
      <c r="F1500" s="205">
        <v>0</v>
      </c>
      <c r="G1500" s="205">
        <v>0</v>
      </c>
      <c r="H1500" s="205">
        <v>0</v>
      </c>
      <c r="I1500" s="205">
        <v>0</v>
      </c>
      <c r="J1500" s="205">
        <v>0</v>
      </c>
    </row>
    <row r="1501" spans="1:10" s="78" customFormat="1">
      <c r="A1501" s="206" t="s">
        <v>161</v>
      </c>
      <c r="B1501" s="206" t="s">
        <v>11</v>
      </c>
      <c r="C1501" s="207">
        <v>0.54097222222222219</v>
      </c>
      <c r="D1501" s="208">
        <v>0</v>
      </c>
      <c r="E1501" s="208">
        <v>0</v>
      </c>
      <c r="F1501" s="208">
        <v>0</v>
      </c>
      <c r="G1501" s="208">
        <v>0</v>
      </c>
      <c r="H1501" s="208">
        <v>0</v>
      </c>
      <c r="I1501" s="208">
        <v>0</v>
      </c>
      <c r="J1501" s="208">
        <v>0</v>
      </c>
    </row>
    <row r="1502" spans="1:10">
      <c r="A1502" s="203" t="s">
        <v>161</v>
      </c>
      <c r="B1502" s="203" t="s">
        <v>11</v>
      </c>
      <c r="C1502" s="204">
        <v>0.54166666666666663</v>
      </c>
      <c r="D1502" s="205">
        <v>0</v>
      </c>
      <c r="E1502" s="205">
        <v>0</v>
      </c>
      <c r="F1502" s="205">
        <v>0</v>
      </c>
      <c r="G1502" s="205">
        <v>0</v>
      </c>
      <c r="H1502" s="205">
        <v>0</v>
      </c>
      <c r="I1502" s="205">
        <v>0</v>
      </c>
      <c r="J1502" s="205">
        <v>0</v>
      </c>
    </row>
    <row r="1503" spans="1:10">
      <c r="A1503" s="203" t="s">
        <v>161</v>
      </c>
      <c r="B1503" s="203" t="s">
        <v>11</v>
      </c>
      <c r="C1503" s="204">
        <v>0.54236111111111107</v>
      </c>
      <c r="D1503" s="205">
        <v>0</v>
      </c>
      <c r="E1503" s="205">
        <v>0</v>
      </c>
      <c r="F1503" s="205">
        <v>0</v>
      </c>
      <c r="G1503" s="205">
        <v>0</v>
      </c>
      <c r="H1503" s="205">
        <v>0</v>
      </c>
      <c r="I1503" s="205">
        <v>0</v>
      </c>
      <c r="J1503" s="205">
        <v>0</v>
      </c>
    </row>
    <row r="1504" spans="1:10">
      <c r="A1504" s="203" t="s">
        <v>161</v>
      </c>
      <c r="B1504" s="203" t="s">
        <v>11</v>
      </c>
      <c r="C1504" s="204">
        <v>0.54305555555555551</v>
      </c>
      <c r="D1504" s="205">
        <v>0</v>
      </c>
      <c r="E1504" s="205">
        <v>0</v>
      </c>
      <c r="F1504" s="205">
        <v>0</v>
      </c>
      <c r="G1504" s="205">
        <v>0</v>
      </c>
      <c r="H1504" s="205">
        <v>0</v>
      </c>
      <c r="I1504" s="205">
        <v>0</v>
      </c>
      <c r="J1504" s="205">
        <v>0</v>
      </c>
    </row>
    <row r="1505" spans="1:10">
      <c r="A1505" s="203" t="s">
        <v>161</v>
      </c>
      <c r="B1505" s="203" t="s">
        <v>11</v>
      </c>
      <c r="C1505" s="204">
        <v>0.54374999999999996</v>
      </c>
      <c r="D1505" s="205">
        <v>0</v>
      </c>
      <c r="E1505" s="205">
        <v>0</v>
      </c>
      <c r="F1505" s="205">
        <v>0</v>
      </c>
      <c r="G1505" s="205">
        <v>0</v>
      </c>
      <c r="H1505" s="205">
        <v>0</v>
      </c>
      <c r="I1505" s="205">
        <v>0</v>
      </c>
      <c r="J1505" s="205">
        <v>0</v>
      </c>
    </row>
    <row r="1506" spans="1:10">
      <c r="A1506" s="203" t="s">
        <v>161</v>
      </c>
      <c r="B1506" s="203" t="s">
        <v>11</v>
      </c>
      <c r="C1506" s="204">
        <v>0.5444444444444444</v>
      </c>
      <c r="D1506" s="205">
        <v>0</v>
      </c>
      <c r="E1506" s="205">
        <v>0</v>
      </c>
      <c r="F1506" s="205">
        <v>0</v>
      </c>
      <c r="G1506" s="205">
        <v>0</v>
      </c>
      <c r="H1506" s="205">
        <v>0</v>
      </c>
      <c r="I1506" s="205">
        <v>0</v>
      </c>
      <c r="J1506" s="205">
        <v>0</v>
      </c>
    </row>
    <row r="1507" spans="1:10">
      <c r="A1507" s="203" t="s">
        <v>161</v>
      </c>
      <c r="B1507" s="203" t="s">
        <v>11</v>
      </c>
      <c r="C1507" s="204">
        <v>0.54513888888888884</v>
      </c>
      <c r="D1507" s="205">
        <v>0</v>
      </c>
      <c r="E1507" s="205">
        <v>0</v>
      </c>
      <c r="F1507" s="205">
        <v>0</v>
      </c>
      <c r="G1507" s="205">
        <v>0</v>
      </c>
      <c r="H1507" s="205">
        <v>0</v>
      </c>
      <c r="I1507" s="205">
        <v>0</v>
      </c>
      <c r="J1507" s="205">
        <v>0</v>
      </c>
    </row>
    <row r="1508" spans="1:10">
      <c r="A1508" s="203" t="s">
        <v>161</v>
      </c>
      <c r="B1508" s="203" t="s">
        <v>11</v>
      </c>
      <c r="C1508" s="204">
        <v>0.54583333333333328</v>
      </c>
      <c r="D1508" s="205">
        <v>0</v>
      </c>
      <c r="E1508" s="205">
        <v>0</v>
      </c>
      <c r="F1508" s="205">
        <v>0</v>
      </c>
      <c r="G1508" s="205">
        <v>0</v>
      </c>
      <c r="H1508" s="205">
        <v>0</v>
      </c>
      <c r="I1508" s="205">
        <v>0</v>
      </c>
      <c r="J1508" s="205">
        <v>0</v>
      </c>
    </row>
    <row r="1509" spans="1:10">
      <c r="A1509" s="203" t="s">
        <v>161</v>
      </c>
      <c r="B1509" s="203" t="s">
        <v>11</v>
      </c>
      <c r="C1509" s="204">
        <v>0.54652777777777772</v>
      </c>
      <c r="D1509" s="205">
        <v>0</v>
      </c>
      <c r="E1509" s="205">
        <v>0</v>
      </c>
      <c r="F1509" s="205">
        <v>0</v>
      </c>
      <c r="G1509" s="205">
        <v>0</v>
      </c>
      <c r="H1509" s="205">
        <v>0</v>
      </c>
      <c r="I1509" s="205">
        <v>0</v>
      </c>
      <c r="J1509" s="205">
        <v>0</v>
      </c>
    </row>
    <row r="1510" spans="1:10">
      <c r="A1510" s="203" t="s">
        <v>161</v>
      </c>
      <c r="B1510" s="203" t="s">
        <v>11</v>
      </c>
      <c r="C1510" s="204">
        <v>0.54722222222222228</v>
      </c>
      <c r="D1510" s="205">
        <v>0</v>
      </c>
      <c r="E1510" s="205">
        <v>0</v>
      </c>
      <c r="F1510" s="205">
        <v>0</v>
      </c>
      <c r="G1510" s="205">
        <v>0</v>
      </c>
      <c r="H1510" s="205">
        <v>0</v>
      </c>
      <c r="I1510" s="205">
        <v>0</v>
      </c>
      <c r="J1510" s="205">
        <v>0</v>
      </c>
    </row>
    <row r="1511" spans="1:10">
      <c r="A1511" s="203" t="s">
        <v>161</v>
      </c>
      <c r="B1511" s="203" t="s">
        <v>11</v>
      </c>
      <c r="C1511" s="204">
        <v>0.54791666666666672</v>
      </c>
      <c r="D1511" s="205">
        <v>0</v>
      </c>
      <c r="E1511" s="205">
        <v>0</v>
      </c>
      <c r="F1511" s="205">
        <v>0</v>
      </c>
      <c r="G1511" s="205">
        <v>0</v>
      </c>
      <c r="H1511" s="205">
        <v>0</v>
      </c>
      <c r="I1511" s="205">
        <v>0</v>
      </c>
      <c r="J1511" s="205">
        <v>0</v>
      </c>
    </row>
    <row r="1512" spans="1:10">
      <c r="A1512" s="203" t="s">
        <v>161</v>
      </c>
      <c r="B1512" s="203" t="s">
        <v>11</v>
      </c>
      <c r="C1512" s="204">
        <v>0.54861111111111116</v>
      </c>
      <c r="D1512" s="205">
        <v>0</v>
      </c>
      <c r="E1512" s="205">
        <v>0</v>
      </c>
      <c r="F1512" s="205">
        <v>0</v>
      </c>
      <c r="G1512" s="205">
        <v>0</v>
      </c>
      <c r="H1512" s="205">
        <v>0</v>
      </c>
      <c r="I1512" s="205">
        <v>0</v>
      </c>
      <c r="J1512" s="205">
        <v>0</v>
      </c>
    </row>
    <row r="1513" spans="1:10">
      <c r="A1513" s="203" t="s">
        <v>161</v>
      </c>
      <c r="B1513" s="203" t="s">
        <v>11</v>
      </c>
      <c r="C1513" s="204">
        <v>0.5493055555555556</v>
      </c>
      <c r="D1513" s="205">
        <v>0</v>
      </c>
      <c r="E1513" s="205">
        <v>0</v>
      </c>
      <c r="F1513" s="205">
        <v>0</v>
      </c>
      <c r="G1513" s="205">
        <v>0</v>
      </c>
      <c r="H1513" s="205">
        <v>0</v>
      </c>
      <c r="I1513" s="205">
        <v>0</v>
      </c>
      <c r="J1513" s="205">
        <v>0</v>
      </c>
    </row>
    <row r="1514" spans="1:10">
      <c r="A1514" s="203" t="s">
        <v>161</v>
      </c>
      <c r="B1514" s="203" t="s">
        <v>11</v>
      </c>
      <c r="C1514" s="204">
        <v>0.54236111111111107</v>
      </c>
      <c r="D1514" s="205">
        <v>0</v>
      </c>
      <c r="E1514" s="205">
        <v>0</v>
      </c>
      <c r="F1514" s="205">
        <v>0</v>
      </c>
      <c r="G1514" s="205">
        <v>0</v>
      </c>
      <c r="H1514" s="205">
        <v>0</v>
      </c>
      <c r="I1514" s="205">
        <v>0</v>
      </c>
      <c r="J1514" s="205">
        <v>0</v>
      </c>
    </row>
    <row r="1515" spans="1:10">
      <c r="A1515" s="203" t="s">
        <v>161</v>
      </c>
      <c r="B1515" s="203" t="s">
        <v>11</v>
      </c>
      <c r="C1515" s="204">
        <v>0.55069444444444449</v>
      </c>
      <c r="D1515" s="205">
        <v>0</v>
      </c>
      <c r="E1515" s="205">
        <v>0</v>
      </c>
      <c r="F1515" s="205">
        <v>0</v>
      </c>
      <c r="G1515" s="205">
        <v>0</v>
      </c>
      <c r="H1515" s="205">
        <v>0</v>
      </c>
      <c r="I1515" s="205">
        <v>0</v>
      </c>
      <c r="J1515" s="205">
        <v>0</v>
      </c>
    </row>
    <row r="1516" spans="1:10" s="78" customFormat="1">
      <c r="A1516" s="206" t="s">
        <v>161</v>
      </c>
      <c r="B1516" s="206" t="s">
        <v>11</v>
      </c>
      <c r="C1516" s="207">
        <v>0.55138888888888893</v>
      </c>
      <c r="D1516" s="205">
        <v>0</v>
      </c>
      <c r="E1516" s="205">
        <v>0</v>
      </c>
      <c r="F1516" s="205">
        <v>0</v>
      </c>
      <c r="G1516" s="205">
        <v>0</v>
      </c>
      <c r="H1516" s="205">
        <v>0</v>
      </c>
      <c r="I1516" s="205">
        <v>0</v>
      </c>
      <c r="J1516" s="205">
        <v>0</v>
      </c>
    </row>
    <row r="1517" spans="1:10">
      <c r="A1517" s="203" t="s">
        <v>161</v>
      </c>
      <c r="B1517" s="203" t="s">
        <v>11</v>
      </c>
      <c r="C1517" s="204">
        <v>0.55208333333333337</v>
      </c>
      <c r="D1517" s="209">
        <v>0</v>
      </c>
      <c r="E1517" s="209">
        <v>0</v>
      </c>
      <c r="F1517" s="209">
        <v>0</v>
      </c>
      <c r="G1517" s="209">
        <v>0</v>
      </c>
      <c r="H1517" s="209">
        <v>0</v>
      </c>
      <c r="I1517" s="209">
        <v>0</v>
      </c>
      <c r="J1517" s="209">
        <v>0</v>
      </c>
    </row>
    <row r="1518" spans="1:10">
      <c r="A1518" s="203" t="s">
        <v>161</v>
      </c>
      <c r="B1518" s="203" t="s">
        <v>11</v>
      </c>
      <c r="C1518" s="204">
        <v>0.55277777777777781</v>
      </c>
      <c r="D1518" s="205">
        <v>0</v>
      </c>
      <c r="E1518" s="205">
        <v>0</v>
      </c>
      <c r="F1518" s="205">
        <v>0</v>
      </c>
      <c r="G1518" s="205">
        <v>0</v>
      </c>
      <c r="H1518" s="205">
        <v>0</v>
      </c>
      <c r="I1518" s="205">
        <v>0</v>
      </c>
      <c r="J1518" s="205">
        <v>0</v>
      </c>
    </row>
    <row r="1519" spans="1:10">
      <c r="A1519" s="203" t="s">
        <v>161</v>
      </c>
      <c r="B1519" s="203" t="s">
        <v>11</v>
      </c>
      <c r="C1519" s="204">
        <v>0.55347222222222225</v>
      </c>
      <c r="D1519" s="205">
        <v>0</v>
      </c>
      <c r="E1519" s="205">
        <v>0</v>
      </c>
      <c r="F1519" s="205">
        <v>0</v>
      </c>
      <c r="G1519" s="205">
        <v>0</v>
      </c>
      <c r="H1519" s="205">
        <v>0</v>
      </c>
      <c r="I1519" s="205">
        <v>0</v>
      </c>
      <c r="J1519" s="205">
        <v>0</v>
      </c>
    </row>
    <row r="1520" spans="1:10">
      <c r="A1520" s="203" t="s">
        <v>161</v>
      </c>
      <c r="B1520" s="203" t="s">
        <v>11</v>
      </c>
      <c r="C1520" s="204">
        <v>0.5541666666666667</v>
      </c>
      <c r="D1520" s="205">
        <v>0</v>
      </c>
      <c r="E1520" s="205">
        <v>0</v>
      </c>
      <c r="F1520" s="205">
        <v>0</v>
      </c>
      <c r="G1520" s="205">
        <v>0</v>
      </c>
      <c r="H1520" s="205">
        <v>0</v>
      </c>
      <c r="I1520" s="205">
        <v>0</v>
      </c>
      <c r="J1520" s="205">
        <v>0</v>
      </c>
    </row>
    <row r="1521" spans="1:10">
      <c r="A1521" s="203" t="s">
        <v>161</v>
      </c>
      <c r="B1521" s="203" t="s">
        <v>11</v>
      </c>
      <c r="C1521" s="204">
        <v>0.55486111111111114</v>
      </c>
      <c r="D1521" s="205">
        <v>0</v>
      </c>
      <c r="E1521" s="205">
        <v>0</v>
      </c>
      <c r="F1521" s="205">
        <v>0</v>
      </c>
      <c r="G1521" s="205">
        <v>0</v>
      </c>
      <c r="H1521" s="205">
        <v>0</v>
      </c>
      <c r="I1521" s="205">
        <v>0</v>
      </c>
      <c r="J1521" s="205">
        <v>0</v>
      </c>
    </row>
    <row r="1522" spans="1:10">
      <c r="A1522" s="203" t="s">
        <v>161</v>
      </c>
      <c r="B1522" s="203" t="s">
        <v>11</v>
      </c>
      <c r="C1522" s="204">
        <v>0.55555555555555558</v>
      </c>
      <c r="D1522" s="205">
        <v>0</v>
      </c>
      <c r="E1522" s="205">
        <v>0</v>
      </c>
      <c r="F1522" s="205">
        <v>0</v>
      </c>
      <c r="G1522" s="205">
        <v>0</v>
      </c>
      <c r="H1522" s="205">
        <v>0</v>
      </c>
      <c r="I1522" s="205">
        <v>0</v>
      </c>
      <c r="J1522" s="205">
        <v>0</v>
      </c>
    </row>
    <row r="1523" spans="1:10">
      <c r="A1523" s="203" t="s">
        <v>161</v>
      </c>
      <c r="B1523" s="203" t="s">
        <v>11</v>
      </c>
      <c r="C1523" s="204">
        <v>0.55625000000000002</v>
      </c>
      <c r="D1523" s="205">
        <v>0</v>
      </c>
      <c r="E1523" s="205">
        <v>0</v>
      </c>
      <c r="F1523" s="205">
        <v>0</v>
      </c>
      <c r="G1523" s="205">
        <v>0</v>
      </c>
      <c r="H1523" s="205">
        <v>0</v>
      </c>
      <c r="I1523" s="205">
        <v>0</v>
      </c>
      <c r="J1523" s="205">
        <v>0</v>
      </c>
    </row>
    <row r="1524" spans="1:10">
      <c r="A1524" s="203" t="s">
        <v>161</v>
      </c>
      <c r="B1524" s="203" t="s">
        <v>11</v>
      </c>
      <c r="C1524" s="204">
        <v>0.55694444444444446</v>
      </c>
      <c r="D1524" s="205">
        <v>0</v>
      </c>
      <c r="E1524" s="205">
        <v>0</v>
      </c>
      <c r="F1524" s="205">
        <v>0</v>
      </c>
      <c r="G1524" s="205">
        <v>0</v>
      </c>
      <c r="H1524" s="205">
        <v>0</v>
      </c>
      <c r="I1524" s="205">
        <v>0</v>
      </c>
      <c r="J1524" s="205">
        <v>0</v>
      </c>
    </row>
    <row r="1525" spans="1:10">
      <c r="A1525" s="203" t="s">
        <v>161</v>
      </c>
      <c r="B1525" s="203" t="s">
        <v>11</v>
      </c>
      <c r="C1525" s="204">
        <v>0.55763888888888891</v>
      </c>
      <c r="D1525" s="205">
        <v>0</v>
      </c>
      <c r="E1525" s="205">
        <v>0</v>
      </c>
      <c r="F1525" s="205">
        <v>0</v>
      </c>
      <c r="G1525" s="205">
        <v>0</v>
      </c>
      <c r="H1525" s="205">
        <v>0</v>
      </c>
      <c r="I1525" s="205">
        <v>0</v>
      </c>
      <c r="J1525" s="205">
        <v>0</v>
      </c>
    </row>
    <row r="1526" spans="1:10">
      <c r="A1526" s="203" t="s">
        <v>161</v>
      </c>
      <c r="B1526" s="203" t="s">
        <v>11</v>
      </c>
      <c r="C1526" s="204">
        <v>0.55833333333333335</v>
      </c>
      <c r="D1526" s="205">
        <v>0</v>
      </c>
      <c r="E1526" s="205">
        <v>0</v>
      </c>
      <c r="F1526" s="205">
        <v>0</v>
      </c>
      <c r="G1526" s="205">
        <v>0</v>
      </c>
      <c r="H1526" s="205">
        <v>0</v>
      </c>
      <c r="I1526" s="205">
        <v>0</v>
      </c>
      <c r="J1526" s="205">
        <v>0</v>
      </c>
    </row>
    <row r="1527" spans="1:10">
      <c r="A1527" s="203" t="s">
        <v>161</v>
      </c>
      <c r="B1527" s="203" t="s">
        <v>11</v>
      </c>
      <c r="C1527" s="204">
        <v>0.55902777777777779</v>
      </c>
      <c r="D1527" s="205">
        <v>0</v>
      </c>
      <c r="E1527" s="205">
        <v>0</v>
      </c>
      <c r="F1527" s="205">
        <v>0</v>
      </c>
      <c r="G1527" s="205">
        <v>0</v>
      </c>
      <c r="H1527" s="205">
        <v>0</v>
      </c>
      <c r="I1527" s="205">
        <v>0</v>
      </c>
      <c r="J1527" s="205">
        <v>0</v>
      </c>
    </row>
    <row r="1528" spans="1:10">
      <c r="A1528" s="203" t="s">
        <v>161</v>
      </c>
      <c r="B1528" s="203" t="s">
        <v>11</v>
      </c>
      <c r="C1528" s="204">
        <v>0.55972222222222223</v>
      </c>
      <c r="D1528" s="205">
        <v>0</v>
      </c>
      <c r="E1528" s="205">
        <v>0</v>
      </c>
      <c r="F1528" s="205">
        <v>0</v>
      </c>
      <c r="G1528" s="205">
        <v>0</v>
      </c>
      <c r="H1528" s="205">
        <v>0</v>
      </c>
      <c r="I1528" s="205">
        <v>0</v>
      </c>
      <c r="J1528" s="205">
        <v>0</v>
      </c>
    </row>
    <row r="1529" spans="1:10">
      <c r="A1529" s="203" t="s">
        <v>161</v>
      </c>
      <c r="B1529" s="203" t="s">
        <v>11</v>
      </c>
      <c r="C1529" s="204">
        <v>0.56041666666666667</v>
      </c>
      <c r="D1529" s="205">
        <v>0</v>
      </c>
      <c r="E1529" s="205">
        <v>0</v>
      </c>
      <c r="F1529" s="205">
        <v>0</v>
      </c>
      <c r="G1529" s="205">
        <v>0</v>
      </c>
      <c r="H1529" s="205">
        <v>0</v>
      </c>
      <c r="I1529" s="205">
        <v>0</v>
      </c>
      <c r="J1529" s="205">
        <v>0</v>
      </c>
    </row>
    <row r="1530" spans="1:10">
      <c r="A1530" s="203" t="s">
        <v>161</v>
      </c>
      <c r="B1530" s="203" t="s">
        <v>11</v>
      </c>
      <c r="C1530" s="204">
        <v>0.56111111111111112</v>
      </c>
      <c r="D1530" s="205">
        <v>0</v>
      </c>
      <c r="E1530" s="205">
        <v>0</v>
      </c>
      <c r="F1530" s="205">
        <v>0</v>
      </c>
      <c r="G1530" s="205">
        <v>0</v>
      </c>
      <c r="H1530" s="205">
        <v>0</v>
      </c>
      <c r="I1530" s="205">
        <v>0</v>
      </c>
      <c r="J1530" s="205">
        <v>0</v>
      </c>
    </row>
    <row r="1531" spans="1:10" s="78" customFormat="1">
      <c r="A1531" s="206" t="s">
        <v>161</v>
      </c>
      <c r="B1531" s="206" t="s">
        <v>11</v>
      </c>
      <c r="C1531" s="207">
        <v>0.56180555555555556</v>
      </c>
      <c r="D1531" s="208">
        <v>0</v>
      </c>
      <c r="E1531" s="208">
        <v>0</v>
      </c>
      <c r="F1531" s="208">
        <v>0</v>
      </c>
      <c r="G1531" s="208">
        <v>0</v>
      </c>
      <c r="H1531" s="208">
        <v>0</v>
      </c>
      <c r="I1531" s="208">
        <v>0</v>
      </c>
      <c r="J1531" s="208">
        <v>0</v>
      </c>
    </row>
    <row r="1532" spans="1:10">
      <c r="A1532" s="203" t="s">
        <v>161</v>
      </c>
      <c r="B1532" s="203" t="s">
        <v>11</v>
      </c>
      <c r="C1532" s="204">
        <v>0.5625</v>
      </c>
      <c r="D1532" s="205">
        <v>0</v>
      </c>
      <c r="E1532" s="205">
        <v>0</v>
      </c>
      <c r="F1532" s="205">
        <v>0</v>
      </c>
      <c r="G1532" s="205">
        <v>0</v>
      </c>
      <c r="H1532" s="205">
        <v>0</v>
      </c>
      <c r="I1532" s="205">
        <v>0</v>
      </c>
      <c r="J1532" s="205">
        <v>0</v>
      </c>
    </row>
    <row r="1533" spans="1:10">
      <c r="A1533" s="203" t="s">
        <v>161</v>
      </c>
      <c r="B1533" s="203" t="s">
        <v>11</v>
      </c>
      <c r="C1533" s="204">
        <v>0.56319444444444444</v>
      </c>
      <c r="D1533" s="205">
        <v>0</v>
      </c>
      <c r="E1533" s="205">
        <v>0</v>
      </c>
      <c r="F1533" s="205">
        <v>0</v>
      </c>
      <c r="G1533" s="205">
        <v>0</v>
      </c>
      <c r="H1533" s="205">
        <v>0</v>
      </c>
      <c r="I1533" s="205">
        <v>0</v>
      </c>
      <c r="J1533" s="205">
        <v>0</v>
      </c>
    </row>
    <row r="1534" spans="1:10">
      <c r="A1534" s="203" t="s">
        <v>161</v>
      </c>
      <c r="B1534" s="203" t="s">
        <v>11</v>
      </c>
      <c r="C1534" s="204">
        <v>0.56388888888888888</v>
      </c>
      <c r="D1534" s="205">
        <v>0</v>
      </c>
      <c r="E1534" s="205">
        <v>0</v>
      </c>
      <c r="F1534" s="205">
        <v>0</v>
      </c>
      <c r="G1534" s="205">
        <v>0</v>
      </c>
      <c r="H1534" s="205">
        <v>0</v>
      </c>
      <c r="I1534" s="205">
        <v>0</v>
      </c>
      <c r="J1534" s="205">
        <v>0</v>
      </c>
    </row>
    <row r="1535" spans="1:10">
      <c r="A1535" s="203" t="s">
        <v>161</v>
      </c>
      <c r="B1535" s="203" t="s">
        <v>11</v>
      </c>
      <c r="C1535" s="204">
        <v>0.56458333333333333</v>
      </c>
      <c r="D1535" s="205">
        <v>0</v>
      </c>
      <c r="E1535" s="205">
        <v>0</v>
      </c>
      <c r="F1535" s="205">
        <v>0</v>
      </c>
      <c r="G1535" s="205">
        <v>0</v>
      </c>
      <c r="H1535" s="205">
        <v>0</v>
      </c>
      <c r="I1535" s="205">
        <v>0</v>
      </c>
      <c r="J1535" s="205">
        <v>0</v>
      </c>
    </row>
    <row r="1536" spans="1:10">
      <c r="A1536" s="203" t="s">
        <v>161</v>
      </c>
      <c r="B1536" s="203" t="s">
        <v>11</v>
      </c>
      <c r="C1536" s="204">
        <v>0.56527777777777777</v>
      </c>
      <c r="D1536" s="205">
        <v>0</v>
      </c>
      <c r="E1536" s="205">
        <v>0</v>
      </c>
      <c r="F1536" s="205">
        <v>0</v>
      </c>
      <c r="G1536" s="205">
        <v>0</v>
      </c>
      <c r="H1536" s="205">
        <v>0</v>
      </c>
      <c r="I1536" s="205">
        <v>0</v>
      </c>
      <c r="J1536" s="205">
        <v>0</v>
      </c>
    </row>
    <row r="1537" spans="1:10">
      <c r="A1537" s="203" t="s">
        <v>161</v>
      </c>
      <c r="B1537" s="203" t="s">
        <v>11</v>
      </c>
      <c r="C1537" s="204">
        <v>0.56597222222222221</v>
      </c>
      <c r="D1537" s="205">
        <v>0</v>
      </c>
      <c r="E1537" s="205">
        <v>0</v>
      </c>
      <c r="F1537" s="205">
        <v>0</v>
      </c>
      <c r="G1537" s="205">
        <v>0</v>
      </c>
      <c r="H1537" s="205">
        <v>0</v>
      </c>
      <c r="I1537" s="205">
        <v>0</v>
      </c>
      <c r="J1537" s="205">
        <v>0</v>
      </c>
    </row>
    <row r="1538" spans="1:10">
      <c r="A1538" s="203" t="s">
        <v>161</v>
      </c>
      <c r="B1538" s="203" t="s">
        <v>11</v>
      </c>
      <c r="C1538" s="204">
        <v>0.56666666666666665</v>
      </c>
      <c r="D1538" s="205">
        <v>0</v>
      </c>
      <c r="E1538" s="205">
        <v>0</v>
      </c>
      <c r="F1538" s="205">
        <v>0</v>
      </c>
      <c r="G1538" s="205">
        <v>0</v>
      </c>
      <c r="H1538" s="205">
        <v>0</v>
      </c>
      <c r="I1538" s="205">
        <v>0</v>
      </c>
      <c r="J1538" s="205">
        <v>0</v>
      </c>
    </row>
    <row r="1539" spans="1:10">
      <c r="A1539" s="203" t="s">
        <v>161</v>
      </c>
      <c r="B1539" s="203" t="s">
        <v>11</v>
      </c>
      <c r="C1539" s="204">
        <v>0.56736111111111109</v>
      </c>
      <c r="D1539" s="205">
        <v>0</v>
      </c>
      <c r="E1539" s="205">
        <v>0</v>
      </c>
      <c r="F1539" s="205">
        <v>0</v>
      </c>
      <c r="G1539" s="205">
        <v>0</v>
      </c>
      <c r="H1539" s="205">
        <v>0</v>
      </c>
      <c r="I1539" s="205">
        <v>0</v>
      </c>
      <c r="J1539" s="205">
        <v>0</v>
      </c>
    </row>
    <row r="1540" spans="1:10">
      <c r="A1540" s="203" t="s">
        <v>161</v>
      </c>
      <c r="B1540" s="203" t="s">
        <v>11</v>
      </c>
      <c r="C1540" s="204">
        <v>0.56805555555555554</v>
      </c>
      <c r="D1540" s="205">
        <v>0</v>
      </c>
      <c r="E1540" s="205">
        <v>0</v>
      </c>
      <c r="F1540" s="205">
        <v>0</v>
      </c>
      <c r="G1540" s="205">
        <v>0</v>
      </c>
      <c r="H1540" s="205">
        <v>0</v>
      </c>
      <c r="I1540" s="205">
        <v>0</v>
      </c>
      <c r="J1540" s="205">
        <v>0</v>
      </c>
    </row>
    <row r="1541" spans="1:10">
      <c r="A1541" s="203" t="s">
        <v>161</v>
      </c>
      <c r="B1541" s="203" t="s">
        <v>11</v>
      </c>
      <c r="C1541" s="204">
        <v>0.56874999999999998</v>
      </c>
      <c r="D1541" s="205">
        <v>0</v>
      </c>
      <c r="E1541" s="205">
        <v>0</v>
      </c>
      <c r="F1541" s="205">
        <v>0</v>
      </c>
      <c r="G1541" s="205">
        <v>0</v>
      </c>
      <c r="H1541" s="205">
        <v>0</v>
      </c>
      <c r="I1541" s="205">
        <v>0</v>
      </c>
      <c r="J1541" s="205">
        <v>0</v>
      </c>
    </row>
    <row r="1542" spans="1:10">
      <c r="A1542" s="203" t="s">
        <v>161</v>
      </c>
      <c r="B1542" s="203" t="s">
        <v>11</v>
      </c>
      <c r="C1542" s="204">
        <v>0.56944444444444442</v>
      </c>
      <c r="D1542" s="205">
        <v>0</v>
      </c>
      <c r="E1542" s="205">
        <v>0</v>
      </c>
      <c r="F1542" s="205">
        <v>0</v>
      </c>
      <c r="G1542" s="205">
        <v>0</v>
      </c>
      <c r="H1542" s="205">
        <v>0</v>
      </c>
      <c r="I1542" s="205">
        <v>0</v>
      </c>
      <c r="J1542" s="205">
        <v>0</v>
      </c>
    </row>
    <row r="1543" spans="1:10">
      <c r="A1543" s="203" t="s">
        <v>161</v>
      </c>
      <c r="B1543" s="203" t="s">
        <v>11</v>
      </c>
      <c r="C1543" s="204">
        <v>0.57013888888888886</v>
      </c>
      <c r="D1543" s="205">
        <v>0</v>
      </c>
      <c r="E1543" s="205">
        <v>0</v>
      </c>
      <c r="F1543" s="205">
        <v>0</v>
      </c>
      <c r="G1543" s="205">
        <v>0</v>
      </c>
      <c r="H1543" s="205">
        <v>0</v>
      </c>
      <c r="I1543" s="205">
        <v>0</v>
      </c>
      <c r="J1543" s="205">
        <v>0</v>
      </c>
    </row>
    <row r="1544" spans="1:10">
      <c r="A1544" s="203" t="s">
        <v>161</v>
      </c>
      <c r="B1544" s="203" t="s">
        <v>11</v>
      </c>
      <c r="C1544" s="204">
        <v>0.5708333333333333</v>
      </c>
      <c r="D1544" s="205">
        <v>0</v>
      </c>
      <c r="E1544" s="205">
        <v>0</v>
      </c>
      <c r="F1544" s="205">
        <v>0</v>
      </c>
      <c r="G1544" s="205">
        <v>0</v>
      </c>
      <c r="H1544" s="205">
        <v>0</v>
      </c>
      <c r="I1544" s="205">
        <v>0</v>
      </c>
      <c r="J1544" s="205">
        <v>0</v>
      </c>
    </row>
    <row r="1545" spans="1:10">
      <c r="A1545" s="203" t="s">
        <v>161</v>
      </c>
      <c r="B1545" s="203" t="s">
        <v>11</v>
      </c>
      <c r="C1545" s="204">
        <v>0.57152777777777775</v>
      </c>
      <c r="D1545" s="205">
        <v>0</v>
      </c>
      <c r="E1545" s="205">
        <v>0</v>
      </c>
      <c r="F1545" s="205">
        <v>0</v>
      </c>
      <c r="G1545" s="205">
        <v>0</v>
      </c>
      <c r="H1545" s="205">
        <v>0</v>
      </c>
      <c r="I1545" s="205">
        <v>0</v>
      </c>
      <c r="J1545" s="205">
        <v>0</v>
      </c>
    </row>
    <row r="1546" spans="1:10" s="78" customFormat="1">
      <c r="A1546" s="206" t="s">
        <v>161</v>
      </c>
      <c r="B1546" s="206" t="s">
        <v>11</v>
      </c>
      <c r="C1546" s="207">
        <v>0.57222222222222219</v>
      </c>
      <c r="D1546" s="205">
        <v>0</v>
      </c>
      <c r="E1546" s="205">
        <v>0</v>
      </c>
      <c r="F1546" s="205">
        <v>0</v>
      </c>
      <c r="G1546" s="205">
        <v>0</v>
      </c>
      <c r="H1546" s="205">
        <v>0</v>
      </c>
      <c r="I1546" s="205">
        <v>0</v>
      </c>
      <c r="J1546" s="205">
        <v>0</v>
      </c>
    </row>
    <row r="1547" spans="1:10">
      <c r="A1547" s="203" t="s">
        <v>161</v>
      </c>
      <c r="B1547" s="203" t="s">
        <v>11</v>
      </c>
      <c r="C1547" s="204">
        <v>0.57291666666666663</v>
      </c>
      <c r="D1547" s="209">
        <v>0</v>
      </c>
      <c r="E1547" s="209">
        <v>0</v>
      </c>
      <c r="F1547" s="209">
        <v>0</v>
      </c>
      <c r="G1547" s="209">
        <v>0</v>
      </c>
      <c r="H1547" s="209">
        <v>0</v>
      </c>
      <c r="I1547" s="209">
        <v>0</v>
      </c>
      <c r="J1547" s="209">
        <v>0</v>
      </c>
    </row>
    <row r="1548" spans="1:10">
      <c r="A1548" s="203" t="s">
        <v>161</v>
      </c>
      <c r="B1548" s="203" t="s">
        <v>11</v>
      </c>
      <c r="C1548" s="204">
        <v>0.57361111111111107</v>
      </c>
      <c r="D1548" s="205">
        <v>0</v>
      </c>
      <c r="E1548" s="205">
        <v>0</v>
      </c>
      <c r="F1548" s="205">
        <v>0</v>
      </c>
      <c r="G1548" s="205">
        <v>0</v>
      </c>
      <c r="H1548" s="205">
        <v>0</v>
      </c>
      <c r="I1548" s="205">
        <v>0</v>
      </c>
      <c r="J1548" s="205">
        <v>0</v>
      </c>
    </row>
    <row r="1549" spans="1:10">
      <c r="A1549" s="203" t="s">
        <v>161</v>
      </c>
      <c r="B1549" s="203" t="s">
        <v>11</v>
      </c>
      <c r="C1549" s="204">
        <v>0.57430555555555551</v>
      </c>
      <c r="D1549" s="205">
        <v>0</v>
      </c>
      <c r="E1549" s="205">
        <v>0</v>
      </c>
      <c r="F1549" s="205">
        <v>0</v>
      </c>
      <c r="G1549" s="205">
        <v>0</v>
      </c>
      <c r="H1549" s="205">
        <v>0</v>
      </c>
      <c r="I1549" s="205">
        <v>0</v>
      </c>
      <c r="J1549" s="205">
        <v>0</v>
      </c>
    </row>
    <row r="1550" spans="1:10">
      <c r="A1550" s="203" t="s">
        <v>161</v>
      </c>
      <c r="B1550" s="203" t="s">
        <v>11</v>
      </c>
      <c r="C1550" s="204">
        <v>0.57499999999999996</v>
      </c>
      <c r="D1550" s="205">
        <v>0</v>
      </c>
      <c r="E1550" s="205">
        <v>0</v>
      </c>
      <c r="F1550" s="205">
        <v>0</v>
      </c>
      <c r="G1550" s="205">
        <v>0</v>
      </c>
      <c r="H1550" s="205">
        <v>0</v>
      </c>
      <c r="I1550" s="205">
        <v>0</v>
      </c>
      <c r="J1550" s="205">
        <v>0</v>
      </c>
    </row>
    <row r="1551" spans="1:10">
      <c r="A1551" s="203" t="s">
        <v>161</v>
      </c>
      <c r="B1551" s="203" t="s">
        <v>11</v>
      </c>
      <c r="C1551" s="204">
        <v>0.5756944444444444</v>
      </c>
      <c r="D1551" s="205">
        <v>0</v>
      </c>
      <c r="E1551" s="205">
        <v>0</v>
      </c>
      <c r="F1551" s="205">
        <v>0</v>
      </c>
      <c r="G1551" s="205">
        <v>0</v>
      </c>
      <c r="H1551" s="205">
        <v>0</v>
      </c>
      <c r="I1551" s="205">
        <v>0</v>
      </c>
      <c r="J1551" s="205">
        <v>0</v>
      </c>
    </row>
    <row r="1552" spans="1:10">
      <c r="A1552" s="203" t="s">
        <v>161</v>
      </c>
      <c r="B1552" s="203" t="s">
        <v>11</v>
      </c>
      <c r="C1552" s="204">
        <v>0.57638888888888884</v>
      </c>
      <c r="D1552" s="205">
        <v>0</v>
      </c>
      <c r="E1552" s="205">
        <v>0</v>
      </c>
      <c r="F1552" s="205">
        <v>0</v>
      </c>
      <c r="G1552" s="205">
        <v>0</v>
      </c>
      <c r="H1552" s="205">
        <v>0</v>
      </c>
      <c r="I1552" s="205">
        <v>0</v>
      </c>
      <c r="J1552" s="205">
        <v>0</v>
      </c>
    </row>
    <row r="1553" spans="1:10">
      <c r="A1553" s="203" t="s">
        <v>161</v>
      </c>
      <c r="B1553" s="203" t="s">
        <v>11</v>
      </c>
      <c r="C1553" s="204">
        <v>0.57708333333333328</v>
      </c>
      <c r="D1553" s="205">
        <v>0</v>
      </c>
      <c r="E1553" s="205">
        <v>0</v>
      </c>
      <c r="F1553" s="205">
        <v>0</v>
      </c>
      <c r="G1553" s="205">
        <v>0</v>
      </c>
      <c r="H1553" s="205">
        <v>0</v>
      </c>
      <c r="I1553" s="205">
        <v>0</v>
      </c>
      <c r="J1553" s="205">
        <v>0</v>
      </c>
    </row>
    <row r="1554" spans="1:10">
      <c r="A1554" s="203" t="s">
        <v>161</v>
      </c>
      <c r="B1554" s="203" t="s">
        <v>11</v>
      </c>
      <c r="C1554" s="204">
        <v>0.57777777777777772</v>
      </c>
      <c r="D1554" s="205">
        <v>0</v>
      </c>
      <c r="E1554" s="205">
        <v>0</v>
      </c>
      <c r="F1554" s="205">
        <v>0</v>
      </c>
      <c r="G1554" s="205">
        <v>0</v>
      </c>
      <c r="H1554" s="205">
        <v>0</v>
      </c>
      <c r="I1554" s="205">
        <v>0</v>
      </c>
      <c r="J1554" s="205">
        <v>0</v>
      </c>
    </row>
    <row r="1555" spans="1:10">
      <c r="A1555" s="203" t="s">
        <v>161</v>
      </c>
      <c r="B1555" s="203" t="s">
        <v>11</v>
      </c>
      <c r="C1555" s="204">
        <v>0.57847222222222228</v>
      </c>
      <c r="D1555" s="205">
        <v>0</v>
      </c>
      <c r="E1555" s="205">
        <v>0</v>
      </c>
      <c r="F1555" s="205">
        <v>0</v>
      </c>
      <c r="G1555" s="205">
        <v>0</v>
      </c>
      <c r="H1555" s="205">
        <v>0</v>
      </c>
      <c r="I1555" s="205">
        <v>0</v>
      </c>
      <c r="J1555" s="205">
        <v>0</v>
      </c>
    </row>
    <row r="1556" spans="1:10">
      <c r="A1556" s="203" t="s">
        <v>161</v>
      </c>
      <c r="B1556" s="203" t="s">
        <v>11</v>
      </c>
      <c r="C1556" s="204">
        <v>0.57916666666666672</v>
      </c>
      <c r="D1556" s="205">
        <v>0</v>
      </c>
      <c r="E1556" s="205">
        <v>0</v>
      </c>
      <c r="F1556" s="205">
        <v>0</v>
      </c>
      <c r="G1556" s="205">
        <v>0</v>
      </c>
      <c r="H1556" s="205">
        <v>0</v>
      </c>
      <c r="I1556" s="205">
        <v>0</v>
      </c>
      <c r="J1556" s="205">
        <v>0</v>
      </c>
    </row>
    <row r="1557" spans="1:10">
      <c r="A1557" s="203" t="s">
        <v>161</v>
      </c>
      <c r="B1557" s="203" t="s">
        <v>11</v>
      </c>
      <c r="C1557" s="204">
        <v>0.57986111111111116</v>
      </c>
      <c r="D1557" s="205">
        <v>0</v>
      </c>
      <c r="E1557" s="205">
        <v>0</v>
      </c>
      <c r="F1557" s="205">
        <v>0</v>
      </c>
      <c r="G1557" s="205">
        <v>0</v>
      </c>
      <c r="H1557" s="205">
        <v>0</v>
      </c>
      <c r="I1557" s="205">
        <v>0</v>
      </c>
      <c r="J1557" s="205">
        <v>0</v>
      </c>
    </row>
    <row r="1558" spans="1:10">
      <c r="A1558" s="203" t="s">
        <v>161</v>
      </c>
      <c r="B1558" s="203" t="s">
        <v>11</v>
      </c>
      <c r="C1558" s="204">
        <v>0.5805555555555556</v>
      </c>
      <c r="D1558" s="205">
        <v>0</v>
      </c>
      <c r="E1558" s="205">
        <v>0</v>
      </c>
      <c r="F1558" s="205">
        <v>0</v>
      </c>
      <c r="G1558" s="205">
        <v>0</v>
      </c>
      <c r="H1558" s="205">
        <v>0</v>
      </c>
      <c r="I1558" s="205">
        <v>0</v>
      </c>
      <c r="J1558" s="205">
        <v>0</v>
      </c>
    </row>
    <row r="1559" spans="1:10">
      <c r="A1559" s="203" t="s">
        <v>161</v>
      </c>
      <c r="B1559" s="203" t="s">
        <v>11</v>
      </c>
      <c r="C1559" s="204">
        <v>0.58125000000000004</v>
      </c>
      <c r="D1559" s="205">
        <v>0</v>
      </c>
      <c r="E1559" s="205">
        <v>0</v>
      </c>
      <c r="F1559" s="205">
        <v>0</v>
      </c>
      <c r="G1559" s="205">
        <v>0</v>
      </c>
      <c r="H1559" s="205">
        <v>0</v>
      </c>
      <c r="I1559" s="205">
        <v>0</v>
      </c>
      <c r="J1559" s="205">
        <v>0</v>
      </c>
    </row>
    <row r="1560" spans="1:10">
      <c r="A1560" s="203" t="s">
        <v>161</v>
      </c>
      <c r="B1560" s="203" t="s">
        <v>11</v>
      </c>
      <c r="C1560" s="204">
        <v>0.58194444444444449</v>
      </c>
      <c r="D1560" s="205">
        <v>0</v>
      </c>
      <c r="E1560" s="205">
        <v>0</v>
      </c>
      <c r="F1560" s="205">
        <v>0</v>
      </c>
      <c r="G1560" s="205">
        <v>0</v>
      </c>
      <c r="H1560" s="205">
        <v>0</v>
      </c>
      <c r="I1560" s="205">
        <v>0</v>
      </c>
      <c r="J1560" s="205">
        <v>0</v>
      </c>
    </row>
    <row r="1561" spans="1:10" s="28" customFormat="1" ht="17.5" thickBot="1">
      <c r="A1561" s="210" t="s">
        <v>161</v>
      </c>
      <c r="B1561" s="210" t="s">
        <v>11</v>
      </c>
      <c r="C1561" s="211">
        <v>0.58263888888888893</v>
      </c>
      <c r="D1561" s="212">
        <v>0</v>
      </c>
      <c r="E1561" s="212">
        <v>0</v>
      </c>
      <c r="F1561" s="212">
        <v>0</v>
      </c>
      <c r="G1561" s="212">
        <v>0</v>
      </c>
      <c r="H1561" s="212">
        <v>0</v>
      </c>
      <c r="I1561" s="212">
        <v>0</v>
      </c>
      <c r="J1561" s="212">
        <v>0</v>
      </c>
    </row>
    <row r="1562" spans="1:10">
      <c r="A1562" s="203" t="s">
        <v>161</v>
      </c>
      <c r="B1562" s="203" t="s">
        <v>12</v>
      </c>
      <c r="C1562" s="204">
        <v>0.5</v>
      </c>
      <c r="D1562" s="205">
        <v>0</v>
      </c>
      <c r="E1562" s="205">
        <v>0</v>
      </c>
      <c r="F1562" s="205">
        <v>0</v>
      </c>
      <c r="G1562" s="205">
        <v>0</v>
      </c>
      <c r="H1562" s="205">
        <v>0</v>
      </c>
      <c r="I1562" s="205">
        <v>0</v>
      </c>
      <c r="J1562" s="205">
        <v>0</v>
      </c>
    </row>
    <row r="1563" spans="1:10">
      <c r="A1563" s="203" t="s">
        <v>161</v>
      </c>
      <c r="B1563" s="203" t="s">
        <v>12</v>
      </c>
      <c r="C1563" s="204">
        <v>0.50069444444444444</v>
      </c>
      <c r="D1563" s="205">
        <v>0</v>
      </c>
      <c r="E1563" s="205">
        <v>0</v>
      </c>
      <c r="F1563" s="205">
        <v>0</v>
      </c>
      <c r="G1563" s="205">
        <v>0</v>
      </c>
      <c r="H1563" s="205">
        <v>0</v>
      </c>
      <c r="I1563" s="205">
        <v>0</v>
      </c>
      <c r="J1563" s="205">
        <v>0</v>
      </c>
    </row>
    <row r="1564" spans="1:10">
      <c r="A1564" s="203" t="s">
        <v>161</v>
      </c>
      <c r="B1564" s="203" t="s">
        <v>12</v>
      </c>
      <c r="C1564" s="204">
        <v>0.50138888888888899</v>
      </c>
      <c r="D1564" s="205">
        <v>0</v>
      </c>
      <c r="E1564" s="205">
        <v>0</v>
      </c>
      <c r="F1564" s="205">
        <v>0</v>
      </c>
      <c r="G1564" s="205">
        <v>0</v>
      </c>
      <c r="H1564" s="205">
        <v>0</v>
      </c>
      <c r="I1564" s="205">
        <v>0</v>
      </c>
      <c r="J1564" s="205">
        <v>0</v>
      </c>
    </row>
    <row r="1565" spans="1:10">
      <c r="A1565" s="203" t="s">
        <v>161</v>
      </c>
      <c r="B1565" s="203" t="s">
        <v>12</v>
      </c>
      <c r="C1565" s="204">
        <v>0.50208333333333299</v>
      </c>
      <c r="D1565" s="205">
        <v>0</v>
      </c>
      <c r="E1565" s="205">
        <v>0</v>
      </c>
      <c r="F1565" s="205">
        <v>0</v>
      </c>
      <c r="G1565" s="205">
        <v>0</v>
      </c>
      <c r="H1565" s="205">
        <v>0</v>
      </c>
      <c r="I1565" s="205">
        <v>0</v>
      </c>
      <c r="J1565" s="205">
        <v>0</v>
      </c>
    </row>
    <row r="1566" spans="1:10">
      <c r="A1566" s="203" t="s">
        <v>161</v>
      </c>
      <c r="B1566" s="203" t="s">
        <v>12</v>
      </c>
      <c r="C1566" s="204">
        <v>0.50277777777777799</v>
      </c>
      <c r="D1566" s="205">
        <v>0</v>
      </c>
      <c r="E1566" s="205">
        <v>0</v>
      </c>
      <c r="F1566" s="205">
        <v>0</v>
      </c>
      <c r="G1566" s="205">
        <v>0</v>
      </c>
      <c r="H1566" s="205">
        <v>0</v>
      </c>
      <c r="I1566" s="205">
        <v>0</v>
      </c>
      <c r="J1566" s="205">
        <v>0</v>
      </c>
    </row>
    <row r="1567" spans="1:10">
      <c r="A1567" s="203" t="s">
        <v>161</v>
      </c>
      <c r="B1567" s="203" t="s">
        <v>12</v>
      </c>
      <c r="C1567" s="204">
        <v>0.50347222222222199</v>
      </c>
      <c r="D1567" s="205">
        <v>0</v>
      </c>
      <c r="E1567" s="205">
        <v>0</v>
      </c>
      <c r="F1567" s="205">
        <v>0</v>
      </c>
      <c r="G1567" s="205">
        <v>0</v>
      </c>
      <c r="H1567" s="205">
        <v>0</v>
      </c>
      <c r="I1567" s="205">
        <v>0</v>
      </c>
      <c r="J1567" s="205">
        <v>0</v>
      </c>
    </row>
    <row r="1568" spans="1:10">
      <c r="A1568" s="203" t="s">
        <v>161</v>
      </c>
      <c r="B1568" s="203" t="s">
        <v>12</v>
      </c>
      <c r="C1568" s="204">
        <v>0.50416666666666698</v>
      </c>
      <c r="D1568" s="205">
        <v>0</v>
      </c>
      <c r="E1568" s="205">
        <v>0</v>
      </c>
      <c r="F1568" s="205">
        <v>0</v>
      </c>
      <c r="G1568" s="205">
        <v>0</v>
      </c>
      <c r="H1568" s="205">
        <v>0</v>
      </c>
      <c r="I1568" s="205">
        <v>0</v>
      </c>
      <c r="J1568" s="205">
        <v>0</v>
      </c>
    </row>
    <row r="1569" spans="1:10">
      <c r="A1569" s="203" t="s">
        <v>161</v>
      </c>
      <c r="B1569" s="203" t="s">
        <v>12</v>
      </c>
      <c r="C1569" s="204">
        <v>0.50486111111111098</v>
      </c>
      <c r="D1569" s="205">
        <v>0</v>
      </c>
      <c r="E1569" s="205">
        <v>0</v>
      </c>
      <c r="F1569" s="205">
        <v>0</v>
      </c>
      <c r="G1569" s="205">
        <v>0</v>
      </c>
      <c r="H1569" s="205">
        <v>0</v>
      </c>
      <c r="I1569" s="205">
        <v>0</v>
      </c>
      <c r="J1569" s="205">
        <v>0</v>
      </c>
    </row>
    <row r="1570" spans="1:10">
      <c r="A1570" s="203" t="s">
        <v>161</v>
      </c>
      <c r="B1570" s="203" t="s">
        <v>12</v>
      </c>
      <c r="C1570" s="204">
        <v>0.50555555555555598</v>
      </c>
      <c r="D1570" s="205">
        <v>0</v>
      </c>
      <c r="E1570" s="205">
        <v>0</v>
      </c>
      <c r="F1570" s="205">
        <v>0</v>
      </c>
      <c r="G1570" s="205">
        <v>0</v>
      </c>
      <c r="H1570" s="205">
        <v>0</v>
      </c>
      <c r="I1570" s="205">
        <v>0</v>
      </c>
      <c r="J1570" s="205">
        <v>0</v>
      </c>
    </row>
    <row r="1571" spans="1:10">
      <c r="A1571" s="203" t="s">
        <v>161</v>
      </c>
      <c r="B1571" s="203" t="s">
        <v>12</v>
      </c>
      <c r="C1571" s="204">
        <v>0.50624999999999998</v>
      </c>
      <c r="D1571" s="205">
        <v>0</v>
      </c>
      <c r="E1571" s="205">
        <v>0</v>
      </c>
      <c r="F1571" s="205">
        <v>0</v>
      </c>
      <c r="G1571" s="205">
        <v>0</v>
      </c>
      <c r="H1571" s="205">
        <v>0</v>
      </c>
      <c r="I1571" s="205">
        <v>0</v>
      </c>
      <c r="J1571" s="205">
        <v>0</v>
      </c>
    </row>
    <row r="1572" spans="1:10">
      <c r="A1572" s="203" t="s">
        <v>161</v>
      </c>
      <c r="B1572" s="203" t="s">
        <v>12</v>
      </c>
      <c r="C1572" s="204">
        <v>0.50694444444444398</v>
      </c>
      <c r="D1572" s="205">
        <v>0</v>
      </c>
      <c r="E1572" s="205">
        <v>0</v>
      </c>
      <c r="F1572" s="205">
        <v>0</v>
      </c>
      <c r="G1572" s="205">
        <v>0</v>
      </c>
      <c r="H1572" s="205">
        <v>0</v>
      </c>
      <c r="I1572" s="205">
        <v>0</v>
      </c>
      <c r="J1572" s="205">
        <v>0</v>
      </c>
    </row>
    <row r="1573" spans="1:10">
      <c r="A1573" s="203" t="s">
        <v>161</v>
      </c>
      <c r="B1573" s="203" t="s">
        <v>12</v>
      </c>
      <c r="C1573" s="204">
        <v>0.50763888888888897</v>
      </c>
      <c r="D1573" s="205">
        <v>0</v>
      </c>
      <c r="E1573" s="205">
        <v>0</v>
      </c>
      <c r="F1573" s="205">
        <v>0</v>
      </c>
      <c r="G1573" s="205">
        <v>0</v>
      </c>
      <c r="H1573" s="205">
        <v>0</v>
      </c>
      <c r="I1573" s="205">
        <v>0</v>
      </c>
      <c r="J1573" s="205">
        <v>0</v>
      </c>
    </row>
    <row r="1574" spans="1:10">
      <c r="A1574" s="203" t="s">
        <v>161</v>
      </c>
      <c r="B1574" s="203" t="s">
        <v>12</v>
      </c>
      <c r="C1574" s="204">
        <v>0.50833333333333297</v>
      </c>
      <c r="D1574" s="205">
        <v>0</v>
      </c>
      <c r="E1574" s="205">
        <v>0</v>
      </c>
      <c r="F1574" s="205">
        <v>0</v>
      </c>
      <c r="G1574" s="205">
        <v>0</v>
      </c>
      <c r="H1574" s="205">
        <v>0</v>
      </c>
      <c r="I1574" s="205">
        <v>0</v>
      </c>
      <c r="J1574" s="205">
        <v>0</v>
      </c>
    </row>
    <row r="1575" spans="1:10">
      <c r="A1575" s="203" t="s">
        <v>161</v>
      </c>
      <c r="B1575" s="203" t="s">
        <v>12</v>
      </c>
      <c r="C1575" s="204">
        <v>0.50902777777777797</v>
      </c>
      <c r="D1575" s="205">
        <v>0</v>
      </c>
      <c r="E1575" s="205">
        <v>0</v>
      </c>
      <c r="F1575" s="205">
        <v>0</v>
      </c>
      <c r="G1575" s="205">
        <v>0</v>
      </c>
      <c r="H1575" s="205">
        <v>0</v>
      </c>
      <c r="I1575" s="205">
        <v>0</v>
      </c>
      <c r="J1575" s="205">
        <v>0</v>
      </c>
    </row>
    <row r="1576" spans="1:10">
      <c r="A1576" s="206" t="s">
        <v>161</v>
      </c>
      <c r="B1576" s="206" t="s">
        <v>12</v>
      </c>
      <c r="C1576" s="207">
        <v>0.50972222222222197</v>
      </c>
      <c r="D1576" s="205">
        <v>0</v>
      </c>
      <c r="E1576" s="205">
        <v>0</v>
      </c>
      <c r="F1576" s="205">
        <v>0</v>
      </c>
      <c r="G1576" s="205">
        <v>0</v>
      </c>
      <c r="H1576" s="205">
        <v>0</v>
      </c>
      <c r="I1576" s="205">
        <v>0</v>
      </c>
      <c r="J1576" s="205">
        <v>0</v>
      </c>
    </row>
    <row r="1577" spans="1:10">
      <c r="A1577" s="203" t="s">
        <v>161</v>
      </c>
      <c r="B1577" s="203" t="s">
        <v>12</v>
      </c>
      <c r="C1577" s="204">
        <v>0.51041666666666663</v>
      </c>
      <c r="D1577" s="209">
        <v>0</v>
      </c>
      <c r="E1577" s="209">
        <v>0</v>
      </c>
      <c r="F1577" s="209">
        <v>0</v>
      </c>
      <c r="G1577" s="209">
        <v>0</v>
      </c>
      <c r="H1577" s="209">
        <v>0</v>
      </c>
      <c r="I1577" s="209">
        <v>0</v>
      </c>
      <c r="J1577" s="209">
        <v>0</v>
      </c>
    </row>
    <row r="1578" spans="1:10">
      <c r="A1578" s="203" t="s">
        <v>161</v>
      </c>
      <c r="B1578" s="203" t="s">
        <v>12</v>
      </c>
      <c r="C1578" s="204">
        <v>0.51111111111111107</v>
      </c>
      <c r="D1578" s="205">
        <v>0</v>
      </c>
      <c r="E1578" s="205">
        <v>0</v>
      </c>
      <c r="F1578" s="205">
        <v>0</v>
      </c>
      <c r="G1578" s="205">
        <v>0</v>
      </c>
      <c r="H1578" s="205">
        <v>0</v>
      </c>
      <c r="I1578" s="205">
        <v>0</v>
      </c>
      <c r="J1578" s="205">
        <v>0</v>
      </c>
    </row>
    <row r="1579" spans="1:10">
      <c r="A1579" s="203" t="s">
        <v>161</v>
      </c>
      <c r="B1579" s="203" t="s">
        <v>12</v>
      </c>
      <c r="C1579" s="204">
        <v>0.51180555555555551</v>
      </c>
      <c r="D1579" s="205">
        <v>0</v>
      </c>
      <c r="E1579" s="205">
        <v>0</v>
      </c>
      <c r="F1579" s="205">
        <v>0</v>
      </c>
      <c r="G1579" s="205">
        <v>0</v>
      </c>
      <c r="H1579" s="205">
        <v>0</v>
      </c>
      <c r="I1579" s="205">
        <v>0</v>
      </c>
      <c r="J1579" s="205">
        <v>0</v>
      </c>
    </row>
    <row r="1580" spans="1:10">
      <c r="A1580" s="203" t="s">
        <v>161</v>
      </c>
      <c r="B1580" s="203" t="s">
        <v>12</v>
      </c>
      <c r="C1580" s="204">
        <v>0.51249999999999996</v>
      </c>
      <c r="D1580" s="205">
        <v>0</v>
      </c>
      <c r="E1580" s="205">
        <v>0</v>
      </c>
      <c r="F1580" s="205">
        <v>0</v>
      </c>
      <c r="G1580" s="205">
        <v>0</v>
      </c>
      <c r="H1580" s="205">
        <v>0</v>
      </c>
      <c r="I1580" s="205">
        <v>0</v>
      </c>
      <c r="J1580" s="205">
        <v>0</v>
      </c>
    </row>
    <row r="1581" spans="1:10">
      <c r="A1581" s="203" t="s">
        <v>161</v>
      </c>
      <c r="B1581" s="203" t="s">
        <v>12</v>
      </c>
      <c r="C1581" s="204">
        <v>0.5131944444444444</v>
      </c>
      <c r="D1581" s="205">
        <v>0</v>
      </c>
      <c r="E1581" s="205">
        <v>0</v>
      </c>
      <c r="F1581" s="205">
        <v>0</v>
      </c>
      <c r="G1581" s="205">
        <v>0</v>
      </c>
      <c r="H1581" s="205">
        <v>0</v>
      </c>
      <c r="I1581" s="205">
        <v>0</v>
      </c>
      <c r="J1581" s="205">
        <v>0</v>
      </c>
    </row>
    <row r="1582" spans="1:10">
      <c r="A1582" s="203" t="s">
        <v>161</v>
      </c>
      <c r="B1582" s="203" t="s">
        <v>12</v>
      </c>
      <c r="C1582" s="204">
        <v>0.51388888888888884</v>
      </c>
      <c r="D1582" s="205">
        <v>0</v>
      </c>
      <c r="E1582" s="205">
        <v>0</v>
      </c>
      <c r="F1582" s="205">
        <v>0</v>
      </c>
      <c r="G1582" s="205">
        <v>0</v>
      </c>
      <c r="H1582" s="205">
        <v>0</v>
      </c>
      <c r="I1582" s="205">
        <v>0</v>
      </c>
      <c r="J1582" s="205">
        <v>0</v>
      </c>
    </row>
    <row r="1583" spans="1:10">
      <c r="A1583" s="203" t="s">
        <v>161</v>
      </c>
      <c r="B1583" s="203" t="s">
        <v>12</v>
      </c>
      <c r="C1583" s="204">
        <v>0.51458333333333328</v>
      </c>
      <c r="D1583" s="205">
        <v>0</v>
      </c>
      <c r="E1583" s="205">
        <v>0</v>
      </c>
      <c r="F1583" s="205">
        <v>0</v>
      </c>
      <c r="G1583" s="205">
        <v>0</v>
      </c>
      <c r="H1583" s="205">
        <v>0</v>
      </c>
      <c r="I1583" s="205">
        <v>0</v>
      </c>
      <c r="J1583" s="205">
        <v>0</v>
      </c>
    </row>
    <row r="1584" spans="1:10">
      <c r="A1584" s="203" t="s">
        <v>161</v>
      </c>
      <c r="B1584" s="203" t="s">
        <v>12</v>
      </c>
      <c r="C1584" s="204">
        <v>0.51527777777777772</v>
      </c>
      <c r="D1584" s="205">
        <v>0</v>
      </c>
      <c r="E1584" s="205">
        <v>0</v>
      </c>
      <c r="F1584" s="205">
        <v>0</v>
      </c>
      <c r="G1584" s="205">
        <v>0</v>
      </c>
      <c r="H1584" s="205">
        <v>0</v>
      </c>
      <c r="I1584" s="205">
        <v>0</v>
      </c>
      <c r="J1584" s="205">
        <v>0</v>
      </c>
    </row>
    <row r="1585" spans="1:10">
      <c r="A1585" s="203" t="s">
        <v>161</v>
      </c>
      <c r="B1585" s="203" t="s">
        <v>12</v>
      </c>
      <c r="C1585" s="204">
        <v>0.51597222222222228</v>
      </c>
      <c r="D1585" s="205">
        <v>0</v>
      </c>
      <c r="E1585" s="205">
        <v>0</v>
      </c>
      <c r="F1585" s="205">
        <v>0</v>
      </c>
      <c r="G1585" s="205">
        <v>0</v>
      </c>
      <c r="H1585" s="205">
        <v>0</v>
      </c>
      <c r="I1585" s="205">
        <v>0</v>
      </c>
      <c r="J1585" s="205">
        <v>0</v>
      </c>
    </row>
    <row r="1586" spans="1:10">
      <c r="A1586" s="203" t="s">
        <v>161</v>
      </c>
      <c r="B1586" s="203" t="s">
        <v>12</v>
      </c>
      <c r="C1586" s="204">
        <v>0.51666666666666672</v>
      </c>
      <c r="D1586" s="205">
        <v>0</v>
      </c>
      <c r="E1586" s="205">
        <v>0</v>
      </c>
      <c r="F1586" s="205">
        <v>0</v>
      </c>
      <c r="G1586" s="205">
        <v>0</v>
      </c>
      <c r="H1586" s="205">
        <v>0</v>
      </c>
      <c r="I1586" s="205">
        <v>0</v>
      </c>
      <c r="J1586" s="205">
        <v>0</v>
      </c>
    </row>
    <row r="1587" spans="1:10">
      <c r="A1587" s="203" t="s">
        <v>161</v>
      </c>
      <c r="B1587" s="203" t="s">
        <v>12</v>
      </c>
      <c r="C1587" s="204">
        <v>0.51736111111111116</v>
      </c>
      <c r="D1587" s="205">
        <v>0</v>
      </c>
      <c r="E1587" s="205">
        <v>0</v>
      </c>
      <c r="F1587" s="205">
        <v>0</v>
      </c>
      <c r="G1587" s="205">
        <v>0</v>
      </c>
      <c r="H1587" s="205">
        <v>0</v>
      </c>
      <c r="I1587" s="205">
        <v>0</v>
      </c>
      <c r="J1587" s="205">
        <v>0</v>
      </c>
    </row>
    <row r="1588" spans="1:10">
      <c r="A1588" s="203" t="s">
        <v>161</v>
      </c>
      <c r="B1588" s="203" t="s">
        <v>12</v>
      </c>
      <c r="C1588" s="204">
        <v>0.5180555555555556</v>
      </c>
      <c r="D1588" s="205">
        <v>0</v>
      </c>
      <c r="E1588" s="205">
        <v>0</v>
      </c>
      <c r="F1588" s="205">
        <v>0</v>
      </c>
      <c r="G1588" s="205">
        <v>0</v>
      </c>
      <c r="H1588" s="205">
        <v>0</v>
      </c>
      <c r="I1588" s="205">
        <v>0</v>
      </c>
      <c r="J1588" s="205">
        <v>0</v>
      </c>
    </row>
    <row r="1589" spans="1:10">
      <c r="A1589" s="203" t="s">
        <v>161</v>
      </c>
      <c r="B1589" s="203" t="s">
        <v>12</v>
      </c>
      <c r="C1589" s="204">
        <v>0.51875000000000004</v>
      </c>
      <c r="D1589" s="205">
        <v>0</v>
      </c>
      <c r="E1589" s="205">
        <v>0</v>
      </c>
      <c r="F1589" s="205">
        <v>0</v>
      </c>
      <c r="G1589" s="205">
        <v>0</v>
      </c>
      <c r="H1589" s="205">
        <v>0</v>
      </c>
      <c r="I1589" s="205">
        <v>0</v>
      </c>
      <c r="J1589" s="205">
        <v>0</v>
      </c>
    </row>
    <row r="1590" spans="1:10">
      <c r="A1590" s="203" t="s">
        <v>161</v>
      </c>
      <c r="B1590" s="203" t="s">
        <v>12</v>
      </c>
      <c r="C1590" s="204">
        <v>0.51944444444444449</v>
      </c>
      <c r="D1590" s="205">
        <v>0</v>
      </c>
      <c r="E1590" s="205">
        <v>0</v>
      </c>
      <c r="F1590" s="205">
        <v>0</v>
      </c>
      <c r="G1590" s="205">
        <v>0</v>
      </c>
      <c r="H1590" s="205">
        <v>0</v>
      </c>
      <c r="I1590" s="205">
        <v>0</v>
      </c>
      <c r="J1590" s="205">
        <v>0</v>
      </c>
    </row>
    <row r="1591" spans="1:10" s="78" customFormat="1">
      <c r="A1591" s="206" t="s">
        <v>161</v>
      </c>
      <c r="B1591" s="206" t="s">
        <v>12</v>
      </c>
      <c r="C1591" s="207">
        <v>0.52013888888888893</v>
      </c>
      <c r="D1591" s="208">
        <v>0</v>
      </c>
      <c r="E1591" s="208">
        <v>0</v>
      </c>
      <c r="F1591" s="208">
        <v>0</v>
      </c>
      <c r="G1591" s="208">
        <v>0</v>
      </c>
      <c r="H1591" s="208">
        <v>0</v>
      </c>
      <c r="I1591" s="208">
        <v>0</v>
      </c>
      <c r="J1591" s="208">
        <v>0</v>
      </c>
    </row>
    <row r="1592" spans="1:10">
      <c r="A1592" s="203" t="s">
        <v>161</v>
      </c>
      <c r="B1592" s="203" t="s">
        <v>12</v>
      </c>
      <c r="C1592" s="204">
        <v>0.52083333333333337</v>
      </c>
      <c r="D1592" s="205">
        <v>0</v>
      </c>
      <c r="E1592" s="205">
        <v>0</v>
      </c>
      <c r="F1592" s="205">
        <v>0</v>
      </c>
      <c r="G1592" s="205">
        <v>0</v>
      </c>
      <c r="H1592" s="205">
        <v>0</v>
      </c>
      <c r="I1592" s="205">
        <v>0</v>
      </c>
      <c r="J1592" s="205">
        <v>0</v>
      </c>
    </row>
    <row r="1593" spans="1:10">
      <c r="A1593" s="203" t="s">
        <v>161</v>
      </c>
      <c r="B1593" s="203" t="s">
        <v>12</v>
      </c>
      <c r="C1593" s="204">
        <v>0.52152777777777781</v>
      </c>
      <c r="D1593" s="205">
        <v>0</v>
      </c>
      <c r="E1593" s="205">
        <v>0</v>
      </c>
      <c r="F1593" s="205">
        <v>0</v>
      </c>
      <c r="G1593" s="205">
        <v>0</v>
      </c>
      <c r="H1593" s="205">
        <v>0</v>
      </c>
      <c r="I1593" s="205">
        <v>0</v>
      </c>
      <c r="J1593" s="205">
        <v>0</v>
      </c>
    </row>
    <row r="1594" spans="1:10">
      <c r="A1594" s="203" t="s">
        <v>161</v>
      </c>
      <c r="B1594" s="203" t="s">
        <v>12</v>
      </c>
      <c r="C1594" s="204">
        <v>0.52222222222222225</v>
      </c>
      <c r="D1594" s="205">
        <v>0</v>
      </c>
      <c r="E1594" s="205">
        <v>0</v>
      </c>
      <c r="F1594" s="205">
        <v>0</v>
      </c>
      <c r="G1594" s="205">
        <v>0</v>
      </c>
      <c r="H1594" s="205">
        <v>0</v>
      </c>
      <c r="I1594" s="205">
        <v>0</v>
      </c>
      <c r="J1594" s="205">
        <v>0</v>
      </c>
    </row>
    <row r="1595" spans="1:10">
      <c r="A1595" s="203" t="s">
        <v>161</v>
      </c>
      <c r="B1595" s="203" t="s">
        <v>12</v>
      </c>
      <c r="C1595" s="204">
        <v>0.5229166666666667</v>
      </c>
      <c r="D1595" s="205">
        <v>0</v>
      </c>
      <c r="E1595" s="205">
        <v>0</v>
      </c>
      <c r="F1595" s="205">
        <v>0</v>
      </c>
      <c r="G1595" s="205">
        <v>0</v>
      </c>
      <c r="H1595" s="205">
        <v>0</v>
      </c>
      <c r="I1595" s="205">
        <v>0</v>
      </c>
      <c r="J1595" s="205">
        <v>0</v>
      </c>
    </row>
    <row r="1596" spans="1:10">
      <c r="A1596" s="203" t="s">
        <v>161</v>
      </c>
      <c r="B1596" s="203" t="s">
        <v>12</v>
      </c>
      <c r="C1596" s="204">
        <v>0.52361111111111114</v>
      </c>
      <c r="D1596" s="205">
        <v>0</v>
      </c>
      <c r="E1596" s="205">
        <v>0</v>
      </c>
      <c r="F1596" s="205">
        <v>0</v>
      </c>
      <c r="G1596" s="205">
        <v>0</v>
      </c>
      <c r="H1596" s="205">
        <v>0</v>
      </c>
      <c r="I1596" s="205">
        <v>0</v>
      </c>
      <c r="J1596" s="205">
        <v>0</v>
      </c>
    </row>
    <row r="1597" spans="1:10">
      <c r="A1597" s="203" t="s">
        <v>161</v>
      </c>
      <c r="B1597" s="203" t="s">
        <v>12</v>
      </c>
      <c r="C1597" s="204">
        <v>0.52430555555555558</v>
      </c>
      <c r="D1597" s="205">
        <v>0</v>
      </c>
      <c r="E1597" s="205">
        <v>0</v>
      </c>
      <c r="F1597" s="205">
        <v>0</v>
      </c>
      <c r="G1597" s="205">
        <v>0</v>
      </c>
      <c r="H1597" s="205">
        <v>0</v>
      </c>
      <c r="I1597" s="205">
        <v>0</v>
      </c>
      <c r="J1597" s="205">
        <v>0</v>
      </c>
    </row>
    <row r="1598" spans="1:10">
      <c r="A1598" s="203" t="s">
        <v>161</v>
      </c>
      <c r="B1598" s="203" t="s">
        <v>12</v>
      </c>
      <c r="C1598" s="204">
        <v>0.52500000000000002</v>
      </c>
      <c r="D1598" s="205">
        <v>0</v>
      </c>
      <c r="E1598" s="205">
        <v>0</v>
      </c>
      <c r="F1598" s="205">
        <v>0</v>
      </c>
      <c r="G1598" s="205">
        <v>0</v>
      </c>
      <c r="H1598" s="205">
        <v>0</v>
      </c>
      <c r="I1598" s="205">
        <v>0</v>
      </c>
      <c r="J1598" s="205">
        <v>0</v>
      </c>
    </row>
    <row r="1599" spans="1:10">
      <c r="A1599" s="203" t="s">
        <v>161</v>
      </c>
      <c r="B1599" s="203" t="s">
        <v>12</v>
      </c>
      <c r="C1599" s="204">
        <v>0.52569444444444446</v>
      </c>
      <c r="D1599" s="205">
        <v>0</v>
      </c>
      <c r="E1599" s="205">
        <v>0</v>
      </c>
      <c r="F1599" s="205">
        <v>0</v>
      </c>
      <c r="G1599" s="205">
        <v>0</v>
      </c>
      <c r="H1599" s="205">
        <v>0</v>
      </c>
      <c r="I1599" s="205">
        <v>0</v>
      </c>
      <c r="J1599" s="205">
        <v>0</v>
      </c>
    </row>
    <row r="1600" spans="1:10">
      <c r="A1600" s="203" t="s">
        <v>161</v>
      </c>
      <c r="B1600" s="203" t="s">
        <v>12</v>
      </c>
      <c r="C1600" s="204">
        <v>0.52638888888888891</v>
      </c>
      <c r="D1600" s="205">
        <v>0</v>
      </c>
      <c r="E1600" s="205">
        <v>0</v>
      </c>
      <c r="F1600" s="205">
        <v>0</v>
      </c>
      <c r="G1600" s="205">
        <v>0</v>
      </c>
      <c r="H1600" s="205">
        <v>0</v>
      </c>
      <c r="I1600" s="205">
        <v>0</v>
      </c>
      <c r="J1600" s="205">
        <v>0</v>
      </c>
    </row>
    <row r="1601" spans="1:10">
      <c r="A1601" s="203" t="s">
        <v>161</v>
      </c>
      <c r="B1601" s="203" t="s">
        <v>12</v>
      </c>
      <c r="C1601" s="204">
        <v>0.52708333333333335</v>
      </c>
      <c r="D1601" s="205">
        <v>0</v>
      </c>
      <c r="E1601" s="205">
        <v>0</v>
      </c>
      <c r="F1601" s="205">
        <v>0</v>
      </c>
      <c r="G1601" s="205">
        <v>0</v>
      </c>
      <c r="H1601" s="205">
        <v>0</v>
      </c>
      <c r="I1601" s="205">
        <v>0</v>
      </c>
      <c r="J1601" s="205">
        <v>0</v>
      </c>
    </row>
    <row r="1602" spans="1:10">
      <c r="A1602" s="203" t="s">
        <v>161</v>
      </c>
      <c r="B1602" s="203" t="s">
        <v>12</v>
      </c>
      <c r="C1602" s="204">
        <v>0.52777777777777779</v>
      </c>
      <c r="D1602" s="205">
        <v>0</v>
      </c>
      <c r="E1602" s="205">
        <v>0</v>
      </c>
      <c r="F1602" s="205">
        <v>0</v>
      </c>
      <c r="G1602" s="205">
        <v>0</v>
      </c>
      <c r="H1602" s="205">
        <v>0</v>
      </c>
      <c r="I1602" s="205">
        <v>0</v>
      </c>
      <c r="J1602" s="205">
        <v>0</v>
      </c>
    </row>
    <row r="1603" spans="1:10">
      <c r="A1603" s="203" t="s">
        <v>161</v>
      </c>
      <c r="B1603" s="203" t="s">
        <v>12</v>
      </c>
      <c r="C1603" s="204">
        <v>0.52847222222222223</v>
      </c>
      <c r="D1603" s="205">
        <v>0</v>
      </c>
      <c r="E1603" s="205">
        <v>0</v>
      </c>
      <c r="F1603" s="205">
        <v>0</v>
      </c>
      <c r="G1603" s="205">
        <v>0</v>
      </c>
      <c r="H1603" s="205">
        <v>0</v>
      </c>
      <c r="I1603" s="205">
        <v>0</v>
      </c>
      <c r="J1603" s="205">
        <v>0</v>
      </c>
    </row>
    <row r="1604" spans="1:10">
      <c r="A1604" s="203" t="s">
        <v>161</v>
      </c>
      <c r="B1604" s="203" t="s">
        <v>12</v>
      </c>
      <c r="C1604" s="204">
        <v>0.52916666666666667</v>
      </c>
      <c r="D1604" s="205">
        <v>0</v>
      </c>
      <c r="E1604" s="205">
        <v>0</v>
      </c>
      <c r="F1604" s="205">
        <v>0</v>
      </c>
      <c r="G1604" s="205">
        <v>0</v>
      </c>
      <c r="H1604" s="205">
        <v>0</v>
      </c>
      <c r="I1604" s="205">
        <v>0</v>
      </c>
      <c r="J1604" s="205">
        <v>0</v>
      </c>
    </row>
    <row r="1605" spans="1:10">
      <c r="A1605" s="203" t="s">
        <v>161</v>
      </c>
      <c r="B1605" s="203" t="s">
        <v>12</v>
      </c>
      <c r="C1605" s="204">
        <v>0.52986111111111112</v>
      </c>
      <c r="D1605" s="205">
        <v>0</v>
      </c>
      <c r="E1605" s="205">
        <v>0</v>
      </c>
      <c r="F1605" s="205">
        <v>0</v>
      </c>
      <c r="G1605" s="205">
        <v>0</v>
      </c>
      <c r="H1605" s="205">
        <v>0</v>
      </c>
      <c r="I1605" s="205">
        <v>0</v>
      </c>
      <c r="J1605" s="205">
        <v>0</v>
      </c>
    </row>
    <row r="1606" spans="1:10" s="78" customFormat="1">
      <c r="A1606" s="206" t="s">
        <v>161</v>
      </c>
      <c r="B1606" s="206" t="s">
        <v>12</v>
      </c>
      <c r="C1606" s="207">
        <v>0.53055555555555556</v>
      </c>
      <c r="D1606" s="205">
        <v>0</v>
      </c>
      <c r="E1606" s="205">
        <v>0</v>
      </c>
      <c r="F1606" s="205">
        <v>0</v>
      </c>
      <c r="G1606" s="205">
        <v>0</v>
      </c>
      <c r="H1606" s="205">
        <v>0</v>
      </c>
      <c r="I1606" s="205">
        <v>0</v>
      </c>
      <c r="J1606" s="205">
        <v>0</v>
      </c>
    </row>
    <row r="1607" spans="1:10">
      <c r="A1607" s="203" t="s">
        <v>161</v>
      </c>
      <c r="B1607" s="203" t="s">
        <v>12</v>
      </c>
      <c r="C1607" s="204">
        <v>0.53125</v>
      </c>
      <c r="D1607" s="209">
        <v>0</v>
      </c>
      <c r="E1607" s="209">
        <v>0</v>
      </c>
      <c r="F1607" s="209">
        <v>0</v>
      </c>
      <c r="G1607" s="209">
        <v>0</v>
      </c>
      <c r="H1607" s="209">
        <v>0</v>
      </c>
      <c r="I1607" s="209">
        <v>0</v>
      </c>
      <c r="J1607" s="209">
        <v>0</v>
      </c>
    </row>
    <row r="1608" spans="1:10">
      <c r="A1608" s="203" t="s">
        <v>161</v>
      </c>
      <c r="B1608" s="203" t="s">
        <v>12</v>
      </c>
      <c r="C1608" s="204">
        <v>0.53194444444444444</v>
      </c>
      <c r="D1608" s="205">
        <v>0</v>
      </c>
      <c r="E1608" s="205">
        <v>0</v>
      </c>
      <c r="F1608" s="205">
        <v>0</v>
      </c>
      <c r="G1608" s="205">
        <v>0</v>
      </c>
      <c r="H1608" s="205">
        <v>0</v>
      </c>
      <c r="I1608" s="205">
        <v>0</v>
      </c>
      <c r="J1608" s="205">
        <v>0</v>
      </c>
    </row>
    <row r="1609" spans="1:10">
      <c r="A1609" s="203" t="s">
        <v>161</v>
      </c>
      <c r="B1609" s="203" t="s">
        <v>12</v>
      </c>
      <c r="C1609" s="204">
        <v>0.53263888888888888</v>
      </c>
      <c r="D1609" s="205">
        <v>0</v>
      </c>
      <c r="E1609" s="205">
        <v>0</v>
      </c>
      <c r="F1609" s="205">
        <v>0</v>
      </c>
      <c r="G1609" s="205">
        <v>0</v>
      </c>
      <c r="H1609" s="205">
        <v>0</v>
      </c>
      <c r="I1609" s="205">
        <v>0</v>
      </c>
      <c r="J1609" s="205">
        <v>0</v>
      </c>
    </row>
    <row r="1610" spans="1:10">
      <c r="A1610" s="203" t="s">
        <v>161</v>
      </c>
      <c r="B1610" s="203" t="s">
        <v>12</v>
      </c>
      <c r="C1610" s="204">
        <v>0.53333333333333333</v>
      </c>
      <c r="D1610" s="205">
        <v>0</v>
      </c>
      <c r="E1610" s="205">
        <v>0</v>
      </c>
      <c r="F1610" s="205">
        <v>0</v>
      </c>
      <c r="G1610" s="205">
        <v>0</v>
      </c>
      <c r="H1610" s="205">
        <v>0</v>
      </c>
      <c r="I1610" s="205">
        <v>0</v>
      </c>
      <c r="J1610" s="205">
        <v>0</v>
      </c>
    </row>
    <row r="1611" spans="1:10">
      <c r="A1611" s="203" t="s">
        <v>161</v>
      </c>
      <c r="B1611" s="203" t="s">
        <v>12</v>
      </c>
      <c r="C1611" s="204">
        <v>0.53402777777777777</v>
      </c>
      <c r="D1611" s="205">
        <v>0</v>
      </c>
      <c r="E1611" s="205">
        <v>0</v>
      </c>
      <c r="F1611" s="205">
        <v>0</v>
      </c>
      <c r="G1611" s="205">
        <v>0</v>
      </c>
      <c r="H1611" s="205">
        <v>0</v>
      </c>
      <c r="I1611" s="205">
        <v>0</v>
      </c>
      <c r="J1611" s="205">
        <v>0</v>
      </c>
    </row>
    <row r="1612" spans="1:10">
      <c r="A1612" s="203" t="s">
        <v>161</v>
      </c>
      <c r="B1612" s="203" t="s">
        <v>12</v>
      </c>
      <c r="C1612" s="204">
        <v>0.53472222222222221</v>
      </c>
      <c r="D1612" s="205">
        <v>0</v>
      </c>
      <c r="E1612" s="205">
        <v>0</v>
      </c>
      <c r="F1612" s="205">
        <v>0</v>
      </c>
      <c r="G1612" s="205">
        <v>0</v>
      </c>
      <c r="H1612" s="205">
        <v>0</v>
      </c>
      <c r="I1612" s="205">
        <v>0</v>
      </c>
      <c r="J1612" s="205">
        <v>0</v>
      </c>
    </row>
    <row r="1613" spans="1:10">
      <c r="A1613" s="203" t="s">
        <v>161</v>
      </c>
      <c r="B1613" s="203" t="s">
        <v>12</v>
      </c>
      <c r="C1613" s="204">
        <v>0.53541666666666665</v>
      </c>
      <c r="D1613" s="205">
        <v>0</v>
      </c>
      <c r="E1613" s="205">
        <v>0</v>
      </c>
      <c r="F1613" s="205">
        <v>0</v>
      </c>
      <c r="G1613" s="205">
        <v>0</v>
      </c>
      <c r="H1613" s="205">
        <v>0</v>
      </c>
      <c r="I1613" s="205">
        <v>0</v>
      </c>
      <c r="J1613" s="205">
        <v>0</v>
      </c>
    </row>
    <row r="1614" spans="1:10">
      <c r="A1614" s="203" t="s">
        <v>161</v>
      </c>
      <c r="B1614" s="203" t="s">
        <v>12</v>
      </c>
      <c r="C1614" s="204">
        <v>0.53611111111111109</v>
      </c>
      <c r="D1614" s="205">
        <v>0</v>
      </c>
      <c r="E1614" s="205">
        <v>0</v>
      </c>
      <c r="F1614" s="205">
        <v>0</v>
      </c>
      <c r="G1614" s="205">
        <v>0</v>
      </c>
      <c r="H1614" s="205">
        <v>0</v>
      </c>
      <c r="I1614" s="205">
        <v>0</v>
      </c>
      <c r="J1614" s="205">
        <v>0</v>
      </c>
    </row>
    <row r="1615" spans="1:10">
      <c r="A1615" s="203" t="s">
        <v>161</v>
      </c>
      <c r="B1615" s="203" t="s">
        <v>12</v>
      </c>
      <c r="C1615" s="204">
        <v>0.53680555555555554</v>
      </c>
      <c r="D1615" s="205">
        <v>0</v>
      </c>
      <c r="E1615" s="205">
        <v>0</v>
      </c>
      <c r="F1615" s="205">
        <v>0</v>
      </c>
      <c r="G1615" s="205">
        <v>0</v>
      </c>
      <c r="H1615" s="205">
        <v>0</v>
      </c>
      <c r="I1615" s="205">
        <v>0</v>
      </c>
      <c r="J1615" s="205">
        <v>0</v>
      </c>
    </row>
    <row r="1616" spans="1:10">
      <c r="A1616" s="203" t="s">
        <v>161</v>
      </c>
      <c r="B1616" s="203" t="s">
        <v>12</v>
      </c>
      <c r="C1616" s="204">
        <v>0.53749999999999998</v>
      </c>
      <c r="D1616" s="205">
        <v>0</v>
      </c>
      <c r="E1616" s="205">
        <v>0</v>
      </c>
      <c r="F1616" s="205">
        <v>0</v>
      </c>
      <c r="G1616" s="205">
        <v>0</v>
      </c>
      <c r="H1616" s="205">
        <v>0</v>
      </c>
      <c r="I1616" s="205">
        <v>0</v>
      </c>
      <c r="J1616" s="205">
        <v>0</v>
      </c>
    </row>
    <row r="1617" spans="1:10">
      <c r="A1617" s="203" t="s">
        <v>161</v>
      </c>
      <c r="B1617" s="203" t="s">
        <v>12</v>
      </c>
      <c r="C1617" s="204">
        <v>0.53819444444444442</v>
      </c>
      <c r="D1617" s="205">
        <v>0</v>
      </c>
      <c r="E1617" s="205">
        <v>0</v>
      </c>
      <c r="F1617" s="205">
        <v>0</v>
      </c>
      <c r="G1617" s="205">
        <v>0</v>
      </c>
      <c r="H1617" s="205">
        <v>0</v>
      </c>
      <c r="I1617" s="205">
        <v>0</v>
      </c>
      <c r="J1617" s="205">
        <v>0</v>
      </c>
    </row>
    <row r="1618" spans="1:10">
      <c r="A1618" s="203" t="s">
        <v>161</v>
      </c>
      <c r="B1618" s="203" t="s">
        <v>12</v>
      </c>
      <c r="C1618" s="204">
        <v>0.53888888888888886</v>
      </c>
      <c r="D1618" s="205">
        <v>0</v>
      </c>
      <c r="E1618" s="205">
        <v>0</v>
      </c>
      <c r="F1618" s="205">
        <v>0</v>
      </c>
      <c r="G1618" s="205">
        <v>0</v>
      </c>
      <c r="H1618" s="205">
        <v>0</v>
      </c>
      <c r="I1618" s="205">
        <v>0</v>
      </c>
      <c r="J1618" s="205">
        <v>0</v>
      </c>
    </row>
    <row r="1619" spans="1:10">
      <c r="A1619" s="203" t="s">
        <v>161</v>
      </c>
      <c r="B1619" s="203" t="s">
        <v>12</v>
      </c>
      <c r="C1619" s="204">
        <v>0.5395833333333333</v>
      </c>
      <c r="D1619" s="205">
        <v>0</v>
      </c>
      <c r="E1619" s="205">
        <v>0</v>
      </c>
      <c r="F1619" s="205">
        <v>0</v>
      </c>
      <c r="G1619" s="205">
        <v>0</v>
      </c>
      <c r="H1619" s="205">
        <v>0</v>
      </c>
      <c r="I1619" s="205">
        <v>0</v>
      </c>
      <c r="J1619" s="205">
        <v>0</v>
      </c>
    </row>
    <row r="1620" spans="1:10">
      <c r="A1620" s="203" t="s">
        <v>161</v>
      </c>
      <c r="B1620" s="203" t="s">
        <v>12</v>
      </c>
      <c r="C1620" s="204">
        <v>0.54027777777777775</v>
      </c>
      <c r="D1620" s="205">
        <v>0</v>
      </c>
      <c r="E1620" s="205">
        <v>0</v>
      </c>
      <c r="F1620" s="205">
        <v>0</v>
      </c>
      <c r="G1620" s="205">
        <v>0</v>
      </c>
      <c r="H1620" s="205">
        <v>0</v>
      </c>
      <c r="I1620" s="205">
        <v>0</v>
      </c>
      <c r="J1620" s="205">
        <v>0</v>
      </c>
    </row>
    <row r="1621" spans="1:10" s="78" customFormat="1">
      <c r="A1621" s="206" t="s">
        <v>161</v>
      </c>
      <c r="B1621" s="206" t="s">
        <v>12</v>
      </c>
      <c r="C1621" s="207">
        <v>0.54097222222222219</v>
      </c>
      <c r="D1621" s="208">
        <v>0</v>
      </c>
      <c r="E1621" s="208">
        <v>0</v>
      </c>
      <c r="F1621" s="208">
        <v>0</v>
      </c>
      <c r="G1621" s="208">
        <v>0</v>
      </c>
      <c r="H1621" s="208">
        <v>0</v>
      </c>
      <c r="I1621" s="208">
        <v>0</v>
      </c>
      <c r="J1621" s="208">
        <v>0</v>
      </c>
    </row>
    <row r="1622" spans="1:10">
      <c r="A1622" s="203" t="s">
        <v>161</v>
      </c>
      <c r="B1622" s="203" t="s">
        <v>12</v>
      </c>
      <c r="C1622" s="204">
        <v>0.54166666666666663</v>
      </c>
      <c r="D1622" s="205">
        <v>0</v>
      </c>
      <c r="E1622" s="205">
        <v>0</v>
      </c>
      <c r="F1622" s="205">
        <v>0</v>
      </c>
      <c r="G1622" s="205">
        <v>0</v>
      </c>
      <c r="H1622" s="205">
        <v>0</v>
      </c>
      <c r="I1622" s="205">
        <v>0</v>
      </c>
      <c r="J1622" s="205">
        <v>0</v>
      </c>
    </row>
    <row r="1623" spans="1:10">
      <c r="A1623" s="203" t="s">
        <v>161</v>
      </c>
      <c r="B1623" s="203" t="s">
        <v>12</v>
      </c>
      <c r="C1623" s="204">
        <v>0.54236111111111107</v>
      </c>
      <c r="D1623" s="205">
        <v>0</v>
      </c>
      <c r="E1623" s="205">
        <v>0</v>
      </c>
      <c r="F1623" s="205">
        <v>0</v>
      </c>
      <c r="G1623" s="205">
        <v>0</v>
      </c>
      <c r="H1623" s="205">
        <v>0</v>
      </c>
      <c r="I1623" s="205">
        <v>0</v>
      </c>
      <c r="J1623" s="205">
        <v>0</v>
      </c>
    </row>
    <row r="1624" spans="1:10">
      <c r="A1624" s="203" t="s">
        <v>161</v>
      </c>
      <c r="B1624" s="203" t="s">
        <v>12</v>
      </c>
      <c r="C1624" s="204">
        <v>0.54305555555555551</v>
      </c>
      <c r="D1624" s="205">
        <v>0</v>
      </c>
      <c r="E1624" s="205">
        <v>0</v>
      </c>
      <c r="F1624" s="205">
        <v>0</v>
      </c>
      <c r="G1624" s="205">
        <v>0</v>
      </c>
      <c r="H1624" s="205">
        <v>0</v>
      </c>
      <c r="I1624" s="205">
        <v>0</v>
      </c>
      <c r="J1624" s="205">
        <v>0</v>
      </c>
    </row>
    <row r="1625" spans="1:10">
      <c r="A1625" s="203" t="s">
        <v>161</v>
      </c>
      <c r="B1625" s="203" t="s">
        <v>12</v>
      </c>
      <c r="C1625" s="204">
        <v>0.54374999999999996</v>
      </c>
      <c r="D1625" s="205">
        <v>0</v>
      </c>
      <c r="E1625" s="205">
        <v>0</v>
      </c>
      <c r="F1625" s="205">
        <v>0</v>
      </c>
      <c r="G1625" s="205">
        <v>0</v>
      </c>
      <c r="H1625" s="205">
        <v>0</v>
      </c>
      <c r="I1625" s="205">
        <v>0</v>
      </c>
      <c r="J1625" s="205">
        <v>0</v>
      </c>
    </row>
    <row r="1626" spans="1:10">
      <c r="A1626" s="203" t="s">
        <v>161</v>
      </c>
      <c r="B1626" s="203" t="s">
        <v>12</v>
      </c>
      <c r="C1626" s="204">
        <v>0.5444444444444444</v>
      </c>
      <c r="D1626" s="205">
        <v>0</v>
      </c>
      <c r="E1626" s="205">
        <v>0</v>
      </c>
      <c r="F1626" s="205">
        <v>0</v>
      </c>
      <c r="G1626" s="205">
        <v>0</v>
      </c>
      <c r="H1626" s="205">
        <v>0</v>
      </c>
      <c r="I1626" s="205">
        <v>0</v>
      </c>
      <c r="J1626" s="205">
        <v>0</v>
      </c>
    </row>
    <row r="1627" spans="1:10">
      <c r="A1627" s="203" t="s">
        <v>161</v>
      </c>
      <c r="B1627" s="203" t="s">
        <v>12</v>
      </c>
      <c r="C1627" s="204">
        <v>0.54513888888888884</v>
      </c>
      <c r="D1627" s="205">
        <v>0</v>
      </c>
      <c r="E1627" s="205">
        <v>0</v>
      </c>
      <c r="F1627" s="205">
        <v>0</v>
      </c>
      <c r="G1627" s="205">
        <v>0</v>
      </c>
      <c r="H1627" s="205">
        <v>0</v>
      </c>
      <c r="I1627" s="205">
        <v>0</v>
      </c>
      <c r="J1627" s="205">
        <v>0</v>
      </c>
    </row>
    <row r="1628" spans="1:10">
      <c r="A1628" s="203" t="s">
        <v>161</v>
      </c>
      <c r="B1628" s="203" t="s">
        <v>12</v>
      </c>
      <c r="C1628" s="204">
        <v>0.54583333333333328</v>
      </c>
      <c r="D1628" s="205">
        <v>0</v>
      </c>
      <c r="E1628" s="205">
        <v>0</v>
      </c>
      <c r="F1628" s="205">
        <v>0</v>
      </c>
      <c r="G1628" s="205">
        <v>0</v>
      </c>
      <c r="H1628" s="205">
        <v>0</v>
      </c>
      <c r="I1628" s="205">
        <v>0</v>
      </c>
      <c r="J1628" s="205">
        <v>0</v>
      </c>
    </row>
    <row r="1629" spans="1:10">
      <c r="A1629" s="203" t="s">
        <v>161</v>
      </c>
      <c r="B1629" s="203" t="s">
        <v>12</v>
      </c>
      <c r="C1629" s="204">
        <v>0.54652777777777772</v>
      </c>
      <c r="D1629" s="205">
        <v>0</v>
      </c>
      <c r="E1629" s="205">
        <v>0</v>
      </c>
      <c r="F1629" s="205">
        <v>0</v>
      </c>
      <c r="G1629" s="205">
        <v>0</v>
      </c>
      <c r="H1629" s="205">
        <v>0</v>
      </c>
      <c r="I1629" s="205">
        <v>0</v>
      </c>
      <c r="J1629" s="205">
        <v>0</v>
      </c>
    </row>
    <row r="1630" spans="1:10">
      <c r="A1630" s="203" t="s">
        <v>161</v>
      </c>
      <c r="B1630" s="203" t="s">
        <v>12</v>
      </c>
      <c r="C1630" s="204">
        <v>0.54722222222222228</v>
      </c>
      <c r="D1630" s="205">
        <v>0</v>
      </c>
      <c r="E1630" s="205">
        <v>0</v>
      </c>
      <c r="F1630" s="205">
        <v>0</v>
      </c>
      <c r="G1630" s="205">
        <v>0</v>
      </c>
      <c r="H1630" s="205">
        <v>0</v>
      </c>
      <c r="I1630" s="205">
        <v>0</v>
      </c>
      <c r="J1630" s="205">
        <v>0</v>
      </c>
    </row>
    <row r="1631" spans="1:10">
      <c r="A1631" s="203" t="s">
        <v>161</v>
      </c>
      <c r="B1631" s="203" t="s">
        <v>12</v>
      </c>
      <c r="C1631" s="204">
        <v>0.54791666666666672</v>
      </c>
      <c r="D1631" s="205">
        <v>0</v>
      </c>
      <c r="E1631" s="205">
        <v>0</v>
      </c>
      <c r="F1631" s="205">
        <v>0</v>
      </c>
      <c r="G1631" s="205">
        <v>0</v>
      </c>
      <c r="H1631" s="205">
        <v>0</v>
      </c>
      <c r="I1631" s="205">
        <v>0</v>
      </c>
      <c r="J1631" s="205">
        <v>0</v>
      </c>
    </row>
    <row r="1632" spans="1:10">
      <c r="A1632" s="203" t="s">
        <v>161</v>
      </c>
      <c r="B1632" s="203" t="s">
        <v>12</v>
      </c>
      <c r="C1632" s="204">
        <v>0.54861111111111116</v>
      </c>
      <c r="D1632" s="205">
        <v>0</v>
      </c>
      <c r="E1632" s="205">
        <v>0</v>
      </c>
      <c r="F1632" s="205">
        <v>0</v>
      </c>
      <c r="G1632" s="205">
        <v>0</v>
      </c>
      <c r="H1632" s="205">
        <v>0</v>
      </c>
      <c r="I1632" s="205">
        <v>0</v>
      </c>
      <c r="J1632" s="205">
        <v>0</v>
      </c>
    </row>
    <row r="1633" spans="1:10">
      <c r="A1633" s="203" t="s">
        <v>161</v>
      </c>
      <c r="B1633" s="203" t="s">
        <v>12</v>
      </c>
      <c r="C1633" s="204">
        <v>0.5493055555555556</v>
      </c>
      <c r="D1633" s="205">
        <v>0</v>
      </c>
      <c r="E1633" s="205">
        <v>0</v>
      </c>
      <c r="F1633" s="205">
        <v>0</v>
      </c>
      <c r="G1633" s="205">
        <v>0</v>
      </c>
      <c r="H1633" s="205">
        <v>0</v>
      </c>
      <c r="I1633" s="205">
        <v>0</v>
      </c>
      <c r="J1633" s="205">
        <v>0</v>
      </c>
    </row>
    <row r="1634" spans="1:10">
      <c r="A1634" s="203" t="s">
        <v>161</v>
      </c>
      <c r="B1634" s="203" t="s">
        <v>12</v>
      </c>
      <c r="C1634" s="204">
        <v>0.54236111111111107</v>
      </c>
      <c r="D1634" s="205">
        <v>0</v>
      </c>
      <c r="E1634" s="205">
        <v>0</v>
      </c>
      <c r="F1634" s="205">
        <v>0</v>
      </c>
      <c r="G1634" s="205">
        <v>0</v>
      </c>
      <c r="H1634" s="205">
        <v>0</v>
      </c>
      <c r="I1634" s="205">
        <v>0</v>
      </c>
      <c r="J1634" s="205">
        <v>0</v>
      </c>
    </row>
    <row r="1635" spans="1:10">
      <c r="A1635" s="203" t="s">
        <v>161</v>
      </c>
      <c r="B1635" s="203" t="s">
        <v>12</v>
      </c>
      <c r="C1635" s="204">
        <v>0.55069444444444449</v>
      </c>
      <c r="D1635" s="205">
        <v>0</v>
      </c>
      <c r="E1635" s="205">
        <v>0</v>
      </c>
      <c r="F1635" s="205">
        <v>0</v>
      </c>
      <c r="G1635" s="205">
        <v>0</v>
      </c>
      <c r="H1635" s="205">
        <v>0</v>
      </c>
      <c r="I1635" s="205">
        <v>0</v>
      </c>
      <c r="J1635" s="205">
        <v>0</v>
      </c>
    </row>
    <row r="1636" spans="1:10" s="78" customFormat="1">
      <c r="A1636" s="206" t="s">
        <v>161</v>
      </c>
      <c r="B1636" s="206" t="s">
        <v>12</v>
      </c>
      <c r="C1636" s="207">
        <v>0.55138888888888893</v>
      </c>
      <c r="D1636" s="205">
        <v>0</v>
      </c>
      <c r="E1636" s="205">
        <v>0</v>
      </c>
      <c r="F1636" s="205">
        <v>0</v>
      </c>
      <c r="G1636" s="205">
        <v>0</v>
      </c>
      <c r="H1636" s="205">
        <v>0</v>
      </c>
      <c r="I1636" s="205">
        <v>0</v>
      </c>
      <c r="J1636" s="205">
        <v>0</v>
      </c>
    </row>
    <row r="1637" spans="1:10">
      <c r="A1637" s="203" t="s">
        <v>161</v>
      </c>
      <c r="B1637" s="203" t="s">
        <v>12</v>
      </c>
      <c r="C1637" s="204">
        <v>0.55208333333333337</v>
      </c>
      <c r="D1637" s="209">
        <v>0</v>
      </c>
      <c r="E1637" s="209">
        <v>0</v>
      </c>
      <c r="F1637" s="209">
        <v>0</v>
      </c>
      <c r="G1637" s="209">
        <v>0</v>
      </c>
      <c r="H1637" s="209">
        <v>0</v>
      </c>
      <c r="I1637" s="209">
        <v>0</v>
      </c>
      <c r="J1637" s="209">
        <v>0</v>
      </c>
    </row>
    <row r="1638" spans="1:10">
      <c r="A1638" s="203" t="s">
        <v>161</v>
      </c>
      <c r="B1638" s="203" t="s">
        <v>12</v>
      </c>
      <c r="C1638" s="204">
        <v>0.55277777777777781</v>
      </c>
      <c r="D1638" s="205">
        <v>0</v>
      </c>
      <c r="E1638" s="205">
        <v>0</v>
      </c>
      <c r="F1638" s="205">
        <v>0</v>
      </c>
      <c r="G1638" s="205">
        <v>0</v>
      </c>
      <c r="H1638" s="205">
        <v>0</v>
      </c>
      <c r="I1638" s="205">
        <v>0</v>
      </c>
      <c r="J1638" s="205">
        <v>0</v>
      </c>
    </row>
    <row r="1639" spans="1:10">
      <c r="A1639" s="203" t="s">
        <v>161</v>
      </c>
      <c r="B1639" s="203" t="s">
        <v>12</v>
      </c>
      <c r="C1639" s="204">
        <v>0.55347222222222225</v>
      </c>
      <c r="D1639" s="205">
        <v>0</v>
      </c>
      <c r="E1639" s="205">
        <v>0</v>
      </c>
      <c r="F1639" s="205">
        <v>0</v>
      </c>
      <c r="G1639" s="205">
        <v>0</v>
      </c>
      <c r="H1639" s="205">
        <v>0</v>
      </c>
      <c r="I1639" s="205">
        <v>0</v>
      </c>
      <c r="J1639" s="205">
        <v>0</v>
      </c>
    </row>
    <row r="1640" spans="1:10">
      <c r="A1640" s="203" t="s">
        <v>161</v>
      </c>
      <c r="B1640" s="203" t="s">
        <v>12</v>
      </c>
      <c r="C1640" s="204">
        <v>0.5541666666666667</v>
      </c>
      <c r="D1640" s="205">
        <v>0</v>
      </c>
      <c r="E1640" s="205">
        <v>0</v>
      </c>
      <c r="F1640" s="205">
        <v>0</v>
      </c>
      <c r="G1640" s="205">
        <v>0</v>
      </c>
      <c r="H1640" s="205">
        <v>0</v>
      </c>
      <c r="I1640" s="205">
        <v>0</v>
      </c>
      <c r="J1640" s="205">
        <v>0</v>
      </c>
    </row>
    <row r="1641" spans="1:10">
      <c r="A1641" s="203" t="s">
        <v>161</v>
      </c>
      <c r="B1641" s="203" t="s">
        <v>12</v>
      </c>
      <c r="C1641" s="204">
        <v>0.55486111111111114</v>
      </c>
      <c r="D1641" s="205">
        <v>0</v>
      </c>
      <c r="E1641" s="205">
        <v>0</v>
      </c>
      <c r="F1641" s="205">
        <v>0</v>
      </c>
      <c r="G1641" s="205">
        <v>0</v>
      </c>
      <c r="H1641" s="205">
        <v>0</v>
      </c>
      <c r="I1641" s="205">
        <v>0</v>
      </c>
      <c r="J1641" s="205">
        <v>0</v>
      </c>
    </row>
    <row r="1642" spans="1:10">
      <c r="A1642" s="203" t="s">
        <v>161</v>
      </c>
      <c r="B1642" s="203" t="s">
        <v>12</v>
      </c>
      <c r="C1642" s="204">
        <v>0.55555555555555558</v>
      </c>
      <c r="D1642" s="205">
        <v>0</v>
      </c>
      <c r="E1642" s="205">
        <v>0</v>
      </c>
      <c r="F1642" s="205">
        <v>0</v>
      </c>
      <c r="G1642" s="205">
        <v>0</v>
      </c>
      <c r="H1642" s="205">
        <v>0</v>
      </c>
      <c r="I1642" s="205">
        <v>0</v>
      </c>
      <c r="J1642" s="205">
        <v>0</v>
      </c>
    </row>
    <row r="1643" spans="1:10">
      <c r="A1643" s="203" t="s">
        <v>161</v>
      </c>
      <c r="B1643" s="203" t="s">
        <v>12</v>
      </c>
      <c r="C1643" s="204">
        <v>0.55625000000000002</v>
      </c>
      <c r="D1643" s="205">
        <v>0</v>
      </c>
      <c r="E1643" s="205">
        <v>0</v>
      </c>
      <c r="F1643" s="205">
        <v>0</v>
      </c>
      <c r="G1643" s="205">
        <v>0</v>
      </c>
      <c r="H1643" s="205">
        <v>0</v>
      </c>
      <c r="I1643" s="205">
        <v>0</v>
      </c>
      <c r="J1643" s="205">
        <v>0</v>
      </c>
    </row>
    <row r="1644" spans="1:10">
      <c r="A1644" s="203" t="s">
        <v>161</v>
      </c>
      <c r="B1644" s="203" t="s">
        <v>12</v>
      </c>
      <c r="C1644" s="204">
        <v>0.55694444444444446</v>
      </c>
      <c r="D1644" s="205">
        <v>0</v>
      </c>
      <c r="E1644" s="205">
        <v>0</v>
      </c>
      <c r="F1644" s="205">
        <v>0</v>
      </c>
      <c r="G1644" s="205">
        <v>0</v>
      </c>
      <c r="H1644" s="205">
        <v>0</v>
      </c>
      <c r="I1644" s="205">
        <v>0</v>
      </c>
      <c r="J1644" s="205">
        <v>0</v>
      </c>
    </row>
    <row r="1645" spans="1:10">
      <c r="A1645" s="203" t="s">
        <v>161</v>
      </c>
      <c r="B1645" s="203" t="s">
        <v>12</v>
      </c>
      <c r="C1645" s="204">
        <v>0.55763888888888891</v>
      </c>
      <c r="D1645" s="205">
        <v>0</v>
      </c>
      <c r="E1645" s="205">
        <v>0</v>
      </c>
      <c r="F1645" s="205">
        <v>0</v>
      </c>
      <c r="G1645" s="205">
        <v>0</v>
      </c>
      <c r="H1645" s="205">
        <v>0</v>
      </c>
      <c r="I1645" s="205">
        <v>0</v>
      </c>
      <c r="J1645" s="205">
        <v>0</v>
      </c>
    </row>
    <row r="1646" spans="1:10">
      <c r="A1646" s="203" t="s">
        <v>161</v>
      </c>
      <c r="B1646" s="203" t="s">
        <v>12</v>
      </c>
      <c r="C1646" s="204">
        <v>0.55833333333333335</v>
      </c>
      <c r="D1646" s="205">
        <v>0</v>
      </c>
      <c r="E1646" s="205">
        <v>0</v>
      </c>
      <c r="F1646" s="205">
        <v>0</v>
      </c>
      <c r="G1646" s="205">
        <v>0</v>
      </c>
      <c r="H1646" s="205">
        <v>0</v>
      </c>
      <c r="I1646" s="205">
        <v>0</v>
      </c>
      <c r="J1646" s="205">
        <v>0</v>
      </c>
    </row>
    <row r="1647" spans="1:10">
      <c r="A1647" s="203" t="s">
        <v>161</v>
      </c>
      <c r="B1647" s="203" t="s">
        <v>12</v>
      </c>
      <c r="C1647" s="204">
        <v>0.55902777777777779</v>
      </c>
      <c r="D1647" s="205">
        <v>0</v>
      </c>
      <c r="E1647" s="205">
        <v>0</v>
      </c>
      <c r="F1647" s="205">
        <v>0</v>
      </c>
      <c r="G1647" s="205">
        <v>0</v>
      </c>
      <c r="H1647" s="205">
        <v>0</v>
      </c>
      <c r="I1647" s="205">
        <v>0</v>
      </c>
      <c r="J1647" s="205">
        <v>0</v>
      </c>
    </row>
    <row r="1648" spans="1:10">
      <c r="A1648" s="203" t="s">
        <v>161</v>
      </c>
      <c r="B1648" s="203" t="s">
        <v>12</v>
      </c>
      <c r="C1648" s="204">
        <v>0.55972222222222223</v>
      </c>
      <c r="D1648" s="205">
        <v>0</v>
      </c>
      <c r="E1648" s="205">
        <v>0</v>
      </c>
      <c r="F1648" s="205">
        <v>0</v>
      </c>
      <c r="G1648" s="205">
        <v>0</v>
      </c>
      <c r="H1648" s="205">
        <v>0</v>
      </c>
      <c r="I1648" s="205">
        <v>0</v>
      </c>
      <c r="J1648" s="205">
        <v>0</v>
      </c>
    </row>
    <row r="1649" spans="1:10">
      <c r="A1649" s="203" t="s">
        <v>161</v>
      </c>
      <c r="B1649" s="203" t="s">
        <v>12</v>
      </c>
      <c r="C1649" s="204">
        <v>0.56041666666666667</v>
      </c>
      <c r="D1649" s="205">
        <v>0</v>
      </c>
      <c r="E1649" s="205">
        <v>0</v>
      </c>
      <c r="F1649" s="205">
        <v>0</v>
      </c>
      <c r="G1649" s="205">
        <v>0</v>
      </c>
      <c r="H1649" s="205">
        <v>0</v>
      </c>
      <c r="I1649" s="205">
        <v>0</v>
      </c>
      <c r="J1649" s="205">
        <v>0</v>
      </c>
    </row>
    <row r="1650" spans="1:10">
      <c r="A1650" s="203" t="s">
        <v>161</v>
      </c>
      <c r="B1650" s="203" t="s">
        <v>12</v>
      </c>
      <c r="C1650" s="204">
        <v>0.56111111111111112</v>
      </c>
      <c r="D1650" s="205">
        <v>0</v>
      </c>
      <c r="E1650" s="205">
        <v>0</v>
      </c>
      <c r="F1650" s="205">
        <v>0</v>
      </c>
      <c r="G1650" s="205">
        <v>0</v>
      </c>
      <c r="H1650" s="205">
        <v>0</v>
      </c>
      <c r="I1650" s="205">
        <v>0</v>
      </c>
      <c r="J1650" s="205">
        <v>0</v>
      </c>
    </row>
    <row r="1651" spans="1:10" s="78" customFormat="1">
      <c r="A1651" s="206" t="s">
        <v>161</v>
      </c>
      <c r="B1651" s="206" t="s">
        <v>12</v>
      </c>
      <c r="C1651" s="207">
        <v>0.56180555555555556</v>
      </c>
      <c r="D1651" s="205">
        <v>0</v>
      </c>
      <c r="E1651" s="205">
        <v>0</v>
      </c>
      <c r="F1651" s="205">
        <v>0</v>
      </c>
      <c r="G1651" s="205">
        <v>0</v>
      </c>
      <c r="H1651" s="205">
        <v>0</v>
      </c>
      <c r="I1651" s="205">
        <v>0</v>
      </c>
      <c r="J1651" s="205">
        <v>0</v>
      </c>
    </row>
    <row r="1652" spans="1:10">
      <c r="A1652" s="203" t="s">
        <v>161</v>
      </c>
      <c r="B1652" s="203" t="s">
        <v>12</v>
      </c>
      <c r="C1652" s="204">
        <v>0.5625</v>
      </c>
      <c r="D1652" s="209">
        <v>0</v>
      </c>
      <c r="E1652" s="209">
        <v>0</v>
      </c>
      <c r="F1652" s="209">
        <v>0</v>
      </c>
      <c r="G1652" s="209">
        <v>0</v>
      </c>
      <c r="H1652" s="209">
        <v>0</v>
      </c>
      <c r="I1652" s="209">
        <v>0</v>
      </c>
      <c r="J1652" s="209">
        <v>0</v>
      </c>
    </row>
    <row r="1653" spans="1:10">
      <c r="A1653" s="203" t="s">
        <v>161</v>
      </c>
      <c r="B1653" s="203" t="s">
        <v>12</v>
      </c>
      <c r="C1653" s="204">
        <v>0.56319444444444444</v>
      </c>
      <c r="D1653" s="205">
        <v>0</v>
      </c>
      <c r="E1653" s="205">
        <v>0</v>
      </c>
      <c r="F1653" s="205">
        <v>0</v>
      </c>
      <c r="G1653" s="205">
        <v>0</v>
      </c>
      <c r="H1653" s="205">
        <v>0</v>
      </c>
      <c r="I1653" s="205">
        <v>0</v>
      </c>
      <c r="J1653" s="205">
        <v>0</v>
      </c>
    </row>
    <row r="1654" spans="1:10">
      <c r="A1654" s="203" t="s">
        <v>161</v>
      </c>
      <c r="B1654" s="203" t="s">
        <v>12</v>
      </c>
      <c r="C1654" s="204">
        <v>0.56388888888888888</v>
      </c>
      <c r="D1654" s="205">
        <v>0</v>
      </c>
      <c r="E1654" s="205">
        <v>0</v>
      </c>
      <c r="F1654" s="205">
        <v>0</v>
      </c>
      <c r="G1654" s="205">
        <v>0</v>
      </c>
      <c r="H1654" s="205">
        <v>0</v>
      </c>
      <c r="I1654" s="205">
        <v>0</v>
      </c>
      <c r="J1654" s="205">
        <v>0</v>
      </c>
    </row>
    <row r="1655" spans="1:10">
      <c r="A1655" s="203" t="s">
        <v>161</v>
      </c>
      <c r="B1655" s="203" t="s">
        <v>12</v>
      </c>
      <c r="C1655" s="204">
        <v>0.56458333333333333</v>
      </c>
      <c r="D1655" s="205">
        <v>0</v>
      </c>
      <c r="E1655" s="205">
        <v>0</v>
      </c>
      <c r="F1655" s="205">
        <v>0</v>
      </c>
      <c r="G1655" s="205">
        <v>0</v>
      </c>
      <c r="H1655" s="205">
        <v>0</v>
      </c>
      <c r="I1655" s="205">
        <v>0</v>
      </c>
      <c r="J1655" s="205">
        <v>0</v>
      </c>
    </row>
    <row r="1656" spans="1:10">
      <c r="A1656" s="203" t="s">
        <v>161</v>
      </c>
      <c r="B1656" s="203" t="s">
        <v>12</v>
      </c>
      <c r="C1656" s="204">
        <v>0.56527777777777777</v>
      </c>
      <c r="D1656" s="205">
        <v>0</v>
      </c>
      <c r="E1656" s="205">
        <v>0</v>
      </c>
      <c r="F1656" s="205">
        <v>0</v>
      </c>
      <c r="G1656" s="205">
        <v>0</v>
      </c>
      <c r="H1656" s="205">
        <v>0</v>
      </c>
      <c r="I1656" s="205">
        <v>0</v>
      </c>
      <c r="J1656" s="205">
        <v>0</v>
      </c>
    </row>
    <row r="1657" spans="1:10">
      <c r="A1657" s="203" t="s">
        <v>161</v>
      </c>
      <c r="B1657" s="203" t="s">
        <v>12</v>
      </c>
      <c r="C1657" s="204">
        <v>0.56597222222222221</v>
      </c>
      <c r="D1657" s="205">
        <v>0</v>
      </c>
      <c r="E1657" s="205">
        <v>0</v>
      </c>
      <c r="F1657" s="205">
        <v>0</v>
      </c>
      <c r="G1657" s="205">
        <v>0</v>
      </c>
      <c r="H1657" s="205">
        <v>0</v>
      </c>
      <c r="I1657" s="205">
        <v>0</v>
      </c>
      <c r="J1657" s="205">
        <v>0</v>
      </c>
    </row>
    <row r="1658" spans="1:10">
      <c r="A1658" s="203" t="s">
        <v>161</v>
      </c>
      <c r="B1658" s="203" t="s">
        <v>12</v>
      </c>
      <c r="C1658" s="204">
        <v>0.56666666666666665</v>
      </c>
      <c r="D1658" s="205">
        <v>0</v>
      </c>
      <c r="E1658" s="205">
        <v>0</v>
      </c>
      <c r="F1658" s="205">
        <v>0</v>
      </c>
      <c r="G1658" s="205">
        <v>0</v>
      </c>
      <c r="H1658" s="205">
        <v>0</v>
      </c>
      <c r="I1658" s="205">
        <v>0</v>
      </c>
      <c r="J1658" s="205">
        <v>0</v>
      </c>
    </row>
    <row r="1659" spans="1:10">
      <c r="A1659" s="203" t="s">
        <v>161</v>
      </c>
      <c r="B1659" s="203" t="s">
        <v>12</v>
      </c>
      <c r="C1659" s="204">
        <v>0.56736111111111109</v>
      </c>
      <c r="D1659" s="205">
        <v>0</v>
      </c>
      <c r="E1659" s="205">
        <v>0</v>
      </c>
      <c r="F1659" s="205">
        <v>0</v>
      </c>
      <c r="G1659" s="205">
        <v>0</v>
      </c>
      <c r="H1659" s="205">
        <v>0</v>
      </c>
      <c r="I1659" s="205">
        <v>0</v>
      </c>
      <c r="J1659" s="205">
        <v>0</v>
      </c>
    </row>
    <row r="1660" spans="1:10">
      <c r="A1660" s="203" t="s">
        <v>161</v>
      </c>
      <c r="B1660" s="203" t="s">
        <v>12</v>
      </c>
      <c r="C1660" s="204">
        <v>0.56805555555555554</v>
      </c>
      <c r="D1660" s="205">
        <v>0</v>
      </c>
      <c r="E1660" s="205">
        <v>0</v>
      </c>
      <c r="F1660" s="205">
        <v>0</v>
      </c>
      <c r="G1660" s="205">
        <v>0</v>
      </c>
      <c r="H1660" s="205">
        <v>0</v>
      </c>
      <c r="I1660" s="205">
        <v>0</v>
      </c>
      <c r="J1660" s="205">
        <v>0</v>
      </c>
    </row>
    <row r="1661" spans="1:10">
      <c r="A1661" s="203" t="s">
        <v>161</v>
      </c>
      <c r="B1661" s="203" t="s">
        <v>12</v>
      </c>
      <c r="C1661" s="204">
        <v>0.56874999999999998</v>
      </c>
      <c r="D1661" s="205">
        <v>0</v>
      </c>
      <c r="E1661" s="205">
        <v>0</v>
      </c>
      <c r="F1661" s="205">
        <v>0</v>
      </c>
      <c r="G1661" s="205">
        <v>0</v>
      </c>
      <c r="H1661" s="205">
        <v>0</v>
      </c>
      <c r="I1661" s="205">
        <v>0</v>
      </c>
      <c r="J1661" s="205">
        <v>0</v>
      </c>
    </row>
    <row r="1662" spans="1:10">
      <c r="A1662" s="203" t="s">
        <v>161</v>
      </c>
      <c r="B1662" s="203" t="s">
        <v>12</v>
      </c>
      <c r="C1662" s="204">
        <v>0.56944444444444442</v>
      </c>
      <c r="D1662" s="205">
        <v>0</v>
      </c>
      <c r="E1662" s="205">
        <v>0</v>
      </c>
      <c r="F1662" s="205">
        <v>0</v>
      </c>
      <c r="G1662" s="205">
        <v>0</v>
      </c>
      <c r="H1662" s="205">
        <v>0</v>
      </c>
      <c r="I1662" s="205">
        <v>0</v>
      </c>
      <c r="J1662" s="205">
        <v>0</v>
      </c>
    </row>
    <row r="1663" spans="1:10">
      <c r="A1663" s="203" t="s">
        <v>161</v>
      </c>
      <c r="B1663" s="203" t="s">
        <v>12</v>
      </c>
      <c r="C1663" s="204">
        <v>0.57013888888888886</v>
      </c>
      <c r="D1663" s="205">
        <v>0</v>
      </c>
      <c r="E1663" s="205">
        <v>0</v>
      </c>
      <c r="F1663" s="205">
        <v>0</v>
      </c>
      <c r="G1663" s="205">
        <v>0</v>
      </c>
      <c r="H1663" s="205">
        <v>0</v>
      </c>
      <c r="I1663" s="205">
        <v>0</v>
      </c>
      <c r="J1663" s="205">
        <v>0</v>
      </c>
    </row>
    <row r="1664" spans="1:10">
      <c r="A1664" s="203" t="s">
        <v>161</v>
      </c>
      <c r="B1664" s="203" t="s">
        <v>12</v>
      </c>
      <c r="C1664" s="204">
        <v>0.5708333333333333</v>
      </c>
      <c r="D1664" s="205">
        <v>0</v>
      </c>
      <c r="E1664" s="205">
        <v>0</v>
      </c>
      <c r="F1664" s="205">
        <v>0</v>
      </c>
      <c r="G1664" s="205">
        <v>0</v>
      </c>
      <c r="H1664" s="205">
        <v>0</v>
      </c>
      <c r="I1664" s="205">
        <v>0</v>
      </c>
      <c r="J1664" s="205">
        <v>0</v>
      </c>
    </row>
    <row r="1665" spans="1:10">
      <c r="A1665" s="203" t="s">
        <v>161</v>
      </c>
      <c r="B1665" s="203" t="s">
        <v>12</v>
      </c>
      <c r="C1665" s="204">
        <v>0.57152777777777775</v>
      </c>
      <c r="D1665" s="205">
        <v>0</v>
      </c>
      <c r="E1665" s="205">
        <v>0</v>
      </c>
      <c r="F1665" s="205">
        <v>0</v>
      </c>
      <c r="G1665" s="205">
        <v>0</v>
      </c>
      <c r="H1665" s="205">
        <v>0</v>
      </c>
      <c r="I1665" s="205">
        <v>0</v>
      </c>
      <c r="J1665" s="205">
        <v>0</v>
      </c>
    </row>
    <row r="1666" spans="1:10" s="78" customFormat="1">
      <c r="A1666" s="206" t="s">
        <v>161</v>
      </c>
      <c r="B1666" s="206" t="s">
        <v>12</v>
      </c>
      <c r="C1666" s="207">
        <v>0.57222222222222219</v>
      </c>
      <c r="D1666" s="208">
        <v>0</v>
      </c>
      <c r="E1666" s="208">
        <v>0</v>
      </c>
      <c r="F1666" s="208">
        <v>0</v>
      </c>
      <c r="G1666" s="208">
        <v>0</v>
      </c>
      <c r="H1666" s="208">
        <v>0</v>
      </c>
      <c r="I1666" s="208">
        <v>0</v>
      </c>
      <c r="J1666" s="208">
        <v>0</v>
      </c>
    </row>
    <row r="1667" spans="1:10">
      <c r="A1667" s="203" t="s">
        <v>161</v>
      </c>
      <c r="B1667" s="203" t="s">
        <v>12</v>
      </c>
      <c r="C1667" s="204">
        <v>0.57291666666666663</v>
      </c>
      <c r="D1667" s="205">
        <v>0</v>
      </c>
      <c r="E1667" s="205">
        <v>0</v>
      </c>
      <c r="F1667" s="205">
        <v>0</v>
      </c>
      <c r="G1667" s="205">
        <v>0</v>
      </c>
      <c r="H1667" s="205">
        <v>0</v>
      </c>
      <c r="I1667" s="205">
        <v>0</v>
      </c>
      <c r="J1667" s="205">
        <v>0</v>
      </c>
    </row>
    <row r="1668" spans="1:10">
      <c r="A1668" s="203" t="s">
        <v>161</v>
      </c>
      <c r="B1668" s="203" t="s">
        <v>12</v>
      </c>
      <c r="C1668" s="204">
        <v>0.57361111111111107</v>
      </c>
      <c r="D1668" s="205">
        <v>0</v>
      </c>
      <c r="E1668" s="205">
        <v>0</v>
      </c>
      <c r="F1668" s="205">
        <v>0</v>
      </c>
      <c r="G1668" s="205">
        <v>0</v>
      </c>
      <c r="H1668" s="205">
        <v>0</v>
      </c>
      <c r="I1668" s="205">
        <v>0</v>
      </c>
      <c r="J1668" s="205">
        <v>0</v>
      </c>
    </row>
    <row r="1669" spans="1:10">
      <c r="A1669" s="203" t="s">
        <v>161</v>
      </c>
      <c r="B1669" s="203" t="s">
        <v>12</v>
      </c>
      <c r="C1669" s="204">
        <v>0.57430555555555551</v>
      </c>
      <c r="D1669" s="205">
        <v>0</v>
      </c>
      <c r="E1669" s="205">
        <v>0</v>
      </c>
      <c r="F1669" s="205">
        <v>0</v>
      </c>
      <c r="G1669" s="205">
        <v>0</v>
      </c>
      <c r="H1669" s="205">
        <v>0</v>
      </c>
      <c r="I1669" s="205">
        <v>0</v>
      </c>
      <c r="J1669" s="205">
        <v>0</v>
      </c>
    </row>
    <row r="1670" spans="1:10">
      <c r="A1670" s="203" t="s">
        <v>161</v>
      </c>
      <c r="B1670" s="203" t="s">
        <v>12</v>
      </c>
      <c r="C1670" s="204">
        <v>0.57499999999999996</v>
      </c>
      <c r="D1670" s="205">
        <v>0</v>
      </c>
      <c r="E1670" s="205">
        <v>0</v>
      </c>
      <c r="F1670" s="205">
        <v>0</v>
      </c>
      <c r="G1670" s="205">
        <v>0</v>
      </c>
      <c r="H1670" s="205">
        <v>0</v>
      </c>
      <c r="I1670" s="205">
        <v>0</v>
      </c>
      <c r="J1670" s="205">
        <v>0</v>
      </c>
    </row>
    <row r="1671" spans="1:10">
      <c r="A1671" s="203" t="s">
        <v>161</v>
      </c>
      <c r="B1671" s="203" t="s">
        <v>12</v>
      </c>
      <c r="C1671" s="204">
        <v>0.5756944444444444</v>
      </c>
      <c r="D1671" s="205">
        <v>0</v>
      </c>
      <c r="E1671" s="205">
        <v>0</v>
      </c>
      <c r="F1671" s="205">
        <v>0</v>
      </c>
      <c r="G1671" s="205">
        <v>0</v>
      </c>
      <c r="H1671" s="205">
        <v>0</v>
      </c>
      <c r="I1671" s="205">
        <v>0</v>
      </c>
      <c r="J1671" s="205">
        <v>0</v>
      </c>
    </row>
    <row r="1672" spans="1:10">
      <c r="A1672" s="203" t="s">
        <v>161</v>
      </c>
      <c r="B1672" s="203" t="s">
        <v>12</v>
      </c>
      <c r="C1672" s="204">
        <v>0.57638888888888884</v>
      </c>
      <c r="D1672" s="205">
        <v>0</v>
      </c>
      <c r="E1672" s="205">
        <v>0</v>
      </c>
      <c r="F1672" s="205">
        <v>0</v>
      </c>
      <c r="G1672" s="205">
        <v>0</v>
      </c>
      <c r="H1672" s="205">
        <v>0</v>
      </c>
      <c r="I1672" s="205">
        <v>0</v>
      </c>
      <c r="J1672" s="205">
        <v>0</v>
      </c>
    </row>
    <row r="1673" spans="1:10">
      <c r="A1673" s="203" t="s">
        <v>161</v>
      </c>
      <c r="B1673" s="203" t="s">
        <v>12</v>
      </c>
      <c r="C1673" s="204">
        <v>0.57708333333333328</v>
      </c>
      <c r="D1673" s="205">
        <v>0</v>
      </c>
      <c r="E1673" s="205">
        <v>0</v>
      </c>
      <c r="F1673" s="205">
        <v>0</v>
      </c>
      <c r="G1673" s="205">
        <v>0</v>
      </c>
      <c r="H1673" s="205">
        <v>0</v>
      </c>
      <c r="I1673" s="205">
        <v>0</v>
      </c>
      <c r="J1673" s="205">
        <v>0</v>
      </c>
    </row>
    <row r="1674" spans="1:10">
      <c r="A1674" s="203" t="s">
        <v>161</v>
      </c>
      <c r="B1674" s="203" t="s">
        <v>12</v>
      </c>
      <c r="C1674" s="204">
        <v>0.57777777777777772</v>
      </c>
      <c r="D1674" s="205">
        <v>0</v>
      </c>
      <c r="E1674" s="205">
        <v>0</v>
      </c>
      <c r="F1674" s="205">
        <v>0</v>
      </c>
      <c r="G1674" s="205">
        <v>0</v>
      </c>
      <c r="H1674" s="205">
        <v>0</v>
      </c>
      <c r="I1674" s="205">
        <v>0</v>
      </c>
      <c r="J1674" s="205">
        <v>0</v>
      </c>
    </row>
    <row r="1675" spans="1:10">
      <c r="A1675" s="203" t="s">
        <v>161</v>
      </c>
      <c r="B1675" s="203" t="s">
        <v>12</v>
      </c>
      <c r="C1675" s="204">
        <v>0.57847222222222228</v>
      </c>
      <c r="D1675" s="205">
        <v>0</v>
      </c>
      <c r="E1675" s="205">
        <v>0</v>
      </c>
      <c r="F1675" s="205">
        <v>0</v>
      </c>
      <c r="G1675" s="205">
        <v>0</v>
      </c>
      <c r="H1675" s="205">
        <v>0</v>
      </c>
      <c r="I1675" s="205">
        <v>0</v>
      </c>
      <c r="J1675" s="205">
        <v>0</v>
      </c>
    </row>
    <row r="1676" spans="1:10">
      <c r="A1676" s="203" t="s">
        <v>161</v>
      </c>
      <c r="B1676" s="203" t="s">
        <v>12</v>
      </c>
      <c r="C1676" s="204">
        <v>0.57916666666666672</v>
      </c>
      <c r="D1676" s="205">
        <v>0</v>
      </c>
      <c r="E1676" s="205">
        <v>0</v>
      </c>
      <c r="F1676" s="205">
        <v>0</v>
      </c>
      <c r="G1676" s="205">
        <v>0</v>
      </c>
      <c r="H1676" s="205">
        <v>0</v>
      </c>
      <c r="I1676" s="205">
        <v>0</v>
      </c>
      <c r="J1676" s="205">
        <v>0</v>
      </c>
    </row>
    <row r="1677" spans="1:10">
      <c r="A1677" s="203" t="s">
        <v>161</v>
      </c>
      <c r="B1677" s="203" t="s">
        <v>12</v>
      </c>
      <c r="C1677" s="204">
        <v>0.57986111111111116</v>
      </c>
      <c r="D1677" s="205">
        <v>0</v>
      </c>
      <c r="E1677" s="205">
        <v>0</v>
      </c>
      <c r="F1677" s="205">
        <v>0</v>
      </c>
      <c r="G1677" s="205">
        <v>0</v>
      </c>
      <c r="H1677" s="205">
        <v>0</v>
      </c>
      <c r="I1677" s="205">
        <v>0</v>
      </c>
      <c r="J1677" s="205">
        <v>0</v>
      </c>
    </row>
    <row r="1678" spans="1:10">
      <c r="A1678" s="203" t="s">
        <v>161</v>
      </c>
      <c r="B1678" s="203" t="s">
        <v>12</v>
      </c>
      <c r="C1678" s="204">
        <v>0.5805555555555556</v>
      </c>
      <c r="D1678" s="205">
        <v>0</v>
      </c>
      <c r="E1678" s="205">
        <v>0</v>
      </c>
      <c r="F1678" s="205">
        <v>0</v>
      </c>
      <c r="G1678" s="205">
        <v>0</v>
      </c>
      <c r="H1678" s="205">
        <v>0</v>
      </c>
      <c r="I1678" s="205">
        <v>0</v>
      </c>
      <c r="J1678" s="205">
        <v>0</v>
      </c>
    </row>
    <row r="1679" spans="1:10">
      <c r="A1679" s="203" t="s">
        <v>161</v>
      </c>
      <c r="B1679" s="203" t="s">
        <v>12</v>
      </c>
      <c r="C1679" s="204">
        <v>0.58125000000000004</v>
      </c>
      <c r="D1679" s="205">
        <v>0</v>
      </c>
      <c r="E1679" s="205">
        <v>0</v>
      </c>
      <c r="F1679" s="205">
        <v>0</v>
      </c>
      <c r="G1679" s="205">
        <v>0</v>
      </c>
      <c r="H1679" s="205">
        <v>0</v>
      </c>
      <c r="I1679" s="205">
        <v>0</v>
      </c>
      <c r="J1679" s="205">
        <v>0</v>
      </c>
    </row>
    <row r="1680" spans="1:10">
      <c r="A1680" s="203" t="s">
        <v>161</v>
      </c>
      <c r="B1680" s="203" t="s">
        <v>12</v>
      </c>
      <c r="C1680" s="204">
        <v>0.58194444444444449</v>
      </c>
      <c r="D1680" s="205">
        <v>0</v>
      </c>
      <c r="E1680" s="205">
        <v>0</v>
      </c>
      <c r="F1680" s="205">
        <v>0</v>
      </c>
      <c r="G1680" s="205">
        <v>0</v>
      </c>
      <c r="H1680" s="205">
        <v>0</v>
      </c>
      <c r="I1680" s="205">
        <v>0</v>
      </c>
      <c r="J1680" s="205">
        <v>0</v>
      </c>
    </row>
    <row r="1681" spans="1:10">
      <c r="A1681" s="206" t="s">
        <v>161</v>
      </c>
      <c r="B1681" s="206" t="s">
        <v>12</v>
      </c>
      <c r="C1681" s="207">
        <v>0.58263888888888893</v>
      </c>
      <c r="D1681" s="205">
        <v>0</v>
      </c>
      <c r="E1681" s="205">
        <v>0</v>
      </c>
      <c r="F1681" s="205">
        <v>0</v>
      </c>
      <c r="G1681" s="205">
        <v>0</v>
      </c>
      <c r="H1681" s="205">
        <v>0</v>
      </c>
      <c r="I1681" s="205">
        <v>0</v>
      </c>
      <c r="J1681" s="205">
        <v>0</v>
      </c>
    </row>
    <row r="1682" spans="1:10">
      <c r="A1682" s="203" t="s">
        <v>161</v>
      </c>
      <c r="B1682" s="203" t="s">
        <v>13</v>
      </c>
      <c r="C1682" s="204">
        <v>0.5</v>
      </c>
      <c r="D1682" s="209">
        <v>0</v>
      </c>
      <c r="E1682" s="209">
        <v>0</v>
      </c>
      <c r="F1682" s="209">
        <v>0</v>
      </c>
      <c r="G1682" s="209">
        <v>0</v>
      </c>
      <c r="H1682" s="209">
        <v>0</v>
      </c>
      <c r="I1682" s="209">
        <v>0</v>
      </c>
      <c r="J1682" s="209">
        <v>0</v>
      </c>
    </row>
    <row r="1683" spans="1:10">
      <c r="A1683" s="203" t="s">
        <v>161</v>
      </c>
      <c r="B1683" s="203" t="s">
        <v>13</v>
      </c>
      <c r="C1683" s="204">
        <v>0.50069444444444444</v>
      </c>
      <c r="D1683" s="205">
        <v>0</v>
      </c>
      <c r="E1683" s="205">
        <v>0</v>
      </c>
      <c r="F1683" s="205">
        <v>0</v>
      </c>
      <c r="G1683" s="205">
        <v>0</v>
      </c>
      <c r="H1683" s="205">
        <v>0</v>
      </c>
      <c r="I1683" s="205">
        <v>0</v>
      </c>
      <c r="J1683" s="205">
        <v>0</v>
      </c>
    </row>
    <row r="1684" spans="1:10">
      <c r="A1684" s="203" t="s">
        <v>161</v>
      </c>
      <c r="B1684" s="203" t="s">
        <v>13</v>
      </c>
      <c r="C1684" s="204">
        <v>0.50138888888888899</v>
      </c>
      <c r="D1684" s="205">
        <v>0</v>
      </c>
      <c r="E1684" s="205">
        <v>0</v>
      </c>
      <c r="F1684" s="205">
        <v>0</v>
      </c>
      <c r="G1684" s="205">
        <v>0</v>
      </c>
      <c r="H1684" s="205">
        <v>0</v>
      </c>
      <c r="I1684" s="205">
        <v>0</v>
      </c>
      <c r="J1684" s="205">
        <v>0</v>
      </c>
    </row>
    <row r="1685" spans="1:10">
      <c r="A1685" s="203" t="s">
        <v>161</v>
      </c>
      <c r="B1685" s="203" t="s">
        <v>13</v>
      </c>
      <c r="C1685" s="204">
        <v>0.50208333333333299</v>
      </c>
      <c r="D1685" s="205">
        <v>0</v>
      </c>
      <c r="E1685" s="205">
        <v>0</v>
      </c>
      <c r="F1685" s="205">
        <v>0</v>
      </c>
      <c r="G1685" s="205">
        <v>0</v>
      </c>
      <c r="H1685" s="205">
        <v>0</v>
      </c>
      <c r="I1685" s="205">
        <v>0</v>
      </c>
      <c r="J1685" s="205">
        <v>0</v>
      </c>
    </row>
    <row r="1686" spans="1:10">
      <c r="A1686" s="203" t="s">
        <v>161</v>
      </c>
      <c r="B1686" s="203" t="s">
        <v>13</v>
      </c>
      <c r="C1686" s="204">
        <v>0.50277777777777799</v>
      </c>
      <c r="D1686" s="205">
        <v>0</v>
      </c>
      <c r="E1686" s="205">
        <v>0</v>
      </c>
      <c r="F1686" s="205">
        <v>0</v>
      </c>
      <c r="G1686" s="205">
        <v>0</v>
      </c>
      <c r="H1686" s="205">
        <v>0</v>
      </c>
      <c r="I1686" s="205">
        <v>0</v>
      </c>
      <c r="J1686" s="205">
        <v>0</v>
      </c>
    </row>
    <row r="1687" spans="1:10">
      <c r="A1687" s="203" t="s">
        <v>161</v>
      </c>
      <c r="B1687" s="203" t="s">
        <v>13</v>
      </c>
      <c r="C1687" s="204">
        <v>0.50347222222222199</v>
      </c>
      <c r="D1687" s="205">
        <v>0</v>
      </c>
      <c r="E1687" s="205">
        <v>0</v>
      </c>
      <c r="F1687" s="205">
        <v>0</v>
      </c>
      <c r="G1687" s="205">
        <v>0</v>
      </c>
      <c r="H1687" s="205">
        <v>0</v>
      </c>
      <c r="I1687" s="205">
        <v>0</v>
      </c>
      <c r="J1687" s="205">
        <v>0</v>
      </c>
    </row>
    <row r="1688" spans="1:10">
      <c r="A1688" s="203" t="s">
        <v>161</v>
      </c>
      <c r="B1688" s="203" t="s">
        <v>13</v>
      </c>
      <c r="C1688" s="204">
        <v>0.50416666666666698</v>
      </c>
      <c r="D1688" s="205">
        <v>0</v>
      </c>
      <c r="E1688" s="205">
        <v>0</v>
      </c>
      <c r="F1688" s="205">
        <v>0</v>
      </c>
      <c r="G1688" s="205">
        <v>0</v>
      </c>
      <c r="H1688" s="205">
        <v>0</v>
      </c>
      <c r="I1688" s="205">
        <v>0</v>
      </c>
      <c r="J1688" s="205">
        <v>0</v>
      </c>
    </row>
    <row r="1689" spans="1:10">
      <c r="A1689" s="203" t="s">
        <v>161</v>
      </c>
      <c r="B1689" s="203" t="s">
        <v>13</v>
      </c>
      <c r="C1689" s="204">
        <v>0.50486111111111098</v>
      </c>
      <c r="D1689" s="205">
        <v>0</v>
      </c>
      <c r="E1689" s="205">
        <v>0</v>
      </c>
      <c r="F1689" s="205">
        <v>0</v>
      </c>
      <c r="G1689" s="205">
        <v>0</v>
      </c>
      <c r="H1689" s="205">
        <v>0</v>
      </c>
      <c r="I1689" s="205">
        <v>0</v>
      </c>
      <c r="J1689" s="205">
        <v>0</v>
      </c>
    </row>
    <row r="1690" spans="1:10">
      <c r="A1690" s="203" t="s">
        <v>161</v>
      </c>
      <c r="B1690" s="203" t="s">
        <v>13</v>
      </c>
      <c r="C1690" s="204">
        <v>0.50555555555555598</v>
      </c>
      <c r="D1690" s="205">
        <v>0</v>
      </c>
      <c r="E1690" s="205">
        <v>0</v>
      </c>
      <c r="F1690" s="205">
        <v>0</v>
      </c>
      <c r="G1690" s="205">
        <v>0</v>
      </c>
      <c r="H1690" s="205">
        <v>0</v>
      </c>
      <c r="I1690" s="205">
        <v>0</v>
      </c>
      <c r="J1690" s="205">
        <v>0</v>
      </c>
    </row>
    <row r="1691" spans="1:10">
      <c r="A1691" s="203" t="s">
        <v>161</v>
      </c>
      <c r="B1691" s="203" t="s">
        <v>13</v>
      </c>
      <c r="C1691" s="204">
        <v>0.50624999999999998</v>
      </c>
      <c r="D1691" s="205">
        <v>0</v>
      </c>
      <c r="E1691" s="205">
        <v>0</v>
      </c>
      <c r="F1691" s="205">
        <v>0</v>
      </c>
      <c r="G1691" s="205">
        <v>0</v>
      </c>
      <c r="H1691" s="205">
        <v>0</v>
      </c>
      <c r="I1691" s="205">
        <v>0</v>
      </c>
      <c r="J1691" s="205">
        <v>0</v>
      </c>
    </row>
    <row r="1692" spans="1:10">
      <c r="A1692" s="203" t="s">
        <v>161</v>
      </c>
      <c r="B1692" s="203" t="s">
        <v>13</v>
      </c>
      <c r="C1692" s="204">
        <v>0.50694444444444398</v>
      </c>
      <c r="D1692" s="205">
        <v>0</v>
      </c>
      <c r="E1692" s="205">
        <v>0</v>
      </c>
      <c r="F1692" s="205">
        <v>0</v>
      </c>
      <c r="G1692" s="205">
        <v>0</v>
      </c>
      <c r="H1692" s="205">
        <v>0</v>
      </c>
      <c r="I1692" s="205">
        <v>0</v>
      </c>
      <c r="J1692" s="205">
        <v>0</v>
      </c>
    </row>
    <row r="1693" spans="1:10">
      <c r="A1693" s="203" t="s">
        <v>161</v>
      </c>
      <c r="B1693" s="203" t="s">
        <v>13</v>
      </c>
      <c r="C1693" s="204">
        <v>0.50763888888888897</v>
      </c>
      <c r="D1693" s="205">
        <v>0</v>
      </c>
      <c r="E1693" s="205">
        <v>0</v>
      </c>
      <c r="F1693" s="205">
        <v>0</v>
      </c>
      <c r="G1693" s="205">
        <v>0</v>
      </c>
      <c r="H1693" s="205">
        <v>0</v>
      </c>
      <c r="I1693" s="205">
        <v>0</v>
      </c>
      <c r="J1693" s="205">
        <v>0</v>
      </c>
    </row>
    <row r="1694" spans="1:10">
      <c r="A1694" s="203" t="s">
        <v>161</v>
      </c>
      <c r="B1694" s="203" t="s">
        <v>13</v>
      </c>
      <c r="C1694" s="204">
        <v>0.50833333333333297</v>
      </c>
      <c r="D1694" s="205">
        <v>0</v>
      </c>
      <c r="E1694" s="205">
        <v>0</v>
      </c>
      <c r="F1694" s="205">
        <v>0</v>
      </c>
      <c r="G1694" s="205">
        <v>0</v>
      </c>
      <c r="H1694" s="205">
        <v>0</v>
      </c>
      <c r="I1694" s="205">
        <v>0</v>
      </c>
      <c r="J1694" s="205">
        <v>0</v>
      </c>
    </row>
    <row r="1695" spans="1:10">
      <c r="A1695" s="203" t="s">
        <v>161</v>
      </c>
      <c r="B1695" s="203" t="s">
        <v>13</v>
      </c>
      <c r="C1695" s="204">
        <v>0.50902777777777797</v>
      </c>
      <c r="D1695" s="205">
        <v>0</v>
      </c>
      <c r="E1695" s="205">
        <v>0</v>
      </c>
      <c r="F1695" s="205">
        <v>0</v>
      </c>
      <c r="G1695" s="205">
        <v>0</v>
      </c>
      <c r="H1695" s="205">
        <v>0</v>
      </c>
      <c r="I1695" s="205">
        <v>0</v>
      </c>
      <c r="J1695" s="205">
        <v>0</v>
      </c>
    </row>
    <row r="1696" spans="1:10" s="78" customFormat="1">
      <c r="A1696" s="206" t="s">
        <v>161</v>
      </c>
      <c r="B1696" s="206" t="s">
        <v>13</v>
      </c>
      <c r="C1696" s="207">
        <v>0.50972222222222197</v>
      </c>
      <c r="D1696" s="208">
        <v>0</v>
      </c>
      <c r="E1696" s="208">
        <v>0</v>
      </c>
      <c r="F1696" s="208">
        <v>0</v>
      </c>
      <c r="G1696" s="208">
        <v>0</v>
      </c>
      <c r="H1696" s="208">
        <v>0</v>
      </c>
      <c r="I1696" s="208">
        <v>0</v>
      </c>
      <c r="J1696" s="208">
        <v>0</v>
      </c>
    </row>
    <row r="1697" spans="1:10">
      <c r="A1697" s="203" t="s">
        <v>161</v>
      </c>
      <c r="B1697" s="203" t="s">
        <v>13</v>
      </c>
      <c r="C1697" s="204">
        <v>0.51041666666666663</v>
      </c>
      <c r="D1697" s="205">
        <v>0</v>
      </c>
      <c r="E1697" s="205">
        <v>0</v>
      </c>
      <c r="F1697" s="205">
        <v>0</v>
      </c>
      <c r="G1697" s="205">
        <v>0</v>
      </c>
      <c r="H1697" s="205">
        <v>0</v>
      </c>
      <c r="I1697" s="205">
        <v>0</v>
      </c>
      <c r="J1697" s="205">
        <v>0</v>
      </c>
    </row>
    <row r="1698" spans="1:10">
      <c r="A1698" s="203" t="s">
        <v>161</v>
      </c>
      <c r="B1698" s="203" t="s">
        <v>13</v>
      </c>
      <c r="C1698" s="204">
        <v>0.51111111111111107</v>
      </c>
      <c r="D1698" s="205">
        <v>0</v>
      </c>
      <c r="E1698" s="205">
        <v>0</v>
      </c>
      <c r="F1698" s="205">
        <v>0</v>
      </c>
      <c r="G1698" s="205">
        <v>0</v>
      </c>
      <c r="H1698" s="205">
        <v>0</v>
      </c>
      <c r="I1698" s="205">
        <v>0</v>
      </c>
      <c r="J1698" s="205">
        <v>0</v>
      </c>
    </row>
    <row r="1699" spans="1:10">
      <c r="A1699" s="203" t="s">
        <v>161</v>
      </c>
      <c r="B1699" s="203" t="s">
        <v>13</v>
      </c>
      <c r="C1699" s="204">
        <v>0.51180555555555551</v>
      </c>
      <c r="D1699" s="205">
        <v>0</v>
      </c>
      <c r="E1699" s="205">
        <v>0</v>
      </c>
      <c r="F1699" s="205">
        <v>0</v>
      </c>
      <c r="G1699" s="205">
        <v>0</v>
      </c>
      <c r="H1699" s="205">
        <v>0</v>
      </c>
      <c r="I1699" s="205">
        <v>0</v>
      </c>
      <c r="J1699" s="205">
        <v>0</v>
      </c>
    </row>
    <row r="1700" spans="1:10">
      <c r="A1700" s="203" t="s">
        <v>161</v>
      </c>
      <c r="B1700" s="203" t="s">
        <v>13</v>
      </c>
      <c r="C1700" s="204">
        <v>0.51249999999999996</v>
      </c>
      <c r="D1700" s="205">
        <v>0</v>
      </c>
      <c r="E1700" s="205">
        <v>0</v>
      </c>
      <c r="F1700" s="205">
        <v>0</v>
      </c>
      <c r="G1700" s="205">
        <v>0</v>
      </c>
      <c r="H1700" s="205">
        <v>0</v>
      </c>
      <c r="I1700" s="205">
        <v>0</v>
      </c>
      <c r="J1700" s="205">
        <v>0</v>
      </c>
    </row>
    <row r="1701" spans="1:10">
      <c r="A1701" s="203" t="s">
        <v>161</v>
      </c>
      <c r="B1701" s="203" t="s">
        <v>13</v>
      </c>
      <c r="C1701" s="204">
        <v>0.5131944444444444</v>
      </c>
      <c r="D1701" s="205">
        <v>0</v>
      </c>
      <c r="E1701" s="205">
        <v>0</v>
      </c>
      <c r="F1701" s="205">
        <v>0</v>
      </c>
      <c r="G1701" s="205">
        <v>0</v>
      </c>
      <c r="H1701" s="205">
        <v>0</v>
      </c>
      <c r="I1701" s="205">
        <v>0</v>
      </c>
      <c r="J1701" s="205">
        <v>0</v>
      </c>
    </row>
    <row r="1702" spans="1:10">
      <c r="A1702" s="203" t="s">
        <v>161</v>
      </c>
      <c r="B1702" s="203" t="s">
        <v>13</v>
      </c>
      <c r="C1702" s="204">
        <v>0.51388888888888884</v>
      </c>
      <c r="D1702" s="205">
        <v>0</v>
      </c>
      <c r="E1702" s="205">
        <v>0</v>
      </c>
      <c r="F1702" s="205">
        <v>0</v>
      </c>
      <c r="G1702" s="205">
        <v>0</v>
      </c>
      <c r="H1702" s="205">
        <v>0</v>
      </c>
      <c r="I1702" s="205">
        <v>0</v>
      </c>
      <c r="J1702" s="205">
        <v>0</v>
      </c>
    </row>
    <row r="1703" spans="1:10">
      <c r="A1703" s="203" t="s">
        <v>161</v>
      </c>
      <c r="B1703" s="203" t="s">
        <v>13</v>
      </c>
      <c r="C1703" s="204">
        <v>0.51458333333333328</v>
      </c>
      <c r="D1703" s="205">
        <v>0</v>
      </c>
      <c r="E1703" s="205">
        <v>0</v>
      </c>
      <c r="F1703" s="205">
        <v>0</v>
      </c>
      <c r="G1703" s="205">
        <v>0</v>
      </c>
      <c r="H1703" s="205">
        <v>0</v>
      </c>
      <c r="I1703" s="205">
        <v>0</v>
      </c>
      <c r="J1703" s="205">
        <v>0</v>
      </c>
    </row>
    <row r="1704" spans="1:10">
      <c r="A1704" s="203" t="s">
        <v>161</v>
      </c>
      <c r="B1704" s="203" t="s">
        <v>13</v>
      </c>
      <c r="C1704" s="204">
        <v>0.51527777777777772</v>
      </c>
      <c r="D1704" s="205">
        <v>0</v>
      </c>
      <c r="E1704" s="205">
        <v>0</v>
      </c>
      <c r="F1704" s="205">
        <v>0</v>
      </c>
      <c r="G1704" s="205">
        <v>0</v>
      </c>
      <c r="H1704" s="205">
        <v>0</v>
      </c>
      <c r="I1704" s="205">
        <v>0</v>
      </c>
      <c r="J1704" s="205">
        <v>0</v>
      </c>
    </row>
    <row r="1705" spans="1:10">
      <c r="A1705" s="203" t="s">
        <v>161</v>
      </c>
      <c r="B1705" s="203" t="s">
        <v>13</v>
      </c>
      <c r="C1705" s="204">
        <v>0.51597222222222228</v>
      </c>
      <c r="D1705" s="205">
        <v>0</v>
      </c>
      <c r="E1705" s="205">
        <v>0</v>
      </c>
      <c r="F1705" s="205">
        <v>0</v>
      </c>
      <c r="G1705" s="205">
        <v>0</v>
      </c>
      <c r="H1705" s="205">
        <v>0</v>
      </c>
      <c r="I1705" s="205">
        <v>0</v>
      </c>
      <c r="J1705" s="205">
        <v>0</v>
      </c>
    </row>
    <row r="1706" spans="1:10">
      <c r="A1706" s="203" t="s">
        <v>161</v>
      </c>
      <c r="B1706" s="203" t="s">
        <v>13</v>
      </c>
      <c r="C1706" s="204">
        <v>0.51666666666666672</v>
      </c>
      <c r="D1706" s="205">
        <v>0</v>
      </c>
      <c r="E1706" s="205">
        <v>0</v>
      </c>
      <c r="F1706" s="205">
        <v>0</v>
      </c>
      <c r="G1706" s="205">
        <v>0</v>
      </c>
      <c r="H1706" s="205">
        <v>0</v>
      </c>
      <c r="I1706" s="205">
        <v>0</v>
      </c>
      <c r="J1706" s="205">
        <v>0</v>
      </c>
    </row>
    <row r="1707" spans="1:10">
      <c r="A1707" s="203" t="s">
        <v>161</v>
      </c>
      <c r="B1707" s="203" t="s">
        <v>13</v>
      </c>
      <c r="C1707" s="204">
        <v>0.51736111111111116</v>
      </c>
      <c r="D1707" s="205">
        <v>0</v>
      </c>
      <c r="E1707" s="205">
        <v>0</v>
      </c>
      <c r="F1707" s="205">
        <v>0</v>
      </c>
      <c r="G1707" s="205">
        <v>0</v>
      </c>
      <c r="H1707" s="205">
        <v>0</v>
      </c>
      <c r="I1707" s="205">
        <v>0</v>
      </c>
      <c r="J1707" s="205">
        <v>0</v>
      </c>
    </row>
    <row r="1708" spans="1:10">
      <c r="A1708" s="203" t="s">
        <v>161</v>
      </c>
      <c r="B1708" s="203" t="s">
        <v>13</v>
      </c>
      <c r="C1708" s="204">
        <v>0.5180555555555556</v>
      </c>
      <c r="D1708" s="205">
        <v>0</v>
      </c>
      <c r="E1708" s="205">
        <v>0</v>
      </c>
      <c r="F1708" s="205">
        <v>0</v>
      </c>
      <c r="G1708" s="205">
        <v>0</v>
      </c>
      <c r="H1708" s="205">
        <v>0</v>
      </c>
      <c r="I1708" s="205">
        <v>0</v>
      </c>
      <c r="J1708" s="205">
        <v>0</v>
      </c>
    </row>
    <row r="1709" spans="1:10">
      <c r="A1709" s="203" t="s">
        <v>161</v>
      </c>
      <c r="B1709" s="203" t="s">
        <v>13</v>
      </c>
      <c r="C1709" s="204">
        <v>0.51875000000000004</v>
      </c>
      <c r="D1709" s="205">
        <v>0</v>
      </c>
      <c r="E1709" s="205">
        <v>0</v>
      </c>
      <c r="F1709" s="205">
        <v>0</v>
      </c>
      <c r="G1709" s="205">
        <v>0</v>
      </c>
      <c r="H1709" s="205">
        <v>0</v>
      </c>
      <c r="I1709" s="205">
        <v>0</v>
      </c>
      <c r="J1709" s="205">
        <v>0</v>
      </c>
    </row>
    <row r="1710" spans="1:10">
      <c r="A1710" s="203" t="s">
        <v>161</v>
      </c>
      <c r="B1710" s="203" t="s">
        <v>13</v>
      </c>
      <c r="C1710" s="204">
        <v>0.51944444444444449</v>
      </c>
      <c r="D1710" s="205">
        <v>0</v>
      </c>
      <c r="E1710" s="205">
        <v>0</v>
      </c>
      <c r="F1710" s="205">
        <v>0</v>
      </c>
      <c r="G1710" s="205">
        <v>0</v>
      </c>
      <c r="H1710" s="205">
        <v>0</v>
      </c>
      <c r="I1710" s="205">
        <v>0</v>
      </c>
      <c r="J1710" s="205">
        <v>0</v>
      </c>
    </row>
    <row r="1711" spans="1:10" s="78" customFormat="1">
      <c r="A1711" s="206" t="s">
        <v>161</v>
      </c>
      <c r="B1711" s="206" t="s">
        <v>13</v>
      </c>
      <c r="C1711" s="207">
        <v>0.52013888888888893</v>
      </c>
      <c r="D1711" s="205">
        <v>0</v>
      </c>
      <c r="E1711" s="205">
        <v>0</v>
      </c>
      <c r="F1711" s="205">
        <v>0</v>
      </c>
      <c r="G1711" s="205">
        <v>0</v>
      </c>
      <c r="H1711" s="205">
        <v>0</v>
      </c>
      <c r="I1711" s="205">
        <v>0</v>
      </c>
      <c r="J1711" s="205">
        <v>0</v>
      </c>
    </row>
    <row r="1712" spans="1:10">
      <c r="A1712" s="203" t="s">
        <v>161</v>
      </c>
      <c r="B1712" s="203" t="s">
        <v>13</v>
      </c>
      <c r="C1712" s="204">
        <v>0.52083333333333337</v>
      </c>
      <c r="D1712" s="209">
        <v>0</v>
      </c>
      <c r="E1712" s="209">
        <v>0</v>
      </c>
      <c r="F1712" s="209">
        <v>0</v>
      </c>
      <c r="G1712" s="209">
        <v>0</v>
      </c>
      <c r="H1712" s="209">
        <v>0</v>
      </c>
      <c r="I1712" s="209">
        <v>0</v>
      </c>
      <c r="J1712" s="209">
        <v>0</v>
      </c>
    </row>
    <row r="1713" spans="1:10">
      <c r="A1713" s="203" t="s">
        <v>161</v>
      </c>
      <c r="B1713" s="203" t="s">
        <v>13</v>
      </c>
      <c r="C1713" s="204">
        <v>0.52152777777777781</v>
      </c>
      <c r="D1713" s="205">
        <v>0</v>
      </c>
      <c r="E1713" s="205">
        <v>0</v>
      </c>
      <c r="F1713" s="205">
        <v>0</v>
      </c>
      <c r="G1713" s="205">
        <v>0</v>
      </c>
      <c r="H1713" s="205">
        <v>0</v>
      </c>
      <c r="I1713" s="205">
        <v>0</v>
      </c>
      <c r="J1713" s="205">
        <v>0</v>
      </c>
    </row>
    <row r="1714" spans="1:10">
      <c r="A1714" s="203" t="s">
        <v>161</v>
      </c>
      <c r="B1714" s="203" t="s">
        <v>13</v>
      </c>
      <c r="C1714" s="204">
        <v>0.52222222222222225</v>
      </c>
      <c r="D1714" s="205">
        <v>0</v>
      </c>
      <c r="E1714" s="205">
        <v>0</v>
      </c>
      <c r="F1714" s="205">
        <v>0</v>
      </c>
      <c r="G1714" s="205">
        <v>0</v>
      </c>
      <c r="H1714" s="205">
        <v>0</v>
      </c>
      <c r="I1714" s="205">
        <v>0</v>
      </c>
      <c r="J1714" s="205">
        <v>0</v>
      </c>
    </row>
    <row r="1715" spans="1:10">
      <c r="A1715" s="203" t="s">
        <v>161</v>
      </c>
      <c r="B1715" s="203" t="s">
        <v>13</v>
      </c>
      <c r="C1715" s="204">
        <v>0.5229166666666667</v>
      </c>
      <c r="D1715" s="205">
        <v>0</v>
      </c>
      <c r="E1715" s="205">
        <v>0</v>
      </c>
      <c r="F1715" s="205">
        <v>0</v>
      </c>
      <c r="G1715" s="205">
        <v>0</v>
      </c>
      <c r="H1715" s="205">
        <v>0</v>
      </c>
      <c r="I1715" s="205">
        <v>0</v>
      </c>
      <c r="J1715" s="205">
        <v>0</v>
      </c>
    </row>
    <row r="1716" spans="1:10">
      <c r="A1716" s="203" t="s">
        <v>161</v>
      </c>
      <c r="B1716" s="203" t="s">
        <v>13</v>
      </c>
      <c r="C1716" s="204">
        <v>0.52361111111111114</v>
      </c>
      <c r="D1716" s="205">
        <v>0</v>
      </c>
      <c r="E1716" s="205">
        <v>0</v>
      </c>
      <c r="F1716" s="205">
        <v>0</v>
      </c>
      <c r="G1716" s="205">
        <v>0</v>
      </c>
      <c r="H1716" s="205">
        <v>0</v>
      </c>
      <c r="I1716" s="205">
        <v>0</v>
      </c>
      <c r="J1716" s="205">
        <v>0</v>
      </c>
    </row>
    <row r="1717" spans="1:10">
      <c r="A1717" s="203" t="s">
        <v>161</v>
      </c>
      <c r="B1717" s="203" t="s">
        <v>13</v>
      </c>
      <c r="C1717" s="204">
        <v>0.52430555555555558</v>
      </c>
      <c r="D1717" s="205">
        <v>0</v>
      </c>
      <c r="E1717" s="205">
        <v>0</v>
      </c>
      <c r="F1717" s="205">
        <v>0</v>
      </c>
      <c r="G1717" s="205">
        <v>0</v>
      </c>
      <c r="H1717" s="205">
        <v>0</v>
      </c>
      <c r="I1717" s="205">
        <v>0</v>
      </c>
      <c r="J1717" s="205">
        <v>0</v>
      </c>
    </row>
    <row r="1718" spans="1:10">
      <c r="A1718" s="203" t="s">
        <v>161</v>
      </c>
      <c r="B1718" s="203" t="s">
        <v>13</v>
      </c>
      <c r="C1718" s="204">
        <v>0.52500000000000002</v>
      </c>
      <c r="D1718" s="205">
        <v>0</v>
      </c>
      <c r="E1718" s="205">
        <v>0</v>
      </c>
      <c r="F1718" s="205">
        <v>0</v>
      </c>
      <c r="G1718" s="205">
        <v>0</v>
      </c>
      <c r="H1718" s="205">
        <v>0</v>
      </c>
      <c r="I1718" s="205">
        <v>0</v>
      </c>
      <c r="J1718" s="205">
        <v>0</v>
      </c>
    </row>
    <row r="1719" spans="1:10">
      <c r="A1719" s="203" t="s">
        <v>161</v>
      </c>
      <c r="B1719" s="203" t="s">
        <v>13</v>
      </c>
      <c r="C1719" s="204">
        <v>0.52569444444444446</v>
      </c>
      <c r="D1719" s="205">
        <v>0</v>
      </c>
      <c r="E1719" s="205">
        <v>0</v>
      </c>
      <c r="F1719" s="205">
        <v>0</v>
      </c>
      <c r="G1719" s="205">
        <v>0</v>
      </c>
      <c r="H1719" s="205">
        <v>0</v>
      </c>
      <c r="I1719" s="205">
        <v>0</v>
      </c>
      <c r="J1719" s="205">
        <v>0</v>
      </c>
    </row>
    <row r="1720" spans="1:10">
      <c r="A1720" s="203" t="s">
        <v>161</v>
      </c>
      <c r="B1720" s="203" t="s">
        <v>13</v>
      </c>
      <c r="C1720" s="204">
        <v>0.52638888888888891</v>
      </c>
      <c r="D1720" s="205">
        <v>0</v>
      </c>
      <c r="E1720" s="205">
        <v>0</v>
      </c>
      <c r="F1720" s="205">
        <v>0</v>
      </c>
      <c r="G1720" s="205">
        <v>0</v>
      </c>
      <c r="H1720" s="205">
        <v>0</v>
      </c>
      <c r="I1720" s="205">
        <v>0</v>
      </c>
      <c r="J1720" s="205">
        <v>0</v>
      </c>
    </row>
    <row r="1721" spans="1:10">
      <c r="A1721" s="203" t="s">
        <v>161</v>
      </c>
      <c r="B1721" s="203" t="s">
        <v>13</v>
      </c>
      <c r="C1721" s="204">
        <v>0.52708333333333335</v>
      </c>
      <c r="D1721" s="205">
        <v>0</v>
      </c>
      <c r="E1721" s="205">
        <v>0</v>
      </c>
      <c r="F1721" s="205">
        <v>0</v>
      </c>
      <c r="G1721" s="205">
        <v>0</v>
      </c>
      <c r="H1721" s="205">
        <v>0</v>
      </c>
      <c r="I1721" s="205">
        <v>0</v>
      </c>
      <c r="J1721" s="205">
        <v>0</v>
      </c>
    </row>
    <row r="1722" spans="1:10">
      <c r="A1722" s="203" t="s">
        <v>161</v>
      </c>
      <c r="B1722" s="203" t="s">
        <v>13</v>
      </c>
      <c r="C1722" s="204">
        <v>0.52777777777777779</v>
      </c>
      <c r="D1722" s="205">
        <v>0</v>
      </c>
      <c r="E1722" s="205">
        <v>0</v>
      </c>
      <c r="F1722" s="205">
        <v>0</v>
      </c>
      <c r="G1722" s="205">
        <v>0</v>
      </c>
      <c r="H1722" s="205">
        <v>0</v>
      </c>
      <c r="I1722" s="205">
        <v>0</v>
      </c>
      <c r="J1722" s="205">
        <v>0</v>
      </c>
    </row>
    <row r="1723" spans="1:10">
      <c r="A1723" s="203" t="s">
        <v>161</v>
      </c>
      <c r="B1723" s="203" t="s">
        <v>13</v>
      </c>
      <c r="C1723" s="204">
        <v>0.52847222222222223</v>
      </c>
      <c r="D1723" s="205">
        <v>0</v>
      </c>
      <c r="E1723" s="205">
        <v>0</v>
      </c>
      <c r="F1723" s="205">
        <v>0</v>
      </c>
      <c r="G1723" s="205">
        <v>0</v>
      </c>
      <c r="H1723" s="205">
        <v>0</v>
      </c>
      <c r="I1723" s="205">
        <v>0</v>
      </c>
      <c r="J1723" s="205">
        <v>0</v>
      </c>
    </row>
    <row r="1724" spans="1:10">
      <c r="A1724" s="203" t="s">
        <v>161</v>
      </c>
      <c r="B1724" s="203" t="s">
        <v>13</v>
      </c>
      <c r="C1724" s="204">
        <v>0.52916666666666667</v>
      </c>
      <c r="D1724" s="205">
        <v>0</v>
      </c>
      <c r="E1724" s="205">
        <v>0</v>
      </c>
      <c r="F1724" s="205">
        <v>0</v>
      </c>
      <c r="G1724" s="205">
        <v>0</v>
      </c>
      <c r="H1724" s="205">
        <v>0</v>
      </c>
      <c r="I1724" s="205">
        <v>0</v>
      </c>
      <c r="J1724" s="205">
        <v>0</v>
      </c>
    </row>
    <row r="1725" spans="1:10">
      <c r="A1725" s="203" t="s">
        <v>161</v>
      </c>
      <c r="B1725" s="203" t="s">
        <v>13</v>
      </c>
      <c r="C1725" s="204">
        <v>0.52986111111111112</v>
      </c>
      <c r="D1725" s="205">
        <v>0</v>
      </c>
      <c r="E1725" s="205">
        <v>0</v>
      </c>
      <c r="F1725" s="205">
        <v>0</v>
      </c>
      <c r="G1725" s="205">
        <v>0</v>
      </c>
      <c r="H1725" s="205">
        <v>0</v>
      </c>
      <c r="I1725" s="205">
        <v>0</v>
      </c>
      <c r="J1725" s="205">
        <v>0</v>
      </c>
    </row>
    <row r="1726" spans="1:10" s="78" customFormat="1">
      <c r="A1726" s="206" t="s">
        <v>161</v>
      </c>
      <c r="B1726" s="206" t="s">
        <v>13</v>
      </c>
      <c r="C1726" s="207">
        <v>0.53055555555555556</v>
      </c>
      <c r="D1726" s="208">
        <v>0</v>
      </c>
      <c r="E1726" s="208">
        <v>0</v>
      </c>
      <c r="F1726" s="208">
        <v>0</v>
      </c>
      <c r="G1726" s="208">
        <v>0</v>
      </c>
      <c r="H1726" s="208">
        <v>0</v>
      </c>
      <c r="I1726" s="208">
        <v>0</v>
      </c>
      <c r="J1726" s="208">
        <v>0</v>
      </c>
    </row>
    <row r="1727" spans="1:10">
      <c r="A1727" s="203" t="s">
        <v>161</v>
      </c>
      <c r="B1727" s="203" t="s">
        <v>13</v>
      </c>
      <c r="C1727" s="204">
        <v>0.53125</v>
      </c>
      <c r="D1727" s="209">
        <v>0</v>
      </c>
      <c r="E1727" s="209">
        <v>0</v>
      </c>
      <c r="F1727" s="209">
        <v>0</v>
      </c>
      <c r="G1727" s="209">
        <v>0</v>
      </c>
      <c r="H1727" s="209">
        <v>0</v>
      </c>
      <c r="I1727" s="209">
        <v>0</v>
      </c>
      <c r="J1727" s="209">
        <v>0</v>
      </c>
    </row>
    <row r="1728" spans="1:10">
      <c r="A1728" s="203" t="s">
        <v>161</v>
      </c>
      <c r="B1728" s="203" t="s">
        <v>13</v>
      </c>
      <c r="C1728" s="204">
        <v>0.53194444444444444</v>
      </c>
      <c r="D1728" s="205">
        <v>0</v>
      </c>
      <c r="E1728" s="205">
        <v>0</v>
      </c>
      <c r="F1728" s="205">
        <v>0</v>
      </c>
      <c r="G1728" s="205">
        <v>0</v>
      </c>
      <c r="H1728" s="205">
        <v>0</v>
      </c>
      <c r="I1728" s="205">
        <v>0</v>
      </c>
      <c r="J1728" s="205">
        <v>0</v>
      </c>
    </row>
    <row r="1729" spans="1:10">
      <c r="A1729" s="203" t="s">
        <v>161</v>
      </c>
      <c r="B1729" s="203" t="s">
        <v>13</v>
      </c>
      <c r="C1729" s="204">
        <v>0.53263888888888888</v>
      </c>
      <c r="D1729" s="205">
        <v>0</v>
      </c>
      <c r="E1729" s="205">
        <v>0</v>
      </c>
      <c r="F1729" s="205">
        <v>0</v>
      </c>
      <c r="G1729" s="205">
        <v>0</v>
      </c>
      <c r="H1729" s="205">
        <v>0</v>
      </c>
      <c r="I1729" s="205">
        <v>0</v>
      </c>
      <c r="J1729" s="205">
        <v>0</v>
      </c>
    </row>
    <row r="1730" spans="1:10">
      <c r="A1730" s="203" t="s">
        <v>161</v>
      </c>
      <c r="B1730" s="203" t="s">
        <v>13</v>
      </c>
      <c r="C1730" s="204">
        <v>0.53333333333333333</v>
      </c>
      <c r="D1730" s="205">
        <v>0</v>
      </c>
      <c r="E1730" s="205">
        <v>0</v>
      </c>
      <c r="F1730" s="205">
        <v>0</v>
      </c>
      <c r="G1730" s="205">
        <v>0</v>
      </c>
      <c r="H1730" s="205">
        <v>0</v>
      </c>
      <c r="I1730" s="205">
        <v>0</v>
      </c>
      <c r="J1730" s="205">
        <v>0</v>
      </c>
    </row>
    <row r="1731" spans="1:10">
      <c r="A1731" s="203" t="s">
        <v>161</v>
      </c>
      <c r="B1731" s="203" t="s">
        <v>13</v>
      </c>
      <c r="C1731" s="204">
        <v>0.53402777777777777</v>
      </c>
      <c r="D1731" s="205">
        <v>0</v>
      </c>
      <c r="E1731" s="205">
        <v>0</v>
      </c>
      <c r="F1731" s="205">
        <v>0</v>
      </c>
      <c r="G1731" s="205">
        <v>0</v>
      </c>
      <c r="H1731" s="205">
        <v>0</v>
      </c>
      <c r="I1731" s="205">
        <v>0</v>
      </c>
      <c r="J1731" s="205">
        <v>0</v>
      </c>
    </row>
    <row r="1732" spans="1:10">
      <c r="A1732" s="203" t="s">
        <v>161</v>
      </c>
      <c r="B1732" s="203" t="s">
        <v>13</v>
      </c>
      <c r="C1732" s="204">
        <v>0.53472222222222221</v>
      </c>
      <c r="D1732" s="205">
        <v>0</v>
      </c>
      <c r="E1732" s="205">
        <v>0</v>
      </c>
      <c r="F1732" s="205">
        <v>0</v>
      </c>
      <c r="G1732" s="205">
        <v>0</v>
      </c>
      <c r="H1732" s="205">
        <v>0</v>
      </c>
      <c r="I1732" s="205">
        <v>0</v>
      </c>
      <c r="J1732" s="205">
        <v>0</v>
      </c>
    </row>
    <row r="1733" spans="1:10">
      <c r="A1733" s="203" t="s">
        <v>161</v>
      </c>
      <c r="B1733" s="203" t="s">
        <v>13</v>
      </c>
      <c r="C1733" s="204">
        <v>0.53541666666666665</v>
      </c>
      <c r="D1733" s="205">
        <v>0</v>
      </c>
      <c r="E1733" s="205">
        <v>0</v>
      </c>
      <c r="F1733" s="205">
        <v>0</v>
      </c>
      <c r="G1733" s="205">
        <v>0</v>
      </c>
      <c r="H1733" s="205">
        <v>0</v>
      </c>
      <c r="I1733" s="205">
        <v>0</v>
      </c>
      <c r="J1733" s="205">
        <v>0</v>
      </c>
    </row>
    <row r="1734" spans="1:10">
      <c r="A1734" s="203" t="s">
        <v>161</v>
      </c>
      <c r="B1734" s="203" t="s">
        <v>13</v>
      </c>
      <c r="C1734" s="204">
        <v>0.53611111111111109</v>
      </c>
      <c r="D1734" s="205">
        <v>0</v>
      </c>
      <c r="E1734" s="205">
        <v>0</v>
      </c>
      <c r="F1734" s="205">
        <v>0</v>
      </c>
      <c r="G1734" s="205">
        <v>0</v>
      </c>
      <c r="H1734" s="205">
        <v>0</v>
      </c>
      <c r="I1734" s="205">
        <v>0</v>
      </c>
      <c r="J1734" s="205">
        <v>0</v>
      </c>
    </row>
    <row r="1735" spans="1:10">
      <c r="A1735" s="203" t="s">
        <v>161</v>
      </c>
      <c r="B1735" s="203" t="s">
        <v>13</v>
      </c>
      <c r="C1735" s="204">
        <v>0.53680555555555554</v>
      </c>
      <c r="D1735" s="205">
        <v>0</v>
      </c>
      <c r="E1735" s="205">
        <v>0</v>
      </c>
      <c r="F1735" s="205">
        <v>0</v>
      </c>
      <c r="G1735" s="205">
        <v>0</v>
      </c>
      <c r="H1735" s="205">
        <v>0</v>
      </c>
      <c r="I1735" s="205">
        <v>0</v>
      </c>
      <c r="J1735" s="205">
        <v>0</v>
      </c>
    </row>
    <row r="1736" spans="1:10">
      <c r="A1736" s="203" t="s">
        <v>161</v>
      </c>
      <c r="B1736" s="203" t="s">
        <v>13</v>
      </c>
      <c r="C1736" s="204">
        <v>0.53749999999999998</v>
      </c>
      <c r="D1736" s="205">
        <v>0</v>
      </c>
      <c r="E1736" s="205">
        <v>0</v>
      </c>
      <c r="F1736" s="205">
        <v>0</v>
      </c>
      <c r="G1736" s="205">
        <v>0</v>
      </c>
      <c r="H1736" s="205">
        <v>0</v>
      </c>
      <c r="I1736" s="205">
        <v>0</v>
      </c>
      <c r="J1736" s="205">
        <v>0</v>
      </c>
    </row>
    <row r="1737" spans="1:10">
      <c r="A1737" s="203" t="s">
        <v>161</v>
      </c>
      <c r="B1737" s="203" t="s">
        <v>13</v>
      </c>
      <c r="C1737" s="204">
        <v>0.53819444444444442</v>
      </c>
      <c r="D1737" s="205">
        <v>0</v>
      </c>
      <c r="E1737" s="205">
        <v>0</v>
      </c>
      <c r="F1737" s="205">
        <v>0</v>
      </c>
      <c r="G1737" s="205">
        <v>0</v>
      </c>
      <c r="H1737" s="205">
        <v>0</v>
      </c>
      <c r="I1737" s="205">
        <v>0</v>
      </c>
      <c r="J1737" s="205">
        <v>0</v>
      </c>
    </row>
    <row r="1738" spans="1:10">
      <c r="A1738" s="203" t="s">
        <v>161</v>
      </c>
      <c r="B1738" s="203" t="s">
        <v>13</v>
      </c>
      <c r="C1738" s="204">
        <v>0.53888888888888886</v>
      </c>
      <c r="D1738" s="205">
        <v>0</v>
      </c>
      <c r="E1738" s="205">
        <v>0</v>
      </c>
      <c r="F1738" s="205">
        <v>0</v>
      </c>
      <c r="G1738" s="205">
        <v>0</v>
      </c>
      <c r="H1738" s="205">
        <v>0</v>
      </c>
      <c r="I1738" s="205">
        <v>0</v>
      </c>
      <c r="J1738" s="205">
        <v>0</v>
      </c>
    </row>
    <row r="1739" spans="1:10">
      <c r="A1739" s="203" t="s">
        <v>161</v>
      </c>
      <c r="B1739" s="203" t="s">
        <v>13</v>
      </c>
      <c r="C1739" s="204">
        <v>0.5395833333333333</v>
      </c>
      <c r="D1739" s="205">
        <v>0</v>
      </c>
      <c r="E1739" s="205">
        <v>0</v>
      </c>
      <c r="F1739" s="205">
        <v>0</v>
      </c>
      <c r="G1739" s="205">
        <v>0</v>
      </c>
      <c r="H1739" s="205">
        <v>0</v>
      </c>
      <c r="I1739" s="205">
        <v>0</v>
      </c>
      <c r="J1739" s="205">
        <v>0</v>
      </c>
    </row>
    <row r="1740" spans="1:10">
      <c r="A1740" s="203" t="s">
        <v>161</v>
      </c>
      <c r="B1740" s="203" t="s">
        <v>13</v>
      </c>
      <c r="C1740" s="204">
        <v>0.54027777777777775</v>
      </c>
      <c r="D1740" s="205">
        <v>0</v>
      </c>
      <c r="E1740" s="205">
        <v>0</v>
      </c>
      <c r="F1740" s="205">
        <v>0</v>
      </c>
      <c r="G1740" s="205">
        <v>0</v>
      </c>
      <c r="H1740" s="205">
        <v>0</v>
      </c>
      <c r="I1740" s="205">
        <v>0</v>
      </c>
      <c r="J1740" s="205">
        <v>0</v>
      </c>
    </row>
    <row r="1741" spans="1:10" s="78" customFormat="1">
      <c r="A1741" s="206" t="s">
        <v>161</v>
      </c>
      <c r="B1741" s="206" t="s">
        <v>13</v>
      </c>
      <c r="C1741" s="207">
        <v>0.54097222222222219</v>
      </c>
      <c r="D1741" s="208">
        <v>0</v>
      </c>
      <c r="E1741" s="208">
        <v>0</v>
      </c>
      <c r="F1741" s="208">
        <v>0</v>
      </c>
      <c r="G1741" s="208">
        <v>0</v>
      </c>
      <c r="H1741" s="208">
        <v>0</v>
      </c>
      <c r="I1741" s="208">
        <v>0</v>
      </c>
      <c r="J1741" s="208">
        <v>0</v>
      </c>
    </row>
    <row r="1742" spans="1:10">
      <c r="A1742" s="203" t="s">
        <v>161</v>
      </c>
      <c r="B1742" s="203" t="s">
        <v>13</v>
      </c>
      <c r="C1742" s="204">
        <v>0.54166666666666663</v>
      </c>
      <c r="D1742" s="205">
        <v>0</v>
      </c>
      <c r="E1742" s="205">
        <v>0</v>
      </c>
      <c r="F1742" s="205">
        <v>0</v>
      </c>
      <c r="G1742" s="205">
        <v>0</v>
      </c>
      <c r="H1742" s="205">
        <v>0</v>
      </c>
      <c r="I1742" s="205">
        <v>0</v>
      </c>
      <c r="J1742" s="205">
        <v>0</v>
      </c>
    </row>
    <row r="1743" spans="1:10">
      <c r="A1743" s="203" t="s">
        <v>161</v>
      </c>
      <c r="B1743" s="203" t="s">
        <v>13</v>
      </c>
      <c r="C1743" s="204">
        <v>0.54236111111111107</v>
      </c>
      <c r="D1743" s="205">
        <v>0</v>
      </c>
      <c r="E1743" s="205">
        <v>0</v>
      </c>
      <c r="F1743" s="205">
        <v>0</v>
      </c>
      <c r="G1743" s="205">
        <v>0</v>
      </c>
      <c r="H1743" s="205">
        <v>0</v>
      </c>
      <c r="I1743" s="205">
        <v>0</v>
      </c>
      <c r="J1743" s="205">
        <v>0</v>
      </c>
    </row>
    <row r="1744" spans="1:10">
      <c r="A1744" s="203" t="s">
        <v>161</v>
      </c>
      <c r="B1744" s="203" t="s">
        <v>13</v>
      </c>
      <c r="C1744" s="204">
        <v>0.54305555555555551</v>
      </c>
      <c r="D1744" s="205">
        <v>0</v>
      </c>
      <c r="E1744" s="205">
        <v>0</v>
      </c>
      <c r="F1744" s="205">
        <v>0</v>
      </c>
      <c r="G1744" s="205">
        <v>0</v>
      </c>
      <c r="H1744" s="205">
        <v>0</v>
      </c>
      <c r="I1744" s="205">
        <v>0</v>
      </c>
      <c r="J1744" s="205">
        <v>0</v>
      </c>
    </row>
    <row r="1745" spans="1:10">
      <c r="A1745" s="203" t="s">
        <v>161</v>
      </c>
      <c r="B1745" s="203" t="s">
        <v>13</v>
      </c>
      <c r="C1745" s="204">
        <v>0.54374999999999996</v>
      </c>
      <c r="D1745" s="205">
        <v>0</v>
      </c>
      <c r="E1745" s="205">
        <v>0</v>
      </c>
      <c r="F1745" s="205">
        <v>0</v>
      </c>
      <c r="G1745" s="205">
        <v>0</v>
      </c>
      <c r="H1745" s="205">
        <v>0</v>
      </c>
      <c r="I1745" s="205">
        <v>0</v>
      </c>
      <c r="J1745" s="205">
        <v>0</v>
      </c>
    </row>
    <row r="1746" spans="1:10">
      <c r="A1746" s="203" t="s">
        <v>161</v>
      </c>
      <c r="B1746" s="203" t="s">
        <v>13</v>
      </c>
      <c r="C1746" s="204">
        <v>0.5444444444444444</v>
      </c>
      <c r="D1746" s="205">
        <v>0</v>
      </c>
      <c r="E1746" s="205">
        <v>0</v>
      </c>
      <c r="F1746" s="205">
        <v>0</v>
      </c>
      <c r="G1746" s="205">
        <v>0</v>
      </c>
      <c r="H1746" s="205">
        <v>0</v>
      </c>
      <c r="I1746" s="205">
        <v>0</v>
      </c>
      <c r="J1746" s="205">
        <v>0</v>
      </c>
    </row>
    <row r="1747" spans="1:10">
      <c r="A1747" s="203" t="s">
        <v>161</v>
      </c>
      <c r="B1747" s="203" t="s">
        <v>13</v>
      </c>
      <c r="C1747" s="204">
        <v>0.54513888888888884</v>
      </c>
      <c r="D1747" s="205">
        <v>0</v>
      </c>
      <c r="E1747" s="205">
        <v>0</v>
      </c>
      <c r="F1747" s="205">
        <v>0</v>
      </c>
      <c r="G1747" s="205">
        <v>0</v>
      </c>
      <c r="H1747" s="205">
        <v>0</v>
      </c>
      <c r="I1747" s="205">
        <v>0</v>
      </c>
      <c r="J1747" s="205">
        <v>0</v>
      </c>
    </row>
    <row r="1748" spans="1:10">
      <c r="A1748" s="203" t="s">
        <v>161</v>
      </c>
      <c r="B1748" s="203" t="s">
        <v>13</v>
      </c>
      <c r="C1748" s="204">
        <v>0.54583333333333328</v>
      </c>
      <c r="D1748" s="205">
        <v>0</v>
      </c>
      <c r="E1748" s="205">
        <v>0</v>
      </c>
      <c r="F1748" s="205">
        <v>0</v>
      </c>
      <c r="G1748" s="205">
        <v>0</v>
      </c>
      <c r="H1748" s="205">
        <v>0</v>
      </c>
      <c r="I1748" s="205">
        <v>0</v>
      </c>
      <c r="J1748" s="205">
        <v>0</v>
      </c>
    </row>
    <row r="1749" spans="1:10">
      <c r="A1749" s="203" t="s">
        <v>161</v>
      </c>
      <c r="B1749" s="203" t="s">
        <v>13</v>
      </c>
      <c r="C1749" s="204">
        <v>0.54652777777777772</v>
      </c>
      <c r="D1749" s="205">
        <v>0</v>
      </c>
      <c r="E1749" s="205">
        <v>0</v>
      </c>
      <c r="F1749" s="205">
        <v>0</v>
      </c>
      <c r="G1749" s="205">
        <v>0</v>
      </c>
      <c r="H1749" s="205">
        <v>0</v>
      </c>
      <c r="I1749" s="205">
        <v>0</v>
      </c>
      <c r="J1749" s="205">
        <v>0</v>
      </c>
    </row>
    <row r="1750" spans="1:10">
      <c r="A1750" s="203" t="s">
        <v>161</v>
      </c>
      <c r="B1750" s="203" t="s">
        <v>13</v>
      </c>
      <c r="C1750" s="204">
        <v>0.54722222222222228</v>
      </c>
      <c r="D1750" s="205">
        <v>0</v>
      </c>
      <c r="E1750" s="205">
        <v>0</v>
      </c>
      <c r="F1750" s="205">
        <v>0</v>
      </c>
      <c r="G1750" s="205">
        <v>0</v>
      </c>
      <c r="H1750" s="205">
        <v>0</v>
      </c>
      <c r="I1750" s="205">
        <v>0</v>
      </c>
      <c r="J1750" s="205">
        <v>0</v>
      </c>
    </row>
    <row r="1751" spans="1:10">
      <c r="A1751" s="203" t="s">
        <v>161</v>
      </c>
      <c r="B1751" s="203" t="s">
        <v>13</v>
      </c>
      <c r="C1751" s="204">
        <v>0.54791666666666672</v>
      </c>
      <c r="D1751" s="205">
        <v>0</v>
      </c>
      <c r="E1751" s="205">
        <v>0</v>
      </c>
      <c r="F1751" s="205">
        <v>0</v>
      </c>
      <c r="G1751" s="205">
        <v>0</v>
      </c>
      <c r="H1751" s="205">
        <v>0</v>
      </c>
      <c r="I1751" s="205">
        <v>0</v>
      </c>
      <c r="J1751" s="205">
        <v>0</v>
      </c>
    </row>
    <row r="1752" spans="1:10">
      <c r="A1752" s="203" t="s">
        <v>161</v>
      </c>
      <c r="B1752" s="203" t="s">
        <v>13</v>
      </c>
      <c r="C1752" s="204">
        <v>0.54861111111111116</v>
      </c>
      <c r="D1752" s="205">
        <v>0</v>
      </c>
      <c r="E1752" s="205">
        <v>0</v>
      </c>
      <c r="F1752" s="205">
        <v>0</v>
      </c>
      <c r="G1752" s="205">
        <v>0</v>
      </c>
      <c r="H1752" s="205">
        <v>0</v>
      </c>
      <c r="I1752" s="205">
        <v>0</v>
      </c>
      <c r="J1752" s="205">
        <v>0</v>
      </c>
    </row>
    <row r="1753" spans="1:10">
      <c r="A1753" s="203" t="s">
        <v>161</v>
      </c>
      <c r="B1753" s="203" t="s">
        <v>13</v>
      </c>
      <c r="C1753" s="204">
        <v>0.5493055555555556</v>
      </c>
      <c r="D1753" s="205">
        <v>0</v>
      </c>
      <c r="E1753" s="205">
        <v>0</v>
      </c>
      <c r="F1753" s="205">
        <v>0</v>
      </c>
      <c r="G1753" s="205">
        <v>0</v>
      </c>
      <c r="H1753" s="205">
        <v>0</v>
      </c>
      <c r="I1753" s="205">
        <v>0</v>
      </c>
      <c r="J1753" s="205">
        <v>0</v>
      </c>
    </row>
    <row r="1754" spans="1:10">
      <c r="A1754" s="203" t="s">
        <v>161</v>
      </c>
      <c r="B1754" s="203" t="s">
        <v>13</v>
      </c>
      <c r="C1754" s="204">
        <v>0.54236111111111107</v>
      </c>
      <c r="D1754" s="205">
        <v>0</v>
      </c>
      <c r="E1754" s="205">
        <v>0</v>
      </c>
      <c r="F1754" s="205">
        <v>0</v>
      </c>
      <c r="G1754" s="205">
        <v>0</v>
      </c>
      <c r="H1754" s="205">
        <v>0</v>
      </c>
      <c r="I1754" s="205">
        <v>0</v>
      </c>
      <c r="J1754" s="205">
        <v>0</v>
      </c>
    </row>
    <row r="1755" spans="1:10">
      <c r="A1755" s="203" t="s">
        <v>161</v>
      </c>
      <c r="B1755" s="203" t="s">
        <v>13</v>
      </c>
      <c r="C1755" s="204">
        <v>0.55069444444444449</v>
      </c>
      <c r="D1755" s="205">
        <v>0</v>
      </c>
      <c r="E1755" s="205">
        <v>0</v>
      </c>
      <c r="F1755" s="205">
        <v>0</v>
      </c>
      <c r="G1755" s="205">
        <v>0</v>
      </c>
      <c r="H1755" s="205">
        <v>0</v>
      </c>
      <c r="I1755" s="205">
        <v>0</v>
      </c>
      <c r="J1755" s="205">
        <v>0</v>
      </c>
    </row>
    <row r="1756" spans="1:10" s="78" customFormat="1">
      <c r="A1756" s="206" t="s">
        <v>161</v>
      </c>
      <c r="B1756" s="206" t="s">
        <v>13</v>
      </c>
      <c r="C1756" s="207">
        <v>0.55138888888888893</v>
      </c>
      <c r="D1756" s="205">
        <v>0</v>
      </c>
      <c r="E1756" s="205">
        <v>0</v>
      </c>
      <c r="F1756" s="205">
        <v>0</v>
      </c>
      <c r="G1756" s="205">
        <v>0</v>
      </c>
      <c r="H1756" s="205">
        <v>0</v>
      </c>
      <c r="I1756" s="205">
        <v>0</v>
      </c>
      <c r="J1756" s="205">
        <v>0</v>
      </c>
    </row>
    <row r="1757" spans="1:10">
      <c r="A1757" s="203" t="s">
        <v>161</v>
      </c>
      <c r="B1757" s="203" t="s">
        <v>13</v>
      </c>
      <c r="C1757" s="204">
        <v>0.55208333333333337</v>
      </c>
      <c r="D1757" s="209">
        <v>0</v>
      </c>
      <c r="E1757" s="209">
        <v>0</v>
      </c>
      <c r="F1757" s="209">
        <v>0</v>
      </c>
      <c r="G1757" s="209">
        <v>0</v>
      </c>
      <c r="H1757" s="209">
        <v>0</v>
      </c>
      <c r="I1757" s="209">
        <v>0</v>
      </c>
      <c r="J1757" s="209">
        <v>0</v>
      </c>
    </row>
    <row r="1758" spans="1:10">
      <c r="A1758" s="203" t="s">
        <v>161</v>
      </c>
      <c r="B1758" s="203" t="s">
        <v>13</v>
      </c>
      <c r="C1758" s="204">
        <v>0.55277777777777781</v>
      </c>
      <c r="D1758" s="205">
        <v>0</v>
      </c>
      <c r="E1758" s="205">
        <v>0</v>
      </c>
      <c r="F1758" s="205">
        <v>0</v>
      </c>
      <c r="G1758" s="205">
        <v>0</v>
      </c>
      <c r="H1758" s="205">
        <v>0</v>
      </c>
      <c r="I1758" s="205">
        <v>0</v>
      </c>
      <c r="J1758" s="205">
        <v>0</v>
      </c>
    </row>
    <row r="1759" spans="1:10">
      <c r="A1759" s="203" t="s">
        <v>161</v>
      </c>
      <c r="B1759" s="203" t="s">
        <v>13</v>
      </c>
      <c r="C1759" s="204">
        <v>0.55347222222222225</v>
      </c>
      <c r="D1759" s="205">
        <v>0</v>
      </c>
      <c r="E1759" s="205">
        <v>0</v>
      </c>
      <c r="F1759" s="205">
        <v>0</v>
      </c>
      <c r="G1759" s="205">
        <v>0</v>
      </c>
      <c r="H1759" s="205">
        <v>0</v>
      </c>
      <c r="I1759" s="205">
        <v>0</v>
      </c>
      <c r="J1759" s="205">
        <v>0</v>
      </c>
    </row>
    <row r="1760" spans="1:10">
      <c r="A1760" s="203" t="s">
        <v>161</v>
      </c>
      <c r="B1760" s="203" t="s">
        <v>13</v>
      </c>
      <c r="C1760" s="204">
        <v>0.5541666666666667</v>
      </c>
      <c r="D1760" s="205">
        <v>0</v>
      </c>
      <c r="E1760" s="205">
        <v>0</v>
      </c>
      <c r="F1760" s="205">
        <v>0</v>
      </c>
      <c r="G1760" s="205">
        <v>0</v>
      </c>
      <c r="H1760" s="205">
        <v>0</v>
      </c>
      <c r="I1760" s="205">
        <v>0</v>
      </c>
      <c r="J1760" s="205">
        <v>0</v>
      </c>
    </row>
    <row r="1761" spans="1:10">
      <c r="A1761" s="203" t="s">
        <v>161</v>
      </c>
      <c r="B1761" s="203" t="s">
        <v>13</v>
      </c>
      <c r="C1761" s="204">
        <v>0.55486111111111114</v>
      </c>
      <c r="D1761" s="205">
        <v>0</v>
      </c>
      <c r="E1761" s="205">
        <v>0</v>
      </c>
      <c r="F1761" s="205">
        <v>0</v>
      </c>
      <c r="G1761" s="205">
        <v>0</v>
      </c>
      <c r="H1761" s="205">
        <v>0</v>
      </c>
      <c r="I1761" s="205">
        <v>0</v>
      </c>
      <c r="J1761" s="205">
        <v>0</v>
      </c>
    </row>
    <row r="1762" spans="1:10">
      <c r="A1762" s="203" t="s">
        <v>161</v>
      </c>
      <c r="B1762" s="203" t="s">
        <v>13</v>
      </c>
      <c r="C1762" s="204">
        <v>0.55555555555555558</v>
      </c>
      <c r="D1762" s="205">
        <v>0</v>
      </c>
      <c r="E1762" s="205">
        <v>0</v>
      </c>
      <c r="F1762" s="205">
        <v>0</v>
      </c>
      <c r="G1762" s="205">
        <v>0</v>
      </c>
      <c r="H1762" s="205">
        <v>0</v>
      </c>
      <c r="I1762" s="205">
        <v>0</v>
      </c>
      <c r="J1762" s="205">
        <v>0</v>
      </c>
    </row>
    <row r="1763" spans="1:10">
      <c r="A1763" s="203" t="s">
        <v>161</v>
      </c>
      <c r="B1763" s="203" t="s">
        <v>13</v>
      </c>
      <c r="C1763" s="204">
        <v>0.55625000000000002</v>
      </c>
      <c r="D1763" s="205">
        <v>0</v>
      </c>
      <c r="E1763" s="205">
        <v>0</v>
      </c>
      <c r="F1763" s="205">
        <v>0</v>
      </c>
      <c r="G1763" s="205">
        <v>0</v>
      </c>
      <c r="H1763" s="205">
        <v>0</v>
      </c>
      <c r="I1763" s="205">
        <v>0</v>
      </c>
      <c r="J1763" s="205">
        <v>0</v>
      </c>
    </row>
    <row r="1764" spans="1:10">
      <c r="A1764" s="203" t="s">
        <v>161</v>
      </c>
      <c r="B1764" s="203" t="s">
        <v>13</v>
      </c>
      <c r="C1764" s="204">
        <v>0.55694444444444446</v>
      </c>
      <c r="D1764" s="205">
        <v>0</v>
      </c>
      <c r="E1764" s="205">
        <v>0</v>
      </c>
      <c r="F1764" s="205">
        <v>0</v>
      </c>
      <c r="G1764" s="205">
        <v>0</v>
      </c>
      <c r="H1764" s="205">
        <v>0</v>
      </c>
      <c r="I1764" s="205">
        <v>0</v>
      </c>
      <c r="J1764" s="205">
        <v>0</v>
      </c>
    </row>
    <row r="1765" spans="1:10">
      <c r="A1765" s="203" t="s">
        <v>161</v>
      </c>
      <c r="B1765" s="203" t="s">
        <v>13</v>
      </c>
      <c r="C1765" s="204">
        <v>0.55763888888888891</v>
      </c>
      <c r="D1765" s="205">
        <v>0</v>
      </c>
      <c r="E1765" s="205">
        <v>0</v>
      </c>
      <c r="F1765" s="205">
        <v>0</v>
      </c>
      <c r="G1765" s="205">
        <v>0</v>
      </c>
      <c r="H1765" s="205">
        <v>0</v>
      </c>
      <c r="I1765" s="205">
        <v>0</v>
      </c>
      <c r="J1765" s="205">
        <v>0</v>
      </c>
    </row>
    <row r="1766" spans="1:10">
      <c r="A1766" s="203" t="s">
        <v>161</v>
      </c>
      <c r="B1766" s="203" t="s">
        <v>13</v>
      </c>
      <c r="C1766" s="204">
        <v>0.55833333333333335</v>
      </c>
      <c r="D1766" s="205">
        <v>0</v>
      </c>
      <c r="E1766" s="205">
        <v>0</v>
      </c>
      <c r="F1766" s="205">
        <v>0</v>
      </c>
      <c r="G1766" s="205">
        <v>0</v>
      </c>
      <c r="H1766" s="205">
        <v>0</v>
      </c>
      <c r="I1766" s="205">
        <v>0</v>
      </c>
      <c r="J1766" s="205">
        <v>0</v>
      </c>
    </row>
    <row r="1767" spans="1:10">
      <c r="A1767" s="203" t="s">
        <v>161</v>
      </c>
      <c r="B1767" s="203" t="s">
        <v>13</v>
      </c>
      <c r="C1767" s="204">
        <v>0.55902777777777779</v>
      </c>
      <c r="D1767" s="205">
        <v>0</v>
      </c>
      <c r="E1767" s="205">
        <v>0</v>
      </c>
      <c r="F1767" s="205">
        <v>0</v>
      </c>
      <c r="G1767" s="205">
        <v>0</v>
      </c>
      <c r="H1767" s="205">
        <v>0</v>
      </c>
      <c r="I1767" s="205">
        <v>0</v>
      </c>
      <c r="J1767" s="205">
        <v>0</v>
      </c>
    </row>
    <row r="1768" spans="1:10">
      <c r="A1768" s="203" t="s">
        <v>161</v>
      </c>
      <c r="B1768" s="203" t="s">
        <v>13</v>
      </c>
      <c r="C1768" s="204">
        <v>0.55972222222222223</v>
      </c>
      <c r="D1768" s="205">
        <v>0</v>
      </c>
      <c r="E1768" s="205">
        <v>0</v>
      </c>
      <c r="F1768" s="205">
        <v>0</v>
      </c>
      <c r="G1768" s="205">
        <v>0</v>
      </c>
      <c r="H1768" s="205">
        <v>0</v>
      </c>
      <c r="I1768" s="205">
        <v>0</v>
      </c>
      <c r="J1768" s="205">
        <v>0</v>
      </c>
    </row>
    <row r="1769" spans="1:10">
      <c r="A1769" s="203" t="s">
        <v>161</v>
      </c>
      <c r="B1769" s="203" t="s">
        <v>13</v>
      </c>
      <c r="C1769" s="204">
        <v>0.56041666666666667</v>
      </c>
      <c r="D1769" s="205">
        <v>0</v>
      </c>
      <c r="E1769" s="205">
        <v>0</v>
      </c>
      <c r="F1769" s="205">
        <v>0</v>
      </c>
      <c r="G1769" s="205">
        <v>0</v>
      </c>
      <c r="H1769" s="205">
        <v>0</v>
      </c>
      <c r="I1769" s="205">
        <v>0</v>
      </c>
      <c r="J1769" s="205">
        <v>0</v>
      </c>
    </row>
    <row r="1770" spans="1:10">
      <c r="A1770" s="203" t="s">
        <v>161</v>
      </c>
      <c r="B1770" s="203" t="s">
        <v>13</v>
      </c>
      <c r="C1770" s="204">
        <v>0.56111111111111112</v>
      </c>
      <c r="D1770" s="205">
        <v>0</v>
      </c>
      <c r="E1770" s="205">
        <v>0</v>
      </c>
      <c r="F1770" s="205">
        <v>0</v>
      </c>
      <c r="G1770" s="205">
        <v>0</v>
      </c>
      <c r="H1770" s="205">
        <v>0</v>
      </c>
      <c r="I1770" s="205">
        <v>0</v>
      </c>
      <c r="J1770" s="205">
        <v>0</v>
      </c>
    </row>
    <row r="1771" spans="1:10" s="78" customFormat="1">
      <c r="A1771" s="206" t="s">
        <v>161</v>
      </c>
      <c r="B1771" s="206" t="s">
        <v>13</v>
      </c>
      <c r="C1771" s="207">
        <v>0.56180555555555556</v>
      </c>
      <c r="D1771" s="208">
        <v>0</v>
      </c>
      <c r="E1771" s="208">
        <v>0</v>
      </c>
      <c r="F1771" s="208">
        <v>0</v>
      </c>
      <c r="G1771" s="208">
        <v>0</v>
      </c>
      <c r="H1771" s="208">
        <v>0</v>
      </c>
      <c r="I1771" s="208">
        <v>0</v>
      </c>
      <c r="J1771" s="208">
        <v>0</v>
      </c>
    </row>
    <row r="1772" spans="1:10">
      <c r="A1772" s="203" t="s">
        <v>161</v>
      </c>
      <c r="B1772" s="203" t="s">
        <v>13</v>
      </c>
      <c r="C1772" s="204">
        <v>0.5625</v>
      </c>
      <c r="D1772" s="205">
        <v>0</v>
      </c>
      <c r="E1772" s="205">
        <v>0</v>
      </c>
      <c r="F1772" s="205">
        <v>0</v>
      </c>
      <c r="G1772" s="205">
        <v>0</v>
      </c>
      <c r="H1772" s="205">
        <v>0</v>
      </c>
      <c r="I1772" s="205">
        <v>0</v>
      </c>
      <c r="J1772" s="205">
        <v>0</v>
      </c>
    </row>
    <row r="1773" spans="1:10">
      <c r="A1773" s="203" t="s">
        <v>161</v>
      </c>
      <c r="B1773" s="203" t="s">
        <v>13</v>
      </c>
      <c r="C1773" s="204">
        <v>0.56319444444444444</v>
      </c>
      <c r="D1773" s="205">
        <v>0</v>
      </c>
      <c r="E1773" s="205">
        <v>0</v>
      </c>
      <c r="F1773" s="205">
        <v>0</v>
      </c>
      <c r="G1773" s="205">
        <v>0</v>
      </c>
      <c r="H1773" s="205">
        <v>0</v>
      </c>
      <c r="I1773" s="205">
        <v>0</v>
      </c>
      <c r="J1773" s="205">
        <v>0</v>
      </c>
    </row>
    <row r="1774" spans="1:10">
      <c r="A1774" s="203" t="s">
        <v>161</v>
      </c>
      <c r="B1774" s="203" t="s">
        <v>13</v>
      </c>
      <c r="C1774" s="204">
        <v>0.56388888888888888</v>
      </c>
      <c r="D1774" s="205">
        <v>0</v>
      </c>
      <c r="E1774" s="205">
        <v>0</v>
      </c>
      <c r="F1774" s="205">
        <v>0</v>
      </c>
      <c r="G1774" s="205">
        <v>0</v>
      </c>
      <c r="H1774" s="205">
        <v>0</v>
      </c>
      <c r="I1774" s="205">
        <v>0</v>
      </c>
      <c r="J1774" s="205">
        <v>0</v>
      </c>
    </row>
    <row r="1775" spans="1:10">
      <c r="A1775" s="203" t="s">
        <v>161</v>
      </c>
      <c r="B1775" s="203" t="s">
        <v>13</v>
      </c>
      <c r="C1775" s="204">
        <v>0.56458333333333333</v>
      </c>
      <c r="D1775" s="205">
        <v>0</v>
      </c>
      <c r="E1775" s="205">
        <v>0</v>
      </c>
      <c r="F1775" s="205">
        <v>0</v>
      </c>
      <c r="G1775" s="205">
        <v>0</v>
      </c>
      <c r="H1775" s="205">
        <v>0</v>
      </c>
      <c r="I1775" s="205">
        <v>0</v>
      </c>
      <c r="J1775" s="205">
        <v>0</v>
      </c>
    </row>
    <row r="1776" spans="1:10">
      <c r="A1776" s="203" t="s">
        <v>161</v>
      </c>
      <c r="B1776" s="203" t="s">
        <v>13</v>
      </c>
      <c r="C1776" s="204">
        <v>0.56527777777777777</v>
      </c>
      <c r="D1776" s="205">
        <v>0</v>
      </c>
      <c r="E1776" s="205">
        <v>0</v>
      </c>
      <c r="F1776" s="205">
        <v>0</v>
      </c>
      <c r="G1776" s="205">
        <v>0</v>
      </c>
      <c r="H1776" s="205">
        <v>0</v>
      </c>
      <c r="I1776" s="205">
        <v>0</v>
      </c>
      <c r="J1776" s="205">
        <v>0</v>
      </c>
    </row>
    <row r="1777" spans="1:10">
      <c r="A1777" s="203" t="s">
        <v>161</v>
      </c>
      <c r="B1777" s="203" t="s">
        <v>13</v>
      </c>
      <c r="C1777" s="204">
        <v>0.56597222222222221</v>
      </c>
      <c r="D1777" s="205">
        <v>0</v>
      </c>
      <c r="E1777" s="205">
        <v>0</v>
      </c>
      <c r="F1777" s="205">
        <v>0</v>
      </c>
      <c r="G1777" s="205">
        <v>0</v>
      </c>
      <c r="H1777" s="205">
        <v>0</v>
      </c>
      <c r="I1777" s="205">
        <v>0</v>
      </c>
      <c r="J1777" s="205">
        <v>0</v>
      </c>
    </row>
    <row r="1778" spans="1:10">
      <c r="A1778" s="203" t="s">
        <v>161</v>
      </c>
      <c r="B1778" s="203" t="s">
        <v>13</v>
      </c>
      <c r="C1778" s="204">
        <v>0.56666666666666665</v>
      </c>
      <c r="D1778" s="205">
        <v>0</v>
      </c>
      <c r="E1778" s="205">
        <v>0</v>
      </c>
      <c r="F1778" s="205">
        <v>0</v>
      </c>
      <c r="G1778" s="205">
        <v>0</v>
      </c>
      <c r="H1778" s="205">
        <v>0</v>
      </c>
      <c r="I1778" s="205">
        <v>0</v>
      </c>
      <c r="J1778" s="205">
        <v>0</v>
      </c>
    </row>
    <row r="1779" spans="1:10">
      <c r="A1779" s="203" t="s">
        <v>161</v>
      </c>
      <c r="B1779" s="203" t="s">
        <v>13</v>
      </c>
      <c r="C1779" s="204">
        <v>0.56736111111111109</v>
      </c>
      <c r="D1779" s="205">
        <v>0</v>
      </c>
      <c r="E1779" s="205">
        <v>0</v>
      </c>
      <c r="F1779" s="205">
        <v>0</v>
      </c>
      <c r="G1779" s="205">
        <v>0</v>
      </c>
      <c r="H1779" s="205">
        <v>0</v>
      </c>
      <c r="I1779" s="205">
        <v>0</v>
      </c>
      <c r="J1779" s="205">
        <v>0</v>
      </c>
    </row>
    <row r="1780" spans="1:10">
      <c r="A1780" s="203" t="s">
        <v>161</v>
      </c>
      <c r="B1780" s="203" t="s">
        <v>13</v>
      </c>
      <c r="C1780" s="204">
        <v>0.56805555555555554</v>
      </c>
      <c r="D1780" s="205">
        <v>0</v>
      </c>
      <c r="E1780" s="205">
        <v>0</v>
      </c>
      <c r="F1780" s="205">
        <v>0</v>
      </c>
      <c r="G1780" s="205">
        <v>0</v>
      </c>
      <c r="H1780" s="205">
        <v>0</v>
      </c>
      <c r="I1780" s="205">
        <v>0</v>
      </c>
      <c r="J1780" s="205">
        <v>0</v>
      </c>
    </row>
    <row r="1781" spans="1:10">
      <c r="A1781" s="203" t="s">
        <v>161</v>
      </c>
      <c r="B1781" s="203" t="s">
        <v>13</v>
      </c>
      <c r="C1781" s="204">
        <v>0.56874999999999998</v>
      </c>
      <c r="D1781" s="205">
        <v>0</v>
      </c>
      <c r="E1781" s="205">
        <v>0</v>
      </c>
      <c r="F1781" s="205">
        <v>0</v>
      </c>
      <c r="G1781" s="205">
        <v>0</v>
      </c>
      <c r="H1781" s="205">
        <v>0</v>
      </c>
      <c r="I1781" s="205">
        <v>0</v>
      </c>
      <c r="J1781" s="205">
        <v>0</v>
      </c>
    </row>
    <row r="1782" spans="1:10">
      <c r="A1782" s="203" t="s">
        <v>161</v>
      </c>
      <c r="B1782" s="203" t="s">
        <v>13</v>
      </c>
      <c r="C1782" s="204">
        <v>0.56944444444444442</v>
      </c>
      <c r="D1782" s="205">
        <v>0</v>
      </c>
      <c r="E1782" s="205">
        <v>0</v>
      </c>
      <c r="F1782" s="205">
        <v>0</v>
      </c>
      <c r="G1782" s="205">
        <v>0</v>
      </c>
      <c r="H1782" s="205">
        <v>0</v>
      </c>
      <c r="I1782" s="205">
        <v>0</v>
      </c>
      <c r="J1782" s="205">
        <v>0</v>
      </c>
    </row>
    <row r="1783" spans="1:10">
      <c r="A1783" s="203" t="s">
        <v>161</v>
      </c>
      <c r="B1783" s="203" t="s">
        <v>13</v>
      </c>
      <c r="C1783" s="204">
        <v>0.57013888888888886</v>
      </c>
      <c r="D1783" s="205">
        <v>0</v>
      </c>
      <c r="E1783" s="205">
        <v>0</v>
      </c>
      <c r="F1783" s="205">
        <v>0</v>
      </c>
      <c r="G1783" s="205">
        <v>0</v>
      </c>
      <c r="H1783" s="205">
        <v>0</v>
      </c>
      <c r="I1783" s="205">
        <v>0</v>
      </c>
      <c r="J1783" s="205">
        <v>0</v>
      </c>
    </row>
    <row r="1784" spans="1:10">
      <c r="A1784" s="203" t="s">
        <v>161</v>
      </c>
      <c r="B1784" s="203" t="s">
        <v>13</v>
      </c>
      <c r="C1784" s="204">
        <v>0.5708333333333333</v>
      </c>
      <c r="D1784" s="205">
        <v>0</v>
      </c>
      <c r="E1784" s="205">
        <v>0</v>
      </c>
      <c r="F1784" s="205">
        <v>0</v>
      </c>
      <c r="G1784" s="205">
        <v>0</v>
      </c>
      <c r="H1784" s="205">
        <v>0</v>
      </c>
      <c r="I1784" s="205">
        <v>0</v>
      </c>
      <c r="J1784" s="205">
        <v>0</v>
      </c>
    </row>
    <row r="1785" spans="1:10">
      <c r="A1785" s="203" t="s">
        <v>161</v>
      </c>
      <c r="B1785" s="203" t="s">
        <v>13</v>
      </c>
      <c r="C1785" s="204">
        <v>0.57152777777777775</v>
      </c>
      <c r="D1785" s="205">
        <v>0</v>
      </c>
      <c r="E1785" s="205">
        <v>0</v>
      </c>
      <c r="F1785" s="205">
        <v>0</v>
      </c>
      <c r="G1785" s="205">
        <v>0</v>
      </c>
      <c r="H1785" s="205">
        <v>0</v>
      </c>
      <c r="I1785" s="205">
        <v>0</v>
      </c>
      <c r="J1785" s="205">
        <v>0</v>
      </c>
    </row>
    <row r="1786" spans="1:10" s="78" customFormat="1">
      <c r="A1786" s="206" t="s">
        <v>161</v>
      </c>
      <c r="B1786" s="206" t="s">
        <v>13</v>
      </c>
      <c r="C1786" s="207">
        <v>0.57222222222222219</v>
      </c>
      <c r="D1786" s="205">
        <v>0</v>
      </c>
      <c r="E1786" s="205">
        <v>0</v>
      </c>
      <c r="F1786" s="205">
        <v>0</v>
      </c>
      <c r="G1786" s="205">
        <v>0</v>
      </c>
      <c r="H1786" s="205">
        <v>0</v>
      </c>
      <c r="I1786" s="205">
        <v>0</v>
      </c>
      <c r="J1786" s="205">
        <v>0</v>
      </c>
    </row>
    <row r="1787" spans="1:10">
      <c r="A1787" s="203" t="s">
        <v>161</v>
      </c>
      <c r="B1787" s="203" t="s">
        <v>13</v>
      </c>
      <c r="C1787" s="204">
        <v>0.57291666666666663</v>
      </c>
      <c r="D1787" s="209">
        <v>0</v>
      </c>
      <c r="E1787" s="209">
        <v>0</v>
      </c>
      <c r="F1787" s="209">
        <v>0</v>
      </c>
      <c r="G1787" s="209">
        <v>0</v>
      </c>
      <c r="H1787" s="209">
        <v>0</v>
      </c>
      <c r="I1787" s="209">
        <v>0</v>
      </c>
      <c r="J1787" s="209">
        <v>0</v>
      </c>
    </row>
    <row r="1788" spans="1:10">
      <c r="A1788" s="203" t="s">
        <v>161</v>
      </c>
      <c r="B1788" s="203" t="s">
        <v>13</v>
      </c>
      <c r="C1788" s="204">
        <v>0.57361111111111107</v>
      </c>
      <c r="D1788" s="205">
        <v>0</v>
      </c>
      <c r="E1788" s="205">
        <v>0</v>
      </c>
      <c r="F1788" s="205">
        <v>0</v>
      </c>
      <c r="G1788" s="205">
        <v>0</v>
      </c>
      <c r="H1788" s="205">
        <v>0</v>
      </c>
      <c r="I1788" s="205">
        <v>0</v>
      </c>
      <c r="J1788" s="205">
        <v>0</v>
      </c>
    </row>
    <row r="1789" spans="1:10">
      <c r="A1789" s="203" t="s">
        <v>161</v>
      </c>
      <c r="B1789" s="203" t="s">
        <v>13</v>
      </c>
      <c r="C1789" s="204">
        <v>0.57430555555555551</v>
      </c>
      <c r="D1789" s="205">
        <v>0</v>
      </c>
      <c r="E1789" s="205">
        <v>0</v>
      </c>
      <c r="F1789" s="205">
        <v>0</v>
      </c>
      <c r="G1789" s="205">
        <v>0</v>
      </c>
      <c r="H1789" s="205">
        <v>0</v>
      </c>
      <c r="I1789" s="205">
        <v>0</v>
      </c>
      <c r="J1789" s="205">
        <v>0</v>
      </c>
    </row>
    <row r="1790" spans="1:10">
      <c r="A1790" s="203" t="s">
        <v>161</v>
      </c>
      <c r="B1790" s="203" t="s">
        <v>13</v>
      </c>
      <c r="C1790" s="204">
        <v>0.57499999999999996</v>
      </c>
      <c r="D1790" s="205">
        <v>0</v>
      </c>
      <c r="E1790" s="205">
        <v>0</v>
      </c>
      <c r="F1790" s="205">
        <v>0</v>
      </c>
      <c r="G1790" s="205">
        <v>0</v>
      </c>
      <c r="H1790" s="205">
        <v>0</v>
      </c>
      <c r="I1790" s="205">
        <v>0</v>
      </c>
      <c r="J1790" s="205">
        <v>0</v>
      </c>
    </row>
    <row r="1791" spans="1:10">
      <c r="A1791" s="203" t="s">
        <v>161</v>
      </c>
      <c r="B1791" s="203" t="s">
        <v>13</v>
      </c>
      <c r="C1791" s="204">
        <v>0.5756944444444444</v>
      </c>
      <c r="D1791" s="205">
        <v>0</v>
      </c>
      <c r="E1791" s="205">
        <v>0</v>
      </c>
      <c r="F1791" s="205">
        <v>0</v>
      </c>
      <c r="G1791" s="205">
        <v>0</v>
      </c>
      <c r="H1791" s="205">
        <v>0</v>
      </c>
      <c r="I1791" s="205">
        <v>0</v>
      </c>
      <c r="J1791" s="205">
        <v>0</v>
      </c>
    </row>
    <row r="1792" spans="1:10">
      <c r="A1792" s="203" t="s">
        <v>161</v>
      </c>
      <c r="B1792" s="203" t="s">
        <v>13</v>
      </c>
      <c r="C1792" s="204">
        <v>0.57638888888888884</v>
      </c>
      <c r="D1792" s="205">
        <v>0</v>
      </c>
      <c r="E1792" s="205">
        <v>0</v>
      </c>
      <c r="F1792" s="205">
        <v>0</v>
      </c>
      <c r="G1792" s="205">
        <v>0</v>
      </c>
      <c r="H1792" s="205">
        <v>0</v>
      </c>
      <c r="I1792" s="205">
        <v>0</v>
      </c>
      <c r="J1792" s="205">
        <v>0</v>
      </c>
    </row>
    <row r="1793" spans="1:10">
      <c r="A1793" s="203" t="s">
        <v>161</v>
      </c>
      <c r="B1793" s="203" t="s">
        <v>13</v>
      </c>
      <c r="C1793" s="204">
        <v>0.57708333333333328</v>
      </c>
      <c r="D1793" s="205">
        <v>0</v>
      </c>
      <c r="E1793" s="205">
        <v>0</v>
      </c>
      <c r="F1793" s="205">
        <v>0</v>
      </c>
      <c r="G1793" s="205">
        <v>0</v>
      </c>
      <c r="H1793" s="205">
        <v>0</v>
      </c>
      <c r="I1793" s="205">
        <v>0</v>
      </c>
      <c r="J1793" s="205">
        <v>0</v>
      </c>
    </row>
    <row r="1794" spans="1:10">
      <c r="A1794" s="203" t="s">
        <v>161</v>
      </c>
      <c r="B1794" s="203" t="s">
        <v>13</v>
      </c>
      <c r="C1794" s="204">
        <v>0.57777777777777772</v>
      </c>
      <c r="D1794" s="205">
        <v>0</v>
      </c>
      <c r="E1794" s="205">
        <v>0</v>
      </c>
      <c r="F1794" s="205">
        <v>0</v>
      </c>
      <c r="G1794" s="205">
        <v>0</v>
      </c>
      <c r="H1794" s="205">
        <v>0</v>
      </c>
      <c r="I1794" s="205">
        <v>0</v>
      </c>
      <c r="J1794" s="205">
        <v>0</v>
      </c>
    </row>
    <row r="1795" spans="1:10">
      <c r="A1795" s="203" t="s">
        <v>161</v>
      </c>
      <c r="B1795" s="203" t="s">
        <v>13</v>
      </c>
      <c r="C1795" s="204">
        <v>0.57847222222222228</v>
      </c>
      <c r="D1795" s="205">
        <v>0</v>
      </c>
      <c r="E1795" s="205">
        <v>0</v>
      </c>
      <c r="F1795" s="205">
        <v>0</v>
      </c>
      <c r="G1795" s="205">
        <v>0</v>
      </c>
      <c r="H1795" s="205">
        <v>0</v>
      </c>
      <c r="I1795" s="205">
        <v>0</v>
      </c>
      <c r="J1795" s="205">
        <v>0</v>
      </c>
    </row>
    <row r="1796" spans="1:10">
      <c r="A1796" s="203" t="s">
        <v>161</v>
      </c>
      <c r="B1796" s="203" t="s">
        <v>13</v>
      </c>
      <c r="C1796" s="204">
        <v>0.57916666666666672</v>
      </c>
      <c r="D1796" s="205">
        <v>0</v>
      </c>
      <c r="E1796" s="205">
        <v>0</v>
      </c>
      <c r="F1796" s="205">
        <v>0</v>
      </c>
      <c r="G1796" s="205">
        <v>0</v>
      </c>
      <c r="H1796" s="205">
        <v>0</v>
      </c>
      <c r="I1796" s="205">
        <v>0</v>
      </c>
      <c r="J1796" s="205">
        <v>0</v>
      </c>
    </row>
    <row r="1797" spans="1:10">
      <c r="A1797" s="203" t="s">
        <v>161</v>
      </c>
      <c r="B1797" s="203" t="s">
        <v>13</v>
      </c>
      <c r="C1797" s="204">
        <v>0.57986111111111116</v>
      </c>
      <c r="D1797" s="205">
        <v>0</v>
      </c>
      <c r="E1797" s="205">
        <v>0</v>
      </c>
      <c r="F1797" s="205">
        <v>0</v>
      </c>
      <c r="G1797" s="205">
        <v>0</v>
      </c>
      <c r="H1797" s="205">
        <v>0</v>
      </c>
      <c r="I1797" s="205">
        <v>0</v>
      </c>
      <c r="J1797" s="205">
        <v>0</v>
      </c>
    </row>
    <row r="1798" spans="1:10">
      <c r="A1798" s="203" t="s">
        <v>161</v>
      </c>
      <c r="B1798" s="203" t="s">
        <v>13</v>
      </c>
      <c r="C1798" s="204">
        <v>0.5805555555555556</v>
      </c>
      <c r="D1798" s="205">
        <v>0</v>
      </c>
      <c r="E1798" s="205">
        <v>0</v>
      </c>
      <c r="F1798" s="205">
        <v>0</v>
      </c>
      <c r="G1798" s="205">
        <v>0</v>
      </c>
      <c r="H1798" s="205">
        <v>0</v>
      </c>
      <c r="I1798" s="205">
        <v>0</v>
      </c>
      <c r="J1798" s="205">
        <v>0</v>
      </c>
    </row>
    <row r="1799" spans="1:10">
      <c r="A1799" s="203" t="s">
        <v>161</v>
      </c>
      <c r="B1799" s="203" t="s">
        <v>13</v>
      </c>
      <c r="C1799" s="204">
        <v>0.58125000000000004</v>
      </c>
      <c r="D1799" s="205">
        <v>0</v>
      </c>
      <c r="E1799" s="205">
        <v>0</v>
      </c>
      <c r="F1799" s="205">
        <v>0</v>
      </c>
      <c r="G1799" s="205">
        <v>0</v>
      </c>
      <c r="H1799" s="205">
        <v>0</v>
      </c>
      <c r="I1799" s="205">
        <v>0</v>
      </c>
      <c r="J1799" s="205">
        <v>0</v>
      </c>
    </row>
    <row r="1800" spans="1:10">
      <c r="A1800" s="203" t="s">
        <v>161</v>
      </c>
      <c r="B1800" s="203" t="s">
        <v>13</v>
      </c>
      <c r="C1800" s="204">
        <v>0.58194444444444449</v>
      </c>
      <c r="D1800" s="205">
        <v>0</v>
      </c>
      <c r="E1800" s="205">
        <v>0</v>
      </c>
      <c r="F1800" s="205">
        <v>0</v>
      </c>
      <c r="G1800" s="205">
        <v>0</v>
      </c>
      <c r="H1800" s="205">
        <v>0</v>
      </c>
      <c r="I1800" s="205">
        <v>0</v>
      </c>
      <c r="J1800" s="205">
        <v>0</v>
      </c>
    </row>
    <row r="1801" spans="1:10" s="28" customFormat="1" ht="17.5" thickBot="1">
      <c r="A1801" s="210" t="s">
        <v>161</v>
      </c>
      <c r="B1801" s="210" t="s">
        <v>13</v>
      </c>
      <c r="C1801" s="211">
        <v>0.58263888888888893</v>
      </c>
      <c r="D1801" s="212">
        <v>0</v>
      </c>
      <c r="E1801" s="212">
        <v>0</v>
      </c>
      <c r="F1801" s="212">
        <v>0</v>
      </c>
      <c r="G1801" s="212">
        <v>0</v>
      </c>
      <c r="H1801" s="212">
        <v>0</v>
      </c>
      <c r="I1801" s="212">
        <v>0</v>
      </c>
      <c r="J1801" s="212">
        <v>0</v>
      </c>
    </row>
    <row r="1802" spans="1:10">
      <c r="A1802" s="203" t="s">
        <v>161</v>
      </c>
      <c r="B1802" s="203" t="s">
        <v>14</v>
      </c>
      <c r="C1802" s="204">
        <v>0.5</v>
      </c>
      <c r="D1802" s="205">
        <v>0</v>
      </c>
      <c r="E1802" s="205">
        <v>0</v>
      </c>
      <c r="F1802" s="205">
        <v>0</v>
      </c>
      <c r="G1802" s="205">
        <v>0</v>
      </c>
      <c r="H1802" s="205">
        <v>0</v>
      </c>
      <c r="I1802" s="205">
        <v>0</v>
      </c>
      <c r="J1802" s="205">
        <v>0</v>
      </c>
    </row>
    <row r="1803" spans="1:10">
      <c r="A1803" s="203" t="s">
        <v>161</v>
      </c>
      <c r="B1803" s="203" t="s">
        <v>14</v>
      </c>
      <c r="C1803" s="204">
        <v>0.50069444444444444</v>
      </c>
      <c r="D1803" s="205">
        <v>0</v>
      </c>
      <c r="E1803" s="205">
        <v>0</v>
      </c>
      <c r="F1803" s="205">
        <v>0</v>
      </c>
      <c r="G1803" s="205">
        <v>0</v>
      </c>
      <c r="H1803" s="205">
        <v>0</v>
      </c>
      <c r="I1803" s="205">
        <v>0</v>
      </c>
      <c r="J1803" s="205">
        <v>0</v>
      </c>
    </row>
    <row r="1804" spans="1:10">
      <c r="A1804" s="203" t="s">
        <v>161</v>
      </c>
      <c r="B1804" s="203" t="s">
        <v>14</v>
      </c>
      <c r="C1804" s="204">
        <v>0.50138888888888899</v>
      </c>
      <c r="D1804" s="205">
        <v>0</v>
      </c>
      <c r="E1804" s="205">
        <v>0</v>
      </c>
      <c r="F1804" s="205">
        <v>0</v>
      </c>
      <c r="G1804" s="205">
        <v>0</v>
      </c>
      <c r="H1804" s="205">
        <v>0</v>
      </c>
      <c r="I1804" s="205">
        <v>0</v>
      </c>
      <c r="J1804" s="205">
        <v>0</v>
      </c>
    </row>
    <row r="1805" spans="1:10">
      <c r="A1805" s="203" t="s">
        <v>161</v>
      </c>
      <c r="B1805" s="203" t="s">
        <v>14</v>
      </c>
      <c r="C1805" s="204">
        <v>0.50208333333333299</v>
      </c>
      <c r="D1805" s="205">
        <v>0</v>
      </c>
      <c r="E1805" s="205">
        <v>0</v>
      </c>
      <c r="F1805" s="205">
        <v>0</v>
      </c>
      <c r="G1805" s="205">
        <v>0</v>
      </c>
      <c r="H1805" s="205">
        <v>0</v>
      </c>
      <c r="I1805" s="205">
        <v>0</v>
      </c>
      <c r="J1805" s="205">
        <v>0</v>
      </c>
    </row>
    <row r="1806" spans="1:10">
      <c r="A1806" s="203" t="s">
        <v>161</v>
      </c>
      <c r="B1806" s="203" t="s">
        <v>14</v>
      </c>
      <c r="C1806" s="204">
        <v>0.50277777777777799</v>
      </c>
      <c r="D1806" s="205">
        <v>0</v>
      </c>
      <c r="E1806" s="205">
        <v>0</v>
      </c>
      <c r="F1806" s="205">
        <v>0</v>
      </c>
      <c r="G1806" s="205">
        <v>0</v>
      </c>
      <c r="H1806" s="205">
        <v>0</v>
      </c>
      <c r="I1806" s="205">
        <v>0</v>
      </c>
      <c r="J1806" s="205">
        <v>0</v>
      </c>
    </row>
    <row r="1807" spans="1:10">
      <c r="A1807" s="203" t="s">
        <v>161</v>
      </c>
      <c r="B1807" s="203" t="s">
        <v>14</v>
      </c>
      <c r="C1807" s="204">
        <v>0.50347222222222199</v>
      </c>
      <c r="D1807" s="205">
        <v>0</v>
      </c>
      <c r="E1807" s="205">
        <v>0</v>
      </c>
      <c r="F1807" s="205">
        <v>0</v>
      </c>
      <c r="G1807" s="205">
        <v>0</v>
      </c>
      <c r="H1807" s="205">
        <v>0</v>
      </c>
      <c r="I1807" s="205">
        <v>0</v>
      </c>
      <c r="J1807" s="205">
        <v>0</v>
      </c>
    </row>
    <row r="1808" spans="1:10">
      <c r="A1808" s="203" t="s">
        <v>161</v>
      </c>
      <c r="B1808" s="203" t="s">
        <v>14</v>
      </c>
      <c r="C1808" s="204">
        <v>0.50416666666666698</v>
      </c>
      <c r="D1808" s="205">
        <v>0</v>
      </c>
      <c r="E1808" s="205">
        <v>0</v>
      </c>
      <c r="F1808" s="205">
        <v>0</v>
      </c>
      <c r="G1808" s="205">
        <v>0</v>
      </c>
      <c r="H1808" s="205">
        <v>0</v>
      </c>
      <c r="I1808" s="205">
        <v>0</v>
      </c>
      <c r="J1808" s="205">
        <v>0</v>
      </c>
    </row>
    <row r="1809" spans="1:10">
      <c r="A1809" s="203" t="s">
        <v>161</v>
      </c>
      <c r="B1809" s="203" t="s">
        <v>14</v>
      </c>
      <c r="C1809" s="204">
        <v>0.50486111111111098</v>
      </c>
      <c r="D1809" s="205">
        <v>0</v>
      </c>
      <c r="E1809" s="205">
        <v>0</v>
      </c>
      <c r="F1809" s="205">
        <v>0</v>
      </c>
      <c r="G1809" s="205">
        <v>0</v>
      </c>
      <c r="H1809" s="205">
        <v>0</v>
      </c>
      <c r="I1809" s="205">
        <v>0</v>
      </c>
      <c r="J1809" s="205">
        <v>0</v>
      </c>
    </row>
    <row r="1810" spans="1:10">
      <c r="A1810" s="203" t="s">
        <v>161</v>
      </c>
      <c r="B1810" s="203" t="s">
        <v>14</v>
      </c>
      <c r="C1810" s="204">
        <v>0.50555555555555598</v>
      </c>
      <c r="D1810" s="205">
        <v>0</v>
      </c>
      <c r="E1810" s="205">
        <v>0</v>
      </c>
      <c r="F1810" s="205">
        <v>0</v>
      </c>
      <c r="G1810" s="205">
        <v>0</v>
      </c>
      <c r="H1810" s="205">
        <v>0</v>
      </c>
      <c r="I1810" s="205">
        <v>0</v>
      </c>
      <c r="J1810" s="205">
        <v>0</v>
      </c>
    </row>
    <row r="1811" spans="1:10">
      <c r="A1811" s="203" t="s">
        <v>161</v>
      </c>
      <c r="B1811" s="203" t="s">
        <v>14</v>
      </c>
      <c r="C1811" s="204">
        <v>0.50624999999999998</v>
      </c>
      <c r="D1811" s="205">
        <v>0</v>
      </c>
      <c r="E1811" s="205">
        <v>0</v>
      </c>
      <c r="F1811" s="205">
        <v>0</v>
      </c>
      <c r="G1811" s="205">
        <v>0</v>
      </c>
      <c r="H1811" s="205">
        <v>0</v>
      </c>
      <c r="I1811" s="205">
        <v>0</v>
      </c>
      <c r="J1811" s="205">
        <v>0</v>
      </c>
    </row>
    <row r="1812" spans="1:10">
      <c r="A1812" s="203" t="s">
        <v>161</v>
      </c>
      <c r="B1812" s="203" t="s">
        <v>14</v>
      </c>
      <c r="C1812" s="204">
        <v>0.50694444444444398</v>
      </c>
      <c r="D1812" s="205">
        <v>0</v>
      </c>
      <c r="E1812" s="205">
        <v>0</v>
      </c>
      <c r="F1812" s="205">
        <v>0</v>
      </c>
      <c r="G1812" s="205">
        <v>0</v>
      </c>
      <c r="H1812" s="205">
        <v>0</v>
      </c>
      <c r="I1812" s="205">
        <v>0</v>
      </c>
      <c r="J1812" s="205">
        <v>0</v>
      </c>
    </row>
    <row r="1813" spans="1:10">
      <c r="A1813" s="203" t="s">
        <v>161</v>
      </c>
      <c r="B1813" s="203" t="s">
        <v>14</v>
      </c>
      <c r="C1813" s="204">
        <v>0.50763888888888897</v>
      </c>
      <c r="D1813" s="205">
        <v>0</v>
      </c>
      <c r="E1813" s="205">
        <v>0</v>
      </c>
      <c r="F1813" s="205">
        <v>0</v>
      </c>
      <c r="G1813" s="205">
        <v>0</v>
      </c>
      <c r="H1813" s="205">
        <v>0</v>
      </c>
      <c r="I1813" s="205">
        <v>0</v>
      </c>
      <c r="J1813" s="205">
        <v>0</v>
      </c>
    </row>
    <row r="1814" spans="1:10">
      <c r="A1814" s="203" t="s">
        <v>161</v>
      </c>
      <c r="B1814" s="203" t="s">
        <v>14</v>
      </c>
      <c r="C1814" s="204">
        <v>0.50833333333333297</v>
      </c>
      <c r="D1814" s="205">
        <v>0</v>
      </c>
      <c r="E1814" s="205">
        <v>0</v>
      </c>
      <c r="F1814" s="205">
        <v>0</v>
      </c>
      <c r="G1814" s="205">
        <v>0</v>
      </c>
      <c r="H1814" s="205">
        <v>0</v>
      </c>
      <c r="I1814" s="205">
        <v>0</v>
      </c>
      <c r="J1814" s="205">
        <v>0</v>
      </c>
    </row>
    <row r="1815" spans="1:10">
      <c r="A1815" s="203" t="s">
        <v>161</v>
      </c>
      <c r="B1815" s="203" t="s">
        <v>14</v>
      </c>
      <c r="C1815" s="204">
        <v>0.50902777777777797</v>
      </c>
      <c r="D1815" s="205">
        <v>0</v>
      </c>
      <c r="E1815" s="205">
        <v>0</v>
      </c>
      <c r="F1815" s="205">
        <v>0</v>
      </c>
      <c r="G1815" s="205">
        <v>0</v>
      </c>
      <c r="H1815" s="205">
        <v>0</v>
      </c>
      <c r="I1815" s="205">
        <v>0</v>
      </c>
      <c r="J1815" s="205">
        <v>0</v>
      </c>
    </row>
    <row r="1816" spans="1:10" s="78" customFormat="1">
      <c r="A1816" s="206" t="s">
        <v>161</v>
      </c>
      <c r="B1816" s="206" t="s">
        <v>14</v>
      </c>
      <c r="C1816" s="207">
        <v>0.50972222222222197</v>
      </c>
      <c r="D1816" s="205">
        <v>0</v>
      </c>
      <c r="E1816" s="205">
        <v>0</v>
      </c>
      <c r="F1816" s="205">
        <v>0</v>
      </c>
      <c r="G1816" s="205">
        <v>0</v>
      </c>
      <c r="H1816" s="205">
        <v>0</v>
      </c>
      <c r="I1816" s="205">
        <v>0</v>
      </c>
      <c r="J1816" s="205">
        <v>0</v>
      </c>
    </row>
    <row r="1817" spans="1:10">
      <c r="A1817" s="203" t="s">
        <v>161</v>
      </c>
      <c r="B1817" s="203" t="s">
        <v>14</v>
      </c>
      <c r="C1817" s="204">
        <v>0.51041666666666663</v>
      </c>
      <c r="D1817" s="209">
        <v>0</v>
      </c>
      <c r="E1817" s="209">
        <v>0</v>
      </c>
      <c r="F1817" s="209">
        <v>0</v>
      </c>
      <c r="G1817" s="209">
        <v>0</v>
      </c>
      <c r="H1817" s="209">
        <v>0</v>
      </c>
      <c r="I1817" s="209">
        <v>0</v>
      </c>
      <c r="J1817" s="209">
        <v>0</v>
      </c>
    </row>
    <row r="1818" spans="1:10">
      <c r="A1818" s="203" t="s">
        <v>161</v>
      </c>
      <c r="B1818" s="203" t="s">
        <v>14</v>
      </c>
      <c r="C1818" s="204">
        <v>0.51111111111111107</v>
      </c>
      <c r="D1818" s="205">
        <v>0</v>
      </c>
      <c r="E1818" s="205">
        <v>0</v>
      </c>
      <c r="F1818" s="205">
        <v>0</v>
      </c>
      <c r="G1818" s="205">
        <v>0</v>
      </c>
      <c r="H1818" s="205">
        <v>0</v>
      </c>
      <c r="I1818" s="205">
        <v>0</v>
      </c>
      <c r="J1818" s="205">
        <v>0</v>
      </c>
    </row>
    <row r="1819" spans="1:10">
      <c r="A1819" s="203" t="s">
        <v>161</v>
      </c>
      <c r="B1819" s="203" t="s">
        <v>14</v>
      </c>
      <c r="C1819" s="204">
        <v>0.51180555555555551</v>
      </c>
      <c r="D1819" s="205">
        <v>0</v>
      </c>
      <c r="E1819" s="205">
        <v>0</v>
      </c>
      <c r="F1819" s="205">
        <v>0</v>
      </c>
      <c r="G1819" s="205">
        <v>0</v>
      </c>
      <c r="H1819" s="205">
        <v>0</v>
      </c>
      <c r="I1819" s="205">
        <v>0</v>
      </c>
      <c r="J1819" s="205">
        <v>0</v>
      </c>
    </row>
    <row r="1820" spans="1:10">
      <c r="A1820" s="203" t="s">
        <v>161</v>
      </c>
      <c r="B1820" s="203" t="s">
        <v>14</v>
      </c>
      <c r="C1820" s="204">
        <v>0.51249999999999996</v>
      </c>
      <c r="D1820" s="205">
        <v>0</v>
      </c>
      <c r="E1820" s="205">
        <v>0</v>
      </c>
      <c r="F1820" s="205">
        <v>0</v>
      </c>
      <c r="G1820" s="205">
        <v>0</v>
      </c>
      <c r="H1820" s="205">
        <v>0</v>
      </c>
      <c r="I1820" s="205">
        <v>0</v>
      </c>
      <c r="J1820" s="205">
        <v>0</v>
      </c>
    </row>
    <row r="1821" spans="1:10">
      <c r="A1821" s="203" t="s">
        <v>161</v>
      </c>
      <c r="B1821" s="203" t="s">
        <v>14</v>
      </c>
      <c r="C1821" s="204">
        <v>0.5131944444444444</v>
      </c>
      <c r="D1821" s="205">
        <v>0</v>
      </c>
      <c r="E1821" s="205">
        <v>0</v>
      </c>
      <c r="F1821" s="205">
        <v>0</v>
      </c>
      <c r="G1821" s="205">
        <v>0</v>
      </c>
      <c r="H1821" s="205">
        <v>0</v>
      </c>
      <c r="I1821" s="205">
        <v>0</v>
      </c>
      <c r="J1821" s="205">
        <v>0</v>
      </c>
    </row>
    <row r="1822" spans="1:10">
      <c r="A1822" s="203" t="s">
        <v>161</v>
      </c>
      <c r="B1822" s="203" t="s">
        <v>14</v>
      </c>
      <c r="C1822" s="204">
        <v>0.51388888888888884</v>
      </c>
      <c r="D1822" s="205">
        <v>0</v>
      </c>
      <c r="E1822" s="205">
        <v>0</v>
      </c>
      <c r="F1822" s="205">
        <v>0</v>
      </c>
      <c r="G1822" s="205">
        <v>0</v>
      </c>
      <c r="H1822" s="205">
        <v>0</v>
      </c>
      <c r="I1822" s="205">
        <v>0</v>
      </c>
      <c r="J1822" s="205">
        <v>0</v>
      </c>
    </row>
    <row r="1823" spans="1:10">
      <c r="A1823" s="203" t="s">
        <v>161</v>
      </c>
      <c r="B1823" s="203" t="s">
        <v>14</v>
      </c>
      <c r="C1823" s="204">
        <v>0.51458333333333328</v>
      </c>
      <c r="D1823" s="205">
        <v>0</v>
      </c>
      <c r="E1823" s="205">
        <v>0</v>
      </c>
      <c r="F1823" s="205">
        <v>0</v>
      </c>
      <c r="G1823" s="205">
        <v>0</v>
      </c>
      <c r="H1823" s="205">
        <v>0</v>
      </c>
      <c r="I1823" s="205">
        <v>0</v>
      </c>
      <c r="J1823" s="205">
        <v>0</v>
      </c>
    </row>
    <row r="1824" spans="1:10">
      <c r="A1824" s="203" t="s">
        <v>161</v>
      </c>
      <c r="B1824" s="203" t="s">
        <v>14</v>
      </c>
      <c r="C1824" s="204">
        <v>0.51527777777777772</v>
      </c>
      <c r="D1824" s="205">
        <v>0</v>
      </c>
      <c r="E1824" s="205">
        <v>0</v>
      </c>
      <c r="F1824" s="205">
        <v>0</v>
      </c>
      <c r="G1824" s="205">
        <v>0</v>
      </c>
      <c r="H1824" s="205">
        <v>0</v>
      </c>
      <c r="I1824" s="205">
        <v>0</v>
      </c>
      <c r="J1824" s="205">
        <v>0</v>
      </c>
    </row>
    <row r="1825" spans="1:10">
      <c r="A1825" s="203" t="s">
        <v>161</v>
      </c>
      <c r="B1825" s="203" t="s">
        <v>14</v>
      </c>
      <c r="C1825" s="204">
        <v>0.51597222222222228</v>
      </c>
      <c r="D1825" s="205">
        <v>0</v>
      </c>
      <c r="E1825" s="205">
        <v>0</v>
      </c>
      <c r="F1825" s="205">
        <v>0</v>
      </c>
      <c r="G1825" s="205">
        <v>0</v>
      </c>
      <c r="H1825" s="205">
        <v>0</v>
      </c>
      <c r="I1825" s="205">
        <v>0</v>
      </c>
      <c r="J1825" s="205">
        <v>0</v>
      </c>
    </row>
    <row r="1826" spans="1:10">
      <c r="A1826" s="203" t="s">
        <v>161</v>
      </c>
      <c r="B1826" s="203" t="s">
        <v>14</v>
      </c>
      <c r="C1826" s="204">
        <v>0.51666666666666672</v>
      </c>
      <c r="D1826" s="205">
        <v>0</v>
      </c>
      <c r="E1826" s="205">
        <v>0</v>
      </c>
      <c r="F1826" s="205">
        <v>0</v>
      </c>
      <c r="G1826" s="205">
        <v>0</v>
      </c>
      <c r="H1826" s="205">
        <v>0</v>
      </c>
      <c r="I1826" s="205">
        <v>0</v>
      </c>
      <c r="J1826" s="205">
        <v>0</v>
      </c>
    </row>
    <row r="1827" spans="1:10">
      <c r="A1827" s="203" t="s">
        <v>161</v>
      </c>
      <c r="B1827" s="203" t="s">
        <v>14</v>
      </c>
      <c r="C1827" s="204">
        <v>0.51736111111111116</v>
      </c>
      <c r="D1827" s="205">
        <v>0</v>
      </c>
      <c r="E1827" s="205">
        <v>0</v>
      </c>
      <c r="F1827" s="205">
        <v>0</v>
      </c>
      <c r="G1827" s="205">
        <v>0</v>
      </c>
      <c r="H1827" s="205">
        <v>0</v>
      </c>
      <c r="I1827" s="205">
        <v>0</v>
      </c>
      <c r="J1827" s="205">
        <v>0</v>
      </c>
    </row>
    <row r="1828" spans="1:10">
      <c r="A1828" s="203" t="s">
        <v>161</v>
      </c>
      <c r="B1828" s="203" t="s">
        <v>14</v>
      </c>
      <c r="C1828" s="204">
        <v>0.5180555555555556</v>
      </c>
      <c r="D1828" s="205">
        <v>0</v>
      </c>
      <c r="E1828" s="205">
        <v>0</v>
      </c>
      <c r="F1828" s="205">
        <v>0</v>
      </c>
      <c r="G1828" s="205">
        <v>0</v>
      </c>
      <c r="H1828" s="205">
        <v>0</v>
      </c>
      <c r="I1828" s="205">
        <v>0</v>
      </c>
      <c r="J1828" s="205">
        <v>0</v>
      </c>
    </row>
    <row r="1829" spans="1:10">
      <c r="A1829" s="203" t="s">
        <v>161</v>
      </c>
      <c r="B1829" s="203" t="s">
        <v>14</v>
      </c>
      <c r="C1829" s="204">
        <v>0.51875000000000004</v>
      </c>
      <c r="D1829" s="205">
        <v>0</v>
      </c>
      <c r="E1829" s="205">
        <v>0</v>
      </c>
      <c r="F1829" s="205">
        <v>0</v>
      </c>
      <c r="G1829" s="205">
        <v>0</v>
      </c>
      <c r="H1829" s="205">
        <v>0</v>
      </c>
      <c r="I1829" s="205">
        <v>0</v>
      </c>
      <c r="J1829" s="205">
        <v>0</v>
      </c>
    </row>
    <row r="1830" spans="1:10">
      <c r="A1830" s="203" t="s">
        <v>161</v>
      </c>
      <c r="B1830" s="203" t="s">
        <v>14</v>
      </c>
      <c r="C1830" s="204">
        <v>0.51944444444444449</v>
      </c>
      <c r="D1830" s="205">
        <v>0</v>
      </c>
      <c r="E1830" s="205">
        <v>0</v>
      </c>
      <c r="F1830" s="205">
        <v>0</v>
      </c>
      <c r="G1830" s="205">
        <v>0</v>
      </c>
      <c r="H1830" s="205">
        <v>0</v>
      </c>
      <c r="I1830" s="205">
        <v>0</v>
      </c>
      <c r="J1830" s="205">
        <v>0</v>
      </c>
    </row>
    <row r="1831" spans="1:10" s="78" customFormat="1">
      <c r="A1831" s="206" t="s">
        <v>161</v>
      </c>
      <c r="B1831" s="206" t="s">
        <v>14</v>
      </c>
      <c r="C1831" s="207">
        <v>0.52013888888888893</v>
      </c>
      <c r="D1831" s="208">
        <v>0</v>
      </c>
      <c r="E1831" s="208">
        <v>0</v>
      </c>
      <c r="F1831" s="208">
        <v>0</v>
      </c>
      <c r="G1831" s="208">
        <v>0</v>
      </c>
      <c r="H1831" s="208">
        <v>0</v>
      </c>
      <c r="I1831" s="208">
        <v>0</v>
      </c>
      <c r="J1831" s="208">
        <v>0</v>
      </c>
    </row>
    <row r="1832" spans="1:10">
      <c r="A1832" s="203" t="s">
        <v>161</v>
      </c>
      <c r="B1832" s="203" t="s">
        <v>14</v>
      </c>
      <c r="C1832" s="204">
        <v>0.52083333333333337</v>
      </c>
      <c r="D1832" s="205">
        <v>0</v>
      </c>
      <c r="E1832" s="205">
        <v>0</v>
      </c>
      <c r="F1832" s="205">
        <v>0</v>
      </c>
      <c r="G1832" s="205">
        <v>0</v>
      </c>
      <c r="H1832" s="205">
        <v>0</v>
      </c>
      <c r="I1832" s="205">
        <v>0</v>
      </c>
      <c r="J1832" s="205">
        <v>0</v>
      </c>
    </row>
    <row r="1833" spans="1:10">
      <c r="A1833" s="203" t="s">
        <v>161</v>
      </c>
      <c r="B1833" s="203" t="s">
        <v>14</v>
      </c>
      <c r="C1833" s="204">
        <v>0.52152777777777781</v>
      </c>
      <c r="D1833" s="205">
        <v>0</v>
      </c>
      <c r="E1833" s="205">
        <v>0</v>
      </c>
      <c r="F1833" s="205">
        <v>0</v>
      </c>
      <c r="G1833" s="205">
        <v>0</v>
      </c>
      <c r="H1833" s="205">
        <v>0</v>
      </c>
      <c r="I1833" s="205">
        <v>0</v>
      </c>
      <c r="J1833" s="205">
        <v>0</v>
      </c>
    </row>
    <row r="1834" spans="1:10">
      <c r="A1834" s="203" t="s">
        <v>161</v>
      </c>
      <c r="B1834" s="203" t="s">
        <v>14</v>
      </c>
      <c r="C1834" s="204">
        <v>0.52222222222222225</v>
      </c>
      <c r="D1834" s="205">
        <v>0</v>
      </c>
      <c r="E1834" s="205">
        <v>0</v>
      </c>
      <c r="F1834" s="205">
        <v>0</v>
      </c>
      <c r="G1834" s="205">
        <v>0</v>
      </c>
      <c r="H1834" s="205">
        <v>0</v>
      </c>
      <c r="I1834" s="205">
        <v>0</v>
      </c>
      <c r="J1834" s="205">
        <v>0</v>
      </c>
    </row>
    <row r="1835" spans="1:10">
      <c r="A1835" s="203" t="s">
        <v>161</v>
      </c>
      <c r="B1835" s="203" t="s">
        <v>14</v>
      </c>
      <c r="C1835" s="204">
        <v>0.5229166666666667</v>
      </c>
      <c r="D1835" s="205">
        <v>0</v>
      </c>
      <c r="E1835" s="205">
        <v>0</v>
      </c>
      <c r="F1835" s="205">
        <v>0</v>
      </c>
      <c r="G1835" s="205">
        <v>0</v>
      </c>
      <c r="H1835" s="205">
        <v>0</v>
      </c>
      <c r="I1835" s="205">
        <v>0</v>
      </c>
      <c r="J1835" s="205">
        <v>0</v>
      </c>
    </row>
    <row r="1836" spans="1:10">
      <c r="A1836" s="203" t="s">
        <v>161</v>
      </c>
      <c r="B1836" s="203" t="s">
        <v>14</v>
      </c>
      <c r="C1836" s="204">
        <v>0.52361111111111114</v>
      </c>
      <c r="D1836" s="205">
        <v>0</v>
      </c>
      <c r="E1836" s="205">
        <v>0</v>
      </c>
      <c r="F1836" s="205">
        <v>0</v>
      </c>
      <c r="G1836" s="205">
        <v>0</v>
      </c>
      <c r="H1836" s="205">
        <v>0</v>
      </c>
      <c r="I1836" s="205">
        <v>0</v>
      </c>
      <c r="J1836" s="205">
        <v>0</v>
      </c>
    </row>
    <row r="1837" spans="1:10">
      <c r="A1837" s="203" t="s">
        <v>161</v>
      </c>
      <c r="B1837" s="203" t="s">
        <v>14</v>
      </c>
      <c r="C1837" s="204">
        <v>0.52430555555555558</v>
      </c>
      <c r="D1837" s="205">
        <v>0</v>
      </c>
      <c r="E1837" s="205">
        <v>0</v>
      </c>
      <c r="F1837" s="205">
        <v>0</v>
      </c>
      <c r="G1837" s="205">
        <v>0</v>
      </c>
      <c r="H1837" s="205">
        <v>0</v>
      </c>
      <c r="I1837" s="205">
        <v>0</v>
      </c>
      <c r="J1837" s="205">
        <v>0</v>
      </c>
    </row>
    <row r="1838" spans="1:10">
      <c r="A1838" s="203" t="s">
        <v>161</v>
      </c>
      <c r="B1838" s="203" t="s">
        <v>14</v>
      </c>
      <c r="C1838" s="204">
        <v>0.52500000000000002</v>
      </c>
      <c r="D1838" s="205">
        <v>0</v>
      </c>
      <c r="E1838" s="205">
        <v>0</v>
      </c>
      <c r="F1838" s="205">
        <v>0</v>
      </c>
      <c r="G1838" s="205">
        <v>0</v>
      </c>
      <c r="H1838" s="205">
        <v>0</v>
      </c>
      <c r="I1838" s="205">
        <v>0</v>
      </c>
      <c r="J1838" s="205">
        <v>0</v>
      </c>
    </row>
    <row r="1839" spans="1:10">
      <c r="A1839" s="203" t="s">
        <v>161</v>
      </c>
      <c r="B1839" s="203" t="s">
        <v>14</v>
      </c>
      <c r="C1839" s="204">
        <v>0.52569444444444446</v>
      </c>
      <c r="D1839" s="205">
        <v>0</v>
      </c>
      <c r="E1839" s="205">
        <v>0</v>
      </c>
      <c r="F1839" s="205">
        <v>0</v>
      </c>
      <c r="G1839" s="205">
        <v>0</v>
      </c>
      <c r="H1839" s="205">
        <v>0</v>
      </c>
      <c r="I1839" s="205">
        <v>0</v>
      </c>
      <c r="J1839" s="205">
        <v>0</v>
      </c>
    </row>
    <row r="1840" spans="1:10">
      <c r="A1840" s="203" t="s">
        <v>161</v>
      </c>
      <c r="B1840" s="203" t="s">
        <v>14</v>
      </c>
      <c r="C1840" s="204">
        <v>0.52638888888888891</v>
      </c>
      <c r="D1840" s="205">
        <v>0</v>
      </c>
      <c r="E1840" s="205">
        <v>0</v>
      </c>
      <c r="F1840" s="205">
        <v>0</v>
      </c>
      <c r="G1840" s="205">
        <v>0</v>
      </c>
      <c r="H1840" s="205">
        <v>0</v>
      </c>
      <c r="I1840" s="205">
        <v>0</v>
      </c>
      <c r="J1840" s="205">
        <v>0</v>
      </c>
    </row>
    <row r="1841" spans="1:10">
      <c r="A1841" s="203" t="s">
        <v>161</v>
      </c>
      <c r="B1841" s="203" t="s">
        <v>14</v>
      </c>
      <c r="C1841" s="204">
        <v>0.52708333333333335</v>
      </c>
      <c r="D1841" s="205">
        <v>0</v>
      </c>
      <c r="E1841" s="205">
        <v>0</v>
      </c>
      <c r="F1841" s="205">
        <v>0</v>
      </c>
      <c r="G1841" s="205">
        <v>0</v>
      </c>
      <c r="H1841" s="205">
        <v>0</v>
      </c>
      <c r="I1841" s="205">
        <v>0</v>
      </c>
      <c r="J1841" s="205">
        <v>0</v>
      </c>
    </row>
    <row r="1842" spans="1:10">
      <c r="A1842" s="203" t="s">
        <v>161</v>
      </c>
      <c r="B1842" s="203" t="s">
        <v>14</v>
      </c>
      <c r="C1842" s="204">
        <v>0.52777777777777779</v>
      </c>
      <c r="D1842" s="205">
        <v>0</v>
      </c>
      <c r="E1842" s="205">
        <v>0</v>
      </c>
      <c r="F1842" s="205">
        <v>0</v>
      </c>
      <c r="G1842" s="205">
        <v>0</v>
      </c>
      <c r="H1842" s="205">
        <v>0</v>
      </c>
      <c r="I1842" s="205">
        <v>0</v>
      </c>
      <c r="J1842" s="205">
        <v>0</v>
      </c>
    </row>
    <row r="1843" spans="1:10">
      <c r="A1843" s="203" t="s">
        <v>161</v>
      </c>
      <c r="B1843" s="203" t="s">
        <v>14</v>
      </c>
      <c r="C1843" s="204">
        <v>0.52847222222222223</v>
      </c>
      <c r="D1843" s="205">
        <v>0</v>
      </c>
      <c r="E1843" s="205">
        <v>0</v>
      </c>
      <c r="F1843" s="205">
        <v>0</v>
      </c>
      <c r="G1843" s="205">
        <v>0</v>
      </c>
      <c r="H1843" s="205">
        <v>0</v>
      </c>
      <c r="I1843" s="205">
        <v>0</v>
      </c>
      <c r="J1843" s="205">
        <v>0</v>
      </c>
    </row>
    <row r="1844" spans="1:10">
      <c r="A1844" s="203" t="s">
        <v>161</v>
      </c>
      <c r="B1844" s="203" t="s">
        <v>14</v>
      </c>
      <c r="C1844" s="204">
        <v>0.52916666666666667</v>
      </c>
      <c r="D1844" s="205">
        <v>0</v>
      </c>
      <c r="E1844" s="205">
        <v>0</v>
      </c>
      <c r="F1844" s="205">
        <v>0</v>
      </c>
      <c r="G1844" s="205">
        <v>0</v>
      </c>
      <c r="H1844" s="205">
        <v>0</v>
      </c>
      <c r="I1844" s="205">
        <v>0</v>
      </c>
      <c r="J1844" s="205">
        <v>0</v>
      </c>
    </row>
    <row r="1845" spans="1:10">
      <c r="A1845" s="203" t="s">
        <v>161</v>
      </c>
      <c r="B1845" s="203" t="s">
        <v>14</v>
      </c>
      <c r="C1845" s="204">
        <v>0.52986111111111112</v>
      </c>
      <c r="D1845" s="205">
        <v>0</v>
      </c>
      <c r="E1845" s="205">
        <v>0</v>
      </c>
      <c r="F1845" s="205">
        <v>0</v>
      </c>
      <c r="G1845" s="205">
        <v>0</v>
      </c>
      <c r="H1845" s="205">
        <v>0</v>
      </c>
      <c r="I1845" s="205">
        <v>0</v>
      </c>
      <c r="J1845" s="205">
        <v>0</v>
      </c>
    </row>
    <row r="1846" spans="1:10" s="78" customFormat="1">
      <c r="A1846" s="206" t="s">
        <v>161</v>
      </c>
      <c r="B1846" s="206" t="s">
        <v>14</v>
      </c>
      <c r="C1846" s="207">
        <v>0.53055555555555556</v>
      </c>
      <c r="D1846" s="205">
        <v>0</v>
      </c>
      <c r="E1846" s="205">
        <v>0</v>
      </c>
      <c r="F1846" s="205">
        <v>0</v>
      </c>
      <c r="G1846" s="205">
        <v>0</v>
      </c>
      <c r="H1846" s="205">
        <v>0</v>
      </c>
      <c r="I1846" s="205">
        <v>0</v>
      </c>
      <c r="J1846" s="205">
        <v>0</v>
      </c>
    </row>
    <row r="1847" spans="1:10">
      <c r="A1847" s="203" t="s">
        <v>161</v>
      </c>
      <c r="B1847" s="203" t="s">
        <v>14</v>
      </c>
      <c r="C1847" s="204">
        <v>0.53125</v>
      </c>
      <c r="D1847" s="209">
        <v>0</v>
      </c>
      <c r="E1847" s="209">
        <v>0</v>
      </c>
      <c r="F1847" s="209">
        <v>0</v>
      </c>
      <c r="G1847" s="209">
        <v>0</v>
      </c>
      <c r="H1847" s="209">
        <v>0</v>
      </c>
      <c r="I1847" s="209">
        <v>0</v>
      </c>
      <c r="J1847" s="209">
        <v>0</v>
      </c>
    </row>
    <row r="1848" spans="1:10">
      <c r="A1848" s="203" t="s">
        <v>161</v>
      </c>
      <c r="B1848" s="203" t="s">
        <v>14</v>
      </c>
      <c r="C1848" s="204">
        <v>0.53194444444444444</v>
      </c>
      <c r="D1848" s="205">
        <v>0</v>
      </c>
      <c r="E1848" s="205">
        <v>0</v>
      </c>
      <c r="F1848" s="205">
        <v>0</v>
      </c>
      <c r="G1848" s="205">
        <v>0</v>
      </c>
      <c r="H1848" s="205">
        <v>0</v>
      </c>
      <c r="I1848" s="205">
        <v>0</v>
      </c>
      <c r="J1848" s="205">
        <v>0</v>
      </c>
    </row>
    <row r="1849" spans="1:10">
      <c r="A1849" s="203" t="s">
        <v>161</v>
      </c>
      <c r="B1849" s="203" t="s">
        <v>14</v>
      </c>
      <c r="C1849" s="204">
        <v>0.53263888888888888</v>
      </c>
      <c r="D1849" s="205">
        <v>0</v>
      </c>
      <c r="E1849" s="205">
        <v>0</v>
      </c>
      <c r="F1849" s="205">
        <v>0</v>
      </c>
      <c r="G1849" s="205">
        <v>0</v>
      </c>
      <c r="H1849" s="205">
        <v>0</v>
      </c>
      <c r="I1849" s="205">
        <v>0</v>
      </c>
      <c r="J1849" s="205">
        <v>0</v>
      </c>
    </row>
    <row r="1850" spans="1:10">
      <c r="A1850" s="203" t="s">
        <v>161</v>
      </c>
      <c r="B1850" s="203" t="s">
        <v>14</v>
      </c>
      <c r="C1850" s="204">
        <v>0.53333333333333333</v>
      </c>
      <c r="D1850" s="205">
        <v>0</v>
      </c>
      <c r="E1850" s="205">
        <v>0</v>
      </c>
      <c r="F1850" s="205">
        <v>0</v>
      </c>
      <c r="G1850" s="205">
        <v>0</v>
      </c>
      <c r="H1850" s="205">
        <v>0</v>
      </c>
      <c r="I1850" s="205">
        <v>0</v>
      </c>
      <c r="J1850" s="205">
        <v>0</v>
      </c>
    </row>
    <row r="1851" spans="1:10">
      <c r="A1851" s="203" t="s">
        <v>161</v>
      </c>
      <c r="B1851" s="203" t="s">
        <v>14</v>
      </c>
      <c r="C1851" s="204">
        <v>0.53402777777777777</v>
      </c>
      <c r="D1851" s="205">
        <v>0</v>
      </c>
      <c r="E1851" s="205">
        <v>0</v>
      </c>
      <c r="F1851" s="205">
        <v>0</v>
      </c>
      <c r="G1851" s="205">
        <v>0</v>
      </c>
      <c r="H1851" s="205">
        <v>0</v>
      </c>
      <c r="I1851" s="205">
        <v>0</v>
      </c>
      <c r="J1851" s="205">
        <v>0</v>
      </c>
    </row>
    <row r="1852" spans="1:10">
      <c r="A1852" s="203" t="s">
        <v>161</v>
      </c>
      <c r="B1852" s="203" t="s">
        <v>14</v>
      </c>
      <c r="C1852" s="204">
        <v>0.53472222222222221</v>
      </c>
      <c r="D1852" s="205">
        <v>0</v>
      </c>
      <c r="E1852" s="205">
        <v>0</v>
      </c>
      <c r="F1852" s="205">
        <v>0</v>
      </c>
      <c r="G1852" s="205">
        <v>0</v>
      </c>
      <c r="H1852" s="205">
        <v>0</v>
      </c>
      <c r="I1852" s="205">
        <v>0</v>
      </c>
      <c r="J1852" s="205">
        <v>0</v>
      </c>
    </row>
    <row r="1853" spans="1:10">
      <c r="A1853" s="203" t="s">
        <v>161</v>
      </c>
      <c r="B1853" s="203" t="s">
        <v>14</v>
      </c>
      <c r="C1853" s="204">
        <v>0.53541666666666665</v>
      </c>
      <c r="D1853" s="205">
        <v>0</v>
      </c>
      <c r="E1853" s="205">
        <v>0</v>
      </c>
      <c r="F1853" s="205">
        <v>0</v>
      </c>
      <c r="G1853" s="205">
        <v>0</v>
      </c>
      <c r="H1853" s="205">
        <v>0</v>
      </c>
      <c r="I1853" s="205">
        <v>0</v>
      </c>
      <c r="J1853" s="205">
        <v>0</v>
      </c>
    </row>
    <row r="1854" spans="1:10">
      <c r="A1854" s="203" t="s">
        <v>161</v>
      </c>
      <c r="B1854" s="203" t="s">
        <v>14</v>
      </c>
      <c r="C1854" s="204">
        <v>0.53611111111111109</v>
      </c>
      <c r="D1854" s="205">
        <v>0</v>
      </c>
      <c r="E1854" s="205">
        <v>0</v>
      </c>
      <c r="F1854" s="205">
        <v>0</v>
      </c>
      <c r="G1854" s="205">
        <v>0</v>
      </c>
      <c r="H1854" s="205">
        <v>0</v>
      </c>
      <c r="I1854" s="205">
        <v>0</v>
      </c>
      <c r="J1854" s="205">
        <v>0</v>
      </c>
    </row>
    <row r="1855" spans="1:10">
      <c r="A1855" s="203" t="s">
        <v>161</v>
      </c>
      <c r="B1855" s="203" t="s">
        <v>14</v>
      </c>
      <c r="C1855" s="204">
        <v>0.53680555555555554</v>
      </c>
      <c r="D1855" s="205">
        <v>0</v>
      </c>
      <c r="E1855" s="205">
        <v>0</v>
      </c>
      <c r="F1855" s="205">
        <v>0</v>
      </c>
      <c r="G1855" s="205">
        <v>0</v>
      </c>
      <c r="H1855" s="205">
        <v>0</v>
      </c>
      <c r="I1855" s="205">
        <v>0</v>
      </c>
      <c r="J1855" s="205">
        <v>0</v>
      </c>
    </row>
    <row r="1856" spans="1:10">
      <c r="A1856" s="203" t="s">
        <v>161</v>
      </c>
      <c r="B1856" s="203" t="s">
        <v>14</v>
      </c>
      <c r="C1856" s="204">
        <v>0.53749999999999998</v>
      </c>
      <c r="D1856" s="205">
        <v>0</v>
      </c>
      <c r="E1856" s="205">
        <v>0</v>
      </c>
      <c r="F1856" s="205">
        <v>0</v>
      </c>
      <c r="G1856" s="205">
        <v>0</v>
      </c>
      <c r="H1856" s="205">
        <v>0</v>
      </c>
      <c r="I1856" s="205">
        <v>0</v>
      </c>
      <c r="J1856" s="205">
        <v>0</v>
      </c>
    </row>
    <row r="1857" spans="1:10">
      <c r="A1857" s="203" t="s">
        <v>161</v>
      </c>
      <c r="B1857" s="203" t="s">
        <v>14</v>
      </c>
      <c r="C1857" s="204">
        <v>0.53819444444444442</v>
      </c>
      <c r="D1857" s="205">
        <v>0</v>
      </c>
      <c r="E1857" s="205">
        <v>0</v>
      </c>
      <c r="F1857" s="205">
        <v>0</v>
      </c>
      <c r="G1857" s="205">
        <v>0</v>
      </c>
      <c r="H1857" s="205">
        <v>0</v>
      </c>
      <c r="I1857" s="205">
        <v>0</v>
      </c>
      <c r="J1857" s="205">
        <v>0</v>
      </c>
    </row>
    <row r="1858" spans="1:10">
      <c r="A1858" s="203" t="s">
        <v>161</v>
      </c>
      <c r="B1858" s="203" t="s">
        <v>14</v>
      </c>
      <c r="C1858" s="204">
        <v>0.53888888888888886</v>
      </c>
      <c r="D1858" s="205">
        <v>0</v>
      </c>
      <c r="E1858" s="205">
        <v>0</v>
      </c>
      <c r="F1858" s="205">
        <v>0</v>
      </c>
      <c r="G1858" s="205">
        <v>0</v>
      </c>
      <c r="H1858" s="205">
        <v>0</v>
      </c>
      <c r="I1858" s="205">
        <v>0</v>
      </c>
      <c r="J1858" s="205">
        <v>0</v>
      </c>
    </row>
    <row r="1859" spans="1:10">
      <c r="A1859" s="203" t="s">
        <v>161</v>
      </c>
      <c r="B1859" s="203" t="s">
        <v>14</v>
      </c>
      <c r="C1859" s="204">
        <v>0.5395833333333333</v>
      </c>
      <c r="D1859" s="205">
        <v>0</v>
      </c>
      <c r="E1859" s="205">
        <v>0</v>
      </c>
      <c r="F1859" s="205">
        <v>0</v>
      </c>
      <c r="G1859" s="205">
        <v>0</v>
      </c>
      <c r="H1859" s="205">
        <v>0</v>
      </c>
      <c r="I1859" s="205">
        <v>0</v>
      </c>
      <c r="J1859" s="205">
        <v>0</v>
      </c>
    </row>
    <row r="1860" spans="1:10">
      <c r="A1860" s="203" t="s">
        <v>161</v>
      </c>
      <c r="B1860" s="203" t="s">
        <v>14</v>
      </c>
      <c r="C1860" s="204">
        <v>0.54027777777777775</v>
      </c>
      <c r="D1860" s="205">
        <v>0</v>
      </c>
      <c r="E1860" s="205">
        <v>0</v>
      </c>
      <c r="F1860" s="205">
        <v>0</v>
      </c>
      <c r="G1860" s="205">
        <v>0</v>
      </c>
      <c r="H1860" s="205">
        <v>0</v>
      </c>
      <c r="I1860" s="205">
        <v>0</v>
      </c>
      <c r="J1860" s="205">
        <v>0</v>
      </c>
    </row>
    <row r="1861" spans="1:10" s="78" customFormat="1">
      <c r="A1861" s="206" t="s">
        <v>161</v>
      </c>
      <c r="B1861" s="206" t="s">
        <v>14</v>
      </c>
      <c r="C1861" s="207">
        <v>0.54097222222222219</v>
      </c>
      <c r="D1861" s="208">
        <v>0</v>
      </c>
      <c r="E1861" s="208">
        <v>0</v>
      </c>
      <c r="F1861" s="208">
        <v>0</v>
      </c>
      <c r="G1861" s="208">
        <v>0</v>
      </c>
      <c r="H1861" s="208">
        <v>0</v>
      </c>
      <c r="I1861" s="208">
        <v>0</v>
      </c>
      <c r="J1861" s="208">
        <v>0</v>
      </c>
    </row>
    <row r="1862" spans="1:10">
      <c r="A1862" s="203" t="s">
        <v>161</v>
      </c>
      <c r="B1862" s="203" t="s">
        <v>14</v>
      </c>
      <c r="C1862" s="204">
        <v>0.54166666666666663</v>
      </c>
      <c r="D1862" s="205">
        <v>0</v>
      </c>
      <c r="E1862" s="205">
        <v>0</v>
      </c>
      <c r="F1862" s="205">
        <v>0</v>
      </c>
      <c r="G1862" s="205">
        <v>0</v>
      </c>
      <c r="H1862" s="205">
        <v>0</v>
      </c>
      <c r="I1862" s="205">
        <v>0</v>
      </c>
      <c r="J1862" s="205">
        <v>0</v>
      </c>
    </row>
    <row r="1863" spans="1:10">
      <c r="A1863" s="203" t="s">
        <v>161</v>
      </c>
      <c r="B1863" s="203" t="s">
        <v>14</v>
      </c>
      <c r="C1863" s="204">
        <v>0.54236111111111107</v>
      </c>
      <c r="D1863" s="205">
        <v>0</v>
      </c>
      <c r="E1863" s="205">
        <v>0</v>
      </c>
      <c r="F1863" s="205">
        <v>0</v>
      </c>
      <c r="G1863" s="205">
        <v>0</v>
      </c>
      <c r="H1863" s="205">
        <v>0</v>
      </c>
      <c r="I1863" s="205">
        <v>0</v>
      </c>
      <c r="J1863" s="205">
        <v>0</v>
      </c>
    </row>
    <row r="1864" spans="1:10">
      <c r="A1864" s="203" t="s">
        <v>161</v>
      </c>
      <c r="B1864" s="203" t="s">
        <v>14</v>
      </c>
      <c r="C1864" s="204">
        <v>0.54305555555555551</v>
      </c>
      <c r="D1864" s="205">
        <v>0</v>
      </c>
      <c r="E1864" s="205">
        <v>0</v>
      </c>
      <c r="F1864" s="205">
        <v>0</v>
      </c>
      <c r="G1864" s="205">
        <v>0</v>
      </c>
      <c r="H1864" s="205">
        <v>0</v>
      </c>
      <c r="I1864" s="205">
        <v>0</v>
      </c>
      <c r="J1864" s="205">
        <v>0</v>
      </c>
    </row>
    <row r="1865" spans="1:10">
      <c r="A1865" s="203" t="s">
        <v>161</v>
      </c>
      <c r="B1865" s="203" t="s">
        <v>14</v>
      </c>
      <c r="C1865" s="204">
        <v>0.54374999999999996</v>
      </c>
      <c r="D1865" s="205">
        <v>0</v>
      </c>
      <c r="E1865" s="205">
        <v>0</v>
      </c>
      <c r="F1865" s="205">
        <v>0</v>
      </c>
      <c r="G1865" s="205">
        <v>0</v>
      </c>
      <c r="H1865" s="205">
        <v>0</v>
      </c>
      <c r="I1865" s="205">
        <v>0</v>
      </c>
      <c r="J1865" s="205">
        <v>0</v>
      </c>
    </row>
    <row r="1866" spans="1:10">
      <c r="A1866" s="203" t="s">
        <v>161</v>
      </c>
      <c r="B1866" s="203" t="s">
        <v>14</v>
      </c>
      <c r="C1866" s="204">
        <v>0.5444444444444444</v>
      </c>
      <c r="D1866" s="205">
        <v>0</v>
      </c>
      <c r="E1866" s="205">
        <v>0</v>
      </c>
      <c r="F1866" s="205">
        <v>0</v>
      </c>
      <c r="G1866" s="205">
        <v>0</v>
      </c>
      <c r="H1866" s="205">
        <v>0</v>
      </c>
      <c r="I1866" s="205">
        <v>0</v>
      </c>
      <c r="J1866" s="205">
        <v>0</v>
      </c>
    </row>
    <row r="1867" spans="1:10">
      <c r="A1867" s="203" t="s">
        <v>161</v>
      </c>
      <c r="B1867" s="203" t="s">
        <v>14</v>
      </c>
      <c r="C1867" s="204">
        <v>0.54513888888888884</v>
      </c>
      <c r="D1867" s="205">
        <v>0</v>
      </c>
      <c r="E1867" s="205">
        <v>0</v>
      </c>
      <c r="F1867" s="205">
        <v>0</v>
      </c>
      <c r="G1867" s="205">
        <v>0</v>
      </c>
      <c r="H1867" s="205">
        <v>0</v>
      </c>
      <c r="I1867" s="205">
        <v>0</v>
      </c>
      <c r="J1867" s="205">
        <v>0</v>
      </c>
    </row>
    <row r="1868" spans="1:10">
      <c r="A1868" s="203" t="s">
        <v>161</v>
      </c>
      <c r="B1868" s="203" t="s">
        <v>14</v>
      </c>
      <c r="C1868" s="204">
        <v>0.54583333333333328</v>
      </c>
      <c r="D1868" s="205">
        <v>0</v>
      </c>
      <c r="E1868" s="205">
        <v>0</v>
      </c>
      <c r="F1868" s="205">
        <v>0</v>
      </c>
      <c r="G1868" s="205">
        <v>0</v>
      </c>
      <c r="H1868" s="205">
        <v>0</v>
      </c>
      <c r="I1868" s="205">
        <v>0</v>
      </c>
      <c r="J1868" s="205">
        <v>0</v>
      </c>
    </row>
    <row r="1869" spans="1:10">
      <c r="A1869" s="203" t="s">
        <v>161</v>
      </c>
      <c r="B1869" s="203" t="s">
        <v>14</v>
      </c>
      <c r="C1869" s="204">
        <v>0.54652777777777772</v>
      </c>
      <c r="D1869" s="205">
        <v>0</v>
      </c>
      <c r="E1869" s="205">
        <v>0</v>
      </c>
      <c r="F1869" s="205">
        <v>0</v>
      </c>
      <c r="G1869" s="205">
        <v>0</v>
      </c>
      <c r="H1869" s="205">
        <v>0</v>
      </c>
      <c r="I1869" s="205">
        <v>0</v>
      </c>
      <c r="J1869" s="205">
        <v>0</v>
      </c>
    </row>
    <row r="1870" spans="1:10">
      <c r="A1870" s="203" t="s">
        <v>161</v>
      </c>
      <c r="B1870" s="203" t="s">
        <v>14</v>
      </c>
      <c r="C1870" s="204">
        <v>0.54722222222222228</v>
      </c>
      <c r="D1870" s="205">
        <v>0</v>
      </c>
      <c r="E1870" s="205">
        <v>0</v>
      </c>
      <c r="F1870" s="205">
        <v>0</v>
      </c>
      <c r="G1870" s="205">
        <v>0</v>
      </c>
      <c r="H1870" s="205">
        <v>0</v>
      </c>
      <c r="I1870" s="205">
        <v>0</v>
      </c>
      <c r="J1870" s="205">
        <v>0</v>
      </c>
    </row>
    <row r="1871" spans="1:10">
      <c r="A1871" s="203" t="s">
        <v>161</v>
      </c>
      <c r="B1871" s="203" t="s">
        <v>14</v>
      </c>
      <c r="C1871" s="204">
        <v>0.54791666666666672</v>
      </c>
      <c r="D1871" s="205">
        <v>0</v>
      </c>
      <c r="E1871" s="205">
        <v>0</v>
      </c>
      <c r="F1871" s="205">
        <v>0</v>
      </c>
      <c r="G1871" s="205">
        <v>0</v>
      </c>
      <c r="H1871" s="205">
        <v>0</v>
      </c>
      <c r="I1871" s="205">
        <v>0</v>
      </c>
      <c r="J1871" s="205">
        <v>0</v>
      </c>
    </row>
    <row r="1872" spans="1:10">
      <c r="A1872" s="203" t="s">
        <v>161</v>
      </c>
      <c r="B1872" s="203" t="s">
        <v>14</v>
      </c>
      <c r="C1872" s="204">
        <v>0.54861111111111116</v>
      </c>
      <c r="D1872" s="205">
        <v>0</v>
      </c>
      <c r="E1872" s="205">
        <v>0</v>
      </c>
      <c r="F1872" s="205">
        <v>0</v>
      </c>
      <c r="G1872" s="205">
        <v>0</v>
      </c>
      <c r="H1872" s="205">
        <v>0</v>
      </c>
      <c r="I1872" s="205">
        <v>0</v>
      </c>
      <c r="J1872" s="205">
        <v>0</v>
      </c>
    </row>
    <row r="1873" spans="1:10">
      <c r="A1873" s="203" t="s">
        <v>161</v>
      </c>
      <c r="B1873" s="203" t="s">
        <v>14</v>
      </c>
      <c r="C1873" s="204">
        <v>0.5493055555555556</v>
      </c>
      <c r="D1873" s="205">
        <v>0</v>
      </c>
      <c r="E1873" s="205">
        <v>0</v>
      </c>
      <c r="F1873" s="205">
        <v>0</v>
      </c>
      <c r="G1873" s="205">
        <v>0</v>
      </c>
      <c r="H1873" s="205">
        <v>0</v>
      </c>
      <c r="I1873" s="205">
        <v>0</v>
      </c>
      <c r="J1873" s="205">
        <v>0</v>
      </c>
    </row>
    <row r="1874" spans="1:10">
      <c r="A1874" s="203" t="s">
        <v>161</v>
      </c>
      <c r="B1874" s="203" t="s">
        <v>14</v>
      </c>
      <c r="C1874" s="204">
        <v>0.54236111111111107</v>
      </c>
      <c r="D1874" s="205">
        <v>0</v>
      </c>
      <c r="E1874" s="205">
        <v>0</v>
      </c>
      <c r="F1874" s="205">
        <v>0</v>
      </c>
      <c r="G1874" s="205">
        <v>0</v>
      </c>
      <c r="H1874" s="205">
        <v>0</v>
      </c>
      <c r="I1874" s="205">
        <v>0</v>
      </c>
      <c r="J1874" s="205">
        <v>0</v>
      </c>
    </row>
    <row r="1875" spans="1:10">
      <c r="A1875" s="203" t="s">
        <v>161</v>
      </c>
      <c r="B1875" s="203" t="s">
        <v>14</v>
      </c>
      <c r="C1875" s="204">
        <v>0.55069444444444449</v>
      </c>
      <c r="D1875" s="205">
        <v>0</v>
      </c>
      <c r="E1875" s="205">
        <v>0</v>
      </c>
      <c r="F1875" s="205">
        <v>0</v>
      </c>
      <c r="G1875" s="205">
        <v>0</v>
      </c>
      <c r="H1875" s="205">
        <v>0</v>
      </c>
      <c r="I1875" s="205">
        <v>0</v>
      </c>
      <c r="J1875" s="205">
        <v>0</v>
      </c>
    </row>
    <row r="1876" spans="1:10" s="78" customFormat="1">
      <c r="A1876" s="206" t="s">
        <v>161</v>
      </c>
      <c r="B1876" s="206" t="s">
        <v>14</v>
      </c>
      <c r="C1876" s="207">
        <v>0.55138888888888893</v>
      </c>
      <c r="D1876" s="205">
        <v>0</v>
      </c>
      <c r="E1876" s="205">
        <v>0</v>
      </c>
      <c r="F1876" s="205">
        <v>0</v>
      </c>
      <c r="G1876" s="205">
        <v>0</v>
      </c>
      <c r="H1876" s="205">
        <v>0</v>
      </c>
      <c r="I1876" s="205">
        <v>0</v>
      </c>
      <c r="J1876" s="205">
        <v>0</v>
      </c>
    </row>
    <row r="1877" spans="1:10">
      <c r="A1877" s="203" t="s">
        <v>161</v>
      </c>
      <c r="B1877" s="203" t="s">
        <v>14</v>
      </c>
      <c r="C1877" s="204">
        <v>0.55208333333333337</v>
      </c>
      <c r="D1877" s="209">
        <v>0</v>
      </c>
      <c r="E1877" s="209">
        <v>0</v>
      </c>
      <c r="F1877" s="209">
        <v>0</v>
      </c>
      <c r="G1877" s="209">
        <v>0</v>
      </c>
      <c r="H1877" s="209">
        <v>0</v>
      </c>
      <c r="I1877" s="209">
        <v>0</v>
      </c>
      <c r="J1877" s="209">
        <v>0</v>
      </c>
    </row>
    <row r="1878" spans="1:10">
      <c r="A1878" s="203" t="s">
        <v>161</v>
      </c>
      <c r="B1878" s="203" t="s">
        <v>14</v>
      </c>
      <c r="C1878" s="204">
        <v>0.55277777777777781</v>
      </c>
      <c r="D1878" s="205">
        <v>0</v>
      </c>
      <c r="E1878" s="205">
        <v>0</v>
      </c>
      <c r="F1878" s="205">
        <v>0</v>
      </c>
      <c r="G1878" s="205">
        <v>0</v>
      </c>
      <c r="H1878" s="205">
        <v>0</v>
      </c>
      <c r="I1878" s="205">
        <v>0</v>
      </c>
      <c r="J1878" s="205">
        <v>0</v>
      </c>
    </row>
    <row r="1879" spans="1:10">
      <c r="A1879" s="203" t="s">
        <v>161</v>
      </c>
      <c r="B1879" s="203" t="s">
        <v>14</v>
      </c>
      <c r="C1879" s="204">
        <v>0.55347222222222225</v>
      </c>
      <c r="D1879" s="205">
        <v>0</v>
      </c>
      <c r="E1879" s="205">
        <v>0</v>
      </c>
      <c r="F1879" s="205">
        <v>0</v>
      </c>
      <c r="G1879" s="205">
        <v>0</v>
      </c>
      <c r="H1879" s="205">
        <v>0</v>
      </c>
      <c r="I1879" s="205">
        <v>0</v>
      </c>
      <c r="J1879" s="205">
        <v>0</v>
      </c>
    </row>
    <row r="1880" spans="1:10">
      <c r="A1880" s="203" t="s">
        <v>161</v>
      </c>
      <c r="B1880" s="203" t="s">
        <v>14</v>
      </c>
      <c r="C1880" s="204">
        <v>0.5541666666666667</v>
      </c>
      <c r="D1880" s="205">
        <v>0</v>
      </c>
      <c r="E1880" s="205">
        <v>0</v>
      </c>
      <c r="F1880" s="205">
        <v>0</v>
      </c>
      <c r="G1880" s="205">
        <v>0</v>
      </c>
      <c r="H1880" s="205">
        <v>0</v>
      </c>
      <c r="I1880" s="205">
        <v>0</v>
      </c>
      <c r="J1880" s="205">
        <v>0</v>
      </c>
    </row>
    <row r="1881" spans="1:10">
      <c r="A1881" s="203" t="s">
        <v>161</v>
      </c>
      <c r="B1881" s="203" t="s">
        <v>14</v>
      </c>
      <c r="C1881" s="204">
        <v>0.55486111111111114</v>
      </c>
      <c r="D1881" s="205">
        <v>0</v>
      </c>
      <c r="E1881" s="205">
        <v>0</v>
      </c>
      <c r="F1881" s="205">
        <v>0</v>
      </c>
      <c r="G1881" s="205">
        <v>0</v>
      </c>
      <c r="H1881" s="205">
        <v>0</v>
      </c>
      <c r="I1881" s="205">
        <v>0</v>
      </c>
      <c r="J1881" s="205">
        <v>0</v>
      </c>
    </row>
    <row r="1882" spans="1:10">
      <c r="A1882" s="203" t="s">
        <v>161</v>
      </c>
      <c r="B1882" s="203" t="s">
        <v>14</v>
      </c>
      <c r="C1882" s="204">
        <v>0.55555555555555558</v>
      </c>
      <c r="D1882" s="205">
        <v>0</v>
      </c>
      <c r="E1882" s="205">
        <v>0</v>
      </c>
      <c r="F1882" s="205">
        <v>0</v>
      </c>
      <c r="G1882" s="205">
        <v>0</v>
      </c>
      <c r="H1882" s="205">
        <v>0</v>
      </c>
      <c r="I1882" s="205">
        <v>0</v>
      </c>
      <c r="J1882" s="205">
        <v>0</v>
      </c>
    </row>
    <row r="1883" spans="1:10">
      <c r="A1883" s="203" t="s">
        <v>161</v>
      </c>
      <c r="B1883" s="203" t="s">
        <v>14</v>
      </c>
      <c r="C1883" s="204">
        <v>0.55625000000000002</v>
      </c>
      <c r="D1883" s="205">
        <v>0</v>
      </c>
      <c r="E1883" s="205">
        <v>0</v>
      </c>
      <c r="F1883" s="205">
        <v>0</v>
      </c>
      <c r="G1883" s="205">
        <v>0</v>
      </c>
      <c r="H1883" s="205">
        <v>0</v>
      </c>
      <c r="I1883" s="205">
        <v>0</v>
      </c>
      <c r="J1883" s="205">
        <v>0</v>
      </c>
    </row>
    <row r="1884" spans="1:10">
      <c r="A1884" s="203" t="s">
        <v>161</v>
      </c>
      <c r="B1884" s="203" t="s">
        <v>14</v>
      </c>
      <c r="C1884" s="204">
        <v>0.55694444444444446</v>
      </c>
      <c r="D1884" s="205">
        <v>0</v>
      </c>
      <c r="E1884" s="205">
        <v>0</v>
      </c>
      <c r="F1884" s="205">
        <v>0</v>
      </c>
      <c r="G1884" s="205">
        <v>0</v>
      </c>
      <c r="H1884" s="205">
        <v>0</v>
      </c>
      <c r="I1884" s="205">
        <v>0</v>
      </c>
      <c r="J1884" s="205">
        <v>0</v>
      </c>
    </row>
    <row r="1885" spans="1:10">
      <c r="A1885" s="203" t="s">
        <v>161</v>
      </c>
      <c r="B1885" s="203" t="s">
        <v>14</v>
      </c>
      <c r="C1885" s="204">
        <v>0.55763888888888891</v>
      </c>
      <c r="D1885" s="205">
        <v>0</v>
      </c>
      <c r="E1885" s="205">
        <v>0</v>
      </c>
      <c r="F1885" s="205">
        <v>0</v>
      </c>
      <c r="G1885" s="205">
        <v>0</v>
      </c>
      <c r="H1885" s="205">
        <v>0</v>
      </c>
      <c r="I1885" s="205">
        <v>0</v>
      </c>
      <c r="J1885" s="205">
        <v>0</v>
      </c>
    </row>
    <row r="1886" spans="1:10">
      <c r="A1886" s="203" t="s">
        <v>161</v>
      </c>
      <c r="B1886" s="203" t="s">
        <v>14</v>
      </c>
      <c r="C1886" s="204">
        <v>0.55833333333333335</v>
      </c>
      <c r="D1886" s="205">
        <v>0</v>
      </c>
      <c r="E1886" s="205">
        <v>0</v>
      </c>
      <c r="F1886" s="205">
        <v>0</v>
      </c>
      <c r="G1886" s="205">
        <v>0</v>
      </c>
      <c r="H1886" s="205">
        <v>0</v>
      </c>
      <c r="I1886" s="205">
        <v>0</v>
      </c>
      <c r="J1886" s="205">
        <v>0</v>
      </c>
    </row>
    <row r="1887" spans="1:10">
      <c r="A1887" s="203" t="s">
        <v>161</v>
      </c>
      <c r="B1887" s="203" t="s">
        <v>14</v>
      </c>
      <c r="C1887" s="204">
        <v>0.55902777777777779</v>
      </c>
      <c r="D1887" s="205">
        <v>0</v>
      </c>
      <c r="E1887" s="205">
        <v>0</v>
      </c>
      <c r="F1887" s="205">
        <v>0</v>
      </c>
      <c r="G1887" s="205">
        <v>0</v>
      </c>
      <c r="H1887" s="205">
        <v>0</v>
      </c>
      <c r="I1887" s="205">
        <v>0</v>
      </c>
      <c r="J1887" s="205">
        <v>0</v>
      </c>
    </row>
    <row r="1888" spans="1:10">
      <c r="A1888" s="203" t="s">
        <v>161</v>
      </c>
      <c r="B1888" s="203" t="s">
        <v>14</v>
      </c>
      <c r="C1888" s="204">
        <v>0.55972222222222223</v>
      </c>
      <c r="D1888" s="205">
        <v>0</v>
      </c>
      <c r="E1888" s="205">
        <v>0</v>
      </c>
      <c r="F1888" s="205">
        <v>0</v>
      </c>
      <c r="G1888" s="205">
        <v>0</v>
      </c>
      <c r="H1888" s="205">
        <v>0</v>
      </c>
      <c r="I1888" s="205">
        <v>0</v>
      </c>
      <c r="J1888" s="205">
        <v>0</v>
      </c>
    </row>
    <row r="1889" spans="1:10">
      <c r="A1889" s="203" t="s">
        <v>161</v>
      </c>
      <c r="B1889" s="203" t="s">
        <v>14</v>
      </c>
      <c r="C1889" s="204">
        <v>0.56041666666666667</v>
      </c>
      <c r="D1889" s="205">
        <v>0</v>
      </c>
      <c r="E1889" s="205">
        <v>0</v>
      </c>
      <c r="F1889" s="205">
        <v>0</v>
      </c>
      <c r="G1889" s="205">
        <v>0</v>
      </c>
      <c r="H1889" s="205">
        <v>0</v>
      </c>
      <c r="I1889" s="205">
        <v>0</v>
      </c>
      <c r="J1889" s="205">
        <v>0</v>
      </c>
    </row>
    <row r="1890" spans="1:10">
      <c r="A1890" s="203" t="s">
        <v>161</v>
      </c>
      <c r="B1890" s="203" t="s">
        <v>14</v>
      </c>
      <c r="C1890" s="204">
        <v>0.56111111111111112</v>
      </c>
      <c r="D1890" s="205">
        <v>0</v>
      </c>
      <c r="E1890" s="205">
        <v>0</v>
      </c>
      <c r="F1890" s="205">
        <v>0</v>
      </c>
      <c r="G1890" s="205">
        <v>0</v>
      </c>
      <c r="H1890" s="205">
        <v>0</v>
      </c>
      <c r="I1890" s="205">
        <v>0</v>
      </c>
      <c r="J1890" s="205">
        <v>0</v>
      </c>
    </row>
    <row r="1891" spans="1:10" s="78" customFormat="1">
      <c r="A1891" s="206" t="s">
        <v>161</v>
      </c>
      <c r="B1891" s="206" t="s">
        <v>14</v>
      </c>
      <c r="C1891" s="207">
        <v>0.56180555555555556</v>
      </c>
      <c r="D1891" s="208">
        <v>0</v>
      </c>
      <c r="E1891" s="208">
        <v>0</v>
      </c>
      <c r="F1891" s="208">
        <v>0</v>
      </c>
      <c r="G1891" s="208">
        <v>0</v>
      </c>
      <c r="H1891" s="208">
        <v>0</v>
      </c>
      <c r="I1891" s="208">
        <v>0</v>
      </c>
      <c r="J1891" s="208">
        <v>0</v>
      </c>
    </row>
    <row r="1892" spans="1:10">
      <c r="A1892" s="203" t="s">
        <v>161</v>
      </c>
      <c r="B1892" s="203" t="s">
        <v>14</v>
      </c>
      <c r="C1892" s="204">
        <v>0.5625</v>
      </c>
      <c r="D1892" s="205">
        <v>0</v>
      </c>
      <c r="E1892" s="205">
        <v>0</v>
      </c>
      <c r="F1892" s="205">
        <v>0</v>
      </c>
      <c r="G1892" s="205">
        <v>0</v>
      </c>
      <c r="H1892" s="205">
        <v>0</v>
      </c>
      <c r="I1892" s="205">
        <v>0</v>
      </c>
      <c r="J1892" s="205">
        <v>0</v>
      </c>
    </row>
    <row r="1893" spans="1:10">
      <c r="A1893" s="203" t="s">
        <v>161</v>
      </c>
      <c r="B1893" s="203" t="s">
        <v>14</v>
      </c>
      <c r="C1893" s="204">
        <v>0.56319444444444444</v>
      </c>
      <c r="D1893" s="205">
        <v>0</v>
      </c>
      <c r="E1893" s="205">
        <v>0</v>
      </c>
      <c r="F1893" s="205">
        <v>0</v>
      </c>
      <c r="G1893" s="205">
        <v>0</v>
      </c>
      <c r="H1893" s="205">
        <v>0</v>
      </c>
      <c r="I1893" s="205">
        <v>0</v>
      </c>
      <c r="J1893" s="205">
        <v>0</v>
      </c>
    </row>
    <row r="1894" spans="1:10">
      <c r="A1894" s="203" t="s">
        <v>161</v>
      </c>
      <c r="B1894" s="203" t="s">
        <v>14</v>
      </c>
      <c r="C1894" s="204">
        <v>0.56388888888888888</v>
      </c>
      <c r="D1894" s="205">
        <v>0</v>
      </c>
      <c r="E1894" s="205">
        <v>0</v>
      </c>
      <c r="F1894" s="205">
        <v>0</v>
      </c>
      <c r="G1894" s="205">
        <v>0</v>
      </c>
      <c r="H1894" s="205">
        <v>0</v>
      </c>
      <c r="I1894" s="205">
        <v>0</v>
      </c>
      <c r="J1894" s="205">
        <v>0</v>
      </c>
    </row>
    <row r="1895" spans="1:10">
      <c r="A1895" s="203" t="s">
        <v>161</v>
      </c>
      <c r="B1895" s="203" t="s">
        <v>14</v>
      </c>
      <c r="C1895" s="204">
        <v>0.56458333333333333</v>
      </c>
      <c r="D1895" s="205">
        <v>0</v>
      </c>
      <c r="E1895" s="205">
        <v>0</v>
      </c>
      <c r="F1895" s="205">
        <v>0</v>
      </c>
      <c r="G1895" s="205">
        <v>0</v>
      </c>
      <c r="H1895" s="205">
        <v>0</v>
      </c>
      <c r="I1895" s="205">
        <v>0</v>
      </c>
      <c r="J1895" s="205">
        <v>0</v>
      </c>
    </row>
    <row r="1896" spans="1:10">
      <c r="A1896" s="203" t="s">
        <v>161</v>
      </c>
      <c r="B1896" s="203" t="s">
        <v>14</v>
      </c>
      <c r="C1896" s="204">
        <v>0.56527777777777777</v>
      </c>
      <c r="D1896" s="205">
        <v>0</v>
      </c>
      <c r="E1896" s="205">
        <v>0</v>
      </c>
      <c r="F1896" s="205">
        <v>0</v>
      </c>
      <c r="G1896" s="205">
        <v>0</v>
      </c>
      <c r="H1896" s="205">
        <v>0</v>
      </c>
      <c r="I1896" s="205">
        <v>0</v>
      </c>
      <c r="J1896" s="205">
        <v>0</v>
      </c>
    </row>
    <row r="1897" spans="1:10">
      <c r="A1897" s="203" t="s">
        <v>161</v>
      </c>
      <c r="B1897" s="203" t="s">
        <v>14</v>
      </c>
      <c r="C1897" s="204">
        <v>0.56597222222222221</v>
      </c>
      <c r="D1897" s="205">
        <v>0</v>
      </c>
      <c r="E1897" s="205">
        <v>0</v>
      </c>
      <c r="F1897" s="205">
        <v>0</v>
      </c>
      <c r="G1897" s="205">
        <v>0</v>
      </c>
      <c r="H1897" s="205">
        <v>0</v>
      </c>
      <c r="I1897" s="205">
        <v>0</v>
      </c>
      <c r="J1897" s="205">
        <v>0</v>
      </c>
    </row>
    <row r="1898" spans="1:10">
      <c r="A1898" s="203" t="s">
        <v>161</v>
      </c>
      <c r="B1898" s="203" t="s">
        <v>14</v>
      </c>
      <c r="C1898" s="204">
        <v>0.56666666666666665</v>
      </c>
      <c r="D1898" s="205">
        <v>0</v>
      </c>
      <c r="E1898" s="205">
        <v>0</v>
      </c>
      <c r="F1898" s="205">
        <v>0</v>
      </c>
      <c r="G1898" s="205">
        <v>0</v>
      </c>
      <c r="H1898" s="205">
        <v>0</v>
      </c>
      <c r="I1898" s="205">
        <v>0</v>
      </c>
      <c r="J1898" s="205">
        <v>0</v>
      </c>
    </row>
    <row r="1899" spans="1:10">
      <c r="A1899" s="203" t="s">
        <v>161</v>
      </c>
      <c r="B1899" s="203" t="s">
        <v>14</v>
      </c>
      <c r="C1899" s="204">
        <v>0.56736111111111109</v>
      </c>
      <c r="D1899" s="205">
        <v>0</v>
      </c>
      <c r="E1899" s="205">
        <v>0</v>
      </c>
      <c r="F1899" s="205">
        <v>0</v>
      </c>
      <c r="G1899" s="205">
        <v>0</v>
      </c>
      <c r="H1899" s="205">
        <v>0</v>
      </c>
      <c r="I1899" s="205">
        <v>0</v>
      </c>
      <c r="J1899" s="205">
        <v>0</v>
      </c>
    </row>
    <row r="1900" spans="1:10">
      <c r="A1900" s="203" t="s">
        <v>161</v>
      </c>
      <c r="B1900" s="203" t="s">
        <v>14</v>
      </c>
      <c r="C1900" s="204">
        <v>0.56805555555555554</v>
      </c>
      <c r="D1900" s="205">
        <v>0</v>
      </c>
      <c r="E1900" s="205">
        <v>0</v>
      </c>
      <c r="F1900" s="205">
        <v>0</v>
      </c>
      <c r="G1900" s="205">
        <v>0</v>
      </c>
      <c r="H1900" s="205">
        <v>0</v>
      </c>
      <c r="I1900" s="205">
        <v>0</v>
      </c>
      <c r="J1900" s="205">
        <v>0</v>
      </c>
    </row>
    <row r="1901" spans="1:10">
      <c r="A1901" s="203" t="s">
        <v>161</v>
      </c>
      <c r="B1901" s="203" t="s">
        <v>14</v>
      </c>
      <c r="C1901" s="204">
        <v>0.56874999999999998</v>
      </c>
      <c r="D1901" s="205">
        <v>0</v>
      </c>
      <c r="E1901" s="205">
        <v>0</v>
      </c>
      <c r="F1901" s="205">
        <v>0</v>
      </c>
      <c r="G1901" s="205">
        <v>0</v>
      </c>
      <c r="H1901" s="205">
        <v>0</v>
      </c>
      <c r="I1901" s="205">
        <v>0</v>
      </c>
      <c r="J1901" s="205">
        <v>0</v>
      </c>
    </row>
    <row r="1902" spans="1:10">
      <c r="A1902" s="203" t="s">
        <v>161</v>
      </c>
      <c r="B1902" s="203" t="s">
        <v>14</v>
      </c>
      <c r="C1902" s="204">
        <v>0.56944444444444442</v>
      </c>
      <c r="D1902" s="205">
        <v>0</v>
      </c>
      <c r="E1902" s="205">
        <v>0</v>
      </c>
      <c r="F1902" s="205">
        <v>0</v>
      </c>
      <c r="G1902" s="205">
        <v>0</v>
      </c>
      <c r="H1902" s="205">
        <v>0</v>
      </c>
      <c r="I1902" s="205">
        <v>0</v>
      </c>
      <c r="J1902" s="205">
        <v>0</v>
      </c>
    </row>
    <row r="1903" spans="1:10">
      <c r="A1903" s="203" t="s">
        <v>161</v>
      </c>
      <c r="B1903" s="203" t="s">
        <v>14</v>
      </c>
      <c r="C1903" s="204">
        <v>0.57013888888888886</v>
      </c>
      <c r="D1903" s="205">
        <v>0</v>
      </c>
      <c r="E1903" s="205">
        <v>0</v>
      </c>
      <c r="F1903" s="205">
        <v>0</v>
      </c>
      <c r="G1903" s="205">
        <v>0</v>
      </c>
      <c r="H1903" s="205">
        <v>0</v>
      </c>
      <c r="I1903" s="205">
        <v>0</v>
      </c>
      <c r="J1903" s="205">
        <v>0</v>
      </c>
    </row>
    <row r="1904" spans="1:10">
      <c r="A1904" s="203" t="s">
        <v>161</v>
      </c>
      <c r="B1904" s="203" t="s">
        <v>14</v>
      </c>
      <c r="C1904" s="204">
        <v>0.5708333333333333</v>
      </c>
      <c r="D1904" s="205">
        <v>0</v>
      </c>
      <c r="E1904" s="205">
        <v>0</v>
      </c>
      <c r="F1904" s="205">
        <v>0</v>
      </c>
      <c r="G1904" s="205">
        <v>0</v>
      </c>
      <c r="H1904" s="205">
        <v>0</v>
      </c>
      <c r="I1904" s="205">
        <v>0</v>
      </c>
      <c r="J1904" s="205">
        <v>0</v>
      </c>
    </row>
    <row r="1905" spans="1:10">
      <c r="A1905" s="203" t="s">
        <v>161</v>
      </c>
      <c r="B1905" s="203" t="s">
        <v>14</v>
      </c>
      <c r="C1905" s="204">
        <v>0.57152777777777775</v>
      </c>
      <c r="D1905" s="205">
        <v>0</v>
      </c>
      <c r="E1905" s="205">
        <v>0</v>
      </c>
      <c r="F1905" s="205">
        <v>0</v>
      </c>
      <c r="G1905" s="205">
        <v>0</v>
      </c>
      <c r="H1905" s="205">
        <v>0</v>
      </c>
      <c r="I1905" s="205">
        <v>0</v>
      </c>
      <c r="J1905" s="205">
        <v>0</v>
      </c>
    </row>
    <row r="1906" spans="1:10" s="78" customFormat="1">
      <c r="A1906" s="206" t="s">
        <v>161</v>
      </c>
      <c r="B1906" s="206" t="s">
        <v>14</v>
      </c>
      <c r="C1906" s="207">
        <v>0.57222222222222219</v>
      </c>
      <c r="D1906" s="205">
        <v>0</v>
      </c>
      <c r="E1906" s="205">
        <v>0</v>
      </c>
      <c r="F1906" s="205">
        <v>0</v>
      </c>
      <c r="G1906" s="205">
        <v>0</v>
      </c>
      <c r="H1906" s="205">
        <v>0</v>
      </c>
      <c r="I1906" s="205">
        <v>0</v>
      </c>
      <c r="J1906" s="205">
        <v>0</v>
      </c>
    </row>
    <row r="1907" spans="1:10">
      <c r="A1907" s="203" t="s">
        <v>161</v>
      </c>
      <c r="B1907" s="203" t="s">
        <v>14</v>
      </c>
      <c r="C1907" s="204">
        <v>0.57291666666666663</v>
      </c>
      <c r="D1907" s="209">
        <v>0</v>
      </c>
      <c r="E1907" s="209">
        <v>0</v>
      </c>
      <c r="F1907" s="209">
        <v>0</v>
      </c>
      <c r="G1907" s="209">
        <v>0</v>
      </c>
      <c r="H1907" s="209">
        <v>0</v>
      </c>
      <c r="I1907" s="209">
        <v>0</v>
      </c>
      <c r="J1907" s="209">
        <v>0</v>
      </c>
    </row>
    <row r="1908" spans="1:10">
      <c r="A1908" s="203" t="s">
        <v>161</v>
      </c>
      <c r="B1908" s="203" t="s">
        <v>14</v>
      </c>
      <c r="C1908" s="204">
        <v>0.57361111111111107</v>
      </c>
      <c r="D1908" s="205">
        <v>0</v>
      </c>
      <c r="E1908" s="205">
        <v>0</v>
      </c>
      <c r="F1908" s="205">
        <v>0</v>
      </c>
      <c r="G1908" s="205">
        <v>0</v>
      </c>
      <c r="H1908" s="205">
        <v>0</v>
      </c>
      <c r="I1908" s="205">
        <v>0</v>
      </c>
      <c r="J1908" s="205">
        <v>0</v>
      </c>
    </row>
    <row r="1909" spans="1:10">
      <c r="A1909" s="203" t="s">
        <v>161</v>
      </c>
      <c r="B1909" s="203" t="s">
        <v>14</v>
      </c>
      <c r="C1909" s="204">
        <v>0.57430555555555551</v>
      </c>
      <c r="D1909" s="205">
        <v>0</v>
      </c>
      <c r="E1909" s="205">
        <v>0</v>
      </c>
      <c r="F1909" s="205">
        <v>0</v>
      </c>
      <c r="G1909" s="205">
        <v>0</v>
      </c>
      <c r="H1909" s="205">
        <v>0</v>
      </c>
      <c r="I1909" s="205">
        <v>0</v>
      </c>
      <c r="J1909" s="205">
        <v>0</v>
      </c>
    </row>
    <row r="1910" spans="1:10">
      <c r="A1910" s="203" t="s">
        <v>161</v>
      </c>
      <c r="B1910" s="203" t="s">
        <v>14</v>
      </c>
      <c r="C1910" s="204">
        <v>0.57499999999999996</v>
      </c>
      <c r="D1910" s="205">
        <v>0</v>
      </c>
      <c r="E1910" s="205">
        <v>0</v>
      </c>
      <c r="F1910" s="205">
        <v>0</v>
      </c>
      <c r="G1910" s="205">
        <v>0</v>
      </c>
      <c r="H1910" s="205">
        <v>0</v>
      </c>
      <c r="I1910" s="205">
        <v>0</v>
      </c>
      <c r="J1910" s="205">
        <v>0</v>
      </c>
    </row>
    <row r="1911" spans="1:10">
      <c r="A1911" s="203" t="s">
        <v>161</v>
      </c>
      <c r="B1911" s="203" t="s">
        <v>14</v>
      </c>
      <c r="C1911" s="204">
        <v>0.5756944444444444</v>
      </c>
      <c r="D1911" s="205">
        <v>0</v>
      </c>
      <c r="E1911" s="205">
        <v>0</v>
      </c>
      <c r="F1911" s="205">
        <v>0</v>
      </c>
      <c r="G1911" s="205">
        <v>0</v>
      </c>
      <c r="H1911" s="205">
        <v>0</v>
      </c>
      <c r="I1911" s="205">
        <v>0</v>
      </c>
      <c r="J1911" s="205">
        <v>0</v>
      </c>
    </row>
    <row r="1912" spans="1:10">
      <c r="A1912" s="203" t="s">
        <v>161</v>
      </c>
      <c r="B1912" s="203" t="s">
        <v>14</v>
      </c>
      <c r="C1912" s="204">
        <v>0.57638888888888884</v>
      </c>
      <c r="D1912" s="205">
        <v>0</v>
      </c>
      <c r="E1912" s="205">
        <v>0</v>
      </c>
      <c r="F1912" s="205">
        <v>0</v>
      </c>
      <c r="G1912" s="205">
        <v>0</v>
      </c>
      <c r="H1912" s="205">
        <v>0</v>
      </c>
      <c r="I1912" s="205">
        <v>0</v>
      </c>
      <c r="J1912" s="205">
        <v>0</v>
      </c>
    </row>
    <row r="1913" spans="1:10">
      <c r="A1913" s="203" t="s">
        <v>161</v>
      </c>
      <c r="B1913" s="203" t="s">
        <v>14</v>
      </c>
      <c r="C1913" s="204">
        <v>0.57708333333333328</v>
      </c>
      <c r="D1913" s="205">
        <v>0</v>
      </c>
      <c r="E1913" s="205">
        <v>0</v>
      </c>
      <c r="F1913" s="205">
        <v>0</v>
      </c>
      <c r="G1913" s="205">
        <v>0</v>
      </c>
      <c r="H1913" s="205">
        <v>0</v>
      </c>
      <c r="I1913" s="205">
        <v>0</v>
      </c>
      <c r="J1913" s="205">
        <v>0</v>
      </c>
    </row>
    <row r="1914" spans="1:10">
      <c r="A1914" s="203" t="s">
        <v>161</v>
      </c>
      <c r="B1914" s="203" t="s">
        <v>14</v>
      </c>
      <c r="C1914" s="204">
        <v>0.57777777777777772</v>
      </c>
      <c r="D1914" s="205">
        <v>0</v>
      </c>
      <c r="E1914" s="205">
        <v>0</v>
      </c>
      <c r="F1914" s="205">
        <v>0</v>
      </c>
      <c r="G1914" s="205">
        <v>0</v>
      </c>
      <c r="H1914" s="205">
        <v>0</v>
      </c>
      <c r="I1914" s="205">
        <v>0</v>
      </c>
      <c r="J1914" s="205">
        <v>0</v>
      </c>
    </row>
    <row r="1915" spans="1:10">
      <c r="A1915" s="203" t="s">
        <v>161</v>
      </c>
      <c r="B1915" s="203" t="s">
        <v>14</v>
      </c>
      <c r="C1915" s="204">
        <v>0.57847222222222228</v>
      </c>
      <c r="D1915" s="205">
        <v>0</v>
      </c>
      <c r="E1915" s="205">
        <v>0</v>
      </c>
      <c r="F1915" s="205">
        <v>0</v>
      </c>
      <c r="G1915" s="205">
        <v>0</v>
      </c>
      <c r="H1915" s="205">
        <v>0</v>
      </c>
      <c r="I1915" s="205">
        <v>0</v>
      </c>
      <c r="J1915" s="205">
        <v>0</v>
      </c>
    </row>
    <row r="1916" spans="1:10">
      <c r="A1916" s="203" t="s">
        <v>161</v>
      </c>
      <c r="B1916" s="203" t="s">
        <v>14</v>
      </c>
      <c r="C1916" s="204">
        <v>0.57916666666666672</v>
      </c>
      <c r="D1916" s="205">
        <v>0</v>
      </c>
      <c r="E1916" s="205">
        <v>0</v>
      </c>
      <c r="F1916" s="205">
        <v>0</v>
      </c>
      <c r="G1916" s="205">
        <v>0</v>
      </c>
      <c r="H1916" s="205">
        <v>0</v>
      </c>
      <c r="I1916" s="205">
        <v>0</v>
      </c>
      <c r="J1916" s="205">
        <v>0</v>
      </c>
    </row>
    <row r="1917" spans="1:10">
      <c r="A1917" s="203" t="s">
        <v>161</v>
      </c>
      <c r="B1917" s="203" t="s">
        <v>14</v>
      </c>
      <c r="C1917" s="204">
        <v>0.57986111111111116</v>
      </c>
      <c r="D1917" s="205">
        <v>0</v>
      </c>
      <c r="E1917" s="205">
        <v>0</v>
      </c>
      <c r="F1917" s="205">
        <v>0</v>
      </c>
      <c r="G1917" s="205">
        <v>0</v>
      </c>
      <c r="H1917" s="205">
        <v>0</v>
      </c>
      <c r="I1917" s="205">
        <v>0</v>
      </c>
      <c r="J1917" s="205">
        <v>0</v>
      </c>
    </row>
    <row r="1918" spans="1:10">
      <c r="A1918" s="203" t="s">
        <v>161</v>
      </c>
      <c r="B1918" s="203" t="s">
        <v>14</v>
      </c>
      <c r="C1918" s="204">
        <v>0.5805555555555556</v>
      </c>
      <c r="D1918" s="205">
        <v>0</v>
      </c>
      <c r="E1918" s="205">
        <v>0</v>
      </c>
      <c r="F1918" s="205">
        <v>0</v>
      </c>
      <c r="G1918" s="205">
        <v>0</v>
      </c>
      <c r="H1918" s="205">
        <v>0</v>
      </c>
      <c r="I1918" s="205">
        <v>0</v>
      </c>
      <c r="J1918" s="205">
        <v>0</v>
      </c>
    </row>
    <row r="1919" spans="1:10">
      <c r="A1919" s="203" t="s">
        <v>161</v>
      </c>
      <c r="B1919" s="203" t="s">
        <v>14</v>
      </c>
      <c r="C1919" s="204">
        <v>0.58125000000000004</v>
      </c>
      <c r="D1919" s="205">
        <v>0</v>
      </c>
      <c r="E1919" s="205">
        <v>0</v>
      </c>
      <c r="F1919" s="205">
        <v>0</v>
      </c>
      <c r="G1919" s="205">
        <v>0</v>
      </c>
      <c r="H1919" s="205">
        <v>0</v>
      </c>
      <c r="I1919" s="205">
        <v>0</v>
      </c>
      <c r="J1919" s="205">
        <v>0</v>
      </c>
    </row>
    <row r="1920" spans="1:10">
      <c r="A1920" s="203" t="s">
        <v>161</v>
      </c>
      <c r="B1920" s="203" t="s">
        <v>14</v>
      </c>
      <c r="C1920" s="204">
        <v>0.58194444444444449</v>
      </c>
      <c r="D1920" s="205">
        <v>0</v>
      </c>
      <c r="E1920" s="205">
        <v>0</v>
      </c>
      <c r="F1920" s="205">
        <v>0</v>
      </c>
      <c r="G1920" s="205">
        <v>0</v>
      </c>
      <c r="H1920" s="205">
        <v>0</v>
      </c>
      <c r="I1920" s="205">
        <v>0</v>
      </c>
      <c r="J1920" s="205">
        <v>0</v>
      </c>
    </row>
    <row r="1921" spans="1:10" s="28" customFormat="1" ht="17.5" thickBot="1">
      <c r="A1921" s="210" t="s">
        <v>161</v>
      </c>
      <c r="B1921" s="210" t="s">
        <v>14</v>
      </c>
      <c r="C1921" s="211">
        <v>0.58263888888888893</v>
      </c>
      <c r="D1921" s="212">
        <v>0</v>
      </c>
      <c r="E1921" s="212">
        <v>0</v>
      </c>
      <c r="F1921" s="212">
        <v>0</v>
      </c>
      <c r="G1921" s="212">
        <v>0</v>
      </c>
      <c r="H1921" s="212">
        <v>0</v>
      </c>
      <c r="I1921" s="212">
        <v>0</v>
      </c>
      <c r="J1921" s="212">
        <v>0</v>
      </c>
    </row>
    <row r="1922" spans="1:10">
      <c r="A1922" s="92" t="s">
        <v>15</v>
      </c>
      <c r="B1922" s="92" t="s">
        <v>11</v>
      </c>
      <c r="C1922" s="51">
        <v>0.70833333333333337</v>
      </c>
      <c r="D1922" s="93">
        <v>0</v>
      </c>
      <c r="E1922" s="93">
        <v>0</v>
      </c>
      <c r="F1922" s="93">
        <v>0</v>
      </c>
      <c r="G1922" s="93">
        <v>0</v>
      </c>
      <c r="H1922" s="93">
        <v>0</v>
      </c>
      <c r="I1922" s="93">
        <v>0</v>
      </c>
      <c r="J1922" s="93">
        <v>0</v>
      </c>
    </row>
    <row r="1923" spans="1:10">
      <c r="A1923" s="92" t="s">
        <v>15</v>
      </c>
      <c r="B1923" s="92" t="s">
        <v>11</v>
      </c>
      <c r="C1923" s="51">
        <v>0.70902777777777781</v>
      </c>
      <c r="D1923" s="93">
        <v>0</v>
      </c>
      <c r="E1923" s="93">
        <v>0</v>
      </c>
      <c r="F1923" s="93">
        <v>0</v>
      </c>
      <c r="G1923" s="93">
        <v>0</v>
      </c>
      <c r="H1923" s="93">
        <v>0</v>
      </c>
      <c r="I1923" s="93">
        <v>0</v>
      </c>
      <c r="J1923" s="93">
        <v>0</v>
      </c>
    </row>
    <row r="1924" spans="1:10">
      <c r="A1924" s="92" t="s">
        <v>15</v>
      </c>
      <c r="B1924" s="92" t="s">
        <v>11</v>
      </c>
      <c r="C1924" s="51">
        <v>0.70972222222222203</v>
      </c>
      <c r="D1924" s="93">
        <v>0</v>
      </c>
      <c r="E1924" s="93">
        <v>0</v>
      </c>
      <c r="F1924" s="93">
        <v>0</v>
      </c>
      <c r="G1924" s="93">
        <v>0</v>
      </c>
      <c r="H1924" s="93">
        <v>0</v>
      </c>
      <c r="I1924" s="93">
        <v>0</v>
      </c>
      <c r="J1924" s="93">
        <v>0</v>
      </c>
    </row>
    <row r="1925" spans="1:10">
      <c r="A1925" s="92" t="s">
        <v>15</v>
      </c>
      <c r="B1925" s="92" t="s">
        <v>11</v>
      </c>
      <c r="C1925" s="51">
        <v>0.71041666666666703</v>
      </c>
      <c r="D1925" s="93">
        <v>0</v>
      </c>
      <c r="E1925" s="93">
        <v>0</v>
      </c>
      <c r="F1925" s="93">
        <v>0</v>
      </c>
      <c r="G1925" s="93">
        <v>0</v>
      </c>
      <c r="H1925" s="93">
        <v>0</v>
      </c>
      <c r="I1925" s="93">
        <v>0</v>
      </c>
      <c r="J1925" s="93">
        <v>0</v>
      </c>
    </row>
    <row r="1926" spans="1:10">
      <c r="A1926" s="92" t="s">
        <v>15</v>
      </c>
      <c r="B1926" s="92" t="s">
        <v>11</v>
      </c>
      <c r="C1926" s="51">
        <v>0.71111111111111103</v>
      </c>
      <c r="D1926" s="93">
        <v>0</v>
      </c>
      <c r="E1926" s="93">
        <v>0</v>
      </c>
      <c r="F1926" s="93">
        <v>0</v>
      </c>
      <c r="G1926" s="93">
        <v>0</v>
      </c>
      <c r="H1926" s="93">
        <v>0</v>
      </c>
      <c r="I1926" s="93">
        <v>0</v>
      </c>
      <c r="J1926" s="93">
        <v>0</v>
      </c>
    </row>
    <row r="1927" spans="1:10">
      <c r="A1927" s="92" t="s">
        <v>15</v>
      </c>
      <c r="B1927" s="92" t="s">
        <v>11</v>
      </c>
      <c r="C1927" s="51">
        <v>0.71180555555555602</v>
      </c>
      <c r="D1927" s="93">
        <v>0</v>
      </c>
      <c r="E1927" s="93">
        <v>0</v>
      </c>
      <c r="F1927" s="93">
        <v>0</v>
      </c>
      <c r="G1927" s="93">
        <v>0</v>
      </c>
      <c r="H1927" s="93">
        <v>0</v>
      </c>
      <c r="I1927" s="93">
        <v>0</v>
      </c>
      <c r="J1927" s="93">
        <v>0</v>
      </c>
    </row>
    <row r="1928" spans="1:10">
      <c r="A1928" s="92" t="s">
        <v>15</v>
      </c>
      <c r="B1928" s="92" t="s">
        <v>11</v>
      </c>
      <c r="C1928" s="51">
        <v>0.71250000000000002</v>
      </c>
      <c r="D1928" s="93">
        <v>0</v>
      </c>
      <c r="E1928" s="93">
        <v>0</v>
      </c>
      <c r="F1928" s="93">
        <v>0</v>
      </c>
      <c r="G1928" s="93">
        <v>0</v>
      </c>
      <c r="H1928" s="93">
        <v>0</v>
      </c>
      <c r="I1928" s="93">
        <v>0</v>
      </c>
      <c r="J1928" s="93">
        <v>0</v>
      </c>
    </row>
    <row r="1929" spans="1:10">
      <c r="A1929" s="92" t="s">
        <v>15</v>
      </c>
      <c r="B1929" s="92" t="s">
        <v>11</v>
      </c>
      <c r="C1929" s="51">
        <v>0.71319444444444402</v>
      </c>
      <c r="D1929" s="93">
        <v>0</v>
      </c>
      <c r="E1929" s="93">
        <v>0</v>
      </c>
      <c r="F1929" s="93">
        <v>0</v>
      </c>
      <c r="G1929" s="93">
        <v>0</v>
      </c>
      <c r="H1929" s="93">
        <v>0</v>
      </c>
      <c r="I1929" s="93">
        <v>0</v>
      </c>
      <c r="J1929" s="93">
        <v>0</v>
      </c>
    </row>
    <row r="1930" spans="1:10">
      <c r="A1930" s="92" t="s">
        <v>15</v>
      </c>
      <c r="B1930" s="92" t="s">
        <v>11</v>
      </c>
      <c r="C1930" s="51">
        <v>0.71388888888888902</v>
      </c>
      <c r="D1930" s="93">
        <v>0</v>
      </c>
      <c r="E1930" s="93">
        <v>0</v>
      </c>
      <c r="F1930" s="93">
        <v>0</v>
      </c>
      <c r="G1930" s="93">
        <v>0</v>
      </c>
      <c r="H1930" s="93">
        <v>0</v>
      </c>
      <c r="I1930" s="93">
        <v>0</v>
      </c>
      <c r="J1930" s="93">
        <v>0</v>
      </c>
    </row>
    <row r="1931" spans="1:10">
      <c r="A1931" s="92" t="s">
        <v>15</v>
      </c>
      <c r="B1931" s="92" t="s">
        <v>11</v>
      </c>
      <c r="C1931" s="51">
        <v>0.71458333333333302</v>
      </c>
      <c r="D1931" s="93">
        <v>0</v>
      </c>
      <c r="E1931" s="93">
        <v>0</v>
      </c>
      <c r="F1931" s="93">
        <v>0</v>
      </c>
      <c r="G1931" s="93">
        <v>0</v>
      </c>
      <c r="H1931" s="93">
        <v>0</v>
      </c>
      <c r="I1931" s="93">
        <v>0</v>
      </c>
      <c r="J1931" s="93">
        <v>0</v>
      </c>
    </row>
    <row r="1932" spans="1:10">
      <c r="A1932" s="92" t="s">
        <v>15</v>
      </c>
      <c r="B1932" s="92" t="s">
        <v>11</v>
      </c>
      <c r="C1932" s="51">
        <v>0.71527777777777801</v>
      </c>
      <c r="D1932" s="93">
        <v>0</v>
      </c>
      <c r="E1932" s="93">
        <v>0</v>
      </c>
      <c r="F1932" s="93">
        <v>0</v>
      </c>
      <c r="G1932" s="93">
        <v>0</v>
      </c>
      <c r="H1932" s="93">
        <v>0</v>
      </c>
      <c r="I1932" s="93">
        <v>0</v>
      </c>
      <c r="J1932" s="93">
        <v>0</v>
      </c>
    </row>
    <row r="1933" spans="1:10">
      <c r="A1933" s="92" t="s">
        <v>15</v>
      </c>
      <c r="B1933" s="92" t="s">
        <v>11</v>
      </c>
      <c r="C1933" s="51">
        <v>0.71597222222222201</v>
      </c>
      <c r="D1933" s="93">
        <v>0</v>
      </c>
      <c r="E1933" s="93">
        <v>0</v>
      </c>
      <c r="F1933" s="93">
        <v>0</v>
      </c>
      <c r="G1933" s="93">
        <v>0</v>
      </c>
      <c r="H1933" s="93">
        <v>0</v>
      </c>
      <c r="I1933" s="93">
        <v>0</v>
      </c>
      <c r="J1933" s="93">
        <v>0</v>
      </c>
    </row>
    <row r="1934" spans="1:10">
      <c r="A1934" s="92" t="s">
        <v>15</v>
      </c>
      <c r="B1934" s="92" t="s">
        <v>11</v>
      </c>
      <c r="C1934" s="51">
        <v>0.71666666666666701</v>
      </c>
      <c r="D1934" s="93">
        <v>0</v>
      </c>
      <c r="E1934" s="93">
        <v>0</v>
      </c>
      <c r="F1934" s="93">
        <v>0</v>
      </c>
      <c r="G1934" s="93">
        <v>0</v>
      </c>
      <c r="H1934" s="93">
        <v>0</v>
      </c>
      <c r="I1934" s="93">
        <v>0</v>
      </c>
      <c r="J1934" s="93">
        <v>0</v>
      </c>
    </row>
    <row r="1935" spans="1:10">
      <c r="A1935" s="92" t="s">
        <v>15</v>
      </c>
      <c r="B1935" s="92" t="s">
        <v>11</v>
      </c>
      <c r="C1935" s="51">
        <v>0.71736111111111101</v>
      </c>
      <c r="D1935" s="93">
        <v>0</v>
      </c>
      <c r="E1935" s="93">
        <v>0</v>
      </c>
      <c r="F1935" s="93">
        <v>0</v>
      </c>
      <c r="G1935" s="93">
        <v>0</v>
      </c>
      <c r="H1935" s="93">
        <v>0</v>
      </c>
      <c r="I1935" s="93">
        <v>0</v>
      </c>
      <c r="J1935" s="93">
        <v>0</v>
      </c>
    </row>
    <row r="1936" spans="1:10" s="78" customFormat="1">
      <c r="A1936" s="94" t="s">
        <v>15</v>
      </c>
      <c r="B1936" s="94" t="s">
        <v>11</v>
      </c>
      <c r="C1936" s="95">
        <v>0.718055555555556</v>
      </c>
      <c r="D1936" s="96">
        <v>0</v>
      </c>
      <c r="E1936" s="96">
        <v>0</v>
      </c>
      <c r="F1936" s="96">
        <v>0</v>
      </c>
      <c r="G1936" s="96">
        <v>0</v>
      </c>
      <c r="H1936" s="96">
        <v>0</v>
      </c>
      <c r="I1936" s="96">
        <v>0</v>
      </c>
      <c r="J1936" s="96">
        <v>0</v>
      </c>
    </row>
    <row r="1937" spans="1:10">
      <c r="A1937" s="92" t="s">
        <v>15</v>
      </c>
      <c r="B1937" s="92" t="s">
        <v>11</v>
      </c>
      <c r="C1937" s="51">
        <v>0.71875</v>
      </c>
      <c r="D1937" s="93">
        <v>0</v>
      </c>
      <c r="E1937" s="93">
        <v>0</v>
      </c>
      <c r="F1937" s="93">
        <v>0</v>
      </c>
      <c r="G1937" s="93">
        <v>0</v>
      </c>
      <c r="H1937" s="93">
        <v>0</v>
      </c>
      <c r="I1937" s="93">
        <v>0</v>
      </c>
      <c r="J1937" s="93">
        <v>0</v>
      </c>
    </row>
    <row r="1938" spans="1:10">
      <c r="A1938" s="92" t="s">
        <v>15</v>
      </c>
      <c r="B1938" s="92" t="s">
        <v>11</v>
      </c>
      <c r="C1938" s="51">
        <v>0.719444444444444</v>
      </c>
      <c r="D1938" s="93">
        <v>0</v>
      </c>
      <c r="E1938" s="93">
        <v>0</v>
      </c>
      <c r="F1938" s="93">
        <v>0</v>
      </c>
      <c r="G1938" s="93">
        <v>0</v>
      </c>
      <c r="H1938" s="93">
        <v>0</v>
      </c>
      <c r="I1938" s="93">
        <v>0</v>
      </c>
      <c r="J1938" s="93">
        <v>0</v>
      </c>
    </row>
    <row r="1939" spans="1:10">
      <c r="A1939" s="92" t="s">
        <v>15</v>
      </c>
      <c r="B1939" s="92" t="s">
        <v>11</v>
      </c>
      <c r="C1939" s="51">
        <v>0.72013888888888899</v>
      </c>
      <c r="D1939" s="93">
        <v>0</v>
      </c>
      <c r="E1939" s="93">
        <v>0</v>
      </c>
      <c r="F1939" s="93">
        <v>0</v>
      </c>
      <c r="G1939" s="93">
        <v>0</v>
      </c>
      <c r="H1939" s="93">
        <v>0</v>
      </c>
      <c r="I1939" s="93">
        <v>0</v>
      </c>
      <c r="J1939" s="93">
        <v>0</v>
      </c>
    </row>
    <row r="1940" spans="1:10">
      <c r="A1940" s="92" t="s">
        <v>15</v>
      </c>
      <c r="B1940" s="92" t="s">
        <v>11</v>
      </c>
      <c r="C1940" s="51">
        <v>0.72083333333333299</v>
      </c>
      <c r="D1940" s="93">
        <v>0</v>
      </c>
      <c r="E1940" s="93">
        <v>0</v>
      </c>
      <c r="F1940" s="93">
        <v>0</v>
      </c>
      <c r="G1940" s="93">
        <v>0</v>
      </c>
      <c r="H1940" s="93">
        <v>0</v>
      </c>
      <c r="I1940" s="93">
        <v>0</v>
      </c>
      <c r="J1940" s="93">
        <v>0</v>
      </c>
    </row>
    <row r="1941" spans="1:10">
      <c r="A1941" s="92" t="s">
        <v>15</v>
      </c>
      <c r="B1941" s="92" t="s">
        <v>11</v>
      </c>
      <c r="C1941" s="51">
        <v>0.72152777777777799</v>
      </c>
      <c r="D1941" s="93">
        <v>0</v>
      </c>
      <c r="E1941" s="93">
        <v>0</v>
      </c>
      <c r="F1941" s="93">
        <v>0</v>
      </c>
      <c r="G1941" s="93">
        <v>0</v>
      </c>
      <c r="H1941" s="93">
        <v>0</v>
      </c>
      <c r="I1941" s="93">
        <v>0</v>
      </c>
      <c r="J1941" s="93">
        <v>0</v>
      </c>
    </row>
    <row r="1942" spans="1:10">
      <c r="A1942" s="92" t="s">
        <v>15</v>
      </c>
      <c r="B1942" s="92" t="s">
        <v>11</v>
      </c>
      <c r="C1942" s="51">
        <v>0.72222222222222199</v>
      </c>
      <c r="D1942" s="93">
        <v>0</v>
      </c>
      <c r="E1942" s="93">
        <v>0</v>
      </c>
      <c r="F1942" s="93">
        <v>0</v>
      </c>
      <c r="G1942" s="93">
        <v>0</v>
      </c>
      <c r="H1942" s="93">
        <v>0</v>
      </c>
      <c r="I1942" s="93">
        <v>0</v>
      </c>
      <c r="J1942" s="93">
        <v>0</v>
      </c>
    </row>
    <row r="1943" spans="1:10">
      <c r="A1943" s="92" t="s">
        <v>15</v>
      </c>
      <c r="B1943" s="92" t="s">
        <v>11</v>
      </c>
      <c r="C1943" s="51">
        <v>0.72291666666666698</v>
      </c>
      <c r="D1943" s="93">
        <v>0</v>
      </c>
      <c r="E1943" s="93">
        <v>0</v>
      </c>
      <c r="F1943" s="93">
        <v>0</v>
      </c>
      <c r="G1943" s="93">
        <v>0</v>
      </c>
      <c r="H1943" s="93">
        <v>0</v>
      </c>
      <c r="I1943" s="93">
        <v>0</v>
      </c>
      <c r="J1943" s="93">
        <v>0</v>
      </c>
    </row>
    <row r="1944" spans="1:10">
      <c r="A1944" s="92" t="s">
        <v>15</v>
      </c>
      <c r="B1944" s="92" t="s">
        <v>11</v>
      </c>
      <c r="C1944" s="51">
        <v>0.72361111111111098</v>
      </c>
      <c r="D1944" s="93">
        <v>0</v>
      </c>
      <c r="E1944" s="93">
        <v>0</v>
      </c>
      <c r="F1944" s="93">
        <v>0</v>
      </c>
      <c r="G1944" s="93">
        <v>0</v>
      </c>
      <c r="H1944" s="93">
        <v>0</v>
      </c>
      <c r="I1944" s="93">
        <v>0</v>
      </c>
      <c r="J1944" s="93">
        <v>0</v>
      </c>
    </row>
    <row r="1945" spans="1:10">
      <c r="A1945" s="92" t="s">
        <v>15</v>
      </c>
      <c r="B1945" s="92" t="s">
        <v>11</v>
      </c>
      <c r="C1945" s="51">
        <v>0.72430555555555598</v>
      </c>
      <c r="D1945" s="93">
        <v>0</v>
      </c>
      <c r="E1945" s="93">
        <v>0</v>
      </c>
      <c r="F1945" s="93">
        <v>0</v>
      </c>
      <c r="G1945" s="93">
        <v>0</v>
      </c>
      <c r="H1945" s="93">
        <v>0</v>
      </c>
      <c r="I1945" s="93">
        <v>0</v>
      </c>
      <c r="J1945" s="93">
        <v>0</v>
      </c>
    </row>
    <row r="1946" spans="1:10">
      <c r="A1946" s="92" t="s">
        <v>15</v>
      </c>
      <c r="B1946" s="92" t="s">
        <v>11</v>
      </c>
      <c r="C1946" s="51">
        <v>0.72499999999999998</v>
      </c>
      <c r="D1946" s="93">
        <v>0</v>
      </c>
      <c r="E1946" s="93">
        <v>0</v>
      </c>
      <c r="F1946" s="93">
        <v>0</v>
      </c>
      <c r="G1946" s="93">
        <v>0</v>
      </c>
      <c r="H1946" s="93">
        <v>0</v>
      </c>
      <c r="I1946" s="93">
        <v>0</v>
      </c>
      <c r="J1946" s="93">
        <v>0</v>
      </c>
    </row>
    <row r="1947" spans="1:10">
      <c r="A1947" s="92" t="s">
        <v>15</v>
      </c>
      <c r="B1947" s="92" t="s">
        <v>11</v>
      </c>
      <c r="C1947" s="51">
        <v>0.72569444444444398</v>
      </c>
      <c r="D1947" s="93">
        <v>0</v>
      </c>
      <c r="E1947" s="93">
        <v>0</v>
      </c>
      <c r="F1947" s="93">
        <v>0</v>
      </c>
      <c r="G1947" s="93">
        <v>0</v>
      </c>
      <c r="H1947" s="93">
        <v>0</v>
      </c>
      <c r="I1947" s="93">
        <v>0</v>
      </c>
      <c r="J1947" s="93">
        <v>0</v>
      </c>
    </row>
    <row r="1948" spans="1:10">
      <c r="A1948" s="92" t="s">
        <v>15</v>
      </c>
      <c r="B1948" s="92" t="s">
        <v>11</v>
      </c>
      <c r="C1948" s="51">
        <v>0.72638888888888897</v>
      </c>
      <c r="D1948" s="93">
        <v>0</v>
      </c>
      <c r="E1948" s="93">
        <v>0</v>
      </c>
      <c r="F1948" s="93">
        <v>0</v>
      </c>
      <c r="G1948" s="93">
        <v>0</v>
      </c>
      <c r="H1948" s="93">
        <v>0</v>
      </c>
      <c r="I1948" s="93">
        <v>0</v>
      </c>
      <c r="J1948" s="93">
        <v>0</v>
      </c>
    </row>
    <row r="1949" spans="1:10">
      <c r="A1949" s="92" t="s">
        <v>15</v>
      </c>
      <c r="B1949" s="92" t="s">
        <v>11</v>
      </c>
      <c r="C1949" s="51">
        <v>0.72708333333333297</v>
      </c>
      <c r="D1949" s="93">
        <v>0</v>
      </c>
      <c r="E1949" s="93">
        <v>0</v>
      </c>
      <c r="F1949" s="93">
        <v>0</v>
      </c>
      <c r="G1949" s="93">
        <v>0</v>
      </c>
      <c r="H1949" s="93">
        <v>0</v>
      </c>
      <c r="I1949" s="93">
        <v>0</v>
      </c>
      <c r="J1949" s="93">
        <v>0</v>
      </c>
    </row>
    <row r="1950" spans="1:10">
      <c r="A1950" s="92" t="s">
        <v>15</v>
      </c>
      <c r="B1950" s="92" t="s">
        <v>11</v>
      </c>
      <c r="C1950" s="51">
        <v>0.72777777777777797</v>
      </c>
      <c r="D1950" s="93">
        <v>0</v>
      </c>
      <c r="E1950" s="93">
        <v>0</v>
      </c>
      <c r="F1950" s="93">
        <v>0</v>
      </c>
      <c r="G1950" s="93">
        <v>0</v>
      </c>
      <c r="H1950" s="93">
        <v>0</v>
      </c>
      <c r="I1950" s="93">
        <v>0</v>
      </c>
      <c r="J1950" s="93">
        <v>0</v>
      </c>
    </row>
    <row r="1951" spans="1:10" s="78" customFormat="1">
      <c r="A1951" s="94" t="s">
        <v>15</v>
      </c>
      <c r="B1951" s="94" t="s">
        <v>11</v>
      </c>
      <c r="C1951" s="95">
        <v>0.72847222222222197</v>
      </c>
      <c r="D1951" s="96">
        <v>0</v>
      </c>
      <c r="E1951" s="96">
        <v>0</v>
      </c>
      <c r="F1951" s="96">
        <v>0</v>
      </c>
      <c r="G1951" s="96">
        <v>0</v>
      </c>
      <c r="H1951" s="96">
        <v>0</v>
      </c>
      <c r="I1951" s="96">
        <v>0</v>
      </c>
      <c r="J1951" s="96">
        <v>0</v>
      </c>
    </row>
    <row r="1952" spans="1:10">
      <c r="A1952" s="92" t="s">
        <v>15</v>
      </c>
      <c r="B1952" s="92" t="s">
        <v>11</v>
      </c>
      <c r="C1952" s="51">
        <v>0.72916666666666696</v>
      </c>
      <c r="D1952" s="93">
        <v>0</v>
      </c>
      <c r="E1952" s="93">
        <v>0</v>
      </c>
      <c r="F1952" s="93">
        <v>0</v>
      </c>
      <c r="G1952" s="93">
        <v>0</v>
      </c>
      <c r="H1952" s="93">
        <v>0</v>
      </c>
      <c r="I1952" s="93">
        <v>0</v>
      </c>
      <c r="J1952" s="93">
        <v>0</v>
      </c>
    </row>
    <row r="1953" spans="1:10">
      <c r="A1953" s="92" t="s">
        <v>15</v>
      </c>
      <c r="B1953" s="92" t="s">
        <v>11</v>
      </c>
      <c r="C1953" s="51">
        <v>0.72986111111111096</v>
      </c>
      <c r="D1953" s="93">
        <v>0</v>
      </c>
      <c r="E1953" s="93">
        <v>0</v>
      </c>
      <c r="F1953" s="93">
        <v>0</v>
      </c>
      <c r="G1953" s="93">
        <v>0</v>
      </c>
      <c r="H1953" s="93">
        <v>0</v>
      </c>
      <c r="I1953" s="93">
        <v>0</v>
      </c>
      <c r="J1953" s="93">
        <v>0</v>
      </c>
    </row>
    <row r="1954" spans="1:10">
      <c r="A1954" s="92" t="s">
        <v>15</v>
      </c>
      <c r="B1954" s="92" t="s">
        <v>11</v>
      </c>
      <c r="C1954" s="51">
        <v>0.73055555555555596</v>
      </c>
      <c r="D1954" s="93">
        <v>0</v>
      </c>
      <c r="E1954" s="93">
        <v>0</v>
      </c>
      <c r="F1954" s="93">
        <v>0</v>
      </c>
      <c r="G1954" s="93">
        <v>0</v>
      </c>
      <c r="H1954" s="93">
        <v>0</v>
      </c>
      <c r="I1954" s="93">
        <v>0</v>
      </c>
      <c r="J1954" s="93">
        <v>0</v>
      </c>
    </row>
    <row r="1955" spans="1:10">
      <c r="A1955" s="92" t="s">
        <v>15</v>
      </c>
      <c r="B1955" s="92" t="s">
        <v>11</v>
      </c>
      <c r="C1955" s="51">
        <v>0.73124999999999996</v>
      </c>
      <c r="D1955" s="93">
        <v>0</v>
      </c>
      <c r="E1955" s="93">
        <v>0</v>
      </c>
      <c r="F1955" s="93">
        <v>0</v>
      </c>
      <c r="G1955" s="93">
        <v>0</v>
      </c>
      <c r="H1955" s="93">
        <v>0</v>
      </c>
      <c r="I1955" s="93">
        <v>0</v>
      </c>
      <c r="J1955" s="93">
        <v>0</v>
      </c>
    </row>
    <row r="1956" spans="1:10">
      <c r="A1956" s="92" t="s">
        <v>15</v>
      </c>
      <c r="B1956" s="92" t="s">
        <v>11</v>
      </c>
      <c r="C1956" s="51">
        <v>0.73194444444444395</v>
      </c>
      <c r="D1956" s="93">
        <v>0</v>
      </c>
      <c r="E1956" s="93">
        <v>0</v>
      </c>
      <c r="F1956" s="93">
        <v>0</v>
      </c>
      <c r="G1956" s="93">
        <v>0</v>
      </c>
      <c r="H1956" s="93">
        <v>0</v>
      </c>
      <c r="I1956" s="93">
        <v>0</v>
      </c>
      <c r="J1956" s="93">
        <v>0</v>
      </c>
    </row>
    <row r="1957" spans="1:10">
      <c r="A1957" s="92" t="s">
        <v>15</v>
      </c>
      <c r="B1957" s="92" t="s">
        <v>11</v>
      </c>
      <c r="C1957" s="51">
        <v>0.73263888888888895</v>
      </c>
      <c r="D1957" s="93">
        <v>0</v>
      </c>
      <c r="E1957" s="93">
        <v>0</v>
      </c>
      <c r="F1957" s="93">
        <v>0</v>
      </c>
      <c r="G1957" s="93">
        <v>0</v>
      </c>
      <c r="H1957" s="93">
        <v>0</v>
      </c>
      <c r="I1957" s="93">
        <v>0</v>
      </c>
      <c r="J1957" s="93">
        <v>0</v>
      </c>
    </row>
    <row r="1958" spans="1:10">
      <c r="A1958" s="92" t="s">
        <v>15</v>
      </c>
      <c r="B1958" s="92" t="s">
        <v>11</v>
      </c>
      <c r="C1958" s="51">
        <v>0.73333333333333295</v>
      </c>
      <c r="D1958" s="93">
        <v>0</v>
      </c>
      <c r="E1958" s="93">
        <v>0</v>
      </c>
      <c r="F1958" s="93">
        <v>0</v>
      </c>
      <c r="G1958" s="93">
        <v>0</v>
      </c>
      <c r="H1958" s="93">
        <v>0</v>
      </c>
      <c r="I1958" s="93">
        <v>0</v>
      </c>
      <c r="J1958" s="93">
        <v>0</v>
      </c>
    </row>
    <row r="1959" spans="1:10">
      <c r="A1959" s="92" t="s">
        <v>15</v>
      </c>
      <c r="B1959" s="92" t="s">
        <v>11</v>
      </c>
      <c r="C1959" s="51">
        <v>0.73402777777777795</v>
      </c>
      <c r="D1959" s="93">
        <v>0</v>
      </c>
      <c r="E1959" s="93">
        <v>0</v>
      </c>
      <c r="F1959" s="93">
        <v>0</v>
      </c>
      <c r="G1959" s="93">
        <v>0</v>
      </c>
      <c r="H1959" s="93">
        <v>0</v>
      </c>
      <c r="I1959" s="93">
        <v>0</v>
      </c>
      <c r="J1959" s="93">
        <v>0</v>
      </c>
    </row>
    <row r="1960" spans="1:10">
      <c r="A1960" s="92" t="s">
        <v>15</v>
      </c>
      <c r="B1960" s="92" t="s">
        <v>11</v>
      </c>
      <c r="C1960" s="51">
        <v>0.73472222222222205</v>
      </c>
      <c r="D1960" s="93">
        <v>0</v>
      </c>
      <c r="E1960" s="93">
        <v>0</v>
      </c>
      <c r="F1960" s="93">
        <v>0</v>
      </c>
      <c r="G1960" s="93">
        <v>0</v>
      </c>
      <c r="H1960" s="93">
        <v>0</v>
      </c>
      <c r="I1960" s="93">
        <v>0</v>
      </c>
      <c r="J1960" s="93">
        <v>0</v>
      </c>
    </row>
    <row r="1961" spans="1:10">
      <c r="A1961" s="92" t="s">
        <v>15</v>
      </c>
      <c r="B1961" s="92" t="s">
        <v>11</v>
      </c>
      <c r="C1961" s="51">
        <v>0.73541666666666705</v>
      </c>
      <c r="D1961" s="93">
        <v>0</v>
      </c>
      <c r="E1961" s="93">
        <v>0</v>
      </c>
      <c r="F1961" s="93">
        <v>0</v>
      </c>
      <c r="G1961" s="93">
        <v>0</v>
      </c>
      <c r="H1961" s="93">
        <v>0</v>
      </c>
      <c r="I1961" s="93">
        <v>0</v>
      </c>
      <c r="J1961" s="93">
        <v>0</v>
      </c>
    </row>
    <row r="1962" spans="1:10">
      <c r="A1962" s="92" t="s">
        <v>15</v>
      </c>
      <c r="B1962" s="92" t="s">
        <v>11</v>
      </c>
      <c r="C1962" s="51">
        <v>0.73611111111111105</v>
      </c>
      <c r="D1962" s="93">
        <v>0</v>
      </c>
      <c r="E1962" s="93">
        <v>0</v>
      </c>
      <c r="F1962" s="93">
        <v>0</v>
      </c>
      <c r="G1962" s="93">
        <v>0</v>
      </c>
      <c r="H1962" s="93">
        <v>0</v>
      </c>
      <c r="I1962" s="93">
        <v>0</v>
      </c>
      <c r="J1962" s="93">
        <v>0</v>
      </c>
    </row>
    <row r="1963" spans="1:10">
      <c r="A1963" s="92" t="s">
        <v>15</v>
      </c>
      <c r="B1963" s="92" t="s">
        <v>11</v>
      </c>
      <c r="C1963" s="51">
        <v>0.73680555555555505</v>
      </c>
      <c r="D1963" s="93">
        <v>0</v>
      </c>
      <c r="E1963" s="93">
        <v>0</v>
      </c>
      <c r="F1963" s="93">
        <v>0</v>
      </c>
      <c r="G1963" s="93">
        <v>0</v>
      </c>
      <c r="H1963" s="93">
        <v>0</v>
      </c>
      <c r="I1963" s="93">
        <v>0</v>
      </c>
      <c r="J1963" s="93">
        <v>0</v>
      </c>
    </row>
    <row r="1964" spans="1:10">
      <c r="A1964" s="92" t="s">
        <v>15</v>
      </c>
      <c r="B1964" s="92" t="s">
        <v>11</v>
      </c>
      <c r="C1964" s="51">
        <v>0.73750000000000004</v>
      </c>
      <c r="D1964" s="93">
        <v>0</v>
      </c>
      <c r="E1964" s="93">
        <v>0</v>
      </c>
      <c r="F1964" s="93">
        <v>0</v>
      </c>
      <c r="G1964" s="93">
        <v>0</v>
      </c>
      <c r="H1964" s="93">
        <v>0</v>
      </c>
      <c r="I1964" s="93">
        <v>0</v>
      </c>
      <c r="J1964" s="93">
        <v>0</v>
      </c>
    </row>
    <row r="1965" spans="1:10">
      <c r="A1965" s="92" t="s">
        <v>15</v>
      </c>
      <c r="B1965" s="92" t="s">
        <v>11</v>
      </c>
      <c r="C1965" s="51">
        <v>0.73819444444444404</v>
      </c>
      <c r="D1965" s="93">
        <v>0</v>
      </c>
      <c r="E1965" s="93">
        <v>0</v>
      </c>
      <c r="F1965" s="93">
        <v>0</v>
      </c>
      <c r="G1965" s="93">
        <v>0</v>
      </c>
      <c r="H1965" s="93">
        <v>0</v>
      </c>
      <c r="I1965" s="93">
        <v>0</v>
      </c>
      <c r="J1965" s="93">
        <v>0</v>
      </c>
    </row>
    <row r="1966" spans="1:10" s="78" customFormat="1">
      <c r="A1966" s="94" t="s">
        <v>15</v>
      </c>
      <c r="B1966" s="94" t="s">
        <v>11</v>
      </c>
      <c r="C1966" s="95">
        <v>0.73888888888888904</v>
      </c>
      <c r="D1966" s="96">
        <v>0</v>
      </c>
      <c r="E1966" s="96">
        <v>0</v>
      </c>
      <c r="F1966" s="96">
        <v>0</v>
      </c>
      <c r="G1966" s="96">
        <v>0</v>
      </c>
      <c r="H1966" s="96">
        <v>0</v>
      </c>
      <c r="I1966" s="96">
        <v>0</v>
      </c>
      <c r="J1966" s="96">
        <v>0</v>
      </c>
    </row>
    <row r="1967" spans="1:10">
      <c r="A1967" s="92" t="s">
        <v>15</v>
      </c>
      <c r="B1967" s="92" t="s">
        <v>11</v>
      </c>
      <c r="C1967" s="51">
        <v>0.73958333333333304</v>
      </c>
      <c r="D1967" s="93">
        <v>0</v>
      </c>
      <c r="E1967" s="93">
        <v>0</v>
      </c>
      <c r="F1967" s="93">
        <v>0</v>
      </c>
      <c r="G1967" s="93">
        <v>0</v>
      </c>
      <c r="H1967" s="93">
        <v>0</v>
      </c>
      <c r="I1967" s="93">
        <v>0</v>
      </c>
      <c r="J1967" s="93">
        <v>0</v>
      </c>
    </row>
    <row r="1968" spans="1:10">
      <c r="A1968" s="92" t="s">
        <v>15</v>
      </c>
      <c r="B1968" s="92" t="s">
        <v>11</v>
      </c>
      <c r="C1968" s="51">
        <v>0.74027777777777803</v>
      </c>
      <c r="D1968" s="93">
        <v>0</v>
      </c>
      <c r="E1968" s="93">
        <v>0</v>
      </c>
      <c r="F1968" s="93">
        <v>0</v>
      </c>
      <c r="G1968" s="93">
        <v>0</v>
      </c>
      <c r="H1968" s="93">
        <v>0</v>
      </c>
      <c r="I1968" s="93">
        <v>0</v>
      </c>
      <c r="J1968" s="93">
        <v>0</v>
      </c>
    </row>
    <row r="1969" spans="1:10">
      <c r="A1969" s="92" t="s">
        <v>15</v>
      </c>
      <c r="B1969" s="92" t="s">
        <v>11</v>
      </c>
      <c r="C1969" s="51">
        <v>0.74097222222222203</v>
      </c>
      <c r="D1969" s="93">
        <v>0</v>
      </c>
      <c r="E1969" s="93">
        <v>0</v>
      </c>
      <c r="F1969" s="93">
        <v>0</v>
      </c>
      <c r="G1969" s="93">
        <v>0</v>
      </c>
      <c r="H1969" s="93">
        <v>0</v>
      </c>
      <c r="I1969" s="93">
        <v>0</v>
      </c>
      <c r="J1969" s="93">
        <v>0</v>
      </c>
    </row>
    <row r="1970" spans="1:10">
      <c r="A1970" s="92" t="s">
        <v>15</v>
      </c>
      <c r="B1970" s="92" t="s">
        <v>11</v>
      </c>
      <c r="C1970" s="51">
        <v>0.74166666666666703</v>
      </c>
      <c r="D1970" s="93">
        <v>0</v>
      </c>
      <c r="E1970" s="93">
        <v>0</v>
      </c>
      <c r="F1970" s="93">
        <v>0</v>
      </c>
      <c r="G1970" s="93">
        <v>0</v>
      </c>
      <c r="H1970" s="93">
        <v>0</v>
      </c>
      <c r="I1970" s="93">
        <v>0</v>
      </c>
      <c r="J1970" s="93">
        <v>0</v>
      </c>
    </row>
    <row r="1971" spans="1:10">
      <c r="A1971" s="92" t="s">
        <v>15</v>
      </c>
      <c r="B1971" s="92" t="s">
        <v>11</v>
      </c>
      <c r="C1971" s="51">
        <v>0.74236111111111103</v>
      </c>
      <c r="D1971" s="93">
        <v>0</v>
      </c>
      <c r="E1971" s="93">
        <v>0</v>
      </c>
      <c r="F1971" s="93">
        <v>0</v>
      </c>
      <c r="G1971" s="93">
        <v>0</v>
      </c>
      <c r="H1971" s="93">
        <v>0</v>
      </c>
      <c r="I1971" s="93">
        <v>0</v>
      </c>
      <c r="J1971" s="93">
        <v>0</v>
      </c>
    </row>
    <row r="1972" spans="1:10">
      <c r="A1972" s="92" t="s">
        <v>15</v>
      </c>
      <c r="B1972" s="92" t="s">
        <v>11</v>
      </c>
      <c r="C1972" s="51">
        <v>0.74305555555555503</v>
      </c>
      <c r="D1972" s="93">
        <v>0</v>
      </c>
      <c r="E1972" s="93">
        <v>0</v>
      </c>
      <c r="F1972" s="93">
        <v>0</v>
      </c>
      <c r="G1972" s="93">
        <v>0</v>
      </c>
      <c r="H1972" s="93">
        <v>0</v>
      </c>
      <c r="I1972" s="93">
        <v>0</v>
      </c>
      <c r="J1972" s="93">
        <v>0</v>
      </c>
    </row>
    <row r="1973" spans="1:10">
      <c r="A1973" s="92" t="s">
        <v>15</v>
      </c>
      <c r="B1973" s="92" t="s">
        <v>11</v>
      </c>
      <c r="C1973" s="51">
        <v>0.74375000000000002</v>
      </c>
      <c r="D1973" s="93">
        <v>0</v>
      </c>
      <c r="E1973" s="93">
        <v>0</v>
      </c>
      <c r="F1973" s="93">
        <v>0</v>
      </c>
      <c r="G1973" s="93">
        <v>0</v>
      </c>
      <c r="H1973" s="93">
        <v>0</v>
      </c>
      <c r="I1973" s="93">
        <v>0</v>
      </c>
      <c r="J1973" s="93">
        <v>0</v>
      </c>
    </row>
    <row r="1974" spans="1:10">
      <c r="A1974" s="92" t="s">
        <v>15</v>
      </c>
      <c r="B1974" s="92" t="s">
        <v>11</v>
      </c>
      <c r="C1974" s="51">
        <v>0.74444444444444402</v>
      </c>
      <c r="D1974" s="93">
        <v>0</v>
      </c>
      <c r="E1974" s="93">
        <v>0</v>
      </c>
      <c r="F1974" s="93">
        <v>0</v>
      </c>
      <c r="G1974" s="93">
        <v>0</v>
      </c>
      <c r="H1974" s="93">
        <v>0</v>
      </c>
      <c r="I1974" s="93">
        <v>0</v>
      </c>
      <c r="J1974" s="93">
        <v>0</v>
      </c>
    </row>
    <row r="1975" spans="1:10">
      <c r="A1975" s="92" t="s">
        <v>15</v>
      </c>
      <c r="B1975" s="92" t="s">
        <v>11</v>
      </c>
      <c r="C1975" s="51">
        <v>0.74513888888888902</v>
      </c>
      <c r="D1975" s="93">
        <v>0</v>
      </c>
      <c r="E1975" s="93">
        <v>0</v>
      </c>
      <c r="F1975" s="93">
        <v>0</v>
      </c>
      <c r="G1975" s="93">
        <v>0</v>
      </c>
      <c r="H1975" s="93">
        <v>0</v>
      </c>
      <c r="I1975" s="93">
        <v>0</v>
      </c>
      <c r="J1975" s="93">
        <v>0</v>
      </c>
    </row>
    <row r="1976" spans="1:10">
      <c r="A1976" s="92" t="s">
        <v>15</v>
      </c>
      <c r="B1976" s="92" t="s">
        <v>11</v>
      </c>
      <c r="C1976" s="51">
        <v>0.74583333333333302</v>
      </c>
      <c r="D1976" s="93">
        <v>0</v>
      </c>
      <c r="E1976" s="93">
        <v>0</v>
      </c>
      <c r="F1976" s="93">
        <v>0</v>
      </c>
      <c r="G1976" s="93">
        <v>0</v>
      </c>
      <c r="H1976" s="93">
        <v>0</v>
      </c>
      <c r="I1976" s="93">
        <v>0</v>
      </c>
      <c r="J1976" s="93">
        <v>0</v>
      </c>
    </row>
    <row r="1977" spans="1:10">
      <c r="A1977" s="92" t="s">
        <v>15</v>
      </c>
      <c r="B1977" s="92" t="s">
        <v>11</v>
      </c>
      <c r="C1977" s="51">
        <v>0.74652777777777801</v>
      </c>
      <c r="D1977" s="93">
        <v>0</v>
      </c>
      <c r="E1977" s="93">
        <v>0</v>
      </c>
      <c r="F1977" s="93">
        <v>0</v>
      </c>
      <c r="G1977" s="93">
        <v>0</v>
      </c>
      <c r="H1977" s="93">
        <v>0</v>
      </c>
      <c r="I1977" s="93">
        <v>0</v>
      </c>
      <c r="J1977" s="93">
        <v>0</v>
      </c>
    </row>
    <row r="1978" spans="1:10">
      <c r="A1978" s="92" t="s">
        <v>15</v>
      </c>
      <c r="B1978" s="92" t="s">
        <v>11</v>
      </c>
      <c r="C1978" s="51">
        <v>0.74722222222222201</v>
      </c>
      <c r="D1978" s="93">
        <v>0</v>
      </c>
      <c r="E1978" s="93">
        <v>0</v>
      </c>
      <c r="F1978" s="93">
        <v>0</v>
      </c>
      <c r="G1978" s="93">
        <v>0</v>
      </c>
      <c r="H1978" s="93">
        <v>0</v>
      </c>
      <c r="I1978" s="93">
        <v>0</v>
      </c>
      <c r="J1978" s="93">
        <v>0</v>
      </c>
    </row>
    <row r="1979" spans="1:10">
      <c r="A1979" s="92" t="s">
        <v>15</v>
      </c>
      <c r="B1979" s="92" t="s">
        <v>11</v>
      </c>
      <c r="C1979" s="51">
        <v>0.74791666666666701</v>
      </c>
      <c r="D1979" s="93">
        <v>0</v>
      </c>
      <c r="E1979" s="93">
        <v>0</v>
      </c>
      <c r="F1979" s="93">
        <v>0</v>
      </c>
      <c r="G1979" s="93">
        <v>0</v>
      </c>
      <c r="H1979" s="93">
        <v>0</v>
      </c>
      <c r="I1979" s="93">
        <v>0</v>
      </c>
      <c r="J1979" s="93">
        <v>0</v>
      </c>
    </row>
    <row r="1980" spans="1:10">
      <c r="A1980" s="92" t="s">
        <v>15</v>
      </c>
      <c r="B1980" s="92" t="s">
        <v>11</v>
      </c>
      <c r="C1980" s="51">
        <v>0.74861111111111101</v>
      </c>
      <c r="D1980" s="93">
        <v>0</v>
      </c>
      <c r="E1980" s="93">
        <v>0</v>
      </c>
      <c r="F1980" s="93">
        <v>0</v>
      </c>
      <c r="G1980" s="93">
        <v>0</v>
      </c>
      <c r="H1980" s="93">
        <v>0</v>
      </c>
      <c r="I1980" s="93">
        <v>0</v>
      </c>
      <c r="J1980" s="93">
        <v>0</v>
      </c>
    </row>
    <row r="1981" spans="1:10" s="78" customFormat="1">
      <c r="A1981" s="94" t="s">
        <v>15</v>
      </c>
      <c r="B1981" s="94" t="s">
        <v>11</v>
      </c>
      <c r="C1981" s="95">
        <v>0.749305555555555</v>
      </c>
      <c r="D1981" s="96">
        <v>0</v>
      </c>
      <c r="E1981" s="96">
        <v>0</v>
      </c>
      <c r="F1981" s="96">
        <v>0</v>
      </c>
      <c r="G1981" s="96">
        <v>0</v>
      </c>
      <c r="H1981" s="96">
        <v>0</v>
      </c>
      <c r="I1981" s="96">
        <v>0</v>
      </c>
      <c r="J1981" s="96">
        <v>0</v>
      </c>
    </row>
    <row r="1982" spans="1:10">
      <c r="A1982" s="92" t="s">
        <v>15</v>
      </c>
      <c r="B1982" s="92" t="s">
        <v>11</v>
      </c>
      <c r="C1982" s="51">
        <v>0.75</v>
      </c>
      <c r="D1982" s="93">
        <v>0</v>
      </c>
      <c r="E1982" s="93">
        <v>0</v>
      </c>
      <c r="F1982" s="93">
        <v>0</v>
      </c>
      <c r="G1982" s="93">
        <v>0</v>
      </c>
      <c r="H1982" s="93">
        <v>0</v>
      </c>
      <c r="I1982" s="93">
        <v>0</v>
      </c>
      <c r="J1982" s="93">
        <v>0</v>
      </c>
    </row>
    <row r="1983" spans="1:10">
      <c r="A1983" s="92" t="s">
        <v>15</v>
      </c>
      <c r="B1983" s="92" t="s">
        <v>11</v>
      </c>
      <c r="C1983" s="51">
        <v>0.750694444444444</v>
      </c>
      <c r="D1983" s="93">
        <v>0</v>
      </c>
      <c r="E1983" s="93">
        <v>0</v>
      </c>
      <c r="F1983" s="93">
        <v>0</v>
      </c>
      <c r="G1983" s="93">
        <v>0</v>
      </c>
      <c r="H1983" s="93">
        <v>0</v>
      </c>
      <c r="I1983" s="93">
        <v>0</v>
      </c>
      <c r="J1983" s="93">
        <v>0</v>
      </c>
    </row>
    <row r="1984" spans="1:10">
      <c r="A1984" s="92" t="s">
        <v>15</v>
      </c>
      <c r="B1984" s="92" t="s">
        <v>11</v>
      </c>
      <c r="C1984" s="51">
        <v>0.75138888888888899</v>
      </c>
      <c r="D1984" s="93">
        <v>0</v>
      </c>
      <c r="E1984" s="93">
        <v>0</v>
      </c>
      <c r="F1984" s="93">
        <v>0</v>
      </c>
      <c r="G1984" s="93">
        <v>0</v>
      </c>
      <c r="H1984" s="93">
        <v>0</v>
      </c>
      <c r="I1984" s="93">
        <v>0</v>
      </c>
      <c r="J1984" s="93">
        <v>0</v>
      </c>
    </row>
    <row r="1985" spans="1:10">
      <c r="A1985" s="92" t="s">
        <v>15</v>
      </c>
      <c r="B1985" s="92" t="s">
        <v>11</v>
      </c>
      <c r="C1985" s="51">
        <v>0.75208333333333299</v>
      </c>
      <c r="D1985" s="93">
        <v>0</v>
      </c>
      <c r="E1985" s="93">
        <v>0</v>
      </c>
      <c r="F1985" s="93">
        <v>0</v>
      </c>
      <c r="G1985" s="93">
        <v>0</v>
      </c>
      <c r="H1985" s="93">
        <v>0</v>
      </c>
      <c r="I1985" s="93">
        <v>0</v>
      </c>
      <c r="J1985" s="93">
        <v>0</v>
      </c>
    </row>
    <row r="1986" spans="1:10">
      <c r="A1986" s="92" t="s">
        <v>15</v>
      </c>
      <c r="B1986" s="92" t="s">
        <v>11</v>
      </c>
      <c r="C1986" s="51">
        <v>0.75277777777777799</v>
      </c>
      <c r="D1986" s="93">
        <v>0</v>
      </c>
      <c r="E1986" s="93">
        <v>0</v>
      </c>
      <c r="F1986" s="93">
        <v>0</v>
      </c>
      <c r="G1986" s="93">
        <v>0</v>
      </c>
      <c r="H1986" s="93">
        <v>0</v>
      </c>
      <c r="I1986" s="93">
        <v>0</v>
      </c>
      <c r="J1986" s="93">
        <v>0</v>
      </c>
    </row>
    <row r="1987" spans="1:10">
      <c r="A1987" s="92" t="s">
        <v>15</v>
      </c>
      <c r="B1987" s="92" t="s">
        <v>11</v>
      </c>
      <c r="C1987" s="51">
        <v>0.75347222222222199</v>
      </c>
      <c r="D1987" s="93">
        <v>0</v>
      </c>
      <c r="E1987" s="93">
        <v>0</v>
      </c>
      <c r="F1987" s="93">
        <v>0</v>
      </c>
      <c r="G1987" s="93">
        <v>0</v>
      </c>
      <c r="H1987" s="93">
        <v>0</v>
      </c>
      <c r="I1987" s="93">
        <v>0</v>
      </c>
      <c r="J1987" s="93">
        <v>0</v>
      </c>
    </row>
    <row r="1988" spans="1:10">
      <c r="A1988" s="92" t="s">
        <v>15</v>
      </c>
      <c r="B1988" s="92" t="s">
        <v>11</v>
      </c>
      <c r="C1988" s="51">
        <v>0.75416666666666698</v>
      </c>
      <c r="D1988" s="93">
        <v>0</v>
      </c>
      <c r="E1988" s="93">
        <v>0</v>
      </c>
      <c r="F1988" s="93">
        <v>0</v>
      </c>
      <c r="G1988" s="93">
        <v>0</v>
      </c>
      <c r="H1988" s="93">
        <v>0</v>
      </c>
      <c r="I1988" s="93">
        <v>0</v>
      </c>
      <c r="J1988" s="93">
        <v>0</v>
      </c>
    </row>
    <row r="1989" spans="1:10">
      <c r="A1989" s="92" t="s">
        <v>15</v>
      </c>
      <c r="B1989" s="92" t="s">
        <v>11</v>
      </c>
      <c r="C1989" s="51">
        <v>0.75486111111111098</v>
      </c>
      <c r="D1989" s="93">
        <v>0</v>
      </c>
      <c r="E1989" s="93">
        <v>0</v>
      </c>
      <c r="F1989" s="93">
        <v>0</v>
      </c>
      <c r="G1989" s="93">
        <v>0</v>
      </c>
      <c r="H1989" s="93">
        <v>0</v>
      </c>
      <c r="I1989" s="93">
        <v>0</v>
      </c>
      <c r="J1989" s="93">
        <v>0</v>
      </c>
    </row>
    <row r="1990" spans="1:10">
      <c r="A1990" s="92" t="s">
        <v>15</v>
      </c>
      <c r="B1990" s="92" t="s">
        <v>11</v>
      </c>
      <c r="C1990" s="51">
        <v>0.75555555555555498</v>
      </c>
      <c r="D1990" s="93">
        <v>0</v>
      </c>
      <c r="E1990" s="93">
        <v>0</v>
      </c>
      <c r="F1990" s="93">
        <v>0</v>
      </c>
      <c r="G1990" s="93">
        <v>0</v>
      </c>
      <c r="H1990" s="93">
        <v>0</v>
      </c>
      <c r="I1990" s="93">
        <v>0</v>
      </c>
      <c r="J1990" s="93">
        <v>0</v>
      </c>
    </row>
    <row r="1991" spans="1:10">
      <c r="A1991" s="92" t="s">
        <v>15</v>
      </c>
      <c r="B1991" s="92" t="s">
        <v>11</v>
      </c>
      <c r="C1991" s="51">
        <v>0.75624999999999998</v>
      </c>
      <c r="D1991" s="93">
        <v>0</v>
      </c>
      <c r="E1991" s="93">
        <v>0</v>
      </c>
      <c r="F1991" s="93">
        <v>0</v>
      </c>
      <c r="G1991" s="93">
        <v>0</v>
      </c>
      <c r="H1991" s="93">
        <v>0</v>
      </c>
      <c r="I1991" s="93">
        <v>0</v>
      </c>
      <c r="J1991" s="93">
        <v>0</v>
      </c>
    </row>
    <row r="1992" spans="1:10">
      <c r="A1992" s="92" t="s">
        <v>15</v>
      </c>
      <c r="B1992" s="92" t="s">
        <v>11</v>
      </c>
      <c r="C1992" s="51">
        <v>0.75694444444444398</v>
      </c>
      <c r="D1992" s="93">
        <v>0</v>
      </c>
      <c r="E1992" s="93">
        <v>0</v>
      </c>
      <c r="F1992" s="93">
        <v>0</v>
      </c>
      <c r="G1992" s="93">
        <v>0</v>
      </c>
      <c r="H1992" s="93">
        <v>0</v>
      </c>
      <c r="I1992" s="93">
        <v>0</v>
      </c>
      <c r="J1992" s="93">
        <v>0</v>
      </c>
    </row>
    <row r="1993" spans="1:10">
      <c r="A1993" s="92" t="s">
        <v>15</v>
      </c>
      <c r="B1993" s="92" t="s">
        <v>11</v>
      </c>
      <c r="C1993" s="51">
        <v>0.75763888888888897</v>
      </c>
      <c r="D1993" s="93">
        <v>0</v>
      </c>
      <c r="E1993" s="93">
        <v>0</v>
      </c>
      <c r="F1993" s="93">
        <v>0</v>
      </c>
      <c r="G1993" s="93">
        <v>0</v>
      </c>
      <c r="H1993" s="93">
        <v>0</v>
      </c>
      <c r="I1993" s="93">
        <v>0</v>
      </c>
      <c r="J1993" s="93">
        <v>0</v>
      </c>
    </row>
    <row r="1994" spans="1:10">
      <c r="A1994" s="92" t="s">
        <v>15</v>
      </c>
      <c r="B1994" s="92" t="s">
        <v>11</v>
      </c>
      <c r="C1994" s="51">
        <v>0.75833333333333297</v>
      </c>
      <c r="D1994" s="93">
        <v>0</v>
      </c>
      <c r="E1994" s="93">
        <v>0</v>
      </c>
      <c r="F1994" s="93">
        <v>0</v>
      </c>
      <c r="G1994" s="93">
        <v>0</v>
      </c>
      <c r="H1994" s="93">
        <v>0</v>
      </c>
      <c r="I1994" s="93">
        <v>0</v>
      </c>
      <c r="J1994" s="93">
        <v>0</v>
      </c>
    </row>
    <row r="1995" spans="1:10">
      <c r="A1995" s="92" t="s">
        <v>15</v>
      </c>
      <c r="B1995" s="92" t="s">
        <v>11</v>
      </c>
      <c r="C1995" s="51">
        <v>0.75902777777777797</v>
      </c>
      <c r="D1995" s="93">
        <v>0</v>
      </c>
      <c r="E1995" s="93">
        <v>0</v>
      </c>
      <c r="F1995" s="93">
        <v>0</v>
      </c>
      <c r="G1995" s="93">
        <v>0</v>
      </c>
      <c r="H1995" s="93">
        <v>0</v>
      </c>
      <c r="I1995" s="93">
        <v>0</v>
      </c>
      <c r="J1995" s="93">
        <v>0</v>
      </c>
    </row>
    <row r="1996" spans="1:10" s="78" customFormat="1">
      <c r="A1996" s="94" t="s">
        <v>15</v>
      </c>
      <c r="B1996" s="94" t="s">
        <v>11</v>
      </c>
      <c r="C1996" s="95">
        <v>0.75972222222222197</v>
      </c>
      <c r="D1996" s="96">
        <v>0</v>
      </c>
      <c r="E1996" s="96">
        <v>0</v>
      </c>
      <c r="F1996" s="96">
        <v>0</v>
      </c>
      <c r="G1996" s="96">
        <v>0</v>
      </c>
      <c r="H1996" s="96">
        <v>0</v>
      </c>
      <c r="I1996" s="96">
        <v>0</v>
      </c>
      <c r="J1996" s="96">
        <v>0</v>
      </c>
    </row>
    <row r="1997" spans="1:10">
      <c r="A1997" s="92" t="s">
        <v>15</v>
      </c>
      <c r="B1997" s="92" t="s">
        <v>11</v>
      </c>
      <c r="C1997" s="51">
        <v>0.76041666666666696</v>
      </c>
      <c r="D1997" s="93">
        <v>0</v>
      </c>
      <c r="E1997" s="93">
        <v>0</v>
      </c>
      <c r="F1997" s="93">
        <v>0</v>
      </c>
      <c r="G1997" s="93">
        <v>0</v>
      </c>
      <c r="H1997" s="93">
        <v>0</v>
      </c>
      <c r="I1997" s="93">
        <v>0</v>
      </c>
      <c r="J1997" s="93">
        <v>0</v>
      </c>
    </row>
    <row r="1998" spans="1:10">
      <c r="A1998" s="92" t="s">
        <v>15</v>
      </c>
      <c r="B1998" s="92" t="s">
        <v>11</v>
      </c>
      <c r="C1998" s="51">
        <v>0.76111111111111096</v>
      </c>
      <c r="D1998" s="93">
        <v>0</v>
      </c>
      <c r="E1998" s="93">
        <v>0</v>
      </c>
      <c r="F1998" s="93">
        <v>0</v>
      </c>
      <c r="G1998" s="93">
        <v>0</v>
      </c>
      <c r="H1998" s="93">
        <v>0</v>
      </c>
      <c r="I1998" s="93">
        <v>0</v>
      </c>
      <c r="J1998" s="93">
        <v>0</v>
      </c>
    </row>
    <row r="1999" spans="1:10">
      <c r="A1999" s="92" t="s">
        <v>15</v>
      </c>
      <c r="B1999" s="92" t="s">
        <v>11</v>
      </c>
      <c r="C1999" s="51">
        <v>0.76180555555555496</v>
      </c>
      <c r="D1999" s="93">
        <v>0</v>
      </c>
      <c r="E1999" s="93">
        <v>0</v>
      </c>
      <c r="F1999" s="93">
        <v>0</v>
      </c>
      <c r="G1999" s="93">
        <v>0</v>
      </c>
      <c r="H1999" s="93">
        <v>0</v>
      </c>
      <c r="I1999" s="93">
        <v>0</v>
      </c>
      <c r="J1999" s="93">
        <v>0</v>
      </c>
    </row>
    <row r="2000" spans="1:10">
      <c r="A2000" s="92" t="s">
        <v>15</v>
      </c>
      <c r="B2000" s="92" t="s">
        <v>11</v>
      </c>
      <c r="C2000" s="51">
        <v>0.76249999999999996</v>
      </c>
      <c r="D2000" s="93">
        <v>0</v>
      </c>
      <c r="E2000" s="93">
        <v>0</v>
      </c>
      <c r="F2000" s="93">
        <v>0</v>
      </c>
      <c r="G2000" s="93">
        <v>0</v>
      </c>
      <c r="H2000" s="93">
        <v>0</v>
      </c>
      <c r="I2000" s="93">
        <v>0</v>
      </c>
      <c r="J2000" s="93">
        <v>0</v>
      </c>
    </row>
    <row r="2001" spans="1:10">
      <c r="A2001" s="92" t="s">
        <v>15</v>
      </c>
      <c r="B2001" s="92" t="s">
        <v>11</v>
      </c>
      <c r="C2001" s="51">
        <v>0.76319444444444395</v>
      </c>
      <c r="D2001" s="93">
        <v>0</v>
      </c>
      <c r="E2001" s="93">
        <v>0</v>
      </c>
      <c r="F2001" s="93">
        <v>0</v>
      </c>
      <c r="G2001" s="93">
        <v>0</v>
      </c>
      <c r="H2001" s="93">
        <v>0</v>
      </c>
      <c r="I2001" s="93">
        <v>0</v>
      </c>
      <c r="J2001" s="93">
        <v>0</v>
      </c>
    </row>
    <row r="2002" spans="1:10">
      <c r="A2002" s="92" t="s">
        <v>15</v>
      </c>
      <c r="B2002" s="92" t="s">
        <v>11</v>
      </c>
      <c r="C2002" s="51">
        <v>0.76388888888888895</v>
      </c>
      <c r="D2002" s="93">
        <v>0</v>
      </c>
      <c r="E2002" s="93">
        <v>0</v>
      </c>
      <c r="F2002" s="93">
        <v>0</v>
      </c>
      <c r="G2002" s="93">
        <v>0</v>
      </c>
      <c r="H2002" s="93">
        <v>0</v>
      </c>
      <c r="I2002" s="93">
        <v>0</v>
      </c>
      <c r="J2002" s="93">
        <v>0</v>
      </c>
    </row>
    <row r="2003" spans="1:10">
      <c r="A2003" s="92" t="s">
        <v>15</v>
      </c>
      <c r="B2003" s="92" t="s">
        <v>11</v>
      </c>
      <c r="C2003" s="51">
        <v>0.76458333333333295</v>
      </c>
      <c r="D2003" s="93">
        <v>0</v>
      </c>
      <c r="E2003" s="93">
        <v>0</v>
      </c>
      <c r="F2003" s="93">
        <v>0</v>
      </c>
      <c r="G2003" s="93">
        <v>0</v>
      </c>
      <c r="H2003" s="93">
        <v>0</v>
      </c>
      <c r="I2003" s="93">
        <v>0</v>
      </c>
      <c r="J2003" s="93">
        <v>0</v>
      </c>
    </row>
    <row r="2004" spans="1:10">
      <c r="A2004" s="92" t="s">
        <v>15</v>
      </c>
      <c r="B2004" s="92" t="s">
        <v>11</v>
      </c>
      <c r="C2004" s="51">
        <v>0.76527777777777795</v>
      </c>
      <c r="D2004" s="93">
        <v>0</v>
      </c>
      <c r="E2004" s="93">
        <v>0</v>
      </c>
      <c r="F2004" s="93">
        <v>0</v>
      </c>
      <c r="G2004" s="93">
        <v>0</v>
      </c>
      <c r="H2004" s="93">
        <v>0</v>
      </c>
      <c r="I2004" s="93">
        <v>0</v>
      </c>
      <c r="J2004" s="93">
        <v>0</v>
      </c>
    </row>
    <row r="2005" spans="1:10">
      <c r="A2005" s="92" t="s">
        <v>15</v>
      </c>
      <c r="B2005" s="92" t="s">
        <v>11</v>
      </c>
      <c r="C2005" s="51">
        <v>0.76597222222222205</v>
      </c>
      <c r="D2005" s="93">
        <v>0</v>
      </c>
      <c r="E2005" s="93">
        <v>0</v>
      </c>
      <c r="F2005" s="93">
        <v>0</v>
      </c>
      <c r="G2005" s="93">
        <v>0</v>
      </c>
      <c r="H2005" s="93">
        <v>0</v>
      </c>
      <c r="I2005" s="93">
        <v>0</v>
      </c>
      <c r="J2005" s="93">
        <v>0</v>
      </c>
    </row>
    <row r="2006" spans="1:10">
      <c r="A2006" s="92" t="s">
        <v>15</v>
      </c>
      <c r="B2006" s="92" t="s">
        <v>11</v>
      </c>
      <c r="C2006" s="51">
        <v>0.76666666666666605</v>
      </c>
      <c r="D2006" s="93">
        <v>0</v>
      </c>
      <c r="E2006" s="93">
        <v>0</v>
      </c>
      <c r="F2006" s="93">
        <v>0</v>
      </c>
      <c r="G2006" s="93">
        <v>0</v>
      </c>
      <c r="H2006" s="93">
        <v>0</v>
      </c>
      <c r="I2006" s="93">
        <v>0</v>
      </c>
      <c r="J2006" s="93">
        <v>0</v>
      </c>
    </row>
    <row r="2007" spans="1:10">
      <c r="A2007" s="92" t="s">
        <v>15</v>
      </c>
      <c r="B2007" s="92" t="s">
        <v>11</v>
      </c>
      <c r="C2007" s="51">
        <v>0.76736111111111105</v>
      </c>
      <c r="D2007" s="93">
        <v>0</v>
      </c>
      <c r="E2007" s="93">
        <v>0</v>
      </c>
      <c r="F2007" s="93">
        <v>0</v>
      </c>
      <c r="G2007" s="93">
        <v>0</v>
      </c>
      <c r="H2007" s="93">
        <v>0</v>
      </c>
      <c r="I2007" s="93">
        <v>0</v>
      </c>
      <c r="J2007" s="93">
        <v>0</v>
      </c>
    </row>
    <row r="2008" spans="1:10">
      <c r="A2008" s="92" t="s">
        <v>15</v>
      </c>
      <c r="B2008" s="92" t="s">
        <v>11</v>
      </c>
      <c r="C2008" s="51">
        <v>0.76805555555555505</v>
      </c>
      <c r="D2008" s="93">
        <v>0</v>
      </c>
      <c r="E2008" s="93">
        <v>0</v>
      </c>
      <c r="F2008" s="93">
        <v>0</v>
      </c>
      <c r="G2008" s="93">
        <v>0</v>
      </c>
      <c r="H2008" s="93">
        <v>0</v>
      </c>
      <c r="I2008" s="93">
        <v>0</v>
      </c>
      <c r="J2008" s="93">
        <v>0</v>
      </c>
    </row>
    <row r="2009" spans="1:10">
      <c r="A2009" s="92" t="s">
        <v>15</v>
      </c>
      <c r="B2009" s="92" t="s">
        <v>11</v>
      </c>
      <c r="C2009" s="51">
        <v>0.76875000000000004</v>
      </c>
      <c r="D2009" s="93">
        <v>0</v>
      </c>
      <c r="E2009" s="93">
        <v>0</v>
      </c>
      <c r="F2009" s="93">
        <v>0</v>
      </c>
      <c r="G2009" s="93">
        <v>0</v>
      </c>
      <c r="H2009" s="93">
        <v>0</v>
      </c>
      <c r="I2009" s="93">
        <v>0</v>
      </c>
      <c r="J2009" s="93">
        <v>0</v>
      </c>
    </row>
    <row r="2010" spans="1:10">
      <c r="A2010" s="92" t="s">
        <v>15</v>
      </c>
      <c r="B2010" s="92" t="s">
        <v>11</v>
      </c>
      <c r="C2010" s="51">
        <v>0.76944444444444404</v>
      </c>
      <c r="D2010" s="93">
        <v>0</v>
      </c>
      <c r="E2010" s="93">
        <v>0</v>
      </c>
      <c r="F2010" s="93">
        <v>0</v>
      </c>
      <c r="G2010" s="93">
        <v>0</v>
      </c>
      <c r="H2010" s="93">
        <v>0</v>
      </c>
      <c r="I2010" s="93">
        <v>0</v>
      </c>
      <c r="J2010" s="93">
        <v>0</v>
      </c>
    </row>
    <row r="2011" spans="1:10" s="78" customFormat="1">
      <c r="A2011" s="94" t="s">
        <v>15</v>
      </c>
      <c r="B2011" s="94" t="s">
        <v>11</v>
      </c>
      <c r="C2011" s="95">
        <v>0.77013888888888904</v>
      </c>
      <c r="D2011" s="96">
        <v>0</v>
      </c>
      <c r="E2011" s="96">
        <v>0</v>
      </c>
      <c r="F2011" s="96">
        <v>0</v>
      </c>
      <c r="G2011" s="96">
        <v>0</v>
      </c>
      <c r="H2011" s="96">
        <v>0</v>
      </c>
      <c r="I2011" s="96">
        <v>0</v>
      </c>
      <c r="J2011" s="96">
        <v>0</v>
      </c>
    </row>
    <row r="2012" spans="1:10">
      <c r="A2012" s="92" t="s">
        <v>15</v>
      </c>
      <c r="B2012" s="92" t="s">
        <v>11</v>
      </c>
      <c r="C2012" s="51">
        <v>0.77083333333333304</v>
      </c>
      <c r="D2012" s="93">
        <v>0</v>
      </c>
      <c r="E2012" s="93">
        <v>0</v>
      </c>
      <c r="F2012" s="93">
        <v>0</v>
      </c>
      <c r="G2012" s="93">
        <v>0</v>
      </c>
      <c r="H2012" s="93">
        <v>0</v>
      </c>
      <c r="I2012" s="93">
        <v>0</v>
      </c>
      <c r="J2012" s="93">
        <v>0</v>
      </c>
    </row>
    <row r="2013" spans="1:10">
      <c r="A2013" s="92" t="s">
        <v>15</v>
      </c>
      <c r="B2013" s="92" t="s">
        <v>11</v>
      </c>
      <c r="C2013" s="51">
        <v>0.77152777777777803</v>
      </c>
      <c r="D2013" s="93">
        <v>0</v>
      </c>
      <c r="E2013" s="93">
        <v>0</v>
      </c>
      <c r="F2013" s="93">
        <v>0</v>
      </c>
      <c r="G2013" s="93">
        <v>0</v>
      </c>
      <c r="H2013" s="93">
        <v>0</v>
      </c>
      <c r="I2013" s="93">
        <v>0</v>
      </c>
      <c r="J2013" s="93">
        <v>0</v>
      </c>
    </row>
    <row r="2014" spans="1:10">
      <c r="A2014" s="92" t="s">
        <v>15</v>
      </c>
      <c r="B2014" s="92" t="s">
        <v>11</v>
      </c>
      <c r="C2014" s="51">
        <v>0.77222222222222203</v>
      </c>
      <c r="D2014" s="93">
        <v>0</v>
      </c>
      <c r="E2014" s="93">
        <v>0</v>
      </c>
      <c r="F2014" s="93">
        <v>0</v>
      </c>
      <c r="G2014" s="93">
        <v>0</v>
      </c>
      <c r="H2014" s="93">
        <v>0</v>
      </c>
      <c r="I2014" s="93">
        <v>0</v>
      </c>
      <c r="J2014" s="93">
        <v>0</v>
      </c>
    </row>
    <row r="2015" spans="1:10">
      <c r="A2015" s="92" t="s">
        <v>15</v>
      </c>
      <c r="B2015" s="92" t="s">
        <v>11</v>
      </c>
      <c r="C2015" s="51">
        <v>0.77291666666666603</v>
      </c>
      <c r="D2015" s="93">
        <v>0</v>
      </c>
      <c r="E2015" s="93">
        <v>0</v>
      </c>
      <c r="F2015" s="93">
        <v>0</v>
      </c>
      <c r="G2015" s="93">
        <v>0</v>
      </c>
      <c r="H2015" s="93">
        <v>0</v>
      </c>
      <c r="I2015" s="93">
        <v>0</v>
      </c>
      <c r="J2015" s="93">
        <v>0</v>
      </c>
    </row>
    <row r="2016" spans="1:10">
      <c r="A2016" s="92" t="s">
        <v>15</v>
      </c>
      <c r="B2016" s="92" t="s">
        <v>11</v>
      </c>
      <c r="C2016" s="51">
        <v>0.77361111111111103</v>
      </c>
      <c r="D2016" s="93">
        <v>0</v>
      </c>
      <c r="E2016" s="93">
        <v>0</v>
      </c>
      <c r="F2016" s="93">
        <v>0</v>
      </c>
      <c r="G2016" s="93">
        <v>0</v>
      </c>
      <c r="H2016" s="93">
        <v>0</v>
      </c>
      <c r="I2016" s="93">
        <v>0</v>
      </c>
      <c r="J2016" s="93">
        <v>0</v>
      </c>
    </row>
    <row r="2017" spans="1:10">
      <c r="A2017" s="92" t="s">
        <v>15</v>
      </c>
      <c r="B2017" s="92" t="s">
        <v>11</v>
      </c>
      <c r="C2017" s="51">
        <v>0.77430555555555503</v>
      </c>
      <c r="D2017" s="93">
        <v>0</v>
      </c>
      <c r="E2017" s="93">
        <v>0</v>
      </c>
      <c r="F2017" s="93">
        <v>0</v>
      </c>
      <c r="G2017" s="93">
        <v>0</v>
      </c>
      <c r="H2017" s="93">
        <v>0</v>
      </c>
      <c r="I2017" s="93">
        <v>0</v>
      </c>
      <c r="J2017" s="93">
        <v>0</v>
      </c>
    </row>
    <row r="2018" spans="1:10">
      <c r="A2018" s="92" t="s">
        <v>15</v>
      </c>
      <c r="B2018" s="92" t="s">
        <v>11</v>
      </c>
      <c r="C2018" s="51">
        <v>0.77500000000000002</v>
      </c>
      <c r="D2018" s="93">
        <v>0</v>
      </c>
      <c r="E2018" s="93">
        <v>0</v>
      </c>
      <c r="F2018" s="93">
        <v>0</v>
      </c>
      <c r="G2018" s="93">
        <v>0</v>
      </c>
      <c r="H2018" s="93">
        <v>0</v>
      </c>
      <c r="I2018" s="93">
        <v>0</v>
      </c>
      <c r="J2018" s="93">
        <v>0</v>
      </c>
    </row>
    <row r="2019" spans="1:10">
      <c r="A2019" s="92" t="s">
        <v>15</v>
      </c>
      <c r="B2019" s="92" t="s">
        <v>11</v>
      </c>
      <c r="C2019" s="51">
        <v>0.77569444444444402</v>
      </c>
      <c r="D2019" s="93">
        <v>0</v>
      </c>
      <c r="E2019" s="93">
        <v>0</v>
      </c>
      <c r="F2019" s="93">
        <v>0</v>
      </c>
      <c r="G2019" s="93">
        <v>0</v>
      </c>
      <c r="H2019" s="93">
        <v>0</v>
      </c>
      <c r="I2019" s="93">
        <v>0</v>
      </c>
      <c r="J2019" s="93">
        <v>0</v>
      </c>
    </row>
    <row r="2020" spans="1:10">
      <c r="A2020" s="92" t="s">
        <v>15</v>
      </c>
      <c r="B2020" s="92" t="s">
        <v>11</v>
      </c>
      <c r="C2020" s="51">
        <v>0.77638888888888902</v>
      </c>
      <c r="D2020" s="93">
        <v>0</v>
      </c>
      <c r="E2020" s="93">
        <v>0</v>
      </c>
      <c r="F2020" s="93">
        <v>0</v>
      </c>
      <c r="G2020" s="93">
        <v>0</v>
      </c>
      <c r="H2020" s="93">
        <v>0</v>
      </c>
      <c r="I2020" s="93">
        <v>0</v>
      </c>
      <c r="J2020" s="93">
        <v>0</v>
      </c>
    </row>
    <row r="2021" spans="1:10">
      <c r="A2021" s="92" t="s">
        <v>15</v>
      </c>
      <c r="B2021" s="92" t="s">
        <v>11</v>
      </c>
      <c r="C2021" s="51">
        <v>0.77708333333333302</v>
      </c>
      <c r="D2021" s="93">
        <v>0</v>
      </c>
      <c r="E2021" s="93">
        <v>0</v>
      </c>
      <c r="F2021" s="93">
        <v>0</v>
      </c>
      <c r="G2021" s="93">
        <v>0</v>
      </c>
      <c r="H2021" s="93">
        <v>0</v>
      </c>
      <c r="I2021" s="93">
        <v>0</v>
      </c>
      <c r="J2021" s="93">
        <v>0</v>
      </c>
    </row>
    <row r="2022" spans="1:10">
      <c r="A2022" s="92" t="s">
        <v>15</v>
      </c>
      <c r="B2022" s="92" t="s">
        <v>11</v>
      </c>
      <c r="C2022" s="51">
        <v>0.77777777777777801</v>
      </c>
      <c r="D2022" s="93">
        <v>0</v>
      </c>
      <c r="E2022" s="93">
        <v>0</v>
      </c>
      <c r="F2022" s="93">
        <v>0</v>
      </c>
      <c r="G2022" s="93">
        <v>0</v>
      </c>
      <c r="H2022" s="93">
        <v>0</v>
      </c>
      <c r="I2022" s="93">
        <v>0</v>
      </c>
      <c r="J2022" s="93">
        <v>0</v>
      </c>
    </row>
    <row r="2023" spans="1:10">
      <c r="A2023" s="92" t="s">
        <v>15</v>
      </c>
      <c r="B2023" s="92" t="s">
        <v>11</v>
      </c>
      <c r="C2023" s="51">
        <v>0.77847222222222201</v>
      </c>
      <c r="D2023" s="93">
        <v>0</v>
      </c>
      <c r="E2023" s="93">
        <v>0</v>
      </c>
      <c r="F2023" s="93">
        <v>0</v>
      </c>
      <c r="G2023" s="93">
        <v>0</v>
      </c>
      <c r="H2023" s="93">
        <v>0</v>
      </c>
      <c r="I2023" s="93">
        <v>0</v>
      </c>
      <c r="J2023" s="93">
        <v>0</v>
      </c>
    </row>
    <row r="2024" spans="1:10">
      <c r="A2024" s="92" t="s">
        <v>15</v>
      </c>
      <c r="B2024" s="92" t="s">
        <v>11</v>
      </c>
      <c r="C2024" s="51">
        <v>0.77916666666666601</v>
      </c>
      <c r="D2024" s="93">
        <v>0</v>
      </c>
      <c r="E2024" s="93">
        <v>0</v>
      </c>
      <c r="F2024" s="93">
        <v>0</v>
      </c>
      <c r="G2024" s="93">
        <v>0</v>
      </c>
      <c r="H2024" s="93">
        <v>0</v>
      </c>
      <c r="I2024" s="93">
        <v>0</v>
      </c>
      <c r="J2024" s="93">
        <v>0</v>
      </c>
    </row>
    <row r="2025" spans="1:10">
      <c r="A2025" s="92" t="s">
        <v>15</v>
      </c>
      <c r="B2025" s="92" t="s">
        <v>11</v>
      </c>
      <c r="C2025" s="51">
        <v>0.77986111111111101</v>
      </c>
      <c r="D2025" s="93">
        <v>0</v>
      </c>
      <c r="E2025" s="93">
        <v>0</v>
      </c>
      <c r="F2025" s="93">
        <v>0</v>
      </c>
      <c r="G2025" s="93">
        <v>0</v>
      </c>
      <c r="H2025" s="93">
        <v>0</v>
      </c>
      <c r="I2025" s="93">
        <v>0</v>
      </c>
      <c r="J2025" s="93">
        <v>0</v>
      </c>
    </row>
    <row r="2026" spans="1:10" s="78" customFormat="1">
      <c r="A2026" s="94" t="s">
        <v>15</v>
      </c>
      <c r="B2026" s="94" t="s">
        <v>11</v>
      </c>
      <c r="C2026" s="95">
        <v>0.780555555555555</v>
      </c>
      <c r="D2026" s="96">
        <v>0</v>
      </c>
      <c r="E2026" s="96">
        <v>0</v>
      </c>
      <c r="F2026" s="96">
        <v>0</v>
      </c>
      <c r="G2026" s="96">
        <v>0</v>
      </c>
      <c r="H2026" s="96">
        <v>0</v>
      </c>
      <c r="I2026" s="96">
        <v>0</v>
      </c>
      <c r="J2026" s="96">
        <v>0</v>
      </c>
    </row>
    <row r="2027" spans="1:10">
      <c r="A2027" s="92" t="s">
        <v>15</v>
      </c>
      <c r="B2027" s="92" t="s">
        <v>11</v>
      </c>
      <c r="C2027" s="51">
        <v>0.78125</v>
      </c>
      <c r="D2027" s="93">
        <v>0</v>
      </c>
      <c r="E2027" s="93">
        <v>0</v>
      </c>
      <c r="F2027" s="93">
        <v>0</v>
      </c>
      <c r="G2027" s="93">
        <v>0</v>
      </c>
      <c r="H2027" s="93">
        <v>0</v>
      </c>
      <c r="I2027" s="93">
        <v>0</v>
      </c>
      <c r="J2027" s="93">
        <v>0</v>
      </c>
    </row>
    <row r="2028" spans="1:10">
      <c r="A2028" s="92" t="s">
        <v>15</v>
      </c>
      <c r="B2028" s="92" t="s">
        <v>11</v>
      </c>
      <c r="C2028" s="51">
        <v>0.781944444444444</v>
      </c>
      <c r="D2028" s="93">
        <v>0</v>
      </c>
      <c r="E2028" s="93">
        <v>0</v>
      </c>
      <c r="F2028" s="93">
        <v>0</v>
      </c>
      <c r="G2028" s="93">
        <v>0</v>
      </c>
      <c r="H2028" s="93">
        <v>0</v>
      </c>
      <c r="I2028" s="93">
        <v>0</v>
      </c>
      <c r="J2028" s="93">
        <v>0</v>
      </c>
    </row>
    <row r="2029" spans="1:10">
      <c r="A2029" s="92" t="s">
        <v>15</v>
      </c>
      <c r="B2029" s="92" t="s">
        <v>11</v>
      </c>
      <c r="C2029" s="51">
        <v>0.78263888888888899</v>
      </c>
      <c r="D2029" s="93">
        <v>0</v>
      </c>
      <c r="E2029" s="93">
        <v>0</v>
      </c>
      <c r="F2029" s="93">
        <v>0</v>
      </c>
      <c r="G2029" s="93">
        <v>0</v>
      </c>
      <c r="H2029" s="93">
        <v>0</v>
      </c>
      <c r="I2029" s="93">
        <v>0</v>
      </c>
      <c r="J2029" s="93">
        <v>0</v>
      </c>
    </row>
    <row r="2030" spans="1:10">
      <c r="A2030" s="92" t="s">
        <v>15</v>
      </c>
      <c r="B2030" s="92" t="s">
        <v>11</v>
      </c>
      <c r="C2030" s="51">
        <v>0.78333333333333299</v>
      </c>
      <c r="D2030" s="93">
        <v>0</v>
      </c>
      <c r="E2030" s="93">
        <v>0</v>
      </c>
      <c r="F2030" s="93">
        <v>0</v>
      </c>
      <c r="G2030" s="93">
        <v>0</v>
      </c>
      <c r="H2030" s="93">
        <v>0</v>
      </c>
      <c r="I2030" s="93">
        <v>0</v>
      </c>
      <c r="J2030" s="93">
        <v>0</v>
      </c>
    </row>
    <row r="2031" spans="1:10">
      <c r="A2031" s="92" t="s">
        <v>15</v>
      </c>
      <c r="B2031" s="92" t="s">
        <v>11</v>
      </c>
      <c r="C2031" s="51">
        <v>0.78402777777777799</v>
      </c>
      <c r="D2031" s="93">
        <v>0</v>
      </c>
      <c r="E2031" s="93">
        <v>0</v>
      </c>
      <c r="F2031" s="93">
        <v>0</v>
      </c>
      <c r="G2031" s="93">
        <v>0</v>
      </c>
      <c r="H2031" s="93">
        <v>0</v>
      </c>
      <c r="I2031" s="93">
        <v>0</v>
      </c>
      <c r="J2031" s="93">
        <v>0</v>
      </c>
    </row>
    <row r="2032" spans="1:10">
      <c r="A2032" s="92" t="s">
        <v>15</v>
      </c>
      <c r="B2032" s="92" t="s">
        <v>11</v>
      </c>
      <c r="C2032" s="51">
        <v>0.78472222222222199</v>
      </c>
      <c r="D2032" s="93">
        <v>0</v>
      </c>
      <c r="E2032" s="93">
        <v>0</v>
      </c>
      <c r="F2032" s="93">
        <v>0</v>
      </c>
      <c r="G2032" s="93">
        <v>0</v>
      </c>
      <c r="H2032" s="93">
        <v>0</v>
      </c>
      <c r="I2032" s="93">
        <v>0</v>
      </c>
      <c r="J2032" s="93">
        <v>0</v>
      </c>
    </row>
    <row r="2033" spans="1:10">
      <c r="A2033" s="92" t="s">
        <v>15</v>
      </c>
      <c r="B2033" s="92" t="s">
        <v>11</v>
      </c>
      <c r="C2033" s="51">
        <v>0.78541666666666599</v>
      </c>
      <c r="D2033" s="93">
        <v>0</v>
      </c>
      <c r="E2033" s="93">
        <v>0</v>
      </c>
      <c r="F2033" s="93">
        <v>0</v>
      </c>
      <c r="G2033" s="93">
        <v>0</v>
      </c>
      <c r="H2033" s="93">
        <v>0</v>
      </c>
      <c r="I2033" s="93">
        <v>0</v>
      </c>
      <c r="J2033" s="93">
        <v>0</v>
      </c>
    </row>
    <row r="2034" spans="1:10">
      <c r="A2034" s="92" t="s">
        <v>15</v>
      </c>
      <c r="B2034" s="92" t="s">
        <v>11</v>
      </c>
      <c r="C2034" s="51">
        <v>0.78611111111111098</v>
      </c>
      <c r="D2034" s="93">
        <v>0</v>
      </c>
      <c r="E2034" s="93">
        <v>0</v>
      </c>
      <c r="F2034" s="93">
        <v>0</v>
      </c>
      <c r="G2034" s="93">
        <v>0</v>
      </c>
      <c r="H2034" s="93">
        <v>0</v>
      </c>
      <c r="I2034" s="93">
        <v>0</v>
      </c>
      <c r="J2034" s="93">
        <v>0</v>
      </c>
    </row>
    <row r="2035" spans="1:10">
      <c r="A2035" s="92" t="s">
        <v>15</v>
      </c>
      <c r="B2035" s="92" t="s">
        <v>11</v>
      </c>
      <c r="C2035" s="51">
        <v>0.78680555555555498</v>
      </c>
      <c r="D2035" s="93">
        <v>0</v>
      </c>
      <c r="E2035" s="93">
        <v>0</v>
      </c>
      <c r="F2035" s="93">
        <v>0</v>
      </c>
      <c r="G2035" s="93">
        <v>0</v>
      </c>
      <c r="H2035" s="93">
        <v>0</v>
      </c>
      <c r="I2035" s="93">
        <v>0</v>
      </c>
      <c r="J2035" s="93">
        <v>0</v>
      </c>
    </row>
    <row r="2036" spans="1:10">
      <c r="A2036" s="92" t="s">
        <v>15</v>
      </c>
      <c r="B2036" s="92" t="s">
        <v>11</v>
      </c>
      <c r="C2036" s="51">
        <v>0.78749999999999998</v>
      </c>
      <c r="D2036" s="93">
        <v>0</v>
      </c>
      <c r="E2036" s="93">
        <v>0</v>
      </c>
      <c r="F2036" s="93">
        <v>0</v>
      </c>
      <c r="G2036" s="93">
        <v>0</v>
      </c>
      <c r="H2036" s="93">
        <v>0</v>
      </c>
      <c r="I2036" s="93">
        <v>0</v>
      </c>
      <c r="J2036" s="93">
        <v>0</v>
      </c>
    </row>
    <row r="2037" spans="1:10">
      <c r="A2037" s="92" t="s">
        <v>15</v>
      </c>
      <c r="B2037" s="92" t="s">
        <v>11</v>
      </c>
      <c r="C2037" s="51">
        <v>0.78819444444444398</v>
      </c>
      <c r="D2037" s="93">
        <v>0</v>
      </c>
      <c r="E2037" s="93">
        <v>0</v>
      </c>
      <c r="F2037" s="93">
        <v>0</v>
      </c>
      <c r="G2037" s="93">
        <v>0</v>
      </c>
      <c r="H2037" s="93">
        <v>0</v>
      </c>
      <c r="I2037" s="93">
        <v>0</v>
      </c>
      <c r="J2037" s="93">
        <v>0</v>
      </c>
    </row>
    <row r="2038" spans="1:10">
      <c r="A2038" s="92" t="s">
        <v>15</v>
      </c>
      <c r="B2038" s="92" t="s">
        <v>11</v>
      </c>
      <c r="C2038" s="51">
        <v>0.78888888888888897</v>
      </c>
      <c r="D2038" s="93">
        <v>0</v>
      </c>
      <c r="E2038" s="93">
        <v>0</v>
      </c>
      <c r="F2038" s="93">
        <v>0</v>
      </c>
      <c r="G2038" s="93">
        <v>0</v>
      </c>
      <c r="H2038" s="93">
        <v>0</v>
      </c>
      <c r="I2038" s="93">
        <v>0</v>
      </c>
      <c r="J2038" s="93">
        <v>0</v>
      </c>
    </row>
    <row r="2039" spans="1:10">
      <c r="A2039" s="92" t="s">
        <v>15</v>
      </c>
      <c r="B2039" s="92" t="s">
        <v>11</v>
      </c>
      <c r="C2039" s="51">
        <v>0.78958333333333297</v>
      </c>
      <c r="D2039" s="93">
        <v>0</v>
      </c>
      <c r="E2039" s="93">
        <v>0</v>
      </c>
      <c r="F2039" s="93">
        <v>0</v>
      </c>
      <c r="G2039" s="93">
        <v>0</v>
      </c>
      <c r="H2039" s="93">
        <v>0</v>
      </c>
      <c r="I2039" s="93">
        <v>0</v>
      </c>
      <c r="J2039" s="93">
        <v>0</v>
      </c>
    </row>
    <row r="2040" spans="1:10">
      <c r="A2040" s="92" t="s">
        <v>15</v>
      </c>
      <c r="B2040" s="92" t="s">
        <v>11</v>
      </c>
      <c r="C2040" s="51">
        <v>0.79027777777777797</v>
      </c>
      <c r="D2040" s="93">
        <v>0</v>
      </c>
      <c r="E2040" s="93">
        <v>0</v>
      </c>
      <c r="F2040" s="93">
        <v>0</v>
      </c>
      <c r="G2040" s="93">
        <v>0</v>
      </c>
      <c r="H2040" s="93">
        <v>0</v>
      </c>
      <c r="I2040" s="93">
        <v>0</v>
      </c>
      <c r="J2040" s="93">
        <v>0</v>
      </c>
    </row>
    <row r="2041" spans="1:10" s="28" customFormat="1" ht="17.5" thickBot="1">
      <c r="A2041" s="104" t="s">
        <v>15</v>
      </c>
      <c r="B2041" s="104" t="s">
        <v>11</v>
      </c>
      <c r="C2041" s="105">
        <v>0.79097222222222197</v>
      </c>
      <c r="D2041" s="106">
        <v>0</v>
      </c>
      <c r="E2041" s="106">
        <v>0</v>
      </c>
      <c r="F2041" s="106">
        <v>0</v>
      </c>
      <c r="G2041" s="106">
        <v>0</v>
      </c>
      <c r="H2041" s="106">
        <v>0</v>
      </c>
      <c r="I2041" s="106">
        <v>0</v>
      </c>
      <c r="J2041" s="106">
        <v>0</v>
      </c>
    </row>
    <row r="2042" spans="1:10">
      <c r="A2042" s="92" t="s">
        <v>15</v>
      </c>
      <c r="B2042" s="92" t="s">
        <v>12</v>
      </c>
      <c r="C2042" s="51">
        <v>0.70833333333333337</v>
      </c>
      <c r="D2042" s="93">
        <v>0</v>
      </c>
      <c r="E2042" s="93">
        <v>0</v>
      </c>
      <c r="F2042" s="93">
        <v>0</v>
      </c>
      <c r="G2042" s="93">
        <v>0</v>
      </c>
      <c r="H2042" s="93">
        <v>0</v>
      </c>
      <c r="I2042" s="93">
        <v>0</v>
      </c>
      <c r="J2042" s="93">
        <v>0</v>
      </c>
    </row>
    <row r="2043" spans="1:10">
      <c r="A2043" s="92" t="s">
        <v>15</v>
      </c>
      <c r="B2043" s="92" t="s">
        <v>12</v>
      </c>
      <c r="C2043" s="51">
        <v>0.70902777777777781</v>
      </c>
      <c r="D2043" s="93">
        <v>0</v>
      </c>
      <c r="E2043" s="93">
        <v>0</v>
      </c>
      <c r="F2043" s="93">
        <v>0</v>
      </c>
      <c r="G2043" s="93">
        <v>0</v>
      </c>
      <c r="H2043" s="93">
        <v>0</v>
      </c>
      <c r="I2043" s="93">
        <v>0</v>
      </c>
      <c r="J2043" s="93">
        <v>0</v>
      </c>
    </row>
    <row r="2044" spans="1:10">
      <c r="A2044" s="92" t="s">
        <v>15</v>
      </c>
      <c r="B2044" s="92" t="s">
        <v>12</v>
      </c>
      <c r="C2044" s="51">
        <v>0.70972222222222203</v>
      </c>
      <c r="D2044" s="93">
        <v>0</v>
      </c>
      <c r="E2044" s="93">
        <v>0</v>
      </c>
      <c r="F2044" s="93">
        <v>0</v>
      </c>
      <c r="G2044" s="93">
        <v>0</v>
      </c>
      <c r="H2044" s="93">
        <v>0</v>
      </c>
      <c r="I2044" s="93">
        <v>0</v>
      </c>
      <c r="J2044" s="93">
        <v>0</v>
      </c>
    </row>
    <row r="2045" spans="1:10">
      <c r="A2045" s="92" t="s">
        <v>15</v>
      </c>
      <c r="B2045" s="92" t="s">
        <v>12</v>
      </c>
      <c r="C2045" s="51">
        <v>0.71041666666666703</v>
      </c>
      <c r="D2045" s="93">
        <v>0</v>
      </c>
      <c r="E2045" s="93">
        <v>0</v>
      </c>
      <c r="F2045" s="93">
        <v>0</v>
      </c>
      <c r="G2045" s="93">
        <v>0</v>
      </c>
      <c r="H2045" s="93">
        <v>0</v>
      </c>
      <c r="I2045" s="93">
        <v>0</v>
      </c>
      <c r="J2045" s="93">
        <v>0</v>
      </c>
    </row>
    <row r="2046" spans="1:10">
      <c r="A2046" s="92" t="s">
        <v>15</v>
      </c>
      <c r="B2046" s="92" t="s">
        <v>12</v>
      </c>
      <c r="C2046" s="51">
        <v>0.71111111111111103</v>
      </c>
      <c r="D2046" s="93">
        <v>0</v>
      </c>
      <c r="E2046" s="93">
        <v>0</v>
      </c>
      <c r="F2046" s="93">
        <v>0</v>
      </c>
      <c r="G2046" s="93">
        <v>0</v>
      </c>
      <c r="H2046" s="93">
        <v>0</v>
      </c>
      <c r="I2046" s="93">
        <v>0</v>
      </c>
      <c r="J2046" s="93">
        <v>0</v>
      </c>
    </row>
    <row r="2047" spans="1:10">
      <c r="A2047" s="92" t="s">
        <v>15</v>
      </c>
      <c r="B2047" s="92" t="s">
        <v>12</v>
      </c>
      <c r="C2047" s="51">
        <v>0.71180555555555602</v>
      </c>
      <c r="D2047" s="93">
        <v>0</v>
      </c>
      <c r="E2047" s="93">
        <v>0</v>
      </c>
      <c r="F2047" s="93">
        <v>0</v>
      </c>
      <c r="G2047" s="93">
        <v>0</v>
      </c>
      <c r="H2047" s="93">
        <v>0</v>
      </c>
      <c r="I2047" s="93">
        <v>0</v>
      </c>
      <c r="J2047" s="93">
        <v>0</v>
      </c>
    </row>
    <row r="2048" spans="1:10">
      <c r="A2048" s="92" t="s">
        <v>15</v>
      </c>
      <c r="B2048" s="92" t="s">
        <v>12</v>
      </c>
      <c r="C2048" s="51">
        <v>0.71250000000000002</v>
      </c>
      <c r="D2048" s="93">
        <v>0</v>
      </c>
      <c r="E2048" s="93">
        <v>0</v>
      </c>
      <c r="F2048" s="93">
        <v>0</v>
      </c>
      <c r="G2048" s="93">
        <v>0</v>
      </c>
      <c r="H2048" s="93">
        <v>0</v>
      </c>
      <c r="I2048" s="93">
        <v>0</v>
      </c>
      <c r="J2048" s="93">
        <v>0</v>
      </c>
    </row>
    <row r="2049" spans="1:10">
      <c r="A2049" s="92" t="s">
        <v>15</v>
      </c>
      <c r="B2049" s="92" t="s">
        <v>12</v>
      </c>
      <c r="C2049" s="51">
        <v>0.71319444444444402</v>
      </c>
      <c r="D2049" s="93">
        <v>0</v>
      </c>
      <c r="E2049" s="93">
        <v>0</v>
      </c>
      <c r="F2049" s="93">
        <v>0</v>
      </c>
      <c r="G2049" s="93">
        <v>0</v>
      </c>
      <c r="H2049" s="93">
        <v>0</v>
      </c>
      <c r="I2049" s="93">
        <v>0</v>
      </c>
      <c r="J2049" s="93">
        <v>0</v>
      </c>
    </row>
    <row r="2050" spans="1:10">
      <c r="A2050" s="92" t="s">
        <v>15</v>
      </c>
      <c r="B2050" s="92" t="s">
        <v>12</v>
      </c>
      <c r="C2050" s="51">
        <v>0.71388888888888902</v>
      </c>
      <c r="D2050" s="93">
        <v>0</v>
      </c>
      <c r="E2050" s="93">
        <v>0</v>
      </c>
      <c r="F2050" s="93">
        <v>0</v>
      </c>
      <c r="G2050" s="93">
        <v>0</v>
      </c>
      <c r="H2050" s="93">
        <v>0</v>
      </c>
      <c r="I2050" s="93">
        <v>0</v>
      </c>
      <c r="J2050" s="93">
        <v>0</v>
      </c>
    </row>
    <row r="2051" spans="1:10">
      <c r="A2051" s="92" t="s">
        <v>15</v>
      </c>
      <c r="B2051" s="92" t="s">
        <v>12</v>
      </c>
      <c r="C2051" s="51">
        <v>0.71458333333333302</v>
      </c>
      <c r="D2051" s="93">
        <v>0</v>
      </c>
      <c r="E2051" s="93">
        <v>0</v>
      </c>
      <c r="F2051" s="93">
        <v>0</v>
      </c>
      <c r="G2051" s="93">
        <v>0</v>
      </c>
      <c r="H2051" s="93">
        <v>0</v>
      </c>
      <c r="I2051" s="93">
        <v>0</v>
      </c>
      <c r="J2051" s="93">
        <v>0</v>
      </c>
    </row>
    <row r="2052" spans="1:10">
      <c r="A2052" s="92" t="s">
        <v>15</v>
      </c>
      <c r="B2052" s="92" t="s">
        <v>12</v>
      </c>
      <c r="C2052" s="51">
        <v>0.71527777777777801</v>
      </c>
      <c r="D2052" s="93">
        <v>0</v>
      </c>
      <c r="E2052" s="93">
        <v>0</v>
      </c>
      <c r="F2052" s="93">
        <v>0</v>
      </c>
      <c r="G2052" s="93">
        <v>0</v>
      </c>
      <c r="H2052" s="93">
        <v>0</v>
      </c>
      <c r="I2052" s="93">
        <v>0</v>
      </c>
      <c r="J2052" s="93">
        <v>0</v>
      </c>
    </row>
    <row r="2053" spans="1:10">
      <c r="A2053" s="92" t="s">
        <v>15</v>
      </c>
      <c r="B2053" s="92" t="s">
        <v>12</v>
      </c>
      <c r="C2053" s="51">
        <v>0.71597222222222201</v>
      </c>
      <c r="D2053" s="93">
        <v>0</v>
      </c>
      <c r="E2053" s="93">
        <v>0</v>
      </c>
      <c r="F2053" s="93">
        <v>0</v>
      </c>
      <c r="G2053" s="93">
        <v>0</v>
      </c>
      <c r="H2053" s="93">
        <v>0</v>
      </c>
      <c r="I2053" s="93">
        <v>0</v>
      </c>
      <c r="J2053" s="93">
        <v>0</v>
      </c>
    </row>
    <row r="2054" spans="1:10">
      <c r="A2054" s="92" t="s">
        <v>15</v>
      </c>
      <c r="B2054" s="92" t="s">
        <v>12</v>
      </c>
      <c r="C2054" s="51">
        <v>0.71666666666666701</v>
      </c>
      <c r="D2054" s="93">
        <v>0</v>
      </c>
      <c r="E2054" s="93">
        <v>0</v>
      </c>
      <c r="F2054" s="93">
        <v>0</v>
      </c>
      <c r="G2054" s="93">
        <v>0</v>
      </c>
      <c r="H2054" s="93">
        <v>0</v>
      </c>
      <c r="I2054" s="93">
        <v>0</v>
      </c>
      <c r="J2054" s="93">
        <v>0</v>
      </c>
    </row>
    <row r="2055" spans="1:10">
      <c r="A2055" s="92" t="s">
        <v>15</v>
      </c>
      <c r="B2055" s="92" t="s">
        <v>12</v>
      </c>
      <c r="C2055" s="51">
        <v>0.71736111111111101</v>
      </c>
      <c r="D2055" s="93">
        <v>0</v>
      </c>
      <c r="E2055" s="93">
        <v>0</v>
      </c>
      <c r="F2055" s="93">
        <v>0</v>
      </c>
      <c r="G2055" s="93">
        <v>0</v>
      </c>
      <c r="H2055" s="93">
        <v>0</v>
      </c>
      <c r="I2055" s="93">
        <v>0</v>
      </c>
      <c r="J2055" s="93">
        <v>0</v>
      </c>
    </row>
    <row r="2056" spans="1:10" s="78" customFormat="1">
      <c r="A2056" s="94" t="s">
        <v>15</v>
      </c>
      <c r="B2056" s="94" t="s">
        <v>12</v>
      </c>
      <c r="C2056" s="95">
        <v>0.718055555555556</v>
      </c>
      <c r="D2056" s="96">
        <v>0</v>
      </c>
      <c r="E2056" s="96">
        <v>0</v>
      </c>
      <c r="F2056" s="96">
        <v>0</v>
      </c>
      <c r="G2056" s="96">
        <v>0</v>
      </c>
      <c r="H2056" s="96">
        <v>0</v>
      </c>
      <c r="I2056" s="96">
        <v>0</v>
      </c>
      <c r="J2056" s="96">
        <v>0</v>
      </c>
    </row>
    <row r="2057" spans="1:10">
      <c r="A2057" s="92" t="s">
        <v>15</v>
      </c>
      <c r="B2057" s="92" t="s">
        <v>12</v>
      </c>
      <c r="C2057" s="51">
        <v>0.71875</v>
      </c>
      <c r="D2057" s="93">
        <v>0</v>
      </c>
      <c r="E2057" s="93">
        <v>0</v>
      </c>
      <c r="F2057" s="93">
        <v>0</v>
      </c>
      <c r="G2057" s="93">
        <v>0</v>
      </c>
      <c r="H2057" s="93">
        <v>0</v>
      </c>
      <c r="I2057" s="93">
        <v>0</v>
      </c>
      <c r="J2057" s="93">
        <v>0</v>
      </c>
    </row>
    <row r="2058" spans="1:10">
      <c r="A2058" s="92" t="s">
        <v>15</v>
      </c>
      <c r="B2058" s="92" t="s">
        <v>12</v>
      </c>
      <c r="C2058" s="51">
        <v>0.719444444444444</v>
      </c>
      <c r="D2058" s="93">
        <v>0</v>
      </c>
      <c r="E2058" s="93">
        <v>0</v>
      </c>
      <c r="F2058" s="93">
        <v>0</v>
      </c>
      <c r="G2058" s="93">
        <v>0</v>
      </c>
      <c r="H2058" s="93">
        <v>0</v>
      </c>
      <c r="I2058" s="93">
        <v>0</v>
      </c>
      <c r="J2058" s="93">
        <v>0</v>
      </c>
    </row>
    <row r="2059" spans="1:10">
      <c r="A2059" s="92" t="s">
        <v>15</v>
      </c>
      <c r="B2059" s="92" t="s">
        <v>12</v>
      </c>
      <c r="C2059" s="51">
        <v>0.72013888888888899</v>
      </c>
      <c r="D2059" s="93">
        <v>0</v>
      </c>
      <c r="E2059" s="93">
        <v>0</v>
      </c>
      <c r="F2059" s="93">
        <v>0</v>
      </c>
      <c r="G2059" s="93">
        <v>0</v>
      </c>
      <c r="H2059" s="93">
        <v>0</v>
      </c>
      <c r="I2059" s="93">
        <v>0</v>
      </c>
      <c r="J2059" s="93">
        <v>0</v>
      </c>
    </row>
    <row r="2060" spans="1:10">
      <c r="A2060" s="92" t="s">
        <v>15</v>
      </c>
      <c r="B2060" s="92" t="s">
        <v>12</v>
      </c>
      <c r="C2060" s="51">
        <v>0.72083333333333299</v>
      </c>
      <c r="D2060" s="93">
        <v>0</v>
      </c>
      <c r="E2060" s="93">
        <v>0</v>
      </c>
      <c r="F2060" s="93">
        <v>0</v>
      </c>
      <c r="G2060" s="93">
        <v>0</v>
      </c>
      <c r="H2060" s="93">
        <v>0</v>
      </c>
      <c r="I2060" s="93">
        <v>0</v>
      </c>
      <c r="J2060" s="93">
        <v>0</v>
      </c>
    </row>
    <row r="2061" spans="1:10">
      <c r="A2061" s="92" t="s">
        <v>15</v>
      </c>
      <c r="B2061" s="92" t="s">
        <v>12</v>
      </c>
      <c r="C2061" s="51">
        <v>0.72152777777777799</v>
      </c>
      <c r="D2061" s="93">
        <v>0</v>
      </c>
      <c r="E2061" s="93">
        <v>0</v>
      </c>
      <c r="F2061" s="93">
        <v>0</v>
      </c>
      <c r="G2061" s="93">
        <v>0</v>
      </c>
      <c r="H2061" s="93">
        <v>0</v>
      </c>
      <c r="I2061" s="93">
        <v>0</v>
      </c>
      <c r="J2061" s="93">
        <v>0</v>
      </c>
    </row>
    <row r="2062" spans="1:10">
      <c r="A2062" s="92" t="s">
        <v>15</v>
      </c>
      <c r="B2062" s="92" t="s">
        <v>12</v>
      </c>
      <c r="C2062" s="51">
        <v>0.72222222222222199</v>
      </c>
      <c r="D2062" s="93">
        <v>0</v>
      </c>
      <c r="E2062" s="93">
        <v>0</v>
      </c>
      <c r="F2062" s="93">
        <v>0</v>
      </c>
      <c r="G2062" s="93">
        <v>0</v>
      </c>
      <c r="H2062" s="93">
        <v>0</v>
      </c>
      <c r="I2062" s="93">
        <v>0</v>
      </c>
      <c r="J2062" s="93">
        <v>0</v>
      </c>
    </row>
    <row r="2063" spans="1:10">
      <c r="A2063" s="92" t="s">
        <v>15</v>
      </c>
      <c r="B2063" s="92" t="s">
        <v>12</v>
      </c>
      <c r="C2063" s="51">
        <v>0.72291666666666698</v>
      </c>
      <c r="D2063" s="93">
        <v>0</v>
      </c>
      <c r="E2063" s="93">
        <v>0</v>
      </c>
      <c r="F2063" s="93">
        <v>0</v>
      </c>
      <c r="G2063" s="93">
        <v>0</v>
      </c>
      <c r="H2063" s="93">
        <v>0</v>
      </c>
      <c r="I2063" s="93">
        <v>0</v>
      </c>
      <c r="J2063" s="93">
        <v>0</v>
      </c>
    </row>
    <row r="2064" spans="1:10">
      <c r="A2064" s="92" t="s">
        <v>15</v>
      </c>
      <c r="B2064" s="92" t="s">
        <v>12</v>
      </c>
      <c r="C2064" s="51">
        <v>0.72361111111111098</v>
      </c>
      <c r="D2064" s="93">
        <v>0</v>
      </c>
      <c r="E2064" s="93">
        <v>0</v>
      </c>
      <c r="F2064" s="93">
        <v>0</v>
      </c>
      <c r="G2064" s="93">
        <v>0</v>
      </c>
      <c r="H2064" s="93">
        <v>0</v>
      </c>
      <c r="I2064" s="93">
        <v>0</v>
      </c>
      <c r="J2064" s="93">
        <v>0</v>
      </c>
    </row>
    <row r="2065" spans="1:10">
      <c r="A2065" s="92" t="s">
        <v>15</v>
      </c>
      <c r="B2065" s="92" t="s">
        <v>12</v>
      </c>
      <c r="C2065" s="51">
        <v>0.72430555555555598</v>
      </c>
      <c r="D2065" s="93">
        <v>0</v>
      </c>
      <c r="E2065" s="93">
        <v>0</v>
      </c>
      <c r="F2065" s="93">
        <v>0</v>
      </c>
      <c r="G2065" s="93">
        <v>0</v>
      </c>
      <c r="H2065" s="93">
        <v>0</v>
      </c>
      <c r="I2065" s="93">
        <v>0</v>
      </c>
      <c r="J2065" s="93">
        <v>0</v>
      </c>
    </row>
    <row r="2066" spans="1:10">
      <c r="A2066" s="92" t="s">
        <v>15</v>
      </c>
      <c r="B2066" s="92" t="s">
        <v>12</v>
      </c>
      <c r="C2066" s="51">
        <v>0.72499999999999998</v>
      </c>
      <c r="D2066" s="93">
        <v>0</v>
      </c>
      <c r="E2066" s="93">
        <v>0</v>
      </c>
      <c r="F2066" s="93">
        <v>0</v>
      </c>
      <c r="G2066" s="93">
        <v>0</v>
      </c>
      <c r="H2066" s="93">
        <v>0</v>
      </c>
      <c r="I2066" s="93">
        <v>0</v>
      </c>
      <c r="J2066" s="93">
        <v>0</v>
      </c>
    </row>
    <row r="2067" spans="1:10">
      <c r="A2067" s="92" t="s">
        <v>15</v>
      </c>
      <c r="B2067" s="92" t="s">
        <v>12</v>
      </c>
      <c r="C2067" s="51">
        <v>0.72569444444444398</v>
      </c>
      <c r="D2067" s="93">
        <v>0</v>
      </c>
      <c r="E2067" s="93">
        <v>0</v>
      </c>
      <c r="F2067" s="93">
        <v>0</v>
      </c>
      <c r="G2067" s="93">
        <v>0</v>
      </c>
      <c r="H2067" s="93">
        <v>0</v>
      </c>
      <c r="I2067" s="93">
        <v>0</v>
      </c>
      <c r="J2067" s="93">
        <v>0</v>
      </c>
    </row>
    <row r="2068" spans="1:10">
      <c r="A2068" s="92" t="s">
        <v>15</v>
      </c>
      <c r="B2068" s="92" t="s">
        <v>12</v>
      </c>
      <c r="C2068" s="51">
        <v>0.72638888888888897</v>
      </c>
      <c r="D2068" s="93">
        <v>0</v>
      </c>
      <c r="E2068" s="93">
        <v>0</v>
      </c>
      <c r="F2068" s="93">
        <v>0</v>
      </c>
      <c r="G2068" s="93">
        <v>0</v>
      </c>
      <c r="H2068" s="93">
        <v>0</v>
      </c>
      <c r="I2068" s="93">
        <v>0</v>
      </c>
      <c r="J2068" s="93">
        <v>0</v>
      </c>
    </row>
    <row r="2069" spans="1:10">
      <c r="A2069" s="92" t="s">
        <v>15</v>
      </c>
      <c r="B2069" s="92" t="s">
        <v>12</v>
      </c>
      <c r="C2069" s="51">
        <v>0.72708333333333297</v>
      </c>
      <c r="D2069" s="93">
        <v>0</v>
      </c>
      <c r="E2069" s="93">
        <v>0</v>
      </c>
      <c r="F2069" s="93">
        <v>0</v>
      </c>
      <c r="G2069" s="93">
        <v>0</v>
      </c>
      <c r="H2069" s="93">
        <v>0</v>
      </c>
      <c r="I2069" s="93">
        <v>0</v>
      </c>
      <c r="J2069" s="93">
        <v>0</v>
      </c>
    </row>
    <row r="2070" spans="1:10">
      <c r="A2070" s="92" t="s">
        <v>15</v>
      </c>
      <c r="B2070" s="92" t="s">
        <v>12</v>
      </c>
      <c r="C2070" s="51">
        <v>0.72777777777777797</v>
      </c>
      <c r="D2070" s="93">
        <v>0</v>
      </c>
      <c r="E2070" s="93">
        <v>0</v>
      </c>
      <c r="F2070" s="93">
        <v>0</v>
      </c>
      <c r="G2070" s="93">
        <v>0</v>
      </c>
      <c r="H2070" s="93">
        <v>0</v>
      </c>
      <c r="I2070" s="93">
        <v>0</v>
      </c>
      <c r="J2070" s="93">
        <v>0</v>
      </c>
    </row>
    <row r="2071" spans="1:10" s="78" customFormat="1">
      <c r="A2071" s="94" t="s">
        <v>15</v>
      </c>
      <c r="B2071" s="94" t="s">
        <v>12</v>
      </c>
      <c r="C2071" s="95">
        <v>0.72847222222222197</v>
      </c>
      <c r="D2071" s="96">
        <v>0</v>
      </c>
      <c r="E2071" s="96">
        <v>0</v>
      </c>
      <c r="F2071" s="96">
        <v>0</v>
      </c>
      <c r="G2071" s="96">
        <v>0</v>
      </c>
      <c r="H2071" s="96">
        <v>0</v>
      </c>
      <c r="I2071" s="96">
        <v>0</v>
      </c>
      <c r="J2071" s="96">
        <v>0</v>
      </c>
    </row>
    <row r="2072" spans="1:10">
      <c r="A2072" s="92" t="s">
        <v>15</v>
      </c>
      <c r="B2072" s="92" t="s">
        <v>12</v>
      </c>
      <c r="C2072" s="51">
        <v>0.72916666666666696</v>
      </c>
      <c r="D2072" s="93">
        <v>0</v>
      </c>
      <c r="E2072" s="93">
        <v>0</v>
      </c>
      <c r="F2072" s="93">
        <v>0</v>
      </c>
      <c r="G2072" s="93">
        <v>0</v>
      </c>
      <c r="H2072" s="93">
        <v>0</v>
      </c>
      <c r="I2072" s="93">
        <v>0</v>
      </c>
      <c r="J2072" s="93">
        <v>0</v>
      </c>
    </row>
    <row r="2073" spans="1:10">
      <c r="A2073" s="92" t="s">
        <v>15</v>
      </c>
      <c r="B2073" s="92" t="s">
        <v>12</v>
      </c>
      <c r="C2073" s="51">
        <v>0.72986111111111096</v>
      </c>
      <c r="D2073" s="93">
        <v>0</v>
      </c>
      <c r="E2073" s="93">
        <v>0</v>
      </c>
      <c r="F2073" s="93">
        <v>0</v>
      </c>
      <c r="G2073" s="93">
        <v>0</v>
      </c>
      <c r="H2073" s="93">
        <v>0</v>
      </c>
      <c r="I2073" s="93">
        <v>0</v>
      </c>
      <c r="J2073" s="93">
        <v>0</v>
      </c>
    </row>
    <row r="2074" spans="1:10">
      <c r="A2074" s="92" t="s">
        <v>15</v>
      </c>
      <c r="B2074" s="92" t="s">
        <v>12</v>
      </c>
      <c r="C2074" s="51">
        <v>0.73055555555555596</v>
      </c>
      <c r="D2074" s="93">
        <v>0</v>
      </c>
      <c r="E2074" s="93">
        <v>0</v>
      </c>
      <c r="F2074" s="93">
        <v>0</v>
      </c>
      <c r="G2074" s="93">
        <v>0</v>
      </c>
      <c r="H2074" s="93">
        <v>0</v>
      </c>
      <c r="I2074" s="93">
        <v>0</v>
      </c>
      <c r="J2074" s="93">
        <v>0</v>
      </c>
    </row>
    <row r="2075" spans="1:10">
      <c r="A2075" s="92" t="s">
        <v>15</v>
      </c>
      <c r="B2075" s="92" t="s">
        <v>12</v>
      </c>
      <c r="C2075" s="51">
        <v>0.73124999999999996</v>
      </c>
      <c r="D2075" s="93">
        <v>0</v>
      </c>
      <c r="E2075" s="93">
        <v>0</v>
      </c>
      <c r="F2075" s="93">
        <v>0</v>
      </c>
      <c r="G2075" s="93">
        <v>0</v>
      </c>
      <c r="H2075" s="93">
        <v>0</v>
      </c>
      <c r="I2075" s="93">
        <v>0</v>
      </c>
      <c r="J2075" s="93">
        <v>0</v>
      </c>
    </row>
    <row r="2076" spans="1:10">
      <c r="A2076" s="92" t="s">
        <v>15</v>
      </c>
      <c r="B2076" s="92" t="s">
        <v>12</v>
      </c>
      <c r="C2076" s="51">
        <v>0.73194444444444395</v>
      </c>
      <c r="D2076" s="93">
        <v>0</v>
      </c>
      <c r="E2076" s="93">
        <v>0</v>
      </c>
      <c r="F2076" s="93">
        <v>0</v>
      </c>
      <c r="G2076" s="93">
        <v>0</v>
      </c>
      <c r="H2076" s="93">
        <v>0</v>
      </c>
      <c r="I2076" s="93">
        <v>0</v>
      </c>
      <c r="J2076" s="93">
        <v>0</v>
      </c>
    </row>
    <row r="2077" spans="1:10">
      <c r="A2077" s="92" t="s">
        <v>15</v>
      </c>
      <c r="B2077" s="92" t="s">
        <v>12</v>
      </c>
      <c r="C2077" s="51">
        <v>0.73263888888888895</v>
      </c>
      <c r="D2077" s="93">
        <v>0</v>
      </c>
      <c r="E2077" s="93">
        <v>0</v>
      </c>
      <c r="F2077" s="93">
        <v>0</v>
      </c>
      <c r="G2077" s="93">
        <v>0</v>
      </c>
      <c r="H2077" s="93">
        <v>0</v>
      </c>
      <c r="I2077" s="93">
        <v>0</v>
      </c>
      <c r="J2077" s="93">
        <v>0</v>
      </c>
    </row>
    <row r="2078" spans="1:10">
      <c r="A2078" s="92" t="s">
        <v>15</v>
      </c>
      <c r="B2078" s="92" t="s">
        <v>12</v>
      </c>
      <c r="C2078" s="51">
        <v>0.73333333333333295</v>
      </c>
      <c r="D2078" s="93">
        <v>0</v>
      </c>
      <c r="E2078" s="93">
        <v>0</v>
      </c>
      <c r="F2078" s="93">
        <v>0</v>
      </c>
      <c r="G2078" s="93">
        <v>0</v>
      </c>
      <c r="H2078" s="93">
        <v>0</v>
      </c>
      <c r="I2078" s="93">
        <v>0</v>
      </c>
      <c r="J2078" s="93">
        <v>0</v>
      </c>
    </row>
    <row r="2079" spans="1:10">
      <c r="A2079" s="92" t="s">
        <v>15</v>
      </c>
      <c r="B2079" s="92" t="s">
        <v>12</v>
      </c>
      <c r="C2079" s="51">
        <v>0.73402777777777795</v>
      </c>
      <c r="D2079" s="93">
        <v>0</v>
      </c>
      <c r="E2079" s="93">
        <v>0</v>
      </c>
      <c r="F2079" s="93">
        <v>0</v>
      </c>
      <c r="G2079" s="93">
        <v>0</v>
      </c>
      <c r="H2079" s="93">
        <v>0</v>
      </c>
      <c r="I2079" s="93">
        <v>0</v>
      </c>
      <c r="J2079" s="93">
        <v>0</v>
      </c>
    </row>
    <row r="2080" spans="1:10">
      <c r="A2080" s="92" t="s">
        <v>15</v>
      </c>
      <c r="B2080" s="92" t="s">
        <v>12</v>
      </c>
      <c r="C2080" s="51">
        <v>0.73472222222222205</v>
      </c>
      <c r="D2080" s="93">
        <v>0</v>
      </c>
      <c r="E2080" s="93">
        <v>0</v>
      </c>
      <c r="F2080" s="93">
        <v>0</v>
      </c>
      <c r="G2080" s="93">
        <v>0</v>
      </c>
      <c r="H2080" s="93">
        <v>0</v>
      </c>
      <c r="I2080" s="93">
        <v>0</v>
      </c>
      <c r="J2080" s="93">
        <v>0</v>
      </c>
    </row>
    <row r="2081" spans="1:10">
      <c r="A2081" s="92" t="s">
        <v>15</v>
      </c>
      <c r="B2081" s="92" t="s">
        <v>12</v>
      </c>
      <c r="C2081" s="51">
        <v>0.73541666666666705</v>
      </c>
      <c r="D2081" s="93">
        <v>0</v>
      </c>
      <c r="E2081" s="93">
        <v>0</v>
      </c>
      <c r="F2081" s="93">
        <v>0</v>
      </c>
      <c r="G2081" s="93">
        <v>0</v>
      </c>
      <c r="H2081" s="93">
        <v>0</v>
      </c>
      <c r="I2081" s="93">
        <v>0</v>
      </c>
      <c r="J2081" s="93">
        <v>0</v>
      </c>
    </row>
    <row r="2082" spans="1:10">
      <c r="A2082" s="92" t="s">
        <v>15</v>
      </c>
      <c r="B2082" s="92" t="s">
        <v>12</v>
      </c>
      <c r="C2082" s="51">
        <v>0.73611111111111105</v>
      </c>
      <c r="D2082" s="93">
        <v>0</v>
      </c>
      <c r="E2082" s="93">
        <v>0</v>
      </c>
      <c r="F2082" s="93">
        <v>0</v>
      </c>
      <c r="G2082" s="93">
        <v>0</v>
      </c>
      <c r="H2082" s="93">
        <v>0</v>
      </c>
      <c r="I2082" s="93">
        <v>0</v>
      </c>
      <c r="J2082" s="93">
        <v>0</v>
      </c>
    </row>
    <row r="2083" spans="1:10">
      <c r="A2083" s="92" t="s">
        <v>15</v>
      </c>
      <c r="B2083" s="92" t="s">
        <v>12</v>
      </c>
      <c r="C2083" s="51">
        <v>0.73680555555555505</v>
      </c>
      <c r="D2083" s="93">
        <v>0</v>
      </c>
      <c r="E2083" s="93">
        <v>0</v>
      </c>
      <c r="F2083" s="93">
        <v>0</v>
      </c>
      <c r="G2083" s="93">
        <v>0</v>
      </c>
      <c r="H2083" s="93">
        <v>0</v>
      </c>
      <c r="I2083" s="93">
        <v>0</v>
      </c>
      <c r="J2083" s="93">
        <v>0</v>
      </c>
    </row>
    <row r="2084" spans="1:10">
      <c r="A2084" s="92" t="s">
        <v>15</v>
      </c>
      <c r="B2084" s="92" t="s">
        <v>12</v>
      </c>
      <c r="C2084" s="51">
        <v>0.73750000000000004</v>
      </c>
      <c r="D2084" s="93">
        <v>0</v>
      </c>
      <c r="E2084" s="93">
        <v>0</v>
      </c>
      <c r="F2084" s="93">
        <v>0</v>
      </c>
      <c r="G2084" s="93">
        <v>0</v>
      </c>
      <c r="H2084" s="93">
        <v>0</v>
      </c>
      <c r="I2084" s="93">
        <v>0</v>
      </c>
      <c r="J2084" s="93">
        <v>0</v>
      </c>
    </row>
    <row r="2085" spans="1:10">
      <c r="A2085" s="92" t="s">
        <v>15</v>
      </c>
      <c r="B2085" s="92" t="s">
        <v>12</v>
      </c>
      <c r="C2085" s="51">
        <v>0.73819444444444404</v>
      </c>
      <c r="D2085" s="93">
        <v>0</v>
      </c>
      <c r="E2085" s="93">
        <v>0</v>
      </c>
      <c r="F2085" s="93">
        <v>0</v>
      </c>
      <c r="G2085" s="93">
        <v>0</v>
      </c>
      <c r="H2085" s="93">
        <v>0</v>
      </c>
      <c r="I2085" s="93">
        <v>0</v>
      </c>
      <c r="J2085" s="93">
        <v>0</v>
      </c>
    </row>
    <row r="2086" spans="1:10" s="78" customFormat="1">
      <c r="A2086" s="94" t="s">
        <v>15</v>
      </c>
      <c r="B2086" s="94" t="s">
        <v>12</v>
      </c>
      <c r="C2086" s="95">
        <v>0.73888888888888904</v>
      </c>
      <c r="D2086" s="96">
        <v>0</v>
      </c>
      <c r="E2086" s="96">
        <v>0</v>
      </c>
      <c r="F2086" s="96">
        <v>0</v>
      </c>
      <c r="G2086" s="96">
        <v>0</v>
      </c>
      <c r="H2086" s="96">
        <v>0</v>
      </c>
      <c r="I2086" s="96">
        <v>0</v>
      </c>
      <c r="J2086" s="96">
        <v>0</v>
      </c>
    </row>
    <row r="2087" spans="1:10">
      <c r="A2087" s="92" t="s">
        <v>15</v>
      </c>
      <c r="B2087" s="92" t="s">
        <v>12</v>
      </c>
      <c r="C2087" s="51">
        <v>0.73958333333333304</v>
      </c>
      <c r="D2087" s="93">
        <v>0</v>
      </c>
      <c r="E2087" s="93">
        <v>0</v>
      </c>
      <c r="F2087" s="93">
        <v>0</v>
      </c>
      <c r="G2087" s="93">
        <v>0</v>
      </c>
      <c r="H2087" s="93">
        <v>0</v>
      </c>
      <c r="I2087" s="93">
        <v>0</v>
      </c>
      <c r="J2087" s="93">
        <v>0</v>
      </c>
    </row>
    <row r="2088" spans="1:10">
      <c r="A2088" s="92" t="s">
        <v>15</v>
      </c>
      <c r="B2088" s="92" t="s">
        <v>12</v>
      </c>
      <c r="C2088" s="51">
        <v>0.74027777777777803</v>
      </c>
      <c r="D2088" s="93">
        <v>0</v>
      </c>
      <c r="E2088" s="93">
        <v>0</v>
      </c>
      <c r="F2088" s="93">
        <v>0</v>
      </c>
      <c r="G2088" s="93">
        <v>0</v>
      </c>
      <c r="H2088" s="93">
        <v>0</v>
      </c>
      <c r="I2088" s="93">
        <v>0</v>
      </c>
      <c r="J2088" s="93">
        <v>0</v>
      </c>
    </row>
    <row r="2089" spans="1:10">
      <c r="A2089" s="92" t="s">
        <v>15</v>
      </c>
      <c r="B2089" s="92" t="s">
        <v>12</v>
      </c>
      <c r="C2089" s="51">
        <v>0.74097222222222203</v>
      </c>
      <c r="D2089" s="93">
        <v>0</v>
      </c>
      <c r="E2089" s="93">
        <v>0</v>
      </c>
      <c r="F2089" s="93">
        <v>0</v>
      </c>
      <c r="G2089" s="93">
        <v>0</v>
      </c>
      <c r="H2089" s="93">
        <v>0</v>
      </c>
      <c r="I2089" s="93">
        <v>0</v>
      </c>
      <c r="J2089" s="93">
        <v>0</v>
      </c>
    </row>
    <row r="2090" spans="1:10">
      <c r="A2090" s="92" t="s">
        <v>15</v>
      </c>
      <c r="B2090" s="92" t="s">
        <v>12</v>
      </c>
      <c r="C2090" s="51">
        <v>0.74166666666666703</v>
      </c>
      <c r="D2090" s="93">
        <v>0</v>
      </c>
      <c r="E2090" s="93">
        <v>0</v>
      </c>
      <c r="F2090" s="93">
        <v>0</v>
      </c>
      <c r="G2090" s="93">
        <v>0</v>
      </c>
      <c r="H2090" s="93">
        <v>0</v>
      </c>
      <c r="I2090" s="93">
        <v>0</v>
      </c>
      <c r="J2090" s="93">
        <v>0</v>
      </c>
    </row>
    <row r="2091" spans="1:10">
      <c r="A2091" s="92" t="s">
        <v>15</v>
      </c>
      <c r="B2091" s="92" t="s">
        <v>12</v>
      </c>
      <c r="C2091" s="51">
        <v>0.74236111111111103</v>
      </c>
      <c r="D2091" s="93">
        <v>0</v>
      </c>
      <c r="E2091" s="93">
        <v>0</v>
      </c>
      <c r="F2091" s="93">
        <v>0</v>
      </c>
      <c r="G2091" s="93">
        <v>0</v>
      </c>
      <c r="H2091" s="93">
        <v>0</v>
      </c>
      <c r="I2091" s="93">
        <v>0</v>
      </c>
      <c r="J2091" s="93">
        <v>0</v>
      </c>
    </row>
    <row r="2092" spans="1:10">
      <c r="A2092" s="92" t="s">
        <v>15</v>
      </c>
      <c r="B2092" s="92" t="s">
        <v>12</v>
      </c>
      <c r="C2092" s="51">
        <v>0.74305555555555503</v>
      </c>
      <c r="D2092" s="93">
        <v>0</v>
      </c>
      <c r="E2092" s="93">
        <v>0</v>
      </c>
      <c r="F2092" s="93">
        <v>0</v>
      </c>
      <c r="G2092" s="93">
        <v>0</v>
      </c>
      <c r="H2092" s="93">
        <v>0</v>
      </c>
      <c r="I2092" s="93">
        <v>0</v>
      </c>
      <c r="J2092" s="93">
        <v>0</v>
      </c>
    </row>
    <row r="2093" spans="1:10">
      <c r="A2093" s="92" t="s">
        <v>15</v>
      </c>
      <c r="B2093" s="92" t="s">
        <v>12</v>
      </c>
      <c r="C2093" s="51">
        <v>0.74375000000000002</v>
      </c>
      <c r="D2093" s="93">
        <v>0</v>
      </c>
      <c r="E2093" s="93">
        <v>0</v>
      </c>
      <c r="F2093" s="93">
        <v>0</v>
      </c>
      <c r="G2093" s="93">
        <v>0</v>
      </c>
      <c r="H2093" s="93">
        <v>0</v>
      </c>
      <c r="I2093" s="93">
        <v>0</v>
      </c>
      <c r="J2093" s="93">
        <v>0</v>
      </c>
    </row>
    <row r="2094" spans="1:10">
      <c r="A2094" s="92" t="s">
        <v>15</v>
      </c>
      <c r="B2094" s="92" t="s">
        <v>12</v>
      </c>
      <c r="C2094" s="51">
        <v>0.74444444444444402</v>
      </c>
      <c r="D2094" s="93">
        <v>0</v>
      </c>
      <c r="E2094" s="93">
        <v>0</v>
      </c>
      <c r="F2094" s="93">
        <v>0</v>
      </c>
      <c r="G2094" s="93">
        <v>0</v>
      </c>
      <c r="H2094" s="93">
        <v>0</v>
      </c>
      <c r="I2094" s="93">
        <v>0</v>
      </c>
      <c r="J2094" s="93">
        <v>0</v>
      </c>
    </row>
    <row r="2095" spans="1:10">
      <c r="A2095" s="92" t="s">
        <v>15</v>
      </c>
      <c r="B2095" s="92" t="s">
        <v>12</v>
      </c>
      <c r="C2095" s="51">
        <v>0.74513888888888902</v>
      </c>
      <c r="D2095" s="93">
        <v>0</v>
      </c>
      <c r="E2095" s="93">
        <v>0</v>
      </c>
      <c r="F2095" s="93">
        <v>0</v>
      </c>
      <c r="G2095" s="93">
        <v>0</v>
      </c>
      <c r="H2095" s="93">
        <v>0</v>
      </c>
      <c r="I2095" s="93">
        <v>0</v>
      </c>
      <c r="J2095" s="93">
        <v>0</v>
      </c>
    </row>
    <row r="2096" spans="1:10">
      <c r="A2096" s="92" t="s">
        <v>15</v>
      </c>
      <c r="B2096" s="92" t="s">
        <v>12</v>
      </c>
      <c r="C2096" s="51">
        <v>0.74583333333333302</v>
      </c>
      <c r="D2096" s="93">
        <v>0</v>
      </c>
      <c r="E2096" s="93">
        <v>0</v>
      </c>
      <c r="F2096" s="93">
        <v>0</v>
      </c>
      <c r="G2096" s="93">
        <v>0</v>
      </c>
      <c r="H2096" s="93">
        <v>0</v>
      </c>
      <c r="I2096" s="93">
        <v>0</v>
      </c>
      <c r="J2096" s="93">
        <v>0</v>
      </c>
    </row>
    <row r="2097" spans="1:10">
      <c r="A2097" s="92" t="s">
        <v>15</v>
      </c>
      <c r="B2097" s="92" t="s">
        <v>12</v>
      </c>
      <c r="C2097" s="51">
        <v>0.74652777777777801</v>
      </c>
      <c r="D2097" s="93">
        <v>0</v>
      </c>
      <c r="E2097" s="93">
        <v>0</v>
      </c>
      <c r="F2097" s="93">
        <v>0</v>
      </c>
      <c r="G2097" s="93">
        <v>0</v>
      </c>
      <c r="H2097" s="93">
        <v>0</v>
      </c>
      <c r="I2097" s="93">
        <v>0</v>
      </c>
      <c r="J2097" s="93">
        <v>0</v>
      </c>
    </row>
    <row r="2098" spans="1:10">
      <c r="A2098" s="92" t="s">
        <v>15</v>
      </c>
      <c r="B2098" s="92" t="s">
        <v>12</v>
      </c>
      <c r="C2098" s="51">
        <v>0.74722222222222201</v>
      </c>
      <c r="D2098" s="93">
        <v>0</v>
      </c>
      <c r="E2098" s="93">
        <v>0</v>
      </c>
      <c r="F2098" s="93">
        <v>0</v>
      </c>
      <c r="G2098" s="93">
        <v>0</v>
      </c>
      <c r="H2098" s="93">
        <v>0</v>
      </c>
      <c r="I2098" s="93">
        <v>0</v>
      </c>
      <c r="J2098" s="93">
        <v>0</v>
      </c>
    </row>
    <row r="2099" spans="1:10">
      <c r="A2099" s="92" t="s">
        <v>15</v>
      </c>
      <c r="B2099" s="92" t="s">
        <v>12</v>
      </c>
      <c r="C2099" s="51">
        <v>0.74791666666666701</v>
      </c>
      <c r="D2099" s="93">
        <v>0</v>
      </c>
      <c r="E2099" s="93">
        <v>0</v>
      </c>
      <c r="F2099" s="93">
        <v>0</v>
      </c>
      <c r="G2099" s="93">
        <v>0</v>
      </c>
      <c r="H2099" s="93">
        <v>0</v>
      </c>
      <c r="I2099" s="93">
        <v>0</v>
      </c>
      <c r="J2099" s="93">
        <v>0</v>
      </c>
    </row>
    <row r="2100" spans="1:10">
      <c r="A2100" s="92" t="s">
        <v>15</v>
      </c>
      <c r="B2100" s="92" t="s">
        <v>12</v>
      </c>
      <c r="C2100" s="51">
        <v>0.74861111111111101</v>
      </c>
      <c r="D2100" s="93">
        <v>0</v>
      </c>
      <c r="E2100" s="93">
        <v>0</v>
      </c>
      <c r="F2100" s="93">
        <v>0</v>
      </c>
      <c r="G2100" s="93">
        <v>0</v>
      </c>
      <c r="H2100" s="93">
        <v>0</v>
      </c>
      <c r="I2100" s="93">
        <v>0</v>
      </c>
      <c r="J2100" s="93">
        <v>0</v>
      </c>
    </row>
    <row r="2101" spans="1:10" s="78" customFormat="1">
      <c r="A2101" s="94" t="s">
        <v>15</v>
      </c>
      <c r="B2101" s="94" t="s">
        <v>12</v>
      </c>
      <c r="C2101" s="95">
        <v>0.749305555555555</v>
      </c>
      <c r="D2101" s="96">
        <v>0</v>
      </c>
      <c r="E2101" s="96">
        <v>0</v>
      </c>
      <c r="F2101" s="96">
        <v>0</v>
      </c>
      <c r="G2101" s="96">
        <v>0</v>
      </c>
      <c r="H2101" s="96">
        <v>0</v>
      </c>
      <c r="I2101" s="96">
        <v>0</v>
      </c>
      <c r="J2101" s="96">
        <v>0</v>
      </c>
    </row>
    <row r="2102" spans="1:10">
      <c r="A2102" s="92" t="s">
        <v>15</v>
      </c>
      <c r="B2102" s="92" t="s">
        <v>12</v>
      </c>
      <c r="C2102" s="51">
        <v>0.75</v>
      </c>
      <c r="D2102" s="93">
        <v>0</v>
      </c>
      <c r="E2102" s="93">
        <v>0</v>
      </c>
      <c r="F2102" s="93">
        <v>0</v>
      </c>
      <c r="G2102" s="93">
        <v>0</v>
      </c>
      <c r="H2102" s="93">
        <v>0</v>
      </c>
      <c r="I2102" s="93">
        <v>0</v>
      </c>
      <c r="J2102" s="93">
        <v>0</v>
      </c>
    </row>
    <row r="2103" spans="1:10">
      <c r="A2103" s="92" t="s">
        <v>15</v>
      </c>
      <c r="B2103" s="92" t="s">
        <v>12</v>
      </c>
      <c r="C2103" s="51">
        <v>0.750694444444444</v>
      </c>
      <c r="D2103" s="93">
        <v>0</v>
      </c>
      <c r="E2103" s="93">
        <v>0</v>
      </c>
      <c r="F2103" s="93">
        <v>0</v>
      </c>
      <c r="G2103" s="93">
        <v>0</v>
      </c>
      <c r="H2103" s="93">
        <v>0</v>
      </c>
      <c r="I2103" s="93">
        <v>0</v>
      </c>
      <c r="J2103" s="93">
        <v>0</v>
      </c>
    </row>
    <row r="2104" spans="1:10">
      <c r="A2104" s="92" t="s">
        <v>15</v>
      </c>
      <c r="B2104" s="92" t="s">
        <v>12</v>
      </c>
      <c r="C2104" s="51">
        <v>0.75138888888888899</v>
      </c>
      <c r="D2104" s="93">
        <v>0</v>
      </c>
      <c r="E2104" s="93">
        <v>0</v>
      </c>
      <c r="F2104" s="93">
        <v>0</v>
      </c>
      <c r="G2104" s="93">
        <v>0</v>
      </c>
      <c r="H2104" s="93">
        <v>0</v>
      </c>
      <c r="I2104" s="93">
        <v>0</v>
      </c>
      <c r="J2104" s="93">
        <v>0</v>
      </c>
    </row>
    <row r="2105" spans="1:10">
      <c r="A2105" s="92" t="s">
        <v>15</v>
      </c>
      <c r="B2105" s="92" t="s">
        <v>12</v>
      </c>
      <c r="C2105" s="51">
        <v>0.75208333333333299</v>
      </c>
      <c r="D2105" s="93">
        <v>0</v>
      </c>
      <c r="E2105" s="93">
        <v>0</v>
      </c>
      <c r="F2105" s="93">
        <v>0</v>
      </c>
      <c r="G2105" s="93">
        <v>0</v>
      </c>
      <c r="H2105" s="93">
        <v>0</v>
      </c>
      <c r="I2105" s="93">
        <v>0</v>
      </c>
      <c r="J2105" s="93">
        <v>0</v>
      </c>
    </row>
    <row r="2106" spans="1:10">
      <c r="A2106" s="92" t="s">
        <v>15</v>
      </c>
      <c r="B2106" s="92" t="s">
        <v>12</v>
      </c>
      <c r="C2106" s="51">
        <v>0.75277777777777799</v>
      </c>
      <c r="D2106" s="93">
        <v>0</v>
      </c>
      <c r="E2106" s="93">
        <v>0</v>
      </c>
      <c r="F2106" s="93">
        <v>0</v>
      </c>
      <c r="G2106" s="93">
        <v>0</v>
      </c>
      <c r="H2106" s="93">
        <v>0</v>
      </c>
      <c r="I2106" s="93">
        <v>0</v>
      </c>
      <c r="J2106" s="93">
        <v>0</v>
      </c>
    </row>
    <row r="2107" spans="1:10">
      <c r="A2107" s="92" t="s">
        <v>15</v>
      </c>
      <c r="B2107" s="92" t="s">
        <v>12</v>
      </c>
      <c r="C2107" s="51">
        <v>0.75347222222222199</v>
      </c>
      <c r="D2107" s="93">
        <v>0</v>
      </c>
      <c r="E2107" s="93">
        <v>0</v>
      </c>
      <c r="F2107" s="93">
        <v>0</v>
      </c>
      <c r="G2107" s="93">
        <v>0</v>
      </c>
      <c r="H2107" s="93">
        <v>0</v>
      </c>
      <c r="I2107" s="93">
        <v>0</v>
      </c>
      <c r="J2107" s="93">
        <v>0</v>
      </c>
    </row>
    <row r="2108" spans="1:10">
      <c r="A2108" s="92" t="s">
        <v>15</v>
      </c>
      <c r="B2108" s="92" t="s">
        <v>12</v>
      </c>
      <c r="C2108" s="51">
        <v>0.75416666666666698</v>
      </c>
      <c r="D2108" s="93">
        <v>0</v>
      </c>
      <c r="E2108" s="93">
        <v>0</v>
      </c>
      <c r="F2108" s="93">
        <v>0</v>
      </c>
      <c r="G2108" s="93">
        <v>0</v>
      </c>
      <c r="H2108" s="93">
        <v>0</v>
      </c>
      <c r="I2108" s="93">
        <v>0</v>
      </c>
      <c r="J2108" s="93">
        <v>0</v>
      </c>
    </row>
    <row r="2109" spans="1:10">
      <c r="A2109" s="92" t="s">
        <v>15</v>
      </c>
      <c r="B2109" s="92" t="s">
        <v>12</v>
      </c>
      <c r="C2109" s="51">
        <v>0.75486111111111098</v>
      </c>
      <c r="D2109" s="93">
        <v>0</v>
      </c>
      <c r="E2109" s="93">
        <v>0</v>
      </c>
      <c r="F2109" s="93">
        <v>0</v>
      </c>
      <c r="G2109" s="93">
        <v>0</v>
      </c>
      <c r="H2109" s="93">
        <v>0</v>
      </c>
      <c r="I2109" s="93">
        <v>0</v>
      </c>
      <c r="J2109" s="93">
        <v>0</v>
      </c>
    </row>
    <row r="2110" spans="1:10">
      <c r="A2110" s="92" t="s">
        <v>15</v>
      </c>
      <c r="B2110" s="92" t="s">
        <v>12</v>
      </c>
      <c r="C2110" s="51">
        <v>0.75555555555555498</v>
      </c>
      <c r="D2110" s="93">
        <v>0</v>
      </c>
      <c r="E2110" s="93">
        <v>0</v>
      </c>
      <c r="F2110" s="93">
        <v>0</v>
      </c>
      <c r="G2110" s="93">
        <v>0</v>
      </c>
      <c r="H2110" s="93">
        <v>0</v>
      </c>
      <c r="I2110" s="93">
        <v>0</v>
      </c>
      <c r="J2110" s="93">
        <v>0</v>
      </c>
    </row>
    <row r="2111" spans="1:10">
      <c r="A2111" s="92" t="s">
        <v>15</v>
      </c>
      <c r="B2111" s="92" t="s">
        <v>12</v>
      </c>
      <c r="C2111" s="51">
        <v>0.75624999999999998</v>
      </c>
      <c r="D2111" s="93">
        <v>0</v>
      </c>
      <c r="E2111" s="93">
        <v>0</v>
      </c>
      <c r="F2111" s="93">
        <v>0</v>
      </c>
      <c r="G2111" s="93">
        <v>0</v>
      </c>
      <c r="H2111" s="93">
        <v>0</v>
      </c>
      <c r="I2111" s="93">
        <v>0</v>
      </c>
      <c r="J2111" s="93">
        <v>0</v>
      </c>
    </row>
    <row r="2112" spans="1:10">
      <c r="A2112" s="92" t="s">
        <v>15</v>
      </c>
      <c r="B2112" s="92" t="s">
        <v>12</v>
      </c>
      <c r="C2112" s="51">
        <v>0.75694444444444398</v>
      </c>
      <c r="D2112" s="93">
        <v>0</v>
      </c>
      <c r="E2112" s="93">
        <v>0</v>
      </c>
      <c r="F2112" s="93">
        <v>0</v>
      </c>
      <c r="G2112" s="93">
        <v>0</v>
      </c>
      <c r="H2112" s="93">
        <v>0</v>
      </c>
      <c r="I2112" s="93">
        <v>0</v>
      </c>
      <c r="J2112" s="93">
        <v>0</v>
      </c>
    </row>
    <row r="2113" spans="1:10">
      <c r="A2113" s="92" t="s">
        <v>15</v>
      </c>
      <c r="B2113" s="92" t="s">
        <v>12</v>
      </c>
      <c r="C2113" s="51">
        <v>0.75763888888888897</v>
      </c>
      <c r="D2113" s="93">
        <v>0</v>
      </c>
      <c r="E2113" s="93">
        <v>0</v>
      </c>
      <c r="F2113" s="93">
        <v>0</v>
      </c>
      <c r="G2113" s="93">
        <v>0</v>
      </c>
      <c r="H2113" s="93">
        <v>0</v>
      </c>
      <c r="I2113" s="93">
        <v>0</v>
      </c>
      <c r="J2113" s="93">
        <v>0</v>
      </c>
    </row>
    <row r="2114" spans="1:10">
      <c r="A2114" s="92" t="s">
        <v>15</v>
      </c>
      <c r="B2114" s="92" t="s">
        <v>12</v>
      </c>
      <c r="C2114" s="51">
        <v>0.75833333333333297</v>
      </c>
      <c r="D2114" s="93">
        <v>0</v>
      </c>
      <c r="E2114" s="93">
        <v>0</v>
      </c>
      <c r="F2114" s="93">
        <v>0</v>
      </c>
      <c r="G2114" s="93">
        <v>0</v>
      </c>
      <c r="H2114" s="93">
        <v>0</v>
      </c>
      <c r="I2114" s="93">
        <v>0</v>
      </c>
      <c r="J2114" s="93">
        <v>0</v>
      </c>
    </row>
    <row r="2115" spans="1:10">
      <c r="A2115" s="92" t="s">
        <v>15</v>
      </c>
      <c r="B2115" s="92" t="s">
        <v>12</v>
      </c>
      <c r="C2115" s="51">
        <v>0.75902777777777797</v>
      </c>
      <c r="D2115" s="93">
        <v>0</v>
      </c>
      <c r="E2115" s="93">
        <v>0</v>
      </c>
      <c r="F2115" s="93">
        <v>0</v>
      </c>
      <c r="G2115" s="93">
        <v>0</v>
      </c>
      <c r="H2115" s="93">
        <v>0</v>
      </c>
      <c r="I2115" s="93">
        <v>0</v>
      </c>
      <c r="J2115" s="93">
        <v>0</v>
      </c>
    </row>
    <row r="2116" spans="1:10" s="78" customFormat="1">
      <c r="A2116" s="94" t="s">
        <v>15</v>
      </c>
      <c r="B2116" s="94" t="s">
        <v>12</v>
      </c>
      <c r="C2116" s="95">
        <v>0.75972222222222197</v>
      </c>
      <c r="D2116" s="96">
        <v>0</v>
      </c>
      <c r="E2116" s="96">
        <v>0</v>
      </c>
      <c r="F2116" s="96">
        <v>0</v>
      </c>
      <c r="G2116" s="96">
        <v>0</v>
      </c>
      <c r="H2116" s="96">
        <v>0</v>
      </c>
      <c r="I2116" s="96">
        <v>0</v>
      </c>
      <c r="J2116" s="96">
        <v>0</v>
      </c>
    </row>
    <row r="2117" spans="1:10">
      <c r="A2117" s="92" t="s">
        <v>15</v>
      </c>
      <c r="B2117" s="92" t="s">
        <v>12</v>
      </c>
      <c r="C2117" s="51">
        <v>0.76041666666666696</v>
      </c>
      <c r="D2117" s="93">
        <v>0</v>
      </c>
      <c r="E2117" s="93">
        <v>0</v>
      </c>
      <c r="F2117" s="93">
        <v>0</v>
      </c>
      <c r="G2117" s="93">
        <v>0</v>
      </c>
      <c r="H2117" s="93">
        <v>0</v>
      </c>
      <c r="I2117" s="93">
        <v>0</v>
      </c>
      <c r="J2117" s="93">
        <v>0</v>
      </c>
    </row>
    <row r="2118" spans="1:10">
      <c r="A2118" s="92" t="s">
        <v>15</v>
      </c>
      <c r="B2118" s="92" t="s">
        <v>12</v>
      </c>
      <c r="C2118" s="51">
        <v>0.76111111111111096</v>
      </c>
      <c r="D2118" s="93">
        <v>0</v>
      </c>
      <c r="E2118" s="93">
        <v>0</v>
      </c>
      <c r="F2118" s="93">
        <v>0</v>
      </c>
      <c r="G2118" s="93">
        <v>0</v>
      </c>
      <c r="H2118" s="93">
        <v>0</v>
      </c>
      <c r="I2118" s="93">
        <v>0</v>
      </c>
      <c r="J2118" s="93">
        <v>0</v>
      </c>
    </row>
    <row r="2119" spans="1:10">
      <c r="A2119" s="92" t="s">
        <v>15</v>
      </c>
      <c r="B2119" s="92" t="s">
        <v>12</v>
      </c>
      <c r="C2119" s="51">
        <v>0.76180555555555496</v>
      </c>
      <c r="D2119" s="93">
        <v>0</v>
      </c>
      <c r="E2119" s="93">
        <v>0</v>
      </c>
      <c r="F2119" s="93">
        <v>0</v>
      </c>
      <c r="G2119" s="93">
        <v>0</v>
      </c>
      <c r="H2119" s="93">
        <v>0</v>
      </c>
      <c r="I2119" s="93">
        <v>0</v>
      </c>
      <c r="J2119" s="93">
        <v>0</v>
      </c>
    </row>
    <row r="2120" spans="1:10">
      <c r="A2120" s="92" t="s">
        <v>15</v>
      </c>
      <c r="B2120" s="92" t="s">
        <v>12</v>
      </c>
      <c r="C2120" s="51">
        <v>0.76249999999999996</v>
      </c>
      <c r="D2120" s="93">
        <v>0</v>
      </c>
      <c r="E2120" s="93">
        <v>0</v>
      </c>
      <c r="F2120" s="93">
        <v>0</v>
      </c>
      <c r="G2120" s="93">
        <v>0</v>
      </c>
      <c r="H2120" s="93">
        <v>0</v>
      </c>
      <c r="I2120" s="93">
        <v>0</v>
      </c>
      <c r="J2120" s="93">
        <v>0</v>
      </c>
    </row>
    <row r="2121" spans="1:10">
      <c r="A2121" s="92" t="s">
        <v>15</v>
      </c>
      <c r="B2121" s="92" t="s">
        <v>12</v>
      </c>
      <c r="C2121" s="51">
        <v>0.76319444444444395</v>
      </c>
      <c r="D2121" s="93">
        <v>0</v>
      </c>
      <c r="E2121" s="93">
        <v>0</v>
      </c>
      <c r="F2121" s="93">
        <v>0</v>
      </c>
      <c r="G2121" s="93">
        <v>0</v>
      </c>
      <c r="H2121" s="93">
        <v>0</v>
      </c>
      <c r="I2121" s="93">
        <v>0</v>
      </c>
      <c r="J2121" s="93">
        <v>0</v>
      </c>
    </row>
    <row r="2122" spans="1:10">
      <c r="A2122" s="92" t="s">
        <v>15</v>
      </c>
      <c r="B2122" s="92" t="s">
        <v>12</v>
      </c>
      <c r="C2122" s="51">
        <v>0.76388888888888895</v>
      </c>
      <c r="D2122" s="93">
        <v>0</v>
      </c>
      <c r="E2122" s="93">
        <v>0</v>
      </c>
      <c r="F2122" s="93">
        <v>0</v>
      </c>
      <c r="G2122" s="93">
        <v>0</v>
      </c>
      <c r="H2122" s="93">
        <v>0</v>
      </c>
      <c r="I2122" s="93">
        <v>0</v>
      </c>
      <c r="J2122" s="93">
        <v>0</v>
      </c>
    </row>
    <row r="2123" spans="1:10">
      <c r="A2123" s="92" t="s">
        <v>15</v>
      </c>
      <c r="B2123" s="92" t="s">
        <v>12</v>
      </c>
      <c r="C2123" s="51">
        <v>0.76458333333333295</v>
      </c>
      <c r="D2123" s="93">
        <v>0</v>
      </c>
      <c r="E2123" s="93">
        <v>0</v>
      </c>
      <c r="F2123" s="93">
        <v>0</v>
      </c>
      <c r="G2123" s="93">
        <v>0</v>
      </c>
      <c r="H2123" s="93">
        <v>0</v>
      </c>
      <c r="I2123" s="93">
        <v>0</v>
      </c>
      <c r="J2123" s="93">
        <v>0</v>
      </c>
    </row>
    <row r="2124" spans="1:10">
      <c r="A2124" s="92" t="s">
        <v>15</v>
      </c>
      <c r="B2124" s="92" t="s">
        <v>12</v>
      </c>
      <c r="C2124" s="51">
        <v>0.76527777777777795</v>
      </c>
      <c r="D2124" s="93">
        <v>0</v>
      </c>
      <c r="E2124" s="93">
        <v>0</v>
      </c>
      <c r="F2124" s="93">
        <v>0</v>
      </c>
      <c r="G2124" s="93">
        <v>0</v>
      </c>
      <c r="H2124" s="93">
        <v>0</v>
      </c>
      <c r="I2124" s="93">
        <v>0</v>
      </c>
      <c r="J2124" s="93">
        <v>0</v>
      </c>
    </row>
    <row r="2125" spans="1:10">
      <c r="A2125" s="92" t="s">
        <v>15</v>
      </c>
      <c r="B2125" s="92" t="s">
        <v>12</v>
      </c>
      <c r="C2125" s="51">
        <v>0.76597222222222205</v>
      </c>
      <c r="D2125" s="93">
        <v>0</v>
      </c>
      <c r="E2125" s="93">
        <v>0</v>
      </c>
      <c r="F2125" s="93">
        <v>0</v>
      </c>
      <c r="G2125" s="93">
        <v>0</v>
      </c>
      <c r="H2125" s="93">
        <v>0</v>
      </c>
      <c r="I2125" s="93">
        <v>0</v>
      </c>
      <c r="J2125" s="93">
        <v>0</v>
      </c>
    </row>
    <row r="2126" spans="1:10">
      <c r="A2126" s="92" t="s">
        <v>15</v>
      </c>
      <c r="B2126" s="92" t="s">
        <v>12</v>
      </c>
      <c r="C2126" s="51">
        <v>0.76666666666666605</v>
      </c>
      <c r="D2126" s="93">
        <v>0</v>
      </c>
      <c r="E2126" s="93">
        <v>0</v>
      </c>
      <c r="F2126" s="93">
        <v>0</v>
      </c>
      <c r="G2126" s="93">
        <v>0</v>
      </c>
      <c r="H2126" s="93">
        <v>0</v>
      </c>
      <c r="I2126" s="93">
        <v>0</v>
      </c>
      <c r="J2126" s="93">
        <v>0</v>
      </c>
    </row>
    <row r="2127" spans="1:10">
      <c r="A2127" s="92" t="s">
        <v>15</v>
      </c>
      <c r="B2127" s="92" t="s">
        <v>12</v>
      </c>
      <c r="C2127" s="51">
        <v>0.76736111111111105</v>
      </c>
      <c r="D2127" s="93">
        <v>0</v>
      </c>
      <c r="E2127" s="93">
        <v>0</v>
      </c>
      <c r="F2127" s="93">
        <v>0</v>
      </c>
      <c r="G2127" s="93">
        <v>0</v>
      </c>
      <c r="H2127" s="93">
        <v>0</v>
      </c>
      <c r="I2127" s="93">
        <v>0</v>
      </c>
      <c r="J2127" s="93">
        <v>0</v>
      </c>
    </row>
    <row r="2128" spans="1:10">
      <c r="A2128" s="92" t="s">
        <v>15</v>
      </c>
      <c r="B2128" s="92" t="s">
        <v>12</v>
      </c>
      <c r="C2128" s="51">
        <v>0.76805555555555505</v>
      </c>
      <c r="D2128" s="93">
        <v>0</v>
      </c>
      <c r="E2128" s="93">
        <v>0</v>
      </c>
      <c r="F2128" s="93">
        <v>0</v>
      </c>
      <c r="G2128" s="93">
        <v>0</v>
      </c>
      <c r="H2128" s="93">
        <v>0</v>
      </c>
      <c r="I2128" s="93">
        <v>0</v>
      </c>
      <c r="J2128" s="93">
        <v>0</v>
      </c>
    </row>
    <row r="2129" spans="1:10">
      <c r="A2129" s="92" t="s">
        <v>15</v>
      </c>
      <c r="B2129" s="92" t="s">
        <v>12</v>
      </c>
      <c r="C2129" s="51">
        <v>0.76875000000000004</v>
      </c>
      <c r="D2129" s="93">
        <v>0</v>
      </c>
      <c r="E2129" s="93">
        <v>0</v>
      </c>
      <c r="F2129" s="93">
        <v>0</v>
      </c>
      <c r="G2129" s="93">
        <v>0</v>
      </c>
      <c r="H2129" s="93">
        <v>0</v>
      </c>
      <c r="I2129" s="93">
        <v>0</v>
      </c>
      <c r="J2129" s="93">
        <v>0</v>
      </c>
    </row>
    <row r="2130" spans="1:10">
      <c r="A2130" s="92" t="s">
        <v>15</v>
      </c>
      <c r="B2130" s="92" t="s">
        <v>12</v>
      </c>
      <c r="C2130" s="51">
        <v>0.76944444444444404</v>
      </c>
      <c r="D2130" s="93">
        <v>0</v>
      </c>
      <c r="E2130" s="93">
        <v>0</v>
      </c>
      <c r="F2130" s="93">
        <v>0</v>
      </c>
      <c r="G2130" s="93">
        <v>0</v>
      </c>
      <c r="H2130" s="93">
        <v>0</v>
      </c>
      <c r="I2130" s="93">
        <v>0</v>
      </c>
      <c r="J2130" s="93">
        <v>0</v>
      </c>
    </row>
    <row r="2131" spans="1:10" s="78" customFormat="1">
      <c r="A2131" s="94" t="s">
        <v>15</v>
      </c>
      <c r="B2131" s="94" t="s">
        <v>12</v>
      </c>
      <c r="C2131" s="95">
        <v>0.77013888888888904</v>
      </c>
      <c r="D2131" s="96">
        <v>0</v>
      </c>
      <c r="E2131" s="96">
        <v>0</v>
      </c>
      <c r="F2131" s="96">
        <v>0</v>
      </c>
      <c r="G2131" s="96">
        <v>0</v>
      </c>
      <c r="H2131" s="96">
        <v>0</v>
      </c>
      <c r="I2131" s="96">
        <v>0</v>
      </c>
      <c r="J2131" s="96">
        <v>0</v>
      </c>
    </row>
    <row r="2132" spans="1:10">
      <c r="A2132" s="92" t="s">
        <v>15</v>
      </c>
      <c r="B2132" s="92" t="s">
        <v>12</v>
      </c>
      <c r="C2132" s="51">
        <v>0.77083333333333304</v>
      </c>
      <c r="D2132" s="93">
        <v>0</v>
      </c>
      <c r="E2132" s="93">
        <v>0</v>
      </c>
      <c r="F2132" s="93">
        <v>0</v>
      </c>
      <c r="G2132" s="93">
        <v>0</v>
      </c>
      <c r="H2132" s="93">
        <v>0</v>
      </c>
      <c r="I2132" s="93">
        <v>0</v>
      </c>
      <c r="J2132" s="93">
        <v>0</v>
      </c>
    </row>
    <row r="2133" spans="1:10">
      <c r="A2133" s="92" t="s">
        <v>15</v>
      </c>
      <c r="B2133" s="92" t="s">
        <v>12</v>
      </c>
      <c r="C2133" s="51">
        <v>0.77152777777777803</v>
      </c>
      <c r="D2133" s="93">
        <v>0</v>
      </c>
      <c r="E2133" s="93">
        <v>0</v>
      </c>
      <c r="F2133" s="93">
        <v>0</v>
      </c>
      <c r="G2133" s="93">
        <v>0</v>
      </c>
      <c r="H2133" s="93">
        <v>0</v>
      </c>
      <c r="I2133" s="93">
        <v>0</v>
      </c>
      <c r="J2133" s="93">
        <v>0</v>
      </c>
    </row>
    <row r="2134" spans="1:10">
      <c r="A2134" s="92" t="s">
        <v>15</v>
      </c>
      <c r="B2134" s="92" t="s">
        <v>12</v>
      </c>
      <c r="C2134" s="51">
        <v>0.77222222222222203</v>
      </c>
      <c r="D2134" s="93">
        <v>0</v>
      </c>
      <c r="E2134" s="93">
        <v>0</v>
      </c>
      <c r="F2134" s="93">
        <v>0</v>
      </c>
      <c r="G2134" s="93">
        <v>0</v>
      </c>
      <c r="H2134" s="93">
        <v>0</v>
      </c>
      <c r="I2134" s="93">
        <v>0</v>
      </c>
      <c r="J2134" s="93">
        <v>0</v>
      </c>
    </row>
    <row r="2135" spans="1:10">
      <c r="A2135" s="92" t="s">
        <v>15</v>
      </c>
      <c r="B2135" s="92" t="s">
        <v>12</v>
      </c>
      <c r="C2135" s="51">
        <v>0.77291666666666603</v>
      </c>
      <c r="D2135" s="93">
        <v>0</v>
      </c>
      <c r="E2135" s="93">
        <v>0</v>
      </c>
      <c r="F2135" s="93">
        <v>0</v>
      </c>
      <c r="G2135" s="93">
        <v>0</v>
      </c>
      <c r="H2135" s="93">
        <v>0</v>
      </c>
      <c r="I2135" s="93">
        <v>0</v>
      </c>
      <c r="J2135" s="93">
        <v>0</v>
      </c>
    </row>
    <row r="2136" spans="1:10">
      <c r="A2136" s="92" t="s">
        <v>15</v>
      </c>
      <c r="B2136" s="92" t="s">
        <v>12</v>
      </c>
      <c r="C2136" s="51">
        <v>0.77361111111111103</v>
      </c>
      <c r="D2136" s="93">
        <v>0</v>
      </c>
      <c r="E2136" s="93">
        <v>0</v>
      </c>
      <c r="F2136" s="93">
        <v>0</v>
      </c>
      <c r="G2136" s="93">
        <v>0</v>
      </c>
      <c r="H2136" s="93">
        <v>0</v>
      </c>
      <c r="I2136" s="93">
        <v>0</v>
      </c>
      <c r="J2136" s="93">
        <v>0</v>
      </c>
    </row>
    <row r="2137" spans="1:10">
      <c r="A2137" s="92" t="s">
        <v>15</v>
      </c>
      <c r="B2137" s="92" t="s">
        <v>12</v>
      </c>
      <c r="C2137" s="51">
        <v>0.77430555555555503</v>
      </c>
      <c r="D2137" s="93">
        <v>0</v>
      </c>
      <c r="E2137" s="93">
        <v>0</v>
      </c>
      <c r="F2137" s="93">
        <v>0</v>
      </c>
      <c r="G2137" s="93">
        <v>0</v>
      </c>
      <c r="H2137" s="93">
        <v>0</v>
      </c>
      <c r="I2137" s="93">
        <v>0</v>
      </c>
      <c r="J2137" s="93">
        <v>0</v>
      </c>
    </row>
    <row r="2138" spans="1:10">
      <c r="A2138" s="92" t="s">
        <v>15</v>
      </c>
      <c r="B2138" s="92" t="s">
        <v>12</v>
      </c>
      <c r="C2138" s="51">
        <v>0.77500000000000002</v>
      </c>
      <c r="D2138" s="93">
        <v>0</v>
      </c>
      <c r="E2138" s="93">
        <v>0</v>
      </c>
      <c r="F2138" s="93">
        <v>0</v>
      </c>
      <c r="G2138" s="93">
        <v>0</v>
      </c>
      <c r="H2138" s="93">
        <v>0</v>
      </c>
      <c r="I2138" s="93">
        <v>0</v>
      </c>
      <c r="J2138" s="93">
        <v>0</v>
      </c>
    </row>
    <row r="2139" spans="1:10">
      <c r="A2139" s="92" t="s">
        <v>15</v>
      </c>
      <c r="B2139" s="92" t="s">
        <v>12</v>
      </c>
      <c r="C2139" s="51">
        <v>0.77569444444444402</v>
      </c>
      <c r="D2139" s="93">
        <v>0</v>
      </c>
      <c r="E2139" s="93">
        <v>0</v>
      </c>
      <c r="F2139" s="93">
        <v>0</v>
      </c>
      <c r="G2139" s="93">
        <v>0</v>
      </c>
      <c r="H2139" s="93">
        <v>0</v>
      </c>
      <c r="I2139" s="93">
        <v>0</v>
      </c>
      <c r="J2139" s="93">
        <v>0</v>
      </c>
    </row>
    <row r="2140" spans="1:10">
      <c r="A2140" s="92" t="s">
        <v>15</v>
      </c>
      <c r="B2140" s="92" t="s">
        <v>12</v>
      </c>
      <c r="C2140" s="51">
        <v>0.77638888888888902</v>
      </c>
      <c r="D2140" s="93">
        <v>0</v>
      </c>
      <c r="E2140" s="93">
        <v>0</v>
      </c>
      <c r="F2140" s="93">
        <v>0</v>
      </c>
      <c r="G2140" s="93">
        <v>0</v>
      </c>
      <c r="H2140" s="93">
        <v>0</v>
      </c>
      <c r="I2140" s="93">
        <v>0</v>
      </c>
      <c r="J2140" s="93">
        <v>0</v>
      </c>
    </row>
    <row r="2141" spans="1:10">
      <c r="A2141" s="92" t="s">
        <v>15</v>
      </c>
      <c r="B2141" s="92" t="s">
        <v>12</v>
      </c>
      <c r="C2141" s="51">
        <v>0.77708333333333302</v>
      </c>
      <c r="D2141" s="93">
        <v>0</v>
      </c>
      <c r="E2141" s="93">
        <v>0</v>
      </c>
      <c r="F2141" s="93">
        <v>0</v>
      </c>
      <c r="G2141" s="93">
        <v>0</v>
      </c>
      <c r="H2141" s="93">
        <v>0</v>
      </c>
      <c r="I2141" s="93">
        <v>0</v>
      </c>
      <c r="J2141" s="93">
        <v>0</v>
      </c>
    </row>
    <row r="2142" spans="1:10">
      <c r="A2142" s="92" t="s">
        <v>15</v>
      </c>
      <c r="B2142" s="92" t="s">
        <v>12</v>
      </c>
      <c r="C2142" s="51">
        <v>0.77777777777777801</v>
      </c>
      <c r="D2142" s="93">
        <v>0</v>
      </c>
      <c r="E2142" s="93">
        <v>0</v>
      </c>
      <c r="F2142" s="93">
        <v>0</v>
      </c>
      <c r="G2142" s="93">
        <v>0</v>
      </c>
      <c r="H2142" s="93">
        <v>0</v>
      </c>
      <c r="I2142" s="93">
        <v>0</v>
      </c>
      <c r="J2142" s="93">
        <v>0</v>
      </c>
    </row>
    <row r="2143" spans="1:10">
      <c r="A2143" s="92" t="s">
        <v>15</v>
      </c>
      <c r="B2143" s="92" t="s">
        <v>12</v>
      </c>
      <c r="C2143" s="51">
        <v>0.77847222222222201</v>
      </c>
      <c r="D2143" s="93">
        <v>0</v>
      </c>
      <c r="E2143" s="93">
        <v>0</v>
      </c>
      <c r="F2143" s="93">
        <v>0</v>
      </c>
      <c r="G2143" s="93">
        <v>0</v>
      </c>
      <c r="H2143" s="93">
        <v>0</v>
      </c>
      <c r="I2143" s="93">
        <v>0</v>
      </c>
      <c r="J2143" s="93">
        <v>0</v>
      </c>
    </row>
    <row r="2144" spans="1:10">
      <c r="A2144" s="92" t="s">
        <v>15</v>
      </c>
      <c r="B2144" s="92" t="s">
        <v>12</v>
      </c>
      <c r="C2144" s="51">
        <v>0.77916666666666601</v>
      </c>
      <c r="D2144" s="93">
        <v>0</v>
      </c>
      <c r="E2144" s="93">
        <v>0</v>
      </c>
      <c r="F2144" s="93">
        <v>0</v>
      </c>
      <c r="G2144" s="93">
        <v>0</v>
      </c>
      <c r="H2144" s="93">
        <v>0</v>
      </c>
      <c r="I2144" s="93">
        <v>0</v>
      </c>
      <c r="J2144" s="93">
        <v>0</v>
      </c>
    </row>
    <row r="2145" spans="1:10">
      <c r="A2145" s="92" t="s">
        <v>15</v>
      </c>
      <c r="B2145" s="92" t="s">
        <v>12</v>
      </c>
      <c r="C2145" s="51">
        <v>0.77986111111111101</v>
      </c>
      <c r="D2145" s="93">
        <v>0</v>
      </c>
      <c r="E2145" s="93">
        <v>0</v>
      </c>
      <c r="F2145" s="93">
        <v>0</v>
      </c>
      <c r="G2145" s="93">
        <v>0</v>
      </c>
      <c r="H2145" s="93">
        <v>0</v>
      </c>
      <c r="I2145" s="93">
        <v>0</v>
      </c>
      <c r="J2145" s="93">
        <v>0</v>
      </c>
    </row>
    <row r="2146" spans="1:10" s="78" customFormat="1">
      <c r="A2146" s="94" t="s">
        <v>15</v>
      </c>
      <c r="B2146" s="94" t="s">
        <v>12</v>
      </c>
      <c r="C2146" s="95">
        <v>0.780555555555555</v>
      </c>
      <c r="D2146" s="96">
        <v>0</v>
      </c>
      <c r="E2146" s="96">
        <v>0</v>
      </c>
      <c r="F2146" s="96">
        <v>0</v>
      </c>
      <c r="G2146" s="96">
        <v>0</v>
      </c>
      <c r="H2146" s="96">
        <v>0</v>
      </c>
      <c r="I2146" s="96">
        <v>0</v>
      </c>
      <c r="J2146" s="96">
        <v>0</v>
      </c>
    </row>
    <row r="2147" spans="1:10">
      <c r="A2147" s="92" t="s">
        <v>15</v>
      </c>
      <c r="B2147" s="92" t="s">
        <v>12</v>
      </c>
      <c r="C2147" s="51">
        <v>0.78125</v>
      </c>
      <c r="D2147" s="93">
        <v>0</v>
      </c>
      <c r="E2147" s="93">
        <v>0</v>
      </c>
      <c r="F2147" s="93">
        <v>0</v>
      </c>
      <c r="G2147" s="93">
        <v>0</v>
      </c>
      <c r="H2147" s="93">
        <v>0</v>
      </c>
      <c r="I2147" s="93">
        <v>0</v>
      </c>
      <c r="J2147" s="93">
        <v>0</v>
      </c>
    </row>
    <row r="2148" spans="1:10">
      <c r="A2148" s="92" t="s">
        <v>15</v>
      </c>
      <c r="B2148" s="92" t="s">
        <v>12</v>
      </c>
      <c r="C2148" s="51">
        <v>0.781944444444444</v>
      </c>
      <c r="D2148" s="93">
        <v>0</v>
      </c>
      <c r="E2148" s="93">
        <v>0</v>
      </c>
      <c r="F2148" s="93">
        <v>0</v>
      </c>
      <c r="G2148" s="93">
        <v>0</v>
      </c>
      <c r="H2148" s="93">
        <v>0</v>
      </c>
      <c r="I2148" s="93">
        <v>0</v>
      </c>
      <c r="J2148" s="93">
        <v>0</v>
      </c>
    </row>
    <row r="2149" spans="1:10">
      <c r="A2149" s="92" t="s">
        <v>15</v>
      </c>
      <c r="B2149" s="92" t="s">
        <v>12</v>
      </c>
      <c r="C2149" s="51">
        <v>0.78263888888888899</v>
      </c>
      <c r="D2149" s="93">
        <v>0</v>
      </c>
      <c r="E2149" s="93">
        <v>0</v>
      </c>
      <c r="F2149" s="93">
        <v>0</v>
      </c>
      <c r="G2149" s="93">
        <v>0</v>
      </c>
      <c r="H2149" s="93">
        <v>0</v>
      </c>
      <c r="I2149" s="93">
        <v>0</v>
      </c>
      <c r="J2149" s="93">
        <v>0</v>
      </c>
    </row>
    <row r="2150" spans="1:10">
      <c r="A2150" s="92" t="s">
        <v>15</v>
      </c>
      <c r="B2150" s="92" t="s">
        <v>12</v>
      </c>
      <c r="C2150" s="51">
        <v>0.78333333333333299</v>
      </c>
      <c r="D2150" s="93">
        <v>0</v>
      </c>
      <c r="E2150" s="93">
        <v>0</v>
      </c>
      <c r="F2150" s="93">
        <v>0</v>
      </c>
      <c r="G2150" s="93">
        <v>0</v>
      </c>
      <c r="H2150" s="93">
        <v>0</v>
      </c>
      <c r="I2150" s="93">
        <v>0</v>
      </c>
      <c r="J2150" s="93">
        <v>0</v>
      </c>
    </row>
    <row r="2151" spans="1:10">
      <c r="A2151" s="92" t="s">
        <v>15</v>
      </c>
      <c r="B2151" s="92" t="s">
        <v>12</v>
      </c>
      <c r="C2151" s="51">
        <v>0.78402777777777799</v>
      </c>
      <c r="D2151" s="93">
        <v>0</v>
      </c>
      <c r="E2151" s="93">
        <v>0</v>
      </c>
      <c r="F2151" s="93">
        <v>0</v>
      </c>
      <c r="G2151" s="93">
        <v>0</v>
      </c>
      <c r="H2151" s="93">
        <v>0</v>
      </c>
      <c r="I2151" s="93">
        <v>0</v>
      </c>
      <c r="J2151" s="93">
        <v>0</v>
      </c>
    </row>
    <row r="2152" spans="1:10">
      <c r="A2152" s="92" t="s">
        <v>15</v>
      </c>
      <c r="B2152" s="92" t="s">
        <v>12</v>
      </c>
      <c r="C2152" s="51">
        <v>0.78472222222222199</v>
      </c>
      <c r="D2152" s="93">
        <v>0</v>
      </c>
      <c r="E2152" s="93">
        <v>0</v>
      </c>
      <c r="F2152" s="93">
        <v>0</v>
      </c>
      <c r="G2152" s="93">
        <v>0</v>
      </c>
      <c r="H2152" s="93">
        <v>0</v>
      </c>
      <c r="I2152" s="93">
        <v>0</v>
      </c>
      <c r="J2152" s="93">
        <v>0</v>
      </c>
    </row>
    <row r="2153" spans="1:10">
      <c r="A2153" s="92" t="s">
        <v>15</v>
      </c>
      <c r="B2153" s="92" t="s">
        <v>12</v>
      </c>
      <c r="C2153" s="51">
        <v>0.78541666666666599</v>
      </c>
      <c r="D2153" s="93">
        <v>0</v>
      </c>
      <c r="E2153" s="93">
        <v>0</v>
      </c>
      <c r="F2153" s="93">
        <v>0</v>
      </c>
      <c r="G2153" s="93">
        <v>0</v>
      </c>
      <c r="H2153" s="93">
        <v>0</v>
      </c>
      <c r="I2153" s="93">
        <v>0</v>
      </c>
      <c r="J2153" s="93">
        <v>0</v>
      </c>
    </row>
    <row r="2154" spans="1:10">
      <c r="A2154" s="92" t="s">
        <v>15</v>
      </c>
      <c r="B2154" s="92" t="s">
        <v>12</v>
      </c>
      <c r="C2154" s="51">
        <v>0.78611111111111098</v>
      </c>
      <c r="D2154" s="93">
        <v>0</v>
      </c>
      <c r="E2154" s="93">
        <v>0</v>
      </c>
      <c r="F2154" s="93">
        <v>0</v>
      </c>
      <c r="G2154" s="93">
        <v>0</v>
      </c>
      <c r="H2154" s="93">
        <v>0</v>
      </c>
      <c r="I2154" s="93">
        <v>0</v>
      </c>
      <c r="J2154" s="93">
        <v>0</v>
      </c>
    </row>
    <row r="2155" spans="1:10">
      <c r="A2155" s="92" t="s">
        <v>15</v>
      </c>
      <c r="B2155" s="92" t="s">
        <v>12</v>
      </c>
      <c r="C2155" s="51">
        <v>0.78680555555555498</v>
      </c>
      <c r="D2155" s="93">
        <v>0</v>
      </c>
      <c r="E2155" s="93">
        <v>0</v>
      </c>
      <c r="F2155" s="93">
        <v>0</v>
      </c>
      <c r="G2155" s="93">
        <v>0</v>
      </c>
      <c r="H2155" s="93">
        <v>0</v>
      </c>
      <c r="I2155" s="93">
        <v>0</v>
      </c>
      <c r="J2155" s="93">
        <v>0</v>
      </c>
    </row>
    <row r="2156" spans="1:10">
      <c r="A2156" s="92" t="s">
        <v>15</v>
      </c>
      <c r="B2156" s="92" t="s">
        <v>12</v>
      </c>
      <c r="C2156" s="51">
        <v>0.78749999999999998</v>
      </c>
      <c r="D2156" s="93">
        <v>0</v>
      </c>
      <c r="E2156" s="93">
        <v>0</v>
      </c>
      <c r="F2156" s="93">
        <v>0</v>
      </c>
      <c r="G2156" s="93">
        <v>0</v>
      </c>
      <c r="H2156" s="93">
        <v>0</v>
      </c>
      <c r="I2156" s="93">
        <v>0</v>
      </c>
      <c r="J2156" s="93">
        <v>0</v>
      </c>
    </row>
    <row r="2157" spans="1:10">
      <c r="A2157" s="92" t="s">
        <v>15</v>
      </c>
      <c r="B2157" s="92" t="s">
        <v>12</v>
      </c>
      <c r="C2157" s="51">
        <v>0.78819444444444398</v>
      </c>
      <c r="D2157" s="93">
        <v>0</v>
      </c>
      <c r="E2157" s="93">
        <v>0</v>
      </c>
      <c r="F2157" s="93">
        <v>0</v>
      </c>
      <c r="G2157" s="93">
        <v>0</v>
      </c>
      <c r="H2157" s="93">
        <v>0</v>
      </c>
      <c r="I2157" s="93">
        <v>0</v>
      </c>
      <c r="J2157" s="93">
        <v>0</v>
      </c>
    </row>
    <row r="2158" spans="1:10">
      <c r="A2158" s="92" t="s">
        <v>15</v>
      </c>
      <c r="B2158" s="92" t="s">
        <v>12</v>
      </c>
      <c r="C2158" s="51">
        <v>0.78888888888888897</v>
      </c>
      <c r="D2158" s="93">
        <v>0</v>
      </c>
      <c r="E2158" s="93">
        <v>0</v>
      </c>
      <c r="F2158" s="93">
        <v>0</v>
      </c>
      <c r="G2158" s="93">
        <v>0</v>
      </c>
      <c r="H2158" s="93">
        <v>0</v>
      </c>
      <c r="I2158" s="93">
        <v>0</v>
      </c>
      <c r="J2158" s="93">
        <v>0</v>
      </c>
    </row>
    <row r="2159" spans="1:10">
      <c r="A2159" s="92" t="s">
        <v>15</v>
      </c>
      <c r="B2159" s="92" t="s">
        <v>12</v>
      </c>
      <c r="C2159" s="51">
        <v>0.78958333333333297</v>
      </c>
      <c r="D2159" s="93">
        <v>0</v>
      </c>
      <c r="E2159" s="93">
        <v>0</v>
      </c>
      <c r="F2159" s="93">
        <v>0</v>
      </c>
      <c r="G2159" s="93">
        <v>0</v>
      </c>
      <c r="H2159" s="93">
        <v>0</v>
      </c>
      <c r="I2159" s="93">
        <v>0</v>
      </c>
      <c r="J2159" s="93">
        <v>0</v>
      </c>
    </row>
    <row r="2160" spans="1:10">
      <c r="A2160" s="92" t="s">
        <v>15</v>
      </c>
      <c r="B2160" s="92" t="s">
        <v>12</v>
      </c>
      <c r="C2160" s="51">
        <v>0.79027777777777797</v>
      </c>
      <c r="D2160" s="93">
        <v>0</v>
      </c>
      <c r="E2160" s="93">
        <v>0</v>
      </c>
      <c r="F2160" s="93">
        <v>0</v>
      </c>
      <c r="G2160" s="93">
        <v>0</v>
      </c>
      <c r="H2160" s="93">
        <v>0</v>
      </c>
      <c r="I2160" s="93">
        <v>0</v>
      </c>
      <c r="J2160" s="93">
        <v>0</v>
      </c>
    </row>
    <row r="2161" spans="1:10" s="28" customFormat="1" ht="17.5" thickBot="1">
      <c r="A2161" s="104" t="s">
        <v>15</v>
      </c>
      <c r="B2161" s="104" t="s">
        <v>12</v>
      </c>
      <c r="C2161" s="105">
        <v>0.79097222222222197</v>
      </c>
      <c r="D2161" s="106">
        <v>0</v>
      </c>
      <c r="E2161" s="106">
        <v>0</v>
      </c>
      <c r="F2161" s="106">
        <v>0</v>
      </c>
      <c r="G2161" s="106">
        <v>0</v>
      </c>
      <c r="H2161" s="106">
        <v>0</v>
      </c>
      <c r="I2161" s="106">
        <v>0</v>
      </c>
      <c r="J2161" s="106">
        <v>0</v>
      </c>
    </row>
    <row r="2162" spans="1:10">
      <c r="A2162" s="92" t="s">
        <v>15</v>
      </c>
      <c r="B2162" s="92" t="s">
        <v>13</v>
      </c>
      <c r="C2162" s="51">
        <v>0.70833333333333337</v>
      </c>
      <c r="D2162" s="93">
        <v>0</v>
      </c>
      <c r="E2162" s="93">
        <v>0</v>
      </c>
      <c r="F2162" s="93">
        <v>0</v>
      </c>
      <c r="G2162" s="93">
        <v>0</v>
      </c>
      <c r="H2162" s="93">
        <v>0</v>
      </c>
      <c r="I2162" s="93">
        <v>0</v>
      </c>
      <c r="J2162" s="93">
        <v>0</v>
      </c>
    </row>
    <row r="2163" spans="1:10">
      <c r="A2163" s="92" t="s">
        <v>15</v>
      </c>
      <c r="B2163" s="92" t="s">
        <v>13</v>
      </c>
      <c r="C2163" s="51">
        <v>0.70902777777777781</v>
      </c>
      <c r="D2163" s="93">
        <v>0</v>
      </c>
      <c r="E2163" s="93">
        <v>0</v>
      </c>
      <c r="F2163" s="93">
        <v>0</v>
      </c>
      <c r="G2163" s="93">
        <v>0</v>
      </c>
      <c r="H2163" s="93">
        <v>0</v>
      </c>
      <c r="I2163" s="93">
        <v>0</v>
      </c>
      <c r="J2163" s="93">
        <v>0</v>
      </c>
    </row>
    <row r="2164" spans="1:10">
      <c r="A2164" s="92" t="s">
        <v>15</v>
      </c>
      <c r="B2164" s="92" t="s">
        <v>13</v>
      </c>
      <c r="C2164" s="51">
        <v>0.70972222222222203</v>
      </c>
      <c r="D2164" s="93">
        <v>0</v>
      </c>
      <c r="E2164" s="93">
        <v>0</v>
      </c>
      <c r="F2164" s="93">
        <v>0</v>
      </c>
      <c r="G2164" s="93">
        <v>0</v>
      </c>
      <c r="H2164" s="93">
        <v>0</v>
      </c>
      <c r="I2164" s="93">
        <v>0</v>
      </c>
      <c r="J2164" s="93">
        <v>0</v>
      </c>
    </row>
    <row r="2165" spans="1:10">
      <c r="A2165" s="92" t="s">
        <v>15</v>
      </c>
      <c r="B2165" s="92" t="s">
        <v>13</v>
      </c>
      <c r="C2165" s="51">
        <v>0.71041666666666703</v>
      </c>
      <c r="D2165" s="93">
        <v>0</v>
      </c>
      <c r="E2165" s="93">
        <v>0</v>
      </c>
      <c r="F2165" s="93">
        <v>0</v>
      </c>
      <c r="G2165" s="93">
        <v>0</v>
      </c>
      <c r="H2165" s="93">
        <v>0</v>
      </c>
      <c r="I2165" s="93">
        <v>0</v>
      </c>
      <c r="J2165" s="93">
        <v>0</v>
      </c>
    </row>
    <row r="2166" spans="1:10">
      <c r="A2166" s="92" t="s">
        <v>15</v>
      </c>
      <c r="B2166" s="92" t="s">
        <v>13</v>
      </c>
      <c r="C2166" s="51">
        <v>0.71111111111111103</v>
      </c>
      <c r="D2166" s="93">
        <v>0</v>
      </c>
      <c r="E2166" s="93">
        <v>0</v>
      </c>
      <c r="F2166" s="93">
        <v>0</v>
      </c>
      <c r="G2166" s="93">
        <v>0</v>
      </c>
      <c r="H2166" s="93">
        <v>0</v>
      </c>
      <c r="I2166" s="93">
        <v>0</v>
      </c>
      <c r="J2166" s="93">
        <v>0</v>
      </c>
    </row>
    <row r="2167" spans="1:10">
      <c r="A2167" s="92" t="s">
        <v>15</v>
      </c>
      <c r="B2167" s="92" t="s">
        <v>13</v>
      </c>
      <c r="C2167" s="51">
        <v>0.71180555555555602</v>
      </c>
      <c r="D2167" s="93">
        <v>0</v>
      </c>
      <c r="E2167" s="93">
        <v>0</v>
      </c>
      <c r="F2167" s="93">
        <v>0</v>
      </c>
      <c r="G2167" s="93">
        <v>0</v>
      </c>
      <c r="H2167" s="93">
        <v>0</v>
      </c>
      <c r="I2167" s="93">
        <v>0</v>
      </c>
      <c r="J2167" s="93">
        <v>0</v>
      </c>
    </row>
    <row r="2168" spans="1:10">
      <c r="A2168" s="92" t="s">
        <v>15</v>
      </c>
      <c r="B2168" s="92" t="s">
        <v>13</v>
      </c>
      <c r="C2168" s="51">
        <v>0.71250000000000002</v>
      </c>
      <c r="D2168" s="93">
        <v>0</v>
      </c>
      <c r="E2168" s="93">
        <v>0</v>
      </c>
      <c r="F2168" s="93">
        <v>0</v>
      </c>
      <c r="G2168" s="93">
        <v>0</v>
      </c>
      <c r="H2168" s="93">
        <v>0</v>
      </c>
      <c r="I2168" s="93">
        <v>0</v>
      </c>
      <c r="J2168" s="93">
        <v>0</v>
      </c>
    </row>
    <row r="2169" spans="1:10">
      <c r="A2169" s="92" t="s">
        <v>15</v>
      </c>
      <c r="B2169" s="92" t="s">
        <v>13</v>
      </c>
      <c r="C2169" s="51">
        <v>0.71319444444444402</v>
      </c>
      <c r="D2169" s="93">
        <v>0</v>
      </c>
      <c r="E2169" s="93">
        <v>0</v>
      </c>
      <c r="F2169" s="93">
        <v>0</v>
      </c>
      <c r="G2169" s="93">
        <v>0</v>
      </c>
      <c r="H2169" s="93">
        <v>0</v>
      </c>
      <c r="I2169" s="93">
        <v>0</v>
      </c>
      <c r="J2169" s="93">
        <v>0</v>
      </c>
    </row>
    <row r="2170" spans="1:10">
      <c r="A2170" s="92" t="s">
        <v>15</v>
      </c>
      <c r="B2170" s="92" t="s">
        <v>13</v>
      </c>
      <c r="C2170" s="51">
        <v>0.71388888888888902</v>
      </c>
      <c r="D2170" s="93">
        <v>0</v>
      </c>
      <c r="E2170" s="93">
        <v>0</v>
      </c>
      <c r="F2170" s="93">
        <v>0</v>
      </c>
      <c r="G2170" s="93">
        <v>0</v>
      </c>
      <c r="H2170" s="93">
        <v>0</v>
      </c>
      <c r="I2170" s="93">
        <v>0</v>
      </c>
      <c r="J2170" s="93">
        <v>0</v>
      </c>
    </row>
    <row r="2171" spans="1:10">
      <c r="A2171" s="92" t="s">
        <v>15</v>
      </c>
      <c r="B2171" s="92" t="s">
        <v>13</v>
      </c>
      <c r="C2171" s="51">
        <v>0.71458333333333302</v>
      </c>
      <c r="D2171" s="93">
        <v>0</v>
      </c>
      <c r="E2171" s="93">
        <v>0</v>
      </c>
      <c r="F2171" s="93">
        <v>0</v>
      </c>
      <c r="G2171" s="93">
        <v>0</v>
      </c>
      <c r="H2171" s="93">
        <v>0</v>
      </c>
      <c r="I2171" s="93">
        <v>0</v>
      </c>
      <c r="J2171" s="93">
        <v>0</v>
      </c>
    </row>
    <row r="2172" spans="1:10">
      <c r="A2172" s="92" t="s">
        <v>15</v>
      </c>
      <c r="B2172" s="92" t="s">
        <v>13</v>
      </c>
      <c r="C2172" s="51">
        <v>0.71527777777777801</v>
      </c>
      <c r="D2172" s="93">
        <v>0</v>
      </c>
      <c r="E2172" s="93">
        <v>0</v>
      </c>
      <c r="F2172" s="93">
        <v>0</v>
      </c>
      <c r="G2172" s="93">
        <v>0</v>
      </c>
      <c r="H2172" s="93">
        <v>0</v>
      </c>
      <c r="I2172" s="93">
        <v>0</v>
      </c>
      <c r="J2172" s="93">
        <v>0</v>
      </c>
    </row>
    <row r="2173" spans="1:10">
      <c r="A2173" s="92" t="s">
        <v>15</v>
      </c>
      <c r="B2173" s="92" t="s">
        <v>13</v>
      </c>
      <c r="C2173" s="51">
        <v>0.71597222222222201</v>
      </c>
      <c r="D2173" s="93">
        <v>0</v>
      </c>
      <c r="E2173" s="93">
        <v>0</v>
      </c>
      <c r="F2173" s="93">
        <v>0</v>
      </c>
      <c r="G2173" s="93">
        <v>0</v>
      </c>
      <c r="H2173" s="93">
        <v>0</v>
      </c>
      <c r="I2173" s="93">
        <v>0</v>
      </c>
      <c r="J2173" s="93">
        <v>0</v>
      </c>
    </row>
    <row r="2174" spans="1:10">
      <c r="A2174" s="92" t="s">
        <v>15</v>
      </c>
      <c r="B2174" s="92" t="s">
        <v>13</v>
      </c>
      <c r="C2174" s="51">
        <v>0.71666666666666701</v>
      </c>
      <c r="D2174" s="93">
        <v>0</v>
      </c>
      <c r="E2174" s="93">
        <v>0</v>
      </c>
      <c r="F2174" s="93">
        <v>0</v>
      </c>
      <c r="G2174" s="93">
        <v>0</v>
      </c>
      <c r="H2174" s="93">
        <v>0</v>
      </c>
      <c r="I2174" s="93">
        <v>0</v>
      </c>
      <c r="J2174" s="93">
        <v>0</v>
      </c>
    </row>
    <row r="2175" spans="1:10">
      <c r="A2175" s="92" t="s">
        <v>15</v>
      </c>
      <c r="B2175" s="92" t="s">
        <v>13</v>
      </c>
      <c r="C2175" s="51">
        <v>0.71736111111111101</v>
      </c>
      <c r="D2175" s="93">
        <v>0</v>
      </c>
      <c r="E2175" s="93">
        <v>0</v>
      </c>
      <c r="F2175" s="93">
        <v>0</v>
      </c>
      <c r="G2175" s="93">
        <v>0</v>
      </c>
      <c r="H2175" s="93">
        <v>0</v>
      </c>
      <c r="I2175" s="93">
        <v>0</v>
      </c>
      <c r="J2175" s="93">
        <v>0</v>
      </c>
    </row>
    <row r="2176" spans="1:10" s="78" customFormat="1">
      <c r="A2176" s="94" t="s">
        <v>15</v>
      </c>
      <c r="B2176" s="94" t="s">
        <v>13</v>
      </c>
      <c r="C2176" s="95">
        <v>0.718055555555556</v>
      </c>
      <c r="D2176" s="96">
        <v>0</v>
      </c>
      <c r="E2176" s="96">
        <v>0</v>
      </c>
      <c r="F2176" s="96">
        <v>0</v>
      </c>
      <c r="G2176" s="96">
        <v>0</v>
      </c>
      <c r="H2176" s="96">
        <v>0</v>
      </c>
      <c r="I2176" s="96">
        <v>0</v>
      </c>
      <c r="J2176" s="96">
        <v>0</v>
      </c>
    </row>
    <row r="2177" spans="1:10">
      <c r="A2177" s="92" t="s">
        <v>15</v>
      </c>
      <c r="B2177" s="92" t="s">
        <v>13</v>
      </c>
      <c r="C2177" s="51">
        <v>0.71875</v>
      </c>
      <c r="D2177" s="93">
        <v>0</v>
      </c>
      <c r="E2177" s="93">
        <v>0</v>
      </c>
      <c r="F2177" s="93">
        <v>0</v>
      </c>
      <c r="G2177" s="93">
        <v>0</v>
      </c>
      <c r="H2177" s="93">
        <v>0</v>
      </c>
      <c r="I2177" s="93">
        <v>0</v>
      </c>
      <c r="J2177" s="93">
        <v>0</v>
      </c>
    </row>
    <row r="2178" spans="1:10">
      <c r="A2178" s="92" t="s">
        <v>15</v>
      </c>
      <c r="B2178" s="92" t="s">
        <v>13</v>
      </c>
      <c r="C2178" s="51">
        <v>0.719444444444444</v>
      </c>
      <c r="D2178" s="93">
        <v>0</v>
      </c>
      <c r="E2178" s="93">
        <v>0</v>
      </c>
      <c r="F2178" s="93">
        <v>0</v>
      </c>
      <c r="G2178" s="93">
        <v>0</v>
      </c>
      <c r="H2178" s="93">
        <v>0</v>
      </c>
      <c r="I2178" s="93">
        <v>0</v>
      </c>
      <c r="J2178" s="93">
        <v>0</v>
      </c>
    </row>
    <row r="2179" spans="1:10">
      <c r="A2179" s="92" t="s">
        <v>15</v>
      </c>
      <c r="B2179" s="92" t="s">
        <v>13</v>
      </c>
      <c r="C2179" s="51">
        <v>0.72013888888888899</v>
      </c>
      <c r="D2179" s="93">
        <v>0</v>
      </c>
      <c r="E2179" s="93">
        <v>0</v>
      </c>
      <c r="F2179" s="93">
        <v>0</v>
      </c>
      <c r="G2179" s="93">
        <v>0</v>
      </c>
      <c r="H2179" s="93">
        <v>0</v>
      </c>
      <c r="I2179" s="93">
        <v>0</v>
      </c>
      <c r="J2179" s="93">
        <v>0</v>
      </c>
    </row>
    <row r="2180" spans="1:10">
      <c r="A2180" s="92" t="s">
        <v>15</v>
      </c>
      <c r="B2180" s="92" t="s">
        <v>13</v>
      </c>
      <c r="C2180" s="51">
        <v>0.72083333333333299</v>
      </c>
      <c r="D2180" s="93">
        <v>0</v>
      </c>
      <c r="E2180" s="93">
        <v>0</v>
      </c>
      <c r="F2180" s="93">
        <v>0</v>
      </c>
      <c r="G2180" s="93">
        <v>0</v>
      </c>
      <c r="H2180" s="93">
        <v>0</v>
      </c>
      <c r="I2180" s="93">
        <v>0</v>
      </c>
      <c r="J2180" s="93">
        <v>0</v>
      </c>
    </row>
    <row r="2181" spans="1:10">
      <c r="A2181" s="92" t="s">
        <v>15</v>
      </c>
      <c r="B2181" s="92" t="s">
        <v>13</v>
      </c>
      <c r="C2181" s="51">
        <v>0.72152777777777799</v>
      </c>
      <c r="D2181" s="93">
        <v>0</v>
      </c>
      <c r="E2181" s="93">
        <v>0</v>
      </c>
      <c r="F2181" s="93">
        <v>0</v>
      </c>
      <c r="G2181" s="93">
        <v>0</v>
      </c>
      <c r="H2181" s="93">
        <v>0</v>
      </c>
      <c r="I2181" s="93">
        <v>0</v>
      </c>
      <c r="J2181" s="93">
        <v>0</v>
      </c>
    </row>
    <row r="2182" spans="1:10">
      <c r="A2182" s="92" t="s">
        <v>15</v>
      </c>
      <c r="B2182" s="92" t="s">
        <v>13</v>
      </c>
      <c r="C2182" s="51">
        <v>0.72222222222222199</v>
      </c>
      <c r="D2182" s="93">
        <v>0</v>
      </c>
      <c r="E2182" s="93">
        <v>0</v>
      </c>
      <c r="F2182" s="93">
        <v>0</v>
      </c>
      <c r="G2182" s="93">
        <v>0</v>
      </c>
      <c r="H2182" s="93">
        <v>0</v>
      </c>
      <c r="I2182" s="93">
        <v>0</v>
      </c>
      <c r="J2182" s="93">
        <v>0</v>
      </c>
    </row>
    <row r="2183" spans="1:10">
      <c r="A2183" s="92" t="s">
        <v>15</v>
      </c>
      <c r="B2183" s="92" t="s">
        <v>13</v>
      </c>
      <c r="C2183" s="51">
        <v>0.72291666666666698</v>
      </c>
      <c r="D2183" s="93">
        <v>0</v>
      </c>
      <c r="E2183" s="93">
        <v>0</v>
      </c>
      <c r="F2183" s="93">
        <v>0</v>
      </c>
      <c r="G2183" s="93">
        <v>0</v>
      </c>
      <c r="H2183" s="93">
        <v>0</v>
      </c>
      <c r="I2183" s="93">
        <v>0</v>
      </c>
      <c r="J2183" s="93">
        <v>0</v>
      </c>
    </row>
    <row r="2184" spans="1:10">
      <c r="A2184" s="92" t="s">
        <v>15</v>
      </c>
      <c r="B2184" s="92" t="s">
        <v>13</v>
      </c>
      <c r="C2184" s="51">
        <v>0.72361111111111098</v>
      </c>
      <c r="D2184" s="93">
        <v>0</v>
      </c>
      <c r="E2184" s="93">
        <v>0</v>
      </c>
      <c r="F2184" s="93">
        <v>0</v>
      </c>
      <c r="G2184" s="93">
        <v>0</v>
      </c>
      <c r="H2184" s="93">
        <v>0</v>
      </c>
      <c r="I2184" s="93">
        <v>0</v>
      </c>
      <c r="J2184" s="93">
        <v>0</v>
      </c>
    </row>
    <row r="2185" spans="1:10">
      <c r="A2185" s="92" t="s">
        <v>15</v>
      </c>
      <c r="B2185" s="92" t="s">
        <v>13</v>
      </c>
      <c r="C2185" s="51">
        <v>0.72430555555555598</v>
      </c>
      <c r="D2185" s="93">
        <v>0</v>
      </c>
      <c r="E2185" s="93">
        <v>0</v>
      </c>
      <c r="F2185" s="93">
        <v>0</v>
      </c>
      <c r="G2185" s="93">
        <v>0</v>
      </c>
      <c r="H2185" s="93">
        <v>0</v>
      </c>
      <c r="I2185" s="93">
        <v>0</v>
      </c>
      <c r="J2185" s="93">
        <v>0</v>
      </c>
    </row>
    <row r="2186" spans="1:10">
      <c r="A2186" s="92" t="s">
        <v>15</v>
      </c>
      <c r="B2186" s="92" t="s">
        <v>13</v>
      </c>
      <c r="C2186" s="51">
        <v>0.72499999999999998</v>
      </c>
      <c r="D2186" s="93">
        <v>0</v>
      </c>
      <c r="E2186" s="93">
        <v>0</v>
      </c>
      <c r="F2186" s="93">
        <v>0</v>
      </c>
      <c r="G2186" s="93">
        <v>0</v>
      </c>
      <c r="H2186" s="93">
        <v>0</v>
      </c>
      <c r="I2186" s="93">
        <v>0</v>
      </c>
      <c r="J2186" s="93">
        <v>0</v>
      </c>
    </row>
    <row r="2187" spans="1:10">
      <c r="A2187" s="92" t="s">
        <v>15</v>
      </c>
      <c r="B2187" s="92" t="s">
        <v>13</v>
      </c>
      <c r="C2187" s="51">
        <v>0.72569444444444398</v>
      </c>
      <c r="D2187" s="93">
        <v>0</v>
      </c>
      <c r="E2187" s="93">
        <v>0</v>
      </c>
      <c r="F2187" s="93">
        <v>0</v>
      </c>
      <c r="G2187" s="93">
        <v>0</v>
      </c>
      <c r="H2187" s="93">
        <v>0</v>
      </c>
      <c r="I2187" s="93">
        <v>0</v>
      </c>
      <c r="J2187" s="93">
        <v>0</v>
      </c>
    </row>
    <row r="2188" spans="1:10">
      <c r="A2188" s="92" t="s">
        <v>15</v>
      </c>
      <c r="B2188" s="92" t="s">
        <v>13</v>
      </c>
      <c r="C2188" s="51">
        <v>0.72638888888888897</v>
      </c>
      <c r="D2188" s="93">
        <v>0</v>
      </c>
      <c r="E2188" s="93">
        <v>0</v>
      </c>
      <c r="F2188" s="93">
        <v>0</v>
      </c>
      <c r="G2188" s="93">
        <v>0</v>
      </c>
      <c r="H2188" s="93">
        <v>0</v>
      </c>
      <c r="I2188" s="93">
        <v>0</v>
      </c>
      <c r="J2188" s="93">
        <v>0</v>
      </c>
    </row>
    <row r="2189" spans="1:10">
      <c r="A2189" s="92" t="s">
        <v>15</v>
      </c>
      <c r="B2189" s="92" t="s">
        <v>13</v>
      </c>
      <c r="C2189" s="51">
        <v>0.72708333333333297</v>
      </c>
      <c r="D2189" s="93">
        <v>0</v>
      </c>
      <c r="E2189" s="93">
        <v>0</v>
      </c>
      <c r="F2189" s="93">
        <v>0</v>
      </c>
      <c r="G2189" s="93">
        <v>0</v>
      </c>
      <c r="H2189" s="93">
        <v>0</v>
      </c>
      <c r="I2189" s="93">
        <v>0</v>
      </c>
      <c r="J2189" s="93">
        <v>0</v>
      </c>
    </row>
    <row r="2190" spans="1:10">
      <c r="A2190" s="92" t="s">
        <v>15</v>
      </c>
      <c r="B2190" s="92" t="s">
        <v>13</v>
      </c>
      <c r="C2190" s="51">
        <v>0.72777777777777797</v>
      </c>
      <c r="D2190" s="93">
        <v>0</v>
      </c>
      <c r="E2190" s="93">
        <v>0</v>
      </c>
      <c r="F2190" s="93">
        <v>0</v>
      </c>
      <c r="G2190" s="93">
        <v>0</v>
      </c>
      <c r="H2190" s="93">
        <v>0</v>
      </c>
      <c r="I2190" s="93">
        <v>0</v>
      </c>
      <c r="J2190" s="93">
        <v>0</v>
      </c>
    </row>
    <row r="2191" spans="1:10" s="78" customFormat="1">
      <c r="A2191" s="94" t="s">
        <v>15</v>
      </c>
      <c r="B2191" s="94" t="s">
        <v>13</v>
      </c>
      <c r="C2191" s="95">
        <v>0.72847222222222197</v>
      </c>
      <c r="D2191" s="96">
        <v>0</v>
      </c>
      <c r="E2191" s="96">
        <v>0</v>
      </c>
      <c r="F2191" s="96">
        <v>0</v>
      </c>
      <c r="G2191" s="96">
        <v>0</v>
      </c>
      <c r="H2191" s="96">
        <v>0</v>
      </c>
      <c r="I2191" s="96">
        <v>0</v>
      </c>
      <c r="J2191" s="96">
        <v>0</v>
      </c>
    </row>
    <row r="2192" spans="1:10">
      <c r="A2192" s="92" t="s">
        <v>15</v>
      </c>
      <c r="B2192" s="92" t="s">
        <v>13</v>
      </c>
      <c r="C2192" s="51">
        <v>0.72916666666666696</v>
      </c>
      <c r="D2192" s="93">
        <v>0</v>
      </c>
      <c r="E2192" s="93">
        <v>0</v>
      </c>
      <c r="F2192" s="93">
        <v>0</v>
      </c>
      <c r="G2192" s="93">
        <v>0</v>
      </c>
      <c r="H2192" s="93">
        <v>0</v>
      </c>
      <c r="I2192" s="93">
        <v>0</v>
      </c>
      <c r="J2192" s="93">
        <v>0</v>
      </c>
    </row>
    <row r="2193" spans="1:10">
      <c r="A2193" s="92" t="s">
        <v>15</v>
      </c>
      <c r="B2193" s="92" t="s">
        <v>13</v>
      </c>
      <c r="C2193" s="51">
        <v>0.72986111111111096</v>
      </c>
      <c r="D2193" s="93">
        <v>0</v>
      </c>
      <c r="E2193" s="93">
        <v>0</v>
      </c>
      <c r="F2193" s="93">
        <v>0</v>
      </c>
      <c r="G2193" s="93">
        <v>0</v>
      </c>
      <c r="H2193" s="93">
        <v>0</v>
      </c>
      <c r="I2193" s="93">
        <v>0</v>
      </c>
      <c r="J2193" s="93">
        <v>0</v>
      </c>
    </row>
    <row r="2194" spans="1:10">
      <c r="A2194" s="92" t="s">
        <v>15</v>
      </c>
      <c r="B2194" s="92" t="s">
        <v>13</v>
      </c>
      <c r="C2194" s="51">
        <v>0.73055555555555596</v>
      </c>
      <c r="D2194" s="93">
        <v>0</v>
      </c>
      <c r="E2194" s="93">
        <v>0</v>
      </c>
      <c r="F2194" s="93">
        <v>0</v>
      </c>
      <c r="G2194" s="93">
        <v>0</v>
      </c>
      <c r="H2194" s="93">
        <v>0</v>
      </c>
      <c r="I2194" s="93">
        <v>0</v>
      </c>
      <c r="J2194" s="93">
        <v>0</v>
      </c>
    </row>
    <row r="2195" spans="1:10">
      <c r="A2195" s="92" t="s">
        <v>15</v>
      </c>
      <c r="B2195" s="92" t="s">
        <v>13</v>
      </c>
      <c r="C2195" s="51">
        <v>0.73124999999999996</v>
      </c>
      <c r="D2195" s="93">
        <v>0</v>
      </c>
      <c r="E2195" s="93">
        <v>0</v>
      </c>
      <c r="F2195" s="93">
        <v>0</v>
      </c>
      <c r="G2195" s="93">
        <v>0</v>
      </c>
      <c r="H2195" s="93">
        <v>0</v>
      </c>
      <c r="I2195" s="93">
        <v>0</v>
      </c>
      <c r="J2195" s="93">
        <v>0</v>
      </c>
    </row>
    <row r="2196" spans="1:10">
      <c r="A2196" s="92" t="s">
        <v>15</v>
      </c>
      <c r="B2196" s="92" t="s">
        <v>13</v>
      </c>
      <c r="C2196" s="51">
        <v>0.73194444444444395</v>
      </c>
      <c r="D2196" s="93">
        <v>0</v>
      </c>
      <c r="E2196" s="93">
        <v>0</v>
      </c>
      <c r="F2196" s="93">
        <v>0</v>
      </c>
      <c r="G2196" s="93">
        <v>0</v>
      </c>
      <c r="H2196" s="93">
        <v>0</v>
      </c>
      <c r="I2196" s="93">
        <v>0</v>
      </c>
      <c r="J2196" s="93">
        <v>0</v>
      </c>
    </row>
    <row r="2197" spans="1:10">
      <c r="A2197" s="92" t="s">
        <v>15</v>
      </c>
      <c r="B2197" s="92" t="s">
        <v>13</v>
      </c>
      <c r="C2197" s="51">
        <v>0.73263888888888895</v>
      </c>
      <c r="D2197" s="93">
        <v>0</v>
      </c>
      <c r="E2197" s="93">
        <v>0</v>
      </c>
      <c r="F2197" s="93">
        <v>0</v>
      </c>
      <c r="G2197" s="93">
        <v>0</v>
      </c>
      <c r="H2197" s="93">
        <v>0</v>
      </c>
      <c r="I2197" s="93">
        <v>0</v>
      </c>
      <c r="J2197" s="93">
        <v>0</v>
      </c>
    </row>
    <row r="2198" spans="1:10">
      <c r="A2198" s="92" t="s">
        <v>15</v>
      </c>
      <c r="B2198" s="92" t="s">
        <v>13</v>
      </c>
      <c r="C2198" s="51">
        <v>0.73333333333333295</v>
      </c>
      <c r="D2198" s="93">
        <v>0</v>
      </c>
      <c r="E2198" s="93">
        <v>0</v>
      </c>
      <c r="F2198" s="93">
        <v>0</v>
      </c>
      <c r="G2198" s="93">
        <v>0</v>
      </c>
      <c r="H2198" s="93">
        <v>0</v>
      </c>
      <c r="I2198" s="93">
        <v>0</v>
      </c>
      <c r="J2198" s="93">
        <v>0</v>
      </c>
    </row>
    <row r="2199" spans="1:10">
      <c r="A2199" s="92" t="s">
        <v>15</v>
      </c>
      <c r="B2199" s="92" t="s">
        <v>13</v>
      </c>
      <c r="C2199" s="51">
        <v>0.73402777777777795</v>
      </c>
      <c r="D2199" s="93">
        <v>0</v>
      </c>
      <c r="E2199" s="93">
        <v>0</v>
      </c>
      <c r="F2199" s="93">
        <v>0</v>
      </c>
      <c r="G2199" s="93">
        <v>0</v>
      </c>
      <c r="H2199" s="93">
        <v>0</v>
      </c>
      <c r="I2199" s="93">
        <v>0</v>
      </c>
      <c r="J2199" s="93">
        <v>0</v>
      </c>
    </row>
    <row r="2200" spans="1:10">
      <c r="A2200" s="92" t="s">
        <v>15</v>
      </c>
      <c r="B2200" s="92" t="s">
        <v>13</v>
      </c>
      <c r="C2200" s="51">
        <v>0.73472222222222205</v>
      </c>
      <c r="D2200" s="93">
        <v>0</v>
      </c>
      <c r="E2200" s="93">
        <v>0</v>
      </c>
      <c r="F2200" s="93">
        <v>0</v>
      </c>
      <c r="G2200" s="93">
        <v>0</v>
      </c>
      <c r="H2200" s="93">
        <v>0</v>
      </c>
      <c r="I2200" s="93">
        <v>0</v>
      </c>
      <c r="J2200" s="93">
        <v>0</v>
      </c>
    </row>
    <row r="2201" spans="1:10">
      <c r="A2201" s="92" t="s">
        <v>15</v>
      </c>
      <c r="B2201" s="92" t="s">
        <v>13</v>
      </c>
      <c r="C2201" s="51">
        <v>0.73541666666666705</v>
      </c>
      <c r="D2201" s="93">
        <v>0</v>
      </c>
      <c r="E2201" s="93">
        <v>0</v>
      </c>
      <c r="F2201" s="93">
        <v>0</v>
      </c>
      <c r="G2201" s="93">
        <v>0</v>
      </c>
      <c r="H2201" s="93">
        <v>0</v>
      </c>
      <c r="I2201" s="93">
        <v>0</v>
      </c>
      <c r="J2201" s="93">
        <v>0</v>
      </c>
    </row>
    <row r="2202" spans="1:10">
      <c r="A2202" s="92" t="s">
        <v>15</v>
      </c>
      <c r="B2202" s="92" t="s">
        <v>13</v>
      </c>
      <c r="C2202" s="51">
        <v>0.73611111111111105</v>
      </c>
      <c r="D2202" s="93">
        <v>0</v>
      </c>
      <c r="E2202" s="93">
        <v>0</v>
      </c>
      <c r="F2202" s="93">
        <v>0</v>
      </c>
      <c r="G2202" s="93">
        <v>0</v>
      </c>
      <c r="H2202" s="93">
        <v>0</v>
      </c>
      <c r="I2202" s="93">
        <v>0</v>
      </c>
      <c r="J2202" s="93">
        <v>0</v>
      </c>
    </row>
    <row r="2203" spans="1:10">
      <c r="A2203" s="92" t="s">
        <v>15</v>
      </c>
      <c r="B2203" s="92" t="s">
        <v>13</v>
      </c>
      <c r="C2203" s="51">
        <v>0.73680555555555505</v>
      </c>
      <c r="D2203" s="93">
        <v>0</v>
      </c>
      <c r="E2203" s="93">
        <v>0</v>
      </c>
      <c r="F2203" s="93">
        <v>0</v>
      </c>
      <c r="G2203" s="93">
        <v>0</v>
      </c>
      <c r="H2203" s="93">
        <v>0</v>
      </c>
      <c r="I2203" s="93">
        <v>0</v>
      </c>
      <c r="J2203" s="93">
        <v>0</v>
      </c>
    </row>
    <row r="2204" spans="1:10">
      <c r="A2204" s="92" t="s">
        <v>15</v>
      </c>
      <c r="B2204" s="92" t="s">
        <v>13</v>
      </c>
      <c r="C2204" s="51">
        <v>0.73750000000000004</v>
      </c>
      <c r="D2204" s="93">
        <v>0</v>
      </c>
      <c r="E2204" s="93">
        <v>0</v>
      </c>
      <c r="F2204" s="93">
        <v>0</v>
      </c>
      <c r="G2204" s="93">
        <v>0</v>
      </c>
      <c r="H2204" s="93">
        <v>0</v>
      </c>
      <c r="I2204" s="93">
        <v>0</v>
      </c>
      <c r="J2204" s="93">
        <v>0</v>
      </c>
    </row>
    <row r="2205" spans="1:10">
      <c r="A2205" s="92" t="s">
        <v>15</v>
      </c>
      <c r="B2205" s="92" t="s">
        <v>13</v>
      </c>
      <c r="C2205" s="51">
        <v>0.73819444444444404</v>
      </c>
      <c r="D2205" s="93">
        <v>0</v>
      </c>
      <c r="E2205" s="93">
        <v>0</v>
      </c>
      <c r="F2205" s="93">
        <v>0</v>
      </c>
      <c r="G2205" s="93">
        <v>0</v>
      </c>
      <c r="H2205" s="93">
        <v>0</v>
      </c>
      <c r="I2205" s="93">
        <v>0</v>
      </c>
      <c r="J2205" s="93">
        <v>0</v>
      </c>
    </row>
    <row r="2206" spans="1:10" s="78" customFormat="1">
      <c r="A2206" s="94" t="s">
        <v>15</v>
      </c>
      <c r="B2206" s="94" t="s">
        <v>13</v>
      </c>
      <c r="C2206" s="95">
        <v>0.73888888888888904</v>
      </c>
      <c r="D2206" s="96">
        <v>0</v>
      </c>
      <c r="E2206" s="96">
        <v>0</v>
      </c>
      <c r="F2206" s="96">
        <v>0</v>
      </c>
      <c r="G2206" s="96">
        <v>0</v>
      </c>
      <c r="H2206" s="96">
        <v>0</v>
      </c>
      <c r="I2206" s="96">
        <v>0</v>
      </c>
      <c r="J2206" s="96">
        <v>0</v>
      </c>
    </row>
    <row r="2207" spans="1:10">
      <c r="A2207" s="92" t="s">
        <v>15</v>
      </c>
      <c r="B2207" s="92" t="s">
        <v>13</v>
      </c>
      <c r="C2207" s="51">
        <v>0.73958333333333304</v>
      </c>
      <c r="D2207" s="93">
        <v>0</v>
      </c>
      <c r="E2207" s="93">
        <v>0</v>
      </c>
      <c r="F2207" s="93">
        <v>0</v>
      </c>
      <c r="G2207" s="93">
        <v>0</v>
      </c>
      <c r="H2207" s="93">
        <v>0</v>
      </c>
      <c r="I2207" s="93">
        <v>0</v>
      </c>
      <c r="J2207" s="93">
        <v>0</v>
      </c>
    </row>
    <row r="2208" spans="1:10">
      <c r="A2208" s="92" t="s">
        <v>15</v>
      </c>
      <c r="B2208" s="92" t="s">
        <v>13</v>
      </c>
      <c r="C2208" s="51">
        <v>0.74027777777777803</v>
      </c>
      <c r="D2208" s="93">
        <v>0</v>
      </c>
      <c r="E2208" s="93">
        <v>0</v>
      </c>
      <c r="F2208" s="93">
        <v>0</v>
      </c>
      <c r="G2208" s="93">
        <v>0</v>
      </c>
      <c r="H2208" s="93">
        <v>0</v>
      </c>
      <c r="I2208" s="93">
        <v>0</v>
      </c>
      <c r="J2208" s="93">
        <v>0</v>
      </c>
    </row>
    <row r="2209" spans="1:10">
      <c r="A2209" s="92" t="s">
        <v>15</v>
      </c>
      <c r="B2209" s="92" t="s">
        <v>13</v>
      </c>
      <c r="C2209" s="51">
        <v>0.74097222222222203</v>
      </c>
      <c r="D2209" s="93">
        <v>0</v>
      </c>
      <c r="E2209" s="93">
        <v>0</v>
      </c>
      <c r="F2209" s="93">
        <v>0</v>
      </c>
      <c r="G2209" s="93">
        <v>0</v>
      </c>
      <c r="H2209" s="93">
        <v>0</v>
      </c>
      <c r="I2209" s="93">
        <v>0</v>
      </c>
      <c r="J2209" s="93">
        <v>0</v>
      </c>
    </row>
    <row r="2210" spans="1:10">
      <c r="A2210" s="92" t="s">
        <v>15</v>
      </c>
      <c r="B2210" s="92" t="s">
        <v>13</v>
      </c>
      <c r="C2210" s="51">
        <v>0.74166666666666703</v>
      </c>
      <c r="D2210" s="93">
        <v>0</v>
      </c>
      <c r="E2210" s="93">
        <v>0</v>
      </c>
      <c r="F2210" s="93">
        <v>0</v>
      </c>
      <c r="G2210" s="93">
        <v>0</v>
      </c>
      <c r="H2210" s="93">
        <v>0</v>
      </c>
      <c r="I2210" s="93">
        <v>0</v>
      </c>
      <c r="J2210" s="93">
        <v>0</v>
      </c>
    </row>
    <row r="2211" spans="1:10">
      <c r="A2211" s="92" t="s">
        <v>15</v>
      </c>
      <c r="B2211" s="92" t="s">
        <v>13</v>
      </c>
      <c r="C2211" s="51">
        <v>0.74236111111111103</v>
      </c>
      <c r="D2211" s="93">
        <v>0</v>
      </c>
      <c r="E2211" s="93">
        <v>0</v>
      </c>
      <c r="F2211" s="93">
        <v>0</v>
      </c>
      <c r="G2211" s="93">
        <v>0</v>
      </c>
      <c r="H2211" s="93">
        <v>0</v>
      </c>
      <c r="I2211" s="93">
        <v>0</v>
      </c>
      <c r="J2211" s="93">
        <v>0</v>
      </c>
    </row>
    <row r="2212" spans="1:10">
      <c r="A2212" s="92" t="s">
        <v>15</v>
      </c>
      <c r="B2212" s="92" t="s">
        <v>13</v>
      </c>
      <c r="C2212" s="51">
        <v>0.74305555555555503</v>
      </c>
      <c r="D2212" s="93">
        <v>0</v>
      </c>
      <c r="E2212" s="93">
        <v>0</v>
      </c>
      <c r="F2212" s="93">
        <v>0</v>
      </c>
      <c r="G2212" s="93">
        <v>0</v>
      </c>
      <c r="H2212" s="93">
        <v>0</v>
      </c>
      <c r="I2212" s="93">
        <v>0</v>
      </c>
      <c r="J2212" s="93">
        <v>0</v>
      </c>
    </row>
    <row r="2213" spans="1:10">
      <c r="A2213" s="92" t="s">
        <v>15</v>
      </c>
      <c r="B2213" s="92" t="s">
        <v>13</v>
      </c>
      <c r="C2213" s="51">
        <v>0.74375000000000002</v>
      </c>
      <c r="D2213" s="93">
        <v>0</v>
      </c>
      <c r="E2213" s="93">
        <v>0</v>
      </c>
      <c r="F2213" s="93">
        <v>0</v>
      </c>
      <c r="G2213" s="93">
        <v>0</v>
      </c>
      <c r="H2213" s="93">
        <v>0</v>
      </c>
      <c r="I2213" s="93">
        <v>0</v>
      </c>
      <c r="J2213" s="93">
        <v>0</v>
      </c>
    </row>
    <row r="2214" spans="1:10">
      <c r="A2214" s="92" t="s">
        <v>15</v>
      </c>
      <c r="B2214" s="92" t="s">
        <v>13</v>
      </c>
      <c r="C2214" s="51">
        <v>0.74444444444444402</v>
      </c>
      <c r="D2214" s="93">
        <v>0</v>
      </c>
      <c r="E2214" s="93">
        <v>0</v>
      </c>
      <c r="F2214" s="93">
        <v>0</v>
      </c>
      <c r="G2214" s="93">
        <v>0</v>
      </c>
      <c r="H2214" s="93">
        <v>0</v>
      </c>
      <c r="I2214" s="93">
        <v>0</v>
      </c>
      <c r="J2214" s="93">
        <v>0</v>
      </c>
    </row>
    <row r="2215" spans="1:10">
      <c r="A2215" s="92" t="s">
        <v>15</v>
      </c>
      <c r="B2215" s="92" t="s">
        <v>13</v>
      </c>
      <c r="C2215" s="51">
        <v>0.74513888888888902</v>
      </c>
      <c r="D2215" s="93">
        <v>0</v>
      </c>
      <c r="E2215" s="93">
        <v>0</v>
      </c>
      <c r="F2215" s="93">
        <v>0</v>
      </c>
      <c r="G2215" s="93">
        <v>0</v>
      </c>
      <c r="H2215" s="93">
        <v>0</v>
      </c>
      <c r="I2215" s="93">
        <v>0</v>
      </c>
      <c r="J2215" s="93">
        <v>0</v>
      </c>
    </row>
    <row r="2216" spans="1:10">
      <c r="A2216" s="92" t="s">
        <v>15</v>
      </c>
      <c r="B2216" s="92" t="s">
        <v>13</v>
      </c>
      <c r="C2216" s="51">
        <v>0.74583333333333302</v>
      </c>
      <c r="D2216" s="93">
        <v>0</v>
      </c>
      <c r="E2216" s="93">
        <v>0</v>
      </c>
      <c r="F2216" s="93">
        <v>0</v>
      </c>
      <c r="G2216" s="93">
        <v>0</v>
      </c>
      <c r="H2216" s="93">
        <v>0</v>
      </c>
      <c r="I2216" s="93">
        <v>0</v>
      </c>
      <c r="J2216" s="93">
        <v>0</v>
      </c>
    </row>
    <row r="2217" spans="1:10">
      <c r="A2217" s="92" t="s">
        <v>15</v>
      </c>
      <c r="B2217" s="92" t="s">
        <v>13</v>
      </c>
      <c r="C2217" s="51">
        <v>0.74652777777777801</v>
      </c>
      <c r="D2217" s="93">
        <v>0</v>
      </c>
      <c r="E2217" s="93">
        <v>0</v>
      </c>
      <c r="F2217" s="93">
        <v>0</v>
      </c>
      <c r="G2217" s="93">
        <v>0</v>
      </c>
      <c r="H2217" s="93">
        <v>0</v>
      </c>
      <c r="I2217" s="93">
        <v>0</v>
      </c>
      <c r="J2217" s="93">
        <v>0</v>
      </c>
    </row>
    <row r="2218" spans="1:10">
      <c r="A2218" s="92" t="s">
        <v>15</v>
      </c>
      <c r="B2218" s="92" t="s">
        <v>13</v>
      </c>
      <c r="C2218" s="51">
        <v>0.74722222222222201</v>
      </c>
      <c r="D2218" s="93">
        <v>0</v>
      </c>
      <c r="E2218" s="93">
        <v>0</v>
      </c>
      <c r="F2218" s="93">
        <v>0</v>
      </c>
      <c r="G2218" s="93">
        <v>0</v>
      </c>
      <c r="H2218" s="93">
        <v>0</v>
      </c>
      <c r="I2218" s="93">
        <v>0</v>
      </c>
      <c r="J2218" s="93">
        <v>0</v>
      </c>
    </row>
    <row r="2219" spans="1:10">
      <c r="A2219" s="92" t="s">
        <v>15</v>
      </c>
      <c r="B2219" s="92" t="s">
        <v>13</v>
      </c>
      <c r="C2219" s="51">
        <v>0.74791666666666701</v>
      </c>
      <c r="D2219" s="93">
        <v>0</v>
      </c>
      <c r="E2219" s="93">
        <v>0</v>
      </c>
      <c r="F2219" s="93">
        <v>0</v>
      </c>
      <c r="G2219" s="93">
        <v>0</v>
      </c>
      <c r="H2219" s="93">
        <v>0</v>
      </c>
      <c r="I2219" s="93">
        <v>0</v>
      </c>
      <c r="J2219" s="93">
        <v>0</v>
      </c>
    </row>
    <row r="2220" spans="1:10">
      <c r="A2220" s="92" t="s">
        <v>15</v>
      </c>
      <c r="B2220" s="92" t="s">
        <v>13</v>
      </c>
      <c r="C2220" s="51">
        <v>0.74861111111111101</v>
      </c>
      <c r="D2220" s="93">
        <v>0</v>
      </c>
      <c r="E2220" s="93">
        <v>0</v>
      </c>
      <c r="F2220" s="93">
        <v>0</v>
      </c>
      <c r="G2220" s="93">
        <v>0</v>
      </c>
      <c r="H2220" s="93">
        <v>0</v>
      </c>
      <c r="I2220" s="93">
        <v>0</v>
      </c>
      <c r="J2220" s="93">
        <v>0</v>
      </c>
    </row>
    <row r="2221" spans="1:10" s="78" customFormat="1">
      <c r="A2221" s="94" t="s">
        <v>15</v>
      </c>
      <c r="B2221" s="94" t="s">
        <v>13</v>
      </c>
      <c r="C2221" s="95">
        <v>0.749305555555555</v>
      </c>
      <c r="D2221" s="96">
        <v>0</v>
      </c>
      <c r="E2221" s="96">
        <v>0</v>
      </c>
      <c r="F2221" s="96">
        <v>0</v>
      </c>
      <c r="G2221" s="96">
        <v>0</v>
      </c>
      <c r="H2221" s="96">
        <v>0</v>
      </c>
      <c r="I2221" s="96">
        <v>0</v>
      </c>
      <c r="J2221" s="96">
        <v>0</v>
      </c>
    </row>
    <row r="2222" spans="1:10">
      <c r="A2222" s="92" t="s">
        <v>15</v>
      </c>
      <c r="B2222" s="92" t="s">
        <v>13</v>
      </c>
      <c r="C2222" s="51">
        <v>0.75</v>
      </c>
      <c r="D2222" s="93">
        <v>0</v>
      </c>
      <c r="E2222" s="93">
        <v>0</v>
      </c>
      <c r="F2222" s="93">
        <v>0</v>
      </c>
      <c r="G2222" s="93">
        <v>0</v>
      </c>
      <c r="H2222" s="93">
        <v>0</v>
      </c>
      <c r="I2222" s="93">
        <v>0</v>
      </c>
      <c r="J2222" s="93">
        <v>0</v>
      </c>
    </row>
    <row r="2223" spans="1:10">
      <c r="A2223" s="92" t="s">
        <v>15</v>
      </c>
      <c r="B2223" s="92" t="s">
        <v>13</v>
      </c>
      <c r="C2223" s="51">
        <v>0.750694444444444</v>
      </c>
      <c r="D2223" s="93">
        <v>0</v>
      </c>
      <c r="E2223" s="93">
        <v>0</v>
      </c>
      <c r="F2223" s="93">
        <v>0</v>
      </c>
      <c r="G2223" s="93">
        <v>0</v>
      </c>
      <c r="H2223" s="93">
        <v>0</v>
      </c>
      <c r="I2223" s="93">
        <v>0</v>
      </c>
      <c r="J2223" s="93">
        <v>0</v>
      </c>
    </row>
    <row r="2224" spans="1:10">
      <c r="A2224" s="92" t="s">
        <v>15</v>
      </c>
      <c r="B2224" s="92" t="s">
        <v>13</v>
      </c>
      <c r="C2224" s="51">
        <v>0.75138888888888899</v>
      </c>
      <c r="D2224" s="93">
        <v>0</v>
      </c>
      <c r="E2224" s="93">
        <v>0</v>
      </c>
      <c r="F2224" s="93">
        <v>0</v>
      </c>
      <c r="G2224" s="93">
        <v>0</v>
      </c>
      <c r="H2224" s="93">
        <v>0</v>
      </c>
      <c r="I2224" s="93">
        <v>0</v>
      </c>
      <c r="J2224" s="93">
        <v>0</v>
      </c>
    </row>
    <row r="2225" spans="1:10">
      <c r="A2225" s="92" t="s">
        <v>15</v>
      </c>
      <c r="B2225" s="92" t="s">
        <v>13</v>
      </c>
      <c r="C2225" s="51">
        <v>0.75208333333333299</v>
      </c>
      <c r="D2225" s="93">
        <v>0</v>
      </c>
      <c r="E2225" s="93">
        <v>0</v>
      </c>
      <c r="F2225" s="93">
        <v>0</v>
      </c>
      <c r="G2225" s="93">
        <v>0</v>
      </c>
      <c r="H2225" s="93">
        <v>0</v>
      </c>
      <c r="I2225" s="93">
        <v>0</v>
      </c>
      <c r="J2225" s="93">
        <v>0</v>
      </c>
    </row>
    <row r="2226" spans="1:10">
      <c r="A2226" s="92" t="s">
        <v>15</v>
      </c>
      <c r="B2226" s="92" t="s">
        <v>13</v>
      </c>
      <c r="C2226" s="51">
        <v>0.75277777777777799</v>
      </c>
      <c r="D2226" s="93">
        <v>0</v>
      </c>
      <c r="E2226" s="93">
        <v>0</v>
      </c>
      <c r="F2226" s="93">
        <v>0</v>
      </c>
      <c r="G2226" s="93">
        <v>0</v>
      </c>
      <c r="H2226" s="93">
        <v>0</v>
      </c>
      <c r="I2226" s="93">
        <v>0</v>
      </c>
      <c r="J2226" s="93">
        <v>0</v>
      </c>
    </row>
    <row r="2227" spans="1:10">
      <c r="A2227" s="92" t="s">
        <v>15</v>
      </c>
      <c r="B2227" s="92" t="s">
        <v>13</v>
      </c>
      <c r="C2227" s="51">
        <v>0.75347222222222199</v>
      </c>
      <c r="D2227" s="93">
        <v>0</v>
      </c>
      <c r="E2227" s="93">
        <v>0</v>
      </c>
      <c r="F2227" s="93">
        <v>0</v>
      </c>
      <c r="G2227" s="93">
        <v>0</v>
      </c>
      <c r="H2227" s="93">
        <v>0</v>
      </c>
      <c r="I2227" s="93">
        <v>0</v>
      </c>
      <c r="J2227" s="93">
        <v>0</v>
      </c>
    </row>
    <row r="2228" spans="1:10">
      <c r="A2228" s="92" t="s">
        <v>15</v>
      </c>
      <c r="B2228" s="92" t="s">
        <v>13</v>
      </c>
      <c r="C2228" s="51">
        <v>0.75416666666666698</v>
      </c>
      <c r="D2228" s="93">
        <v>0</v>
      </c>
      <c r="E2228" s="93">
        <v>0</v>
      </c>
      <c r="F2228" s="93">
        <v>0</v>
      </c>
      <c r="G2228" s="93">
        <v>0</v>
      </c>
      <c r="H2228" s="93">
        <v>0</v>
      </c>
      <c r="I2228" s="93">
        <v>0</v>
      </c>
      <c r="J2228" s="93">
        <v>0</v>
      </c>
    </row>
    <row r="2229" spans="1:10">
      <c r="A2229" s="92" t="s">
        <v>15</v>
      </c>
      <c r="B2229" s="92" t="s">
        <v>13</v>
      </c>
      <c r="C2229" s="51">
        <v>0.75486111111111098</v>
      </c>
      <c r="D2229" s="93">
        <v>0</v>
      </c>
      <c r="E2229" s="93">
        <v>0</v>
      </c>
      <c r="F2229" s="93">
        <v>0</v>
      </c>
      <c r="G2229" s="93">
        <v>0</v>
      </c>
      <c r="H2229" s="93">
        <v>0</v>
      </c>
      <c r="I2229" s="93">
        <v>0</v>
      </c>
      <c r="J2229" s="93">
        <v>0</v>
      </c>
    </row>
    <row r="2230" spans="1:10">
      <c r="A2230" s="92" t="s">
        <v>15</v>
      </c>
      <c r="B2230" s="92" t="s">
        <v>13</v>
      </c>
      <c r="C2230" s="51">
        <v>0.75555555555555498</v>
      </c>
      <c r="D2230" s="93">
        <v>0</v>
      </c>
      <c r="E2230" s="93">
        <v>0</v>
      </c>
      <c r="F2230" s="93">
        <v>0</v>
      </c>
      <c r="G2230" s="93">
        <v>0</v>
      </c>
      <c r="H2230" s="93">
        <v>0</v>
      </c>
      <c r="I2230" s="93">
        <v>0</v>
      </c>
      <c r="J2230" s="93">
        <v>0</v>
      </c>
    </row>
    <row r="2231" spans="1:10">
      <c r="A2231" s="92" t="s">
        <v>15</v>
      </c>
      <c r="B2231" s="92" t="s">
        <v>13</v>
      </c>
      <c r="C2231" s="51">
        <v>0.75624999999999998</v>
      </c>
      <c r="D2231" s="93">
        <v>0</v>
      </c>
      <c r="E2231" s="93">
        <v>0</v>
      </c>
      <c r="F2231" s="93">
        <v>0</v>
      </c>
      <c r="G2231" s="93">
        <v>0</v>
      </c>
      <c r="H2231" s="93">
        <v>0</v>
      </c>
      <c r="I2231" s="93">
        <v>0</v>
      </c>
      <c r="J2231" s="93">
        <v>0</v>
      </c>
    </row>
    <row r="2232" spans="1:10">
      <c r="A2232" s="92" t="s">
        <v>15</v>
      </c>
      <c r="B2232" s="92" t="s">
        <v>13</v>
      </c>
      <c r="C2232" s="51">
        <v>0.75694444444444398</v>
      </c>
      <c r="D2232" s="93">
        <v>0</v>
      </c>
      <c r="E2232" s="93">
        <v>0</v>
      </c>
      <c r="F2232" s="93">
        <v>0</v>
      </c>
      <c r="G2232" s="93">
        <v>0</v>
      </c>
      <c r="H2232" s="93">
        <v>0</v>
      </c>
      <c r="I2232" s="93">
        <v>0</v>
      </c>
      <c r="J2232" s="93">
        <v>0</v>
      </c>
    </row>
    <row r="2233" spans="1:10">
      <c r="A2233" s="92" t="s">
        <v>15</v>
      </c>
      <c r="B2233" s="92" t="s">
        <v>13</v>
      </c>
      <c r="C2233" s="51">
        <v>0.75763888888888897</v>
      </c>
      <c r="D2233" s="93">
        <v>0</v>
      </c>
      <c r="E2233" s="93">
        <v>0</v>
      </c>
      <c r="F2233" s="93">
        <v>0</v>
      </c>
      <c r="G2233" s="93">
        <v>0</v>
      </c>
      <c r="H2233" s="93">
        <v>0</v>
      </c>
      <c r="I2233" s="93">
        <v>0</v>
      </c>
      <c r="J2233" s="93">
        <v>0</v>
      </c>
    </row>
    <row r="2234" spans="1:10">
      <c r="A2234" s="92" t="s">
        <v>15</v>
      </c>
      <c r="B2234" s="92" t="s">
        <v>13</v>
      </c>
      <c r="C2234" s="51">
        <v>0.75833333333333297</v>
      </c>
      <c r="D2234" s="93">
        <v>0</v>
      </c>
      <c r="E2234" s="93">
        <v>0</v>
      </c>
      <c r="F2234" s="93">
        <v>0</v>
      </c>
      <c r="G2234" s="93">
        <v>0</v>
      </c>
      <c r="H2234" s="93">
        <v>0</v>
      </c>
      <c r="I2234" s="93">
        <v>0</v>
      </c>
      <c r="J2234" s="93">
        <v>0</v>
      </c>
    </row>
    <row r="2235" spans="1:10">
      <c r="A2235" s="92" t="s">
        <v>15</v>
      </c>
      <c r="B2235" s="92" t="s">
        <v>13</v>
      </c>
      <c r="C2235" s="51">
        <v>0.75902777777777797</v>
      </c>
      <c r="D2235" s="93">
        <v>0</v>
      </c>
      <c r="E2235" s="93">
        <v>0</v>
      </c>
      <c r="F2235" s="93">
        <v>0</v>
      </c>
      <c r="G2235" s="93">
        <v>0</v>
      </c>
      <c r="H2235" s="93">
        <v>0</v>
      </c>
      <c r="I2235" s="93">
        <v>0</v>
      </c>
      <c r="J2235" s="93">
        <v>0</v>
      </c>
    </row>
    <row r="2236" spans="1:10" s="78" customFormat="1">
      <c r="A2236" s="94" t="s">
        <v>15</v>
      </c>
      <c r="B2236" s="94" t="s">
        <v>13</v>
      </c>
      <c r="C2236" s="95">
        <v>0.75972222222222197</v>
      </c>
      <c r="D2236" s="96">
        <v>0</v>
      </c>
      <c r="E2236" s="96">
        <v>0</v>
      </c>
      <c r="F2236" s="96">
        <v>0</v>
      </c>
      <c r="G2236" s="96">
        <v>0</v>
      </c>
      <c r="H2236" s="96">
        <v>0</v>
      </c>
      <c r="I2236" s="96">
        <v>0</v>
      </c>
      <c r="J2236" s="96">
        <v>0</v>
      </c>
    </row>
    <row r="2237" spans="1:10">
      <c r="A2237" s="92" t="s">
        <v>15</v>
      </c>
      <c r="B2237" s="92" t="s">
        <v>13</v>
      </c>
      <c r="C2237" s="51">
        <v>0.76041666666666696</v>
      </c>
      <c r="D2237" s="93">
        <v>0</v>
      </c>
      <c r="E2237" s="93">
        <v>0</v>
      </c>
      <c r="F2237" s="93">
        <v>0</v>
      </c>
      <c r="G2237" s="93">
        <v>0</v>
      </c>
      <c r="H2237" s="93">
        <v>0</v>
      </c>
      <c r="I2237" s="93">
        <v>0</v>
      </c>
      <c r="J2237" s="93">
        <v>0</v>
      </c>
    </row>
    <row r="2238" spans="1:10">
      <c r="A2238" s="92" t="s">
        <v>15</v>
      </c>
      <c r="B2238" s="92" t="s">
        <v>13</v>
      </c>
      <c r="C2238" s="51">
        <v>0.76111111111111096</v>
      </c>
      <c r="D2238" s="93">
        <v>0</v>
      </c>
      <c r="E2238" s="93">
        <v>0</v>
      </c>
      <c r="F2238" s="93">
        <v>0</v>
      </c>
      <c r="G2238" s="93">
        <v>0</v>
      </c>
      <c r="H2238" s="93">
        <v>0</v>
      </c>
      <c r="I2238" s="93">
        <v>0</v>
      </c>
      <c r="J2238" s="93">
        <v>0</v>
      </c>
    </row>
    <row r="2239" spans="1:10">
      <c r="A2239" s="92" t="s">
        <v>15</v>
      </c>
      <c r="B2239" s="92" t="s">
        <v>13</v>
      </c>
      <c r="C2239" s="51">
        <v>0.76180555555555496</v>
      </c>
      <c r="D2239" s="93">
        <v>0</v>
      </c>
      <c r="E2239" s="93">
        <v>0</v>
      </c>
      <c r="F2239" s="93">
        <v>0</v>
      </c>
      <c r="G2239" s="93">
        <v>0</v>
      </c>
      <c r="H2239" s="93">
        <v>0</v>
      </c>
      <c r="I2239" s="93">
        <v>0</v>
      </c>
      <c r="J2239" s="93">
        <v>0</v>
      </c>
    </row>
    <row r="2240" spans="1:10">
      <c r="A2240" s="92" t="s">
        <v>15</v>
      </c>
      <c r="B2240" s="92" t="s">
        <v>13</v>
      </c>
      <c r="C2240" s="51">
        <v>0.76249999999999996</v>
      </c>
      <c r="D2240" s="93">
        <v>0</v>
      </c>
      <c r="E2240" s="93">
        <v>0</v>
      </c>
      <c r="F2240" s="93">
        <v>0</v>
      </c>
      <c r="G2240" s="93">
        <v>0</v>
      </c>
      <c r="H2240" s="93">
        <v>0</v>
      </c>
      <c r="I2240" s="93">
        <v>0</v>
      </c>
      <c r="J2240" s="93">
        <v>0</v>
      </c>
    </row>
    <row r="2241" spans="1:10">
      <c r="A2241" s="92" t="s">
        <v>15</v>
      </c>
      <c r="B2241" s="92" t="s">
        <v>13</v>
      </c>
      <c r="C2241" s="51">
        <v>0.76319444444444395</v>
      </c>
      <c r="D2241" s="93">
        <v>0</v>
      </c>
      <c r="E2241" s="93">
        <v>0</v>
      </c>
      <c r="F2241" s="93">
        <v>0</v>
      </c>
      <c r="G2241" s="93">
        <v>0</v>
      </c>
      <c r="H2241" s="93">
        <v>0</v>
      </c>
      <c r="I2241" s="93">
        <v>0</v>
      </c>
      <c r="J2241" s="93">
        <v>0</v>
      </c>
    </row>
    <row r="2242" spans="1:10">
      <c r="A2242" s="92" t="s">
        <v>15</v>
      </c>
      <c r="B2242" s="92" t="s">
        <v>13</v>
      </c>
      <c r="C2242" s="51">
        <v>0.76388888888888895</v>
      </c>
      <c r="D2242" s="93">
        <v>0</v>
      </c>
      <c r="E2242" s="93">
        <v>0</v>
      </c>
      <c r="F2242" s="93">
        <v>0</v>
      </c>
      <c r="G2242" s="93">
        <v>0</v>
      </c>
      <c r="H2242" s="93">
        <v>0</v>
      </c>
      <c r="I2242" s="93">
        <v>0</v>
      </c>
      <c r="J2242" s="93">
        <v>0</v>
      </c>
    </row>
    <row r="2243" spans="1:10">
      <c r="A2243" s="92" t="s">
        <v>15</v>
      </c>
      <c r="B2243" s="92" t="s">
        <v>13</v>
      </c>
      <c r="C2243" s="51">
        <v>0.76458333333333295</v>
      </c>
      <c r="D2243" s="93">
        <v>0</v>
      </c>
      <c r="E2243" s="93">
        <v>0</v>
      </c>
      <c r="F2243" s="93">
        <v>0</v>
      </c>
      <c r="G2243" s="93">
        <v>0</v>
      </c>
      <c r="H2243" s="93">
        <v>0</v>
      </c>
      <c r="I2243" s="93">
        <v>0</v>
      </c>
      <c r="J2243" s="93">
        <v>0</v>
      </c>
    </row>
    <row r="2244" spans="1:10">
      <c r="A2244" s="92" t="s">
        <v>15</v>
      </c>
      <c r="B2244" s="92" t="s">
        <v>13</v>
      </c>
      <c r="C2244" s="51">
        <v>0.76527777777777795</v>
      </c>
      <c r="D2244" s="93">
        <v>0</v>
      </c>
      <c r="E2244" s="93">
        <v>0</v>
      </c>
      <c r="F2244" s="93">
        <v>0</v>
      </c>
      <c r="G2244" s="93">
        <v>0</v>
      </c>
      <c r="H2244" s="93">
        <v>0</v>
      </c>
      <c r="I2244" s="93">
        <v>0</v>
      </c>
      <c r="J2244" s="93">
        <v>0</v>
      </c>
    </row>
    <row r="2245" spans="1:10">
      <c r="A2245" s="92" t="s">
        <v>15</v>
      </c>
      <c r="B2245" s="92" t="s">
        <v>13</v>
      </c>
      <c r="C2245" s="51">
        <v>0.76597222222222205</v>
      </c>
      <c r="D2245" s="93">
        <v>0</v>
      </c>
      <c r="E2245" s="93">
        <v>0</v>
      </c>
      <c r="F2245" s="93">
        <v>0</v>
      </c>
      <c r="G2245" s="93">
        <v>0</v>
      </c>
      <c r="H2245" s="93">
        <v>0</v>
      </c>
      <c r="I2245" s="93">
        <v>0</v>
      </c>
      <c r="J2245" s="93">
        <v>0</v>
      </c>
    </row>
    <row r="2246" spans="1:10">
      <c r="A2246" s="92" t="s">
        <v>15</v>
      </c>
      <c r="B2246" s="92" t="s">
        <v>13</v>
      </c>
      <c r="C2246" s="51">
        <v>0.76666666666666605</v>
      </c>
      <c r="D2246" s="93">
        <v>0</v>
      </c>
      <c r="E2246" s="93">
        <v>0</v>
      </c>
      <c r="F2246" s="93">
        <v>0</v>
      </c>
      <c r="G2246" s="93">
        <v>0</v>
      </c>
      <c r="H2246" s="93">
        <v>0</v>
      </c>
      <c r="I2246" s="93">
        <v>0</v>
      </c>
      <c r="J2246" s="93">
        <v>0</v>
      </c>
    </row>
    <row r="2247" spans="1:10">
      <c r="A2247" s="92" t="s">
        <v>15</v>
      </c>
      <c r="B2247" s="92" t="s">
        <v>13</v>
      </c>
      <c r="C2247" s="51">
        <v>0.76736111111111105</v>
      </c>
      <c r="D2247" s="93">
        <v>0</v>
      </c>
      <c r="E2247" s="93">
        <v>0</v>
      </c>
      <c r="F2247" s="93">
        <v>0</v>
      </c>
      <c r="G2247" s="93">
        <v>0</v>
      </c>
      <c r="H2247" s="93">
        <v>0</v>
      </c>
      <c r="I2247" s="93">
        <v>0</v>
      </c>
      <c r="J2247" s="93">
        <v>0</v>
      </c>
    </row>
    <row r="2248" spans="1:10">
      <c r="A2248" s="92" t="s">
        <v>15</v>
      </c>
      <c r="B2248" s="92" t="s">
        <v>13</v>
      </c>
      <c r="C2248" s="51">
        <v>0.76805555555555505</v>
      </c>
      <c r="D2248" s="93">
        <v>0</v>
      </c>
      <c r="E2248" s="93">
        <v>0</v>
      </c>
      <c r="F2248" s="93">
        <v>0</v>
      </c>
      <c r="G2248" s="93">
        <v>0</v>
      </c>
      <c r="H2248" s="93">
        <v>0</v>
      </c>
      <c r="I2248" s="93">
        <v>0</v>
      </c>
      <c r="J2248" s="93">
        <v>0</v>
      </c>
    </row>
    <row r="2249" spans="1:10">
      <c r="A2249" s="92" t="s">
        <v>15</v>
      </c>
      <c r="B2249" s="92" t="s">
        <v>13</v>
      </c>
      <c r="C2249" s="51">
        <v>0.76875000000000004</v>
      </c>
      <c r="D2249" s="93">
        <v>0</v>
      </c>
      <c r="E2249" s="93">
        <v>0</v>
      </c>
      <c r="F2249" s="93">
        <v>0</v>
      </c>
      <c r="G2249" s="93">
        <v>0</v>
      </c>
      <c r="H2249" s="93">
        <v>0</v>
      </c>
      <c r="I2249" s="93">
        <v>0</v>
      </c>
      <c r="J2249" s="93">
        <v>0</v>
      </c>
    </row>
    <row r="2250" spans="1:10">
      <c r="A2250" s="92" t="s">
        <v>15</v>
      </c>
      <c r="B2250" s="92" t="s">
        <v>13</v>
      </c>
      <c r="C2250" s="51">
        <v>0.76944444444444404</v>
      </c>
      <c r="D2250" s="93">
        <v>0</v>
      </c>
      <c r="E2250" s="93">
        <v>0</v>
      </c>
      <c r="F2250" s="93">
        <v>0</v>
      </c>
      <c r="G2250" s="93">
        <v>0</v>
      </c>
      <c r="H2250" s="93">
        <v>0</v>
      </c>
      <c r="I2250" s="93">
        <v>0</v>
      </c>
      <c r="J2250" s="93">
        <v>0</v>
      </c>
    </row>
    <row r="2251" spans="1:10" s="78" customFormat="1">
      <c r="A2251" s="94" t="s">
        <v>15</v>
      </c>
      <c r="B2251" s="94" t="s">
        <v>13</v>
      </c>
      <c r="C2251" s="95">
        <v>0.77013888888888904</v>
      </c>
      <c r="D2251" s="96">
        <v>0</v>
      </c>
      <c r="E2251" s="96">
        <v>0</v>
      </c>
      <c r="F2251" s="96">
        <v>0</v>
      </c>
      <c r="G2251" s="96">
        <v>0</v>
      </c>
      <c r="H2251" s="96">
        <v>0</v>
      </c>
      <c r="I2251" s="96">
        <v>0</v>
      </c>
      <c r="J2251" s="96">
        <v>0</v>
      </c>
    </row>
    <row r="2252" spans="1:10">
      <c r="A2252" s="92" t="s">
        <v>15</v>
      </c>
      <c r="B2252" s="92" t="s">
        <v>13</v>
      </c>
      <c r="C2252" s="51">
        <v>0.77083333333333304</v>
      </c>
      <c r="D2252" s="93">
        <v>0</v>
      </c>
      <c r="E2252" s="93">
        <v>0</v>
      </c>
      <c r="F2252" s="93">
        <v>0</v>
      </c>
      <c r="G2252" s="93">
        <v>0</v>
      </c>
      <c r="H2252" s="93">
        <v>0</v>
      </c>
      <c r="I2252" s="93">
        <v>0</v>
      </c>
      <c r="J2252" s="93">
        <v>0</v>
      </c>
    </row>
    <row r="2253" spans="1:10">
      <c r="A2253" s="92" t="s">
        <v>15</v>
      </c>
      <c r="B2253" s="92" t="s">
        <v>13</v>
      </c>
      <c r="C2253" s="51">
        <v>0.77152777777777803</v>
      </c>
      <c r="D2253" s="93">
        <v>0</v>
      </c>
      <c r="E2253" s="93">
        <v>0</v>
      </c>
      <c r="F2253" s="93">
        <v>0</v>
      </c>
      <c r="G2253" s="93">
        <v>0</v>
      </c>
      <c r="H2253" s="93">
        <v>0</v>
      </c>
      <c r="I2253" s="93">
        <v>0</v>
      </c>
      <c r="J2253" s="93">
        <v>0</v>
      </c>
    </row>
    <row r="2254" spans="1:10">
      <c r="A2254" s="92" t="s">
        <v>15</v>
      </c>
      <c r="B2254" s="92" t="s">
        <v>13</v>
      </c>
      <c r="C2254" s="51">
        <v>0.77222222222222203</v>
      </c>
      <c r="D2254" s="93">
        <v>0</v>
      </c>
      <c r="E2254" s="93">
        <v>0</v>
      </c>
      <c r="F2254" s="93">
        <v>0</v>
      </c>
      <c r="G2254" s="93">
        <v>0</v>
      </c>
      <c r="H2254" s="93">
        <v>0</v>
      </c>
      <c r="I2254" s="93">
        <v>0</v>
      </c>
      <c r="J2254" s="93">
        <v>0</v>
      </c>
    </row>
    <row r="2255" spans="1:10">
      <c r="A2255" s="92" t="s">
        <v>15</v>
      </c>
      <c r="B2255" s="92" t="s">
        <v>13</v>
      </c>
      <c r="C2255" s="51">
        <v>0.77291666666666603</v>
      </c>
      <c r="D2255" s="93">
        <v>0</v>
      </c>
      <c r="E2255" s="93">
        <v>0</v>
      </c>
      <c r="F2255" s="93">
        <v>0</v>
      </c>
      <c r="G2255" s="93">
        <v>0</v>
      </c>
      <c r="H2255" s="93">
        <v>0</v>
      </c>
      <c r="I2255" s="93">
        <v>0</v>
      </c>
      <c r="J2255" s="93">
        <v>0</v>
      </c>
    </row>
    <row r="2256" spans="1:10">
      <c r="A2256" s="92" t="s">
        <v>15</v>
      </c>
      <c r="B2256" s="92" t="s">
        <v>13</v>
      </c>
      <c r="C2256" s="51">
        <v>0.77361111111111103</v>
      </c>
      <c r="D2256" s="93">
        <v>0</v>
      </c>
      <c r="E2256" s="93">
        <v>0</v>
      </c>
      <c r="F2256" s="93">
        <v>0</v>
      </c>
      <c r="G2256" s="93">
        <v>0</v>
      </c>
      <c r="H2256" s="93">
        <v>0</v>
      </c>
      <c r="I2256" s="93">
        <v>0</v>
      </c>
      <c r="J2256" s="93">
        <v>0</v>
      </c>
    </row>
    <row r="2257" spans="1:10">
      <c r="A2257" s="92" t="s">
        <v>15</v>
      </c>
      <c r="B2257" s="92" t="s">
        <v>13</v>
      </c>
      <c r="C2257" s="51">
        <v>0.77430555555555503</v>
      </c>
      <c r="D2257" s="93">
        <v>0</v>
      </c>
      <c r="E2257" s="93">
        <v>0</v>
      </c>
      <c r="F2257" s="93">
        <v>0</v>
      </c>
      <c r="G2257" s="93">
        <v>0</v>
      </c>
      <c r="H2257" s="93">
        <v>0</v>
      </c>
      <c r="I2257" s="93">
        <v>0</v>
      </c>
      <c r="J2257" s="93">
        <v>0</v>
      </c>
    </row>
    <row r="2258" spans="1:10">
      <c r="A2258" s="92" t="s">
        <v>15</v>
      </c>
      <c r="B2258" s="92" t="s">
        <v>13</v>
      </c>
      <c r="C2258" s="51">
        <v>0.77500000000000002</v>
      </c>
      <c r="D2258" s="93">
        <v>0</v>
      </c>
      <c r="E2258" s="93">
        <v>0</v>
      </c>
      <c r="F2258" s="93">
        <v>0</v>
      </c>
      <c r="G2258" s="93">
        <v>0</v>
      </c>
      <c r="H2258" s="93">
        <v>0</v>
      </c>
      <c r="I2258" s="93">
        <v>0</v>
      </c>
      <c r="J2258" s="93">
        <v>0</v>
      </c>
    </row>
    <row r="2259" spans="1:10">
      <c r="A2259" s="92" t="s">
        <v>15</v>
      </c>
      <c r="B2259" s="92" t="s">
        <v>13</v>
      </c>
      <c r="C2259" s="51">
        <v>0.77569444444444402</v>
      </c>
      <c r="D2259" s="93">
        <v>0</v>
      </c>
      <c r="E2259" s="93">
        <v>0</v>
      </c>
      <c r="F2259" s="93">
        <v>0</v>
      </c>
      <c r="G2259" s="93">
        <v>0</v>
      </c>
      <c r="H2259" s="93">
        <v>0</v>
      </c>
      <c r="I2259" s="93">
        <v>0</v>
      </c>
      <c r="J2259" s="93">
        <v>0</v>
      </c>
    </row>
    <row r="2260" spans="1:10">
      <c r="A2260" s="92" t="s">
        <v>15</v>
      </c>
      <c r="B2260" s="92" t="s">
        <v>13</v>
      </c>
      <c r="C2260" s="51">
        <v>0.77638888888888902</v>
      </c>
      <c r="D2260" s="93">
        <v>0</v>
      </c>
      <c r="E2260" s="93">
        <v>0</v>
      </c>
      <c r="F2260" s="93">
        <v>0</v>
      </c>
      <c r="G2260" s="93">
        <v>0</v>
      </c>
      <c r="H2260" s="93">
        <v>0</v>
      </c>
      <c r="I2260" s="93">
        <v>0</v>
      </c>
      <c r="J2260" s="93">
        <v>0</v>
      </c>
    </row>
    <row r="2261" spans="1:10">
      <c r="A2261" s="92" t="s">
        <v>15</v>
      </c>
      <c r="B2261" s="92" t="s">
        <v>13</v>
      </c>
      <c r="C2261" s="51">
        <v>0.77708333333333302</v>
      </c>
      <c r="D2261" s="93">
        <v>0</v>
      </c>
      <c r="E2261" s="93">
        <v>0</v>
      </c>
      <c r="F2261" s="93">
        <v>0</v>
      </c>
      <c r="G2261" s="93">
        <v>0</v>
      </c>
      <c r="H2261" s="93">
        <v>0</v>
      </c>
      <c r="I2261" s="93">
        <v>0</v>
      </c>
      <c r="J2261" s="93">
        <v>0</v>
      </c>
    </row>
    <row r="2262" spans="1:10">
      <c r="A2262" s="92" t="s">
        <v>15</v>
      </c>
      <c r="B2262" s="92" t="s">
        <v>13</v>
      </c>
      <c r="C2262" s="51">
        <v>0.77777777777777801</v>
      </c>
      <c r="D2262" s="93">
        <v>0</v>
      </c>
      <c r="E2262" s="93">
        <v>0</v>
      </c>
      <c r="F2262" s="93">
        <v>0</v>
      </c>
      <c r="G2262" s="93">
        <v>0</v>
      </c>
      <c r="H2262" s="93">
        <v>0</v>
      </c>
      <c r="I2262" s="93">
        <v>0</v>
      </c>
      <c r="J2262" s="93">
        <v>0</v>
      </c>
    </row>
    <row r="2263" spans="1:10">
      <c r="A2263" s="92" t="s">
        <v>15</v>
      </c>
      <c r="B2263" s="92" t="s">
        <v>13</v>
      </c>
      <c r="C2263" s="51">
        <v>0.77847222222222201</v>
      </c>
      <c r="D2263" s="93">
        <v>0</v>
      </c>
      <c r="E2263" s="93">
        <v>0</v>
      </c>
      <c r="F2263" s="93">
        <v>0</v>
      </c>
      <c r="G2263" s="93">
        <v>0</v>
      </c>
      <c r="H2263" s="93">
        <v>0</v>
      </c>
      <c r="I2263" s="93">
        <v>0</v>
      </c>
      <c r="J2263" s="93">
        <v>0</v>
      </c>
    </row>
    <row r="2264" spans="1:10">
      <c r="A2264" s="92" t="s">
        <v>15</v>
      </c>
      <c r="B2264" s="92" t="s">
        <v>13</v>
      </c>
      <c r="C2264" s="51">
        <v>0.77916666666666601</v>
      </c>
      <c r="D2264" s="93">
        <v>0</v>
      </c>
      <c r="E2264" s="93">
        <v>0</v>
      </c>
      <c r="F2264" s="93">
        <v>0</v>
      </c>
      <c r="G2264" s="93">
        <v>0</v>
      </c>
      <c r="H2264" s="93">
        <v>0</v>
      </c>
      <c r="I2264" s="93">
        <v>0</v>
      </c>
      <c r="J2264" s="93">
        <v>0</v>
      </c>
    </row>
    <row r="2265" spans="1:10">
      <c r="A2265" s="92" t="s">
        <v>15</v>
      </c>
      <c r="B2265" s="92" t="s">
        <v>13</v>
      </c>
      <c r="C2265" s="51">
        <v>0.77986111111111101</v>
      </c>
      <c r="D2265" s="93">
        <v>0</v>
      </c>
      <c r="E2265" s="93">
        <v>0</v>
      </c>
      <c r="F2265" s="93">
        <v>0</v>
      </c>
      <c r="G2265" s="93">
        <v>0</v>
      </c>
      <c r="H2265" s="93">
        <v>0</v>
      </c>
      <c r="I2265" s="93">
        <v>0</v>
      </c>
      <c r="J2265" s="93">
        <v>0</v>
      </c>
    </row>
    <row r="2266" spans="1:10" s="78" customFormat="1">
      <c r="A2266" s="94" t="s">
        <v>15</v>
      </c>
      <c r="B2266" s="94" t="s">
        <v>13</v>
      </c>
      <c r="C2266" s="95">
        <v>0.780555555555555</v>
      </c>
      <c r="D2266" s="96">
        <v>0</v>
      </c>
      <c r="E2266" s="96">
        <v>0</v>
      </c>
      <c r="F2266" s="96">
        <v>0</v>
      </c>
      <c r="G2266" s="96">
        <v>0</v>
      </c>
      <c r="H2266" s="96">
        <v>0</v>
      </c>
      <c r="I2266" s="96">
        <v>0</v>
      </c>
      <c r="J2266" s="96">
        <v>0</v>
      </c>
    </row>
    <row r="2267" spans="1:10">
      <c r="A2267" s="92" t="s">
        <v>15</v>
      </c>
      <c r="B2267" s="92" t="s">
        <v>13</v>
      </c>
      <c r="C2267" s="51">
        <v>0.78125</v>
      </c>
      <c r="D2267" s="93">
        <v>0</v>
      </c>
      <c r="E2267" s="93">
        <v>0</v>
      </c>
      <c r="F2267" s="93">
        <v>0</v>
      </c>
      <c r="G2267" s="93">
        <v>0</v>
      </c>
      <c r="H2267" s="93">
        <v>0</v>
      </c>
      <c r="I2267" s="93">
        <v>0</v>
      </c>
      <c r="J2267" s="93">
        <v>0</v>
      </c>
    </row>
    <row r="2268" spans="1:10">
      <c r="A2268" s="92" t="s">
        <v>15</v>
      </c>
      <c r="B2268" s="92" t="s">
        <v>13</v>
      </c>
      <c r="C2268" s="51">
        <v>0.781944444444444</v>
      </c>
      <c r="D2268" s="93">
        <v>0</v>
      </c>
      <c r="E2268" s="93">
        <v>0</v>
      </c>
      <c r="F2268" s="93">
        <v>0</v>
      </c>
      <c r="G2268" s="93">
        <v>0</v>
      </c>
      <c r="H2268" s="93">
        <v>0</v>
      </c>
      <c r="I2268" s="93">
        <v>0</v>
      </c>
      <c r="J2268" s="93">
        <v>0</v>
      </c>
    </row>
    <row r="2269" spans="1:10">
      <c r="A2269" s="92" t="s">
        <v>15</v>
      </c>
      <c r="B2269" s="92" t="s">
        <v>13</v>
      </c>
      <c r="C2269" s="51">
        <v>0.78263888888888899</v>
      </c>
      <c r="D2269" s="93">
        <v>0</v>
      </c>
      <c r="E2269" s="93">
        <v>0</v>
      </c>
      <c r="F2269" s="93">
        <v>0</v>
      </c>
      <c r="G2269" s="93">
        <v>0</v>
      </c>
      <c r="H2269" s="93">
        <v>0</v>
      </c>
      <c r="I2269" s="93">
        <v>0</v>
      </c>
      <c r="J2269" s="93">
        <v>0</v>
      </c>
    </row>
    <row r="2270" spans="1:10">
      <c r="A2270" s="92" t="s">
        <v>15</v>
      </c>
      <c r="B2270" s="92" t="s">
        <v>13</v>
      </c>
      <c r="C2270" s="51">
        <v>0.78333333333333299</v>
      </c>
      <c r="D2270" s="93">
        <v>0</v>
      </c>
      <c r="E2270" s="93">
        <v>0</v>
      </c>
      <c r="F2270" s="93">
        <v>0</v>
      </c>
      <c r="G2270" s="93">
        <v>0</v>
      </c>
      <c r="H2270" s="93">
        <v>0</v>
      </c>
      <c r="I2270" s="93">
        <v>0</v>
      </c>
      <c r="J2270" s="93">
        <v>0</v>
      </c>
    </row>
    <row r="2271" spans="1:10">
      <c r="A2271" s="92" t="s">
        <v>15</v>
      </c>
      <c r="B2271" s="92" t="s">
        <v>13</v>
      </c>
      <c r="C2271" s="51">
        <v>0.78402777777777799</v>
      </c>
      <c r="D2271" s="93">
        <v>0</v>
      </c>
      <c r="E2271" s="93">
        <v>0</v>
      </c>
      <c r="F2271" s="93">
        <v>0</v>
      </c>
      <c r="G2271" s="93">
        <v>0</v>
      </c>
      <c r="H2271" s="93">
        <v>0</v>
      </c>
      <c r="I2271" s="93">
        <v>0</v>
      </c>
      <c r="J2271" s="93">
        <v>0</v>
      </c>
    </row>
    <row r="2272" spans="1:10">
      <c r="A2272" s="92" t="s">
        <v>15</v>
      </c>
      <c r="B2272" s="92" t="s">
        <v>13</v>
      </c>
      <c r="C2272" s="51">
        <v>0.78472222222222199</v>
      </c>
      <c r="D2272" s="93">
        <v>0</v>
      </c>
      <c r="E2272" s="93">
        <v>0</v>
      </c>
      <c r="F2272" s="93">
        <v>0</v>
      </c>
      <c r="G2272" s="93">
        <v>0</v>
      </c>
      <c r="H2272" s="93">
        <v>0</v>
      </c>
      <c r="I2272" s="93">
        <v>0</v>
      </c>
      <c r="J2272" s="93">
        <v>0</v>
      </c>
    </row>
    <row r="2273" spans="1:10">
      <c r="A2273" s="92" t="s">
        <v>15</v>
      </c>
      <c r="B2273" s="92" t="s">
        <v>13</v>
      </c>
      <c r="C2273" s="51">
        <v>0.78541666666666599</v>
      </c>
      <c r="D2273" s="93">
        <v>0</v>
      </c>
      <c r="E2273" s="93">
        <v>0</v>
      </c>
      <c r="F2273" s="93">
        <v>0</v>
      </c>
      <c r="G2273" s="93">
        <v>0</v>
      </c>
      <c r="H2273" s="93">
        <v>0</v>
      </c>
      <c r="I2273" s="93">
        <v>0</v>
      </c>
      <c r="J2273" s="93">
        <v>0</v>
      </c>
    </row>
    <row r="2274" spans="1:10">
      <c r="A2274" s="92" t="s">
        <v>15</v>
      </c>
      <c r="B2274" s="92" t="s">
        <v>13</v>
      </c>
      <c r="C2274" s="51">
        <v>0.78611111111111098</v>
      </c>
      <c r="D2274" s="93">
        <v>0</v>
      </c>
      <c r="E2274" s="93">
        <v>0</v>
      </c>
      <c r="F2274" s="93">
        <v>0</v>
      </c>
      <c r="G2274" s="93">
        <v>0</v>
      </c>
      <c r="H2274" s="93">
        <v>0</v>
      </c>
      <c r="I2274" s="93">
        <v>0</v>
      </c>
      <c r="J2274" s="93">
        <v>0</v>
      </c>
    </row>
    <row r="2275" spans="1:10">
      <c r="A2275" s="92" t="s">
        <v>15</v>
      </c>
      <c r="B2275" s="92" t="s">
        <v>13</v>
      </c>
      <c r="C2275" s="51">
        <v>0.78680555555555498</v>
      </c>
      <c r="D2275" s="93">
        <v>0</v>
      </c>
      <c r="E2275" s="93">
        <v>0</v>
      </c>
      <c r="F2275" s="93">
        <v>0</v>
      </c>
      <c r="G2275" s="93">
        <v>0</v>
      </c>
      <c r="H2275" s="93">
        <v>0</v>
      </c>
      <c r="I2275" s="93">
        <v>0</v>
      </c>
      <c r="J2275" s="93">
        <v>0</v>
      </c>
    </row>
    <row r="2276" spans="1:10">
      <c r="A2276" s="92" t="s">
        <v>15</v>
      </c>
      <c r="B2276" s="92" t="s">
        <v>13</v>
      </c>
      <c r="C2276" s="51">
        <v>0.78749999999999998</v>
      </c>
      <c r="D2276" s="93">
        <v>0</v>
      </c>
      <c r="E2276" s="93">
        <v>0</v>
      </c>
      <c r="F2276" s="93">
        <v>0</v>
      </c>
      <c r="G2276" s="93">
        <v>0</v>
      </c>
      <c r="H2276" s="93">
        <v>0</v>
      </c>
      <c r="I2276" s="93">
        <v>0</v>
      </c>
      <c r="J2276" s="93">
        <v>0</v>
      </c>
    </row>
    <row r="2277" spans="1:10">
      <c r="A2277" s="92" t="s">
        <v>15</v>
      </c>
      <c r="B2277" s="92" t="s">
        <v>13</v>
      </c>
      <c r="C2277" s="51">
        <v>0.78819444444444398</v>
      </c>
      <c r="D2277" s="93">
        <v>0</v>
      </c>
      <c r="E2277" s="93">
        <v>0</v>
      </c>
      <c r="F2277" s="93">
        <v>0</v>
      </c>
      <c r="G2277" s="93">
        <v>0</v>
      </c>
      <c r="H2277" s="93">
        <v>0</v>
      </c>
      <c r="I2277" s="93">
        <v>0</v>
      </c>
      <c r="J2277" s="93">
        <v>0</v>
      </c>
    </row>
    <row r="2278" spans="1:10">
      <c r="A2278" s="92" t="s">
        <v>15</v>
      </c>
      <c r="B2278" s="92" t="s">
        <v>13</v>
      </c>
      <c r="C2278" s="51">
        <v>0.78888888888888897</v>
      </c>
      <c r="D2278" s="93">
        <v>0</v>
      </c>
      <c r="E2278" s="93">
        <v>0</v>
      </c>
      <c r="F2278" s="93">
        <v>0</v>
      </c>
      <c r="G2278" s="93">
        <v>0</v>
      </c>
      <c r="H2278" s="93">
        <v>0</v>
      </c>
      <c r="I2278" s="93">
        <v>0</v>
      </c>
      <c r="J2278" s="93">
        <v>0</v>
      </c>
    </row>
    <row r="2279" spans="1:10">
      <c r="A2279" s="92" t="s">
        <v>15</v>
      </c>
      <c r="B2279" s="92" t="s">
        <v>13</v>
      </c>
      <c r="C2279" s="51">
        <v>0.78958333333333297</v>
      </c>
      <c r="D2279" s="93">
        <v>0</v>
      </c>
      <c r="E2279" s="93">
        <v>0</v>
      </c>
      <c r="F2279" s="93">
        <v>0</v>
      </c>
      <c r="G2279" s="93">
        <v>0</v>
      </c>
      <c r="H2279" s="93">
        <v>0</v>
      </c>
      <c r="I2279" s="93">
        <v>0</v>
      </c>
      <c r="J2279" s="93">
        <v>0</v>
      </c>
    </row>
    <row r="2280" spans="1:10">
      <c r="A2280" s="92" t="s">
        <v>15</v>
      </c>
      <c r="B2280" s="92" t="s">
        <v>13</v>
      </c>
      <c r="C2280" s="51">
        <v>0.79027777777777797</v>
      </c>
      <c r="D2280" s="93">
        <v>0</v>
      </c>
      <c r="E2280" s="93">
        <v>0</v>
      </c>
      <c r="F2280" s="93">
        <v>0</v>
      </c>
      <c r="G2280" s="93">
        <v>0</v>
      </c>
      <c r="H2280" s="93">
        <v>0</v>
      </c>
      <c r="I2280" s="93">
        <v>0</v>
      </c>
      <c r="J2280" s="93">
        <v>0</v>
      </c>
    </row>
    <row r="2281" spans="1:10" s="28" customFormat="1" ht="17.5" thickBot="1">
      <c r="A2281" s="104" t="s">
        <v>15</v>
      </c>
      <c r="B2281" s="104" t="s">
        <v>13</v>
      </c>
      <c r="C2281" s="105">
        <v>0.79097222222222197</v>
      </c>
      <c r="D2281" s="106">
        <v>0</v>
      </c>
      <c r="E2281" s="106">
        <v>0</v>
      </c>
      <c r="F2281" s="106">
        <v>0</v>
      </c>
      <c r="G2281" s="106">
        <v>0</v>
      </c>
      <c r="H2281" s="106">
        <v>0</v>
      </c>
      <c r="I2281" s="106">
        <v>0</v>
      </c>
      <c r="J2281" s="106">
        <v>0</v>
      </c>
    </row>
    <row r="2282" spans="1:10">
      <c r="A2282" s="92" t="s">
        <v>15</v>
      </c>
      <c r="B2282" s="92" t="s">
        <v>14</v>
      </c>
      <c r="C2282" s="51">
        <v>0.70833333333333337</v>
      </c>
      <c r="D2282" s="93">
        <v>0</v>
      </c>
      <c r="E2282" s="93">
        <v>0</v>
      </c>
      <c r="F2282" s="93">
        <v>0</v>
      </c>
      <c r="G2282" s="93">
        <v>0</v>
      </c>
      <c r="H2282" s="93">
        <v>0</v>
      </c>
      <c r="I2282" s="93">
        <v>0</v>
      </c>
      <c r="J2282" s="93">
        <v>0</v>
      </c>
    </row>
    <row r="2283" spans="1:10">
      <c r="A2283" s="92" t="s">
        <v>15</v>
      </c>
      <c r="B2283" s="92" t="s">
        <v>14</v>
      </c>
      <c r="C2283" s="51">
        <v>0.70902777777777781</v>
      </c>
      <c r="D2283" s="93">
        <v>0</v>
      </c>
      <c r="E2283" s="93">
        <v>0</v>
      </c>
      <c r="F2283" s="93">
        <v>0</v>
      </c>
      <c r="G2283" s="93">
        <v>0</v>
      </c>
      <c r="H2283" s="93">
        <v>0</v>
      </c>
      <c r="I2283" s="93">
        <v>0</v>
      </c>
      <c r="J2283" s="93">
        <v>0</v>
      </c>
    </row>
    <row r="2284" spans="1:10">
      <c r="A2284" s="92" t="s">
        <v>15</v>
      </c>
      <c r="B2284" s="92" t="s">
        <v>14</v>
      </c>
      <c r="C2284" s="51">
        <v>0.70972222222222203</v>
      </c>
      <c r="D2284" s="93">
        <v>0</v>
      </c>
      <c r="E2284" s="93">
        <v>0</v>
      </c>
      <c r="F2284" s="93">
        <v>0</v>
      </c>
      <c r="G2284" s="93">
        <v>0</v>
      </c>
      <c r="H2284" s="93">
        <v>0</v>
      </c>
      <c r="I2284" s="93">
        <v>0</v>
      </c>
      <c r="J2284" s="93">
        <v>0</v>
      </c>
    </row>
    <row r="2285" spans="1:10">
      <c r="A2285" s="92" t="s">
        <v>15</v>
      </c>
      <c r="B2285" s="92" t="s">
        <v>14</v>
      </c>
      <c r="C2285" s="51">
        <v>0.71041666666666703</v>
      </c>
      <c r="D2285" s="93">
        <v>0</v>
      </c>
      <c r="E2285" s="93">
        <v>0</v>
      </c>
      <c r="F2285" s="93">
        <v>0</v>
      </c>
      <c r="G2285" s="93">
        <v>0</v>
      </c>
      <c r="H2285" s="93">
        <v>0</v>
      </c>
      <c r="I2285" s="93">
        <v>0</v>
      </c>
      <c r="J2285" s="93">
        <v>0</v>
      </c>
    </row>
    <row r="2286" spans="1:10">
      <c r="A2286" s="92" t="s">
        <v>15</v>
      </c>
      <c r="B2286" s="92" t="s">
        <v>14</v>
      </c>
      <c r="C2286" s="51">
        <v>0.71111111111111103</v>
      </c>
      <c r="D2286" s="93">
        <v>0</v>
      </c>
      <c r="E2286" s="93">
        <v>0</v>
      </c>
      <c r="F2286" s="93">
        <v>0</v>
      </c>
      <c r="G2286" s="93">
        <v>0</v>
      </c>
      <c r="H2286" s="93">
        <v>0</v>
      </c>
      <c r="I2286" s="93">
        <v>0</v>
      </c>
      <c r="J2286" s="93">
        <v>0</v>
      </c>
    </row>
    <row r="2287" spans="1:10">
      <c r="A2287" s="92" t="s">
        <v>15</v>
      </c>
      <c r="B2287" s="92" t="s">
        <v>14</v>
      </c>
      <c r="C2287" s="51">
        <v>0.71180555555555602</v>
      </c>
      <c r="D2287" s="93">
        <v>0</v>
      </c>
      <c r="E2287" s="93">
        <v>0</v>
      </c>
      <c r="F2287" s="93">
        <v>0</v>
      </c>
      <c r="G2287" s="93">
        <v>0</v>
      </c>
      <c r="H2287" s="93">
        <v>0</v>
      </c>
      <c r="I2287" s="93">
        <v>0</v>
      </c>
      <c r="J2287" s="93">
        <v>0</v>
      </c>
    </row>
    <row r="2288" spans="1:10">
      <c r="A2288" s="92" t="s">
        <v>15</v>
      </c>
      <c r="B2288" s="92" t="s">
        <v>14</v>
      </c>
      <c r="C2288" s="51">
        <v>0.71250000000000002</v>
      </c>
      <c r="D2288" s="93">
        <v>0</v>
      </c>
      <c r="E2288" s="93">
        <v>0</v>
      </c>
      <c r="F2288" s="93">
        <v>0</v>
      </c>
      <c r="G2288" s="93">
        <v>0</v>
      </c>
      <c r="H2288" s="93">
        <v>0</v>
      </c>
      <c r="I2288" s="93">
        <v>0</v>
      </c>
      <c r="J2288" s="93">
        <v>0</v>
      </c>
    </row>
    <row r="2289" spans="1:10">
      <c r="A2289" s="92" t="s">
        <v>15</v>
      </c>
      <c r="B2289" s="92" t="s">
        <v>14</v>
      </c>
      <c r="C2289" s="51">
        <v>0.71319444444444402</v>
      </c>
      <c r="D2289" s="93">
        <v>0</v>
      </c>
      <c r="E2289" s="93">
        <v>0</v>
      </c>
      <c r="F2289" s="93">
        <v>0</v>
      </c>
      <c r="G2289" s="93">
        <v>0</v>
      </c>
      <c r="H2289" s="93">
        <v>0</v>
      </c>
      <c r="I2289" s="93">
        <v>0</v>
      </c>
      <c r="J2289" s="93">
        <v>0</v>
      </c>
    </row>
    <row r="2290" spans="1:10">
      <c r="A2290" s="92" t="s">
        <v>15</v>
      </c>
      <c r="B2290" s="92" t="s">
        <v>14</v>
      </c>
      <c r="C2290" s="51">
        <v>0.71388888888888902</v>
      </c>
      <c r="D2290" s="93">
        <v>0</v>
      </c>
      <c r="E2290" s="93">
        <v>0</v>
      </c>
      <c r="F2290" s="93">
        <v>0</v>
      </c>
      <c r="G2290" s="93">
        <v>0</v>
      </c>
      <c r="H2290" s="93">
        <v>0</v>
      </c>
      <c r="I2290" s="93">
        <v>0</v>
      </c>
      <c r="J2290" s="93">
        <v>0</v>
      </c>
    </row>
    <row r="2291" spans="1:10">
      <c r="A2291" s="92" t="s">
        <v>15</v>
      </c>
      <c r="B2291" s="92" t="s">
        <v>14</v>
      </c>
      <c r="C2291" s="51">
        <v>0.71458333333333302</v>
      </c>
      <c r="D2291" s="93">
        <v>0</v>
      </c>
      <c r="E2291" s="93">
        <v>0</v>
      </c>
      <c r="F2291" s="93">
        <v>0</v>
      </c>
      <c r="G2291" s="93">
        <v>0</v>
      </c>
      <c r="H2291" s="93">
        <v>0</v>
      </c>
      <c r="I2291" s="93">
        <v>0</v>
      </c>
      <c r="J2291" s="93">
        <v>0</v>
      </c>
    </row>
    <row r="2292" spans="1:10">
      <c r="A2292" s="92" t="s">
        <v>15</v>
      </c>
      <c r="B2292" s="92" t="s">
        <v>14</v>
      </c>
      <c r="C2292" s="51">
        <v>0.71527777777777801</v>
      </c>
      <c r="D2292" s="93">
        <v>0</v>
      </c>
      <c r="E2292" s="93">
        <v>0</v>
      </c>
      <c r="F2292" s="93">
        <v>0</v>
      </c>
      <c r="G2292" s="93">
        <v>0</v>
      </c>
      <c r="H2292" s="93">
        <v>0</v>
      </c>
      <c r="I2292" s="93">
        <v>0</v>
      </c>
      <c r="J2292" s="93">
        <v>0</v>
      </c>
    </row>
    <row r="2293" spans="1:10">
      <c r="A2293" s="92" t="s">
        <v>15</v>
      </c>
      <c r="B2293" s="92" t="s">
        <v>14</v>
      </c>
      <c r="C2293" s="51">
        <v>0.71597222222222201</v>
      </c>
      <c r="D2293" s="93">
        <v>0</v>
      </c>
      <c r="E2293" s="93">
        <v>0</v>
      </c>
      <c r="F2293" s="93">
        <v>0</v>
      </c>
      <c r="G2293" s="93">
        <v>0</v>
      </c>
      <c r="H2293" s="93">
        <v>0</v>
      </c>
      <c r="I2293" s="93">
        <v>0</v>
      </c>
      <c r="J2293" s="93">
        <v>0</v>
      </c>
    </row>
    <row r="2294" spans="1:10">
      <c r="A2294" s="92" t="s">
        <v>15</v>
      </c>
      <c r="B2294" s="92" t="s">
        <v>14</v>
      </c>
      <c r="C2294" s="51">
        <v>0.71666666666666701</v>
      </c>
      <c r="D2294" s="93">
        <v>0</v>
      </c>
      <c r="E2294" s="93">
        <v>0</v>
      </c>
      <c r="F2294" s="93">
        <v>0</v>
      </c>
      <c r="G2294" s="93">
        <v>0</v>
      </c>
      <c r="H2294" s="93">
        <v>0</v>
      </c>
      <c r="I2294" s="93">
        <v>0</v>
      </c>
      <c r="J2294" s="93">
        <v>0</v>
      </c>
    </row>
    <row r="2295" spans="1:10">
      <c r="A2295" s="92" t="s">
        <v>15</v>
      </c>
      <c r="B2295" s="92" t="s">
        <v>14</v>
      </c>
      <c r="C2295" s="51">
        <v>0.71736111111111101</v>
      </c>
      <c r="D2295" s="93">
        <v>0</v>
      </c>
      <c r="E2295" s="93">
        <v>0</v>
      </c>
      <c r="F2295" s="93">
        <v>0</v>
      </c>
      <c r="G2295" s="93">
        <v>0</v>
      </c>
      <c r="H2295" s="93">
        <v>0</v>
      </c>
      <c r="I2295" s="93">
        <v>0</v>
      </c>
      <c r="J2295" s="93">
        <v>0</v>
      </c>
    </row>
    <row r="2296" spans="1:10" s="78" customFormat="1">
      <c r="A2296" s="94" t="s">
        <v>15</v>
      </c>
      <c r="B2296" s="94" t="s">
        <v>14</v>
      </c>
      <c r="C2296" s="95">
        <v>0.718055555555556</v>
      </c>
      <c r="D2296" s="96">
        <v>0</v>
      </c>
      <c r="E2296" s="96">
        <v>0</v>
      </c>
      <c r="F2296" s="96">
        <v>0</v>
      </c>
      <c r="G2296" s="96">
        <v>0</v>
      </c>
      <c r="H2296" s="96">
        <v>0</v>
      </c>
      <c r="I2296" s="96">
        <v>0</v>
      </c>
      <c r="J2296" s="96">
        <v>0</v>
      </c>
    </row>
    <row r="2297" spans="1:10">
      <c r="A2297" s="92" t="s">
        <v>15</v>
      </c>
      <c r="B2297" s="92" t="s">
        <v>14</v>
      </c>
      <c r="C2297" s="51">
        <v>0.71875</v>
      </c>
      <c r="D2297" s="93">
        <v>0</v>
      </c>
      <c r="E2297" s="93">
        <v>0</v>
      </c>
      <c r="F2297" s="93">
        <v>0</v>
      </c>
      <c r="G2297" s="93">
        <v>0</v>
      </c>
      <c r="H2297" s="93">
        <v>0</v>
      </c>
      <c r="I2297" s="93">
        <v>0</v>
      </c>
      <c r="J2297" s="93">
        <v>0</v>
      </c>
    </row>
    <row r="2298" spans="1:10">
      <c r="A2298" s="92" t="s">
        <v>15</v>
      </c>
      <c r="B2298" s="92" t="s">
        <v>14</v>
      </c>
      <c r="C2298" s="51">
        <v>0.719444444444444</v>
      </c>
      <c r="D2298" s="93">
        <v>0</v>
      </c>
      <c r="E2298" s="93">
        <v>0</v>
      </c>
      <c r="F2298" s="93">
        <v>0</v>
      </c>
      <c r="G2298" s="93">
        <v>0</v>
      </c>
      <c r="H2298" s="93">
        <v>0</v>
      </c>
      <c r="I2298" s="93">
        <v>0</v>
      </c>
      <c r="J2298" s="93">
        <v>0</v>
      </c>
    </row>
    <row r="2299" spans="1:10">
      <c r="A2299" s="92" t="s">
        <v>15</v>
      </c>
      <c r="B2299" s="92" t="s">
        <v>14</v>
      </c>
      <c r="C2299" s="51">
        <v>0.72013888888888899</v>
      </c>
      <c r="D2299" s="93">
        <v>0</v>
      </c>
      <c r="E2299" s="93">
        <v>0</v>
      </c>
      <c r="F2299" s="93">
        <v>0</v>
      </c>
      <c r="G2299" s="93">
        <v>0</v>
      </c>
      <c r="H2299" s="93">
        <v>0</v>
      </c>
      <c r="I2299" s="93">
        <v>0</v>
      </c>
      <c r="J2299" s="93">
        <v>0</v>
      </c>
    </row>
    <row r="2300" spans="1:10">
      <c r="A2300" s="92" t="s">
        <v>15</v>
      </c>
      <c r="B2300" s="92" t="s">
        <v>14</v>
      </c>
      <c r="C2300" s="51">
        <v>0.72083333333333299</v>
      </c>
      <c r="D2300" s="93">
        <v>0</v>
      </c>
      <c r="E2300" s="93">
        <v>0</v>
      </c>
      <c r="F2300" s="93">
        <v>0</v>
      </c>
      <c r="G2300" s="93">
        <v>0</v>
      </c>
      <c r="H2300" s="93">
        <v>0</v>
      </c>
      <c r="I2300" s="93">
        <v>0</v>
      </c>
      <c r="J2300" s="93">
        <v>0</v>
      </c>
    </row>
    <row r="2301" spans="1:10">
      <c r="A2301" s="92" t="s">
        <v>15</v>
      </c>
      <c r="B2301" s="92" t="s">
        <v>14</v>
      </c>
      <c r="C2301" s="51">
        <v>0.72152777777777799</v>
      </c>
      <c r="D2301" s="93">
        <v>0</v>
      </c>
      <c r="E2301" s="93">
        <v>0</v>
      </c>
      <c r="F2301" s="93">
        <v>0</v>
      </c>
      <c r="G2301" s="93">
        <v>0</v>
      </c>
      <c r="H2301" s="93">
        <v>0</v>
      </c>
      <c r="I2301" s="93">
        <v>0</v>
      </c>
      <c r="J2301" s="93">
        <v>0</v>
      </c>
    </row>
    <row r="2302" spans="1:10">
      <c r="A2302" s="92" t="s">
        <v>15</v>
      </c>
      <c r="B2302" s="92" t="s">
        <v>14</v>
      </c>
      <c r="C2302" s="51">
        <v>0.72222222222222199</v>
      </c>
      <c r="D2302" s="93">
        <v>0</v>
      </c>
      <c r="E2302" s="93">
        <v>0</v>
      </c>
      <c r="F2302" s="93">
        <v>0</v>
      </c>
      <c r="G2302" s="93">
        <v>0</v>
      </c>
      <c r="H2302" s="93">
        <v>0</v>
      </c>
      <c r="I2302" s="93">
        <v>0</v>
      </c>
      <c r="J2302" s="93">
        <v>0</v>
      </c>
    </row>
    <row r="2303" spans="1:10">
      <c r="A2303" s="92" t="s">
        <v>15</v>
      </c>
      <c r="B2303" s="92" t="s">
        <v>14</v>
      </c>
      <c r="C2303" s="51">
        <v>0.72291666666666698</v>
      </c>
      <c r="D2303" s="93">
        <v>0</v>
      </c>
      <c r="E2303" s="93">
        <v>0</v>
      </c>
      <c r="F2303" s="93">
        <v>0</v>
      </c>
      <c r="G2303" s="93">
        <v>0</v>
      </c>
      <c r="H2303" s="93">
        <v>0</v>
      </c>
      <c r="I2303" s="93">
        <v>0</v>
      </c>
      <c r="J2303" s="93">
        <v>0</v>
      </c>
    </row>
    <row r="2304" spans="1:10">
      <c r="A2304" s="92" t="s">
        <v>15</v>
      </c>
      <c r="B2304" s="92" t="s">
        <v>14</v>
      </c>
      <c r="C2304" s="51">
        <v>0.72361111111111098</v>
      </c>
      <c r="D2304" s="93">
        <v>0</v>
      </c>
      <c r="E2304" s="93">
        <v>0</v>
      </c>
      <c r="F2304" s="93">
        <v>0</v>
      </c>
      <c r="G2304" s="93">
        <v>0</v>
      </c>
      <c r="H2304" s="93">
        <v>0</v>
      </c>
      <c r="I2304" s="93">
        <v>0</v>
      </c>
      <c r="J2304" s="93">
        <v>0</v>
      </c>
    </row>
    <row r="2305" spans="1:10">
      <c r="A2305" s="92" t="s">
        <v>15</v>
      </c>
      <c r="B2305" s="92" t="s">
        <v>14</v>
      </c>
      <c r="C2305" s="51">
        <v>0.72430555555555598</v>
      </c>
      <c r="D2305" s="93">
        <v>0</v>
      </c>
      <c r="E2305" s="93">
        <v>0</v>
      </c>
      <c r="F2305" s="93">
        <v>0</v>
      </c>
      <c r="G2305" s="93">
        <v>0</v>
      </c>
      <c r="H2305" s="93">
        <v>0</v>
      </c>
      <c r="I2305" s="93">
        <v>0</v>
      </c>
      <c r="J2305" s="93">
        <v>0</v>
      </c>
    </row>
    <row r="2306" spans="1:10">
      <c r="A2306" s="92" t="s">
        <v>15</v>
      </c>
      <c r="B2306" s="92" t="s">
        <v>14</v>
      </c>
      <c r="C2306" s="51">
        <v>0.72499999999999998</v>
      </c>
      <c r="D2306" s="93">
        <v>0</v>
      </c>
      <c r="E2306" s="93">
        <v>0</v>
      </c>
      <c r="F2306" s="93">
        <v>0</v>
      </c>
      <c r="G2306" s="93">
        <v>0</v>
      </c>
      <c r="H2306" s="93">
        <v>0</v>
      </c>
      <c r="I2306" s="93">
        <v>0</v>
      </c>
      <c r="J2306" s="93">
        <v>0</v>
      </c>
    </row>
    <row r="2307" spans="1:10">
      <c r="A2307" s="92" t="s">
        <v>15</v>
      </c>
      <c r="B2307" s="92" t="s">
        <v>14</v>
      </c>
      <c r="C2307" s="51">
        <v>0.72569444444444398</v>
      </c>
      <c r="D2307" s="93">
        <v>0</v>
      </c>
      <c r="E2307" s="93">
        <v>0</v>
      </c>
      <c r="F2307" s="93">
        <v>0</v>
      </c>
      <c r="G2307" s="93">
        <v>0</v>
      </c>
      <c r="H2307" s="93">
        <v>0</v>
      </c>
      <c r="I2307" s="93">
        <v>0</v>
      </c>
      <c r="J2307" s="93">
        <v>0</v>
      </c>
    </row>
    <row r="2308" spans="1:10">
      <c r="A2308" s="92" t="s">
        <v>15</v>
      </c>
      <c r="B2308" s="92" t="s">
        <v>14</v>
      </c>
      <c r="C2308" s="51">
        <v>0.72638888888888897</v>
      </c>
      <c r="D2308" s="93">
        <v>0</v>
      </c>
      <c r="E2308" s="93">
        <v>0</v>
      </c>
      <c r="F2308" s="93">
        <v>0</v>
      </c>
      <c r="G2308" s="93">
        <v>0</v>
      </c>
      <c r="H2308" s="93">
        <v>0</v>
      </c>
      <c r="I2308" s="93">
        <v>0</v>
      </c>
      <c r="J2308" s="93">
        <v>0</v>
      </c>
    </row>
    <row r="2309" spans="1:10">
      <c r="A2309" s="92" t="s">
        <v>15</v>
      </c>
      <c r="B2309" s="92" t="s">
        <v>14</v>
      </c>
      <c r="C2309" s="51">
        <v>0.72708333333333297</v>
      </c>
      <c r="D2309" s="93">
        <v>0</v>
      </c>
      <c r="E2309" s="93">
        <v>0</v>
      </c>
      <c r="F2309" s="93">
        <v>0</v>
      </c>
      <c r="G2309" s="93">
        <v>0</v>
      </c>
      <c r="H2309" s="93">
        <v>0</v>
      </c>
      <c r="I2309" s="93">
        <v>0</v>
      </c>
      <c r="J2309" s="93">
        <v>0</v>
      </c>
    </row>
    <row r="2310" spans="1:10">
      <c r="A2310" s="92" t="s">
        <v>15</v>
      </c>
      <c r="B2310" s="92" t="s">
        <v>14</v>
      </c>
      <c r="C2310" s="51">
        <v>0.72777777777777797</v>
      </c>
      <c r="D2310" s="93">
        <v>0</v>
      </c>
      <c r="E2310" s="93">
        <v>0</v>
      </c>
      <c r="F2310" s="93">
        <v>0</v>
      </c>
      <c r="G2310" s="93">
        <v>0</v>
      </c>
      <c r="H2310" s="93">
        <v>0</v>
      </c>
      <c r="I2310" s="93">
        <v>0</v>
      </c>
      <c r="J2310" s="93">
        <v>0</v>
      </c>
    </row>
    <row r="2311" spans="1:10" s="78" customFormat="1">
      <c r="A2311" s="94" t="s">
        <v>15</v>
      </c>
      <c r="B2311" s="94" t="s">
        <v>14</v>
      </c>
      <c r="C2311" s="95">
        <v>0.72847222222222197</v>
      </c>
      <c r="D2311" s="96">
        <v>0</v>
      </c>
      <c r="E2311" s="96">
        <v>0</v>
      </c>
      <c r="F2311" s="96">
        <v>0</v>
      </c>
      <c r="G2311" s="96">
        <v>0</v>
      </c>
      <c r="H2311" s="96">
        <v>0</v>
      </c>
      <c r="I2311" s="96">
        <v>0</v>
      </c>
      <c r="J2311" s="96">
        <v>0</v>
      </c>
    </row>
    <row r="2312" spans="1:10">
      <c r="A2312" s="92" t="s">
        <v>15</v>
      </c>
      <c r="B2312" s="92" t="s">
        <v>14</v>
      </c>
      <c r="C2312" s="51">
        <v>0.72916666666666696</v>
      </c>
      <c r="D2312" s="93">
        <v>0</v>
      </c>
      <c r="E2312" s="93">
        <v>0</v>
      </c>
      <c r="F2312" s="93">
        <v>0</v>
      </c>
      <c r="G2312" s="93">
        <v>0</v>
      </c>
      <c r="H2312" s="93">
        <v>0</v>
      </c>
      <c r="I2312" s="93">
        <v>0</v>
      </c>
      <c r="J2312" s="93">
        <v>0</v>
      </c>
    </row>
    <row r="2313" spans="1:10">
      <c r="A2313" s="92" t="s">
        <v>15</v>
      </c>
      <c r="B2313" s="92" t="s">
        <v>14</v>
      </c>
      <c r="C2313" s="51">
        <v>0.72986111111111096</v>
      </c>
      <c r="D2313" s="93">
        <v>0</v>
      </c>
      <c r="E2313" s="93">
        <v>0</v>
      </c>
      <c r="F2313" s="93">
        <v>0</v>
      </c>
      <c r="G2313" s="93">
        <v>0</v>
      </c>
      <c r="H2313" s="93">
        <v>0</v>
      </c>
      <c r="I2313" s="93">
        <v>0</v>
      </c>
      <c r="J2313" s="93">
        <v>0</v>
      </c>
    </row>
    <row r="2314" spans="1:10">
      <c r="A2314" s="92" t="s">
        <v>15</v>
      </c>
      <c r="B2314" s="92" t="s">
        <v>14</v>
      </c>
      <c r="C2314" s="51">
        <v>0.73055555555555596</v>
      </c>
      <c r="D2314" s="93">
        <v>0</v>
      </c>
      <c r="E2314" s="93">
        <v>0</v>
      </c>
      <c r="F2314" s="93">
        <v>0</v>
      </c>
      <c r="G2314" s="93">
        <v>0</v>
      </c>
      <c r="H2314" s="93">
        <v>0</v>
      </c>
      <c r="I2314" s="93">
        <v>0</v>
      </c>
      <c r="J2314" s="93">
        <v>0</v>
      </c>
    </row>
    <row r="2315" spans="1:10">
      <c r="A2315" s="92" t="s">
        <v>15</v>
      </c>
      <c r="B2315" s="92" t="s">
        <v>14</v>
      </c>
      <c r="C2315" s="51">
        <v>0.73124999999999996</v>
      </c>
      <c r="D2315" s="93">
        <v>0</v>
      </c>
      <c r="E2315" s="93">
        <v>0</v>
      </c>
      <c r="F2315" s="93">
        <v>0</v>
      </c>
      <c r="G2315" s="93">
        <v>0</v>
      </c>
      <c r="H2315" s="93">
        <v>0</v>
      </c>
      <c r="I2315" s="93">
        <v>0</v>
      </c>
      <c r="J2315" s="93">
        <v>0</v>
      </c>
    </row>
    <row r="2316" spans="1:10">
      <c r="A2316" s="92" t="s">
        <v>15</v>
      </c>
      <c r="B2316" s="92" t="s">
        <v>14</v>
      </c>
      <c r="C2316" s="51">
        <v>0.73194444444444395</v>
      </c>
      <c r="D2316" s="93">
        <v>0</v>
      </c>
      <c r="E2316" s="93">
        <v>0</v>
      </c>
      <c r="F2316" s="93">
        <v>0</v>
      </c>
      <c r="G2316" s="93">
        <v>0</v>
      </c>
      <c r="H2316" s="93">
        <v>0</v>
      </c>
      <c r="I2316" s="93">
        <v>0</v>
      </c>
      <c r="J2316" s="93">
        <v>0</v>
      </c>
    </row>
    <row r="2317" spans="1:10">
      <c r="A2317" s="92" t="s">
        <v>15</v>
      </c>
      <c r="B2317" s="92" t="s">
        <v>14</v>
      </c>
      <c r="C2317" s="51">
        <v>0.73263888888888895</v>
      </c>
      <c r="D2317" s="93">
        <v>0</v>
      </c>
      <c r="E2317" s="93">
        <v>0</v>
      </c>
      <c r="F2317" s="93">
        <v>0</v>
      </c>
      <c r="G2317" s="93">
        <v>0</v>
      </c>
      <c r="H2317" s="93">
        <v>0</v>
      </c>
      <c r="I2317" s="93">
        <v>0</v>
      </c>
      <c r="J2317" s="93">
        <v>0</v>
      </c>
    </row>
    <row r="2318" spans="1:10">
      <c r="A2318" s="92" t="s">
        <v>15</v>
      </c>
      <c r="B2318" s="92" t="s">
        <v>14</v>
      </c>
      <c r="C2318" s="51">
        <v>0.73333333333333295</v>
      </c>
      <c r="D2318" s="93">
        <v>0</v>
      </c>
      <c r="E2318" s="93">
        <v>0</v>
      </c>
      <c r="F2318" s="93">
        <v>0</v>
      </c>
      <c r="G2318" s="93">
        <v>0</v>
      </c>
      <c r="H2318" s="93">
        <v>0</v>
      </c>
      <c r="I2318" s="93">
        <v>0</v>
      </c>
      <c r="J2318" s="93">
        <v>0</v>
      </c>
    </row>
    <row r="2319" spans="1:10">
      <c r="A2319" s="92" t="s">
        <v>15</v>
      </c>
      <c r="B2319" s="92" t="s">
        <v>14</v>
      </c>
      <c r="C2319" s="51">
        <v>0.73402777777777795</v>
      </c>
      <c r="D2319" s="93">
        <v>0</v>
      </c>
      <c r="E2319" s="93">
        <v>0</v>
      </c>
      <c r="F2319" s="93">
        <v>0</v>
      </c>
      <c r="G2319" s="93">
        <v>0</v>
      </c>
      <c r="H2319" s="93">
        <v>0</v>
      </c>
      <c r="I2319" s="93">
        <v>0</v>
      </c>
      <c r="J2319" s="93">
        <v>0</v>
      </c>
    </row>
    <row r="2320" spans="1:10">
      <c r="A2320" s="92" t="s">
        <v>15</v>
      </c>
      <c r="B2320" s="92" t="s">
        <v>14</v>
      </c>
      <c r="C2320" s="51">
        <v>0.73472222222222205</v>
      </c>
      <c r="D2320" s="93">
        <v>0</v>
      </c>
      <c r="E2320" s="93">
        <v>0</v>
      </c>
      <c r="F2320" s="93">
        <v>0</v>
      </c>
      <c r="G2320" s="93">
        <v>0</v>
      </c>
      <c r="H2320" s="93">
        <v>0</v>
      </c>
      <c r="I2320" s="93">
        <v>0</v>
      </c>
      <c r="J2320" s="93">
        <v>0</v>
      </c>
    </row>
    <row r="2321" spans="1:10">
      <c r="A2321" s="92" t="s">
        <v>15</v>
      </c>
      <c r="B2321" s="92" t="s">
        <v>14</v>
      </c>
      <c r="C2321" s="51">
        <v>0.73541666666666705</v>
      </c>
      <c r="D2321" s="93">
        <v>0</v>
      </c>
      <c r="E2321" s="93">
        <v>0</v>
      </c>
      <c r="F2321" s="93">
        <v>0</v>
      </c>
      <c r="G2321" s="93">
        <v>0</v>
      </c>
      <c r="H2321" s="93">
        <v>0</v>
      </c>
      <c r="I2321" s="93">
        <v>0</v>
      </c>
      <c r="J2321" s="93">
        <v>0</v>
      </c>
    </row>
    <row r="2322" spans="1:10">
      <c r="A2322" s="92" t="s">
        <v>15</v>
      </c>
      <c r="B2322" s="92" t="s">
        <v>14</v>
      </c>
      <c r="C2322" s="51">
        <v>0.73611111111111105</v>
      </c>
      <c r="D2322" s="93">
        <v>0</v>
      </c>
      <c r="E2322" s="93">
        <v>0</v>
      </c>
      <c r="F2322" s="93">
        <v>0</v>
      </c>
      <c r="G2322" s="93">
        <v>0</v>
      </c>
      <c r="H2322" s="93">
        <v>0</v>
      </c>
      <c r="I2322" s="93">
        <v>0</v>
      </c>
      <c r="J2322" s="93">
        <v>0</v>
      </c>
    </row>
    <row r="2323" spans="1:10">
      <c r="A2323" s="92" t="s">
        <v>15</v>
      </c>
      <c r="B2323" s="92" t="s">
        <v>14</v>
      </c>
      <c r="C2323" s="51">
        <v>0.73680555555555505</v>
      </c>
      <c r="D2323" s="93">
        <v>0</v>
      </c>
      <c r="E2323" s="93">
        <v>0</v>
      </c>
      <c r="F2323" s="93">
        <v>0</v>
      </c>
      <c r="G2323" s="93">
        <v>0</v>
      </c>
      <c r="H2323" s="93">
        <v>0</v>
      </c>
      <c r="I2323" s="93">
        <v>0</v>
      </c>
      <c r="J2323" s="93">
        <v>0</v>
      </c>
    </row>
    <row r="2324" spans="1:10">
      <c r="A2324" s="92" t="s">
        <v>15</v>
      </c>
      <c r="B2324" s="92" t="s">
        <v>14</v>
      </c>
      <c r="C2324" s="51">
        <v>0.73750000000000004</v>
      </c>
      <c r="D2324" s="93">
        <v>0</v>
      </c>
      <c r="E2324" s="93">
        <v>0</v>
      </c>
      <c r="F2324" s="93">
        <v>0</v>
      </c>
      <c r="G2324" s="93">
        <v>0</v>
      </c>
      <c r="H2324" s="93">
        <v>0</v>
      </c>
      <c r="I2324" s="93">
        <v>0</v>
      </c>
      <c r="J2324" s="93">
        <v>0</v>
      </c>
    </row>
    <row r="2325" spans="1:10">
      <c r="A2325" s="92" t="s">
        <v>15</v>
      </c>
      <c r="B2325" s="92" t="s">
        <v>14</v>
      </c>
      <c r="C2325" s="51">
        <v>0.73819444444444404</v>
      </c>
      <c r="D2325" s="93">
        <v>0</v>
      </c>
      <c r="E2325" s="93">
        <v>0</v>
      </c>
      <c r="F2325" s="93">
        <v>0</v>
      </c>
      <c r="G2325" s="93">
        <v>0</v>
      </c>
      <c r="H2325" s="93">
        <v>0</v>
      </c>
      <c r="I2325" s="93">
        <v>0</v>
      </c>
      <c r="J2325" s="93">
        <v>0</v>
      </c>
    </row>
    <row r="2326" spans="1:10" s="78" customFormat="1">
      <c r="A2326" s="94" t="s">
        <v>15</v>
      </c>
      <c r="B2326" s="94" t="s">
        <v>14</v>
      </c>
      <c r="C2326" s="95">
        <v>0.73888888888888904</v>
      </c>
      <c r="D2326" s="96">
        <v>0</v>
      </c>
      <c r="E2326" s="96">
        <v>0</v>
      </c>
      <c r="F2326" s="96">
        <v>0</v>
      </c>
      <c r="G2326" s="96">
        <v>0</v>
      </c>
      <c r="H2326" s="96">
        <v>0</v>
      </c>
      <c r="I2326" s="96">
        <v>0</v>
      </c>
      <c r="J2326" s="96">
        <v>0</v>
      </c>
    </row>
    <row r="2327" spans="1:10">
      <c r="A2327" s="92" t="s">
        <v>15</v>
      </c>
      <c r="B2327" s="92" t="s">
        <v>14</v>
      </c>
      <c r="C2327" s="51">
        <v>0.73958333333333304</v>
      </c>
      <c r="D2327" s="93">
        <v>0</v>
      </c>
      <c r="E2327" s="93">
        <v>0</v>
      </c>
      <c r="F2327" s="93">
        <v>0</v>
      </c>
      <c r="G2327" s="93">
        <v>0</v>
      </c>
      <c r="H2327" s="93">
        <v>0</v>
      </c>
      <c r="I2327" s="93">
        <v>0</v>
      </c>
      <c r="J2327" s="93">
        <v>0</v>
      </c>
    </row>
    <row r="2328" spans="1:10">
      <c r="A2328" s="92" t="s">
        <v>15</v>
      </c>
      <c r="B2328" s="92" t="s">
        <v>14</v>
      </c>
      <c r="C2328" s="51">
        <v>0.74027777777777803</v>
      </c>
      <c r="D2328" s="93">
        <v>0</v>
      </c>
      <c r="E2328" s="93">
        <v>0</v>
      </c>
      <c r="F2328" s="93">
        <v>0</v>
      </c>
      <c r="G2328" s="93">
        <v>0</v>
      </c>
      <c r="H2328" s="93">
        <v>0</v>
      </c>
      <c r="I2328" s="93">
        <v>0</v>
      </c>
      <c r="J2328" s="93">
        <v>0</v>
      </c>
    </row>
    <row r="2329" spans="1:10">
      <c r="A2329" s="92" t="s">
        <v>15</v>
      </c>
      <c r="B2329" s="92" t="s">
        <v>14</v>
      </c>
      <c r="C2329" s="51">
        <v>0.74097222222222203</v>
      </c>
      <c r="D2329" s="93">
        <v>0</v>
      </c>
      <c r="E2329" s="93">
        <v>0</v>
      </c>
      <c r="F2329" s="93">
        <v>0</v>
      </c>
      <c r="G2329" s="93">
        <v>0</v>
      </c>
      <c r="H2329" s="93">
        <v>0</v>
      </c>
      <c r="I2329" s="93">
        <v>0</v>
      </c>
      <c r="J2329" s="93">
        <v>0</v>
      </c>
    </row>
    <row r="2330" spans="1:10">
      <c r="A2330" s="92" t="s">
        <v>15</v>
      </c>
      <c r="B2330" s="92" t="s">
        <v>14</v>
      </c>
      <c r="C2330" s="51">
        <v>0.74166666666666703</v>
      </c>
      <c r="D2330" s="93">
        <v>0</v>
      </c>
      <c r="E2330" s="93">
        <v>0</v>
      </c>
      <c r="F2330" s="93">
        <v>0</v>
      </c>
      <c r="G2330" s="93">
        <v>0</v>
      </c>
      <c r="H2330" s="93">
        <v>0</v>
      </c>
      <c r="I2330" s="93">
        <v>0</v>
      </c>
      <c r="J2330" s="93">
        <v>0</v>
      </c>
    </row>
    <row r="2331" spans="1:10">
      <c r="A2331" s="92" t="s">
        <v>15</v>
      </c>
      <c r="B2331" s="92" t="s">
        <v>14</v>
      </c>
      <c r="C2331" s="51">
        <v>0.74236111111111103</v>
      </c>
      <c r="D2331" s="93">
        <v>0</v>
      </c>
      <c r="E2331" s="93">
        <v>0</v>
      </c>
      <c r="F2331" s="93">
        <v>0</v>
      </c>
      <c r="G2331" s="93">
        <v>0</v>
      </c>
      <c r="H2331" s="93">
        <v>0</v>
      </c>
      <c r="I2331" s="93">
        <v>0</v>
      </c>
      <c r="J2331" s="93">
        <v>0</v>
      </c>
    </row>
    <row r="2332" spans="1:10">
      <c r="A2332" s="92" t="s">
        <v>15</v>
      </c>
      <c r="B2332" s="92" t="s">
        <v>14</v>
      </c>
      <c r="C2332" s="51">
        <v>0.74305555555555503</v>
      </c>
      <c r="D2332" s="93">
        <v>0</v>
      </c>
      <c r="E2332" s="93">
        <v>0</v>
      </c>
      <c r="F2332" s="93">
        <v>0</v>
      </c>
      <c r="G2332" s="93">
        <v>0</v>
      </c>
      <c r="H2332" s="93">
        <v>0</v>
      </c>
      <c r="I2332" s="93">
        <v>0</v>
      </c>
      <c r="J2332" s="93">
        <v>0</v>
      </c>
    </row>
    <row r="2333" spans="1:10">
      <c r="A2333" s="92" t="s">
        <v>15</v>
      </c>
      <c r="B2333" s="92" t="s">
        <v>14</v>
      </c>
      <c r="C2333" s="51">
        <v>0.74375000000000002</v>
      </c>
      <c r="D2333" s="93">
        <v>0</v>
      </c>
      <c r="E2333" s="93">
        <v>0</v>
      </c>
      <c r="F2333" s="93">
        <v>0</v>
      </c>
      <c r="G2333" s="93">
        <v>0</v>
      </c>
      <c r="H2333" s="93">
        <v>0</v>
      </c>
      <c r="I2333" s="93">
        <v>0</v>
      </c>
      <c r="J2333" s="93">
        <v>0</v>
      </c>
    </row>
    <row r="2334" spans="1:10">
      <c r="A2334" s="92" t="s">
        <v>15</v>
      </c>
      <c r="B2334" s="92" t="s">
        <v>14</v>
      </c>
      <c r="C2334" s="51">
        <v>0.74444444444444402</v>
      </c>
      <c r="D2334" s="93">
        <v>0</v>
      </c>
      <c r="E2334" s="93">
        <v>0</v>
      </c>
      <c r="F2334" s="93">
        <v>0</v>
      </c>
      <c r="G2334" s="93">
        <v>0</v>
      </c>
      <c r="H2334" s="93">
        <v>0</v>
      </c>
      <c r="I2334" s="93">
        <v>0</v>
      </c>
      <c r="J2334" s="93">
        <v>0</v>
      </c>
    </row>
    <row r="2335" spans="1:10">
      <c r="A2335" s="92" t="s">
        <v>15</v>
      </c>
      <c r="B2335" s="92" t="s">
        <v>14</v>
      </c>
      <c r="C2335" s="51">
        <v>0.74513888888888902</v>
      </c>
      <c r="D2335" s="93">
        <v>0</v>
      </c>
      <c r="E2335" s="93">
        <v>0</v>
      </c>
      <c r="F2335" s="93">
        <v>0</v>
      </c>
      <c r="G2335" s="93">
        <v>0</v>
      </c>
      <c r="H2335" s="93">
        <v>0</v>
      </c>
      <c r="I2335" s="93">
        <v>0</v>
      </c>
      <c r="J2335" s="93">
        <v>0</v>
      </c>
    </row>
    <row r="2336" spans="1:10">
      <c r="A2336" s="92" t="s">
        <v>15</v>
      </c>
      <c r="B2336" s="92" t="s">
        <v>14</v>
      </c>
      <c r="C2336" s="51">
        <v>0.74583333333333302</v>
      </c>
      <c r="D2336" s="93">
        <v>0</v>
      </c>
      <c r="E2336" s="93">
        <v>0</v>
      </c>
      <c r="F2336" s="93">
        <v>0</v>
      </c>
      <c r="G2336" s="93">
        <v>0</v>
      </c>
      <c r="H2336" s="93">
        <v>0</v>
      </c>
      <c r="I2336" s="93">
        <v>0</v>
      </c>
      <c r="J2336" s="93">
        <v>0</v>
      </c>
    </row>
    <row r="2337" spans="1:10">
      <c r="A2337" s="92" t="s">
        <v>15</v>
      </c>
      <c r="B2337" s="92" t="s">
        <v>14</v>
      </c>
      <c r="C2337" s="51">
        <v>0.74652777777777801</v>
      </c>
      <c r="D2337" s="93">
        <v>0</v>
      </c>
      <c r="E2337" s="93">
        <v>0</v>
      </c>
      <c r="F2337" s="93">
        <v>0</v>
      </c>
      <c r="G2337" s="93">
        <v>0</v>
      </c>
      <c r="H2337" s="93">
        <v>0</v>
      </c>
      <c r="I2337" s="93">
        <v>0</v>
      </c>
      <c r="J2337" s="93">
        <v>0</v>
      </c>
    </row>
    <row r="2338" spans="1:10">
      <c r="A2338" s="92" t="s">
        <v>15</v>
      </c>
      <c r="B2338" s="92" t="s">
        <v>14</v>
      </c>
      <c r="C2338" s="51">
        <v>0.74722222222222201</v>
      </c>
      <c r="D2338" s="93">
        <v>0</v>
      </c>
      <c r="E2338" s="93">
        <v>0</v>
      </c>
      <c r="F2338" s="93">
        <v>0</v>
      </c>
      <c r="G2338" s="93">
        <v>0</v>
      </c>
      <c r="H2338" s="93">
        <v>0</v>
      </c>
      <c r="I2338" s="93">
        <v>0</v>
      </c>
      <c r="J2338" s="93">
        <v>0</v>
      </c>
    </row>
    <row r="2339" spans="1:10">
      <c r="A2339" s="92" t="s">
        <v>15</v>
      </c>
      <c r="B2339" s="92" t="s">
        <v>14</v>
      </c>
      <c r="C2339" s="51">
        <v>0.74791666666666701</v>
      </c>
      <c r="D2339" s="93">
        <v>0</v>
      </c>
      <c r="E2339" s="93">
        <v>0</v>
      </c>
      <c r="F2339" s="93">
        <v>0</v>
      </c>
      <c r="G2339" s="93">
        <v>0</v>
      </c>
      <c r="H2339" s="93">
        <v>0</v>
      </c>
      <c r="I2339" s="93">
        <v>0</v>
      </c>
      <c r="J2339" s="93">
        <v>0</v>
      </c>
    </row>
    <row r="2340" spans="1:10">
      <c r="A2340" s="92" t="s">
        <v>15</v>
      </c>
      <c r="B2340" s="92" t="s">
        <v>14</v>
      </c>
      <c r="C2340" s="51">
        <v>0.74861111111111101</v>
      </c>
      <c r="D2340" s="93">
        <v>0</v>
      </c>
      <c r="E2340" s="93">
        <v>0</v>
      </c>
      <c r="F2340" s="93">
        <v>0</v>
      </c>
      <c r="G2340" s="93">
        <v>0</v>
      </c>
      <c r="H2340" s="93">
        <v>0</v>
      </c>
      <c r="I2340" s="93">
        <v>0</v>
      </c>
      <c r="J2340" s="93">
        <v>0</v>
      </c>
    </row>
    <row r="2341" spans="1:10" s="78" customFormat="1">
      <c r="A2341" s="94" t="s">
        <v>15</v>
      </c>
      <c r="B2341" s="94" t="s">
        <v>14</v>
      </c>
      <c r="C2341" s="95">
        <v>0.749305555555555</v>
      </c>
      <c r="D2341" s="96">
        <v>0</v>
      </c>
      <c r="E2341" s="96">
        <v>0</v>
      </c>
      <c r="F2341" s="96">
        <v>0</v>
      </c>
      <c r="G2341" s="96">
        <v>0</v>
      </c>
      <c r="H2341" s="96">
        <v>0</v>
      </c>
      <c r="I2341" s="96">
        <v>0</v>
      </c>
      <c r="J2341" s="96">
        <v>0</v>
      </c>
    </row>
    <row r="2342" spans="1:10">
      <c r="A2342" s="92" t="s">
        <v>15</v>
      </c>
      <c r="B2342" s="92" t="s">
        <v>14</v>
      </c>
      <c r="C2342" s="51">
        <v>0.75</v>
      </c>
      <c r="D2342" s="93">
        <v>0</v>
      </c>
      <c r="E2342" s="93">
        <v>0</v>
      </c>
      <c r="F2342" s="93">
        <v>0</v>
      </c>
      <c r="G2342" s="93">
        <v>0</v>
      </c>
      <c r="H2342" s="93">
        <v>0</v>
      </c>
      <c r="I2342" s="93">
        <v>0</v>
      </c>
      <c r="J2342" s="93">
        <v>0</v>
      </c>
    </row>
    <row r="2343" spans="1:10">
      <c r="A2343" s="92" t="s">
        <v>15</v>
      </c>
      <c r="B2343" s="92" t="s">
        <v>14</v>
      </c>
      <c r="C2343" s="51">
        <v>0.750694444444444</v>
      </c>
      <c r="D2343" s="93">
        <v>0</v>
      </c>
      <c r="E2343" s="93">
        <v>0</v>
      </c>
      <c r="F2343" s="93">
        <v>0</v>
      </c>
      <c r="G2343" s="93">
        <v>0</v>
      </c>
      <c r="H2343" s="93">
        <v>0</v>
      </c>
      <c r="I2343" s="93">
        <v>0</v>
      </c>
      <c r="J2343" s="93">
        <v>0</v>
      </c>
    </row>
    <row r="2344" spans="1:10">
      <c r="A2344" s="92" t="s">
        <v>15</v>
      </c>
      <c r="B2344" s="92" t="s">
        <v>14</v>
      </c>
      <c r="C2344" s="51">
        <v>0.75138888888888899</v>
      </c>
      <c r="D2344" s="93">
        <v>0</v>
      </c>
      <c r="E2344" s="93">
        <v>0</v>
      </c>
      <c r="F2344" s="93">
        <v>0</v>
      </c>
      <c r="G2344" s="93">
        <v>0</v>
      </c>
      <c r="H2344" s="93">
        <v>0</v>
      </c>
      <c r="I2344" s="93">
        <v>0</v>
      </c>
      <c r="J2344" s="93">
        <v>0</v>
      </c>
    </row>
    <row r="2345" spans="1:10">
      <c r="A2345" s="92" t="s">
        <v>15</v>
      </c>
      <c r="B2345" s="92" t="s">
        <v>14</v>
      </c>
      <c r="C2345" s="51">
        <v>0.75208333333333299</v>
      </c>
      <c r="D2345" s="93">
        <v>0</v>
      </c>
      <c r="E2345" s="93">
        <v>0</v>
      </c>
      <c r="F2345" s="93">
        <v>0</v>
      </c>
      <c r="G2345" s="93">
        <v>0</v>
      </c>
      <c r="H2345" s="93">
        <v>0</v>
      </c>
      <c r="I2345" s="93">
        <v>0</v>
      </c>
      <c r="J2345" s="93">
        <v>0</v>
      </c>
    </row>
    <row r="2346" spans="1:10">
      <c r="A2346" s="92" t="s">
        <v>15</v>
      </c>
      <c r="B2346" s="92" t="s">
        <v>14</v>
      </c>
      <c r="C2346" s="51">
        <v>0.75277777777777799</v>
      </c>
      <c r="D2346" s="93">
        <v>0</v>
      </c>
      <c r="E2346" s="93">
        <v>0</v>
      </c>
      <c r="F2346" s="93">
        <v>0</v>
      </c>
      <c r="G2346" s="93">
        <v>0</v>
      </c>
      <c r="H2346" s="93">
        <v>0</v>
      </c>
      <c r="I2346" s="93">
        <v>0</v>
      </c>
      <c r="J2346" s="93">
        <v>0</v>
      </c>
    </row>
    <row r="2347" spans="1:10">
      <c r="A2347" s="92" t="s">
        <v>15</v>
      </c>
      <c r="B2347" s="92" t="s">
        <v>14</v>
      </c>
      <c r="C2347" s="51">
        <v>0.75347222222222199</v>
      </c>
      <c r="D2347" s="93">
        <v>0</v>
      </c>
      <c r="E2347" s="93">
        <v>0</v>
      </c>
      <c r="F2347" s="93">
        <v>0</v>
      </c>
      <c r="G2347" s="93">
        <v>0</v>
      </c>
      <c r="H2347" s="93">
        <v>0</v>
      </c>
      <c r="I2347" s="93">
        <v>0</v>
      </c>
      <c r="J2347" s="93">
        <v>0</v>
      </c>
    </row>
    <row r="2348" spans="1:10">
      <c r="A2348" s="92" t="s">
        <v>15</v>
      </c>
      <c r="B2348" s="92" t="s">
        <v>14</v>
      </c>
      <c r="C2348" s="51">
        <v>0.75416666666666698</v>
      </c>
      <c r="D2348" s="93">
        <v>0</v>
      </c>
      <c r="E2348" s="93">
        <v>0</v>
      </c>
      <c r="F2348" s="93">
        <v>0</v>
      </c>
      <c r="G2348" s="93">
        <v>0</v>
      </c>
      <c r="H2348" s="93">
        <v>0</v>
      </c>
      <c r="I2348" s="93">
        <v>0</v>
      </c>
      <c r="J2348" s="93">
        <v>0</v>
      </c>
    </row>
    <row r="2349" spans="1:10">
      <c r="A2349" s="92" t="s">
        <v>15</v>
      </c>
      <c r="B2349" s="92" t="s">
        <v>14</v>
      </c>
      <c r="C2349" s="51">
        <v>0.75486111111111098</v>
      </c>
      <c r="D2349" s="93">
        <v>0</v>
      </c>
      <c r="E2349" s="93">
        <v>0</v>
      </c>
      <c r="F2349" s="93">
        <v>0</v>
      </c>
      <c r="G2349" s="93">
        <v>0</v>
      </c>
      <c r="H2349" s="93">
        <v>0</v>
      </c>
      <c r="I2349" s="93">
        <v>0</v>
      </c>
      <c r="J2349" s="93">
        <v>0</v>
      </c>
    </row>
    <row r="2350" spans="1:10">
      <c r="A2350" s="92" t="s">
        <v>15</v>
      </c>
      <c r="B2350" s="92" t="s">
        <v>14</v>
      </c>
      <c r="C2350" s="51">
        <v>0.75555555555555498</v>
      </c>
      <c r="D2350" s="93">
        <v>0</v>
      </c>
      <c r="E2350" s="93">
        <v>0</v>
      </c>
      <c r="F2350" s="93">
        <v>0</v>
      </c>
      <c r="G2350" s="93">
        <v>0</v>
      </c>
      <c r="H2350" s="93">
        <v>0</v>
      </c>
      <c r="I2350" s="93">
        <v>0</v>
      </c>
      <c r="J2350" s="93">
        <v>0</v>
      </c>
    </row>
    <row r="2351" spans="1:10">
      <c r="A2351" s="92" t="s">
        <v>15</v>
      </c>
      <c r="B2351" s="92" t="s">
        <v>14</v>
      </c>
      <c r="C2351" s="51">
        <v>0.75624999999999998</v>
      </c>
      <c r="D2351" s="93">
        <v>0</v>
      </c>
      <c r="E2351" s="93">
        <v>0</v>
      </c>
      <c r="F2351" s="93">
        <v>0</v>
      </c>
      <c r="G2351" s="93">
        <v>0</v>
      </c>
      <c r="H2351" s="93">
        <v>0</v>
      </c>
      <c r="I2351" s="93">
        <v>0</v>
      </c>
      <c r="J2351" s="93">
        <v>0</v>
      </c>
    </row>
    <row r="2352" spans="1:10">
      <c r="A2352" s="92" t="s">
        <v>15</v>
      </c>
      <c r="B2352" s="92" t="s">
        <v>14</v>
      </c>
      <c r="C2352" s="51">
        <v>0.75694444444444398</v>
      </c>
      <c r="D2352" s="93">
        <v>0</v>
      </c>
      <c r="E2352" s="93">
        <v>0</v>
      </c>
      <c r="F2352" s="93">
        <v>0</v>
      </c>
      <c r="G2352" s="93">
        <v>0</v>
      </c>
      <c r="H2352" s="93">
        <v>0</v>
      </c>
      <c r="I2352" s="93">
        <v>0</v>
      </c>
      <c r="J2352" s="93">
        <v>0</v>
      </c>
    </row>
    <row r="2353" spans="1:10">
      <c r="A2353" s="92" t="s">
        <v>15</v>
      </c>
      <c r="B2353" s="92" t="s">
        <v>14</v>
      </c>
      <c r="C2353" s="51">
        <v>0.75763888888888897</v>
      </c>
      <c r="D2353" s="93">
        <v>0</v>
      </c>
      <c r="E2353" s="93">
        <v>0</v>
      </c>
      <c r="F2353" s="93">
        <v>0</v>
      </c>
      <c r="G2353" s="93">
        <v>0</v>
      </c>
      <c r="H2353" s="93">
        <v>0</v>
      </c>
      <c r="I2353" s="93">
        <v>0</v>
      </c>
      <c r="J2353" s="93">
        <v>0</v>
      </c>
    </row>
    <row r="2354" spans="1:10">
      <c r="A2354" s="92" t="s">
        <v>15</v>
      </c>
      <c r="B2354" s="92" t="s">
        <v>14</v>
      </c>
      <c r="C2354" s="51">
        <v>0.75833333333333297</v>
      </c>
      <c r="D2354" s="93">
        <v>0</v>
      </c>
      <c r="E2354" s="93">
        <v>0</v>
      </c>
      <c r="F2354" s="93">
        <v>0</v>
      </c>
      <c r="G2354" s="93">
        <v>0</v>
      </c>
      <c r="H2354" s="93">
        <v>0</v>
      </c>
      <c r="I2354" s="93">
        <v>0</v>
      </c>
      <c r="J2354" s="93">
        <v>0</v>
      </c>
    </row>
    <row r="2355" spans="1:10">
      <c r="A2355" s="92" t="s">
        <v>15</v>
      </c>
      <c r="B2355" s="92" t="s">
        <v>14</v>
      </c>
      <c r="C2355" s="51">
        <v>0.75902777777777797</v>
      </c>
      <c r="D2355" s="93">
        <v>0</v>
      </c>
      <c r="E2355" s="93">
        <v>0</v>
      </c>
      <c r="F2355" s="93">
        <v>0</v>
      </c>
      <c r="G2355" s="93">
        <v>0</v>
      </c>
      <c r="H2355" s="93">
        <v>0</v>
      </c>
      <c r="I2355" s="93">
        <v>0</v>
      </c>
      <c r="J2355" s="93">
        <v>0</v>
      </c>
    </row>
    <row r="2356" spans="1:10" s="78" customFormat="1">
      <c r="A2356" s="94" t="s">
        <v>15</v>
      </c>
      <c r="B2356" s="94" t="s">
        <v>14</v>
      </c>
      <c r="C2356" s="95">
        <v>0.75972222222222197</v>
      </c>
      <c r="D2356" s="96">
        <v>0</v>
      </c>
      <c r="E2356" s="96">
        <v>0</v>
      </c>
      <c r="F2356" s="96">
        <v>0</v>
      </c>
      <c r="G2356" s="96">
        <v>0</v>
      </c>
      <c r="H2356" s="96">
        <v>0</v>
      </c>
      <c r="I2356" s="96">
        <v>0</v>
      </c>
      <c r="J2356" s="96">
        <v>0</v>
      </c>
    </row>
    <row r="2357" spans="1:10">
      <c r="A2357" s="92" t="s">
        <v>15</v>
      </c>
      <c r="B2357" s="92" t="s">
        <v>14</v>
      </c>
      <c r="C2357" s="51">
        <v>0.76041666666666696</v>
      </c>
      <c r="D2357" s="93">
        <v>0</v>
      </c>
      <c r="E2357" s="93">
        <v>0</v>
      </c>
      <c r="F2357" s="93">
        <v>0</v>
      </c>
      <c r="G2357" s="93">
        <v>0</v>
      </c>
      <c r="H2357" s="93">
        <v>0</v>
      </c>
      <c r="I2357" s="93">
        <v>0</v>
      </c>
      <c r="J2357" s="93">
        <v>0</v>
      </c>
    </row>
    <row r="2358" spans="1:10">
      <c r="A2358" s="92" t="s">
        <v>15</v>
      </c>
      <c r="B2358" s="92" t="s">
        <v>14</v>
      </c>
      <c r="C2358" s="51">
        <v>0.76111111111111096</v>
      </c>
      <c r="D2358" s="93">
        <v>0</v>
      </c>
      <c r="E2358" s="93">
        <v>0</v>
      </c>
      <c r="F2358" s="93">
        <v>0</v>
      </c>
      <c r="G2358" s="93">
        <v>0</v>
      </c>
      <c r="H2358" s="93">
        <v>0</v>
      </c>
      <c r="I2358" s="93">
        <v>0</v>
      </c>
      <c r="J2358" s="93">
        <v>0</v>
      </c>
    </row>
    <row r="2359" spans="1:10">
      <c r="A2359" s="92" t="s">
        <v>15</v>
      </c>
      <c r="B2359" s="92" t="s">
        <v>14</v>
      </c>
      <c r="C2359" s="51">
        <v>0.76180555555555496</v>
      </c>
      <c r="D2359" s="93">
        <v>0</v>
      </c>
      <c r="E2359" s="93">
        <v>0</v>
      </c>
      <c r="F2359" s="93">
        <v>0</v>
      </c>
      <c r="G2359" s="93">
        <v>0</v>
      </c>
      <c r="H2359" s="93">
        <v>0</v>
      </c>
      <c r="I2359" s="93">
        <v>0</v>
      </c>
      <c r="J2359" s="93">
        <v>0</v>
      </c>
    </row>
    <row r="2360" spans="1:10">
      <c r="A2360" s="92" t="s">
        <v>15</v>
      </c>
      <c r="B2360" s="92" t="s">
        <v>14</v>
      </c>
      <c r="C2360" s="51">
        <v>0.76249999999999996</v>
      </c>
      <c r="D2360" s="93">
        <v>0</v>
      </c>
      <c r="E2360" s="93">
        <v>0</v>
      </c>
      <c r="F2360" s="93">
        <v>0</v>
      </c>
      <c r="G2360" s="93">
        <v>0</v>
      </c>
      <c r="H2360" s="93">
        <v>0</v>
      </c>
      <c r="I2360" s="93">
        <v>0</v>
      </c>
      <c r="J2360" s="93">
        <v>0</v>
      </c>
    </row>
    <row r="2361" spans="1:10">
      <c r="A2361" s="92" t="s">
        <v>15</v>
      </c>
      <c r="B2361" s="92" t="s">
        <v>14</v>
      </c>
      <c r="C2361" s="51">
        <v>0.76319444444444395</v>
      </c>
      <c r="D2361" s="93">
        <v>0</v>
      </c>
      <c r="E2361" s="93">
        <v>0</v>
      </c>
      <c r="F2361" s="93">
        <v>0</v>
      </c>
      <c r="G2361" s="93">
        <v>0</v>
      </c>
      <c r="H2361" s="93">
        <v>0</v>
      </c>
      <c r="I2361" s="93">
        <v>0</v>
      </c>
      <c r="J2361" s="93">
        <v>0</v>
      </c>
    </row>
    <row r="2362" spans="1:10">
      <c r="A2362" s="92" t="s">
        <v>15</v>
      </c>
      <c r="B2362" s="92" t="s">
        <v>14</v>
      </c>
      <c r="C2362" s="51">
        <v>0.76388888888888895</v>
      </c>
      <c r="D2362" s="93">
        <v>0</v>
      </c>
      <c r="E2362" s="93">
        <v>0</v>
      </c>
      <c r="F2362" s="93">
        <v>0</v>
      </c>
      <c r="G2362" s="93">
        <v>0</v>
      </c>
      <c r="H2362" s="93">
        <v>0</v>
      </c>
      <c r="I2362" s="93">
        <v>0</v>
      </c>
      <c r="J2362" s="93">
        <v>0</v>
      </c>
    </row>
    <row r="2363" spans="1:10">
      <c r="A2363" s="92" t="s">
        <v>15</v>
      </c>
      <c r="B2363" s="92" t="s">
        <v>14</v>
      </c>
      <c r="C2363" s="51">
        <v>0.76458333333333295</v>
      </c>
      <c r="D2363" s="93">
        <v>0</v>
      </c>
      <c r="E2363" s="93">
        <v>0</v>
      </c>
      <c r="F2363" s="93">
        <v>0</v>
      </c>
      <c r="G2363" s="93">
        <v>0</v>
      </c>
      <c r="H2363" s="93">
        <v>0</v>
      </c>
      <c r="I2363" s="93">
        <v>0</v>
      </c>
      <c r="J2363" s="93">
        <v>0</v>
      </c>
    </row>
    <row r="2364" spans="1:10">
      <c r="A2364" s="92" t="s">
        <v>15</v>
      </c>
      <c r="B2364" s="92" t="s">
        <v>14</v>
      </c>
      <c r="C2364" s="51">
        <v>0.76527777777777795</v>
      </c>
      <c r="D2364" s="93">
        <v>0</v>
      </c>
      <c r="E2364" s="93">
        <v>0</v>
      </c>
      <c r="F2364" s="93">
        <v>0</v>
      </c>
      <c r="G2364" s="93">
        <v>0</v>
      </c>
      <c r="H2364" s="93">
        <v>0</v>
      </c>
      <c r="I2364" s="93">
        <v>0</v>
      </c>
      <c r="J2364" s="93">
        <v>0</v>
      </c>
    </row>
    <row r="2365" spans="1:10">
      <c r="A2365" s="92" t="s">
        <v>15</v>
      </c>
      <c r="B2365" s="92" t="s">
        <v>14</v>
      </c>
      <c r="C2365" s="51">
        <v>0.76597222222222205</v>
      </c>
      <c r="D2365" s="93">
        <v>0</v>
      </c>
      <c r="E2365" s="93">
        <v>0</v>
      </c>
      <c r="F2365" s="93">
        <v>0</v>
      </c>
      <c r="G2365" s="93">
        <v>0</v>
      </c>
      <c r="H2365" s="93">
        <v>0</v>
      </c>
      <c r="I2365" s="93">
        <v>0</v>
      </c>
      <c r="J2365" s="93">
        <v>0</v>
      </c>
    </row>
    <row r="2366" spans="1:10">
      <c r="A2366" s="92" t="s">
        <v>15</v>
      </c>
      <c r="B2366" s="92" t="s">
        <v>14</v>
      </c>
      <c r="C2366" s="51">
        <v>0.76666666666666605</v>
      </c>
      <c r="D2366" s="93">
        <v>0</v>
      </c>
      <c r="E2366" s="93">
        <v>0</v>
      </c>
      <c r="F2366" s="93">
        <v>0</v>
      </c>
      <c r="G2366" s="93">
        <v>0</v>
      </c>
      <c r="H2366" s="93">
        <v>0</v>
      </c>
      <c r="I2366" s="93">
        <v>0</v>
      </c>
      <c r="J2366" s="93">
        <v>0</v>
      </c>
    </row>
    <row r="2367" spans="1:10">
      <c r="A2367" s="92" t="s">
        <v>15</v>
      </c>
      <c r="B2367" s="92" t="s">
        <v>14</v>
      </c>
      <c r="C2367" s="51">
        <v>0.76736111111111105</v>
      </c>
      <c r="D2367" s="93">
        <v>0</v>
      </c>
      <c r="E2367" s="93">
        <v>0</v>
      </c>
      <c r="F2367" s="93">
        <v>0</v>
      </c>
      <c r="G2367" s="93">
        <v>0</v>
      </c>
      <c r="H2367" s="93">
        <v>0</v>
      </c>
      <c r="I2367" s="93">
        <v>0</v>
      </c>
      <c r="J2367" s="93">
        <v>0</v>
      </c>
    </row>
    <row r="2368" spans="1:10">
      <c r="A2368" s="92" t="s">
        <v>15</v>
      </c>
      <c r="B2368" s="92" t="s">
        <v>14</v>
      </c>
      <c r="C2368" s="51">
        <v>0.76805555555555505</v>
      </c>
      <c r="D2368" s="93">
        <v>0</v>
      </c>
      <c r="E2368" s="93">
        <v>0</v>
      </c>
      <c r="F2368" s="93">
        <v>0</v>
      </c>
      <c r="G2368" s="93">
        <v>0</v>
      </c>
      <c r="H2368" s="93">
        <v>0</v>
      </c>
      <c r="I2368" s="93">
        <v>0</v>
      </c>
      <c r="J2368" s="93">
        <v>0</v>
      </c>
    </row>
    <row r="2369" spans="1:10">
      <c r="A2369" s="92" t="s">
        <v>15</v>
      </c>
      <c r="B2369" s="92" t="s">
        <v>14</v>
      </c>
      <c r="C2369" s="51">
        <v>0.76875000000000004</v>
      </c>
      <c r="D2369" s="93">
        <v>0</v>
      </c>
      <c r="E2369" s="93">
        <v>0</v>
      </c>
      <c r="F2369" s="93">
        <v>0</v>
      </c>
      <c r="G2369" s="93">
        <v>0</v>
      </c>
      <c r="H2369" s="93">
        <v>0</v>
      </c>
      <c r="I2369" s="93">
        <v>0</v>
      </c>
      <c r="J2369" s="93">
        <v>0</v>
      </c>
    </row>
    <row r="2370" spans="1:10">
      <c r="A2370" s="92" t="s">
        <v>15</v>
      </c>
      <c r="B2370" s="92" t="s">
        <v>14</v>
      </c>
      <c r="C2370" s="51">
        <v>0.76944444444444404</v>
      </c>
      <c r="D2370" s="93">
        <v>0</v>
      </c>
      <c r="E2370" s="93">
        <v>0</v>
      </c>
      <c r="F2370" s="93">
        <v>0</v>
      </c>
      <c r="G2370" s="93">
        <v>0</v>
      </c>
      <c r="H2370" s="93">
        <v>0</v>
      </c>
      <c r="I2370" s="93">
        <v>0</v>
      </c>
      <c r="J2370" s="93">
        <v>0</v>
      </c>
    </row>
    <row r="2371" spans="1:10" s="78" customFormat="1">
      <c r="A2371" s="94" t="s">
        <v>15</v>
      </c>
      <c r="B2371" s="94" t="s">
        <v>14</v>
      </c>
      <c r="C2371" s="95">
        <v>0.77013888888888904</v>
      </c>
      <c r="D2371" s="96">
        <v>0</v>
      </c>
      <c r="E2371" s="96">
        <v>0</v>
      </c>
      <c r="F2371" s="96">
        <v>0</v>
      </c>
      <c r="G2371" s="96">
        <v>0</v>
      </c>
      <c r="H2371" s="96">
        <v>0</v>
      </c>
      <c r="I2371" s="96">
        <v>0</v>
      </c>
      <c r="J2371" s="96">
        <v>0</v>
      </c>
    </row>
    <row r="2372" spans="1:10">
      <c r="A2372" s="92" t="s">
        <v>15</v>
      </c>
      <c r="B2372" s="92" t="s">
        <v>14</v>
      </c>
      <c r="C2372" s="51">
        <v>0.77083333333333304</v>
      </c>
      <c r="D2372" s="93">
        <v>0</v>
      </c>
      <c r="E2372" s="93">
        <v>0</v>
      </c>
      <c r="F2372" s="93">
        <v>0</v>
      </c>
      <c r="G2372" s="93">
        <v>0</v>
      </c>
      <c r="H2372" s="93">
        <v>0</v>
      </c>
      <c r="I2372" s="93">
        <v>0</v>
      </c>
      <c r="J2372" s="93">
        <v>0</v>
      </c>
    </row>
    <row r="2373" spans="1:10">
      <c r="A2373" s="92" t="s">
        <v>15</v>
      </c>
      <c r="B2373" s="92" t="s">
        <v>14</v>
      </c>
      <c r="C2373" s="51">
        <v>0.77152777777777803</v>
      </c>
      <c r="D2373" s="93">
        <v>0</v>
      </c>
      <c r="E2373" s="93">
        <v>0</v>
      </c>
      <c r="F2373" s="93">
        <v>0</v>
      </c>
      <c r="G2373" s="93">
        <v>0</v>
      </c>
      <c r="H2373" s="93">
        <v>0</v>
      </c>
      <c r="I2373" s="93">
        <v>0</v>
      </c>
      <c r="J2373" s="93">
        <v>0</v>
      </c>
    </row>
    <row r="2374" spans="1:10">
      <c r="A2374" s="92" t="s">
        <v>15</v>
      </c>
      <c r="B2374" s="92" t="s">
        <v>14</v>
      </c>
      <c r="C2374" s="51">
        <v>0.77222222222222203</v>
      </c>
      <c r="D2374" s="93">
        <v>0</v>
      </c>
      <c r="E2374" s="93">
        <v>0</v>
      </c>
      <c r="F2374" s="93">
        <v>0</v>
      </c>
      <c r="G2374" s="93">
        <v>0</v>
      </c>
      <c r="H2374" s="93">
        <v>0</v>
      </c>
      <c r="I2374" s="93">
        <v>0</v>
      </c>
      <c r="J2374" s="93">
        <v>0</v>
      </c>
    </row>
    <row r="2375" spans="1:10">
      <c r="A2375" s="92" t="s">
        <v>15</v>
      </c>
      <c r="B2375" s="92" t="s">
        <v>14</v>
      </c>
      <c r="C2375" s="51">
        <v>0.77291666666666603</v>
      </c>
      <c r="D2375" s="93">
        <v>0</v>
      </c>
      <c r="E2375" s="93">
        <v>0</v>
      </c>
      <c r="F2375" s="93">
        <v>0</v>
      </c>
      <c r="G2375" s="93">
        <v>0</v>
      </c>
      <c r="H2375" s="93">
        <v>0</v>
      </c>
      <c r="I2375" s="93">
        <v>0</v>
      </c>
      <c r="J2375" s="93">
        <v>0</v>
      </c>
    </row>
    <row r="2376" spans="1:10">
      <c r="A2376" s="92" t="s">
        <v>15</v>
      </c>
      <c r="B2376" s="92" t="s">
        <v>14</v>
      </c>
      <c r="C2376" s="51">
        <v>0.77361111111111103</v>
      </c>
      <c r="D2376" s="93">
        <v>0</v>
      </c>
      <c r="E2376" s="93">
        <v>0</v>
      </c>
      <c r="F2376" s="93">
        <v>0</v>
      </c>
      <c r="G2376" s="93">
        <v>0</v>
      </c>
      <c r="H2376" s="93">
        <v>0</v>
      </c>
      <c r="I2376" s="93">
        <v>0</v>
      </c>
      <c r="J2376" s="93">
        <v>0</v>
      </c>
    </row>
    <row r="2377" spans="1:10">
      <c r="A2377" s="92" t="s">
        <v>15</v>
      </c>
      <c r="B2377" s="92" t="s">
        <v>14</v>
      </c>
      <c r="C2377" s="51">
        <v>0.77430555555555503</v>
      </c>
      <c r="D2377" s="93">
        <v>0</v>
      </c>
      <c r="E2377" s="93">
        <v>0</v>
      </c>
      <c r="F2377" s="93">
        <v>0</v>
      </c>
      <c r="G2377" s="93">
        <v>0</v>
      </c>
      <c r="H2377" s="93">
        <v>0</v>
      </c>
      <c r="I2377" s="93">
        <v>0</v>
      </c>
      <c r="J2377" s="93">
        <v>0</v>
      </c>
    </row>
    <row r="2378" spans="1:10">
      <c r="A2378" s="92" t="s">
        <v>15</v>
      </c>
      <c r="B2378" s="92" t="s">
        <v>14</v>
      </c>
      <c r="C2378" s="51">
        <v>0.77500000000000002</v>
      </c>
      <c r="D2378" s="93">
        <v>0</v>
      </c>
      <c r="E2378" s="93">
        <v>0</v>
      </c>
      <c r="F2378" s="93">
        <v>0</v>
      </c>
      <c r="G2378" s="93">
        <v>0</v>
      </c>
      <c r="H2378" s="93">
        <v>0</v>
      </c>
      <c r="I2378" s="93">
        <v>0</v>
      </c>
      <c r="J2378" s="93">
        <v>0</v>
      </c>
    </row>
    <row r="2379" spans="1:10">
      <c r="A2379" s="92" t="s">
        <v>15</v>
      </c>
      <c r="B2379" s="92" t="s">
        <v>14</v>
      </c>
      <c r="C2379" s="51">
        <v>0.77569444444444402</v>
      </c>
      <c r="D2379" s="93">
        <v>0</v>
      </c>
      <c r="E2379" s="93">
        <v>0</v>
      </c>
      <c r="F2379" s="93">
        <v>0</v>
      </c>
      <c r="G2379" s="93">
        <v>0</v>
      </c>
      <c r="H2379" s="93">
        <v>0</v>
      </c>
      <c r="I2379" s="93">
        <v>0</v>
      </c>
      <c r="J2379" s="93">
        <v>0</v>
      </c>
    </row>
    <row r="2380" spans="1:10">
      <c r="A2380" s="92" t="s">
        <v>15</v>
      </c>
      <c r="B2380" s="92" t="s">
        <v>14</v>
      </c>
      <c r="C2380" s="51">
        <v>0.77638888888888902</v>
      </c>
      <c r="D2380" s="93">
        <v>0</v>
      </c>
      <c r="E2380" s="93">
        <v>0</v>
      </c>
      <c r="F2380" s="93">
        <v>0</v>
      </c>
      <c r="G2380" s="93">
        <v>0</v>
      </c>
      <c r="H2380" s="93">
        <v>0</v>
      </c>
      <c r="I2380" s="93">
        <v>0</v>
      </c>
      <c r="J2380" s="93">
        <v>0</v>
      </c>
    </row>
    <row r="2381" spans="1:10">
      <c r="A2381" s="92" t="s">
        <v>15</v>
      </c>
      <c r="B2381" s="92" t="s">
        <v>14</v>
      </c>
      <c r="C2381" s="51">
        <v>0.77708333333333302</v>
      </c>
      <c r="D2381" s="93">
        <v>0</v>
      </c>
      <c r="E2381" s="93">
        <v>0</v>
      </c>
      <c r="F2381" s="93">
        <v>0</v>
      </c>
      <c r="G2381" s="93">
        <v>0</v>
      </c>
      <c r="H2381" s="93">
        <v>0</v>
      </c>
      <c r="I2381" s="93">
        <v>0</v>
      </c>
      <c r="J2381" s="93">
        <v>0</v>
      </c>
    </row>
    <row r="2382" spans="1:10">
      <c r="A2382" s="92" t="s">
        <v>15</v>
      </c>
      <c r="B2382" s="92" t="s">
        <v>14</v>
      </c>
      <c r="C2382" s="51">
        <v>0.77777777777777801</v>
      </c>
      <c r="D2382" s="93">
        <v>0</v>
      </c>
      <c r="E2382" s="93">
        <v>0</v>
      </c>
      <c r="F2382" s="93">
        <v>0</v>
      </c>
      <c r="G2382" s="93">
        <v>0</v>
      </c>
      <c r="H2382" s="93">
        <v>0</v>
      </c>
      <c r="I2382" s="93">
        <v>0</v>
      </c>
      <c r="J2382" s="93">
        <v>0</v>
      </c>
    </row>
    <row r="2383" spans="1:10">
      <c r="A2383" s="92" t="s">
        <v>15</v>
      </c>
      <c r="B2383" s="92" t="s">
        <v>14</v>
      </c>
      <c r="C2383" s="51">
        <v>0.77847222222222201</v>
      </c>
      <c r="D2383" s="93">
        <v>0</v>
      </c>
      <c r="E2383" s="93">
        <v>0</v>
      </c>
      <c r="F2383" s="93">
        <v>0</v>
      </c>
      <c r="G2383" s="93">
        <v>0</v>
      </c>
      <c r="H2383" s="93">
        <v>0</v>
      </c>
      <c r="I2383" s="93">
        <v>0</v>
      </c>
      <c r="J2383" s="93">
        <v>0</v>
      </c>
    </row>
    <row r="2384" spans="1:10">
      <c r="A2384" s="92" t="s">
        <v>15</v>
      </c>
      <c r="B2384" s="92" t="s">
        <v>14</v>
      </c>
      <c r="C2384" s="51">
        <v>0.77916666666666601</v>
      </c>
      <c r="D2384" s="93">
        <v>0</v>
      </c>
      <c r="E2384" s="93">
        <v>0</v>
      </c>
      <c r="F2384" s="93">
        <v>0</v>
      </c>
      <c r="G2384" s="93">
        <v>0</v>
      </c>
      <c r="H2384" s="93">
        <v>0</v>
      </c>
      <c r="I2384" s="93">
        <v>0</v>
      </c>
      <c r="J2384" s="93">
        <v>0</v>
      </c>
    </row>
    <row r="2385" spans="1:10">
      <c r="A2385" s="92" t="s">
        <v>15</v>
      </c>
      <c r="B2385" s="92" t="s">
        <v>14</v>
      </c>
      <c r="C2385" s="51">
        <v>0.77986111111111101</v>
      </c>
      <c r="D2385" s="93">
        <v>0</v>
      </c>
      <c r="E2385" s="93">
        <v>0</v>
      </c>
      <c r="F2385" s="93">
        <v>0</v>
      </c>
      <c r="G2385" s="93">
        <v>0</v>
      </c>
      <c r="H2385" s="93">
        <v>0</v>
      </c>
      <c r="I2385" s="93">
        <v>0</v>
      </c>
      <c r="J2385" s="93">
        <v>0</v>
      </c>
    </row>
    <row r="2386" spans="1:10" s="78" customFormat="1">
      <c r="A2386" s="94" t="s">
        <v>15</v>
      </c>
      <c r="B2386" s="94" t="s">
        <v>14</v>
      </c>
      <c r="C2386" s="95">
        <v>0.780555555555555</v>
      </c>
      <c r="D2386" s="96">
        <v>0</v>
      </c>
      <c r="E2386" s="96">
        <v>0</v>
      </c>
      <c r="F2386" s="96">
        <v>0</v>
      </c>
      <c r="G2386" s="96">
        <v>0</v>
      </c>
      <c r="H2386" s="96">
        <v>0</v>
      </c>
      <c r="I2386" s="96">
        <v>0</v>
      </c>
      <c r="J2386" s="96">
        <v>0</v>
      </c>
    </row>
    <row r="2387" spans="1:10">
      <c r="A2387" s="92" t="s">
        <v>15</v>
      </c>
      <c r="B2387" s="92" t="s">
        <v>14</v>
      </c>
      <c r="C2387" s="51">
        <v>0.78125</v>
      </c>
      <c r="D2387" s="93">
        <v>0</v>
      </c>
      <c r="E2387" s="93">
        <v>0</v>
      </c>
      <c r="F2387" s="93">
        <v>0</v>
      </c>
      <c r="G2387" s="93">
        <v>0</v>
      </c>
      <c r="H2387" s="93">
        <v>0</v>
      </c>
      <c r="I2387" s="93">
        <v>0</v>
      </c>
      <c r="J2387" s="93">
        <v>0</v>
      </c>
    </row>
    <row r="2388" spans="1:10">
      <c r="A2388" s="92" t="s">
        <v>15</v>
      </c>
      <c r="B2388" s="92" t="s">
        <v>14</v>
      </c>
      <c r="C2388" s="51">
        <v>0.781944444444444</v>
      </c>
      <c r="D2388" s="93">
        <v>0</v>
      </c>
      <c r="E2388" s="93">
        <v>0</v>
      </c>
      <c r="F2388" s="93">
        <v>0</v>
      </c>
      <c r="G2388" s="93">
        <v>0</v>
      </c>
      <c r="H2388" s="93">
        <v>0</v>
      </c>
      <c r="I2388" s="93">
        <v>0</v>
      </c>
      <c r="J2388" s="93">
        <v>0</v>
      </c>
    </row>
    <row r="2389" spans="1:10">
      <c r="A2389" s="92" t="s">
        <v>15</v>
      </c>
      <c r="B2389" s="92" t="s">
        <v>14</v>
      </c>
      <c r="C2389" s="51">
        <v>0.78263888888888899</v>
      </c>
      <c r="D2389" s="93">
        <v>0</v>
      </c>
      <c r="E2389" s="93">
        <v>0</v>
      </c>
      <c r="F2389" s="93">
        <v>0</v>
      </c>
      <c r="G2389" s="93">
        <v>0</v>
      </c>
      <c r="H2389" s="93">
        <v>0</v>
      </c>
      <c r="I2389" s="93">
        <v>0</v>
      </c>
      <c r="J2389" s="93">
        <v>0</v>
      </c>
    </row>
    <row r="2390" spans="1:10">
      <c r="A2390" s="92" t="s">
        <v>15</v>
      </c>
      <c r="B2390" s="92" t="s">
        <v>14</v>
      </c>
      <c r="C2390" s="51">
        <v>0.78333333333333299</v>
      </c>
      <c r="D2390" s="93">
        <v>0</v>
      </c>
      <c r="E2390" s="93">
        <v>0</v>
      </c>
      <c r="F2390" s="93">
        <v>0</v>
      </c>
      <c r="G2390" s="93">
        <v>0</v>
      </c>
      <c r="H2390" s="93">
        <v>0</v>
      </c>
      <c r="I2390" s="93">
        <v>0</v>
      </c>
      <c r="J2390" s="93">
        <v>0</v>
      </c>
    </row>
    <row r="2391" spans="1:10">
      <c r="A2391" s="92" t="s">
        <v>15</v>
      </c>
      <c r="B2391" s="92" t="s">
        <v>14</v>
      </c>
      <c r="C2391" s="51">
        <v>0.78402777777777799</v>
      </c>
      <c r="D2391" s="93">
        <v>0</v>
      </c>
      <c r="E2391" s="93">
        <v>0</v>
      </c>
      <c r="F2391" s="93">
        <v>0</v>
      </c>
      <c r="G2391" s="93">
        <v>0</v>
      </c>
      <c r="H2391" s="93">
        <v>0</v>
      </c>
      <c r="I2391" s="93">
        <v>0</v>
      </c>
      <c r="J2391" s="93">
        <v>0</v>
      </c>
    </row>
    <row r="2392" spans="1:10">
      <c r="A2392" s="92" t="s">
        <v>15</v>
      </c>
      <c r="B2392" s="92" t="s">
        <v>14</v>
      </c>
      <c r="C2392" s="51">
        <v>0.78472222222222199</v>
      </c>
      <c r="D2392" s="93">
        <v>0</v>
      </c>
      <c r="E2392" s="93">
        <v>0</v>
      </c>
      <c r="F2392" s="93">
        <v>0</v>
      </c>
      <c r="G2392" s="93">
        <v>0</v>
      </c>
      <c r="H2392" s="93">
        <v>0</v>
      </c>
      <c r="I2392" s="93">
        <v>0</v>
      </c>
      <c r="J2392" s="93">
        <v>0</v>
      </c>
    </row>
    <row r="2393" spans="1:10">
      <c r="A2393" s="92" t="s">
        <v>15</v>
      </c>
      <c r="B2393" s="92" t="s">
        <v>14</v>
      </c>
      <c r="C2393" s="51">
        <v>0.78541666666666599</v>
      </c>
      <c r="D2393" s="93">
        <v>0</v>
      </c>
      <c r="E2393" s="93">
        <v>0</v>
      </c>
      <c r="F2393" s="93">
        <v>0</v>
      </c>
      <c r="G2393" s="93">
        <v>0</v>
      </c>
      <c r="H2393" s="93">
        <v>0</v>
      </c>
      <c r="I2393" s="93">
        <v>0</v>
      </c>
      <c r="J2393" s="93">
        <v>0</v>
      </c>
    </row>
    <row r="2394" spans="1:10">
      <c r="A2394" s="92" t="s">
        <v>15</v>
      </c>
      <c r="B2394" s="92" t="s">
        <v>14</v>
      </c>
      <c r="C2394" s="51">
        <v>0.78611111111111098</v>
      </c>
      <c r="D2394" s="93">
        <v>0</v>
      </c>
      <c r="E2394" s="93">
        <v>0</v>
      </c>
      <c r="F2394" s="93">
        <v>0</v>
      </c>
      <c r="G2394" s="93">
        <v>0</v>
      </c>
      <c r="H2394" s="93">
        <v>0</v>
      </c>
      <c r="I2394" s="93">
        <v>0</v>
      </c>
      <c r="J2394" s="93">
        <v>0</v>
      </c>
    </row>
    <row r="2395" spans="1:10">
      <c r="A2395" s="92" t="s">
        <v>15</v>
      </c>
      <c r="B2395" s="92" t="s">
        <v>14</v>
      </c>
      <c r="C2395" s="51">
        <v>0.78680555555555498</v>
      </c>
      <c r="D2395" s="93">
        <v>0</v>
      </c>
      <c r="E2395" s="93">
        <v>0</v>
      </c>
      <c r="F2395" s="93">
        <v>0</v>
      </c>
      <c r="G2395" s="93">
        <v>0</v>
      </c>
      <c r="H2395" s="93">
        <v>0</v>
      </c>
      <c r="I2395" s="93">
        <v>0</v>
      </c>
      <c r="J2395" s="93">
        <v>0</v>
      </c>
    </row>
    <row r="2396" spans="1:10">
      <c r="A2396" s="92" t="s">
        <v>15</v>
      </c>
      <c r="B2396" s="92" t="s">
        <v>14</v>
      </c>
      <c r="C2396" s="51">
        <v>0.78749999999999998</v>
      </c>
      <c r="D2396" s="93">
        <v>0</v>
      </c>
      <c r="E2396" s="93">
        <v>0</v>
      </c>
      <c r="F2396" s="93">
        <v>0</v>
      </c>
      <c r="G2396" s="93">
        <v>0</v>
      </c>
      <c r="H2396" s="93">
        <v>0</v>
      </c>
      <c r="I2396" s="93">
        <v>0</v>
      </c>
      <c r="J2396" s="93">
        <v>0</v>
      </c>
    </row>
    <row r="2397" spans="1:10">
      <c r="A2397" s="92" t="s">
        <v>15</v>
      </c>
      <c r="B2397" s="92" t="s">
        <v>14</v>
      </c>
      <c r="C2397" s="51">
        <v>0.78819444444444398</v>
      </c>
      <c r="D2397" s="93">
        <v>0</v>
      </c>
      <c r="E2397" s="93">
        <v>0</v>
      </c>
      <c r="F2397" s="93">
        <v>0</v>
      </c>
      <c r="G2397" s="93">
        <v>0</v>
      </c>
      <c r="H2397" s="93">
        <v>0</v>
      </c>
      <c r="I2397" s="93">
        <v>0</v>
      </c>
      <c r="J2397" s="93">
        <v>0</v>
      </c>
    </row>
    <row r="2398" spans="1:10">
      <c r="A2398" s="92" t="s">
        <v>15</v>
      </c>
      <c r="B2398" s="92" t="s">
        <v>14</v>
      </c>
      <c r="C2398" s="51">
        <v>0.78888888888888897</v>
      </c>
      <c r="D2398" s="93">
        <v>0</v>
      </c>
      <c r="E2398" s="93">
        <v>0</v>
      </c>
      <c r="F2398" s="93">
        <v>0</v>
      </c>
      <c r="G2398" s="93">
        <v>0</v>
      </c>
      <c r="H2398" s="93">
        <v>0</v>
      </c>
      <c r="I2398" s="93">
        <v>0</v>
      </c>
      <c r="J2398" s="93">
        <v>0</v>
      </c>
    </row>
    <row r="2399" spans="1:10">
      <c r="A2399" s="92" t="s">
        <v>15</v>
      </c>
      <c r="B2399" s="92" t="s">
        <v>14</v>
      </c>
      <c r="C2399" s="51">
        <v>0.78958333333333297</v>
      </c>
      <c r="D2399" s="93">
        <v>0</v>
      </c>
      <c r="E2399" s="93">
        <v>0</v>
      </c>
      <c r="F2399" s="93">
        <v>0</v>
      </c>
      <c r="G2399" s="93">
        <v>0</v>
      </c>
      <c r="H2399" s="93">
        <v>0</v>
      </c>
      <c r="I2399" s="93">
        <v>0</v>
      </c>
      <c r="J2399" s="93">
        <v>0</v>
      </c>
    </row>
    <row r="2400" spans="1:10">
      <c r="A2400" s="92" t="s">
        <v>15</v>
      </c>
      <c r="B2400" s="92" t="s">
        <v>14</v>
      </c>
      <c r="C2400" s="51">
        <v>0.79027777777777797</v>
      </c>
      <c r="D2400" s="93">
        <v>0</v>
      </c>
      <c r="E2400" s="93">
        <v>0</v>
      </c>
      <c r="F2400" s="93">
        <v>0</v>
      </c>
      <c r="G2400" s="93">
        <v>0</v>
      </c>
      <c r="H2400" s="93">
        <v>0</v>
      </c>
      <c r="I2400" s="93">
        <v>0</v>
      </c>
      <c r="J2400" s="93">
        <v>0</v>
      </c>
    </row>
    <row r="2401" spans="1:10" s="28" customFormat="1" ht="17.5" thickBot="1">
      <c r="A2401" s="104" t="s">
        <v>15</v>
      </c>
      <c r="B2401" s="104" t="s">
        <v>14</v>
      </c>
      <c r="C2401" s="105">
        <v>0.79097222222222197</v>
      </c>
      <c r="D2401" s="106">
        <v>0</v>
      </c>
      <c r="E2401" s="106">
        <v>0</v>
      </c>
      <c r="F2401" s="106">
        <v>0</v>
      </c>
      <c r="G2401" s="106">
        <v>0</v>
      </c>
      <c r="H2401" s="106">
        <v>0</v>
      </c>
      <c r="I2401" s="106">
        <v>0</v>
      </c>
      <c r="J2401" s="106">
        <v>0</v>
      </c>
    </row>
    <row r="2402" spans="1:10">
      <c r="A2402" s="107" t="s">
        <v>102</v>
      </c>
      <c r="B2402" s="107" t="s">
        <v>11</v>
      </c>
      <c r="C2402" s="108">
        <v>0.45833333333333331</v>
      </c>
      <c r="D2402" s="112">
        <v>0</v>
      </c>
      <c r="E2402" s="112">
        <v>0</v>
      </c>
      <c r="F2402" s="112">
        <v>0</v>
      </c>
      <c r="G2402" s="112">
        <v>0</v>
      </c>
      <c r="H2402" s="112">
        <v>0</v>
      </c>
      <c r="I2402" s="112">
        <v>0</v>
      </c>
      <c r="J2402" s="112">
        <v>0</v>
      </c>
    </row>
    <row r="2403" spans="1:10">
      <c r="A2403" s="107" t="s">
        <v>102</v>
      </c>
      <c r="B2403" s="107" t="s">
        <v>11</v>
      </c>
      <c r="C2403" s="108">
        <v>0.45902777777777776</v>
      </c>
      <c r="D2403" s="112">
        <v>0</v>
      </c>
      <c r="E2403" s="112">
        <v>0</v>
      </c>
      <c r="F2403" s="112">
        <v>0</v>
      </c>
      <c r="G2403" s="112">
        <v>0</v>
      </c>
      <c r="H2403" s="112">
        <v>0</v>
      </c>
      <c r="I2403" s="112">
        <v>0</v>
      </c>
      <c r="J2403" s="112">
        <v>0</v>
      </c>
    </row>
    <row r="2404" spans="1:10">
      <c r="A2404" s="107" t="s">
        <v>102</v>
      </c>
      <c r="B2404" s="107" t="s">
        <v>11</v>
      </c>
      <c r="C2404" s="108">
        <v>0.45972222222222198</v>
      </c>
      <c r="D2404" s="112">
        <v>0</v>
      </c>
      <c r="E2404" s="112">
        <v>0</v>
      </c>
      <c r="F2404" s="112">
        <v>0</v>
      </c>
      <c r="G2404" s="112">
        <v>0</v>
      </c>
      <c r="H2404" s="112">
        <v>0</v>
      </c>
      <c r="I2404" s="112">
        <v>0</v>
      </c>
      <c r="J2404" s="112">
        <v>0</v>
      </c>
    </row>
    <row r="2405" spans="1:10">
      <c r="A2405" s="107" t="s">
        <v>102</v>
      </c>
      <c r="B2405" s="107" t="s">
        <v>11</v>
      </c>
      <c r="C2405" s="108">
        <v>0.46041666666666697</v>
      </c>
      <c r="D2405" s="112">
        <v>0</v>
      </c>
      <c r="E2405" s="112">
        <v>0</v>
      </c>
      <c r="F2405" s="112">
        <v>0</v>
      </c>
      <c r="G2405" s="112">
        <v>0</v>
      </c>
      <c r="H2405" s="112">
        <v>0</v>
      </c>
      <c r="I2405" s="112">
        <v>0</v>
      </c>
      <c r="J2405" s="112">
        <v>0</v>
      </c>
    </row>
    <row r="2406" spans="1:10">
      <c r="A2406" s="107" t="s">
        <v>102</v>
      </c>
      <c r="B2406" s="107" t="s">
        <v>11</v>
      </c>
      <c r="C2406" s="108">
        <v>0.46111111111111103</v>
      </c>
      <c r="D2406" s="112">
        <v>0</v>
      </c>
      <c r="E2406" s="112">
        <v>0</v>
      </c>
      <c r="F2406" s="112">
        <v>0</v>
      </c>
      <c r="G2406" s="112">
        <v>0</v>
      </c>
      <c r="H2406" s="112">
        <v>0</v>
      </c>
      <c r="I2406" s="112">
        <v>0</v>
      </c>
      <c r="J2406" s="112">
        <v>0</v>
      </c>
    </row>
    <row r="2407" spans="1:10">
      <c r="A2407" s="107" t="s">
        <v>102</v>
      </c>
      <c r="B2407" s="107" t="s">
        <v>11</v>
      </c>
      <c r="C2407" s="108">
        <v>0.46180555555555602</v>
      </c>
      <c r="D2407" s="112">
        <v>0</v>
      </c>
      <c r="E2407" s="112">
        <v>0</v>
      </c>
      <c r="F2407" s="112">
        <v>0</v>
      </c>
      <c r="G2407" s="112">
        <v>0</v>
      </c>
      <c r="H2407" s="112">
        <v>0</v>
      </c>
      <c r="I2407" s="112">
        <v>0</v>
      </c>
      <c r="J2407" s="112">
        <v>0</v>
      </c>
    </row>
    <row r="2408" spans="1:10">
      <c r="A2408" s="107" t="s">
        <v>102</v>
      </c>
      <c r="B2408" s="107" t="s">
        <v>11</v>
      </c>
      <c r="C2408" s="108">
        <v>0.46250000000000002</v>
      </c>
      <c r="D2408" s="112">
        <v>0</v>
      </c>
      <c r="E2408" s="112">
        <v>0</v>
      </c>
      <c r="F2408" s="112">
        <v>0</v>
      </c>
      <c r="G2408" s="112">
        <v>0</v>
      </c>
      <c r="H2408" s="112">
        <v>0</v>
      </c>
      <c r="I2408" s="112">
        <v>0</v>
      </c>
      <c r="J2408" s="112">
        <v>0</v>
      </c>
    </row>
    <row r="2409" spans="1:10">
      <c r="A2409" s="107" t="s">
        <v>102</v>
      </c>
      <c r="B2409" s="107" t="s">
        <v>11</v>
      </c>
      <c r="C2409" s="108">
        <v>0.46319444444444402</v>
      </c>
      <c r="D2409" s="112">
        <v>0</v>
      </c>
      <c r="E2409" s="112">
        <v>0</v>
      </c>
      <c r="F2409" s="112">
        <v>0</v>
      </c>
      <c r="G2409" s="112">
        <v>0</v>
      </c>
      <c r="H2409" s="112">
        <v>0</v>
      </c>
      <c r="I2409" s="112">
        <v>0</v>
      </c>
      <c r="J2409" s="112">
        <v>0</v>
      </c>
    </row>
    <row r="2410" spans="1:10">
      <c r="A2410" s="107" t="s">
        <v>102</v>
      </c>
      <c r="B2410" s="107" t="s">
        <v>11</v>
      </c>
      <c r="C2410" s="108">
        <v>0.46388888888888902</v>
      </c>
      <c r="D2410" s="112">
        <v>0</v>
      </c>
      <c r="E2410" s="112">
        <v>0</v>
      </c>
      <c r="F2410" s="112">
        <v>0</v>
      </c>
      <c r="G2410" s="112">
        <v>0</v>
      </c>
      <c r="H2410" s="112">
        <v>0</v>
      </c>
      <c r="I2410" s="112">
        <v>0</v>
      </c>
      <c r="J2410" s="112">
        <v>0</v>
      </c>
    </row>
    <row r="2411" spans="1:10">
      <c r="A2411" s="107" t="s">
        <v>102</v>
      </c>
      <c r="B2411" s="107" t="s">
        <v>11</v>
      </c>
      <c r="C2411" s="108">
        <v>0.46458333333333302</v>
      </c>
      <c r="D2411" s="112">
        <v>0</v>
      </c>
      <c r="E2411" s="112">
        <v>0</v>
      </c>
      <c r="F2411" s="112">
        <v>0</v>
      </c>
      <c r="G2411" s="112">
        <v>0</v>
      </c>
      <c r="H2411" s="112">
        <v>0</v>
      </c>
      <c r="I2411" s="112">
        <v>0</v>
      </c>
      <c r="J2411" s="112">
        <v>0</v>
      </c>
    </row>
    <row r="2412" spans="1:10">
      <c r="A2412" s="107" t="s">
        <v>102</v>
      </c>
      <c r="B2412" s="107" t="s">
        <v>11</v>
      </c>
      <c r="C2412" s="108">
        <v>0.46527777777777801</v>
      </c>
      <c r="D2412" s="112">
        <v>0</v>
      </c>
      <c r="E2412" s="112">
        <v>0</v>
      </c>
      <c r="F2412" s="112">
        <v>0</v>
      </c>
      <c r="G2412" s="112">
        <v>0</v>
      </c>
      <c r="H2412" s="112">
        <v>0</v>
      </c>
      <c r="I2412" s="112">
        <v>0</v>
      </c>
      <c r="J2412" s="112">
        <v>0</v>
      </c>
    </row>
    <row r="2413" spans="1:10">
      <c r="A2413" s="107" t="s">
        <v>102</v>
      </c>
      <c r="B2413" s="107" t="s">
        <v>11</v>
      </c>
      <c r="C2413" s="108">
        <v>0.46597222222222201</v>
      </c>
      <c r="D2413" s="112">
        <v>0</v>
      </c>
      <c r="E2413" s="112">
        <v>0</v>
      </c>
      <c r="F2413" s="112">
        <v>0</v>
      </c>
      <c r="G2413" s="112">
        <v>0</v>
      </c>
      <c r="H2413" s="112">
        <v>0</v>
      </c>
      <c r="I2413" s="112">
        <v>0</v>
      </c>
      <c r="J2413" s="112">
        <v>0</v>
      </c>
    </row>
    <row r="2414" spans="1:10">
      <c r="A2414" s="107" t="s">
        <v>102</v>
      </c>
      <c r="B2414" s="107" t="s">
        <v>11</v>
      </c>
      <c r="C2414" s="108">
        <v>0.46666666666666701</v>
      </c>
      <c r="D2414" s="112">
        <v>0</v>
      </c>
      <c r="E2414" s="112">
        <v>0</v>
      </c>
      <c r="F2414" s="112">
        <v>0</v>
      </c>
      <c r="G2414" s="112">
        <v>0</v>
      </c>
      <c r="H2414" s="112">
        <v>0</v>
      </c>
      <c r="I2414" s="112">
        <v>0</v>
      </c>
      <c r="J2414" s="112">
        <v>0</v>
      </c>
    </row>
    <row r="2415" spans="1:10">
      <c r="A2415" s="107" t="s">
        <v>102</v>
      </c>
      <c r="B2415" s="107" t="s">
        <v>11</v>
      </c>
      <c r="C2415" s="108">
        <v>0.46736111111111101</v>
      </c>
      <c r="D2415" s="112">
        <v>0</v>
      </c>
      <c r="E2415" s="112">
        <v>0</v>
      </c>
      <c r="F2415" s="112">
        <v>0</v>
      </c>
      <c r="G2415" s="112">
        <v>0</v>
      </c>
      <c r="H2415" s="112">
        <v>0</v>
      </c>
      <c r="I2415" s="112">
        <v>0</v>
      </c>
      <c r="J2415" s="112">
        <v>0</v>
      </c>
    </row>
    <row r="2416" spans="1:10" s="78" customFormat="1">
      <c r="A2416" s="109" t="s">
        <v>102</v>
      </c>
      <c r="B2416" s="109" t="s">
        <v>11</v>
      </c>
      <c r="C2416" s="110">
        <v>0.468055555555556</v>
      </c>
      <c r="D2416" s="111">
        <v>0</v>
      </c>
      <c r="E2416" s="111">
        <v>0</v>
      </c>
      <c r="F2416" s="111">
        <v>0</v>
      </c>
      <c r="G2416" s="111">
        <v>0</v>
      </c>
      <c r="H2416" s="111">
        <v>0</v>
      </c>
      <c r="I2416" s="111">
        <v>0</v>
      </c>
      <c r="J2416" s="111">
        <v>0</v>
      </c>
    </row>
    <row r="2417" spans="1:10">
      <c r="A2417" s="107" t="s">
        <v>102</v>
      </c>
      <c r="B2417" s="107" t="s">
        <v>11</v>
      </c>
      <c r="C2417" s="108">
        <v>0.46875</v>
      </c>
      <c r="D2417" s="116">
        <v>0</v>
      </c>
      <c r="E2417" s="116">
        <v>0</v>
      </c>
      <c r="F2417" s="116">
        <v>0</v>
      </c>
      <c r="G2417" s="116">
        <v>0</v>
      </c>
      <c r="H2417" s="116">
        <v>0</v>
      </c>
      <c r="I2417" s="116">
        <v>0</v>
      </c>
      <c r="J2417" s="116">
        <v>0</v>
      </c>
    </row>
    <row r="2418" spans="1:10">
      <c r="A2418" s="107" t="s">
        <v>102</v>
      </c>
      <c r="B2418" s="107" t="s">
        <v>11</v>
      </c>
      <c r="C2418" s="108">
        <v>0.469444444444444</v>
      </c>
      <c r="D2418" s="112">
        <v>0</v>
      </c>
      <c r="E2418" s="112">
        <v>0</v>
      </c>
      <c r="F2418" s="112">
        <v>0</v>
      </c>
      <c r="G2418" s="112">
        <v>0</v>
      </c>
      <c r="H2418" s="112">
        <v>0</v>
      </c>
      <c r="I2418" s="112">
        <v>0</v>
      </c>
      <c r="J2418" s="112">
        <v>0</v>
      </c>
    </row>
    <row r="2419" spans="1:10">
      <c r="A2419" s="107" t="s">
        <v>102</v>
      </c>
      <c r="B2419" s="107" t="s">
        <v>11</v>
      </c>
      <c r="C2419" s="108">
        <v>0.47013888888888899</v>
      </c>
      <c r="D2419" s="112">
        <v>0</v>
      </c>
      <c r="E2419" s="112">
        <v>0</v>
      </c>
      <c r="F2419" s="112">
        <v>0</v>
      </c>
      <c r="G2419" s="112">
        <v>0</v>
      </c>
      <c r="H2419" s="112">
        <v>0</v>
      </c>
      <c r="I2419" s="112">
        <v>0</v>
      </c>
      <c r="J2419" s="112">
        <v>0</v>
      </c>
    </row>
    <row r="2420" spans="1:10">
      <c r="A2420" s="107" t="s">
        <v>102</v>
      </c>
      <c r="B2420" s="107" t="s">
        <v>11</v>
      </c>
      <c r="C2420" s="108">
        <v>0.47083333333333299</v>
      </c>
      <c r="D2420" s="112">
        <v>0</v>
      </c>
      <c r="E2420" s="112">
        <v>0</v>
      </c>
      <c r="F2420" s="112">
        <v>0</v>
      </c>
      <c r="G2420" s="112">
        <v>0</v>
      </c>
      <c r="H2420" s="112">
        <v>0</v>
      </c>
      <c r="I2420" s="112">
        <v>0</v>
      </c>
      <c r="J2420" s="112">
        <v>0</v>
      </c>
    </row>
    <row r="2421" spans="1:10">
      <c r="A2421" s="107" t="s">
        <v>102</v>
      </c>
      <c r="B2421" s="107" t="s">
        <v>11</v>
      </c>
      <c r="C2421" s="108">
        <v>0.47152777777777799</v>
      </c>
      <c r="D2421" s="112">
        <v>0</v>
      </c>
      <c r="E2421" s="112">
        <v>0</v>
      </c>
      <c r="F2421" s="112">
        <v>0</v>
      </c>
      <c r="G2421" s="112">
        <v>0</v>
      </c>
      <c r="H2421" s="112">
        <v>0</v>
      </c>
      <c r="I2421" s="112">
        <v>0</v>
      </c>
      <c r="J2421" s="112">
        <v>0</v>
      </c>
    </row>
    <row r="2422" spans="1:10">
      <c r="A2422" s="107" t="s">
        <v>102</v>
      </c>
      <c r="B2422" s="107" t="s">
        <v>11</v>
      </c>
      <c r="C2422" s="108">
        <v>0.47222222222222199</v>
      </c>
      <c r="D2422" s="112">
        <v>0</v>
      </c>
      <c r="E2422" s="112">
        <v>0</v>
      </c>
      <c r="F2422" s="112">
        <v>0</v>
      </c>
      <c r="G2422" s="112">
        <v>0</v>
      </c>
      <c r="H2422" s="112">
        <v>0</v>
      </c>
      <c r="I2422" s="112">
        <v>0</v>
      </c>
      <c r="J2422" s="112">
        <v>0</v>
      </c>
    </row>
    <row r="2423" spans="1:10">
      <c r="A2423" s="107" t="s">
        <v>102</v>
      </c>
      <c r="B2423" s="107" t="s">
        <v>11</v>
      </c>
      <c r="C2423" s="108">
        <v>0.47291666666666698</v>
      </c>
      <c r="D2423" s="112">
        <v>0</v>
      </c>
      <c r="E2423" s="112">
        <v>0</v>
      </c>
      <c r="F2423" s="112">
        <v>0</v>
      </c>
      <c r="G2423" s="112">
        <v>0</v>
      </c>
      <c r="H2423" s="112">
        <v>0</v>
      </c>
      <c r="I2423" s="112">
        <v>0</v>
      </c>
      <c r="J2423" s="112">
        <v>0</v>
      </c>
    </row>
    <row r="2424" spans="1:10">
      <c r="A2424" s="107" t="s">
        <v>102</v>
      </c>
      <c r="B2424" s="107" t="s">
        <v>11</v>
      </c>
      <c r="C2424" s="108">
        <v>0.47361111111111098</v>
      </c>
      <c r="D2424" s="112">
        <v>0</v>
      </c>
      <c r="E2424" s="112">
        <v>0</v>
      </c>
      <c r="F2424" s="112">
        <v>0</v>
      </c>
      <c r="G2424" s="112">
        <v>0</v>
      </c>
      <c r="H2424" s="112">
        <v>0</v>
      </c>
      <c r="I2424" s="112">
        <v>0</v>
      </c>
      <c r="J2424" s="112">
        <v>0</v>
      </c>
    </row>
    <row r="2425" spans="1:10">
      <c r="A2425" s="107" t="s">
        <v>102</v>
      </c>
      <c r="B2425" s="107" t="s">
        <v>11</v>
      </c>
      <c r="C2425" s="108">
        <v>0.47430555555555598</v>
      </c>
      <c r="D2425" s="112">
        <v>0</v>
      </c>
      <c r="E2425" s="112">
        <v>0</v>
      </c>
      <c r="F2425" s="112">
        <v>0</v>
      </c>
      <c r="G2425" s="112">
        <v>0</v>
      </c>
      <c r="H2425" s="112">
        <v>0</v>
      </c>
      <c r="I2425" s="112">
        <v>0</v>
      </c>
      <c r="J2425" s="112">
        <v>0</v>
      </c>
    </row>
    <row r="2426" spans="1:10">
      <c r="A2426" s="107" t="s">
        <v>102</v>
      </c>
      <c r="B2426" s="107" t="s">
        <v>11</v>
      </c>
      <c r="C2426" s="108">
        <v>0.47499999999999998</v>
      </c>
      <c r="D2426" s="112">
        <v>0</v>
      </c>
      <c r="E2426" s="112">
        <v>0</v>
      </c>
      <c r="F2426" s="112">
        <v>0</v>
      </c>
      <c r="G2426" s="112">
        <v>0</v>
      </c>
      <c r="H2426" s="112">
        <v>0</v>
      </c>
      <c r="I2426" s="112">
        <v>0</v>
      </c>
      <c r="J2426" s="112">
        <v>0</v>
      </c>
    </row>
    <row r="2427" spans="1:10">
      <c r="A2427" s="107" t="s">
        <v>102</v>
      </c>
      <c r="B2427" s="107" t="s">
        <v>11</v>
      </c>
      <c r="C2427" s="108">
        <v>0.47569444444444398</v>
      </c>
      <c r="D2427" s="112">
        <v>0</v>
      </c>
      <c r="E2427" s="112">
        <v>0</v>
      </c>
      <c r="F2427" s="112">
        <v>0</v>
      </c>
      <c r="G2427" s="112">
        <v>0</v>
      </c>
      <c r="H2427" s="112">
        <v>0</v>
      </c>
      <c r="I2427" s="112">
        <v>0</v>
      </c>
      <c r="J2427" s="112">
        <v>0</v>
      </c>
    </row>
    <row r="2428" spans="1:10">
      <c r="A2428" s="107" t="s">
        <v>102</v>
      </c>
      <c r="B2428" s="107" t="s">
        <v>11</v>
      </c>
      <c r="C2428" s="108">
        <v>0.47638888888888897</v>
      </c>
      <c r="D2428" s="112">
        <v>0</v>
      </c>
      <c r="E2428" s="112">
        <v>0</v>
      </c>
      <c r="F2428" s="112">
        <v>0</v>
      </c>
      <c r="G2428" s="112">
        <v>0</v>
      </c>
      <c r="H2428" s="112">
        <v>0</v>
      </c>
      <c r="I2428" s="112">
        <v>0</v>
      </c>
      <c r="J2428" s="112">
        <v>0</v>
      </c>
    </row>
    <row r="2429" spans="1:10">
      <c r="A2429" s="107" t="s">
        <v>102</v>
      </c>
      <c r="B2429" s="107" t="s">
        <v>11</v>
      </c>
      <c r="C2429" s="108">
        <v>0.47708333333333303</v>
      </c>
      <c r="D2429" s="112">
        <v>0</v>
      </c>
      <c r="E2429" s="112">
        <v>0</v>
      </c>
      <c r="F2429" s="112">
        <v>0</v>
      </c>
      <c r="G2429" s="112">
        <v>0</v>
      </c>
      <c r="H2429" s="112">
        <v>0</v>
      </c>
      <c r="I2429" s="112">
        <v>0</v>
      </c>
      <c r="J2429" s="112">
        <v>0</v>
      </c>
    </row>
    <row r="2430" spans="1:10">
      <c r="A2430" s="107" t="s">
        <v>102</v>
      </c>
      <c r="B2430" s="107" t="s">
        <v>11</v>
      </c>
      <c r="C2430" s="108">
        <v>0.47777777777777802</v>
      </c>
      <c r="D2430" s="112">
        <v>0</v>
      </c>
      <c r="E2430" s="112">
        <v>0</v>
      </c>
      <c r="F2430" s="112">
        <v>0</v>
      </c>
      <c r="G2430" s="112">
        <v>0</v>
      </c>
      <c r="H2430" s="112">
        <v>0</v>
      </c>
      <c r="I2430" s="112">
        <v>0</v>
      </c>
      <c r="J2430" s="112">
        <v>0</v>
      </c>
    </row>
    <row r="2431" spans="1:10" s="78" customFormat="1">
      <c r="A2431" s="109" t="s">
        <v>102</v>
      </c>
      <c r="B2431" s="109" t="s">
        <v>11</v>
      </c>
      <c r="C2431" s="110">
        <v>0.47847222222222202</v>
      </c>
      <c r="D2431" s="111">
        <v>0</v>
      </c>
      <c r="E2431" s="111">
        <v>0</v>
      </c>
      <c r="F2431" s="111">
        <v>0</v>
      </c>
      <c r="G2431" s="111">
        <v>0</v>
      </c>
      <c r="H2431" s="111">
        <v>0</v>
      </c>
      <c r="I2431" s="111">
        <v>0</v>
      </c>
      <c r="J2431" s="111">
        <v>0</v>
      </c>
    </row>
    <row r="2432" spans="1:10">
      <c r="A2432" s="107" t="s">
        <v>102</v>
      </c>
      <c r="B2432" s="107" t="s">
        <v>11</v>
      </c>
      <c r="C2432" s="108">
        <v>0.47916666666666702</v>
      </c>
      <c r="D2432" s="116">
        <v>0</v>
      </c>
      <c r="E2432" s="116">
        <v>0</v>
      </c>
      <c r="F2432" s="116">
        <v>0</v>
      </c>
      <c r="G2432" s="116">
        <v>0</v>
      </c>
      <c r="H2432" s="116">
        <v>0</v>
      </c>
      <c r="I2432" s="116">
        <v>0</v>
      </c>
      <c r="J2432" s="116">
        <v>0</v>
      </c>
    </row>
    <row r="2433" spans="1:10">
      <c r="A2433" s="107" t="s">
        <v>102</v>
      </c>
      <c r="B2433" s="107" t="s">
        <v>11</v>
      </c>
      <c r="C2433" s="108">
        <v>0.47986111111111102</v>
      </c>
      <c r="D2433" s="112">
        <v>0</v>
      </c>
      <c r="E2433" s="112">
        <v>0</v>
      </c>
      <c r="F2433" s="112">
        <v>0</v>
      </c>
      <c r="G2433" s="112">
        <v>0</v>
      </c>
      <c r="H2433" s="112">
        <v>0</v>
      </c>
      <c r="I2433" s="112">
        <v>0</v>
      </c>
      <c r="J2433" s="112">
        <v>0</v>
      </c>
    </row>
    <row r="2434" spans="1:10">
      <c r="A2434" s="107" t="s">
        <v>102</v>
      </c>
      <c r="B2434" s="107" t="s">
        <v>11</v>
      </c>
      <c r="C2434" s="108">
        <v>0.48055555555555501</v>
      </c>
      <c r="D2434" s="112">
        <v>0</v>
      </c>
      <c r="E2434" s="112">
        <v>0</v>
      </c>
      <c r="F2434" s="112">
        <v>0</v>
      </c>
      <c r="G2434" s="112">
        <v>0</v>
      </c>
      <c r="H2434" s="112">
        <v>0</v>
      </c>
      <c r="I2434" s="112">
        <v>0</v>
      </c>
      <c r="J2434" s="112">
        <v>0</v>
      </c>
    </row>
    <row r="2435" spans="1:10">
      <c r="A2435" s="107" t="s">
        <v>102</v>
      </c>
      <c r="B2435" s="107" t="s">
        <v>11</v>
      </c>
      <c r="C2435" s="108">
        <v>0.48125000000000001</v>
      </c>
      <c r="D2435" s="112">
        <v>0</v>
      </c>
      <c r="E2435" s="112">
        <v>0</v>
      </c>
      <c r="F2435" s="112">
        <v>0</v>
      </c>
      <c r="G2435" s="112">
        <v>0</v>
      </c>
      <c r="H2435" s="112">
        <v>0</v>
      </c>
      <c r="I2435" s="112">
        <v>0</v>
      </c>
      <c r="J2435" s="112">
        <v>0</v>
      </c>
    </row>
    <row r="2436" spans="1:10">
      <c r="A2436" s="107" t="s">
        <v>102</v>
      </c>
      <c r="B2436" s="107" t="s">
        <v>11</v>
      </c>
      <c r="C2436" s="108">
        <v>0.48194444444444401</v>
      </c>
      <c r="D2436" s="112">
        <v>0</v>
      </c>
      <c r="E2436" s="112">
        <v>0</v>
      </c>
      <c r="F2436" s="112">
        <v>0</v>
      </c>
      <c r="G2436" s="112">
        <v>0</v>
      </c>
      <c r="H2436" s="112">
        <v>0</v>
      </c>
      <c r="I2436" s="112">
        <v>0</v>
      </c>
      <c r="J2436" s="112">
        <v>0</v>
      </c>
    </row>
    <row r="2437" spans="1:10">
      <c r="A2437" s="107" t="s">
        <v>102</v>
      </c>
      <c r="B2437" s="107" t="s">
        <v>11</v>
      </c>
      <c r="C2437" s="108">
        <v>0.48263888888888901</v>
      </c>
      <c r="D2437" s="112">
        <v>0</v>
      </c>
      <c r="E2437" s="112">
        <v>0</v>
      </c>
      <c r="F2437" s="112">
        <v>0</v>
      </c>
      <c r="G2437" s="112">
        <v>0</v>
      </c>
      <c r="H2437" s="112">
        <v>0</v>
      </c>
      <c r="I2437" s="112">
        <v>0</v>
      </c>
      <c r="J2437" s="112">
        <v>0</v>
      </c>
    </row>
    <row r="2438" spans="1:10">
      <c r="A2438" s="107" t="s">
        <v>102</v>
      </c>
      <c r="B2438" s="107" t="s">
        <v>11</v>
      </c>
      <c r="C2438" s="108">
        <v>0.483333333333333</v>
      </c>
      <c r="D2438" s="112">
        <v>0</v>
      </c>
      <c r="E2438" s="112">
        <v>0</v>
      </c>
      <c r="F2438" s="112">
        <v>0</v>
      </c>
      <c r="G2438" s="112">
        <v>0</v>
      </c>
      <c r="H2438" s="112">
        <v>0</v>
      </c>
      <c r="I2438" s="112">
        <v>0</v>
      </c>
      <c r="J2438" s="112">
        <v>0</v>
      </c>
    </row>
    <row r="2439" spans="1:10">
      <c r="A2439" s="107" t="s">
        <v>102</v>
      </c>
      <c r="B2439" s="107" t="s">
        <v>11</v>
      </c>
      <c r="C2439" s="108">
        <v>0.484027777777778</v>
      </c>
      <c r="D2439" s="112">
        <v>0</v>
      </c>
      <c r="E2439" s="112">
        <v>0</v>
      </c>
      <c r="F2439" s="112">
        <v>0</v>
      </c>
      <c r="G2439" s="112">
        <v>0</v>
      </c>
      <c r="H2439" s="112">
        <v>0</v>
      </c>
      <c r="I2439" s="112">
        <v>0</v>
      </c>
      <c r="J2439" s="112">
        <v>0</v>
      </c>
    </row>
    <row r="2440" spans="1:10">
      <c r="A2440" s="107" t="s">
        <v>102</v>
      </c>
      <c r="B2440" s="107" t="s">
        <v>11</v>
      </c>
      <c r="C2440" s="108">
        <v>0.484722222222222</v>
      </c>
      <c r="D2440" s="112">
        <v>0</v>
      </c>
      <c r="E2440" s="112">
        <v>0</v>
      </c>
      <c r="F2440" s="112">
        <v>0</v>
      </c>
      <c r="G2440" s="112">
        <v>0</v>
      </c>
      <c r="H2440" s="112">
        <v>0</v>
      </c>
      <c r="I2440" s="112">
        <v>0</v>
      </c>
      <c r="J2440" s="112">
        <v>0</v>
      </c>
    </row>
    <row r="2441" spans="1:10">
      <c r="A2441" s="107" t="s">
        <v>102</v>
      </c>
      <c r="B2441" s="107" t="s">
        <v>11</v>
      </c>
      <c r="C2441" s="108">
        <v>0.485416666666666</v>
      </c>
      <c r="D2441" s="112">
        <v>0</v>
      </c>
      <c r="E2441" s="112">
        <v>0</v>
      </c>
      <c r="F2441" s="112">
        <v>0</v>
      </c>
      <c r="G2441" s="112">
        <v>0</v>
      </c>
      <c r="H2441" s="112">
        <v>0</v>
      </c>
      <c r="I2441" s="112">
        <v>0</v>
      </c>
      <c r="J2441" s="112">
        <v>0</v>
      </c>
    </row>
    <row r="2442" spans="1:10">
      <c r="A2442" s="107" t="s">
        <v>102</v>
      </c>
      <c r="B2442" s="107" t="s">
        <v>11</v>
      </c>
      <c r="C2442" s="108">
        <v>0.48611111111111099</v>
      </c>
      <c r="D2442" s="112">
        <v>0</v>
      </c>
      <c r="E2442" s="112">
        <v>0</v>
      </c>
      <c r="F2442" s="112">
        <v>0</v>
      </c>
      <c r="G2442" s="112">
        <v>0</v>
      </c>
      <c r="H2442" s="112">
        <v>0</v>
      </c>
      <c r="I2442" s="112">
        <v>0</v>
      </c>
      <c r="J2442" s="112">
        <v>0</v>
      </c>
    </row>
    <row r="2443" spans="1:10">
      <c r="A2443" s="107" t="s">
        <v>102</v>
      </c>
      <c r="B2443" s="107" t="s">
        <v>11</v>
      </c>
      <c r="C2443" s="108">
        <v>0.48680555555555499</v>
      </c>
      <c r="D2443" s="112">
        <v>0</v>
      </c>
      <c r="E2443" s="112">
        <v>0</v>
      </c>
      <c r="F2443" s="112">
        <v>0</v>
      </c>
      <c r="G2443" s="112">
        <v>0</v>
      </c>
      <c r="H2443" s="112">
        <v>0</v>
      </c>
      <c r="I2443" s="112">
        <v>0</v>
      </c>
      <c r="J2443" s="112">
        <v>0</v>
      </c>
    </row>
    <row r="2444" spans="1:10">
      <c r="A2444" s="107" t="s">
        <v>102</v>
      </c>
      <c r="B2444" s="107" t="s">
        <v>11</v>
      </c>
      <c r="C2444" s="108">
        <v>0.48749999999999999</v>
      </c>
      <c r="D2444" s="112">
        <v>0</v>
      </c>
      <c r="E2444" s="112">
        <v>0</v>
      </c>
      <c r="F2444" s="112">
        <v>0</v>
      </c>
      <c r="G2444" s="112">
        <v>0</v>
      </c>
      <c r="H2444" s="112">
        <v>0</v>
      </c>
      <c r="I2444" s="112">
        <v>0</v>
      </c>
      <c r="J2444" s="112">
        <v>0</v>
      </c>
    </row>
    <row r="2445" spans="1:10">
      <c r="A2445" s="107" t="s">
        <v>102</v>
      </c>
      <c r="B2445" s="107" t="s">
        <v>11</v>
      </c>
      <c r="C2445" s="108">
        <v>0.48819444444444399</v>
      </c>
      <c r="D2445" s="112">
        <v>0</v>
      </c>
      <c r="E2445" s="112">
        <v>0</v>
      </c>
      <c r="F2445" s="112">
        <v>0</v>
      </c>
      <c r="G2445" s="112">
        <v>0</v>
      </c>
      <c r="H2445" s="112">
        <v>0</v>
      </c>
      <c r="I2445" s="112">
        <v>0</v>
      </c>
      <c r="J2445" s="112">
        <v>0</v>
      </c>
    </row>
    <row r="2446" spans="1:10" s="78" customFormat="1">
      <c r="A2446" s="109" t="s">
        <v>102</v>
      </c>
      <c r="B2446" s="109" t="s">
        <v>11</v>
      </c>
      <c r="C2446" s="110">
        <v>0.48888888888888898</v>
      </c>
      <c r="D2446" s="111">
        <v>0</v>
      </c>
      <c r="E2446" s="111">
        <v>0</v>
      </c>
      <c r="F2446" s="111">
        <v>0</v>
      </c>
      <c r="G2446" s="111">
        <v>0</v>
      </c>
      <c r="H2446" s="111">
        <v>0</v>
      </c>
      <c r="I2446" s="111">
        <v>0</v>
      </c>
      <c r="J2446" s="111">
        <v>0</v>
      </c>
    </row>
    <row r="2447" spans="1:10">
      <c r="A2447" s="107" t="s">
        <v>102</v>
      </c>
      <c r="B2447" s="107" t="s">
        <v>11</v>
      </c>
      <c r="C2447" s="108">
        <v>0.48958333333333298</v>
      </c>
      <c r="D2447" s="116">
        <v>0</v>
      </c>
      <c r="E2447" s="116">
        <v>0</v>
      </c>
      <c r="F2447" s="116">
        <v>0</v>
      </c>
      <c r="G2447" s="116">
        <v>0</v>
      </c>
      <c r="H2447" s="116">
        <v>0</v>
      </c>
      <c r="I2447" s="116">
        <v>0</v>
      </c>
      <c r="J2447" s="116">
        <v>0</v>
      </c>
    </row>
    <row r="2448" spans="1:10">
      <c r="A2448" s="107" t="s">
        <v>102</v>
      </c>
      <c r="B2448" s="107" t="s">
        <v>11</v>
      </c>
      <c r="C2448" s="108">
        <v>0.49027777777777798</v>
      </c>
      <c r="D2448" s="112">
        <v>0</v>
      </c>
      <c r="E2448" s="112">
        <v>0</v>
      </c>
      <c r="F2448" s="112">
        <v>0</v>
      </c>
      <c r="G2448" s="112">
        <v>0</v>
      </c>
      <c r="H2448" s="112">
        <v>0</v>
      </c>
      <c r="I2448" s="112">
        <v>0</v>
      </c>
      <c r="J2448" s="112">
        <v>0</v>
      </c>
    </row>
    <row r="2449" spans="1:10">
      <c r="A2449" s="107" t="s">
        <v>102</v>
      </c>
      <c r="B2449" s="107" t="s">
        <v>11</v>
      </c>
      <c r="C2449" s="108">
        <v>0.49097222222222198</v>
      </c>
      <c r="D2449" s="112">
        <v>0</v>
      </c>
      <c r="E2449" s="112">
        <v>0</v>
      </c>
      <c r="F2449" s="112">
        <v>0</v>
      </c>
      <c r="G2449" s="112">
        <v>0</v>
      </c>
      <c r="H2449" s="112">
        <v>0</v>
      </c>
      <c r="I2449" s="112">
        <v>0</v>
      </c>
      <c r="J2449" s="112">
        <v>0</v>
      </c>
    </row>
    <row r="2450" spans="1:10">
      <c r="A2450" s="107" t="s">
        <v>102</v>
      </c>
      <c r="B2450" s="107" t="s">
        <v>11</v>
      </c>
      <c r="C2450" s="108">
        <v>0.49166666666666697</v>
      </c>
      <c r="D2450" s="112">
        <v>0</v>
      </c>
      <c r="E2450" s="112">
        <v>0</v>
      </c>
      <c r="F2450" s="112">
        <v>0</v>
      </c>
      <c r="G2450" s="112">
        <v>0</v>
      </c>
      <c r="H2450" s="112">
        <v>0</v>
      </c>
      <c r="I2450" s="112">
        <v>0</v>
      </c>
      <c r="J2450" s="112">
        <v>0</v>
      </c>
    </row>
    <row r="2451" spans="1:10">
      <c r="A2451" s="107" t="s">
        <v>102</v>
      </c>
      <c r="B2451" s="107" t="s">
        <v>11</v>
      </c>
      <c r="C2451" s="108">
        <v>0.49236111111111103</v>
      </c>
      <c r="D2451" s="112">
        <v>0</v>
      </c>
      <c r="E2451" s="112">
        <v>0</v>
      </c>
      <c r="F2451" s="112">
        <v>0</v>
      </c>
      <c r="G2451" s="112">
        <v>0</v>
      </c>
      <c r="H2451" s="112">
        <v>0</v>
      </c>
      <c r="I2451" s="112">
        <v>0</v>
      </c>
      <c r="J2451" s="112">
        <v>0</v>
      </c>
    </row>
    <row r="2452" spans="1:10">
      <c r="A2452" s="107" t="s">
        <v>102</v>
      </c>
      <c r="B2452" s="107" t="s">
        <v>11</v>
      </c>
      <c r="C2452" s="108">
        <v>0.49305555555555503</v>
      </c>
      <c r="D2452" s="112">
        <v>0</v>
      </c>
      <c r="E2452" s="112">
        <v>0</v>
      </c>
      <c r="F2452" s="112">
        <v>0</v>
      </c>
      <c r="G2452" s="112">
        <v>0</v>
      </c>
      <c r="H2452" s="112">
        <v>0</v>
      </c>
      <c r="I2452" s="112">
        <v>0</v>
      </c>
      <c r="J2452" s="112">
        <v>0</v>
      </c>
    </row>
    <row r="2453" spans="1:10">
      <c r="A2453" s="107" t="s">
        <v>102</v>
      </c>
      <c r="B2453" s="107" t="s">
        <v>11</v>
      </c>
      <c r="C2453" s="108">
        <v>0.49375000000000002</v>
      </c>
      <c r="D2453" s="112">
        <v>0</v>
      </c>
      <c r="E2453" s="112">
        <v>0</v>
      </c>
      <c r="F2453" s="112">
        <v>0</v>
      </c>
      <c r="G2453" s="112">
        <v>0</v>
      </c>
      <c r="H2453" s="112">
        <v>0</v>
      </c>
      <c r="I2453" s="112">
        <v>0</v>
      </c>
      <c r="J2453" s="112">
        <v>0</v>
      </c>
    </row>
    <row r="2454" spans="1:10">
      <c r="A2454" s="107" t="s">
        <v>102</v>
      </c>
      <c r="B2454" s="107" t="s">
        <v>11</v>
      </c>
      <c r="C2454" s="108">
        <v>0.49444444444444402</v>
      </c>
      <c r="D2454" s="112">
        <v>0</v>
      </c>
      <c r="E2454" s="112">
        <v>0</v>
      </c>
      <c r="F2454" s="112">
        <v>0</v>
      </c>
      <c r="G2454" s="112">
        <v>0</v>
      </c>
      <c r="H2454" s="112">
        <v>0</v>
      </c>
      <c r="I2454" s="112">
        <v>0</v>
      </c>
      <c r="J2454" s="112">
        <v>0</v>
      </c>
    </row>
    <row r="2455" spans="1:10">
      <c r="A2455" s="107" t="s">
        <v>102</v>
      </c>
      <c r="B2455" s="107" t="s">
        <v>11</v>
      </c>
      <c r="C2455" s="108">
        <v>0.49513888888888902</v>
      </c>
      <c r="D2455" s="112">
        <v>0</v>
      </c>
      <c r="E2455" s="112">
        <v>0</v>
      </c>
      <c r="F2455" s="112">
        <v>0</v>
      </c>
      <c r="G2455" s="112">
        <v>0</v>
      </c>
      <c r="H2455" s="112">
        <v>0</v>
      </c>
      <c r="I2455" s="112">
        <v>0</v>
      </c>
      <c r="J2455" s="112">
        <v>0</v>
      </c>
    </row>
    <row r="2456" spans="1:10">
      <c r="A2456" s="107" t="s">
        <v>102</v>
      </c>
      <c r="B2456" s="107" t="s">
        <v>11</v>
      </c>
      <c r="C2456" s="108">
        <v>0.49583333333333302</v>
      </c>
      <c r="D2456" s="112">
        <v>0</v>
      </c>
      <c r="E2456" s="112">
        <v>0</v>
      </c>
      <c r="F2456" s="112">
        <v>0</v>
      </c>
      <c r="G2456" s="112">
        <v>0</v>
      </c>
      <c r="H2456" s="112">
        <v>0</v>
      </c>
      <c r="I2456" s="112">
        <v>0</v>
      </c>
      <c r="J2456" s="112">
        <v>0</v>
      </c>
    </row>
    <row r="2457" spans="1:10">
      <c r="A2457" s="107" t="s">
        <v>102</v>
      </c>
      <c r="B2457" s="107" t="s">
        <v>11</v>
      </c>
      <c r="C2457" s="108">
        <v>0.49652777777777801</v>
      </c>
      <c r="D2457" s="112">
        <v>0</v>
      </c>
      <c r="E2457" s="112">
        <v>0</v>
      </c>
      <c r="F2457" s="112">
        <v>0</v>
      </c>
      <c r="G2457" s="112">
        <v>0</v>
      </c>
      <c r="H2457" s="112">
        <v>0</v>
      </c>
      <c r="I2457" s="112">
        <v>0</v>
      </c>
      <c r="J2457" s="112">
        <v>0</v>
      </c>
    </row>
    <row r="2458" spans="1:10">
      <c r="A2458" s="107" t="s">
        <v>102</v>
      </c>
      <c r="B2458" s="107" t="s">
        <v>11</v>
      </c>
      <c r="C2458" s="108">
        <v>0.49722222222222201</v>
      </c>
      <c r="D2458" s="112">
        <v>0</v>
      </c>
      <c r="E2458" s="112">
        <v>0</v>
      </c>
      <c r="F2458" s="112">
        <v>0</v>
      </c>
      <c r="G2458" s="112">
        <v>0</v>
      </c>
      <c r="H2458" s="112">
        <v>0</v>
      </c>
      <c r="I2458" s="112">
        <v>0</v>
      </c>
      <c r="J2458" s="112">
        <v>0</v>
      </c>
    </row>
    <row r="2459" spans="1:10">
      <c r="A2459" s="107" t="s">
        <v>102</v>
      </c>
      <c r="B2459" s="107" t="s">
        <v>11</v>
      </c>
      <c r="C2459" s="108">
        <v>0.49791666666666701</v>
      </c>
      <c r="D2459" s="112">
        <v>0</v>
      </c>
      <c r="E2459" s="112">
        <v>0</v>
      </c>
      <c r="F2459" s="112">
        <v>0</v>
      </c>
      <c r="G2459" s="112">
        <v>0</v>
      </c>
      <c r="H2459" s="112">
        <v>0</v>
      </c>
      <c r="I2459" s="112">
        <v>0</v>
      </c>
      <c r="J2459" s="112">
        <v>0</v>
      </c>
    </row>
    <row r="2460" spans="1:10">
      <c r="A2460" s="107" t="s">
        <v>102</v>
      </c>
      <c r="B2460" s="107" t="s">
        <v>11</v>
      </c>
      <c r="C2460" s="108">
        <v>0.49861111111111101</v>
      </c>
      <c r="D2460" s="112">
        <v>0</v>
      </c>
      <c r="E2460" s="112">
        <v>0</v>
      </c>
      <c r="F2460" s="112">
        <v>0</v>
      </c>
      <c r="G2460" s="112">
        <v>0</v>
      </c>
      <c r="H2460" s="112">
        <v>0</v>
      </c>
      <c r="I2460" s="112">
        <v>0</v>
      </c>
      <c r="J2460" s="112">
        <v>0</v>
      </c>
    </row>
    <row r="2461" spans="1:10" s="28" customFormat="1" ht="17.5" thickBot="1">
      <c r="A2461" s="113" t="s">
        <v>102</v>
      </c>
      <c r="B2461" s="113" t="s">
        <v>11</v>
      </c>
      <c r="C2461" s="114">
        <v>0.499305555555555</v>
      </c>
      <c r="D2461" s="115">
        <v>0</v>
      </c>
      <c r="E2461" s="115">
        <v>0</v>
      </c>
      <c r="F2461" s="115">
        <v>0</v>
      </c>
      <c r="G2461" s="115">
        <v>0</v>
      </c>
      <c r="H2461" s="115">
        <v>0</v>
      </c>
      <c r="I2461" s="115">
        <v>0</v>
      </c>
      <c r="J2461" s="115">
        <v>0</v>
      </c>
    </row>
    <row r="2462" spans="1:10">
      <c r="A2462" s="107" t="s">
        <v>102</v>
      </c>
      <c r="B2462" s="107" t="s">
        <v>12</v>
      </c>
      <c r="C2462" s="108">
        <v>0.45833333333333331</v>
      </c>
      <c r="D2462" s="112">
        <v>0</v>
      </c>
      <c r="E2462" s="112">
        <v>0</v>
      </c>
      <c r="F2462" s="112">
        <v>0</v>
      </c>
      <c r="G2462" s="112">
        <v>0</v>
      </c>
      <c r="H2462" s="112">
        <v>0</v>
      </c>
      <c r="I2462" s="112">
        <v>0</v>
      </c>
      <c r="J2462" s="112">
        <v>0</v>
      </c>
    </row>
    <row r="2463" spans="1:10">
      <c r="A2463" s="107" t="s">
        <v>102</v>
      </c>
      <c r="B2463" s="107" t="s">
        <v>12</v>
      </c>
      <c r="C2463" s="108">
        <v>0.45902777777777776</v>
      </c>
      <c r="D2463" s="112">
        <v>0</v>
      </c>
      <c r="E2463" s="112">
        <v>0</v>
      </c>
      <c r="F2463" s="112">
        <v>0</v>
      </c>
      <c r="G2463" s="112">
        <v>0</v>
      </c>
      <c r="H2463" s="112">
        <v>0</v>
      </c>
      <c r="I2463" s="112">
        <v>0</v>
      </c>
      <c r="J2463" s="112">
        <v>0</v>
      </c>
    </row>
    <row r="2464" spans="1:10">
      <c r="A2464" s="107" t="s">
        <v>102</v>
      </c>
      <c r="B2464" s="107" t="s">
        <v>12</v>
      </c>
      <c r="C2464" s="108">
        <v>0.45972222222222198</v>
      </c>
      <c r="D2464" s="112">
        <v>0</v>
      </c>
      <c r="E2464" s="112">
        <v>0</v>
      </c>
      <c r="F2464" s="112">
        <v>0</v>
      </c>
      <c r="G2464" s="112">
        <v>0</v>
      </c>
      <c r="H2464" s="112">
        <v>0</v>
      </c>
      <c r="I2464" s="112">
        <v>0</v>
      </c>
      <c r="J2464" s="112">
        <v>0</v>
      </c>
    </row>
    <row r="2465" spans="1:10">
      <c r="A2465" s="107" t="s">
        <v>102</v>
      </c>
      <c r="B2465" s="107" t="s">
        <v>12</v>
      </c>
      <c r="C2465" s="108">
        <v>0.46041666666666697</v>
      </c>
      <c r="D2465" s="112">
        <v>0</v>
      </c>
      <c r="E2465" s="112">
        <v>0</v>
      </c>
      <c r="F2465" s="112">
        <v>0</v>
      </c>
      <c r="G2465" s="112">
        <v>0</v>
      </c>
      <c r="H2465" s="112">
        <v>0</v>
      </c>
      <c r="I2465" s="112">
        <v>0</v>
      </c>
      <c r="J2465" s="112">
        <v>0</v>
      </c>
    </row>
    <row r="2466" spans="1:10">
      <c r="A2466" s="107" t="s">
        <v>102</v>
      </c>
      <c r="B2466" s="107" t="s">
        <v>12</v>
      </c>
      <c r="C2466" s="108">
        <v>0.46111111111111103</v>
      </c>
      <c r="D2466" s="112">
        <v>0</v>
      </c>
      <c r="E2466" s="112">
        <v>0</v>
      </c>
      <c r="F2466" s="112">
        <v>0</v>
      </c>
      <c r="G2466" s="112">
        <v>0</v>
      </c>
      <c r="H2466" s="112">
        <v>0</v>
      </c>
      <c r="I2466" s="112">
        <v>0</v>
      </c>
      <c r="J2466" s="112">
        <v>0</v>
      </c>
    </row>
    <row r="2467" spans="1:10">
      <c r="A2467" s="107" t="s">
        <v>102</v>
      </c>
      <c r="B2467" s="107" t="s">
        <v>12</v>
      </c>
      <c r="C2467" s="108">
        <v>0.46180555555555602</v>
      </c>
      <c r="D2467" s="112">
        <v>0</v>
      </c>
      <c r="E2467" s="112">
        <v>0</v>
      </c>
      <c r="F2467" s="112">
        <v>0</v>
      </c>
      <c r="G2467" s="112">
        <v>0</v>
      </c>
      <c r="H2467" s="112">
        <v>0</v>
      </c>
      <c r="I2467" s="112">
        <v>0</v>
      </c>
      <c r="J2467" s="112">
        <v>0</v>
      </c>
    </row>
    <row r="2468" spans="1:10">
      <c r="A2468" s="107" t="s">
        <v>102</v>
      </c>
      <c r="B2468" s="107" t="s">
        <v>12</v>
      </c>
      <c r="C2468" s="108">
        <v>0.46250000000000002</v>
      </c>
      <c r="D2468" s="112">
        <v>0</v>
      </c>
      <c r="E2468" s="112">
        <v>0</v>
      </c>
      <c r="F2468" s="112">
        <v>0</v>
      </c>
      <c r="G2468" s="112">
        <v>0</v>
      </c>
      <c r="H2468" s="112">
        <v>0</v>
      </c>
      <c r="I2468" s="112">
        <v>0</v>
      </c>
      <c r="J2468" s="112">
        <v>0</v>
      </c>
    </row>
    <row r="2469" spans="1:10">
      <c r="A2469" s="107" t="s">
        <v>102</v>
      </c>
      <c r="B2469" s="107" t="s">
        <v>12</v>
      </c>
      <c r="C2469" s="108">
        <v>0.46319444444444402</v>
      </c>
      <c r="D2469" s="112">
        <v>0</v>
      </c>
      <c r="E2469" s="112">
        <v>0</v>
      </c>
      <c r="F2469" s="112">
        <v>0</v>
      </c>
      <c r="G2469" s="112">
        <v>0</v>
      </c>
      <c r="H2469" s="112">
        <v>0</v>
      </c>
      <c r="I2469" s="112">
        <v>0</v>
      </c>
      <c r="J2469" s="112">
        <v>0</v>
      </c>
    </row>
    <row r="2470" spans="1:10">
      <c r="A2470" s="107" t="s">
        <v>102</v>
      </c>
      <c r="B2470" s="107" t="s">
        <v>12</v>
      </c>
      <c r="C2470" s="108">
        <v>0.46388888888888902</v>
      </c>
      <c r="D2470" s="112">
        <v>0</v>
      </c>
      <c r="E2470" s="112">
        <v>0</v>
      </c>
      <c r="F2470" s="112">
        <v>0</v>
      </c>
      <c r="G2470" s="112">
        <v>0</v>
      </c>
      <c r="H2470" s="112">
        <v>0</v>
      </c>
      <c r="I2470" s="112">
        <v>0</v>
      </c>
      <c r="J2470" s="112">
        <v>0</v>
      </c>
    </row>
    <row r="2471" spans="1:10">
      <c r="A2471" s="107" t="s">
        <v>102</v>
      </c>
      <c r="B2471" s="107" t="s">
        <v>12</v>
      </c>
      <c r="C2471" s="108">
        <v>0.46458333333333302</v>
      </c>
      <c r="D2471" s="112">
        <v>0</v>
      </c>
      <c r="E2471" s="112">
        <v>0</v>
      </c>
      <c r="F2471" s="112">
        <v>0</v>
      </c>
      <c r="G2471" s="112">
        <v>0</v>
      </c>
      <c r="H2471" s="112">
        <v>0</v>
      </c>
      <c r="I2471" s="112">
        <v>0</v>
      </c>
      <c r="J2471" s="112">
        <v>0</v>
      </c>
    </row>
    <row r="2472" spans="1:10">
      <c r="A2472" s="107" t="s">
        <v>102</v>
      </c>
      <c r="B2472" s="107" t="s">
        <v>12</v>
      </c>
      <c r="C2472" s="108">
        <v>0.46527777777777801</v>
      </c>
      <c r="D2472" s="112">
        <v>0</v>
      </c>
      <c r="E2472" s="112">
        <v>0</v>
      </c>
      <c r="F2472" s="112">
        <v>0</v>
      </c>
      <c r="G2472" s="112">
        <v>0</v>
      </c>
      <c r="H2472" s="112">
        <v>0</v>
      </c>
      <c r="I2472" s="112">
        <v>0</v>
      </c>
      <c r="J2472" s="112">
        <v>0</v>
      </c>
    </row>
    <row r="2473" spans="1:10">
      <c r="A2473" s="107" t="s">
        <v>102</v>
      </c>
      <c r="B2473" s="107" t="s">
        <v>12</v>
      </c>
      <c r="C2473" s="108">
        <v>0.46597222222222201</v>
      </c>
      <c r="D2473" s="112">
        <v>0</v>
      </c>
      <c r="E2473" s="112">
        <v>0</v>
      </c>
      <c r="F2473" s="112">
        <v>0</v>
      </c>
      <c r="G2473" s="112">
        <v>0</v>
      </c>
      <c r="H2473" s="112">
        <v>0</v>
      </c>
      <c r="I2473" s="112">
        <v>0</v>
      </c>
      <c r="J2473" s="112">
        <v>0</v>
      </c>
    </row>
    <row r="2474" spans="1:10">
      <c r="A2474" s="107" t="s">
        <v>102</v>
      </c>
      <c r="B2474" s="107" t="s">
        <v>12</v>
      </c>
      <c r="C2474" s="108">
        <v>0.46666666666666701</v>
      </c>
      <c r="D2474" s="112">
        <v>0</v>
      </c>
      <c r="E2474" s="112">
        <v>0</v>
      </c>
      <c r="F2474" s="112">
        <v>0</v>
      </c>
      <c r="G2474" s="112">
        <v>0</v>
      </c>
      <c r="H2474" s="112">
        <v>0</v>
      </c>
      <c r="I2474" s="112">
        <v>0</v>
      </c>
      <c r="J2474" s="112">
        <v>0</v>
      </c>
    </row>
    <row r="2475" spans="1:10">
      <c r="A2475" s="107" t="s">
        <v>102</v>
      </c>
      <c r="B2475" s="107" t="s">
        <v>12</v>
      </c>
      <c r="C2475" s="108">
        <v>0.46736111111111101</v>
      </c>
      <c r="D2475" s="112">
        <v>0</v>
      </c>
      <c r="E2475" s="112">
        <v>0</v>
      </c>
      <c r="F2475" s="112">
        <v>0</v>
      </c>
      <c r="G2475" s="112">
        <v>0</v>
      </c>
      <c r="H2475" s="112">
        <v>0</v>
      </c>
      <c r="I2475" s="112">
        <v>0</v>
      </c>
      <c r="J2475" s="112">
        <v>0</v>
      </c>
    </row>
    <row r="2476" spans="1:10" s="78" customFormat="1">
      <c r="A2476" s="109" t="s">
        <v>102</v>
      </c>
      <c r="B2476" s="109" t="s">
        <v>12</v>
      </c>
      <c r="C2476" s="110">
        <v>0.468055555555556</v>
      </c>
      <c r="D2476" s="111">
        <v>0</v>
      </c>
      <c r="E2476" s="111">
        <v>0</v>
      </c>
      <c r="F2476" s="111">
        <v>0</v>
      </c>
      <c r="G2476" s="111">
        <v>0</v>
      </c>
      <c r="H2476" s="111">
        <v>0</v>
      </c>
      <c r="I2476" s="111">
        <v>0</v>
      </c>
      <c r="J2476" s="111">
        <v>0</v>
      </c>
    </row>
    <row r="2477" spans="1:10">
      <c r="A2477" s="107" t="s">
        <v>102</v>
      </c>
      <c r="B2477" s="107" t="s">
        <v>12</v>
      </c>
      <c r="C2477" s="108">
        <v>0.46875</v>
      </c>
      <c r="D2477" s="117">
        <v>0</v>
      </c>
      <c r="E2477" s="117">
        <v>0</v>
      </c>
      <c r="F2477" s="117">
        <v>0</v>
      </c>
      <c r="G2477" s="117">
        <v>0</v>
      </c>
      <c r="H2477" s="117">
        <v>0</v>
      </c>
      <c r="I2477" s="117">
        <v>0</v>
      </c>
      <c r="J2477" s="117">
        <v>0</v>
      </c>
    </row>
    <row r="2478" spans="1:10">
      <c r="A2478" s="107" t="s">
        <v>102</v>
      </c>
      <c r="B2478" s="107" t="s">
        <v>12</v>
      </c>
      <c r="C2478" s="108">
        <v>0.469444444444444</v>
      </c>
      <c r="D2478" s="118">
        <v>0</v>
      </c>
      <c r="E2478" s="118">
        <v>0</v>
      </c>
      <c r="F2478" s="118">
        <v>0</v>
      </c>
      <c r="G2478" s="118">
        <v>0</v>
      </c>
      <c r="H2478" s="118">
        <v>0</v>
      </c>
      <c r="I2478" s="118">
        <v>0</v>
      </c>
      <c r="J2478" s="118">
        <v>0</v>
      </c>
    </row>
    <row r="2479" spans="1:10">
      <c r="A2479" s="107" t="s">
        <v>102</v>
      </c>
      <c r="B2479" s="107" t="s">
        <v>12</v>
      </c>
      <c r="C2479" s="108">
        <v>0.47013888888888899</v>
      </c>
      <c r="D2479" s="118">
        <v>0</v>
      </c>
      <c r="E2479" s="118">
        <v>0</v>
      </c>
      <c r="F2479" s="118">
        <v>0</v>
      </c>
      <c r="G2479" s="118">
        <v>0</v>
      </c>
      <c r="H2479" s="118">
        <v>0</v>
      </c>
      <c r="I2479" s="118">
        <v>0</v>
      </c>
      <c r="J2479" s="118">
        <v>0</v>
      </c>
    </row>
    <row r="2480" spans="1:10">
      <c r="A2480" s="107" t="s">
        <v>102</v>
      </c>
      <c r="B2480" s="107" t="s">
        <v>12</v>
      </c>
      <c r="C2480" s="108">
        <v>0.47083333333333299</v>
      </c>
      <c r="D2480" s="118">
        <v>0</v>
      </c>
      <c r="E2480" s="118">
        <v>0</v>
      </c>
      <c r="F2480" s="118">
        <v>0</v>
      </c>
      <c r="G2480" s="118">
        <v>0</v>
      </c>
      <c r="H2480" s="118">
        <v>0</v>
      </c>
      <c r="I2480" s="118">
        <v>0</v>
      </c>
      <c r="J2480" s="118">
        <v>0</v>
      </c>
    </row>
    <row r="2481" spans="1:10">
      <c r="A2481" s="107" t="s">
        <v>102</v>
      </c>
      <c r="B2481" s="107" t="s">
        <v>12</v>
      </c>
      <c r="C2481" s="108">
        <v>0.47152777777777799</v>
      </c>
      <c r="D2481" s="118">
        <v>0</v>
      </c>
      <c r="E2481" s="118">
        <v>0</v>
      </c>
      <c r="F2481" s="118">
        <v>0</v>
      </c>
      <c r="G2481" s="118">
        <v>0</v>
      </c>
      <c r="H2481" s="118">
        <v>0</v>
      </c>
      <c r="I2481" s="118">
        <v>0</v>
      </c>
      <c r="J2481" s="118">
        <v>0</v>
      </c>
    </row>
    <row r="2482" spans="1:10">
      <c r="A2482" s="107" t="s">
        <v>102</v>
      </c>
      <c r="B2482" s="107" t="s">
        <v>12</v>
      </c>
      <c r="C2482" s="108">
        <v>0.47222222222222199</v>
      </c>
      <c r="D2482" s="118">
        <v>0</v>
      </c>
      <c r="E2482" s="118">
        <v>0</v>
      </c>
      <c r="F2482" s="118">
        <v>0</v>
      </c>
      <c r="G2482" s="118">
        <v>0</v>
      </c>
      <c r="H2482" s="118">
        <v>0</v>
      </c>
      <c r="I2482" s="118">
        <v>0</v>
      </c>
      <c r="J2482" s="118">
        <v>0</v>
      </c>
    </row>
    <row r="2483" spans="1:10">
      <c r="A2483" s="107" t="s">
        <v>102</v>
      </c>
      <c r="B2483" s="107" t="s">
        <v>12</v>
      </c>
      <c r="C2483" s="108">
        <v>0.47291666666666698</v>
      </c>
      <c r="D2483" s="118">
        <v>0</v>
      </c>
      <c r="E2483" s="118">
        <v>0</v>
      </c>
      <c r="F2483" s="118">
        <v>0</v>
      </c>
      <c r="G2483" s="118">
        <v>0</v>
      </c>
      <c r="H2483" s="118">
        <v>0</v>
      </c>
      <c r="I2483" s="118">
        <v>0</v>
      </c>
      <c r="J2483" s="118">
        <v>0</v>
      </c>
    </row>
    <row r="2484" spans="1:10">
      <c r="A2484" s="107" t="s">
        <v>102</v>
      </c>
      <c r="B2484" s="107" t="s">
        <v>12</v>
      </c>
      <c r="C2484" s="108">
        <v>0.47361111111111098</v>
      </c>
      <c r="D2484" s="118">
        <v>0</v>
      </c>
      <c r="E2484" s="118">
        <v>0</v>
      </c>
      <c r="F2484" s="118">
        <v>0</v>
      </c>
      <c r="G2484" s="118">
        <v>0</v>
      </c>
      <c r="H2484" s="118">
        <v>0</v>
      </c>
      <c r="I2484" s="118">
        <v>0</v>
      </c>
      <c r="J2484" s="118">
        <v>0</v>
      </c>
    </row>
    <row r="2485" spans="1:10">
      <c r="A2485" s="107" t="s">
        <v>102</v>
      </c>
      <c r="B2485" s="107" t="s">
        <v>12</v>
      </c>
      <c r="C2485" s="108">
        <v>0.47430555555555598</v>
      </c>
      <c r="D2485" s="118">
        <v>0</v>
      </c>
      <c r="E2485" s="118">
        <v>0</v>
      </c>
      <c r="F2485" s="118">
        <v>0</v>
      </c>
      <c r="G2485" s="118">
        <v>0</v>
      </c>
      <c r="H2485" s="118">
        <v>0</v>
      </c>
      <c r="I2485" s="118">
        <v>0</v>
      </c>
      <c r="J2485" s="118">
        <v>0</v>
      </c>
    </row>
    <row r="2486" spans="1:10">
      <c r="A2486" s="107" t="s">
        <v>102</v>
      </c>
      <c r="B2486" s="107" t="s">
        <v>12</v>
      </c>
      <c r="C2486" s="108">
        <v>0.47499999999999998</v>
      </c>
      <c r="D2486" s="118">
        <v>0</v>
      </c>
      <c r="E2486" s="118">
        <v>0</v>
      </c>
      <c r="F2486" s="118">
        <v>0</v>
      </c>
      <c r="G2486" s="118">
        <v>0</v>
      </c>
      <c r="H2486" s="118">
        <v>0</v>
      </c>
      <c r="I2486" s="118">
        <v>0</v>
      </c>
      <c r="J2486" s="118">
        <v>0</v>
      </c>
    </row>
    <row r="2487" spans="1:10">
      <c r="A2487" s="107" t="s">
        <v>102</v>
      </c>
      <c r="B2487" s="107" t="s">
        <v>12</v>
      </c>
      <c r="C2487" s="108">
        <v>0.47569444444444398</v>
      </c>
      <c r="D2487" s="118">
        <v>0</v>
      </c>
      <c r="E2487" s="118">
        <v>0</v>
      </c>
      <c r="F2487" s="118">
        <v>0</v>
      </c>
      <c r="G2487" s="118">
        <v>0</v>
      </c>
      <c r="H2487" s="118">
        <v>0</v>
      </c>
      <c r="I2487" s="118">
        <v>0</v>
      </c>
      <c r="J2487" s="118">
        <v>0</v>
      </c>
    </row>
    <row r="2488" spans="1:10">
      <c r="A2488" s="107" t="s">
        <v>102</v>
      </c>
      <c r="B2488" s="107" t="s">
        <v>12</v>
      </c>
      <c r="C2488" s="108">
        <v>0.47638888888888897</v>
      </c>
      <c r="D2488" s="118">
        <v>0</v>
      </c>
      <c r="E2488" s="118">
        <v>0</v>
      </c>
      <c r="F2488" s="118">
        <v>0</v>
      </c>
      <c r="G2488" s="118">
        <v>0</v>
      </c>
      <c r="H2488" s="118">
        <v>0</v>
      </c>
      <c r="I2488" s="118">
        <v>0</v>
      </c>
      <c r="J2488" s="118">
        <v>0</v>
      </c>
    </row>
    <row r="2489" spans="1:10">
      <c r="A2489" s="107" t="s">
        <v>102</v>
      </c>
      <c r="B2489" s="107" t="s">
        <v>12</v>
      </c>
      <c r="C2489" s="108">
        <v>0.47708333333333303</v>
      </c>
      <c r="D2489" s="118">
        <v>0</v>
      </c>
      <c r="E2489" s="118">
        <v>0</v>
      </c>
      <c r="F2489" s="118">
        <v>0</v>
      </c>
      <c r="G2489" s="118">
        <v>0</v>
      </c>
      <c r="H2489" s="118">
        <v>0</v>
      </c>
      <c r="I2489" s="118">
        <v>0</v>
      </c>
      <c r="J2489" s="118">
        <v>0</v>
      </c>
    </row>
    <row r="2490" spans="1:10">
      <c r="A2490" s="107" t="s">
        <v>102</v>
      </c>
      <c r="B2490" s="107" t="s">
        <v>12</v>
      </c>
      <c r="C2490" s="108">
        <v>0.47777777777777802</v>
      </c>
      <c r="D2490" s="118">
        <v>0</v>
      </c>
      <c r="E2490" s="118">
        <v>0</v>
      </c>
      <c r="F2490" s="118">
        <v>0</v>
      </c>
      <c r="G2490" s="118">
        <v>0</v>
      </c>
      <c r="H2490" s="118">
        <v>0</v>
      </c>
      <c r="I2490" s="118">
        <v>0</v>
      </c>
      <c r="J2490" s="118">
        <v>0</v>
      </c>
    </row>
    <row r="2491" spans="1:10" s="78" customFormat="1">
      <c r="A2491" s="109" t="s">
        <v>102</v>
      </c>
      <c r="B2491" s="109" t="s">
        <v>12</v>
      </c>
      <c r="C2491" s="110">
        <v>0.47847222222222202</v>
      </c>
      <c r="D2491" s="119">
        <v>0</v>
      </c>
      <c r="E2491" s="119">
        <v>0</v>
      </c>
      <c r="F2491" s="119">
        <v>0</v>
      </c>
      <c r="G2491" s="119">
        <v>0</v>
      </c>
      <c r="H2491" s="119">
        <v>0</v>
      </c>
      <c r="I2491" s="119">
        <v>0</v>
      </c>
      <c r="J2491" s="119">
        <v>0</v>
      </c>
    </row>
    <row r="2492" spans="1:10">
      <c r="A2492" s="107" t="s">
        <v>102</v>
      </c>
      <c r="B2492" s="107" t="s">
        <v>12</v>
      </c>
      <c r="C2492" s="108">
        <v>0.47916666666666702</v>
      </c>
      <c r="D2492" s="117">
        <v>0</v>
      </c>
      <c r="E2492" s="117">
        <v>0</v>
      </c>
      <c r="F2492" s="117">
        <v>0</v>
      </c>
      <c r="G2492" s="117">
        <v>0</v>
      </c>
      <c r="H2492" s="117">
        <v>0</v>
      </c>
      <c r="I2492" s="117">
        <v>0</v>
      </c>
      <c r="J2492" s="117">
        <v>0</v>
      </c>
    </row>
    <row r="2493" spans="1:10">
      <c r="A2493" s="107" t="s">
        <v>102</v>
      </c>
      <c r="B2493" s="107" t="s">
        <v>12</v>
      </c>
      <c r="C2493" s="108">
        <v>0.47986111111111102</v>
      </c>
      <c r="D2493" s="118">
        <v>0</v>
      </c>
      <c r="E2493" s="118">
        <v>0</v>
      </c>
      <c r="F2493" s="118">
        <v>0</v>
      </c>
      <c r="G2493" s="118">
        <v>0</v>
      </c>
      <c r="H2493" s="118">
        <v>0</v>
      </c>
      <c r="I2493" s="118">
        <v>0</v>
      </c>
      <c r="J2493" s="118">
        <v>0</v>
      </c>
    </row>
    <row r="2494" spans="1:10">
      <c r="A2494" s="107" t="s">
        <v>102</v>
      </c>
      <c r="B2494" s="107" t="s">
        <v>12</v>
      </c>
      <c r="C2494" s="108">
        <v>0.48055555555555501</v>
      </c>
      <c r="D2494" s="118">
        <v>0</v>
      </c>
      <c r="E2494" s="118">
        <v>0</v>
      </c>
      <c r="F2494" s="118">
        <v>0</v>
      </c>
      <c r="G2494" s="118">
        <v>0</v>
      </c>
      <c r="H2494" s="118">
        <v>0</v>
      </c>
      <c r="I2494" s="118">
        <v>0</v>
      </c>
      <c r="J2494" s="118">
        <v>0</v>
      </c>
    </row>
    <row r="2495" spans="1:10">
      <c r="A2495" s="107" t="s">
        <v>102</v>
      </c>
      <c r="B2495" s="107" t="s">
        <v>12</v>
      </c>
      <c r="C2495" s="108">
        <v>0.48125000000000001</v>
      </c>
      <c r="D2495" s="118">
        <v>0</v>
      </c>
      <c r="E2495" s="118">
        <v>0</v>
      </c>
      <c r="F2495" s="118">
        <v>0</v>
      </c>
      <c r="G2495" s="118">
        <v>0</v>
      </c>
      <c r="H2495" s="118">
        <v>0</v>
      </c>
      <c r="I2495" s="118">
        <v>0</v>
      </c>
      <c r="J2495" s="118">
        <v>0</v>
      </c>
    </row>
    <row r="2496" spans="1:10">
      <c r="A2496" s="107" t="s">
        <v>102</v>
      </c>
      <c r="B2496" s="107" t="s">
        <v>12</v>
      </c>
      <c r="C2496" s="108">
        <v>0.48194444444444401</v>
      </c>
      <c r="D2496" s="118">
        <v>0</v>
      </c>
      <c r="E2496" s="118">
        <v>0</v>
      </c>
      <c r="F2496" s="118">
        <v>0</v>
      </c>
      <c r="G2496" s="118">
        <v>0</v>
      </c>
      <c r="H2496" s="118">
        <v>0</v>
      </c>
      <c r="I2496" s="118">
        <v>0</v>
      </c>
      <c r="J2496" s="118">
        <v>0</v>
      </c>
    </row>
    <row r="2497" spans="1:10">
      <c r="A2497" s="107" t="s">
        <v>102</v>
      </c>
      <c r="B2497" s="107" t="s">
        <v>12</v>
      </c>
      <c r="C2497" s="108">
        <v>0.48263888888888901</v>
      </c>
      <c r="D2497" s="118">
        <v>0</v>
      </c>
      <c r="E2497" s="118">
        <v>0</v>
      </c>
      <c r="F2497" s="118">
        <v>0</v>
      </c>
      <c r="G2497" s="118">
        <v>0</v>
      </c>
      <c r="H2497" s="118">
        <v>0</v>
      </c>
      <c r="I2497" s="118">
        <v>0</v>
      </c>
      <c r="J2497" s="118">
        <v>0</v>
      </c>
    </row>
    <row r="2498" spans="1:10">
      <c r="A2498" s="107" t="s">
        <v>102</v>
      </c>
      <c r="B2498" s="107" t="s">
        <v>12</v>
      </c>
      <c r="C2498" s="108">
        <v>0.483333333333333</v>
      </c>
      <c r="D2498" s="118">
        <v>0</v>
      </c>
      <c r="E2498" s="118">
        <v>0</v>
      </c>
      <c r="F2498" s="118">
        <v>0</v>
      </c>
      <c r="G2498" s="118">
        <v>0</v>
      </c>
      <c r="H2498" s="118">
        <v>0</v>
      </c>
      <c r="I2498" s="118">
        <v>0</v>
      </c>
      <c r="J2498" s="118">
        <v>0</v>
      </c>
    </row>
    <row r="2499" spans="1:10">
      <c r="A2499" s="107" t="s">
        <v>102</v>
      </c>
      <c r="B2499" s="107" t="s">
        <v>12</v>
      </c>
      <c r="C2499" s="108">
        <v>0.484027777777778</v>
      </c>
      <c r="D2499" s="118">
        <v>0</v>
      </c>
      <c r="E2499" s="118">
        <v>0</v>
      </c>
      <c r="F2499" s="118">
        <v>0</v>
      </c>
      <c r="G2499" s="118">
        <v>0</v>
      </c>
      <c r="H2499" s="118">
        <v>0</v>
      </c>
      <c r="I2499" s="118">
        <v>0</v>
      </c>
      <c r="J2499" s="118">
        <v>0</v>
      </c>
    </row>
    <row r="2500" spans="1:10">
      <c r="A2500" s="107" t="s">
        <v>102</v>
      </c>
      <c r="B2500" s="107" t="s">
        <v>12</v>
      </c>
      <c r="C2500" s="108">
        <v>0.484722222222222</v>
      </c>
      <c r="D2500" s="118">
        <v>0</v>
      </c>
      <c r="E2500" s="118">
        <v>0</v>
      </c>
      <c r="F2500" s="118">
        <v>0</v>
      </c>
      <c r="G2500" s="118">
        <v>0</v>
      </c>
      <c r="H2500" s="118">
        <v>0</v>
      </c>
      <c r="I2500" s="118">
        <v>0</v>
      </c>
      <c r="J2500" s="118">
        <v>0</v>
      </c>
    </row>
    <row r="2501" spans="1:10">
      <c r="A2501" s="107" t="s">
        <v>102</v>
      </c>
      <c r="B2501" s="107" t="s">
        <v>12</v>
      </c>
      <c r="C2501" s="108">
        <v>0.485416666666666</v>
      </c>
      <c r="D2501" s="118">
        <v>0</v>
      </c>
      <c r="E2501" s="118">
        <v>0</v>
      </c>
      <c r="F2501" s="118">
        <v>0</v>
      </c>
      <c r="G2501" s="118">
        <v>0</v>
      </c>
      <c r="H2501" s="118">
        <v>0</v>
      </c>
      <c r="I2501" s="118">
        <v>0</v>
      </c>
      <c r="J2501" s="118">
        <v>0</v>
      </c>
    </row>
    <row r="2502" spans="1:10">
      <c r="A2502" s="107" t="s">
        <v>102</v>
      </c>
      <c r="B2502" s="107" t="s">
        <v>12</v>
      </c>
      <c r="C2502" s="108">
        <v>0.48611111111111099</v>
      </c>
      <c r="D2502" s="118">
        <v>0</v>
      </c>
      <c r="E2502" s="118">
        <v>0</v>
      </c>
      <c r="F2502" s="118">
        <v>0</v>
      </c>
      <c r="G2502" s="118">
        <v>0</v>
      </c>
      <c r="H2502" s="118">
        <v>0</v>
      </c>
      <c r="I2502" s="118">
        <v>0</v>
      </c>
      <c r="J2502" s="118">
        <v>0</v>
      </c>
    </row>
    <row r="2503" spans="1:10">
      <c r="A2503" s="107" t="s">
        <v>102</v>
      </c>
      <c r="B2503" s="107" t="s">
        <v>12</v>
      </c>
      <c r="C2503" s="108">
        <v>0.48680555555555499</v>
      </c>
      <c r="D2503" s="118">
        <v>0</v>
      </c>
      <c r="E2503" s="118">
        <v>0</v>
      </c>
      <c r="F2503" s="118">
        <v>0</v>
      </c>
      <c r="G2503" s="118">
        <v>0</v>
      </c>
      <c r="H2503" s="118">
        <v>0</v>
      </c>
      <c r="I2503" s="118">
        <v>0</v>
      </c>
      <c r="J2503" s="118">
        <v>0</v>
      </c>
    </row>
    <row r="2504" spans="1:10">
      <c r="A2504" s="107" t="s">
        <v>102</v>
      </c>
      <c r="B2504" s="107" t="s">
        <v>12</v>
      </c>
      <c r="C2504" s="108">
        <v>0.48749999999999999</v>
      </c>
      <c r="D2504" s="118">
        <v>0</v>
      </c>
      <c r="E2504" s="118">
        <v>0</v>
      </c>
      <c r="F2504" s="118">
        <v>0</v>
      </c>
      <c r="G2504" s="118">
        <v>0</v>
      </c>
      <c r="H2504" s="118">
        <v>0</v>
      </c>
      <c r="I2504" s="118">
        <v>0</v>
      </c>
      <c r="J2504" s="118">
        <v>0</v>
      </c>
    </row>
    <row r="2505" spans="1:10">
      <c r="A2505" s="107" t="s">
        <v>102</v>
      </c>
      <c r="B2505" s="107" t="s">
        <v>12</v>
      </c>
      <c r="C2505" s="108">
        <v>0.48819444444444399</v>
      </c>
      <c r="D2505" s="118">
        <v>0</v>
      </c>
      <c r="E2505" s="118">
        <v>0</v>
      </c>
      <c r="F2505" s="118">
        <v>0</v>
      </c>
      <c r="G2505" s="118">
        <v>0</v>
      </c>
      <c r="H2505" s="118">
        <v>0</v>
      </c>
      <c r="I2505" s="118">
        <v>0</v>
      </c>
      <c r="J2505" s="118">
        <v>0</v>
      </c>
    </row>
    <row r="2506" spans="1:10" s="78" customFormat="1">
      <c r="A2506" s="109" t="s">
        <v>102</v>
      </c>
      <c r="B2506" s="109" t="s">
        <v>12</v>
      </c>
      <c r="C2506" s="110">
        <v>0.48888888888888898</v>
      </c>
      <c r="D2506" s="119">
        <v>0</v>
      </c>
      <c r="E2506" s="119">
        <v>0</v>
      </c>
      <c r="F2506" s="119">
        <v>0</v>
      </c>
      <c r="G2506" s="119">
        <v>0</v>
      </c>
      <c r="H2506" s="119">
        <v>0</v>
      </c>
      <c r="I2506" s="119">
        <v>0</v>
      </c>
      <c r="J2506" s="119">
        <v>0</v>
      </c>
    </row>
    <row r="2507" spans="1:10">
      <c r="A2507" s="107" t="s">
        <v>102</v>
      </c>
      <c r="B2507" s="107" t="s">
        <v>12</v>
      </c>
      <c r="C2507" s="108">
        <v>0.48958333333333298</v>
      </c>
      <c r="D2507" s="117">
        <v>0</v>
      </c>
      <c r="E2507" s="117">
        <v>0</v>
      </c>
      <c r="F2507" s="117">
        <v>0</v>
      </c>
      <c r="G2507" s="117">
        <v>0</v>
      </c>
      <c r="H2507" s="117">
        <v>0</v>
      </c>
      <c r="I2507" s="117">
        <v>0</v>
      </c>
      <c r="J2507" s="117">
        <v>0</v>
      </c>
    </row>
    <row r="2508" spans="1:10">
      <c r="A2508" s="107" t="s">
        <v>102</v>
      </c>
      <c r="B2508" s="107" t="s">
        <v>12</v>
      </c>
      <c r="C2508" s="108">
        <v>0.49027777777777798</v>
      </c>
      <c r="D2508" s="118">
        <v>0</v>
      </c>
      <c r="E2508" s="118">
        <v>0</v>
      </c>
      <c r="F2508" s="118">
        <v>0</v>
      </c>
      <c r="G2508" s="118">
        <v>0</v>
      </c>
      <c r="H2508" s="118">
        <v>0</v>
      </c>
      <c r="I2508" s="118">
        <v>0</v>
      </c>
      <c r="J2508" s="118">
        <v>0</v>
      </c>
    </row>
    <row r="2509" spans="1:10">
      <c r="A2509" s="107" t="s">
        <v>102</v>
      </c>
      <c r="B2509" s="107" t="s">
        <v>12</v>
      </c>
      <c r="C2509" s="108">
        <v>0.49097222222222198</v>
      </c>
      <c r="D2509" s="118">
        <v>0</v>
      </c>
      <c r="E2509" s="118">
        <v>0</v>
      </c>
      <c r="F2509" s="118">
        <v>0</v>
      </c>
      <c r="G2509" s="118">
        <v>0</v>
      </c>
      <c r="H2509" s="118">
        <v>0</v>
      </c>
      <c r="I2509" s="118">
        <v>0</v>
      </c>
      <c r="J2509" s="118">
        <v>0</v>
      </c>
    </row>
    <row r="2510" spans="1:10">
      <c r="A2510" s="107" t="s">
        <v>102</v>
      </c>
      <c r="B2510" s="107" t="s">
        <v>12</v>
      </c>
      <c r="C2510" s="108">
        <v>0.49166666666666697</v>
      </c>
      <c r="D2510" s="118">
        <v>0</v>
      </c>
      <c r="E2510" s="118">
        <v>0</v>
      </c>
      <c r="F2510" s="118">
        <v>0</v>
      </c>
      <c r="G2510" s="118">
        <v>0</v>
      </c>
      <c r="H2510" s="118">
        <v>0</v>
      </c>
      <c r="I2510" s="118">
        <v>0</v>
      </c>
      <c r="J2510" s="118">
        <v>0</v>
      </c>
    </row>
    <row r="2511" spans="1:10">
      <c r="A2511" s="107" t="s">
        <v>102</v>
      </c>
      <c r="B2511" s="107" t="s">
        <v>12</v>
      </c>
      <c r="C2511" s="108">
        <v>0.49236111111111103</v>
      </c>
      <c r="D2511" s="118">
        <v>0</v>
      </c>
      <c r="E2511" s="118">
        <v>0</v>
      </c>
      <c r="F2511" s="118">
        <v>0</v>
      </c>
      <c r="G2511" s="118">
        <v>0</v>
      </c>
      <c r="H2511" s="118">
        <v>0</v>
      </c>
      <c r="I2511" s="118">
        <v>0</v>
      </c>
      <c r="J2511" s="118">
        <v>0</v>
      </c>
    </row>
    <row r="2512" spans="1:10">
      <c r="A2512" s="107" t="s">
        <v>102</v>
      </c>
      <c r="B2512" s="107" t="s">
        <v>12</v>
      </c>
      <c r="C2512" s="108">
        <v>0.49305555555555503</v>
      </c>
      <c r="D2512" s="118">
        <v>0</v>
      </c>
      <c r="E2512" s="118">
        <v>0</v>
      </c>
      <c r="F2512" s="118">
        <v>0</v>
      </c>
      <c r="G2512" s="118">
        <v>0</v>
      </c>
      <c r="H2512" s="118">
        <v>0</v>
      </c>
      <c r="I2512" s="118">
        <v>0</v>
      </c>
      <c r="J2512" s="118">
        <v>0</v>
      </c>
    </row>
    <row r="2513" spans="1:10">
      <c r="A2513" s="107" t="s">
        <v>102</v>
      </c>
      <c r="B2513" s="107" t="s">
        <v>12</v>
      </c>
      <c r="C2513" s="108">
        <v>0.49375000000000002</v>
      </c>
      <c r="D2513" s="118">
        <v>0</v>
      </c>
      <c r="E2513" s="118">
        <v>0</v>
      </c>
      <c r="F2513" s="118">
        <v>0</v>
      </c>
      <c r="G2513" s="118">
        <v>0</v>
      </c>
      <c r="H2513" s="118">
        <v>0</v>
      </c>
      <c r="I2513" s="118">
        <v>0</v>
      </c>
      <c r="J2513" s="118">
        <v>0</v>
      </c>
    </row>
    <row r="2514" spans="1:10">
      <c r="A2514" s="107" t="s">
        <v>102</v>
      </c>
      <c r="B2514" s="107" t="s">
        <v>12</v>
      </c>
      <c r="C2514" s="108">
        <v>0.49444444444444402</v>
      </c>
      <c r="D2514" s="118">
        <v>0</v>
      </c>
      <c r="E2514" s="118">
        <v>0</v>
      </c>
      <c r="F2514" s="118">
        <v>0</v>
      </c>
      <c r="G2514" s="118">
        <v>0</v>
      </c>
      <c r="H2514" s="118">
        <v>0</v>
      </c>
      <c r="I2514" s="118">
        <v>0</v>
      </c>
      <c r="J2514" s="118">
        <v>0</v>
      </c>
    </row>
    <row r="2515" spans="1:10">
      <c r="A2515" s="107" t="s">
        <v>102</v>
      </c>
      <c r="B2515" s="107" t="s">
        <v>12</v>
      </c>
      <c r="C2515" s="108">
        <v>0.49513888888888902</v>
      </c>
      <c r="D2515" s="118">
        <v>0</v>
      </c>
      <c r="E2515" s="118">
        <v>0</v>
      </c>
      <c r="F2515" s="118">
        <v>0</v>
      </c>
      <c r="G2515" s="118">
        <v>0</v>
      </c>
      <c r="H2515" s="118">
        <v>0</v>
      </c>
      <c r="I2515" s="118">
        <v>0</v>
      </c>
      <c r="J2515" s="118">
        <v>0</v>
      </c>
    </row>
    <row r="2516" spans="1:10">
      <c r="A2516" s="107" t="s">
        <v>102</v>
      </c>
      <c r="B2516" s="107" t="s">
        <v>12</v>
      </c>
      <c r="C2516" s="108">
        <v>0.49583333333333302</v>
      </c>
      <c r="D2516" s="118">
        <v>0</v>
      </c>
      <c r="E2516" s="118">
        <v>0</v>
      </c>
      <c r="F2516" s="118">
        <v>0</v>
      </c>
      <c r="G2516" s="118">
        <v>0</v>
      </c>
      <c r="H2516" s="118">
        <v>0</v>
      </c>
      <c r="I2516" s="118">
        <v>0</v>
      </c>
      <c r="J2516" s="118">
        <v>0</v>
      </c>
    </row>
    <row r="2517" spans="1:10">
      <c r="A2517" s="107" t="s">
        <v>102</v>
      </c>
      <c r="B2517" s="107" t="s">
        <v>12</v>
      </c>
      <c r="C2517" s="108">
        <v>0.49652777777777801</v>
      </c>
      <c r="D2517" s="118">
        <v>0</v>
      </c>
      <c r="E2517" s="118">
        <v>0</v>
      </c>
      <c r="F2517" s="118">
        <v>0</v>
      </c>
      <c r="G2517" s="118">
        <v>0</v>
      </c>
      <c r="H2517" s="118">
        <v>0</v>
      </c>
      <c r="I2517" s="118">
        <v>0</v>
      </c>
      <c r="J2517" s="118">
        <v>0</v>
      </c>
    </row>
    <row r="2518" spans="1:10">
      <c r="A2518" s="107" t="s">
        <v>102</v>
      </c>
      <c r="B2518" s="107" t="s">
        <v>12</v>
      </c>
      <c r="C2518" s="108">
        <v>0.49722222222222201</v>
      </c>
      <c r="D2518" s="118">
        <v>0</v>
      </c>
      <c r="E2518" s="118">
        <v>0</v>
      </c>
      <c r="F2518" s="118">
        <v>0</v>
      </c>
      <c r="G2518" s="118">
        <v>0</v>
      </c>
      <c r="H2518" s="118">
        <v>0</v>
      </c>
      <c r="I2518" s="118">
        <v>0</v>
      </c>
      <c r="J2518" s="118">
        <v>0</v>
      </c>
    </row>
    <row r="2519" spans="1:10">
      <c r="A2519" s="107" t="s">
        <v>102</v>
      </c>
      <c r="B2519" s="107" t="s">
        <v>12</v>
      </c>
      <c r="C2519" s="108">
        <v>0.49791666666666701</v>
      </c>
      <c r="D2519" s="118">
        <v>0</v>
      </c>
      <c r="E2519" s="118">
        <v>0</v>
      </c>
      <c r="F2519" s="118">
        <v>0</v>
      </c>
      <c r="G2519" s="118">
        <v>0</v>
      </c>
      <c r="H2519" s="118">
        <v>0</v>
      </c>
      <c r="I2519" s="118">
        <v>0</v>
      </c>
      <c r="J2519" s="118">
        <v>0</v>
      </c>
    </row>
    <row r="2520" spans="1:10">
      <c r="A2520" s="107" t="s">
        <v>102</v>
      </c>
      <c r="B2520" s="107" t="s">
        <v>12</v>
      </c>
      <c r="C2520" s="108">
        <v>0.49861111111111101</v>
      </c>
      <c r="D2520" s="118">
        <v>0</v>
      </c>
      <c r="E2520" s="118">
        <v>0</v>
      </c>
      <c r="F2520" s="118">
        <v>0</v>
      </c>
      <c r="G2520" s="118">
        <v>0</v>
      </c>
      <c r="H2520" s="118">
        <v>0</v>
      </c>
      <c r="I2520" s="118">
        <v>0</v>
      </c>
      <c r="J2520" s="118">
        <v>0</v>
      </c>
    </row>
    <row r="2521" spans="1:10" s="28" customFormat="1" ht="17.5" thickBot="1">
      <c r="A2521" s="113" t="s">
        <v>102</v>
      </c>
      <c r="B2521" s="113" t="s">
        <v>12</v>
      </c>
      <c r="C2521" s="114">
        <v>0.499305555555555</v>
      </c>
      <c r="D2521" s="120">
        <v>0</v>
      </c>
      <c r="E2521" s="120">
        <v>0</v>
      </c>
      <c r="F2521" s="120">
        <v>0</v>
      </c>
      <c r="G2521" s="120">
        <v>0</v>
      </c>
      <c r="H2521" s="120">
        <v>0</v>
      </c>
      <c r="I2521" s="120">
        <v>0</v>
      </c>
      <c r="J2521" s="120">
        <v>0</v>
      </c>
    </row>
    <row r="2522" spans="1:10">
      <c r="A2522" s="107" t="s">
        <v>102</v>
      </c>
      <c r="B2522" s="107" t="s">
        <v>13</v>
      </c>
      <c r="C2522" s="108">
        <v>0.45833333333333331</v>
      </c>
      <c r="D2522" s="121">
        <v>0</v>
      </c>
      <c r="E2522" s="121">
        <v>0</v>
      </c>
      <c r="F2522" s="121">
        <v>0</v>
      </c>
      <c r="G2522" s="121">
        <v>0</v>
      </c>
      <c r="H2522" s="121">
        <v>0</v>
      </c>
      <c r="I2522" s="121">
        <v>0</v>
      </c>
      <c r="J2522" s="121">
        <v>0</v>
      </c>
    </row>
    <row r="2523" spans="1:10">
      <c r="A2523" s="107" t="s">
        <v>102</v>
      </c>
      <c r="B2523" s="107" t="s">
        <v>13</v>
      </c>
      <c r="C2523" s="108">
        <v>0.45902777777777776</v>
      </c>
      <c r="D2523" s="118">
        <v>0</v>
      </c>
      <c r="E2523" s="118">
        <v>0</v>
      </c>
      <c r="F2523" s="118">
        <v>0</v>
      </c>
      <c r="G2523" s="118">
        <v>0</v>
      </c>
      <c r="H2523" s="118">
        <v>0</v>
      </c>
      <c r="I2523" s="118">
        <v>0</v>
      </c>
      <c r="J2523" s="118">
        <v>0</v>
      </c>
    </row>
    <row r="2524" spans="1:10">
      <c r="A2524" s="107" t="s">
        <v>102</v>
      </c>
      <c r="B2524" s="107" t="s">
        <v>13</v>
      </c>
      <c r="C2524" s="108">
        <v>0.45972222222222198</v>
      </c>
      <c r="D2524" s="118">
        <v>0</v>
      </c>
      <c r="E2524" s="118">
        <v>0</v>
      </c>
      <c r="F2524" s="118">
        <v>0</v>
      </c>
      <c r="G2524" s="118">
        <v>0</v>
      </c>
      <c r="H2524" s="118">
        <v>0</v>
      </c>
      <c r="I2524" s="118">
        <v>0</v>
      </c>
      <c r="J2524" s="118">
        <v>0</v>
      </c>
    </row>
    <row r="2525" spans="1:10">
      <c r="A2525" s="107" t="s">
        <v>102</v>
      </c>
      <c r="B2525" s="107" t="s">
        <v>13</v>
      </c>
      <c r="C2525" s="108">
        <v>0.46041666666666697</v>
      </c>
      <c r="D2525" s="118">
        <v>0</v>
      </c>
      <c r="E2525" s="118">
        <v>0</v>
      </c>
      <c r="F2525" s="118">
        <v>0</v>
      </c>
      <c r="G2525" s="118">
        <v>0</v>
      </c>
      <c r="H2525" s="118">
        <v>0</v>
      </c>
      <c r="I2525" s="118">
        <v>0</v>
      </c>
      <c r="J2525" s="118">
        <v>0</v>
      </c>
    </row>
    <row r="2526" spans="1:10">
      <c r="A2526" s="107" t="s">
        <v>102</v>
      </c>
      <c r="B2526" s="107" t="s">
        <v>13</v>
      </c>
      <c r="C2526" s="108">
        <v>0.46111111111111103</v>
      </c>
      <c r="D2526" s="118">
        <v>0</v>
      </c>
      <c r="E2526" s="118">
        <v>0</v>
      </c>
      <c r="F2526" s="118">
        <v>0</v>
      </c>
      <c r="G2526" s="118">
        <v>0</v>
      </c>
      <c r="H2526" s="118">
        <v>0</v>
      </c>
      <c r="I2526" s="118">
        <v>0</v>
      </c>
      <c r="J2526" s="118">
        <v>0</v>
      </c>
    </row>
    <row r="2527" spans="1:10">
      <c r="A2527" s="107" t="s">
        <v>102</v>
      </c>
      <c r="B2527" s="107" t="s">
        <v>13</v>
      </c>
      <c r="C2527" s="108">
        <v>0.46180555555555602</v>
      </c>
      <c r="D2527" s="118">
        <v>0</v>
      </c>
      <c r="E2527" s="118">
        <v>0</v>
      </c>
      <c r="F2527" s="118">
        <v>0</v>
      </c>
      <c r="G2527" s="118">
        <v>0</v>
      </c>
      <c r="H2527" s="118">
        <v>0</v>
      </c>
      <c r="I2527" s="118">
        <v>0</v>
      </c>
      <c r="J2527" s="118">
        <v>0</v>
      </c>
    </row>
    <row r="2528" spans="1:10">
      <c r="A2528" s="107" t="s">
        <v>102</v>
      </c>
      <c r="B2528" s="107" t="s">
        <v>13</v>
      </c>
      <c r="C2528" s="108">
        <v>0.46250000000000002</v>
      </c>
      <c r="D2528" s="118">
        <v>0</v>
      </c>
      <c r="E2528" s="118">
        <v>0</v>
      </c>
      <c r="F2528" s="118">
        <v>0</v>
      </c>
      <c r="G2528" s="118">
        <v>0</v>
      </c>
      <c r="H2528" s="118">
        <v>0</v>
      </c>
      <c r="I2528" s="118">
        <v>0</v>
      </c>
      <c r="J2528" s="118">
        <v>0</v>
      </c>
    </row>
    <row r="2529" spans="1:10">
      <c r="A2529" s="107" t="s">
        <v>102</v>
      </c>
      <c r="B2529" s="107" t="s">
        <v>13</v>
      </c>
      <c r="C2529" s="108">
        <v>0.46319444444444402</v>
      </c>
      <c r="D2529" s="118">
        <v>0</v>
      </c>
      <c r="E2529" s="118">
        <v>0</v>
      </c>
      <c r="F2529" s="118">
        <v>0</v>
      </c>
      <c r="G2529" s="118">
        <v>0</v>
      </c>
      <c r="H2529" s="118">
        <v>0</v>
      </c>
      <c r="I2529" s="118">
        <v>0</v>
      </c>
      <c r="J2529" s="118">
        <v>0</v>
      </c>
    </row>
    <row r="2530" spans="1:10">
      <c r="A2530" s="107" t="s">
        <v>102</v>
      </c>
      <c r="B2530" s="107" t="s">
        <v>13</v>
      </c>
      <c r="C2530" s="108">
        <v>0.46388888888888902</v>
      </c>
      <c r="D2530" s="118">
        <v>0</v>
      </c>
      <c r="E2530" s="118">
        <v>0</v>
      </c>
      <c r="F2530" s="118">
        <v>0</v>
      </c>
      <c r="G2530" s="118">
        <v>0</v>
      </c>
      <c r="H2530" s="118">
        <v>0</v>
      </c>
      <c r="I2530" s="118">
        <v>0</v>
      </c>
      <c r="J2530" s="118">
        <v>0</v>
      </c>
    </row>
    <row r="2531" spans="1:10">
      <c r="A2531" s="107" t="s">
        <v>102</v>
      </c>
      <c r="B2531" s="107" t="s">
        <v>13</v>
      </c>
      <c r="C2531" s="108">
        <v>0.46458333333333302</v>
      </c>
      <c r="D2531" s="118">
        <v>0</v>
      </c>
      <c r="E2531" s="118">
        <v>0</v>
      </c>
      <c r="F2531" s="118">
        <v>0</v>
      </c>
      <c r="G2531" s="118">
        <v>0</v>
      </c>
      <c r="H2531" s="118">
        <v>0</v>
      </c>
      <c r="I2531" s="118">
        <v>0</v>
      </c>
      <c r="J2531" s="118">
        <v>0</v>
      </c>
    </row>
    <row r="2532" spans="1:10">
      <c r="A2532" s="107" t="s">
        <v>102</v>
      </c>
      <c r="B2532" s="107" t="s">
        <v>13</v>
      </c>
      <c r="C2532" s="108">
        <v>0.46527777777777801</v>
      </c>
      <c r="D2532" s="118">
        <v>0</v>
      </c>
      <c r="E2532" s="118">
        <v>0</v>
      </c>
      <c r="F2532" s="118">
        <v>0</v>
      </c>
      <c r="G2532" s="118">
        <v>0</v>
      </c>
      <c r="H2532" s="118">
        <v>0</v>
      </c>
      <c r="I2532" s="118">
        <v>0</v>
      </c>
      <c r="J2532" s="118">
        <v>0</v>
      </c>
    </row>
    <row r="2533" spans="1:10">
      <c r="A2533" s="107" t="s">
        <v>102</v>
      </c>
      <c r="B2533" s="107" t="s">
        <v>13</v>
      </c>
      <c r="C2533" s="108">
        <v>0.46597222222222201</v>
      </c>
      <c r="D2533" s="118">
        <v>0</v>
      </c>
      <c r="E2533" s="118">
        <v>0</v>
      </c>
      <c r="F2533" s="118">
        <v>0</v>
      </c>
      <c r="G2533" s="118">
        <v>0</v>
      </c>
      <c r="H2533" s="118">
        <v>0</v>
      </c>
      <c r="I2533" s="118">
        <v>0</v>
      </c>
      <c r="J2533" s="118">
        <v>0</v>
      </c>
    </row>
    <row r="2534" spans="1:10">
      <c r="A2534" s="107" t="s">
        <v>102</v>
      </c>
      <c r="B2534" s="107" t="s">
        <v>13</v>
      </c>
      <c r="C2534" s="108">
        <v>0.46666666666666701</v>
      </c>
      <c r="D2534" s="118">
        <v>0</v>
      </c>
      <c r="E2534" s="118">
        <v>0</v>
      </c>
      <c r="F2534" s="118">
        <v>0</v>
      </c>
      <c r="G2534" s="118">
        <v>0</v>
      </c>
      <c r="H2534" s="118">
        <v>0</v>
      </c>
      <c r="I2534" s="118">
        <v>0</v>
      </c>
      <c r="J2534" s="118">
        <v>0</v>
      </c>
    </row>
    <row r="2535" spans="1:10">
      <c r="A2535" s="107" t="s">
        <v>102</v>
      </c>
      <c r="B2535" s="107" t="s">
        <v>13</v>
      </c>
      <c r="C2535" s="108">
        <v>0.46736111111111101</v>
      </c>
      <c r="D2535" s="118">
        <v>0</v>
      </c>
      <c r="E2535" s="118">
        <v>0</v>
      </c>
      <c r="F2535" s="118">
        <v>0</v>
      </c>
      <c r="G2535" s="118">
        <v>0</v>
      </c>
      <c r="H2535" s="118">
        <v>0</v>
      </c>
      <c r="I2535" s="118">
        <v>0</v>
      </c>
      <c r="J2535" s="118">
        <v>0</v>
      </c>
    </row>
    <row r="2536" spans="1:10" s="78" customFormat="1">
      <c r="A2536" s="109" t="s">
        <v>102</v>
      </c>
      <c r="B2536" s="109" t="s">
        <v>13</v>
      </c>
      <c r="C2536" s="110">
        <v>0.468055555555556</v>
      </c>
      <c r="D2536" s="118">
        <v>0</v>
      </c>
      <c r="E2536" s="118">
        <v>0</v>
      </c>
      <c r="F2536" s="118">
        <v>0</v>
      </c>
      <c r="G2536" s="118">
        <v>0</v>
      </c>
      <c r="H2536" s="118">
        <v>0</v>
      </c>
      <c r="I2536" s="118">
        <v>0</v>
      </c>
      <c r="J2536" s="118">
        <v>0</v>
      </c>
    </row>
    <row r="2537" spans="1:10">
      <c r="A2537" s="107" t="s">
        <v>102</v>
      </c>
      <c r="B2537" s="107" t="s">
        <v>13</v>
      </c>
      <c r="C2537" s="108">
        <v>0.46875</v>
      </c>
      <c r="D2537" s="117">
        <v>0</v>
      </c>
      <c r="E2537" s="117">
        <v>0</v>
      </c>
      <c r="F2537" s="117">
        <v>0</v>
      </c>
      <c r="G2537" s="117">
        <v>0</v>
      </c>
      <c r="H2537" s="117">
        <v>0</v>
      </c>
      <c r="I2537" s="117">
        <v>0</v>
      </c>
      <c r="J2537" s="117">
        <v>0</v>
      </c>
    </row>
    <row r="2538" spans="1:10">
      <c r="A2538" s="107" t="s">
        <v>102</v>
      </c>
      <c r="B2538" s="107" t="s">
        <v>13</v>
      </c>
      <c r="C2538" s="108">
        <v>0.469444444444444</v>
      </c>
      <c r="D2538" s="118">
        <v>0</v>
      </c>
      <c r="E2538" s="118">
        <v>0</v>
      </c>
      <c r="F2538" s="118">
        <v>0</v>
      </c>
      <c r="G2538" s="118">
        <v>0</v>
      </c>
      <c r="H2538" s="118">
        <v>0</v>
      </c>
      <c r="I2538" s="118">
        <v>0</v>
      </c>
      <c r="J2538" s="118">
        <v>0</v>
      </c>
    </row>
    <row r="2539" spans="1:10">
      <c r="A2539" s="107" t="s">
        <v>102</v>
      </c>
      <c r="B2539" s="107" t="s">
        <v>13</v>
      </c>
      <c r="C2539" s="108">
        <v>0.47013888888888899</v>
      </c>
      <c r="D2539" s="118">
        <v>0</v>
      </c>
      <c r="E2539" s="118">
        <v>0</v>
      </c>
      <c r="F2539" s="118">
        <v>0</v>
      </c>
      <c r="G2539" s="118">
        <v>0</v>
      </c>
      <c r="H2539" s="118">
        <v>0</v>
      </c>
      <c r="I2539" s="118">
        <v>0</v>
      </c>
      <c r="J2539" s="118">
        <v>0</v>
      </c>
    </row>
    <row r="2540" spans="1:10">
      <c r="A2540" s="107" t="s">
        <v>102</v>
      </c>
      <c r="B2540" s="107" t="s">
        <v>13</v>
      </c>
      <c r="C2540" s="108">
        <v>0.47083333333333299</v>
      </c>
      <c r="D2540" s="118">
        <v>0</v>
      </c>
      <c r="E2540" s="118">
        <v>0</v>
      </c>
      <c r="F2540" s="118">
        <v>0</v>
      </c>
      <c r="G2540" s="118">
        <v>0</v>
      </c>
      <c r="H2540" s="118">
        <v>0</v>
      </c>
      <c r="I2540" s="118">
        <v>0</v>
      </c>
      <c r="J2540" s="118">
        <v>0</v>
      </c>
    </row>
    <row r="2541" spans="1:10">
      <c r="A2541" s="107" t="s">
        <v>102</v>
      </c>
      <c r="B2541" s="107" t="s">
        <v>13</v>
      </c>
      <c r="C2541" s="108">
        <v>0.47152777777777799</v>
      </c>
      <c r="D2541" s="118">
        <v>0</v>
      </c>
      <c r="E2541" s="118">
        <v>0</v>
      </c>
      <c r="F2541" s="118">
        <v>0</v>
      </c>
      <c r="G2541" s="118">
        <v>0</v>
      </c>
      <c r="H2541" s="118">
        <v>0</v>
      </c>
      <c r="I2541" s="118">
        <v>0</v>
      </c>
      <c r="J2541" s="118">
        <v>0</v>
      </c>
    </row>
    <row r="2542" spans="1:10">
      <c r="A2542" s="107" t="s">
        <v>102</v>
      </c>
      <c r="B2542" s="107" t="s">
        <v>13</v>
      </c>
      <c r="C2542" s="108">
        <v>0.47222222222222199</v>
      </c>
      <c r="D2542" s="118">
        <v>0</v>
      </c>
      <c r="E2542" s="118">
        <v>0</v>
      </c>
      <c r="F2542" s="118">
        <v>0</v>
      </c>
      <c r="G2542" s="118">
        <v>0</v>
      </c>
      <c r="H2542" s="118">
        <v>0</v>
      </c>
      <c r="I2542" s="118">
        <v>0</v>
      </c>
      <c r="J2542" s="118">
        <v>0</v>
      </c>
    </row>
    <row r="2543" spans="1:10">
      <c r="A2543" s="107" t="s">
        <v>102</v>
      </c>
      <c r="B2543" s="107" t="s">
        <v>13</v>
      </c>
      <c r="C2543" s="108">
        <v>0.47291666666666698</v>
      </c>
      <c r="D2543" s="118">
        <v>0</v>
      </c>
      <c r="E2543" s="118">
        <v>0</v>
      </c>
      <c r="F2543" s="118">
        <v>0</v>
      </c>
      <c r="G2543" s="118">
        <v>0</v>
      </c>
      <c r="H2543" s="118">
        <v>0</v>
      </c>
      <c r="I2543" s="118">
        <v>0</v>
      </c>
      <c r="J2543" s="118">
        <v>0</v>
      </c>
    </row>
    <row r="2544" spans="1:10">
      <c r="A2544" s="107" t="s">
        <v>102</v>
      </c>
      <c r="B2544" s="107" t="s">
        <v>13</v>
      </c>
      <c r="C2544" s="108">
        <v>0.47361111111111098</v>
      </c>
      <c r="D2544" s="118">
        <v>0</v>
      </c>
      <c r="E2544" s="118">
        <v>0</v>
      </c>
      <c r="F2544" s="118">
        <v>0</v>
      </c>
      <c r="G2544" s="118">
        <v>0</v>
      </c>
      <c r="H2544" s="118">
        <v>0</v>
      </c>
      <c r="I2544" s="118">
        <v>0</v>
      </c>
      <c r="J2544" s="118">
        <v>0</v>
      </c>
    </row>
    <row r="2545" spans="1:10">
      <c r="A2545" s="107" t="s">
        <v>102</v>
      </c>
      <c r="B2545" s="107" t="s">
        <v>13</v>
      </c>
      <c r="C2545" s="108">
        <v>0.47430555555555598</v>
      </c>
      <c r="D2545" s="118">
        <v>0</v>
      </c>
      <c r="E2545" s="118">
        <v>0</v>
      </c>
      <c r="F2545" s="118">
        <v>0</v>
      </c>
      <c r="G2545" s="118">
        <v>0</v>
      </c>
      <c r="H2545" s="118">
        <v>0</v>
      </c>
      <c r="I2545" s="118">
        <v>0</v>
      </c>
      <c r="J2545" s="118">
        <v>0</v>
      </c>
    </row>
    <row r="2546" spans="1:10">
      <c r="A2546" s="107" t="s">
        <v>102</v>
      </c>
      <c r="B2546" s="107" t="s">
        <v>13</v>
      </c>
      <c r="C2546" s="108">
        <v>0.47499999999999998</v>
      </c>
      <c r="D2546" s="118">
        <v>0</v>
      </c>
      <c r="E2546" s="118">
        <v>0</v>
      </c>
      <c r="F2546" s="118">
        <v>0</v>
      </c>
      <c r="G2546" s="118">
        <v>0</v>
      </c>
      <c r="H2546" s="118">
        <v>0</v>
      </c>
      <c r="I2546" s="118">
        <v>0</v>
      </c>
      <c r="J2546" s="118">
        <v>0</v>
      </c>
    </row>
    <row r="2547" spans="1:10">
      <c r="A2547" s="107" t="s">
        <v>102</v>
      </c>
      <c r="B2547" s="107" t="s">
        <v>13</v>
      </c>
      <c r="C2547" s="108">
        <v>0.47569444444444398</v>
      </c>
      <c r="D2547" s="118">
        <v>0</v>
      </c>
      <c r="E2547" s="118">
        <v>0</v>
      </c>
      <c r="F2547" s="118">
        <v>0</v>
      </c>
      <c r="G2547" s="118">
        <v>0</v>
      </c>
      <c r="H2547" s="118">
        <v>0</v>
      </c>
      <c r="I2547" s="118">
        <v>0</v>
      </c>
      <c r="J2547" s="118">
        <v>0</v>
      </c>
    </row>
    <row r="2548" spans="1:10">
      <c r="A2548" s="107" t="s">
        <v>102</v>
      </c>
      <c r="B2548" s="107" t="s">
        <v>13</v>
      </c>
      <c r="C2548" s="108">
        <v>0.47638888888888897</v>
      </c>
      <c r="D2548" s="118">
        <v>0</v>
      </c>
      <c r="E2548" s="118">
        <v>0</v>
      </c>
      <c r="F2548" s="118">
        <v>0</v>
      </c>
      <c r="G2548" s="118">
        <v>0</v>
      </c>
      <c r="H2548" s="118">
        <v>0</v>
      </c>
      <c r="I2548" s="118">
        <v>0</v>
      </c>
      <c r="J2548" s="118">
        <v>0</v>
      </c>
    </row>
    <row r="2549" spans="1:10">
      <c r="A2549" s="107" t="s">
        <v>102</v>
      </c>
      <c r="B2549" s="107" t="s">
        <v>13</v>
      </c>
      <c r="C2549" s="108">
        <v>0.47708333333333303</v>
      </c>
      <c r="D2549" s="118">
        <v>0</v>
      </c>
      <c r="E2549" s="118">
        <v>0</v>
      </c>
      <c r="F2549" s="118">
        <v>0</v>
      </c>
      <c r="G2549" s="118">
        <v>0</v>
      </c>
      <c r="H2549" s="118">
        <v>0</v>
      </c>
      <c r="I2549" s="118">
        <v>0</v>
      </c>
      <c r="J2549" s="118">
        <v>0</v>
      </c>
    </row>
    <row r="2550" spans="1:10">
      <c r="A2550" s="107" t="s">
        <v>102</v>
      </c>
      <c r="B2550" s="107" t="s">
        <v>13</v>
      </c>
      <c r="C2550" s="108">
        <v>0.47777777777777802</v>
      </c>
      <c r="D2550" s="118">
        <v>0</v>
      </c>
      <c r="E2550" s="118">
        <v>0</v>
      </c>
      <c r="F2550" s="118">
        <v>0</v>
      </c>
      <c r="G2550" s="118">
        <v>0</v>
      </c>
      <c r="H2550" s="118">
        <v>0</v>
      </c>
      <c r="I2550" s="118">
        <v>0</v>
      </c>
      <c r="J2550" s="118">
        <v>0</v>
      </c>
    </row>
    <row r="2551" spans="1:10" s="78" customFormat="1">
      <c r="A2551" s="109" t="s">
        <v>102</v>
      </c>
      <c r="B2551" s="109" t="s">
        <v>13</v>
      </c>
      <c r="C2551" s="110">
        <v>0.47847222222222202</v>
      </c>
      <c r="D2551" s="119">
        <v>0</v>
      </c>
      <c r="E2551" s="119">
        <v>0</v>
      </c>
      <c r="F2551" s="119">
        <v>0</v>
      </c>
      <c r="G2551" s="119">
        <v>0</v>
      </c>
      <c r="H2551" s="119">
        <v>0</v>
      </c>
      <c r="I2551" s="119">
        <v>0</v>
      </c>
      <c r="J2551" s="119">
        <v>0</v>
      </c>
    </row>
    <row r="2552" spans="1:10">
      <c r="A2552" s="107" t="s">
        <v>102</v>
      </c>
      <c r="B2552" s="107" t="s">
        <v>13</v>
      </c>
      <c r="C2552" s="108">
        <v>0.47916666666666702</v>
      </c>
      <c r="D2552" s="117">
        <v>0</v>
      </c>
      <c r="E2552" s="117">
        <v>0</v>
      </c>
      <c r="F2552" s="117">
        <v>0</v>
      </c>
      <c r="G2552" s="117">
        <v>0</v>
      </c>
      <c r="H2552" s="117">
        <v>0</v>
      </c>
      <c r="I2552" s="117">
        <v>0</v>
      </c>
      <c r="J2552" s="117">
        <v>0</v>
      </c>
    </row>
    <row r="2553" spans="1:10">
      <c r="A2553" s="107" t="s">
        <v>102</v>
      </c>
      <c r="B2553" s="107" t="s">
        <v>13</v>
      </c>
      <c r="C2553" s="108">
        <v>0.47986111111111102</v>
      </c>
      <c r="D2553" s="118">
        <v>0</v>
      </c>
      <c r="E2553" s="118">
        <v>0</v>
      </c>
      <c r="F2553" s="118">
        <v>0</v>
      </c>
      <c r="G2553" s="118">
        <v>0</v>
      </c>
      <c r="H2553" s="118">
        <v>0</v>
      </c>
      <c r="I2553" s="118">
        <v>0</v>
      </c>
      <c r="J2553" s="118">
        <v>0</v>
      </c>
    </row>
    <row r="2554" spans="1:10">
      <c r="A2554" s="107" t="s">
        <v>102</v>
      </c>
      <c r="B2554" s="107" t="s">
        <v>13</v>
      </c>
      <c r="C2554" s="108">
        <v>0.48055555555555501</v>
      </c>
      <c r="D2554" s="118">
        <v>0</v>
      </c>
      <c r="E2554" s="118">
        <v>0</v>
      </c>
      <c r="F2554" s="118">
        <v>0</v>
      </c>
      <c r="G2554" s="118">
        <v>0</v>
      </c>
      <c r="H2554" s="118">
        <v>0</v>
      </c>
      <c r="I2554" s="118">
        <v>0</v>
      </c>
      <c r="J2554" s="118">
        <v>0</v>
      </c>
    </row>
    <row r="2555" spans="1:10">
      <c r="A2555" s="107" t="s">
        <v>102</v>
      </c>
      <c r="B2555" s="107" t="s">
        <v>13</v>
      </c>
      <c r="C2555" s="108">
        <v>0.48125000000000001</v>
      </c>
      <c r="D2555" s="118">
        <v>0</v>
      </c>
      <c r="E2555" s="118">
        <v>0</v>
      </c>
      <c r="F2555" s="118">
        <v>0</v>
      </c>
      <c r="G2555" s="118">
        <v>0</v>
      </c>
      <c r="H2555" s="118">
        <v>0</v>
      </c>
      <c r="I2555" s="118">
        <v>0</v>
      </c>
      <c r="J2555" s="118">
        <v>0</v>
      </c>
    </row>
    <row r="2556" spans="1:10">
      <c r="A2556" s="107" t="s">
        <v>102</v>
      </c>
      <c r="B2556" s="107" t="s">
        <v>13</v>
      </c>
      <c r="C2556" s="108">
        <v>0.48194444444444401</v>
      </c>
      <c r="D2556" s="118">
        <v>0</v>
      </c>
      <c r="E2556" s="118">
        <v>0</v>
      </c>
      <c r="F2556" s="118">
        <v>0</v>
      </c>
      <c r="G2556" s="118">
        <v>0</v>
      </c>
      <c r="H2556" s="118">
        <v>0</v>
      </c>
      <c r="I2556" s="118">
        <v>0</v>
      </c>
      <c r="J2556" s="118">
        <v>0</v>
      </c>
    </row>
    <row r="2557" spans="1:10">
      <c r="A2557" s="107" t="s">
        <v>102</v>
      </c>
      <c r="B2557" s="107" t="s">
        <v>13</v>
      </c>
      <c r="C2557" s="108">
        <v>0.48263888888888901</v>
      </c>
      <c r="D2557" s="118">
        <v>0</v>
      </c>
      <c r="E2557" s="118">
        <v>0</v>
      </c>
      <c r="F2557" s="118">
        <v>0</v>
      </c>
      <c r="G2557" s="118">
        <v>0</v>
      </c>
      <c r="H2557" s="118">
        <v>0</v>
      </c>
      <c r="I2557" s="118">
        <v>0</v>
      </c>
      <c r="J2557" s="118">
        <v>0</v>
      </c>
    </row>
    <row r="2558" spans="1:10">
      <c r="A2558" s="107" t="s">
        <v>102</v>
      </c>
      <c r="B2558" s="107" t="s">
        <v>13</v>
      </c>
      <c r="C2558" s="108">
        <v>0.483333333333333</v>
      </c>
      <c r="D2558" s="118">
        <v>0</v>
      </c>
      <c r="E2558" s="118">
        <v>0</v>
      </c>
      <c r="F2558" s="118">
        <v>0</v>
      </c>
      <c r="G2558" s="118">
        <v>0</v>
      </c>
      <c r="H2558" s="118">
        <v>0</v>
      </c>
      <c r="I2558" s="118">
        <v>0</v>
      </c>
      <c r="J2558" s="118">
        <v>0</v>
      </c>
    </row>
    <row r="2559" spans="1:10">
      <c r="A2559" s="107" t="s">
        <v>102</v>
      </c>
      <c r="B2559" s="107" t="s">
        <v>13</v>
      </c>
      <c r="C2559" s="108">
        <v>0.484027777777778</v>
      </c>
      <c r="D2559" s="118">
        <v>0</v>
      </c>
      <c r="E2559" s="118">
        <v>0</v>
      </c>
      <c r="F2559" s="118">
        <v>0</v>
      </c>
      <c r="G2559" s="118">
        <v>0</v>
      </c>
      <c r="H2559" s="118">
        <v>0</v>
      </c>
      <c r="I2559" s="118">
        <v>0</v>
      </c>
      <c r="J2559" s="118">
        <v>0</v>
      </c>
    </row>
    <row r="2560" spans="1:10">
      <c r="A2560" s="107" t="s">
        <v>102</v>
      </c>
      <c r="B2560" s="107" t="s">
        <v>13</v>
      </c>
      <c r="C2560" s="108">
        <v>0.484722222222222</v>
      </c>
      <c r="D2560" s="118">
        <v>0</v>
      </c>
      <c r="E2560" s="118">
        <v>0</v>
      </c>
      <c r="F2560" s="118">
        <v>0</v>
      </c>
      <c r="G2560" s="118">
        <v>0</v>
      </c>
      <c r="H2560" s="118">
        <v>0</v>
      </c>
      <c r="I2560" s="118">
        <v>0</v>
      </c>
      <c r="J2560" s="118">
        <v>0</v>
      </c>
    </row>
    <row r="2561" spans="1:10">
      <c r="A2561" s="107" t="s">
        <v>102</v>
      </c>
      <c r="B2561" s="107" t="s">
        <v>13</v>
      </c>
      <c r="C2561" s="108">
        <v>0.485416666666666</v>
      </c>
      <c r="D2561" s="118">
        <v>0</v>
      </c>
      <c r="E2561" s="118">
        <v>0</v>
      </c>
      <c r="F2561" s="118">
        <v>0</v>
      </c>
      <c r="G2561" s="118">
        <v>0</v>
      </c>
      <c r="H2561" s="118">
        <v>0</v>
      </c>
      <c r="I2561" s="118">
        <v>0</v>
      </c>
      <c r="J2561" s="118">
        <v>0</v>
      </c>
    </row>
    <row r="2562" spans="1:10">
      <c r="A2562" s="107" t="s">
        <v>102</v>
      </c>
      <c r="B2562" s="107" t="s">
        <v>13</v>
      </c>
      <c r="C2562" s="108">
        <v>0.48611111111111099</v>
      </c>
      <c r="D2562" s="118">
        <v>0</v>
      </c>
      <c r="E2562" s="118">
        <v>0</v>
      </c>
      <c r="F2562" s="118">
        <v>0</v>
      </c>
      <c r="G2562" s="118">
        <v>0</v>
      </c>
      <c r="H2562" s="118">
        <v>0</v>
      </c>
      <c r="I2562" s="118">
        <v>0</v>
      </c>
      <c r="J2562" s="118">
        <v>0</v>
      </c>
    </row>
    <row r="2563" spans="1:10">
      <c r="A2563" s="107" t="s">
        <v>102</v>
      </c>
      <c r="B2563" s="107" t="s">
        <v>13</v>
      </c>
      <c r="C2563" s="108">
        <v>0.48680555555555499</v>
      </c>
      <c r="D2563" s="118">
        <v>0</v>
      </c>
      <c r="E2563" s="118">
        <v>0</v>
      </c>
      <c r="F2563" s="118">
        <v>0</v>
      </c>
      <c r="G2563" s="118">
        <v>0</v>
      </c>
      <c r="H2563" s="118">
        <v>0</v>
      </c>
      <c r="I2563" s="118">
        <v>0</v>
      </c>
      <c r="J2563" s="118">
        <v>0</v>
      </c>
    </row>
    <row r="2564" spans="1:10">
      <c r="A2564" s="107" t="s">
        <v>102</v>
      </c>
      <c r="B2564" s="107" t="s">
        <v>13</v>
      </c>
      <c r="C2564" s="108">
        <v>0.48749999999999999</v>
      </c>
      <c r="D2564" s="118">
        <v>0</v>
      </c>
      <c r="E2564" s="118">
        <v>0</v>
      </c>
      <c r="F2564" s="118">
        <v>0</v>
      </c>
      <c r="G2564" s="118">
        <v>0</v>
      </c>
      <c r="H2564" s="118">
        <v>0</v>
      </c>
      <c r="I2564" s="118">
        <v>0</v>
      </c>
      <c r="J2564" s="118">
        <v>0</v>
      </c>
    </row>
    <row r="2565" spans="1:10">
      <c r="A2565" s="107" t="s">
        <v>102</v>
      </c>
      <c r="B2565" s="107" t="s">
        <v>13</v>
      </c>
      <c r="C2565" s="108">
        <v>0.48819444444444399</v>
      </c>
      <c r="D2565" s="118">
        <v>0</v>
      </c>
      <c r="E2565" s="118">
        <v>0</v>
      </c>
      <c r="F2565" s="118">
        <v>0</v>
      </c>
      <c r="G2565" s="118">
        <v>0</v>
      </c>
      <c r="H2565" s="118">
        <v>0</v>
      </c>
      <c r="I2565" s="118">
        <v>0</v>
      </c>
      <c r="J2565" s="118">
        <v>0</v>
      </c>
    </row>
    <row r="2566" spans="1:10" s="78" customFormat="1">
      <c r="A2566" s="109" t="s">
        <v>102</v>
      </c>
      <c r="B2566" s="109" t="s">
        <v>13</v>
      </c>
      <c r="C2566" s="110">
        <v>0.48888888888888898</v>
      </c>
      <c r="D2566" s="119">
        <v>0</v>
      </c>
      <c r="E2566" s="119">
        <v>0</v>
      </c>
      <c r="F2566" s="119">
        <v>0</v>
      </c>
      <c r="G2566" s="119">
        <v>0</v>
      </c>
      <c r="H2566" s="119">
        <v>0</v>
      </c>
      <c r="I2566" s="119">
        <v>0</v>
      </c>
      <c r="J2566" s="119">
        <v>0</v>
      </c>
    </row>
    <row r="2567" spans="1:10">
      <c r="A2567" s="107" t="s">
        <v>102</v>
      </c>
      <c r="B2567" s="107" t="s">
        <v>13</v>
      </c>
      <c r="C2567" s="108">
        <v>0.48958333333333298</v>
      </c>
      <c r="D2567" s="117">
        <v>0</v>
      </c>
      <c r="E2567" s="117">
        <v>0</v>
      </c>
      <c r="F2567" s="117">
        <v>0</v>
      </c>
      <c r="G2567" s="117">
        <v>0</v>
      </c>
      <c r="H2567" s="117">
        <v>0</v>
      </c>
      <c r="I2567" s="117">
        <v>0</v>
      </c>
      <c r="J2567" s="117">
        <v>0</v>
      </c>
    </row>
    <row r="2568" spans="1:10">
      <c r="A2568" s="107" t="s">
        <v>102</v>
      </c>
      <c r="B2568" s="107" t="s">
        <v>13</v>
      </c>
      <c r="C2568" s="108">
        <v>0.49027777777777798</v>
      </c>
      <c r="D2568" s="118">
        <v>0</v>
      </c>
      <c r="E2568" s="118">
        <v>0</v>
      </c>
      <c r="F2568" s="118">
        <v>0</v>
      </c>
      <c r="G2568" s="118">
        <v>0</v>
      </c>
      <c r="H2568" s="118">
        <v>0</v>
      </c>
      <c r="I2568" s="118">
        <v>0</v>
      </c>
      <c r="J2568" s="118">
        <v>0</v>
      </c>
    </row>
    <row r="2569" spans="1:10">
      <c r="A2569" s="107" t="s">
        <v>102</v>
      </c>
      <c r="B2569" s="107" t="s">
        <v>13</v>
      </c>
      <c r="C2569" s="108">
        <v>0.49097222222222198</v>
      </c>
      <c r="D2569" s="118">
        <v>0</v>
      </c>
      <c r="E2569" s="118">
        <v>0</v>
      </c>
      <c r="F2569" s="118">
        <v>0</v>
      </c>
      <c r="G2569" s="118">
        <v>0</v>
      </c>
      <c r="H2569" s="118">
        <v>0</v>
      </c>
      <c r="I2569" s="118">
        <v>0</v>
      </c>
      <c r="J2569" s="118">
        <v>0</v>
      </c>
    </row>
    <row r="2570" spans="1:10">
      <c r="A2570" s="107" t="s">
        <v>102</v>
      </c>
      <c r="B2570" s="107" t="s">
        <v>13</v>
      </c>
      <c r="C2570" s="108">
        <v>0.49166666666666697</v>
      </c>
      <c r="D2570" s="118">
        <v>0</v>
      </c>
      <c r="E2570" s="118">
        <v>0</v>
      </c>
      <c r="F2570" s="118">
        <v>0</v>
      </c>
      <c r="G2570" s="118">
        <v>0</v>
      </c>
      <c r="H2570" s="118">
        <v>0</v>
      </c>
      <c r="I2570" s="118">
        <v>0</v>
      </c>
      <c r="J2570" s="118">
        <v>0</v>
      </c>
    </row>
    <row r="2571" spans="1:10">
      <c r="A2571" s="107" t="s">
        <v>102</v>
      </c>
      <c r="B2571" s="107" t="s">
        <v>13</v>
      </c>
      <c r="C2571" s="108">
        <v>0.49236111111111103</v>
      </c>
      <c r="D2571" s="118">
        <v>0</v>
      </c>
      <c r="E2571" s="118">
        <v>0</v>
      </c>
      <c r="F2571" s="118">
        <v>0</v>
      </c>
      <c r="G2571" s="118">
        <v>0</v>
      </c>
      <c r="H2571" s="118">
        <v>0</v>
      </c>
      <c r="I2571" s="118">
        <v>0</v>
      </c>
      <c r="J2571" s="118">
        <v>0</v>
      </c>
    </row>
    <row r="2572" spans="1:10">
      <c r="A2572" s="107" t="s">
        <v>102</v>
      </c>
      <c r="B2572" s="107" t="s">
        <v>13</v>
      </c>
      <c r="C2572" s="108">
        <v>0.49305555555555503</v>
      </c>
      <c r="D2572" s="118">
        <v>0</v>
      </c>
      <c r="E2572" s="118">
        <v>0</v>
      </c>
      <c r="F2572" s="118">
        <v>0</v>
      </c>
      <c r="G2572" s="118">
        <v>0</v>
      </c>
      <c r="H2572" s="118">
        <v>0</v>
      </c>
      <c r="I2572" s="118">
        <v>0</v>
      </c>
      <c r="J2572" s="118">
        <v>0</v>
      </c>
    </row>
    <row r="2573" spans="1:10">
      <c r="A2573" s="107" t="s">
        <v>102</v>
      </c>
      <c r="B2573" s="107" t="s">
        <v>13</v>
      </c>
      <c r="C2573" s="108">
        <v>0.49375000000000002</v>
      </c>
      <c r="D2573" s="118">
        <v>0</v>
      </c>
      <c r="E2573" s="118">
        <v>0</v>
      </c>
      <c r="F2573" s="118">
        <v>0</v>
      </c>
      <c r="G2573" s="118">
        <v>0</v>
      </c>
      <c r="H2573" s="118">
        <v>0</v>
      </c>
      <c r="I2573" s="118">
        <v>0</v>
      </c>
      <c r="J2573" s="118">
        <v>0</v>
      </c>
    </row>
    <row r="2574" spans="1:10">
      <c r="A2574" s="107" t="s">
        <v>102</v>
      </c>
      <c r="B2574" s="107" t="s">
        <v>13</v>
      </c>
      <c r="C2574" s="108">
        <v>0.49444444444444402</v>
      </c>
      <c r="D2574" s="118">
        <v>0</v>
      </c>
      <c r="E2574" s="118">
        <v>0</v>
      </c>
      <c r="F2574" s="118">
        <v>0</v>
      </c>
      <c r="G2574" s="118">
        <v>0</v>
      </c>
      <c r="H2574" s="118">
        <v>0</v>
      </c>
      <c r="I2574" s="118">
        <v>0</v>
      </c>
      <c r="J2574" s="118">
        <v>0</v>
      </c>
    </row>
    <row r="2575" spans="1:10">
      <c r="A2575" s="107" t="s">
        <v>102</v>
      </c>
      <c r="B2575" s="107" t="s">
        <v>13</v>
      </c>
      <c r="C2575" s="108">
        <v>0.49513888888888902</v>
      </c>
      <c r="D2575" s="118">
        <v>0</v>
      </c>
      <c r="E2575" s="118">
        <v>0</v>
      </c>
      <c r="F2575" s="118">
        <v>0</v>
      </c>
      <c r="G2575" s="118">
        <v>0</v>
      </c>
      <c r="H2575" s="118">
        <v>0</v>
      </c>
      <c r="I2575" s="118">
        <v>0</v>
      </c>
      <c r="J2575" s="118">
        <v>0</v>
      </c>
    </row>
    <row r="2576" spans="1:10">
      <c r="A2576" s="107" t="s">
        <v>102</v>
      </c>
      <c r="B2576" s="107" t="s">
        <v>13</v>
      </c>
      <c r="C2576" s="108">
        <v>0.49583333333333302</v>
      </c>
      <c r="D2576" s="118">
        <v>0</v>
      </c>
      <c r="E2576" s="118">
        <v>0</v>
      </c>
      <c r="F2576" s="118">
        <v>0</v>
      </c>
      <c r="G2576" s="118">
        <v>0</v>
      </c>
      <c r="H2576" s="118">
        <v>0</v>
      </c>
      <c r="I2576" s="118">
        <v>0</v>
      </c>
      <c r="J2576" s="118">
        <v>0</v>
      </c>
    </row>
    <row r="2577" spans="1:10">
      <c r="A2577" s="107" t="s">
        <v>102</v>
      </c>
      <c r="B2577" s="107" t="s">
        <v>13</v>
      </c>
      <c r="C2577" s="108">
        <v>0.49652777777777801</v>
      </c>
      <c r="D2577" s="118">
        <v>0</v>
      </c>
      <c r="E2577" s="118">
        <v>0</v>
      </c>
      <c r="F2577" s="118">
        <v>0</v>
      </c>
      <c r="G2577" s="118">
        <v>0</v>
      </c>
      <c r="H2577" s="118">
        <v>0</v>
      </c>
      <c r="I2577" s="118">
        <v>0</v>
      </c>
      <c r="J2577" s="118">
        <v>0</v>
      </c>
    </row>
    <row r="2578" spans="1:10">
      <c r="A2578" s="107" t="s">
        <v>102</v>
      </c>
      <c r="B2578" s="107" t="s">
        <v>13</v>
      </c>
      <c r="C2578" s="108">
        <v>0.49722222222222201</v>
      </c>
      <c r="D2578" s="118">
        <v>0</v>
      </c>
      <c r="E2578" s="118">
        <v>0</v>
      </c>
      <c r="F2578" s="118">
        <v>0</v>
      </c>
      <c r="G2578" s="118">
        <v>0</v>
      </c>
      <c r="H2578" s="118">
        <v>0</v>
      </c>
      <c r="I2578" s="118">
        <v>0</v>
      </c>
      <c r="J2578" s="118">
        <v>0</v>
      </c>
    </row>
    <row r="2579" spans="1:10">
      <c r="A2579" s="107" t="s">
        <v>102</v>
      </c>
      <c r="B2579" s="107" t="s">
        <v>13</v>
      </c>
      <c r="C2579" s="108">
        <v>0.49791666666666701</v>
      </c>
      <c r="D2579" s="118">
        <v>0</v>
      </c>
      <c r="E2579" s="118">
        <v>0</v>
      </c>
      <c r="F2579" s="118">
        <v>0</v>
      </c>
      <c r="G2579" s="118">
        <v>0</v>
      </c>
      <c r="H2579" s="118">
        <v>0</v>
      </c>
      <c r="I2579" s="118">
        <v>0</v>
      </c>
      <c r="J2579" s="118">
        <v>0</v>
      </c>
    </row>
    <row r="2580" spans="1:10">
      <c r="A2580" s="107" t="s">
        <v>102</v>
      </c>
      <c r="B2580" s="107" t="s">
        <v>13</v>
      </c>
      <c r="C2580" s="108">
        <v>0.49861111111111101</v>
      </c>
      <c r="D2580" s="118">
        <v>0</v>
      </c>
      <c r="E2580" s="118">
        <v>0</v>
      </c>
      <c r="F2580" s="118">
        <v>0</v>
      </c>
      <c r="G2580" s="118">
        <v>0</v>
      </c>
      <c r="H2580" s="118">
        <v>0</v>
      </c>
      <c r="I2580" s="118">
        <v>0</v>
      </c>
      <c r="J2580" s="118">
        <v>0</v>
      </c>
    </row>
    <row r="2581" spans="1:10" s="28" customFormat="1" ht="17.5" thickBot="1">
      <c r="A2581" s="113" t="s">
        <v>102</v>
      </c>
      <c r="B2581" s="113" t="s">
        <v>13</v>
      </c>
      <c r="C2581" s="114">
        <v>0.499305555555555</v>
      </c>
      <c r="D2581" s="120">
        <v>0</v>
      </c>
      <c r="E2581" s="120">
        <v>0</v>
      </c>
      <c r="F2581" s="120">
        <v>0</v>
      </c>
      <c r="G2581" s="120">
        <v>0</v>
      </c>
      <c r="H2581" s="120">
        <v>0</v>
      </c>
      <c r="I2581" s="120">
        <v>0</v>
      </c>
      <c r="J2581" s="120">
        <v>0</v>
      </c>
    </row>
    <row r="2582" spans="1:10">
      <c r="A2582" s="107" t="s">
        <v>102</v>
      </c>
      <c r="B2582" s="107" t="s">
        <v>14</v>
      </c>
      <c r="C2582" s="108">
        <v>0.45833333333333331</v>
      </c>
      <c r="D2582" s="121">
        <v>0</v>
      </c>
      <c r="E2582" s="121">
        <v>0</v>
      </c>
      <c r="F2582" s="121">
        <v>0</v>
      </c>
      <c r="G2582" s="121">
        <v>0</v>
      </c>
      <c r="H2582" s="121">
        <v>0</v>
      </c>
      <c r="I2582" s="121">
        <v>0</v>
      </c>
      <c r="J2582" s="121">
        <v>0</v>
      </c>
    </row>
    <row r="2583" spans="1:10">
      <c r="A2583" s="107" t="s">
        <v>102</v>
      </c>
      <c r="B2583" s="107" t="s">
        <v>14</v>
      </c>
      <c r="C2583" s="108">
        <v>0.45902777777777776</v>
      </c>
      <c r="D2583" s="118">
        <v>0</v>
      </c>
      <c r="E2583" s="118">
        <v>0</v>
      </c>
      <c r="F2583" s="118">
        <v>0</v>
      </c>
      <c r="G2583" s="118">
        <v>0</v>
      </c>
      <c r="H2583" s="118">
        <v>0</v>
      </c>
      <c r="I2583" s="118">
        <v>0</v>
      </c>
      <c r="J2583" s="118">
        <v>0</v>
      </c>
    </row>
    <row r="2584" spans="1:10">
      <c r="A2584" s="107" t="s">
        <v>102</v>
      </c>
      <c r="B2584" s="107" t="s">
        <v>14</v>
      </c>
      <c r="C2584" s="108">
        <v>0.45972222222222198</v>
      </c>
      <c r="D2584" s="118">
        <v>0</v>
      </c>
      <c r="E2584" s="118">
        <v>0</v>
      </c>
      <c r="F2584" s="118">
        <v>0</v>
      </c>
      <c r="G2584" s="118">
        <v>0</v>
      </c>
      <c r="H2584" s="118">
        <v>0</v>
      </c>
      <c r="I2584" s="118">
        <v>0</v>
      </c>
      <c r="J2584" s="118">
        <v>0</v>
      </c>
    </row>
    <row r="2585" spans="1:10">
      <c r="A2585" s="107" t="s">
        <v>102</v>
      </c>
      <c r="B2585" s="107" t="s">
        <v>14</v>
      </c>
      <c r="C2585" s="108">
        <v>0.46041666666666697</v>
      </c>
      <c r="D2585" s="118">
        <v>0</v>
      </c>
      <c r="E2585" s="118">
        <v>0</v>
      </c>
      <c r="F2585" s="118">
        <v>0</v>
      </c>
      <c r="G2585" s="118">
        <v>0</v>
      </c>
      <c r="H2585" s="118">
        <v>0</v>
      </c>
      <c r="I2585" s="118">
        <v>0</v>
      </c>
      <c r="J2585" s="118">
        <v>0</v>
      </c>
    </row>
    <row r="2586" spans="1:10">
      <c r="A2586" s="107" t="s">
        <v>102</v>
      </c>
      <c r="B2586" s="107" t="s">
        <v>14</v>
      </c>
      <c r="C2586" s="108">
        <v>0.46111111111111103</v>
      </c>
      <c r="D2586" s="118">
        <v>0</v>
      </c>
      <c r="E2586" s="118">
        <v>0</v>
      </c>
      <c r="F2586" s="118">
        <v>0</v>
      </c>
      <c r="G2586" s="118">
        <v>0</v>
      </c>
      <c r="H2586" s="118">
        <v>0</v>
      </c>
      <c r="I2586" s="118">
        <v>0</v>
      </c>
      <c r="J2586" s="118">
        <v>0</v>
      </c>
    </row>
    <row r="2587" spans="1:10">
      <c r="A2587" s="107" t="s">
        <v>102</v>
      </c>
      <c r="B2587" s="107" t="s">
        <v>14</v>
      </c>
      <c r="C2587" s="108">
        <v>0.46180555555555602</v>
      </c>
      <c r="D2587" s="118">
        <v>0</v>
      </c>
      <c r="E2587" s="118">
        <v>0</v>
      </c>
      <c r="F2587" s="118">
        <v>0</v>
      </c>
      <c r="G2587" s="118">
        <v>0</v>
      </c>
      <c r="H2587" s="118">
        <v>0</v>
      </c>
      <c r="I2587" s="118">
        <v>0</v>
      </c>
      <c r="J2587" s="118">
        <v>0</v>
      </c>
    </row>
    <row r="2588" spans="1:10">
      <c r="A2588" s="107" t="s">
        <v>102</v>
      </c>
      <c r="B2588" s="107" t="s">
        <v>14</v>
      </c>
      <c r="C2588" s="108">
        <v>0.46250000000000002</v>
      </c>
      <c r="D2588" s="118">
        <v>0</v>
      </c>
      <c r="E2588" s="118">
        <v>0</v>
      </c>
      <c r="F2588" s="118">
        <v>0</v>
      </c>
      <c r="G2588" s="118">
        <v>0</v>
      </c>
      <c r="H2588" s="118">
        <v>0</v>
      </c>
      <c r="I2588" s="118">
        <v>0</v>
      </c>
      <c r="J2588" s="118">
        <v>0</v>
      </c>
    </row>
    <row r="2589" spans="1:10">
      <c r="A2589" s="107" t="s">
        <v>102</v>
      </c>
      <c r="B2589" s="107" t="s">
        <v>14</v>
      </c>
      <c r="C2589" s="108">
        <v>0.46319444444444402</v>
      </c>
      <c r="D2589" s="118">
        <v>0</v>
      </c>
      <c r="E2589" s="118">
        <v>0</v>
      </c>
      <c r="F2589" s="118">
        <v>0</v>
      </c>
      <c r="G2589" s="118">
        <v>0</v>
      </c>
      <c r="H2589" s="118">
        <v>0</v>
      </c>
      <c r="I2589" s="118">
        <v>0</v>
      </c>
      <c r="J2589" s="118">
        <v>0</v>
      </c>
    </row>
    <row r="2590" spans="1:10">
      <c r="A2590" s="107" t="s">
        <v>102</v>
      </c>
      <c r="B2590" s="107" t="s">
        <v>14</v>
      </c>
      <c r="C2590" s="108">
        <v>0.46388888888888902</v>
      </c>
      <c r="D2590" s="118">
        <v>0</v>
      </c>
      <c r="E2590" s="118">
        <v>0</v>
      </c>
      <c r="F2590" s="118">
        <v>0</v>
      </c>
      <c r="G2590" s="118">
        <v>0</v>
      </c>
      <c r="H2590" s="118">
        <v>0</v>
      </c>
      <c r="I2590" s="118">
        <v>0</v>
      </c>
      <c r="J2590" s="118">
        <v>0</v>
      </c>
    </row>
    <row r="2591" spans="1:10">
      <c r="A2591" s="107" t="s">
        <v>102</v>
      </c>
      <c r="B2591" s="107" t="s">
        <v>14</v>
      </c>
      <c r="C2591" s="108">
        <v>0.46458333333333302</v>
      </c>
      <c r="D2591" s="118">
        <v>0</v>
      </c>
      <c r="E2591" s="118">
        <v>0</v>
      </c>
      <c r="F2591" s="118">
        <v>0</v>
      </c>
      <c r="G2591" s="118">
        <v>0</v>
      </c>
      <c r="H2591" s="118">
        <v>0</v>
      </c>
      <c r="I2591" s="118">
        <v>0</v>
      </c>
      <c r="J2591" s="118">
        <v>0</v>
      </c>
    </row>
    <row r="2592" spans="1:10">
      <c r="A2592" s="107" t="s">
        <v>102</v>
      </c>
      <c r="B2592" s="107" t="s">
        <v>14</v>
      </c>
      <c r="C2592" s="108">
        <v>0.46527777777777801</v>
      </c>
      <c r="D2592" s="118">
        <v>0</v>
      </c>
      <c r="E2592" s="118">
        <v>0</v>
      </c>
      <c r="F2592" s="118">
        <v>0</v>
      </c>
      <c r="G2592" s="118">
        <v>0</v>
      </c>
      <c r="H2592" s="118">
        <v>0</v>
      </c>
      <c r="I2592" s="118">
        <v>0</v>
      </c>
      <c r="J2592" s="118">
        <v>0</v>
      </c>
    </row>
    <row r="2593" spans="1:10">
      <c r="A2593" s="107" t="s">
        <v>102</v>
      </c>
      <c r="B2593" s="107" t="s">
        <v>14</v>
      </c>
      <c r="C2593" s="108">
        <v>0.46597222222222201</v>
      </c>
      <c r="D2593" s="118">
        <v>0</v>
      </c>
      <c r="E2593" s="118">
        <v>0</v>
      </c>
      <c r="F2593" s="118">
        <v>0</v>
      </c>
      <c r="G2593" s="118">
        <v>0</v>
      </c>
      <c r="H2593" s="118">
        <v>0</v>
      </c>
      <c r="I2593" s="118">
        <v>0</v>
      </c>
      <c r="J2593" s="118">
        <v>0</v>
      </c>
    </row>
    <row r="2594" spans="1:10">
      <c r="A2594" s="107" t="s">
        <v>102</v>
      </c>
      <c r="B2594" s="107" t="s">
        <v>14</v>
      </c>
      <c r="C2594" s="108">
        <v>0.46666666666666701</v>
      </c>
      <c r="D2594" s="118">
        <v>0</v>
      </c>
      <c r="E2594" s="118">
        <v>0</v>
      </c>
      <c r="F2594" s="118">
        <v>0</v>
      </c>
      <c r="G2594" s="118">
        <v>0</v>
      </c>
      <c r="H2594" s="118">
        <v>0</v>
      </c>
      <c r="I2594" s="118">
        <v>0</v>
      </c>
      <c r="J2594" s="118">
        <v>0</v>
      </c>
    </row>
    <row r="2595" spans="1:10">
      <c r="A2595" s="107" t="s">
        <v>102</v>
      </c>
      <c r="B2595" s="107" t="s">
        <v>14</v>
      </c>
      <c r="C2595" s="108">
        <v>0.46736111111111101</v>
      </c>
      <c r="D2595" s="118">
        <v>0</v>
      </c>
      <c r="E2595" s="118">
        <v>0</v>
      </c>
      <c r="F2595" s="118">
        <v>0</v>
      </c>
      <c r="G2595" s="118">
        <v>0</v>
      </c>
      <c r="H2595" s="118">
        <v>0</v>
      </c>
      <c r="I2595" s="118">
        <v>0</v>
      </c>
      <c r="J2595" s="118">
        <v>0</v>
      </c>
    </row>
    <row r="2596" spans="1:10" s="78" customFormat="1">
      <c r="A2596" s="109" t="s">
        <v>102</v>
      </c>
      <c r="B2596" s="109" t="s">
        <v>14</v>
      </c>
      <c r="C2596" s="110">
        <v>0.468055555555556</v>
      </c>
      <c r="D2596" s="118">
        <v>0</v>
      </c>
      <c r="E2596" s="118">
        <v>0</v>
      </c>
      <c r="F2596" s="118">
        <v>0</v>
      </c>
      <c r="G2596" s="118">
        <v>0</v>
      </c>
      <c r="H2596" s="118">
        <v>0</v>
      </c>
      <c r="I2596" s="118">
        <v>0</v>
      </c>
      <c r="J2596" s="118">
        <v>0</v>
      </c>
    </row>
    <row r="2597" spans="1:10">
      <c r="A2597" s="107" t="s">
        <v>102</v>
      </c>
      <c r="B2597" s="107" t="s">
        <v>14</v>
      </c>
      <c r="C2597" s="108">
        <v>0.46875</v>
      </c>
      <c r="D2597" s="117">
        <v>0</v>
      </c>
      <c r="E2597" s="117">
        <v>0</v>
      </c>
      <c r="F2597" s="117">
        <v>0</v>
      </c>
      <c r="G2597" s="117">
        <v>0</v>
      </c>
      <c r="H2597" s="117">
        <v>0</v>
      </c>
      <c r="I2597" s="117">
        <v>0</v>
      </c>
      <c r="J2597" s="117">
        <v>0</v>
      </c>
    </row>
    <row r="2598" spans="1:10">
      <c r="A2598" s="107" t="s">
        <v>102</v>
      </c>
      <c r="B2598" s="107" t="s">
        <v>14</v>
      </c>
      <c r="C2598" s="108">
        <v>0.469444444444444</v>
      </c>
      <c r="D2598" s="118">
        <v>0</v>
      </c>
      <c r="E2598" s="118">
        <v>0</v>
      </c>
      <c r="F2598" s="118">
        <v>0</v>
      </c>
      <c r="G2598" s="118">
        <v>0</v>
      </c>
      <c r="H2598" s="118">
        <v>0</v>
      </c>
      <c r="I2598" s="118">
        <v>0</v>
      </c>
      <c r="J2598" s="118">
        <v>0</v>
      </c>
    </row>
    <row r="2599" spans="1:10">
      <c r="A2599" s="107" t="s">
        <v>102</v>
      </c>
      <c r="B2599" s="107" t="s">
        <v>14</v>
      </c>
      <c r="C2599" s="108">
        <v>0.47013888888888899</v>
      </c>
      <c r="D2599" s="118">
        <v>0</v>
      </c>
      <c r="E2599" s="118">
        <v>0</v>
      </c>
      <c r="F2599" s="118">
        <v>0</v>
      </c>
      <c r="G2599" s="118">
        <v>0</v>
      </c>
      <c r="H2599" s="118">
        <v>0</v>
      </c>
      <c r="I2599" s="118">
        <v>0</v>
      </c>
      <c r="J2599" s="118">
        <v>0</v>
      </c>
    </row>
    <row r="2600" spans="1:10">
      <c r="A2600" s="107" t="s">
        <v>102</v>
      </c>
      <c r="B2600" s="107" t="s">
        <v>14</v>
      </c>
      <c r="C2600" s="108">
        <v>0.47083333333333299</v>
      </c>
      <c r="D2600" s="118">
        <v>0</v>
      </c>
      <c r="E2600" s="118">
        <v>0</v>
      </c>
      <c r="F2600" s="118">
        <v>0</v>
      </c>
      <c r="G2600" s="118">
        <v>0</v>
      </c>
      <c r="H2600" s="118">
        <v>0</v>
      </c>
      <c r="I2600" s="118">
        <v>0</v>
      </c>
      <c r="J2600" s="118">
        <v>0</v>
      </c>
    </row>
    <row r="2601" spans="1:10">
      <c r="A2601" s="107" t="s">
        <v>102</v>
      </c>
      <c r="B2601" s="107" t="s">
        <v>14</v>
      </c>
      <c r="C2601" s="108">
        <v>0.47152777777777799</v>
      </c>
      <c r="D2601" s="118">
        <v>0</v>
      </c>
      <c r="E2601" s="118">
        <v>0</v>
      </c>
      <c r="F2601" s="118">
        <v>0</v>
      </c>
      <c r="G2601" s="118">
        <v>0</v>
      </c>
      <c r="H2601" s="118">
        <v>0</v>
      </c>
      <c r="I2601" s="118">
        <v>0</v>
      </c>
      <c r="J2601" s="118">
        <v>0</v>
      </c>
    </row>
    <row r="2602" spans="1:10">
      <c r="A2602" s="107" t="s">
        <v>102</v>
      </c>
      <c r="B2602" s="107" t="s">
        <v>14</v>
      </c>
      <c r="C2602" s="108">
        <v>0.47222222222222199</v>
      </c>
      <c r="D2602" s="118">
        <v>0</v>
      </c>
      <c r="E2602" s="118">
        <v>0</v>
      </c>
      <c r="F2602" s="118">
        <v>0</v>
      </c>
      <c r="G2602" s="118">
        <v>0</v>
      </c>
      <c r="H2602" s="118">
        <v>0</v>
      </c>
      <c r="I2602" s="118">
        <v>0</v>
      </c>
      <c r="J2602" s="118">
        <v>0</v>
      </c>
    </row>
    <row r="2603" spans="1:10">
      <c r="A2603" s="107" t="s">
        <v>102</v>
      </c>
      <c r="B2603" s="107" t="s">
        <v>14</v>
      </c>
      <c r="C2603" s="108">
        <v>0.47291666666666698</v>
      </c>
      <c r="D2603" s="118">
        <v>0</v>
      </c>
      <c r="E2603" s="118">
        <v>0</v>
      </c>
      <c r="F2603" s="118">
        <v>0</v>
      </c>
      <c r="G2603" s="118">
        <v>0</v>
      </c>
      <c r="H2603" s="118">
        <v>0</v>
      </c>
      <c r="I2603" s="118">
        <v>0</v>
      </c>
      <c r="J2603" s="118">
        <v>0</v>
      </c>
    </row>
    <row r="2604" spans="1:10">
      <c r="A2604" s="107" t="s">
        <v>102</v>
      </c>
      <c r="B2604" s="107" t="s">
        <v>14</v>
      </c>
      <c r="C2604" s="108">
        <v>0.47361111111111098</v>
      </c>
      <c r="D2604" s="118">
        <v>0</v>
      </c>
      <c r="E2604" s="118">
        <v>0</v>
      </c>
      <c r="F2604" s="118">
        <v>0</v>
      </c>
      <c r="G2604" s="118">
        <v>0</v>
      </c>
      <c r="H2604" s="118">
        <v>0</v>
      </c>
      <c r="I2604" s="118">
        <v>0</v>
      </c>
      <c r="J2604" s="118">
        <v>0</v>
      </c>
    </row>
    <row r="2605" spans="1:10">
      <c r="A2605" s="107" t="s">
        <v>102</v>
      </c>
      <c r="B2605" s="107" t="s">
        <v>14</v>
      </c>
      <c r="C2605" s="108">
        <v>0.47430555555555598</v>
      </c>
      <c r="D2605" s="118">
        <v>0</v>
      </c>
      <c r="E2605" s="118">
        <v>0</v>
      </c>
      <c r="F2605" s="118">
        <v>0</v>
      </c>
      <c r="G2605" s="118">
        <v>0</v>
      </c>
      <c r="H2605" s="118">
        <v>0</v>
      </c>
      <c r="I2605" s="118">
        <v>0</v>
      </c>
      <c r="J2605" s="118">
        <v>0</v>
      </c>
    </row>
    <row r="2606" spans="1:10">
      <c r="A2606" s="107" t="s">
        <v>102</v>
      </c>
      <c r="B2606" s="107" t="s">
        <v>14</v>
      </c>
      <c r="C2606" s="108">
        <v>0.47499999999999998</v>
      </c>
      <c r="D2606" s="118">
        <v>0</v>
      </c>
      <c r="E2606" s="118">
        <v>0</v>
      </c>
      <c r="F2606" s="118">
        <v>0</v>
      </c>
      <c r="G2606" s="118">
        <v>0</v>
      </c>
      <c r="H2606" s="118">
        <v>0</v>
      </c>
      <c r="I2606" s="118">
        <v>0</v>
      </c>
      <c r="J2606" s="118">
        <v>0</v>
      </c>
    </row>
    <row r="2607" spans="1:10">
      <c r="A2607" s="107" t="s">
        <v>102</v>
      </c>
      <c r="B2607" s="107" t="s">
        <v>14</v>
      </c>
      <c r="C2607" s="108">
        <v>0.47569444444444398</v>
      </c>
      <c r="D2607" s="118">
        <v>0</v>
      </c>
      <c r="E2607" s="118">
        <v>0</v>
      </c>
      <c r="F2607" s="118">
        <v>0</v>
      </c>
      <c r="G2607" s="118">
        <v>0</v>
      </c>
      <c r="H2607" s="118">
        <v>0</v>
      </c>
      <c r="I2607" s="118">
        <v>0</v>
      </c>
      <c r="J2607" s="118">
        <v>0</v>
      </c>
    </row>
    <row r="2608" spans="1:10">
      <c r="A2608" s="107" t="s">
        <v>102</v>
      </c>
      <c r="B2608" s="107" t="s">
        <v>14</v>
      </c>
      <c r="C2608" s="108">
        <v>0.47638888888888897</v>
      </c>
      <c r="D2608" s="118">
        <v>0</v>
      </c>
      <c r="E2608" s="118">
        <v>0</v>
      </c>
      <c r="F2608" s="118">
        <v>0</v>
      </c>
      <c r="G2608" s="118">
        <v>0</v>
      </c>
      <c r="H2608" s="118">
        <v>0</v>
      </c>
      <c r="I2608" s="118">
        <v>0</v>
      </c>
      <c r="J2608" s="118">
        <v>0</v>
      </c>
    </row>
    <row r="2609" spans="1:10">
      <c r="A2609" s="107" t="s">
        <v>102</v>
      </c>
      <c r="B2609" s="107" t="s">
        <v>14</v>
      </c>
      <c r="C2609" s="108">
        <v>0.47708333333333303</v>
      </c>
      <c r="D2609" s="118">
        <v>0</v>
      </c>
      <c r="E2609" s="118">
        <v>0</v>
      </c>
      <c r="F2609" s="118">
        <v>0</v>
      </c>
      <c r="G2609" s="118">
        <v>0</v>
      </c>
      <c r="H2609" s="118">
        <v>0</v>
      </c>
      <c r="I2609" s="118">
        <v>0</v>
      </c>
      <c r="J2609" s="118">
        <v>0</v>
      </c>
    </row>
    <row r="2610" spans="1:10">
      <c r="A2610" s="107" t="s">
        <v>102</v>
      </c>
      <c r="B2610" s="107" t="s">
        <v>14</v>
      </c>
      <c r="C2610" s="108">
        <v>0.47777777777777802</v>
      </c>
      <c r="D2610" s="118">
        <v>0</v>
      </c>
      <c r="E2610" s="118">
        <v>0</v>
      </c>
      <c r="F2610" s="118">
        <v>0</v>
      </c>
      <c r="G2610" s="118">
        <v>0</v>
      </c>
      <c r="H2610" s="118">
        <v>0</v>
      </c>
      <c r="I2610" s="118">
        <v>0</v>
      </c>
      <c r="J2610" s="118">
        <v>0</v>
      </c>
    </row>
    <row r="2611" spans="1:10" s="78" customFormat="1">
      <c r="A2611" s="109" t="s">
        <v>102</v>
      </c>
      <c r="B2611" s="109" t="s">
        <v>14</v>
      </c>
      <c r="C2611" s="110">
        <v>0.47847222222222202</v>
      </c>
      <c r="D2611" s="119">
        <v>0</v>
      </c>
      <c r="E2611" s="119">
        <v>0</v>
      </c>
      <c r="F2611" s="119">
        <v>0</v>
      </c>
      <c r="G2611" s="119">
        <v>0</v>
      </c>
      <c r="H2611" s="119">
        <v>0</v>
      </c>
      <c r="I2611" s="119">
        <v>0</v>
      </c>
      <c r="J2611" s="119">
        <v>0</v>
      </c>
    </row>
    <row r="2612" spans="1:10">
      <c r="A2612" s="107" t="s">
        <v>102</v>
      </c>
      <c r="B2612" s="107" t="s">
        <v>14</v>
      </c>
      <c r="C2612" s="108">
        <v>0.47916666666666702</v>
      </c>
      <c r="D2612" s="117">
        <v>0</v>
      </c>
      <c r="E2612" s="117">
        <v>0</v>
      </c>
      <c r="F2612" s="117">
        <v>0</v>
      </c>
      <c r="G2612" s="117">
        <v>0</v>
      </c>
      <c r="H2612" s="117">
        <v>0</v>
      </c>
      <c r="I2612" s="117">
        <v>0</v>
      </c>
      <c r="J2612" s="117">
        <v>0</v>
      </c>
    </row>
    <row r="2613" spans="1:10">
      <c r="A2613" s="107" t="s">
        <v>102</v>
      </c>
      <c r="B2613" s="107" t="s">
        <v>14</v>
      </c>
      <c r="C2613" s="108">
        <v>0.47986111111111102</v>
      </c>
      <c r="D2613" s="118">
        <v>0</v>
      </c>
      <c r="E2613" s="118">
        <v>0</v>
      </c>
      <c r="F2613" s="118">
        <v>0</v>
      </c>
      <c r="G2613" s="118">
        <v>0</v>
      </c>
      <c r="H2613" s="118">
        <v>0</v>
      </c>
      <c r="I2613" s="118">
        <v>0</v>
      </c>
      <c r="J2613" s="118">
        <v>0</v>
      </c>
    </row>
    <row r="2614" spans="1:10">
      <c r="A2614" s="107" t="s">
        <v>102</v>
      </c>
      <c r="B2614" s="107" t="s">
        <v>14</v>
      </c>
      <c r="C2614" s="108">
        <v>0.48055555555555501</v>
      </c>
      <c r="D2614" s="118">
        <v>0</v>
      </c>
      <c r="E2614" s="118">
        <v>0</v>
      </c>
      <c r="F2614" s="118">
        <v>0</v>
      </c>
      <c r="G2614" s="118">
        <v>0</v>
      </c>
      <c r="H2614" s="118">
        <v>0</v>
      </c>
      <c r="I2614" s="118">
        <v>0</v>
      </c>
      <c r="J2614" s="118">
        <v>0</v>
      </c>
    </row>
    <row r="2615" spans="1:10">
      <c r="A2615" s="107" t="s">
        <v>102</v>
      </c>
      <c r="B2615" s="107" t="s">
        <v>14</v>
      </c>
      <c r="C2615" s="108">
        <v>0.48125000000000001</v>
      </c>
      <c r="D2615" s="118">
        <v>0</v>
      </c>
      <c r="E2615" s="118">
        <v>0</v>
      </c>
      <c r="F2615" s="118">
        <v>0</v>
      </c>
      <c r="G2615" s="118">
        <v>0</v>
      </c>
      <c r="H2615" s="118">
        <v>0</v>
      </c>
      <c r="I2615" s="118">
        <v>0</v>
      </c>
      <c r="J2615" s="118">
        <v>0</v>
      </c>
    </row>
    <row r="2616" spans="1:10">
      <c r="A2616" s="107" t="s">
        <v>102</v>
      </c>
      <c r="B2616" s="107" t="s">
        <v>14</v>
      </c>
      <c r="C2616" s="108">
        <v>0.48194444444444401</v>
      </c>
      <c r="D2616" s="118">
        <v>0</v>
      </c>
      <c r="E2616" s="118">
        <v>0</v>
      </c>
      <c r="F2616" s="118">
        <v>0</v>
      </c>
      <c r="G2616" s="118">
        <v>0</v>
      </c>
      <c r="H2616" s="118">
        <v>0</v>
      </c>
      <c r="I2616" s="118">
        <v>0</v>
      </c>
      <c r="J2616" s="118">
        <v>0</v>
      </c>
    </row>
    <row r="2617" spans="1:10">
      <c r="A2617" s="107" t="s">
        <v>102</v>
      </c>
      <c r="B2617" s="107" t="s">
        <v>14</v>
      </c>
      <c r="C2617" s="108">
        <v>0.48263888888888901</v>
      </c>
      <c r="D2617" s="118">
        <v>0</v>
      </c>
      <c r="E2617" s="118">
        <v>0</v>
      </c>
      <c r="F2617" s="118">
        <v>0</v>
      </c>
      <c r="G2617" s="118">
        <v>0</v>
      </c>
      <c r="H2617" s="118">
        <v>0</v>
      </c>
      <c r="I2617" s="118">
        <v>0</v>
      </c>
      <c r="J2617" s="118">
        <v>0</v>
      </c>
    </row>
    <row r="2618" spans="1:10">
      <c r="A2618" s="107" t="s">
        <v>102</v>
      </c>
      <c r="B2618" s="107" t="s">
        <v>14</v>
      </c>
      <c r="C2618" s="108">
        <v>0.483333333333333</v>
      </c>
      <c r="D2618" s="118">
        <v>0</v>
      </c>
      <c r="E2618" s="118">
        <v>0</v>
      </c>
      <c r="F2618" s="118">
        <v>0</v>
      </c>
      <c r="G2618" s="118">
        <v>0</v>
      </c>
      <c r="H2618" s="118">
        <v>0</v>
      </c>
      <c r="I2618" s="118">
        <v>0</v>
      </c>
      <c r="J2618" s="118">
        <v>0</v>
      </c>
    </row>
    <row r="2619" spans="1:10">
      <c r="A2619" s="107" t="s">
        <v>102</v>
      </c>
      <c r="B2619" s="107" t="s">
        <v>14</v>
      </c>
      <c r="C2619" s="108">
        <v>0.484027777777778</v>
      </c>
      <c r="D2619" s="118">
        <v>0</v>
      </c>
      <c r="E2619" s="118">
        <v>0</v>
      </c>
      <c r="F2619" s="118">
        <v>0</v>
      </c>
      <c r="G2619" s="118">
        <v>0</v>
      </c>
      <c r="H2619" s="118">
        <v>0</v>
      </c>
      <c r="I2619" s="118">
        <v>0</v>
      </c>
      <c r="J2619" s="118">
        <v>0</v>
      </c>
    </row>
    <row r="2620" spans="1:10">
      <c r="A2620" s="107" t="s">
        <v>102</v>
      </c>
      <c r="B2620" s="107" t="s">
        <v>14</v>
      </c>
      <c r="C2620" s="108">
        <v>0.484722222222222</v>
      </c>
      <c r="D2620" s="118">
        <v>0</v>
      </c>
      <c r="E2620" s="118">
        <v>0</v>
      </c>
      <c r="F2620" s="118">
        <v>0</v>
      </c>
      <c r="G2620" s="118">
        <v>0</v>
      </c>
      <c r="H2620" s="118">
        <v>0</v>
      </c>
      <c r="I2620" s="118">
        <v>0</v>
      </c>
      <c r="J2620" s="118">
        <v>0</v>
      </c>
    </row>
    <row r="2621" spans="1:10">
      <c r="A2621" s="107" t="s">
        <v>102</v>
      </c>
      <c r="B2621" s="107" t="s">
        <v>14</v>
      </c>
      <c r="C2621" s="108">
        <v>0.485416666666666</v>
      </c>
      <c r="D2621" s="118">
        <v>0</v>
      </c>
      <c r="E2621" s="118">
        <v>0</v>
      </c>
      <c r="F2621" s="118">
        <v>0</v>
      </c>
      <c r="G2621" s="118">
        <v>0</v>
      </c>
      <c r="H2621" s="118">
        <v>0</v>
      </c>
      <c r="I2621" s="118">
        <v>0</v>
      </c>
      <c r="J2621" s="118">
        <v>0</v>
      </c>
    </row>
    <row r="2622" spans="1:10">
      <c r="A2622" s="107" t="s">
        <v>102</v>
      </c>
      <c r="B2622" s="107" t="s">
        <v>14</v>
      </c>
      <c r="C2622" s="108">
        <v>0.48611111111111099</v>
      </c>
      <c r="D2622" s="118">
        <v>0</v>
      </c>
      <c r="E2622" s="118">
        <v>0</v>
      </c>
      <c r="F2622" s="118">
        <v>0</v>
      </c>
      <c r="G2622" s="118">
        <v>0</v>
      </c>
      <c r="H2622" s="118">
        <v>0</v>
      </c>
      <c r="I2622" s="118">
        <v>0</v>
      </c>
      <c r="J2622" s="118">
        <v>0</v>
      </c>
    </row>
    <row r="2623" spans="1:10">
      <c r="A2623" s="107" t="s">
        <v>102</v>
      </c>
      <c r="B2623" s="107" t="s">
        <v>14</v>
      </c>
      <c r="C2623" s="108">
        <v>0.48680555555555499</v>
      </c>
      <c r="D2623" s="118">
        <v>0</v>
      </c>
      <c r="E2623" s="118">
        <v>0</v>
      </c>
      <c r="F2623" s="118">
        <v>0</v>
      </c>
      <c r="G2623" s="118">
        <v>0</v>
      </c>
      <c r="H2623" s="118">
        <v>0</v>
      </c>
      <c r="I2623" s="118">
        <v>0</v>
      </c>
      <c r="J2623" s="118">
        <v>0</v>
      </c>
    </row>
    <row r="2624" spans="1:10">
      <c r="A2624" s="107" t="s">
        <v>102</v>
      </c>
      <c r="B2624" s="107" t="s">
        <v>14</v>
      </c>
      <c r="C2624" s="108">
        <v>0.48749999999999999</v>
      </c>
      <c r="D2624" s="118">
        <v>0</v>
      </c>
      <c r="E2624" s="118">
        <v>0</v>
      </c>
      <c r="F2624" s="118">
        <v>0</v>
      </c>
      <c r="G2624" s="118">
        <v>0</v>
      </c>
      <c r="H2624" s="118">
        <v>0</v>
      </c>
      <c r="I2624" s="118">
        <v>0</v>
      </c>
      <c r="J2624" s="118">
        <v>0</v>
      </c>
    </row>
    <row r="2625" spans="1:10">
      <c r="A2625" s="107" t="s">
        <v>102</v>
      </c>
      <c r="B2625" s="107" t="s">
        <v>14</v>
      </c>
      <c r="C2625" s="108">
        <v>0.48819444444444399</v>
      </c>
      <c r="D2625" s="118">
        <v>0</v>
      </c>
      <c r="E2625" s="118">
        <v>0</v>
      </c>
      <c r="F2625" s="118">
        <v>0</v>
      </c>
      <c r="G2625" s="118">
        <v>0</v>
      </c>
      <c r="H2625" s="118">
        <v>0</v>
      </c>
      <c r="I2625" s="118">
        <v>0</v>
      </c>
      <c r="J2625" s="118">
        <v>0</v>
      </c>
    </row>
    <row r="2626" spans="1:10" s="78" customFormat="1">
      <c r="A2626" s="109" t="s">
        <v>102</v>
      </c>
      <c r="B2626" s="109" t="s">
        <v>14</v>
      </c>
      <c r="C2626" s="110">
        <v>0.48888888888888898</v>
      </c>
      <c r="D2626" s="119">
        <v>0</v>
      </c>
      <c r="E2626" s="119">
        <v>0</v>
      </c>
      <c r="F2626" s="119">
        <v>0</v>
      </c>
      <c r="G2626" s="119">
        <v>0</v>
      </c>
      <c r="H2626" s="119">
        <v>0</v>
      </c>
      <c r="I2626" s="119">
        <v>0</v>
      </c>
      <c r="J2626" s="119">
        <v>0</v>
      </c>
    </row>
    <row r="2627" spans="1:10">
      <c r="A2627" s="107" t="s">
        <v>102</v>
      </c>
      <c r="B2627" s="107" t="s">
        <v>14</v>
      </c>
      <c r="C2627" s="108">
        <v>0.48958333333333298</v>
      </c>
      <c r="D2627" s="117">
        <v>0</v>
      </c>
      <c r="E2627" s="117">
        <v>0</v>
      </c>
      <c r="F2627" s="117">
        <v>0</v>
      </c>
      <c r="G2627" s="117">
        <v>0</v>
      </c>
      <c r="H2627" s="117">
        <v>0</v>
      </c>
      <c r="I2627" s="117">
        <v>0</v>
      </c>
      <c r="J2627" s="117">
        <v>0</v>
      </c>
    </row>
    <row r="2628" spans="1:10">
      <c r="A2628" s="107" t="s">
        <v>102</v>
      </c>
      <c r="B2628" s="107" t="s">
        <v>14</v>
      </c>
      <c r="C2628" s="108">
        <v>0.49027777777777798</v>
      </c>
      <c r="D2628" s="118">
        <v>0</v>
      </c>
      <c r="E2628" s="118">
        <v>0</v>
      </c>
      <c r="F2628" s="118">
        <v>0</v>
      </c>
      <c r="G2628" s="118">
        <v>0</v>
      </c>
      <c r="H2628" s="118">
        <v>0</v>
      </c>
      <c r="I2628" s="118">
        <v>0</v>
      </c>
      <c r="J2628" s="118">
        <v>0</v>
      </c>
    </row>
    <row r="2629" spans="1:10">
      <c r="A2629" s="107" t="s">
        <v>102</v>
      </c>
      <c r="B2629" s="107" t="s">
        <v>14</v>
      </c>
      <c r="C2629" s="108">
        <v>0.49097222222222198</v>
      </c>
      <c r="D2629" s="118">
        <v>0</v>
      </c>
      <c r="E2629" s="118">
        <v>0</v>
      </c>
      <c r="F2629" s="118">
        <v>0</v>
      </c>
      <c r="G2629" s="118">
        <v>0</v>
      </c>
      <c r="H2629" s="118">
        <v>0</v>
      </c>
      <c r="I2629" s="118">
        <v>0</v>
      </c>
      <c r="J2629" s="118">
        <v>0</v>
      </c>
    </row>
    <row r="2630" spans="1:10">
      <c r="A2630" s="107" t="s">
        <v>102</v>
      </c>
      <c r="B2630" s="107" t="s">
        <v>14</v>
      </c>
      <c r="C2630" s="108">
        <v>0.49166666666666697</v>
      </c>
      <c r="D2630" s="118">
        <v>0</v>
      </c>
      <c r="E2630" s="118">
        <v>0</v>
      </c>
      <c r="F2630" s="118">
        <v>0</v>
      </c>
      <c r="G2630" s="118">
        <v>0</v>
      </c>
      <c r="H2630" s="118">
        <v>0</v>
      </c>
      <c r="I2630" s="118">
        <v>0</v>
      </c>
      <c r="J2630" s="118">
        <v>0</v>
      </c>
    </row>
    <row r="2631" spans="1:10">
      <c r="A2631" s="107" t="s">
        <v>102</v>
      </c>
      <c r="B2631" s="107" t="s">
        <v>14</v>
      </c>
      <c r="C2631" s="108">
        <v>0.49236111111111103</v>
      </c>
      <c r="D2631" s="118">
        <v>0</v>
      </c>
      <c r="E2631" s="118">
        <v>0</v>
      </c>
      <c r="F2631" s="118">
        <v>0</v>
      </c>
      <c r="G2631" s="118">
        <v>0</v>
      </c>
      <c r="H2631" s="118">
        <v>0</v>
      </c>
      <c r="I2631" s="118">
        <v>0</v>
      </c>
      <c r="J2631" s="118">
        <v>0</v>
      </c>
    </row>
    <row r="2632" spans="1:10">
      <c r="A2632" s="107" t="s">
        <v>102</v>
      </c>
      <c r="B2632" s="107" t="s">
        <v>14</v>
      </c>
      <c r="C2632" s="108">
        <v>0.49305555555555503</v>
      </c>
      <c r="D2632" s="118">
        <v>0</v>
      </c>
      <c r="E2632" s="118">
        <v>0</v>
      </c>
      <c r="F2632" s="118">
        <v>0</v>
      </c>
      <c r="G2632" s="118">
        <v>0</v>
      </c>
      <c r="H2632" s="118">
        <v>0</v>
      </c>
      <c r="I2632" s="118">
        <v>0</v>
      </c>
      <c r="J2632" s="118">
        <v>0</v>
      </c>
    </row>
    <row r="2633" spans="1:10">
      <c r="A2633" s="107" t="s">
        <v>102</v>
      </c>
      <c r="B2633" s="107" t="s">
        <v>14</v>
      </c>
      <c r="C2633" s="108">
        <v>0.49375000000000002</v>
      </c>
      <c r="D2633" s="118">
        <v>0</v>
      </c>
      <c r="E2633" s="118">
        <v>0</v>
      </c>
      <c r="F2633" s="118">
        <v>0</v>
      </c>
      <c r="G2633" s="118">
        <v>0</v>
      </c>
      <c r="H2633" s="118">
        <v>0</v>
      </c>
      <c r="I2633" s="118">
        <v>0</v>
      </c>
      <c r="J2633" s="118">
        <v>0</v>
      </c>
    </row>
    <row r="2634" spans="1:10">
      <c r="A2634" s="107" t="s">
        <v>102</v>
      </c>
      <c r="B2634" s="107" t="s">
        <v>14</v>
      </c>
      <c r="C2634" s="108">
        <v>0.49444444444444402</v>
      </c>
      <c r="D2634" s="118">
        <v>0</v>
      </c>
      <c r="E2634" s="118">
        <v>0</v>
      </c>
      <c r="F2634" s="118">
        <v>0</v>
      </c>
      <c r="G2634" s="118">
        <v>0</v>
      </c>
      <c r="H2634" s="118">
        <v>0</v>
      </c>
      <c r="I2634" s="118">
        <v>0</v>
      </c>
      <c r="J2634" s="118">
        <v>0</v>
      </c>
    </row>
    <row r="2635" spans="1:10">
      <c r="A2635" s="107" t="s">
        <v>102</v>
      </c>
      <c r="B2635" s="107" t="s">
        <v>14</v>
      </c>
      <c r="C2635" s="108">
        <v>0.49513888888888902</v>
      </c>
      <c r="D2635" s="118">
        <v>0</v>
      </c>
      <c r="E2635" s="118">
        <v>0</v>
      </c>
      <c r="F2635" s="118">
        <v>0</v>
      </c>
      <c r="G2635" s="118">
        <v>0</v>
      </c>
      <c r="H2635" s="118">
        <v>0</v>
      </c>
      <c r="I2635" s="118">
        <v>0</v>
      </c>
      <c r="J2635" s="118">
        <v>0</v>
      </c>
    </row>
    <row r="2636" spans="1:10">
      <c r="A2636" s="107" t="s">
        <v>102</v>
      </c>
      <c r="B2636" s="107" t="s">
        <v>14</v>
      </c>
      <c r="C2636" s="108">
        <v>0.49583333333333302</v>
      </c>
      <c r="D2636" s="118">
        <v>0</v>
      </c>
      <c r="E2636" s="118">
        <v>0</v>
      </c>
      <c r="F2636" s="118">
        <v>0</v>
      </c>
      <c r="G2636" s="118">
        <v>0</v>
      </c>
      <c r="H2636" s="118">
        <v>0</v>
      </c>
      <c r="I2636" s="118">
        <v>0</v>
      </c>
      <c r="J2636" s="118">
        <v>0</v>
      </c>
    </row>
    <row r="2637" spans="1:10">
      <c r="A2637" s="107" t="s">
        <v>102</v>
      </c>
      <c r="B2637" s="107" t="s">
        <v>14</v>
      </c>
      <c r="C2637" s="108">
        <v>0.49652777777777801</v>
      </c>
      <c r="D2637" s="118">
        <v>0</v>
      </c>
      <c r="E2637" s="118">
        <v>0</v>
      </c>
      <c r="F2637" s="118">
        <v>0</v>
      </c>
      <c r="G2637" s="118">
        <v>0</v>
      </c>
      <c r="H2637" s="118">
        <v>0</v>
      </c>
      <c r="I2637" s="118">
        <v>0</v>
      </c>
      <c r="J2637" s="118">
        <v>0</v>
      </c>
    </row>
    <row r="2638" spans="1:10">
      <c r="A2638" s="107" t="s">
        <v>102</v>
      </c>
      <c r="B2638" s="107" t="s">
        <v>14</v>
      </c>
      <c r="C2638" s="108">
        <v>0.49722222222222201</v>
      </c>
      <c r="D2638" s="118">
        <v>0</v>
      </c>
      <c r="E2638" s="118">
        <v>0</v>
      </c>
      <c r="F2638" s="118">
        <v>0</v>
      </c>
      <c r="G2638" s="118">
        <v>0</v>
      </c>
      <c r="H2638" s="118">
        <v>0</v>
      </c>
      <c r="I2638" s="118">
        <v>0</v>
      </c>
      <c r="J2638" s="118">
        <v>0</v>
      </c>
    </row>
    <row r="2639" spans="1:10">
      <c r="A2639" s="107" t="s">
        <v>102</v>
      </c>
      <c r="B2639" s="107" t="s">
        <v>14</v>
      </c>
      <c r="C2639" s="108">
        <v>0.49791666666666701</v>
      </c>
      <c r="D2639" s="118">
        <v>0</v>
      </c>
      <c r="E2639" s="118">
        <v>0</v>
      </c>
      <c r="F2639" s="118">
        <v>0</v>
      </c>
      <c r="G2639" s="118">
        <v>0</v>
      </c>
      <c r="H2639" s="118">
        <v>0</v>
      </c>
      <c r="I2639" s="118">
        <v>0</v>
      </c>
      <c r="J2639" s="118">
        <v>0</v>
      </c>
    </row>
    <row r="2640" spans="1:10">
      <c r="A2640" s="107" t="s">
        <v>102</v>
      </c>
      <c r="B2640" s="107" t="s">
        <v>14</v>
      </c>
      <c r="C2640" s="108">
        <v>0.49861111111111101</v>
      </c>
      <c r="D2640" s="118">
        <v>0</v>
      </c>
      <c r="E2640" s="118">
        <v>0</v>
      </c>
      <c r="F2640" s="118">
        <v>0</v>
      </c>
      <c r="G2640" s="118">
        <v>0</v>
      </c>
      <c r="H2640" s="118">
        <v>0</v>
      </c>
      <c r="I2640" s="118">
        <v>0</v>
      </c>
      <c r="J2640" s="118">
        <v>0</v>
      </c>
    </row>
    <row r="2641" spans="1:10" s="28" customFormat="1" ht="17.5" thickBot="1">
      <c r="A2641" s="113" t="s">
        <v>102</v>
      </c>
      <c r="B2641" s="113" t="s">
        <v>14</v>
      </c>
      <c r="C2641" s="114">
        <v>0.499305555555555</v>
      </c>
      <c r="D2641" s="120">
        <v>0</v>
      </c>
      <c r="E2641" s="120">
        <v>0</v>
      </c>
      <c r="F2641" s="120">
        <v>0</v>
      </c>
      <c r="G2641" s="120">
        <v>0</v>
      </c>
      <c r="H2641" s="120">
        <v>0</v>
      </c>
      <c r="I2641" s="120">
        <v>0</v>
      </c>
      <c r="J2641" s="120">
        <v>0</v>
      </c>
    </row>
    <row r="2642" spans="1:10">
      <c r="A2642" s="122" t="s">
        <v>103</v>
      </c>
      <c r="B2642" s="122" t="s">
        <v>11</v>
      </c>
      <c r="C2642" s="125">
        <v>0.60416666666666663</v>
      </c>
      <c r="D2642" s="128">
        <v>0</v>
      </c>
      <c r="E2642" s="128">
        <v>0</v>
      </c>
      <c r="F2642" s="128">
        <v>0</v>
      </c>
      <c r="G2642" s="128">
        <v>0</v>
      </c>
      <c r="H2642" s="128">
        <v>0</v>
      </c>
      <c r="I2642" s="128">
        <v>0</v>
      </c>
      <c r="J2642" s="128">
        <v>0</v>
      </c>
    </row>
    <row r="2643" spans="1:10">
      <c r="A2643" s="122" t="s">
        <v>103</v>
      </c>
      <c r="B2643" s="122" t="s">
        <v>11</v>
      </c>
      <c r="C2643" s="125">
        <v>0.60486111111111107</v>
      </c>
      <c r="D2643" s="128">
        <v>0</v>
      </c>
      <c r="E2643" s="128">
        <v>0</v>
      </c>
      <c r="F2643" s="128">
        <v>0</v>
      </c>
      <c r="G2643" s="128">
        <v>0</v>
      </c>
      <c r="H2643" s="128">
        <v>0</v>
      </c>
      <c r="I2643" s="128">
        <v>0</v>
      </c>
      <c r="J2643" s="128">
        <v>0</v>
      </c>
    </row>
    <row r="2644" spans="1:10">
      <c r="A2644" s="122" t="s">
        <v>103</v>
      </c>
      <c r="B2644" s="122" t="s">
        <v>11</v>
      </c>
      <c r="C2644" s="125">
        <v>0.60555555555555596</v>
      </c>
      <c r="D2644" s="128">
        <v>0</v>
      </c>
      <c r="E2644" s="128">
        <v>0</v>
      </c>
      <c r="F2644" s="128">
        <v>0</v>
      </c>
      <c r="G2644" s="128">
        <v>0</v>
      </c>
      <c r="H2644" s="128">
        <v>0</v>
      </c>
      <c r="I2644" s="128">
        <v>0</v>
      </c>
      <c r="J2644" s="128">
        <v>0</v>
      </c>
    </row>
    <row r="2645" spans="1:10">
      <c r="A2645" s="122" t="s">
        <v>103</v>
      </c>
      <c r="B2645" s="122" t="s">
        <v>11</v>
      </c>
      <c r="C2645" s="125">
        <v>0.60624999999999996</v>
      </c>
      <c r="D2645" s="128">
        <v>0</v>
      </c>
      <c r="E2645" s="128">
        <v>0</v>
      </c>
      <c r="F2645" s="128">
        <v>0</v>
      </c>
      <c r="G2645" s="128">
        <v>0</v>
      </c>
      <c r="H2645" s="128">
        <v>0</v>
      </c>
      <c r="I2645" s="128">
        <v>0</v>
      </c>
      <c r="J2645" s="128">
        <v>0</v>
      </c>
    </row>
    <row r="2646" spans="1:10">
      <c r="A2646" s="122" t="s">
        <v>103</v>
      </c>
      <c r="B2646" s="122" t="s">
        <v>11</v>
      </c>
      <c r="C2646" s="125">
        <v>0.60694444444444395</v>
      </c>
      <c r="D2646" s="128">
        <v>0</v>
      </c>
      <c r="E2646" s="128">
        <v>0</v>
      </c>
      <c r="F2646" s="128">
        <v>0</v>
      </c>
      <c r="G2646" s="128">
        <v>0</v>
      </c>
      <c r="H2646" s="128">
        <v>0</v>
      </c>
      <c r="I2646" s="128">
        <v>0</v>
      </c>
      <c r="J2646" s="128">
        <v>0</v>
      </c>
    </row>
    <row r="2647" spans="1:10">
      <c r="A2647" s="122" t="s">
        <v>103</v>
      </c>
      <c r="B2647" s="122" t="s">
        <v>11</v>
      </c>
      <c r="C2647" s="125">
        <v>0.60763888888888895</v>
      </c>
      <c r="D2647" s="128">
        <v>0</v>
      </c>
      <c r="E2647" s="128">
        <v>0</v>
      </c>
      <c r="F2647" s="128">
        <v>0</v>
      </c>
      <c r="G2647" s="128">
        <v>0</v>
      </c>
      <c r="H2647" s="128">
        <v>0</v>
      </c>
      <c r="I2647" s="128">
        <v>0</v>
      </c>
      <c r="J2647" s="128">
        <v>0</v>
      </c>
    </row>
    <row r="2648" spans="1:10">
      <c r="A2648" s="122" t="s">
        <v>103</v>
      </c>
      <c r="B2648" s="122" t="s">
        <v>11</v>
      </c>
      <c r="C2648" s="125">
        <v>0.60833333333333295</v>
      </c>
      <c r="D2648" s="128">
        <v>0</v>
      </c>
      <c r="E2648" s="128">
        <v>0</v>
      </c>
      <c r="F2648" s="128">
        <v>0</v>
      </c>
      <c r="G2648" s="128">
        <v>0</v>
      </c>
      <c r="H2648" s="128">
        <v>0</v>
      </c>
      <c r="I2648" s="128">
        <v>0</v>
      </c>
      <c r="J2648" s="128">
        <v>0</v>
      </c>
    </row>
    <row r="2649" spans="1:10">
      <c r="A2649" s="122" t="s">
        <v>103</v>
      </c>
      <c r="B2649" s="122" t="s">
        <v>11</v>
      </c>
      <c r="C2649" s="125">
        <v>0.60902777777777795</v>
      </c>
      <c r="D2649" s="128">
        <v>0</v>
      </c>
      <c r="E2649" s="128">
        <v>0</v>
      </c>
      <c r="F2649" s="128">
        <v>0</v>
      </c>
      <c r="G2649" s="128">
        <v>0</v>
      </c>
      <c r="H2649" s="128">
        <v>0</v>
      </c>
      <c r="I2649" s="128">
        <v>0</v>
      </c>
      <c r="J2649" s="128">
        <v>0</v>
      </c>
    </row>
    <row r="2650" spans="1:10">
      <c r="A2650" s="122" t="s">
        <v>103</v>
      </c>
      <c r="B2650" s="122" t="s">
        <v>11</v>
      </c>
      <c r="C2650" s="125">
        <v>0.60972222222222205</v>
      </c>
      <c r="D2650" s="128">
        <v>0</v>
      </c>
      <c r="E2650" s="128">
        <v>0</v>
      </c>
      <c r="F2650" s="128">
        <v>0</v>
      </c>
      <c r="G2650" s="128">
        <v>0</v>
      </c>
      <c r="H2650" s="128">
        <v>0</v>
      </c>
      <c r="I2650" s="128">
        <v>0</v>
      </c>
      <c r="J2650" s="128">
        <v>0</v>
      </c>
    </row>
    <row r="2651" spans="1:10">
      <c r="A2651" s="122" t="s">
        <v>103</v>
      </c>
      <c r="B2651" s="122" t="s">
        <v>11</v>
      </c>
      <c r="C2651" s="125">
        <v>0.61041666666666705</v>
      </c>
      <c r="D2651" s="128">
        <v>0</v>
      </c>
      <c r="E2651" s="128">
        <v>0</v>
      </c>
      <c r="F2651" s="128">
        <v>0</v>
      </c>
      <c r="G2651" s="128">
        <v>0</v>
      </c>
      <c r="H2651" s="128">
        <v>0</v>
      </c>
      <c r="I2651" s="128">
        <v>0</v>
      </c>
      <c r="J2651" s="128">
        <v>0</v>
      </c>
    </row>
    <row r="2652" spans="1:10">
      <c r="A2652" s="122" t="s">
        <v>103</v>
      </c>
      <c r="B2652" s="122" t="s">
        <v>11</v>
      </c>
      <c r="C2652" s="125">
        <v>0.61111111111111105</v>
      </c>
      <c r="D2652" s="128">
        <v>0</v>
      </c>
      <c r="E2652" s="128">
        <v>0</v>
      </c>
      <c r="F2652" s="128">
        <v>0</v>
      </c>
      <c r="G2652" s="128">
        <v>0</v>
      </c>
      <c r="H2652" s="128">
        <v>0</v>
      </c>
      <c r="I2652" s="128">
        <v>0</v>
      </c>
      <c r="J2652" s="128">
        <v>0</v>
      </c>
    </row>
    <row r="2653" spans="1:10">
      <c r="A2653" s="122" t="s">
        <v>103</v>
      </c>
      <c r="B2653" s="122" t="s">
        <v>11</v>
      </c>
      <c r="C2653" s="125">
        <v>0.61180555555555505</v>
      </c>
      <c r="D2653" s="128">
        <v>0</v>
      </c>
      <c r="E2653" s="128">
        <v>0</v>
      </c>
      <c r="F2653" s="128">
        <v>0</v>
      </c>
      <c r="G2653" s="128">
        <v>0</v>
      </c>
      <c r="H2653" s="128">
        <v>0</v>
      </c>
      <c r="I2653" s="128">
        <v>0</v>
      </c>
      <c r="J2653" s="128">
        <v>0</v>
      </c>
    </row>
    <row r="2654" spans="1:10">
      <c r="A2654" s="122" t="s">
        <v>103</v>
      </c>
      <c r="B2654" s="122" t="s">
        <v>11</v>
      </c>
      <c r="C2654" s="125">
        <v>0.61250000000000004</v>
      </c>
      <c r="D2654" s="128">
        <v>0</v>
      </c>
      <c r="E2654" s="128">
        <v>0</v>
      </c>
      <c r="F2654" s="128">
        <v>0</v>
      </c>
      <c r="G2654" s="128">
        <v>0</v>
      </c>
      <c r="H2654" s="128">
        <v>0</v>
      </c>
      <c r="I2654" s="128">
        <v>0</v>
      </c>
      <c r="J2654" s="128">
        <v>0</v>
      </c>
    </row>
    <row r="2655" spans="1:10">
      <c r="A2655" s="122" t="s">
        <v>103</v>
      </c>
      <c r="B2655" s="122" t="s">
        <v>11</v>
      </c>
      <c r="C2655" s="125">
        <v>0.61319444444444404</v>
      </c>
      <c r="D2655" s="128">
        <v>0</v>
      </c>
      <c r="E2655" s="128">
        <v>0</v>
      </c>
      <c r="F2655" s="128">
        <v>0</v>
      </c>
      <c r="G2655" s="128">
        <v>0</v>
      </c>
      <c r="H2655" s="128">
        <v>0</v>
      </c>
      <c r="I2655" s="128">
        <v>0</v>
      </c>
      <c r="J2655" s="128">
        <v>0</v>
      </c>
    </row>
    <row r="2656" spans="1:10">
      <c r="A2656" s="123" t="s">
        <v>103</v>
      </c>
      <c r="B2656" s="123" t="s">
        <v>11</v>
      </c>
      <c r="C2656" s="126">
        <v>0.61388888888888904</v>
      </c>
      <c r="D2656" s="129">
        <v>0</v>
      </c>
      <c r="E2656" s="129">
        <v>0</v>
      </c>
      <c r="F2656" s="129">
        <v>0</v>
      </c>
      <c r="G2656" s="129">
        <v>0</v>
      </c>
      <c r="H2656" s="129">
        <v>0</v>
      </c>
      <c r="I2656" s="129">
        <v>0</v>
      </c>
      <c r="J2656" s="129">
        <v>0</v>
      </c>
    </row>
    <row r="2657" spans="1:10">
      <c r="A2657" s="122" t="s">
        <v>103</v>
      </c>
      <c r="B2657" s="122" t="s">
        <v>11</v>
      </c>
      <c r="C2657" s="125">
        <v>0.61458333333333304</v>
      </c>
      <c r="D2657" s="130">
        <v>0</v>
      </c>
      <c r="E2657" s="130">
        <v>0</v>
      </c>
      <c r="F2657" s="130">
        <v>0</v>
      </c>
      <c r="G2657" s="130">
        <v>0</v>
      </c>
      <c r="H2657" s="130">
        <v>0</v>
      </c>
      <c r="I2657" s="130">
        <v>0</v>
      </c>
      <c r="J2657" s="130">
        <v>0</v>
      </c>
    </row>
    <row r="2658" spans="1:10">
      <c r="A2658" s="122" t="s">
        <v>103</v>
      </c>
      <c r="B2658" s="122" t="s">
        <v>11</v>
      </c>
      <c r="C2658" s="125">
        <v>0.61527777777777803</v>
      </c>
      <c r="D2658" s="128">
        <v>0</v>
      </c>
      <c r="E2658" s="128">
        <v>0</v>
      </c>
      <c r="F2658" s="128">
        <v>0</v>
      </c>
      <c r="G2658" s="128">
        <v>0</v>
      </c>
      <c r="H2658" s="128">
        <v>0</v>
      </c>
      <c r="I2658" s="128">
        <v>0</v>
      </c>
      <c r="J2658" s="128">
        <v>0</v>
      </c>
    </row>
    <row r="2659" spans="1:10">
      <c r="A2659" s="122" t="s">
        <v>103</v>
      </c>
      <c r="B2659" s="122" t="s">
        <v>11</v>
      </c>
      <c r="C2659" s="125">
        <v>0.61597222222222203</v>
      </c>
      <c r="D2659" s="128">
        <v>0</v>
      </c>
      <c r="E2659" s="128">
        <v>0</v>
      </c>
      <c r="F2659" s="128">
        <v>0</v>
      </c>
      <c r="G2659" s="128">
        <v>0</v>
      </c>
      <c r="H2659" s="128">
        <v>0</v>
      </c>
      <c r="I2659" s="128">
        <v>0</v>
      </c>
      <c r="J2659" s="128">
        <v>0</v>
      </c>
    </row>
    <row r="2660" spans="1:10">
      <c r="A2660" s="122" t="s">
        <v>103</v>
      </c>
      <c r="B2660" s="122" t="s">
        <v>11</v>
      </c>
      <c r="C2660" s="125">
        <v>0.61666666666666703</v>
      </c>
      <c r="D2660" s="128">
        <v>0</v>
      </c>
      <c r="E2660" s="128">
        <v>0</v>
      </c>
      <c r="F2660" s="128">
        <v>0</v>
      </c>
      <c r="G2660" s="128">
        <v>0</v>
      </c>
      <c r="H2660" s="128">
        <v>0</v>
      </c>
      <c r="I2660" s="128">
        <v>0</v>
      </c>
      <c r="J2660" s="128">
        <v>0</v>
      </c>
    </row>
    <row r="2661" spans="1:10">
      <c r="A2661" s="122" t="s">
        <v>103</v>
      </c>
      <c r="B2661" s="122" t="s">
        <v>11</v>
      </c>
      <c r="C2661" s="125">
        <v>0.61736111111111103</v>
      </c>
      <c r="D2661" s="128">
        <v>0</v>
      </c>
      <c r="E2661" s="128">
        <v>0</v>
      </c>
      <c r="F2661" s="128">
        <v>0</v>
      </c>
      <c r="G2661" s="128">
        <v>0</v>
      </c>
      <c r="H2661" s="128">
        <v>0</v>
      </c>
      <c r="I2661" s="128">
        <v>0</v>
      </c>
      <c r="J2661" s="128">
        <v>0</v>
      </c>
    </row>
    <row r="2662" spans="1:10">
      <c r="A2662" s="122" t="s">
        <v>103</v>
      </c>
      <c r="B2662" s="122" t="s">
        <v>11</v>
      </c>
      <c r="C2662" s="125">
        <v>0.61805555555555503</v>
      </c>
      <c r="D2662" s="128">
        <v>0</v>
      </c>
      <c r="E2662" s="128">
        <v>0</v>
      </c>
      <c r="F2662" s="128">
        <v>0</v>
      </c>
      <c r="G2662" s="128">
        <v>0</v>
      </c>
      <c r="H2662" s="128">
        <v>0</v>
      </c>
      <c r="I2662" s="128">
        <v>0</v>
      </c>
      <c r="J2662" s="128">
        <v>0</v>
      </c>
    </row>
    <row r="2663" spans="1:10">
      <c r="A2663" s="122" t="s">
        <v>103</v>
      </c>
      <c r="B2663" s="122" t="s">
        <v>11</v>
      </c>
      <c r="C2663" s="125">
        <v>0.61875000000000002</v>
      </c>
      <c r="D2663" s="128">
        <v>0</v>
      </c>
      <c r="E2663" s="128">
        <v>0</v>
      </c>
      <c r="F2663" s="128">
        <v>0</v>
      </c>
      <c r="G2663" s="128">
        <v>0</v>
      </c>
      <c r="H2663" s="128">
        <v>0</v>
      </c>
      <c r="I2663" s="128">
        <v>0</v>
      </c>
      <c r="J2663" s="128">
        <v>0</v>
      </c>
    </row>
    <row r="2664" spans="1:10">
      <c r="A2664" s="122" t="s">
        <v>103</v>
      </c>
      <c r="B2664" s="122" t="s">
        <v>11</v>
      </c>
      <c r="C2664" s="125">
        <v>0.61944444444444402</v>
      </c>
      <c r="D2664" s="128">
        <v>0</v>
      </c>
      <c r="E2664" s="128">
        <v>0</v>
      </c>
      <c r="F2664" s="128">
        <v>0</v>
      </c>
      <c r="G2664" s="128">
        <v>0</v>
      </c>
      <c r="H2664" s="128">
        <v>0</v>
      </c>
      <c r="I2664" s="128">
        <v>0</v>
      </c>
      <c r="J2664" s="128">
        <v>0</v>
      </c>
    </row>
    <row r="2665" spans="1:10">
      <c r="A2665" s="122" t="s">
        <v>103</v>
      </c>
      <c r="B2665" s="122" t="s">
        <v>11</v>
      </c>
      <c r="C2665" s="125">
        <v>0.62013888888888902</v>
      </c>
      <c r="D2665" s="128">
        <v>0</v>
      </c>
      <c r="E2665" s="128">
        <v>0</v>
      </c>
      <c r="F2665" s="128">
        <v>0</v>
      </c>
      <c r="G2665" s="128">
        <v>0</v>
      </c>
      <c r="H2665" s="128">
        <v>0</v>
      </c>
      <c r="I2665" s="128">
        <v>0</v>
      </c>
      <c r="J2665" s="128">
        <v>0</v>
      </c>
    </row>
    <row r="2666" spans="1:10">
      <c r="A2666" s="122" t="s">
        <v>103</v>
      </c>
      <c r="B2666" s="122" t="s">
        <v>11</v>
      </c>
      <c r="C2666" s="125">
        <v>0.62083333333333302</v>
      </c>
      <c r="D2666" s="128">
        <v>0</v>
      </c>
      <c r="E2666" s="128">
        <v>0</v>
      </c>
      <c r="F2666" s="128">
        <v>0</v>
      </c>
      <c r="G2666" s="128">
        <v>0</v>
      </c>
      <c r="H2666" s="128">
        <v>0</v>
      </c>
      <c r="I2666" s="128">
        <v>0</v>
      </c>
      <c r="J2666" s="128">
        <v>0</v>
      </c>
    </row>
    <row r="2667" spans="1:10">
      <c r="A2667" s="122" t="s">
        <v>103</v>
      </c>
      <c r="B2667" s="122" t="s">
        <v>11</v>
      </c>
      <c r="C2667" s="125">
        <v>0.62152777777777801</v>
      </c>
      <c r="D2667" s="128">
        <v>0</v>
      </c>
      <c r="E2667" s="128">
        <v>0</v>
      </c>
      <c r="F2667" s="128">
        <v>0</v>
      </c>
      <c r="G2667" s="128">
        <v>0</v>
      </c>
      <c r="H2667" s="128">
        <v>0</v>
      </c>
      <c r="I2667" s="128">
        <v>0</v>
      </c>
      <c r="J2667" s="128">
        <v>0</v>
      </c>
    </row>
    <row r="2668" spans="1:10">
      <c r="A2668" s="122" t="s">
        <v>103</v>
      </c>
      <c r="B2668" s="122" t="s">
        <v>11</v>
      </c>
      <c r="C2668" s="125">
        <v>0.62222222222222201</v>
      </c>
      <c r="D2668" s="128">
        <v>0</v>
      </c>
      <c r="E2668" s="128">
        <v>0</v>
      </c>
      <c r="F2668" s="128">
        <v>0</v>
      </c>
      <c r="G2668" s="128">
        <v>0</v>
      </c>
      <c r="H2668" s="128">
        <v>0</v>
      </c>
      <c r="I2668" s="128">
        <v>0</v>
      </c>
      <c r="J2668" s="128">
        <v>0</v>
      </c>
    </row>
    <row r="2669" spans="1:10">
      <c r="A2669" s="122" t="s">
        <v>103</v>
      </c>
      <c r="B2669" s="122" t="s">
        <v>11</v>
      </c>
      <c r="C2669" s="125">
        <v>0.62291666666666701</v>
      </c>
      <c r="D2669" s="128">
        <v>0</v>
      </c>
      <c r="E2669" s="128">
        <v>0</v>
      </c>
      <c r="F2669" s="128">
        <v>0</v>
      </c>
      <c r="G2669" s="128">
        <v>0</v>
      </c>
      <c r="H2669" s="128">
        <v>0</v>
      </c>
      <c r="I2669" s="128">
        <v>0</v>
      </c>
      <c r="J2669" s="128">
        <v>0</v>
      </c>
    </row>
    <row r="2670" spans="1:10">
      <c r="A2670" s="122" t="s">
        <v>103</v>
      </c>
      <c r="B2670" s="122" t="s">
        <v>11</v>
      </c>
      <c r="C2670" s="125">
        <v>0.62361111111111101</v>
      </c>
      <c r="D2670" s="128">
        <v>0</v>
      </c>
      <c r="E2670" s="128">
        <v>0</v>
      </c>
      <c r="F2670" s="128">
        <v>0</v>
      </c>
      <c r="G2670" s="128">
        <v>0</v>
      </c>
      <c r="H2670" s="128">
        <v>0</v>
      </c>
      <c r="I2670" s="128">
        <v>0</v>
      </c>
      <c r="J2670" s="128">
        <v>0</v>
      </c>
    </row>
    <row r="2671" spans="1:10">
      <c r="A2671" s="123" t="s">
        <v>103</v>
      </c>
      <c r="B2671" s="123" t="s">
        <v>11</v>
      </c>
      <c r="C2671" s="126">
        <v>0.624305555555555</v>
      </c>
      <c r="D2671" s="129">
        <v>0</v>
      </c>
      <c r="E2671" s="129">
        <v>0</v>
      </c>
      <c r="F2671" s="129">
        <v>0</v>
      </c>
      <c r="G2671" s="129">
        <v>0</v>
      </c>
      <c r="H2671" s="129">
        <v>0</v>
      </c>
      <c r="I2671" s="129">
        <v>0</v>
      </c>
      <c r="J2671" s="129">
        <v>0</v>
      </c>
    </row>
    <row r="2672" spans="1:10">
      <c r="A2672" s="122" t="s">
        <v>103</v>
      </c>
      <c r="B2672" s="122" t="s">
        <v>11</v>
      </c>
      <c r="C2672" s="125">
        <v>0.625</v>
      </c>
      <c r="D2672" s="130">
        <v>0</v>
      </c>
      <c r="E2672" s="130">
        <v>0</v>
      </c>
      <c r="F2672" s="130">
        <v>0</v>
      </c>
      <c r="G2672" s="130">
        <v>0</v>
      </c>
      <c r="H2672" s="130">
        <v>0</v>
      </c>
      <c r="I2672" s="130">
        <v>0</v>
      </c>
      <c r="J2672" s="130">
        <v>0</v>
      </c>
    </row>
    <row r="2673" spans="1:10">
      <c r="A2673" s="122" t="s">
        <v>103</v>
      </c>
      <c r="B2673" s="122" t="s">
        <v>11</v>
      </c>
      <c r="C2673" s="125">
        <v>0.625694444444444</v>
      </c>
      <c r="D2673" s="128">
        <v>0</v>
      </c>
      <c r="E2673" s="128">
        <v>0</v>
      </c>
      <c r="F2673" s="128">
        <v>0</v>
      </c>
      <c r="G2673" s="128">
        <v>0</v>
      </c>
      <c r="H2673" s="128">
        <v>0</v>
      </c>
      <c r="I2673" s="128">
        <v>0</v>
      </c>
      <c r="J2673" s="128">
        <v>0</v>
      </c>
    </row>
    <row r="2674" spans="1:10">
      <c r="A2674" s="122" t="s">
        <v>103</v>
      </c>
      <c r="B2674" s="122" t="s">
        <v>11</v>
      </c>
      <c r="C2674" s="125">
        <v>0.62638888888888899</v>
      </c>
      <c r="D2674" s="128">
        <v>0</v>
      </c>
      <c r="E2674" s="128">
        <v>0</v>
      </c>
      <c r="F2674" s="128">
        <v>0</v>
      </c>
      <c r="G2674" s="128">
        <v>0</v>
      </c>
      <c r="H2674" s="128">
        <v>0</v>
      </c>
      <c r="I2674" s="128">
        <v>0</v>
      </c>
      <c r="J2674" s="128">
        <v>0</v>
      </c>
    </row>
    <row r="2675" spans="1:10">
      <c r="A2675" s="122" t="s">
        <v>103</v>
      </c>
      <c r="B2675" s="122" t="s">
        <v>11</v>
      </c>
      <c r="C2675" s="125">
        <v>0.62708333333333299</v>
      </c>
      <c r="D2675" s="128">
        <v>0</v>
      </c>
      <c r="E2675" s="128">
        <v>0</v>
      </c>
      <c r="F2675" s="128">
        <v>0</v>
      </c>
      <c r="G2675" s="128">
        <v>0</v>
      </c>
      <c r="H2675" s="128">
        <v>0</v>
      </c>
      <c r="I2675" s="128">
        <v>0</v>
      </c>
      <c r="J2675" s="128">
        <v>0</v>
      </c>
    </row>
    <row r="2676" spans="1:10">
      <c r="A2676" s="122" t="s">
        <v>103</v>
      </c>
      <c r="B2676" s="122" t="s">
        <v>11</v>
      </c>
      <c r="C2676" s="125">
        <v>0.62777777777777799</v>
      </c>
      <c r="D2676" s="128">
        <v>0</v>
      </c>
      <c r="E2676" s="128">
        <v>0</v>
      </c>
      <c r="F2676" s="128">
        <v>0</v>
      </c>
      <c r="G2676" s="128">
        <v>0</v>
      </c>
      <c r="H2676" s="128">
        <v>0</v>
      </c>
      <c r="I2676" s="128">
        <v>0</v>
      </c>
      <c r="J2676" s="128">
        <v>0</v>
      </c>
    </row>
    <row r="2677" spans="1:10">
      <c r="A2677" s="122" t="s">
        <v>103</v>
      </c>
      <c r="B2677" s="122" t="s">
        <v>11</v>
      </c>
      <c r="C2677" s="125">
        <v>0.62847222222222199</v>
      </c>
      <c r="D2677" s="128">
        <v>0</v>
      </c>
      <c r="E2677" s="128">
        <v>0</v>
      </c>
      <c r="F2677" s="128">
        <v>0</v>
      </c>
      <c r="G2677" s="128">
        <v>0</v>
      </c>
      <c r="H2677" s="128">
        <v>0</v>
      </c>
      <c r="I2677" s="128">
        <v>0</v>
      </c>
      <c r="J2677" s="128">
        <v>0</v>
      </c>
    </row>
    <row r="2678" spans="1:10">
      <c r="A2678" s="122" t="s">
        <v>103</v>
      </c>
      <c r="B2678" s="122" t="s">
        <v>11</v>
      </c>
      <c r="C2678" s="125">
        <v>0.62916666666666698</v>
      </c>
      <c r="D2678" s="128">
        <v>0</v>
      </c>
      <c r="E2678" s="128">
        <v>0</v>
      </c>
      <c r="F2678" s="128">
        <v>0</v>
      </c>
      <c r="G2678" s="128">
        <v>0</v>
      </c>
      <c r="H2678" s="128">
        <v>0</v>
      </c>
      <c r="I2678" s="128">
        <v>0</v>
      </c>
      <c r="J2678" s="128">
        <v>0</v>
      </c>
    </row>
    <row r="2679" spans="1:10">
      <c r="A2679" s="122" t="s">
        <v>103</v>
      </c>
      <c r="B2679" s="122" t="s">
        <v>11</v>
      </c>
      <c r="C2679" s="125">
        <v>0.62986111111111098</v>
      </c>
      <c r="D2679" s="128">
        <v>0</v>
      </c>
      <c r="E2679" s="128">
        <v>0</v>
      </c>
      <c r="F2679" s="128">
        <v>0</v>
      </c>
      <c r="G2679" s="128">
        <v>0</v>
      </c>
      <c r="H2679" s="128">
        <v>0</v>
      </c>
      <c r="I2679" s="128">
        <v>0</v>
      </c>
      <c r="J2679" s="128">
        <v>0</v>
      </c>
    </row>
    <row r="2680" spans="1:10">
      <c r="A2680" s="122" t="s">
        <v>103</v>
      </c>
      <c r="B2680" s="122" t="s">
        <v>11</v>
      </c>
      <c r="C2680" s="125">
        <v>0.63055555555555498</v>
      </c>
      <c r="D2680" s="128">
        <v>0</v>
      </c>
      <c r="E2680" s="128">
        <v>0</v>
      </c>
      <c r="F2680" s="128">
        <v>0</v>
      </c>
      <c r="G2680" s="128">
        <v>0</v>
      </c>
      <c r="H2680" s="128">
        <v>0</v>
      </c>
      <c r="I2680" s="128">
        <v>0</v>
      </c>
      <c r="J2680" s="128">
        <v>0</v>
      </c>
    </row>
    <row r="2681" spans="1:10">
      <c r="A2681" s="122" t="s">
        <v>103</v>
      </c>
      <c r="B2681" s="122" t="s">
        <v>11</v>
      </c>
      <c r="C2681" s="125">
        <v>0.63124999999999998</v>
      </c>
      <c r="D2681" s="128">
        <v>0</v>
      </c>
      <c r="E2681" s="128">
        <v>0</v>
      </c>
      <c r="F2681" s="128">
        <v>0</v>
      </c>
      <c r="G2681" s="128">
        <v>0</v>
      </c>
      <c r="H2681" s="128">
        <v>0</v>
      </c>
      <c r="I2681" s="128">
        <v>0</v>
      </c>
      <c r="J2681" s="128">
        <v>0</v>
      </c>
    </row>
    <row r="2682" spans="1:10">
      <c r="A2682" s="122" t="s">
        <v>103</v>
      </c>
      <c r="B2682" s="122" t="s">
        <v>11</v>
      </c>
      <c r="C2682" s="125">
        <v>0.63194444444444398</v>
      </c>
      <c r="D2682" s="128">
        <v>0</v>
      </c>
      <c r="E2682" s="128">
        <v>0</v>
      </c>
      <c r="F2682" s="128">
        <v>0</v>
      </c>
      <c r="G2682" s="128">
        <v>0</v>
      </c>
      <c r="H2682" s="128">
        <v>0</v>
      </c>
      <c r="I2682" s="128">
        <v>0</v>
      </c>
      <c r="J2682" s="128">
        <v>0</v>
      </c>
    </row>
    <row r="2683" spans="1:10">
      <c r="A2683" s="122" t="s">
        <v>103</v>
      </c>
      <c r="B2683" s="122" t="s">
        <v>11</v>
      </c>
      <c r="C2683" s="125">
        <v>0.63263888888888897</v>
      </c>
      <c r="D2683" s="128">
        <v>0</v>
      </c>
      <c r="E2683" s="128">
        <v>0</v>
      </c>
      <c r="F2683" s="128">
        <v>0</v>
      </c>
      <c r="G2683" s="128">
        <v>0</v>
      </c>
      <c r="H2683" s="128">
        <v>0</v>
      </c>
      <c r="I2683" s="128">
        <v>0</v>
      </c>
      <c r="J2683" s="128">
        <v>0</v>
      </c>
    </row>
    <row r="2684" spans="1:10">
      <c r="A2684" s="122" t="s">
        <v>103</v>
      </c>
      <c r="B2684" s="122" t="s">
        <v>11</v>
      </c>
      <c r="C2684" s="125">
        <v>0.63333333333333297</v>
      </c>
      <c r="D2684" s="128">
        <v>0</v>
      </c>
      <c r="E2684" s="128">
        <v>0</v>
      </c>
      <c r="F2684" s="128">
        <v>0</v>
      </c>
      <c r="G2684" s="128">
        <v>0</v>
      </c>
      <c r="H2684" s="128">
        <v>0</v>
      </c>
      <c r="I2684" s="128">
        <v>0</v>
      </c>
      <c r="J2684" s="128">
        <v>0</v>
      </c>
    </row>
    <row r="2685" spans="1:10">
      <c r="A2685" s="122" t="s">
        <v>103</v>
      </c>
      <c r="B2685" s="122" t="s">
        <v>11</v>
      </c>
      <c r="C2685" s="125">
        <v>0.63402777777777797</v>
      </c>
      <c r="D2685" s="128">
        <v>0</v>
      </c>
      <c r="E2685" s="128">
        <v>0</v>
      </c>
      <c r="F2685" s="128">
        <v>0</v>
      </c>
      <c r="G2685" s="128">
        <v>0</v>
      </c>
      <c r="H2685" s="128">
        <v>0</v>
      </c>
      <c r="I2685" s="128">
        <v>0</v>
      </c>
      <c r="J2685" s="128">
        <v>0</v>
      </c>
    </row>
    <row r="2686" spans="1:10">
      <c r="A2686" s="123" t="s">
        <v>103</v>
      </c>
      <c r="B2686" s="123" t="s">
        <v>11</v>
      </c>
      <c r="C2686" s="126">
        <v>0.63472222222222197</v>
      </c>
      <c r="D2686" s="129">
        <v>0</v>
      </c>
      <c r="E2686" s="129">
        <v>0</v>
      </c>
      <c r="F2686" s="129">
        <v>0</v>
      </c>
      <c r="G2686" s="129">
        <v>0</v>
      </c>
      <c r="H2686" s="129">
        <v>0</v>
      </c>
      <c r="I2686" s="129">
        <v>0</v>
      </c>
      <c r="J2686" s="129">
        <v>0</v>
      </c>
    </row>
    <row r="2687" spans="1:10">
      <c r="A2687" s="122" t="s">
        <v>103</v>
      </c>
      <c r="B2687" s="122" t="s">
        <v>11</v>
      </c>
      <c r="C2687" s="125">
        <v>0.63541666666666696</v>
      </c>
      <c r="D2687" s="130">
        <v>0</v>
      </c>
      <c r="E2687" s="130">
        <v>0</v>
      </c>
      <c r="F2687" s="130">
        <v>0</v>
      </c>
      <c r="G2687" s="130">
        <v>0</v>
      </c>
      <c r="H2687" s="130">
        <v>0</v>
      </c>
      <c r="I2687" s="130">
        <v>0</v>
      </c>
      <c r="J2687" s="130">
        <v>0</v>
      </c>
    </row>
    <row r="2688" spans="1:10">
      <c r="A2688" s="122" t="s">
        <v>103</v>
      </c>
      <c r="B2688" s="122" t="s">
        <v>11</v>
      </c>
      <c r="C2688" s="125">
        <v>0.63611111111111096</v>
      </c>
      <c r="D2688" s="128">
        <v>0</v>
      </c>
      <c r="E2688" s="128">
        <v>0</v>
      </c>
      <c r="F2688" s="128">
        <v>0</v>
      </c>
      <c r="G2688" s="128">
        <v>0</v>
      </c>
      <c r="H2688" s="128">
        <v>0</v>
      </c>
      <c r="I2688" s="128">
        <v>0</v>
      </c>
      <c r="J2688" s="128">
        <v>0</v>
      </c>
    </row>
    <row r="2689" spans="1:10">
      <c r="A2689" s="122" t="s">
        <v>103</v>
      </c>
      <c r="B2689" s="122" t="s">
        <v>11</v>
      </c>
      <c r="C2689" s="125">
        <v>0.63680555555555496</v>
      </c>
      <c r="D2689" s="128">
        <v>0</v>
      </c>
      <c r="E2689" s="128">
        <v>0</v>
      </c>
      <c r="F2689" s="128">
        <v>0</v>
      </c>
      <c r="G2689" s="128">
        <v>0</v>
      </c>
      <c r="H2689" s="128">
        <v>0</v>
      </c>
      <c r="I2689" s="128">
        <v>0</v>
      </c>
      <c r="J2689" s="128">
        <v>0</v>
      </c>
    </row>
    <row r="2690" spans="1:10">
      <c r="A2690" s="122" t="s">
        <v>103</v>
      </c>
      <c r="B2690" s="122" t="s">
        <v>11</v>
      </c>
      <c r="C2690" s="125">
        <v>0.63749999999999996</v>
      </c>
      <c r="D2690" s="128">
        <v>0</v>
      </c>
      <c r="E2690" s="128">
        <v>0</v>
      </c>
      <c r="F2690" s="128">
        <v>0</v>
      </c>
      <c r="G2690" s="128">
        <v>0</v>
      </c>
      <c r="H2690" s="128">
        <v>0</v>
      </c>
      <c r="I2690" s="128">
        <v>0</v>
      </c>
      <c r="J2690" s="128">
        <v>0</v>
      </c>
    </row>
    <row r="2691" spans="1:10">
      <c r="A2691" s="122" t="s">
        <v>103</v>
      </c>
      <c r="B2691" s="122" t="s">
        <v>11</v>
      </c>
      <c r="C2691" s="125">
        <v>0.63819444444444395</v>
      </c>
      <c r="D2691" s="128">
        <v>0</v>
      </c>
      <c r="E2691" s="128">
        <v>0</v>
      </c>
      <c r="F2691" s="128">
        <v>0</v>
      </c>
      <c r="G2691" s="128">
        <v>0</v>
      </c>
      <c r="H2691" s="128">
        <v>0</v>
      </c>
      <c r="I2691" s="128">
        <v>0</v>
      </c>
      <c r="J2691" s="128">
        <v>0</v>
      </c>
    </row>
    <row r="2692" spans="1:10">
      <c r="A2692" s="122" t="s">
        <v>103</v>
      </c>
      <c r="B2692" s="122" t="s">
        <v>11</v>
      </c>
      <c r="C2692" s="125">
        <v>0.63888888888888895</v>
      </c>
      <c r="D2692" s="128">
        <v>0</v>
      </c>
      <c r="E2692" s="128">
        <v>0</v>
      </c>
      <c r="F2692" s="128">
        <v>0</v>
      </c>
      <c r="G2692" s="128">
        <v>0</v>
      </c>
      <c r="H2692" s="128">
        <v>0</v>
      </c>
      <c r="I2692" s="128">
        <v>0</v>
      </c>
      <c r="J2692" s="128">
        <v>0</v>
      </c>
    </row>
    <row r="2693" spans="1:10">
      <c r="A2693" s="122" t="s">
        <v>103</v>
      </c>
      <c r="B2693" s="122" t="s">
        <v>11</v>
      </c>
      <c r="C2693" s="125">
        <v>0.63958333333333295</v>
      </c>
      <c r="D2693" s="128">
        <v>0</v>
      </c>
      <c r="E2693" s="128">
        <v>0</v>
      </c>
      <c r="F2693" s="128">
        <v>0</v>
      </c>
      <c r="G2693" s="128">
        <v>0</v>
      </c>
      <c r="H2693" s="128">
        <v>0</v>
      </c>
      <c r="I2693" s="128">
        <v>0</v>
      </c>
      <c r="J2693" s="128">
        <v>0</v>
      </c>
    </row>
    <row r="2694" spans="1:10">
      <c r="A2694" s="122" t="s">
        <v>103</v>
      </c>
      <c r="B2694" s="122" t="s">
        <v>11</v>
      </c>
      <c r="C2694" s="125">
        <v>0.64027777777777795</v>
      </c>
      <c r="D2694" s="128">
        <v>0</v>
      </c>
      <c r="E2694" s="128">
        <v>0</v>
      </c>
      <c r="F2694" s="128">
        <v>0</v>
      </c>
      <c r="G2694" s="128">
        <v>0</v>
      </c>
      <c r="H2694" s="128">
        <v>0</v>
      </c>
      <c r="I2694" s="128">
        <v>0</v>
      </c>
      <c r="J2694" s="128">
        <v>0</v>
      </c>
    </row>
    <row r="2695" spans="1:10">
      <c r="A2695" s="122" t="s">
        <v>103</v>
      </c>
      <c r="B2695" s="122" t="s">
        <v>11</v>
      </c>
      <c r="C2695" s="125">
        <v>0.64097222222222205</v>
      </c>
      <c r="D2695" s="128">
        <v>0</v>
      </c>
      <c r="E2695" s="128">
        <v>0</v>
      </c>
      <c r="F2695" s="128">
        <v>0</v>
      </c>
      <c r="G2695" s="128">
        <v>0</v>
      </c>
      <c r="H2695" s="128">
        <v>0</v>
      </c>
      <c r="I2695" s="128">
        <v>0</v>
      </c>
      <c r="J2695" s="128">
        <v>0</v>
      </c>
    </row>
    <row r="2696" spans="1:10">
      <c r="A2696" s="122" t="s">
        <v>103</v>
      </c>
      <c r="B2696" s="122" t="s">
        <v>11</v>
      </c>
      <c r="C2696" s="125">
        <v>0.64166666666666605</v>
      </c>
      <c r="D2696" s="128">
        <v>0</v>
      </c>
      <c r="E2696" s="128">
        <v>0</v>
      </c>
      <c r="F2696" s="128">
        <v>0</v>
      </c>
      <c r="G2696" s="128">
        <v>0</v>
      </c>
      <c r="H2696" s="128">
        <v>0</v>
      </c>
      <c r="I2696" s="128">
        <v>0</v>
      </c>
      <c r="J2696" s="128">
        <v>0</v>
      </c>
    </row>
    <row r="2697" spans="1:10">
      <c r="A2697" s="122" t="s">
        <v>103</v>
      </c>
      <c r="B2697" s="122" t="s">
        <v>11</v>
      </c>
      <c r="C2697" s="125">
        <v>0.64236111111111105</v>
      </c>
      <c r="D2697" s="128">
        <v>0</v>
      </c>
      <c r="E2697" s="128">
        <v>0</v>
      </c>
      <c r="F2697" s="128">
        <v>0</v>
      </c>
      <c r="G2697" s="128">
        <v>0</v>
      </c>
      <c r="H2697" s="128">
        <v>0</v>
      </c>
      <c r="I2697" s="128">
        <v>0</v>
      </c>
      <c r="J2697" s="128">
        <v>0</v>
      </c>
    </row>
    <row r="2698" spans="1:10">
      <c r="A2698" s="122" t="s">
        <v>103</v>
      </c>
      <c r="B2698" s="122" t="s">
        <v>11</v>
      </c>
      <c r="C2698" s="125">
        <v>0.64305555555555505</v>
      </c>
      <c r="D2698" s="128">
        <v>0</v>
      </c>
      <c r="E2698" s="128">
        <v>0</v>
      </c>
      <c r="F2698" s="128">
        <v>0</v>
      </c>
      <c r="G2698" s="128">
        <v>0</v>
      </c>
      <c r="H2698" s="128">
        <v>0</v>
      </c>
      <c r="I2698" s="128">
        <v>0</v>
      </c>
      <c r="J2698" s="128">
        <v>0</v>
      </c>
    </row>
    <row r="2699" spans="1:10">
      <c r="A2699" s="122" t="s">
        <v>103</v>
      </c>
      <c r="B2699" s="122" t="s">
        <v>11</v>
      </c>
      <c r="C2699" s="125">
        <v>0.64375000000000004</v>
      </c>
      <c r="D2699" s="128">
        <v>0</v>
      </c>
      <c r="E2699" s="128">
        <v>0</v>
      </c>
      <c r="F2699" s="128">
        <v>0</v>
      </c>
      <c r="G2699" s="128">
        <v>0</v>
      </c>
      <c r="H2699" s="128">
        <v>0</v>
      </c>
      <c r="I2699" s="128">
        <v>0</v>
      </c>
      <c r="J2699" s="128">
        <v>0</v>
      </c>
    </row>
    <row r="2700" spans="1:10">
      <c r="A2700" s="122" t="s">
        <v>103</v>
      </c>
      <c r="B2700" s="122" t="s">
        <v>11</v>
      </c>
      <c r="C2700" s="125">
        <v>0.64444444444444404</v>
      </c>
      <c r="D2700" s="128">
        <v>0</v>
      </c>
      <c r="E2700" s="128">
        <v>0</v>
      </c>
      <c r="F2700" s="128">
        <v>0</v>
      </c>
      <c r="G2700" s="128">
        <v>0</v>
      </c>
      <c r="H2700" s="128">
        <v>0</v>
      </c>
      <c r="I2700" s="128">
        <v>0</v>
      </c>
      <c r="J2700" s="128">
        <v>0</v>
      </c>
    </row>
    <row r="2701" spans="1:10" ht="17.5" thickBot="1">
      <c r="A2701" s="124" t="s">
        <v>103</v>
      </c>
      <c r="B2701" s="124" t="s">
        <v>11</v>
      </c>
      <c r="C2701" s="127">
        <v>0.64513888888888904</v>
      </c>
      <c r="D2701" s="131">
        <v>0</v>
      </c>
      <c r="E2701" s="131">
        <v>0</v>
      </c>
      <c r="F2701" s="131">
        <v>0</v>
      </c>
      <c r="G2701" s="131">
        <v>0</v>
      </c>
      <c r="H2701" s="131">
        <v>0</v>
      </c>
      <c r="I2701" s="131">
        <v>0</v>
      </c>
      <c r="J2701" s="131">
        <v>0</v>
      </c>
    </row>
    <row r="2702" spans="1:10">
      <c r="A2702" s="122" t="s">
        <v>103</v>
      </c>
      <c r="B2702" s="122" t="s">
        <v>12</v>
      </c>
      <c r="C2702" s="125">
        <v>0.60416666666666663</v>
      </c>
      <c r="D2702" s="132">
        <v>0</v>
      </c>
      <c r="E2702" s="132">
        <v>0</v>
      </c>
      <c r="F2702" s="132">
        <v>0</v>
      </c>
      <c r="G2702" s="132">
        <v>0</v>
      </c>
      <c r="H2702" s="132">
        <v>0</v>
      </c>
      <c r="I2702" s="132">
        <v>0</v>
      </c>
      <c r="J2702" s="132">
        <v>0</v>
      </c>
    </row>
    <row r="2703" spans="1:10">
      <c r="A2703" s="122" t="s">
        <v>103</v>
      </c>
      <c r="B2703" s="122" t="s">
        <v>12</v>
      </c>
      <c r="C2703" s="125">
        <v>0.60486111111111107</v>
      </c>
      <c r="D2703" s="128">
        <v>0</v>
      </c>
      <c r="E2703" s="128">
        <v>0</v>
      </c>
      <c r="F2703" s="128">
        <v>0</v>
      </c>
      <c r="G2703" s="128">
        <v>0</v>
      </c>
      <c r="H2703" s="128">
        <v>0</v>
      </c>
      <c r="I2703" s="128">
        <v>0</v>
      </c>
      <c r="J2703" s="128">
        <v>0</v>
      </c>
    </row>
    <row r="2704" spans="1:10">
      <c r="A2704" s="122" t="s">
        <v>103</v>
      </c>
      <c r="B2704" s="122" t="s">
        <v>12</v>
      </c>
      <c r="C2704" s="125">
        <v>0.60555555555555596</v>
      </c>
      <c r="D2704" s="128">
        <v>0</v>
      </c>
      <c r="E2704" s="128">
        <v>0</v>
      </c>
      <c r="F2704" s="128">
        <v>0</v>
      </c>
      <c r="G2704" s="128">
        <v>0</v>
      </c>
      <c r="H2704" s="128">
        <v>0</v>
      </c>
      <c r="I2704" s="128">
        <v>0</v>
      </c>
      <c r="J2704" s="128">
        <v>0</v>
      </c>
    </row>
    <row r="2705" spans="1:10">
      <c r="A2705" s="122" t="s">
        <v>103</v>
      </c>
      <c r="B2705" s="122" t="s">
        <v>12</v>
      </c>
      <c r="C2705" s="125">
        <v>0.60624999999999996</v>
      </c>
      <c r="D2705" s="128">
        <v>0</v>
      </c>
      <c r="E2705" s="128">
        <v>0</v>
      </c>
      <c r="F2705" s="128">
        <v>0</v>
      </c>
      <c r="G2705" s="128">
        <v>0</v>
      </c>
      <c r="H2705" s="128">
        <v>0</v>
      </c>
      <c r="I2705" s="128">
        <v>0</v>
      </c>
      <c r="J2705" s="128">
        <v>0</v>
      </c>
    </row>
    <row r="2706" spans="1:10">
      <c r="A2706" s="122" t="s">
        <v>103</v>
      </c>
      <c r="B2706" s="122" t="s">
        <v>12</v>
      </c>
      <c r="C2706" s="125">
        <v>0.60694444444444395</v>
      </c>
      <c r="D2706" s="128">
        <v>0</v>
      </c>
      <c r="E2706" s="128">
        <v>0</v>
      </c>
      <c r="F2706" s="128">
        <v>0</v>
      </c>
      <c r="G2706" s="128">
        <v>0</v>
      </c>
      <c r="H2706" s="128">
        <v>0</v>
      </c>
      <c r="I2706" s="128">
        <v>0</v>
      </c>
      <c r="J2706" s="128">
        <v>0</v>
      </c>
    </row>
    <row r="2707" spans="1:10">
      <c r="A2707" s="122" t="s">
        <v>103</v>
      </c>
      <c r="B2707" s="122" t="s">
        <v>12</v>
      </c>
      <c r="C2707" s="125">
        <v>0.60763888888888895</v>
      </c>
      <c r="D2707" s="128">
        <v>0</v>
      </c>
      <c r="E2707" s="128">
        <v>0</v>
      </c>
      <c r="F2707" s="128">
        <v>0</v>
      </c>
      <c r="G2707" s="128">
        <v>0</v>
      </c>
      <c r="H2707" s="128">
        <v>0</v>
      </c>
      <c r="I2707" s="128">
        <v>0</v>
      </c>
      <c r="J2707" s="128">
        <v>0</v>
      </c>
    </row>
    <row r="2708" spans="1:10">
      <c r="A2708" s="122" t="s">
        <v>103</v>
      </c>
      <c r="B2708" s="122" t="s">
        <v>12</v>
      </c>
      <c r="C2708" s="125">
        <v>0.60833333333333295</v>
      </c>
      <c r="D2708" s="128">
        <v>0</v>
      </c>
      <c r="E2708" s="128">
        <v>0</v>
      </c>
      <c r="F2708" s="128">
        <v>0</v>
      </c>
      <c r="G2708" s="128">
        <v>0</v>
      </c>
      <c r="H2708" s="128">
        <v>0</v>
      </c>
      <c r="I2708" s="128">
        <v>0</v>
      </c>
      <c r="J2708" s="128">
        <v>0</v>
      </c>
    </row>
    <row r="2709" spans="1:10">
      <c r="A2709" s="122" t="s">
        <v>103</v>
      </c>
      <c r="B2709" s="122" t="s">
        <v>12</v>
      </c>
      <c r="C2709" s="125">
        <v>0.60902777777777795</v>
      </c>
      <c r="D2709" s="128">
        <v>0</v>
      </c>
      <c r="E2709" s="128">
        <v>0</v>
      </c>
      <c r="F2709" s="128">
        <v>0</v>
      </c>
      <c r="G2709" s="128">
        <v>0</v>
      </c>
      <c r="H2709" s="128">
        <v>0</v>
      </c>
      <c r="I2709" s="128">
        <v>0</v>
      </c>
      <c r="J2709" s="128">
        <v>0</v>
      </c>
    </row>
    <row r="2710" spans="1:10">
      <c r="A2710" s="122" t="s">
        <v>103</v>
      </c>
      <c r="B2710" s="122" t="s">
        <v>12</v>
      </c>
      <c r="C2710" s="125">
        <v>0.60972222222222205</v>
      </c>
      <c r="D2710" s="128">
        <v>0</v>
      </c>
      <c r="E2710" s="128">
        <v>0</v>
      </c>
      <c r="F2710" s="128">
        <v>0</v>
      </c>
      <c r="G2710" s="128">
        <v>0</v>
      </c>
      <c r="H2710" s="128">
        <v>0</v>
      </c>
      <c r="I2710" s="128">
        <v>0</v>
      </c>
      <c r="J2710" s="128">
        <v>0</v>
      </c>
    </row>
    <row r="2711" spans="1:10">
      <c r="A2711" s="122" t="s">
        <v>103</v>
      </c>
      <c r="B2711" s="122" t="s">
        <v>12</v>
      </c>
      <c r="C2711" s="125">
        <v>0.61041666666666705</v>
      </c>
      <c r="D2711" s="128">
        <v>0</v>
      </c>
      <c r="E2711" s="128">
        <v>0</v>
      </c>
      <c r="F2711" s="128">
        <v>0</v>
      </c>
      <c r="G2711" s="128">
        <v>0</v>
      </c>
      <c r="H2711" s="128">
        <v>0</v>
      </c>
      <c r="I2711" s="128">
        <v>0</v>
      </c>
      <c r="J2711" s="128">
        <v>0</v>
      </c>
    </row>
    <row r="2712" spans="1:10">
      <c r="A2712" s="122" t="s">
        <v>103</v>
      </c>
      <c r="B2712" s="122" t="s">
        <v>12</v>
      </c>
      <c r="C2712" s="125">
        <v>0.61111111111111105</v>
      </c>
      <c r="D2712" s="128">
        <v>0</v>
      </c>
      <c r="E2712" s="128">
        <v>0</v>
      </c>
      <c r="F2712" s="128">
        <v>0</v>
      </c>
      <c r="G2712" s="128">
        <v>0</v>
      </c>
      <c r="H2712" s="128">
        <v>0</v>
      </c>
      <c r="I2712" s="128">
        <v>0</v>
      </c>
      <c r="J2712" s="128">
        <v>0</v>
      </c>
    </row>
    <row r="2713" spans="1:10">
      <c r="A2713" s="122" t="s">
        <v>103</v>
      </c>
      <c r="B2713" s="122" t="s">
        <v>12</v>
      </c>
      <c r="C2713" s="125">
        <v>0.61180555555555505</v>
      </c>
      <c r="D2713" s="128">
        <v>0</v>
      </c>
      <c r="E2713" s="128">
        <v>0</v>
      </c>
      <c r="F2713" s="128">
        <v>0</v>
      </c>
      <c r="G2713" s="128">
        <v>0</v>
      </c>
      <c r="H2713" s="128">
        <v>0</v>
      </c>
      <c r="I2713" s="128">
        <v>0</v>
      </c>
      <c r="J2713" s="128">
        <v>0</v>
      </c>
    </row>
    <row r="2714" spans="1:10">
      <c r="A2714" s="122" t="s">
        <v>103</v>
      </c>
      <c r="B2714" s="122" t="s">
        <v>12</v>
      </c>
      <c r="C2714" s="125">
        <v>0.61250000000000004</v>
      </c>
      <c r="D2714" s="128">
        <v>0</v>
      </c>
      <c r="E2714" s="128">
        <v>0</v>
      </c>
      <c r="F2714" s="128">
        <v>0</v>
      </c>
      <c r="G2714" s="128">
        <v>0</v>
      </c>
      <c r="H2714" s="128">
        <v>0</v>
      </c>
      <c r="I2714" s="128">
        <v>0</v>
      </c>
      <c r="J2714" s="128">
        <v>0</v>
      </c>
    </row>
    <row r="2715" spans="1:10">
      <c r="A2715" s="122" t="s">
        <v>103</v>
      </c>
      <c r="B2715" s="122" t="s">
        <v>12</v>
      </c>
      <c r="C2715" s="125">
        <v>0.61319444444444404</v>
      </c>
      <c r="D2715" s="128">
        <v>0</v>
      </c>
      <c r="E2715" s="128">
        <v>0</v>
      </c>
      <c r="F2715" s="128">
        <v>0</v>
      </c>
      <c r="G2715" s="128">
        <v>0</v>
      </c>
      <c r="H2715" s="128">
        <v>0</v>
      </c>
      <c r="I2715" s="128">
        <v>0</v>
      </c>
      <c r="J2715" s="128">
        <v>0</v>
      </c>
    </row>
    <row r="2716" spans="1:10">
      <c r="A2716" s="123" t="s">
        <v>103</v>
      </c>
      <c r="B2716" s="123" t="s">
        <v>12</v>
      </c>
      <c r="C2716" s="126">
        <v>0.61388888888888904</v>
      </c>
      <c r="D2716" s="129">
        <v>0</v>
      </c>
      <c r="E2716" s="129">
        <v>0</v>
      </c>
      <c r="F2716" s="129">
        <v>0</v>
      </c>
      <c r="G2716" s="129">
        <v>0</v>
      </c>
      <c r="H2716" s="129">
        <v>0</v>
      </c>
      <c r="I2716" s="129">
        <v>0</v>
      </c>
      <c r="J2716" s="129">
        <v>0</v>
      </c>
    </row>
    <row r="2717" spans="1:10">
      <c r="A2717" s="122" t="s">
        <v>103</v>
      </c>
      <c r="B2717" s="122" t="s">
        <v>12</v>
      </c>
      <c r="C2717" s="125">
        <v>0.61458333333333304</v>
      </c>
      <c r="D2717" s="130">
        <v>0</v>
      </c>
      <c r="E2717" s="130">
        <v>0</v>
      </c>
      <c r="F2717" s="130">
        <v>0</v>
      </c>
      <c r="G2717" s="130">
        <v>0</v>
      </c>
      <c r="H2717" s="130">
        <v>0</v>
      </c>
      <c r="I2717" s="130">
        <v>0</v>
      </c>
      <c r="J2717" s="130">
        <v>0</v>
      </c>
    </row>
    <row r="2718" spans="1:10">
      <c r="A2718" s="122" t="s">
        <v>103</v>
      </c>
      <c r="B2718" s="122" t="s">
        <v>12</v>
      </c>
      <c r="C2718" s="125">
        <v>0.61527777777777803</v>
      </c>
      <c r="D2718" s="128">
        <v>0</v>
      </c>
      <c r="E2718" s="128">
        <v>0</v>
      </c>
      <c r="F2718" s="128">
        <v>0</v>
      </c>
      <c r="G2718" s="128">
        <v>0</v>
      </c>
      <c r="H2718" s="128">
        <v>0</v>
      </c>
      <c r="I2718" s="128">
        <v>0</v>
      </c>
      <c r="J2718" s="128">
        <v>0</v>
      </c>
    </row>
    <row r="2719" spans="1:10">
      <c r="A2719" s="122" t="s">
        <v>103</v>
      </c>
      <c r="B2719" s="122" t="s">
        <v>12</v>
      </c>
      <c r="C2719" s="125">
        <v>0.61597222222222203</v>
      </c>
      <c r="D2719" s="128">
        <v>0</v>
      </c>
      <c r="E2719" s="128">
        <v>0</v>
      </c>
      <c r="F2719" s="128">
        <v>0</v>
      </c>
      <c r="G2719" s="128">
        <v>0</v>
      </c>
      <c r="H2719" s="128">
        <v>0</v>
      </c>
      <c r="I2719" s="128">
        <v>0</v>
      </c>
      <c r="J2719" s="128">
        <v>0</v>
      </c>
    </row>
    <row r="2720" spans="1:10">
      <c r="A2720" s="122" t="s">
        <v>103</v>
      </c>
      <c r="B2720" s="122" t="s">
        <v>12</v>
      </c>
      <c r="C2720" s="125">
        <v>0.61666666666666703</v>
      </c>
      <c r="D2720" s="128">
        <v>0</v>
      </c>
      <c r="E2720" s="128">
        <v>0</v>
      </c>
      <c r="F2720" s="128">
        <v>0</v>
      </c>
      <c r="G2720" s="128">
        <v>0</v>
      </c>
      <c r="H2720" s="128">
        <v>0</v>
      </c>
      <c r="I2720" s="128">
        <v>0</v>
      </c>
      <c r="J2720" s="128">
        <v>0</v>
      </c>
    </row>
    <row r="2721" spans="1:10">
      <c r="A2721" s="122" t="s">
        <v>103</v>
      </c>
      <c r="B2721" s="122" t="s">
        <v>12</v>
      </c>
      <c r="C2721" s="125">
        <v>0.61736111111111103</v>
      </c>
      <c r="D2721" s="128">
        <v>0</v>
      </c>
      <c r="E2721" s="128">
        <v>0</v>
      </c>
      <c r="F2721" s="128">
        <v>0</v>
      </c>
      <c r="G2721" s="128">
        <v>0</v>
      </c>
      <c r="H2721" s="128">
        <v>0</v>
      </c>
      <c r="I2721" s="128">
        <v>0</v>
      </c>
      <c r="J2721" s="128">
        <v>0</v>
      </c>
    </row>
    <row r="2722" spans="1:10">
      <c r="A2722" s="122" t="s">
        <v>103</v>
      </c>
      <c r="B2722" s="122" t="s">
        <v>12</v>
      </c>
      <c r="C2722" s="125">
        <v>0.61805555555555503</v>
      </c>
      <c r="D2722" s="128">
        <v>0</v>
      </c>
      <c r="E2722" s="128">
        <v>0</v>
      </c>
      <c r="F2722" s="128">
        <v>0</v>
      </c>
      <c r="G2722" s="128">
        <v>0</v>
      </c>
      <c r="H2722" s="128">
        <v>0</v>
      </c>
      <c r="I2722" s="128">
        <v>0</v>
      </c>
      <c r="J2722" s="128">
        <v>0</v>
      </c>
    </row>
    <row r="2723" spans="1:10">
      <c r="A2723" s="122" t="s">
        <v>103</v>
      </c>
      <c r="B2723" s="122" t="s">
        <v>12</v>
      </c>
      <c r="C2723" s="125">
        <v>0.61875000000000002</v>
      </c>
      <c r="D2723" s="128">
        <v>0</v>
      </c>
      <c r="E2723" s="128">
        <v>0</v>
      </c>
      <c r="F2723" s="128">
        <v>0</v>
      </c>
      <c r="G2723" s="128">
        <v>0</v>
      </c>
      <c r="H2723" s="128">
        <v>0</v>
      </c>
      <c r="I2723" s="128">
        <v>0</v>
      </c>
      <c r="J2723" s="128">
        <v>0</v>
      </c>
    </row>
    <row r="2724" spans="1:10">
      <c r="A2724" s="122" t="s">
        <v>103</v>
      </c>
      <c r="B2724" s="122" t="s">
        <v>12</v>
      </c>
      <c r="C2724" s="125">
        <v>0.61944444444444402</v>
      </c>
      <c r="D2724" s="128">
        <v>0</v>
      </c>
      <c r="E2724" s="128">
        <v>0</v>
      </c>
      <c r="F2724" s="128">
        <v>0</v>
      </c>
      <c r="G2724" s="128">
        <v>0</v>
      </c>
      <c r="H2724" s="128">
        <v>0</v>
      </c>
      <c r="I2724" s="128">
        <v>0</v>
      </c>
      <c r="J2724" s="128">
        <v>0</v>
      </c>
    </row>
    <row r="2725" spans="1:10">
      <c r="A2725" s="122" t="s">
        <v>103</v>
      </c>
      <c r="B2725" s="122" t="s">
        <v>12</v>
      </c>
      <c r="C2725" s="125">
        <v>0.62013888888888902</v>
      </c>
      <c r="D2725" s="128">
        <v>0</v>
      </c>
      <c r="E2725" s="128">
        <v>0</v>
      </c>
      <c r="F2725" s="128">
        <v>0</v>
      </c>
      <c r="G2725" s="128">
        <v>0</v>
      </c>
      <c r="H2725" s="128">
        <v>0</v>
      </c>
      <c r="I2725" s="128">
        <v>0</v>
      </c>
      <c r="J2725" s="128">
        <v>0</v>
      </c>
    </row>
    <row r="2726" spans="1:10">
      <c r="A2726" s="122" t="s">
        <v>103</v>
      </c>
      <c r="B2726" s="122" t="s">
        <v>12</v>
      </c>
      <c r="C2726" s="125">
        <v>0.62083333333333302</v>
      </c>
      <c r="D2726" s="128">
        <v>0</v>
      </c>
      <c r="E2726" s="128">
        <v>0</v>
      </c>
      <c r="F2726" s="128">
        <v>0</v>
      </c>
      <c r="G2726" s="128">
        <v>0</v>
      </c>
      <c r="H2726" s="128">
        <v>0</v>
      </c>
      <c r="I2726" s="128">
        <v>0</v>
      </c>
      <c r="J2726" s="128">
        <v>0</v>
      </c>
    </row>
    <row r="2727" spans="1:10">
      <c r="A2727" s="122" t="s">
        <v>103</v>
      </c>
      <c r="B2727" s="122" t="s">
        <v>12</v>
      </c>
      <c r="C2727" s="125">
        <v>0.62152777777777801</v>
      </c>
      <c r="D2727" s="128">
        <v>0</v>
      </c>
      <c r="E2727" s="128">
        <v>0</v>
      </c>
      <c r="F2727" s="128">
        <v>0</v>
      </c>
      <c r="G2727" s="128">
        <v>0</v>
      </c>
      <c r="H2727" s="128">
        <v>0</v>
      </c>
      <c r="I2727" s="128">
        <v>0</v>
      </c>
      <c r="J2727" s="128">
        <v>0</v>
      </c>
    </row>
    <row r="2728" spans="1:10">
      <c r="A2728" s="122" t="s">
        <v>103</v>
      </c>
      <c r="B2728" s="122" t="s">
        <v>12</v>
      </c>
      <c r="C2728" s="125">
        <v>0.62222222222222201</v>
      </c>
      <c r="D2728" s="128">
        <v>0</v>
      </c>
      <c r="E2728" s="128">
        <v>0</v>
      </c>
      <c r="F2728" s="128">
        <v>0</v>
      </c>
      <c r="G2728" s="128">
        <v>0</v>
      </c>
      <c r="H2728" s="128">
        <v>0</v>
      </c>
      <c r="I2728" s="128">
        <v>0</v>
      </c>
      <c r="J2728" s="128">
        <v>0</v>
      </c>
    </row>
    <row r="2729" spans="1:10">
      <c r="A2729" s="122" t="s">
        <v>103</v>
      </c>
      <c r="B2729" s="122" t="s">
        <v>12</v>
      </c>
      <c r="C2729" s="125">
        <v>0.62291666666666701</v>
      </c>
      <c r="D2729" s="128">
        <v>0</v>
      </c>
      <c r="E2729" s="128">
        <v>0</v>
      </c>
      <c r="F2729" s="128">
        <v>0</v>
      </c>
      <c r="G2729" s="128">
        <v>0</v>
      </c>
      <c r="H2729" s="128">
        <v>0</v>
      </c>
      <c r="I2729" s="128">
        <v>0</v>
      </c>
      <c r="J2729" s="128">
        <v>0</v>
      </c>
    </row>
    <row r="2730" spans="1:10">
      <c r="A2730" s="122" t="s">
        <v>103</v>
      </c>
      <c r="B2730" s="122" t="s">
        <v>12</v>
      </c>
      <c r="C2730" s="125">
        <v>0.62361111111111101</v>
      </c>
      <c r="D2730" s="128">
        <v>0</v>
      </c>
      <c r="E2730" s="128">
        <v>0</v>
      </c>
      <c r="F2730" s="128">
        <v>0</v>
      </c>
      <c r="G2730" s="128">
        <v>0</v>
      </c>
      <c r="H2730" s="128">
        <v>0</v>
      </c>
      <c r="I2730" s="128">
        <v>0</v>
      </c>
      <c r="J2730" s="128">
        <v>0</v>
      </c>
    </row>
    <row r="2731" spans="1:10">
      <c r="A2731" s="123" t="s">
        <v>103</v>
      </c>
      <c r="B2731" s="123" t="s">
        <v>12</v>
      </c>
      <c r="C2731" s="126">
        <v>0.624305555555555</v>
      </c>
      <c r="D2731" s="129">
        <v>0</v>
      </c>
      <c r="E2731" s="129">
        <v>0</v>
      </c>
      <c r="F2731" s="129">
        <v>0</v>
      </c>
      <c r="G2731" s="129">
        <v>0</v>
      </c>
      <c r="H2731" s="129">
        <v>0</v>
      </c>
      <c r="I2731" s="129">
        <v>0</v>
      </c>
      <c r="J2731" s="129">
        <v>0</v>
      </c>
    </row>
    <row r="2732" spans="1:10">
      <c r="A2732" s="122" t="s">
        <v>103</v>
      </c>
      <c r="B2732" s="122" t="s">
        <v>12</v>
      </c>
      <c r="C2732" s="125">
        <v>0.625</v>
      </c>
      <c r="D2732" s="130">
        <v>0</v>
      </c>
      <c r="E2732" s="130">
        <v>0</v>
      </c>
      <c r="F2732" s="130">
        <v>0</v>
      </c>
      <c r="G2732" s="130">
        <v>0</v>
      </c>
      <c r="H2732" s="130">
        <v>0</v>
      </c>
      <c r="I2732" s="130">
        <v>0</v>
      </c>
      <c r="J2732" s="130">
        <v>0</v>
      </c>
    </row>
    <row r="2733" spans="1:10">
      <c r="A2733" s="122" t="s">
        <v>103</v>
      </c>
      <c r="B2733" s="122" t="s">
        <v>12</v>
      </c>
      <c r="C2733" s="125">
        <v>0.625694444444444</v>
      </c>
      <c r="D2733" s="128">
        <v>0</v>
      </c>
      <c r="E2733" s="128">
        <v>0</v>
      </c>
      <c r="F2733" s="128">
        <v>0</v>
      </c>
      <c r="G2733" s="128">
        <v>0</v>
      </c>
      <c r="H2733" s="128">
        <v>0</v>
      </c>
      <c r="I2733" s="128">
        <v>0</v>
      </c>
      <c r="J2733" s="128">
        <v>0</v>
      </c>
    </row>
    <row r="2734" spans="1:10">
      <c r="A2734" s="122" t="s">
        <v>103</v>
      </c>
      <c r="B2734" s="122" t="s">
        <v>12</v>
      </c>
      <c r="C2734" s="125">
        <v>0.62638888888888899</v>
      </c>
      <c r="D2734" s="128">
        <v>0</v>
      </c>
      <c r="E2734" s="128">
        <v>0</v>
      </c>
      <c r="F2734" s="128">
        <v>0</v>
      </c>
      <c r="G2734" s="128">
        <v>0</v>
      </c>
      <c r="H2734" s="128">
        <v>0</v>
      </c>
      <c r="I2734" s="128">
        <v>0</v>
      </c>
      <c r="J2734" s="128">
        <v>0</v>
      </c>
    </row>
    <row r="2735" spans="1:10">
      <c r="A2735" s="122" t="s">
        <v>103</v>
      </c>
      <c r="B2735" s="122" t="s">
        <v>12</v>
      </c>
      <c r="C2735" s="125">
        <v>0.62708333333333299</v>
      </c>
      <c r="D2735" s="128">
        <v>0</v>
      </c>
      <c r="E2735" s="128">
        <v>0</v>
      </c>
      <c r="F2735" s="128">
        <v>0</v>
      </c>
      <c r="G2735" s="128">
        <v>0</v>
      </c>
      <c r="H2735" s="128">
        <v>0</v>
      </c>
      <c r="I2735" s="128">
        <v>0</v>
      </c>
      <c r="J2735" s="128">
        <v>0</v>
      </c>
    </row>
    <row r="2736" spans="1:10">
      <c r="A2736" s="122" t="s">
        <v>103</v>
      </c>
      <c r="B2736" s="122" t="s">
        <v>12</v>
      </c>
      <c r="C2736" s="125">
        <v>0.62777777777777799</v>
      </c>
      <c r="D2736" s="128">
        <v>0</v>
      </c>
      <c r="E2736" s="128">
        <v>0</v>
      </c>
      <c r="F2736" s="128">
        <v>0</v>
      </c>
      <c r="G2736" s="128">
        <v>0</v>
      </c>
      <c r="H2736" s="128">
        <v>0</v>
      </c>
      <c r="I2736" s="128">
        <v>0</v>
      </c>
      <c r="J2736" s="128">
        <v>0</v>
      </c>
    </row>
    <row r="2737" spans="1:10">
      <c r="A2737" s="122" t="s">
        <v>103</v>
      </c>
      <c r="B2737" s="122" t="s">
        <v>12</v>
      </c>
      <c r="C2737" s="125">
        <v>0.62847222222222199</v>
      </c>
      <c r="D2737" s="128">
        <v>0</v>
      </c>
      <c r="E2737" s="128">
        <v>0</v>
      </c>
      <c r="F2737" s="128">
        <v>0</v>
      </c>
      <c r="G2737" s="128">
        <v>0</v>
      </c>
      <c r="H2737" s="128">
        <v>0</v>
      </c>
      <c r="I2737" s="128">
        <v>0</v>
      </c>
      <c r="J2737" s="128">
        <v>0</v>
      </c>
    </row>
    <row r="2738" spans="1:10">
      <c r="A2738" s="122" t="s">
        <v>103</v>
      </c>
      <c r="B2738" s="122" t="s">
        <v>12</v>
      </c>
      <c r="C2738" s="125">
        <v>0.62916666666666698</v>
      </c>
      <c r="D2738" s="128">
        <v>0</v>
      </c>
      <c r="E2738" s="128">
        <v>0</v>
      </c>
      <c r="F2738" s="128">
        <v>0</v>
      </c>
      <c r="G2738" s="128">
        <v>0</v>
      </c>
      <c r="H2738" s="128">
        <v>0</v>
      </c>
      <c r="I2738" s="128">
        <v>0</v>
      </c>
      <c r="J2738" s="128">
        <v>0</v>
      </c>
    </row>
    <row r="2739" spans="1:10">
      <c r="A2739" s="122" t="s">
        <v>103</v>
      </c>
      <c r="B2739" s="122" t="s">
        <v>12</v>
      </c>
      <c r="C2739" s="125">
        <v>0.62986111111111098</v>
      </c>
      <c r="D2739" s="128">
        <v>0</v>
      </c>
      <c r="E2739" s="128">
        <v>0</v>
      </c>
      <c r="F2739" s="128">
        <v>0</v>
      </c>
      <c r="G2739" s="128">
        <v>0</v>
      </c>
      <c r="H2739" s="128">
        <v>0</v>
      </c>
      <c r="I2739" s="128">
        <v>0</v>
      </c>
      <c r="J2739" s="128">
        <v>0</v>
      </c>
    </row>
    <row r="2740" spans="1:10">
      <c r="A2740" s="122" t="s">
        <v>103</v>
      </c>
      <c r="B2740" s="122" t="s">
        <v>12</v>
      </c>
      <c r="C2740" s="125">
        <v>0.63055555555555498</v>
      </c>
      <c r="D2740" s="128">
        <v>0</v>
      </c>
      <c r="E2740" s="128">
        <v>0</v>
      </c>
      <c r="F2740" s="128">
        <v>0</v>
      </c>
      <c r="G2740" s="128">
        <v>0</v>
      </c>
      <c r="H2740" s="128">
        <v>0</v>
      </c>
      <c r="I2740" s="128">
        <v>0</v>
      </c>
      <c r="J2740" s="128">
        <v>0</v>
      </c>
    </row>
    <row r="2741" spans="1:10">
      <c r="A2741" s="122" t="s">
        <v>103</v>
      </c>
      <c r="B2741" s="122" t="s">
        <v>12</v>
      </c>
      <c r="C2741" s="125">
        <v>0.63124999999999998</v>
      </c>
      <c r="D2741" s="128">
        <v>0</v>
      </c>
      <c r="E2741" s="128">
        <v>0</v>
      </c>
      <c r="F2741" s="128">
        <v>0</v>
      </c>
      <c r="G2741" s="128">
        <v>0</v>
      </c>
      <c r="H2741" s="128">
        <v>0</v>
      </c>
      <c r="I2741" s="128">
        <v>0</v>
      </c>
      <c r="J2741" s="128">
        <v>0</v>
      </c>
    </row>
    <row r="2742" spans="1:10">
      <c r="A2742" s="122" t="s">
        <v>103</v>
      </c>
      <c r="B2742" s="122" t="s">
        <v>12</v>
      </c>
      <c r="C2742" s="125">
        <v>0.63194444444444398</v>
      </c>
      <c r="D2742" s="128">
        <v>0</v>
      </c>
      <c r="E2742" s="128">
        <v>0</v>
      </c>
      <c r="F2742" s="128">
        <v>0</v>
      </c>
      <c r="G2742" s="128">
        <v>0</v>
      </c>
      <c r="H2742" s="128">
        <v>0</v>
      </c>
      <c r="I2742" s="128">
        <v>0</v>
      </c>
      <c r="J2742" s="128">
        <v>0</v>
      </c>
    </row>
    <row r="2743" spans="1:10">
      <c r="A2743" s="122" t="s">
        <v>103</v>
      </c>
      <c r="B2743" s="122" t="s">
        <v>12</v>
      </c>
      <c r="C2743" s="125">
        <v>0.63263888888888897</v>
      </c>
      <c r="D2743" s="128">
        <v>0</v>
      </c>
      <c r="E2743" s="128">
        <v>0</v>
      </c>
      <c r="F2743" s="128">
        <v>0</v>
      </c>
      <c r="G2743" s="128">
        <v>0</v>
      </c>
      <c r="H2743" s="128">
        <v>0</v>
      </c>
      <c r="I2743" s="128">
        <v>0</v>
      </c>
      <c r="J2743" s="128">
        <v>0</v>
      </c>
    </row>
    <row r="2744" spans="1:10">
      <c r="A2744" s="122" t="s">
        <v>103</v>
      </c>
      <c r="B2744" s="122" t="s">
        <v>12</v>
      </c>
      <c r="C2744" s="125">
        <v>0.63333333333333297</v>
      </c>
      <c r="D2744" s="128">
        <v>0</v>
      </c>
      <c r="E2744" s="128">
        <v>0</v>
      </c>
      <c r="F2744" s="128">
        <v>0</v>
      </c>
      <c r="G2744" s="128">
        <v>0</v>
      </c>
      <c r="H2744" s="128">
        <v>0</v>
      </c>
      <c r="I2744" s="128">
        <v>0</v>
      </c>
      <c r="J2744" s="128">
        <v>0</v>
      </c>
    </row>
    <row r="2745" spans="1:10">
      <c r="A2745" s="122" t="s">
        <v>103</v>
      </c>
      <c r="B2745" s="122" t="s">
        <v>12</v>
      </c>
      <c r="C2745" s="125">
        <v>0.63402777777777797</v>
      </c>
      <c r="D2745" s="128">
        <v>0</v>
      </c>
      <c r="E2745" s="128">
        <v>0</v>
      </c>
      <c r="F2745" s="128">
        <v>0</v>
      </c>
      <c r="G2745" s="128">
        <v>0</v>
      </c>
      <c r="H2745" s="128">
        <v>0</v>
      </c>
      <c r="I2745" s="128">
        <v>0</v>
      </c>
      <c r="J2745" s="128">
        <v>0</v>
      </c>
    </row>
    <row r="2746" spans="1:10">
      <c r="A2746" s="123" t="s">
        <v>103</v>
      </c>
      <c r="B2746" s="123" t="s">
        <v>12</v>
      </c>
      <c r="C2746" s="126">
        <v>0.63472222222222197</v>
      </c>
      <c r="D2746" s="129">
        <v>0</v>
      </c>
      <c r="E2746" s="129">
        <v>0</v>
      </c>
      <c r="F2746" s="129">
        <v>0</v>
      </c>
      <c r="G2746" s="129">
        <v>0</v>
      </c>
      <c r="H2746" s="129">
        <v>0</v>
      </c>
      <c r="I2746" s="129">
        <v>0</v>
      </c>
      <c r="J2746" s="129">
        <v>0</v>
      </c>
    </row>
    <row r="2747" spans="1:10">
      <c r="A2747" s="122" t="s">
        <v>103</v>
      </c>
      <c r="B2747" s="122" t="s">
        <v>12</v>
      </c>
      <c r="C2747" s="125">
        <v>0.63541666666666696</v>
      </c>
      <c r="D2747" s="130">
        <v>0</v>
      </c>
      <c r="E2747" s="130">
        <v>0</v>
      </c>
      <c r="F2747" s="130">
        <v>0</v>
      </c>
      <c r="G2747" s="130">
        <v>0</v>
      </c>
      <c r="H2747" s="130">
        <v>0</v>
      </c>
      <c r="I2747" s="130">
        <v>0</v>
      </c>
      <c r="J2747" s="130">
        <v>0</v>
      </c>
    </row>
    <row r="2748" spans="1:10">
      <c r="A2748" s="122" t="s">
        <v>103</v>
      </c>
      <c r="B2748" s="122" t="s">
        <v>12</v>
      </c>
      <c r="C2748" s="125">
        <v>0.63611111111111096</v>
      </c>
      <c r="D2748" s="128">
        <v>0</v>
      </c>
      <c r="E2748" s="128">
        <v>0</v>
      </c>
      <c r="F2748" s="128">
        <v>0</v>
      </c>
      <c r="G2748" s="128">
        <v>0</v>
      </c>
      <c r="H2748" s="128">
        <v>0</v>
      </c>
      <c r="I2748" s="128">
        <v>0</v>
      </c>
      <c r="J2748" s="128">
        <v>0</v>
      </c>
    </row>
    <row r="2749" spans="1:10">
      <c r="A2749" s="122" t="s">
        <v>103</v>
      </c>
      <c r="B2749" s="122" t="s">
        <v>12</v>
      </c>
      <c r="C2749" s="125">
        <v>0.63680555555555496</v>
      </c>
      <c r="D2749" s="128">
        <v>0</v>
      </c>
      <c r="E2749" s="128">
        <v>0</v>
      </c>
      <c r="F2749" s="128">
        <v>0</v>
      </c>
      <c r="G2749" s="128">
        <v>0</v>
      </c>
      <c r="H2749" s="128">
        <v>0</v>
      </c>
      <c r="I2749" s="128">
        <v>0</v>
      </c>
      <c r="J2749" s="128">
        <v>0</v>
      </c>
    </row>
    <row r="2750" spans="1:10">
      <c r="A2750" s="122" t="s">
        <v>103</v>
      </c>
      <c r="B2750" s="122" t="s">
        <v>12</v>
      </c>
      <c r="C2750" s="125">
        <v>0.63749999999999996</v>
      </c>
      <c r="D2750" s="128">
        <v>0</v>
      </c>
      <c r="E2750" s="128">
        <v>0</v>
      </c>
      <c r="F2750" s="128">
        <v>0</v>
      </c>
      <c r="G2750" s="128">
        <v>0</v>
      </c>
      <c r="H2750" s="128">
        <v>0</v>
      </c>
      <c r="I2750" s="128">
        <v>0</v>
      </c>
      <c r="J2750" s="128">
        <v>0</v>
      </c>
    </row>
    <row r="2751" spans="1:10">
      <c r="A2751" s="122" t="s">
        <v>103</v>
      </c>
      <c r="B2751" s="122" t="s">
        <v>12</v>
      </c>
      <c r="C2751" s="125">
        <v>0.63819444444444395</v>
      </c>
      <c r="D2751" s="128">
        <v>0</v>
      </c>
      <c r="E2751" s="128">
        <v>0</v>
      </c>
      <c r="F2751" s="128">
        <v>0</v>
      </c>
      <c r="G2751" s="128">
        <v>0</v>
      </c>
      <c r="H2751" s="128">
        <v>0</v>
      </c>
      <c r="I2751" s="128">
        <v>0</v>
      </c>
      <c r="J2751" s="128">
        <v>0</v>
      </c>
    </row>
    <row r="2752" spans="1:10">
      <c r="A2752" s="122" t="s">
        <v>103</v>
      </c>
      <c r="B2752" s="122" t="s">
        <v>12</v>
      </c>
      <c r="C2752" s="125">
        <v>0.63888888888888895</v>
      </c>
      <c r="D2752" s="128">
        <v>0</v>
      </c>
      <c r="E2752" s="128">
        <v>0</v>
      </c>
      <c r="F2752" s="128">
        <v>0</v>
      </c>
      <c r="G2752" s="128">
        <v>0</v>
      </c>
      <c r="H2752" s="128">
        <v>0</v>
      </c>
      <c r="I2752" s="128">
        <v>0</v>
      </c>
      <c r="J2752" s="128">
        <v>0</v>
      </c>
    </row>
    <row r="2753" spans="1:10">
      <c r="A2753" s="122" t="s">
        <v>103</v>
      </c>
      <c r="B2753" s="122" t="s">
        <v>12</v>
      </c>
      <c r="C2753" s="125">
        <v>0.63958333333333295</v>
      </c>
      <c r="D2753" s="128">
        <v>0</v>
      </c>
      <c r="E2753" s="128">
        <v>0</v>
      </c>
      <c r="F2753" s="128">
        <v>0</v>
      </c>
      <c r="G2753" s="128">
        <v>0</v>
      </c>
      <c r="H2753" s="128">
        <v>0</v>
      </c>
      <c r="I2753" s="128">
        <v>0</v>
      </c>
      <c r="J2753" s="128">
        <v>0</v>
      </c>
    </row>
    <row r="2754" spans="1:10">
      <c r="A2754" s="122" t="s">
        <v>103</v>
      </c>
      <c r="B2754" s="122" t="s">
        <v>12</v>
      </c>
      <c r="C2754" s="125">
        <v>0.64027777777777795</v>
      </c>
      <c r="D2754" s="128">
        <v>0</v>
      </c>
      <c r="E2754" s="128">
        <v>0</v>
      </c>
      <c r="F2754" s="128">
        <v>0</v>
      </c>
      <c r="G2754" s="128">
        <v>0</v>
      </c>
      <c r="H2754" s="128">
        <v>0</v>
      </c>
      <c r="I2754" s="128">
        <v>0</v>
      </c>
      <c r="J2754" s="128">
        <v>0</v>
      </c>
    </row>
    <row r="2755" spans="1:10">
      <c r="A2755" s="122" t="s">
        <v>103</v>
      </c>
      <c r="B2755" s="122" t="s">
        <v>12</v>
      </c>
      <c r="C2755" s="125">
        <v>0.64097222222222205</v>
      </c>
      <c r="D2755" s="128">
        <v>0</v>
      </c>
      <c r="E2755" s="128">
        <v>0</v>
      </c>
      <c r="F2755" s="128">
        <v>0</v>
      </c>
      <c r="G2755" s="128">
        <v>0</v>
      </c>
      <c r="H2755" s="128">
        <v>0</v>
      </c>
      <c r="I2755" s="128">
        <v>0</v>
      </c>
      <c r="J2755" s="128">
        <v>0</v>
      </c>
    </row>
    <row r="2756" spans="1:10">
      <c r="A2756" s="122" t="s">
        <v>103</v>
      </c>
      <c r="B2756" s="122" t="s">
        <v>12</v>
      </c>
      <c r="C2756" s="125">
        <v>0.64166666666666605</v>
      </c>
      <c r="D2756" s="128">
        <v>0</v>
      </c>
      <c r="E2756" s="128">
        <v>0</v>
      </c>
      <c r="F2756" s="128">
        <v>0</v>
      </c>
      <c r="G2756" s="128">
        <v>0</v>
      </c>
      <c r="H2756" s="128">
        <v>0</v>
      </c>
      <c r="I2756" s="128">
        <v>0</v>
      </c>
      <c r="J2756" s="128">
        <v>0</v>
      </c>
    </row>
    <row r="2757" spans="1:10">
      <c r="A2757" s="122" t="s">
        <v>103</v>
      </c>
      <c r="B2757" s="122" t="s">
        <v>12</v>
      </c>
      <c r="C2757" s="125">
        <v>0.64236111111111105</v>
      </c>
      <c r="D2757" s="128">
        <v>0</v>
      </c>
      <c r="E2757" s="128">
        <v>0</v>
      </c>
      <c r="F2757" s="128">
        <v>0</v>
      </c>
      <c r="G2757" s="128">
        <v>0</v>
      </c>
      <c r="H2757" s="128">
        <v>0</v>
      </c>
      <c r="I2757" s="128">
        <v>0</v>
      </c>
      <c r="J2757" s="128">
        <v>0</v>
      </c>
    </row>
    <row r="2758" spans="1:10">
      <c r="A2758" s="122" t="s">
        <v>103</v>
      </c>
      <c r="B2758" s="122" t="s">
        <v>12</v>
      </c>
      <c r="C2758" s="125">
        <v>0.64305555555555505</v>
      </c>
      <c r="D2758" s="128">
        <v>0</v>
      </c>
      <c r="E2758" s="128">
        <v>0</v>
      </c>
      <c r="F2758" s="128">
        <v>0</v>
      </c>
      <c r="G2758" s="128">
        <v>0</v>
      </c>
      <c r="H2758" s="128">
        <v>0</v>
      </c>
      <c r="I2758" s="128">
        <v>0</v>
      </c>
      <c r="J2758" s="128">
        <v>0</v>
      </c>
    </row>
    <row r="2759" spans="1:10">
      <c r="A2759" s="122" t="s">
        <v>103</v>
      </c>
      <c r="B2759" s="122" t="s">
        <v>12</v>
      </c>
      <c r="C2759" s="125">
        <v>0.64375000000000004</v>
      </c>
      <c r="D2759" s="128">
        <v>0</v>
      </c>
      <c r="E2759" s="128">
        <v>0</v>
      </c>
      <c r="F2759" s="128">
        <v>0</v>
      </c>
      <c r="G2759" s="128">
        <v>0</v>
      </c>
      <c r="H2759" s="128">
        <v>0</v>
      </c>
      <c r="I2759" s="128">
        <v>0</v>
      </c>
      <c r="J2759" s="128">
        <v>0</v>
      </c>
    </row>
    <row r="2760" spans="1:10">
      <c r="A2760" s="122" t="s">
        <v>103</v>
      </c>
      <c r="B2760" s="122" t="s">
        <v>12</v>
      </c>
      <c r="C2760" s="125">
        <v>0.64444444444444404</v>
      </c>
      <c r="D2760" s="128">
        <v>0</v>
      </c>
      <c r="E2760" s="128">
        <v>0</v>
      </c>
      <c r="F2760" s="128">
        <v>0</v>
      </c>
      <c r="G2760" s="128">
        <v>0</v>
      </c>
      <c r="H2760" s="128">
        <v>0</v>
      </c>
      <c r="I2760" s="128">
        <v>0</v>
      </c>
      <c r="J2760" s="128">
        <v>0</v>
      </c>
    </row>
    <row r="2761" spans="1:10" ht="17.5" thickBot="1">
      <c r="A2761" s="124" t="s">
        <v>103</v>
      </c>
      <c r="B2761" s="124" t="s">
        <v>12</v>
      </c>
      <c r="C2761" s="127">
        <v>0.64513888888888904</v>
      </c>
      <c r="D2761" s="131">
        <v>0</v>
      </c>
      <c r="E2761" s="131">
        <v>0</v>
      </c>
      <c r="F2761" s="131">
        <v>0</v>
      </c>
      <c r="G2761" s="131">
        <v>0</v>
      </c>
      <c r="H2761" s="131">
        <v>0</v>
      </c>
      <c r="I2761" s="131">
        <v>0</v>
      </c>
      <c r="J2761" s="131">
        <v>0</v>
      </c>
    </row>
    <row r="2762" spans="1:10">
      <c r="A2762" s="122" t="s">
        <v>103</v>
      </c>
      <c r="B2762" s="122" t="s">
        <v>13</v>
      </c>
      <c r="C2762" s="125">
        <v>0.60416666666666663</v>
      </c>
      <c r="D2762" s="132">
        <v>0</v>
      </c>
      <c r="E2762" s="132">
        <v>0</v>
      </c>
      <c r="F2762" s="132">
        <v>0</v>
      </c>
      <c r="G2762" s="132">
        <v>0</v>
      </c>
      <c r="H2762" s="132">
        <v>0</v>
      </c>
      <c r="I2762" s="132">
        <v>0</v>
      </c>
      <c r="J2762" s="132">
        <v>0</v>
      </c>
    </row>
    <row r="2763" spans="1:10">
      <c r="A2763" s="122" t="s">
        <v>103</v>
      </c>
      <c r="B2763" s="122" t="s">
        <v>13</v>
      </c>
      <c r="C2763" s="125">
        <v>0.60486111111111107</v>
      </c>
      <c r="D2763" s="128">
        <v>0</v>
      </c>
      <c r="E2763" s="128">
        <v>0</v>
      </c>
      <c r="F2763" s="128">
        <v>0</v>
      </c>
      <c r="G2763" s="128">
        <v>0</v>
      </c>
      <c r="H2763" s="128">
        <v>0</v>
      </c>
      <c r="I2763" s="128">
        <v>0</v>
      </c>
      <c r="J2763" s="128">
        <v>0</v>
      </c>
    </row>
    <row r="2764" spans="1:10">
      <c r="A2764" s="122" t="s">
        <v>103</v>
      </c>
      <c r="B2764" s="122" t="s">
        <v>13</v>
      </c>
      <c r="C2764" s="125">
        <v>0.60555555555555596</v>
      </c>
      <c r="D2764" s="128">
        <v>0</v>
      </c>
      <c r="E2764" s="128">
        <v>0</v>
      </c>
      <c r="F2764" s="128">
        <v>0</v>
      </c>
      <c r="G2764" s="128">
        <v>0</v>
      </c>
      <c r="H2764" s="128">
        <v>0</v>
      </c>
      <c r="I2764" s="128">
        <v>0</v>
      </c>
      <c r="J2764" s="128">
        <v>0</v>
      </c>
    </row>
    <row r="2765" spans="1:10">
      <c r="A2765" s="122" t="s">
        <v>103</v>
      </c>
      <c r="B2765" s="122" t="s">
        <v>13</v>
      </c>
      <c r="C2765" s="125">
        <v>0.60624999999999996</v>
      </c>
      <c r="D2765" s="128">
        <v>0</v>
      </c>
      <c r="E2765" s="128">
        <v>0</v>
      </c>
      <c r="F2765" s="128">
        <v>0</v>
      </c>
      <c r="G2765" s="128">
        <v>0</v>
      </c>
      <c r="H2765" s="128">
        <v>0</v>
      </c>
      <c r="I2765" s="128">
        <v>0</v>
      </c>
      <c r="J2765" s="128">
        <v>0</v>
      </c>
    </row>
    <row r="2766" spans="1:10">
      <c r="A2766" s="122" t="s">
        <v>103</v>
      </c>
      <c r="B2766" s="122" t="s">
        <v>13</v>
      </c>
      <c r="C2766" s="125">
        <v>0.60694444444444395</v>
      </c>
      <c r="D2766" s="128">
        <v>0</v>
      </c>
      <c r="E2766" s="128">
        <v>0</v>
      </c>
      <c r="F2766" s="128">
        <v>0</v>
      </c>
      <c r="G2766" s="128">
        <v>0</v>
      </c>
      <c r="H2766" s="128">
        <v>0</v>
      </c>
      <c r="I2766" s="128">
        <v>0</v>
      </c>
      <c r="J2766" s="128">
        <v>0</v>
      </c>
    </row>
    <row r="2767" spans="1:10">
      <c r="A2767" s="122" t="s">
        <v>103</v>
      </c>
      <c r="B2767" s="122" t="s">
        <v>13</v>
      </c>
      <c r="C2767" s="125">
        <v>0.60763888888888895</v>
      </c>
      <c r="D2767" s="128">
        <v>0</v>
      </c>
      <c r="E2767" s="128">
        <v>0</v>
      </c>
      <c r="F2767" s="128">
        <v>0</v>
      </c>
      <c r="G2767" s="128">
        <v>0</v>
      </c>
      <c r="H2767" s="128">
        <v>0</v>
      </c>
      <c r="I2767" s="128">
        <v>0</v>
      </c>
      <c r="J2767" s="128">
        <v>0</v>
      </c>
    </row>
    <row r="2768" spans="1:10">
      <c r="A2768" s="122" t="s">
        <v>103</v>
      </c>
      <c r="B2768" s="122" t="s">
        <v>13</v>
      </c>
      <c r="C2768" s="125">
        <v>0.60833333333333295</v>
      </c>
      <c r="D2768" s="128">
        <v>0</v>
      </c>
      <c r="E2768" s="128">
        <v>0</v>
      </c>
      <c r="F2768" s="128">
        <v>0</v>
      </c>
      <c r="G2768" s="128">
        <v>0</v>
      </c>
      <c r="H2768" s="128">
        <v>0</v>
      </c>
      <c r="I2768" s="128">
        <v>0</v>
      </c>
      <c r="J2768" s="128">
        <v>0</v>
      </c>
    </row>
    <row r="2769" spans="1:10">
      <c r="A2769" s="122" t="s">
        <v>103</v>
      </c>
      <c r="B2769" s="122" t="s">
        <v>13</v>
      </c>
      <c r="C2769" s="125">
        <v>0.60902777777777795</v>
      </c>
      <c r="D2769" s="128">
        <v>0</v>
      </c>
      <c r="E2769" s="128">
        <v>0</v>
      </c>
      <c r="F2769" s="128">
        <v>0</v>
      </c>
      <c r="G2769" s="128">
        <v>0</v>
      </c>
      <c r="H2769" s="128">
        <v>0</v>
      </c>
      <c r="I2769" s="128">
        <v>0</v>
      </c>
      <c r="J2769" s="128">
        <v>0</v>
      </c>
    </row>
    <row r="2770" spans="1:10">
      <c r="A2770" s="122" t="s">
        <v>103</v>
      </c>
      <c r="B2770" s="122" t="s">
        <v>13</v>
      </c>
      <c r="C2770" s="125">
        <v>0.60972222222222205</v>
      </c>
      <c r="D2770" s="128">
        <v>0</v>
      </c>
      <c r="E2770" s="128">
        <v>0</v>
      </c>
      <c r="F2770" s="128">
        <v>0</v>
      </c>
      <c r="G2770" s="128">
        <v>0</v>
      </c>
      <c r="H2770" s="128">
        <v>0</v>
      </c>
      <c r="I2770" s="128">
        <v>0</v>
      </c>
      <c r="J2770" s="128">
        <v>0</v>
      </c>
    </row>
    <row r="2771" spans="1:10">
      <c r="A2771" s="122" t="s">
        <v>103</v>
      </c>
      <c r="B2771" s="122" t="s">
        <v>13</v>
      </c>
      <c r="C2771" s="125">
        <v>0.61041666666666705</v>
      </c>
      <c r="D2771" s="128">
        <v>0</v>
      </c>
      <c r="E2771" s="128">
        <v>0</v>
      </c>
      <c r="F2771" s="128">
        <v>0</v>
      </c>
      <c r="G2771" s="128">
        <v>0</v>
      </c>
      <c r="H2771" s="128">
        <v>0</v>
      </c>
      <c r="I2771" s="128">
        <v>0</v>
      </c>
      <c r="J2771" s="128">
        <v>0</v>
      </c>
    </row>
    <row r="2772" spans="1:10">
      <c r="A2772" s="122" t="s">
        <v>103</v>
      </c>
      <c r="B2772" s="122" t="s">
        <v>13</v>
      </c>
      <c r="C2772" s="125">
        <v>0.61111111111111105</v>
      </c>
      <c r="D2772" s="128">
        <v>0</v>
      </c>
      <c r="E2772" s="128">
        <v>0</v>
      </c>
      <c r="F2772" s="128">
        <v>0</v>
      </c>
      <c r="G2772" s="128">
        <v>0</v>
      </c>
      <c r="H2772" s="128">
        <v>0</v>
      </c>
      <c r="I2772" s="128">
        <v>0</v>
      </c>
      <c r="J2772" s="128">
        <v>0</v>
      </c>
    </row>
    <row r="2773" spans="1:10">
      <c r="A2773" s="122" t="s">
        <v>103</v>
      </c>
      <c r="B2773" s="122" t="s">
        <v>13</v>
      </c>
      <c r="C2773" s="125">
        <v>0.61180555555555505</v>
      </c>
      <c r="D2773" s="128">
        <v>0</v>
      </c>
      <c r="E2773" s="128">
        <v>0</v>
      </c>
      <c r="F2773" s="128">
        <v>0</v>
      </c>
      <c r="G2773" s="128">
        <v>0</v>
      </c>
      <c r="H2773" s="128">
        <v>0</v>
      </c>
      <c r="I2773" s="128">
        <v>0</v>
      </c>
      <c r="J2773" s="128">
        <v>0</v>
      </c>
    </row>
    <row r="2774" spans="1:10">
      <c r="A2774" s="122" t="s">
        <v>103</v>
      </c>
      <c r="B2774" s="122" t="s">
        <v>13</v>
      </c>
      <c r="C2774" s="125">
        <v>0.61250000000000004</v>
      </c>
      <c r="D2774" s="128">
        <v>0</v>
      </c>
      <c r="E2774" s="128">
        <v>0</v>
      </c>
      <c r="F2774" s="128">
        <v>0</v>
      </c>
      <c r="G2774" s="128">
        <v>0</v>
      </c>
      <c r="H2774" s="128">
        <v>0</v>
      </c>
      <c r="I2774" s="128">
        <v>0</v>
      </c>
      <c r="J2774" s="128">
        <v>0</v>
      </c>
    </row>
    <row r="2775" spans="1:10">
      <c r="A2775" s="122" t="s">
        <v>103</v>
      </c>
      <c r="B2775" s="122" t="s">
        <v>13</v>
      </c>
      <c r="C2775" s="125">
        <v>0.61319444444444404</v>
      </c>
      <c r="D2775" s="128">
        <v>0</v>
      </c>
      <c r="E2775" s="128">
        <v>0</v>
      </c>
      <c r="F2775" s="128">
        <v>0</v>
      </c>
      <c r="G2775" s="128">
        <v>0</v>
      </c>
      <c r="H2775" s="128">
        <v>0</v>
      </c>
      <c r="I2775" s="128">
        <v>0</v>
      </c>
      <c r="J2775" s="128">
        <v>0</v>
      </c>
    </row>
    <row r="2776" spans="1:10">
      <c r="A2776" s="123" t="s">
        <v>103</v>
      </c>
      <c r="B2776" s="123" t="s">
        <v>13</v>
      </c>
      <c r="C2776" s="126">
        <v>0.61388888888888904</v>
      </c>
      <c r="D2776" s="129">
        <v>0</v>
      </c>
      <c r="E2776" s="129">
        <v>0</v>
      </c>
      <c r="F2776" s="129">
        <v>0</v>
      </c>
      <c r="G2776" s="129">
        <v>0</v>
      </c>
      <c r="H2776" s="129">
        <v>0</v>
      </c>
      <c r="I2776" s="129">
        <v>0</v>
      </c>
      <c r="J2776" s="129">
        <v>0</v>
      </c>
    </row>
    <row r="2777" spans="1:10">
      <c r="A2777" s="122" t="s">
        <v>103</v>
      </c>
      <c r="B2777" s="122" t="s">
        <v>13</v>
      </c>
      <c r="C2777" s="125">
        <v>0.61458333333333304</v>
      </c>
      <c r="D2777" s="130">
        <v>0</v>
      </c>
      <c r="E2777" s="130">
        <v>0</v>
      </c>
      <c r="F2777" s="130">
        <v>0</v>
      </c>
      <c r="G2777" s="130">
        <v>0</v>
      </c>
      <c r="H2777" s="130">
        <v>0</v>
      </c>
      <c r="I2777" s="130">
        <v>0</v>
      </c>
      <c r="J2777" s="130">
        <v>0</v>
      </c>
    </row>
    <row r="2778" spans="1:10">
      <c r="A2778" s="122" t="s">
        <v>103</v>
      </c>
      <c r="B2778" s="122" t="s">
        <v>13</v>
      </c>
      <c r="C2778" s="125">
        <v>0.61527777777777803</v>
      </c>
      <c r="D2778" s="128">
        <v>0</v>
      </c>
      <c r="E2778" s="128">
        <v>0</v>
      </c>
      <c r="F2778" s="128">
        <v>0</v>
      </c>
      <c r="G2778" s="128">
        <v>0</v>
      </c>
      <c r="H2778" s="128">
        <v>0</v>
      </c>
      <c r="I2778" s="128">
        <v>0</v>
      </c>
      <c r="J2778" s="128">
        <v>0</v>
      </c>
    </row>
    <row r="2779" spans="1:10">
      <c r="A2779" s="122" t="s">
        <v>103</v>
      </c>
      <c r="B2779" s="122" t="s">
        <v>13</v>
      </c>
      <c r="C2779" s="125">
        <v>0.61597222222222203</v>
      </c>
      <c r="D2779" s="128">
        <v>0</v>
      </c>
      <c r="E2779" s="128">
        <v>0</v>
      </c>
      <c r="F2779" s="128">
        <v>0</v>
      </c>
      <c r="G2779" s="128">
        <v>0</v>
      </c>
      <c r="H2779" s="128">
        <v>0</v>
      </c>
      <c r="I2779" s="128">
        <v>0</v>
      </c>
      <c r="J2779" s="128">
        <v>0</v>
      </c>
    </row>
    <row r="2780" spans="1:10">
      <c r="A2780" s="122" t="s">
        <v>103</v>
      </c>
      <c r="B2780" s="122" t="s">
        <v>13</v>
      </c>
      <c r="C2780" s="125">
        <v>0.61666666666666703</v>
      </c>
      <c r="D2780" s="128">
        <v>0</v>
      </c>
      <c r="E2780" s="128">
        <v>0</v>
      </c>
      <c r="F2780" s="128">
        <v>0</v>
      </c>
      <c r="G2780" s="128">
        <v>0</v>
      </c>
      <c r="H2780" s="128">
        <v>0</v>
      </c>
      <c r="I2780" s="128">
        <v>0</v>
      </c>
      <c r="J2780" s="128">
        <v>0</v>
      </c>
    </row>
    <row r="2781" spans="1:10">
      <c r="A2781" s="122" t="s">
        <v>103</v>
      </c>
      <c r="B2781" s="122" t="s">
        <v>13</v>
      </c>
      <c r="C2781" s="125">
        <v>0.61736111111111103</v>
      </c>
      <c r="D2781" s="128">
        <v>0</v>
      </c>
      <c r="E2781" s="128">
        <v>0</v>
      </c>
      <c r="F2781" s="128">
        <v>0</v>
      </c>
      <c r="G2781" s="128">
        <v>0</v>
      </c>
      <c r="H2781" s="128">
        <v>0</v>
      </c>
      <c r="I2781" s="128">
        <v>0</v>
      </c>
      <c r="J2781" s="128">
        <v>0</v>
      </c>
    </row>
    <row r="2782" spans="1:10">
      <c r="A2782" s="122" t="s">
        <v>103</v>
      </c>
      <c r="B2782" s="122" t="s">
        <v>13</v>
      </c>
      <c r="C2782" s="125">
        <v>0.61805555555555503</v>
      </c>
      <c r="D2782" s="128">
        <v>0</v>
      </c>
      <c r="E2782" s="128">
        <v>0</v>
      </c>
      <c r="F2782" s="128">
        <v>0</v>
      </c>
      <c r="G2782" s="128">
        <v>0</v>
      </c>
      <c r="H2782" s="128">
        <v>0</v>
      </c>
      <c r="I2782" s="128">
        <v>0</v>
      </c>
      <c r="J2782" s="128">
        <v>0</v>
      </c>
    </row>
    <row r="2783" spans="1:10">
      <c r="A2783" s="122" t="s">
        <v>103</v>
      </c>
      <c r="B2783" s="122" t="s">
        <v>13</v>
      </c>
      <c r="C2783" s="125">
        <v>0.61875000000000002</v>
      </c>
      <c r="D2783" s="128">
        <v>0</v>
      </c>
      <c r="E2783" s="128">
        <v>0</v>
      </c>
      <c r="F2783" s="128">
        <v>0</v>
      </c>
      <c r="G2783" s="128">
        <v>0</v>
      </c>
      <c r="H2783" s="128">
        <v>0</v>
      </c>
      <c r="I2783" s="128">
        <v>0</v>
      </c>
      <c r="J2783" s="128">
        <v>0</v>
      </c>
    </row>
    <row r="2784" spans="1:10">
      <c r="A2784" s="122" t="s">
        <v>103</v>
      </c>
      <c r="B2784" s="122" t="s">
        <v>13</v>
      </c>
      <c r="C2784" s="125">
        <v>0.61944444444444402</v>
      </c>
      <c r="D2784" s="128">
        <v>0</v>
      </c>
      <c r="E2784" s="128">
        <v>0</v>
      </c>
      <c r="F2784" s="128">
        <v>0</v>
      </c>
      <c r="G2784" s="128">
        <v>0</v>
      </c>
      <c r="H2784" s="128">
        <v>0</v>
      </c>
      <c r="I2784" s="128">
        <v>0</v>
      </c>
      <c r="J2784" s="128">
        <v>0</v>
      </c>
    </row>
    <row r="2785" spans="1:10">
      <c r="A2785" s="122" t="s">
        <v>103</v>
      </c>
      <c r="B2785" s="122" t="s">
        <v>13</v>
      </c>
      <c r="C2785" s="125">
        <v>0.62013888888888902</v>
      </c>
      <c r="D2785" s="128">
        <v>0</v>
      </c>
      <c r="E2785" s="128">
        <v>0</v>
      </c>
      <c r="F2785" s="128">
        <v>0</v>
      </c>
      <c r="G2785" s="128">
        <v>0</v>
      </c>
      <c r="H2785" s="128">
        <v>0</v>
      </c>
      <c r="I2785" s="128">
        <v>0</v>
      </c>
      <c r="J2785" s="128">
        <v>0</v>
      </c>
    </row>
    <row r="2786" spans="1:10">
      <c r="A2786" s="122" t="s">
        <v>103</v>
      </c>
      <c r="B2786" s="122" t="s">
        <v>13</v>
      </c>
      <c r="C2786" s="125">
        <v>0.62083333333333302</v>
      </c>
      <c r="D2786" s="128">
        <v>0</v>
      </c>
      <c r="E2786" s="128">
        <v>0</v>
      </c>
      <c r="F2786" s="128">
        <v>0</v>
      </c>
      <c r="G2786" s="128">
        <v>0</v>
      </c>
      <c r="H2786" s="128">
        <v>0</v>
      </c>
      <c r="I2786" s="128">
        <v>0</v>
      </c>
      <c r="J2786" s="128">
        <v>0</v>
      </c>
    </row>
    <row r="2787" spans="1:10">
      <c r="A2787" s="122" t="s">
        <v>103</v>
      </c>
      <c r="B2787" s="122" t="s">
        <v>13</v>
      </c>
      <c r="C2787" s="125">
        <v>0.62152777777777801</v>
      </c>
      <c r="D2787" s="128">
        <v>0</v>
      </c>
      <c r="E2787" s="128">
        <v>0</v>
      </c>
      <c r="F2787" s="128">
        <v>0</v>
      </c>
      <c r="G2787" s="128">
        <v>0</v>
      </c>
      <c r="H2787" s="128">
        <v>0</v>
      </c>
      <c r="I2787" s="128">
        <v>0</v>
      </c>
      <c r="J2787" s="128">
        <v>0</v>
      </c>
    </row>
    <row r="2788" spans="1:10">
      <c r="A2788" s="122" t="s">
        <v>103</v>
      </c>
      <c r="B2788" s="122" t="s">
        <v>13</v>
      </c>
      <c r="C2788" s="125">
        <v>0.62222222222222201</v>
      </c>
      <c r="D2788" s="128">
        <v>0</v>
      </c>
      <c r="E2788" s="128">
        <v>0</v>
      </c>
      <c r="F2788" s="128">
        <v>0</v>
      </c>
      <c r="G2788" s="128">
        <v>0</v>
      </c>
      <c r="H2788" s="128">
        <v>0</v>
      </c>
      <c r="I2788" s="128">
        <v>0</v>
      </c>
      <c r="J2788" s="128">
        <v>0</v>
      </c>
    </row>
    <row r="2789" spans="1:10">
      <c r="A2789" s="122" t="s">
        <v>103</v>
      </c>
      <c r="B2789" s="122" t="s">
        <v>13</v>
      </c>
      <c r="C2789" s="125">
        <v>0.62291666666666701</v>
      </c>
      <c r="D2789" s="128">
        <v>0</v>
      </c>
      <c r="E2789" s="128">
        <v>0</v>
      </c>
      <c r="F2789" s="128">
        <v>0</v>
      </c>
      <c r="G2789" s="128">
        <v>0</v>
      </c>
      <c r="H2789" s="128">
        <v>0</v>
      </c>
      <c r="I2789" s="128">
        <v>0</v>
      </c>
      <c r="J2789" s="128">
        <v>0</v>
      </c>
    </row>
    <row r="2790" spans="1:10">
      <c r="A2790" s="122" t="s">
        <v>103</v>
      </c>
      <c r="B2790" s="122" t="s">
        <v>13</v>
      </c>
      <c r="C2790" s="125">
        <v>0.62361111111111101</v>
      </c>
      <c r="D2790" s="128">
        <v>0</v>
      </c>
      <c r="E2790" s="128">
        <v>0</v>
      </c>
      <c r="F2790" s="128">
        <v>0</v>
      </c>
      <c r="G2790" s="128">
        <v>0</v>
      </c>
      <c r="H2790" s="128">
        <v>0</v>
      </c>
      <c r="I2790" s="128">
        <v>0</v>
      </c>
      <c r="J2790" s="128">
        <v>0</v>
      </c>
    </row>
    <row r="2791" spans="1:10">
      <c r="A2791" s="123" t="s">
        <v>103</v>
      </c>
      <c r="B2791" s="123" t="s">
        <v>13</v>
      </c>
      <c r="C2791" s="126">
        <v>0.624305555555555</v>
      </c>
      <c r="D2791" s="129">
        <v>0</v>
      </c>
      <c r="E2791" s="129">
        <v>0</v>
      </c>
      <c r="F2791" s="129">
        <v>0</v>
      </c>
      <c r="G2791" s="129">
        <v>0</v>
      </c>
      <c r="H2791" s="129">
        <v>0</v>
      </c>
      <c r="I2791" s="129">
        <v>0</v>
      </c>
      <c r="J2791" s="129">
        <v>0</v>
      </c>
    </row>
    <row r="2792" spans="1:10">
      <c r="A2792" s="122" t="s">
        <v>103</v>
      </c>
      <c r="B2792" s="122" t="s">
        <v>13</v>
      </c>
      <c r="C2792" s="125">
        <v>0.625</v>
      </c>
      <c r="D2792" s="130">
        <v>0</v>
      </c>
      <c r="E2792" s="130">
        <v>0</v>
      </c>
      <c r="F2792" s="130">
        <v>0</v>
      </c>
      <c r="G2792" s="130">
        <v>0</v>
      </c>
      <c r="H2792" s="130">
        <v>0</v>
      </c>
      <c r="I2792" s="130">
        <v>0</v>
      </c>
      <c r="J2792" s="130">
        <v>0</v>
      </c>
    </row>
    <row r="2793" spans="1:10">
      <c r="A2793" s="122" t="s">
        <v>103</v>
      </c>
      <c r="B2793" s="122" t="s">
        <v>13</v>
      </c>
      <c r="C2793" s="125">
        <v>0.625694444444444</v>
      </c>
      <c r="D2793" s="128">
        <v>0</v>
      </c>
      <c r="E2793" s="128">
        <v>0</v>
      </c>
      <c r="F2793" s="128">
        <v>0</v>
      </c>
      <c r="G2793" s="128">
        <v>0</v>
      </c>
      <c r="H2793" s="128">
        <v>0</v>
      </c>
      <c r="I2793" s="128">
        <v>0</v>
      </c>
      <c r="J2793" s="128">
        <v>0</v>
      </c>
    </row>
    <row r="2794" spans="1:10">
      <c r="A2794" s="122" t="s">
        <v>103</v>
      </c>
      <c r="B2794" s="122" t="s">
        <v>13</v>
      </c>
      <c r="C2794" s="125">
        <v>0.62638888888888899</v>
      </c>
      <c r="D2794" s="128">
        <v>0</v>
      </c>
      <c r="E2794" s="128">
        <v>0</v>
      </c>
      <c r="F2794" s="128">
        <v>0</v>
      </c>
      <c r="G2794" s="128">
        <v>0</v>
      </c>
      <c r="H2794" s="128">
        <v>0</v>
      </c>
      <c r="I2794" s="128">
        <v>0</v>
      </c>
      <c r="J2794" s="128">
        <v>0</v>
      </c>
    </row>
    <row r="2795" spans="1:10">
      <c r="A2795" s="122" t="s">
        <v>103</v>
      </c>
      <c r="B2795" s="122" t="s">
        <v>13</v>
      </c>
      <c r="C2795" s="125">
        <v>0.62708333333333299</v>
      </c>
      <c r="D2795" s="128">
        <v>0</v>
      </c>
      <c r="E2795" s="128">
        <v>0</v>
      </c>
      <c r="F2795" s="128">
        <v>0</v>
      </c>
      <c r="G2795" s="128">
        <v>0</v>
      </c>
      <c r="H2795" s="128">
        <v>0</v>
      </c>
      <c r="I2795" s="128">
        <v>0</v>
      </c>
      <c r="J2795" s="128">
        <v>0</v>
      </c>
    </row>
    <row r="2796" spans="1:10">
      <c r="A2796" s="122" t="s">
        <v>103</v>
      </c>
      <c r="B2796" s="122" t="s">
        <v>13</v>
      </c>
      <c r="C2796" s="125">
        <v>0.62777777777777799</v>
      </c>
      <c r="D2796" s="128">
        <v>0</v>
      </c>
      <c r="E2796" s="128">
        <v>0</v>
      </c>
      <c r="F2796" s="128">
        <v>0</v>
      </c>
      <c r="G2796" s="128">
        <v>0</v>
      </c>
      <c r="H2796" s="128">
        <v>0</v>
      </c>
      <c r="I2796" s="128">
        <v>0</v>
      </c>
      <c r="J2796" s="128">
        <v>0</v>
      </c>
    </row>
    <row r="2797" spans="1:10">
      <c r="A2797" s="122" t="s">
        <v>103</v>
      </c>
      <c r="B2797" s="122" t="s">
        <v>13</v>
      </c>
      <c r="C2797" s="125">
        <v>0.62847222222222199</v>
      </c>
      <c r="D2797" s="128">
        <v>0</v>
      </c>
      <c r="E2797" s="128">
        <v>0</v>
      </c>
      <c r="F2797" s="128">
        <v>0</v>
      </c>
      <c r="G2797" s="128">
        <v>0</v>
      </c>
      <c r="H2797" s="128">
        <v>0</v>
      </c>
      <c r="I2797" s="128">
        <v>0</v>
      </c>
      <c r="J2797" s="128">
        <v>0</v>
      </c>
    </row>
    <row r="2798" spans="1:10">
      <c r="A2798" s="122" t="s">
        <v>103</v>
      </c>
      <c r="B2798" s="122" t="s">
        <v>13</v>
      </c>
      <c r="C2798" s="125">
        <v>0.62916666666666698</v>
      </c>
      <c r="D2798" s="128">
        <v>0</v>
      </c>
      <c r="E2798" s="128">
        <v>0</v>
      </c>
      <c r="F2798" s="128">
        <v>0</v>
      </c>
      <c r="G2798" s="128">
        <v>0</v>
      </c>
      <c r="H2798" s="128">
        <v>0</v>
      </c>
      <c r="I2798" s="128">
        <v>0</v>
      </c>
      <c r="J2798" s="128">
        <v>0</v>
      </c>
    </row>
    <row r="2799" spans="1:10">
      <c r="A2799" s="122" t="s">
        <v>103</v>
      </c>
      <c r="B2799" s="122" t="s">
        <v>13</v>
      </c>
      <c r="C2799" s="125">
        <v>0.62986111111111098</v>
      </c>
      <c r="D2799" s="128">
        <v>0</v>
      </c>
      <c r="E2799" s="128">
        <v>0</v>
      </c>
      <c r="F2799" s="128">
        <v>0</v>
      </c>
      <c r="G2799" s="128">
        <v>0</v>
      </c>
      <c r="H2799" s="128">
        <v>0</v>
      </c>
      <c r="I2799" s="128">
        <v>0</v>
      </c>
      <c r="J2799" s="128">
        <v>0</v>
      </c>
    </row>
    <row r="2800" spans="1:10">
      <c r="A2800" s="122" t="s">
        <v>103</v>
      </c>
      <c r="B2800" s="122" t="s">
        <v>13</v>
      </c>
      <c r="C2800" s="125">
        <v>0.63055555555555498</v>
      </c>
      <c r="D2800" s="128">
        <v>0</v>
      </c>
      <c r="E2800" s="128">
        <v>0</v>
      </c>
      <c r="F2800" s="128">
        <v>0</v>
      </c>
      <c r="G2800" s="128">
        <v>0</v>
      </c>
      <c r="H2800" s="128">
        <v>0</v>
      </c>
      <c r="I2800" s="128">
        <v>0</v>
      </c>
      <c r="J2800" s="128">
        <v>0</v>
      </c>
    </row>
    <row r="2801" spans="1:10">
      <c r="A2801" s="122" t="s">
        <v>103</v>
      </c>
      <c r="B2801" s="122" t="s">
        <v>13</v>
      </c>
      <c r="C2801" s="125">
        <v>0.63124999999999998</v>
      </c>
      <c r="D2801" s="128">
        <v>0</v>
      </c>
      <c r="E2801" s="128">
        <v>0</v>
      </c>
      <c r="F2801" s="128">
        <v>0</v>
      </c>
      <c r="G2801" s="128">
        <v>0</v>
      </c>
      <c r="H2801" s="128">
        <v>0</v>
      </c>
      <c r="I2801" s="128">
        <v>0</v>
      </c>
      <c r="J2801" s="128">
        <v>0</v>
      </c>
    </row>
    <row r="2802" spans="1:10">
      <c r="A2802" s="122" t="s">
        <v>103</v>
      </c>
      <c r="B2802" s="122" t="s">
        <v>13</v>
      </c>
      <c r="C2802" s="125">
        <v>0.63194444444444398</v>
      </c>
      <c r="D2802" s="128">
        <v>0</v>
      </c>
      <c r="E2802" s="128">
        <v>0</v>
      </c>
      <c r="F2802" s="128">
        <v>0</v>
      </c>
      <c r="G2802" s="128">
        <v>0</v>
      </c>
      <c r="H2802" s="128">
        <v>0</v>
      </c>
      <c r="I2802" s="128">
        <v>0</v>
      </c>
      <c r="J2802" s="128">
        <v>0</v>
      </c>
    </row>
    <row r="2803" spans="1:10">
      <c r="A2803" s="122" t="s">
        <v>103</v>
      </c>
      <c r="B2803" s="122" t="s">
        <v>13</v>
      </c>
      <c r="C2803" s="125">
        <v>0.63263888888888897</v>
      </c>
      <c r="D2803" s="128">
        <v>0</v>
      </c>
      <c r="E2803" s="128">
        <v>0</v>
      </c>
      <c r="F2803" s="128">
        <v>0</v>
      </c>
      <c r="G2803" s="128">
        <v>0</v>
      </c>
      <c r="H2803" s="128">
        <v>0</v>
      </c>
      <c r="I2803" s="128">
        <v>0</v>
      </c>
      <c r="J2803" s="128">
        <v>0</v>
      </c>
    </row>
    <row r="2804" spans="1:10">
      <c r="A2804" s="122" t="s">
        <v>103</v>
      </c>
      <c r="B2804" s="122" t="s">
        <v>13</v>
      </c>
      <c r="C2804" s="125">
        <v>0.63333333333333297</v>
      </c>
      <c r="D2804" s="128">
        <v>0</v>
      </c>
      <c r="E2804" s="128">
        <v>0</v>
      </c>
      <c r="F2804" s="128">
        <v>0</v>
      </c>
      <c r="G2804" s="128">
        <v>0</v>
      </c>
      <c r="H2804" s="128">
        <v>0</v>
      </c>
      <c r="I2804" s="128">
        <v>0</v>
      </c>
      <c r="J2804" s="128">
        <v>0</v>
      </c>
    </row>
    <row r="2805" spans="1:10">
      <c r="A2805" s="122" t="s">
        <v>103</v>
      </c>
      <c r="B2805" s="122" t="s">
        <v>13</v>
      </c>
      <c r="C2805" s="125">
        <v>0.63402777777777797</v>
      </c>
      <c r="D2805" s="128">
        <v>0</v>
      </c>
      <c r="E2805" s="128">
        <v>0</v>
      </c>
      <c r="F2805" s="128">
        <v>0</v>
      </c>
      <c r="G2805" s="128">
        <v>0</v>
      </c>
      <c r="H2805" s="128">
        <v>0</v>
      </c>
      <c r="I2805" s="128">
        <v>0</v>
      </c>
      <c r="J2805" s="128">
        <v>0</v>
      </c>
    </row>
    <row r="2806" spans="1:10">
      <c r="A2806" s="123" t="s">
        <v>103</v>
      </c>
      <c r="B2806" s="123" t="s">
        <v>13</v>
      </c>
      <c r="C2806" s="126">
        <v>0.63472222222222197</v>
      </c>
      <c r="D2806" s="129">
        <v>0</v>
      </c>
      <c r="E2806" s="129">
        <v>0</v>
      </c>
      <c r="F2806" s="129">
        <v>0</v>
      </c>
      <c r="G2806" s="129">
        <v>0</v>
      </c>
      <c r="H2806" s="129">
        <v>0</v>
      </c>
      <c r="I2806" s="129">
        <v>0</v>
      </c>
      <c r="J2806" s="129">
        <v>0</v>
      </c>
    </row>
    <row r="2807" spans="1:10">
      <c r="A2807" s="122" t="s">
        <v>103</v>
      </c>
      <c r="B2807" s="122" t="s">
        <v>13</v>
      </c>
      <c r="C2807" s="125">
        <v>0.63541666666666696</v>
      </c>
      <c r="D2807" s="130">
        <v>0</v>
      </c>
      <c r="E2807" s="130">
        <v>0</v>
      </c>
      <c r="F2807" s="130">
        <v>0</v>
      </c>
      <c r="G2807" s="130">
        <v>0</v>
      </c>
      <c r="H2807" s="130">
        <v>0</v>
      </c>
      <c r="I2807" s="130">
        <v>0</v>
      </c>
      <c r="J2807" s="130">
        <v>0</v>
      </c>
    </row>
    <row r="2808" spans="1:10">
      <c r="A2808" s="122" t="s">
        <v>103</v>
      </c>
      <c r="B2808" s="122" t="s">
        <v>13</v>
      </c>
      <c r="C2808" s="125">
        <v>0.63611111111111096</v>
      </c>
      <c r="D2808" s="128">
        <v>0</v>
      </c>
      <c r="E2808" s="128">
        <v>0</v>
      </c>
      <c r="F2808" s="128">
        <v>0</v>
      </c>
      <c r="G2808" s="128">
        <v>0</v>
      </c>
      <c r="H2808" s="128">
        <v>0</v>
      </c>
      <c r="I2808" s="128">
        <v>0</v>
      </c>
      <c r="J2808" s="128">
        <v>0</v>
      </c>
    </row>
    <row r="2809" spans="1:10">
      <c r="A2809" s="122" t="s">
        <v>103</v>
      </c>
      <c r="B2809" s="122" t="s">
        <v>13</v>
      </c>
      <c r="C2809" s="125">
        <v>0.63680555555555496</v>
      </c>
      <c r="D2809" s="128">
        <v>0</v>
      </c>
      <c r="E2809" s="128">
        <v>0</v>
      </c>
      <c r="F2809" s="128">
        <v>0</v>
      </c>
      <c r="G2809" s="128">
        <v>0</v>
      </c>
      <c r="H2809" s="128">
        <v>0</v>
      </c>
      <c r="I2809" s="128">
        <v>0</v>
      </c>
      <c r="J2809" s="128">
        <v>0</v>
      </c>
    </row>
    <row r="2810" spans="1:10">
      <c r="A2810" s="122" t="s">
        <v>103</v>
      </c>
      <c r="B2810" s="122" t="s">
        <v>13</v>
      </c>
      <c r="C2810" s="125">
        <v>0.63749999999999996</v>
      </c>
      <c r="D2810" s="128">
        <v>0</v>
      </c>
      <c r="E2810" s="128">
        <v>0</v>
      </c>
      <c r="F2810" s="128">
        <v>0</v>
      </c>
      <c r="G2810" s="128">
        <v>0</v>
      </c>
      <c r="H2810" s="128">
        <v>0</v>
      </c>
      <c r="I2810" s="128">
        <v>0</v>
      </c>
      <c r="J2810" s="128">
        <v>0</v>
      </c>
    </row>
    <row r="2811" spans="1:10">
      <c r="A2811" s="122" t="s">
        <v>103</v>
      </c>
      <c r="B2811" s="122" t="s">
        <v>13</v>
      </c>
      <c r="C2811" s="125">
        <v>0.63819444444444395</v>
      </c>
      <c r="D2811" s="128">
        <v>0</v>
      </c>
      <c r="E2811" s="128">
        <v>0</v>
      </c>
      <c r="F2811" s="128">
        <v>0</v>
      </c>
      <c r="G2811" s="128">
        <v>0</v>
      </c>
      <c r="H2811" s="128">
        <v>0</v>
      </c>
      <c r="I2811" s="128">
        <v>0</v>
      </c>
      <c r="J2811" s="128">
        <v>0</v>
      </c>
    </row>
    <row r="2812" spans="1:10">
      <c r="A2812" s="122" t="s">
        <v>103</v>
      </c>
      <c r="B2812" s="122" t="s">
        <v>13</v>
      </c>
      <c r="C2812" s="125">
        <v>0.63888888888888895</v>
      </c>
      <c r="D2812" s="128">
        <v>0</v>
      </c>
      <c r="E2812" s="128">
        <v>0</v>
      </c>
      <c r="F2812" s="128">
        <v>0</v>
      </c>
      <c r="G2812" s="128">
        <v>0</v>
      </c>
      <c r="H2812" s="128">
        <v>0</v>
      </c>
      <c r="I2812" s="128">
        <v>0</v>
      </c>
      <c r="J2812" s="128">
        <v>0</v>
      </c>
    </row>
    <row r="2813" spans="1:10">
      <c r="A2813" s="122" t="s">
        <v>103</v>
      </c>
      <c r="B2813" s="122" t="s">
        <v>13</v>
      </c>
      <c r="C2813" s="125">
        <v>0.63958333333333295</v>
      </c>
      <c r="D2813" s="128">
        <v>0</v>
      </c>
      <c r="E2813" s="128">
        <v>0</v>
      </c>
      <c r="F2813" s="128">
        <v>0</v>
      </c>
      <c r="G2813" s="128">
        <v>0</v>
      </c>
      <c r="H2813" s="128">
        <v>0</v>
      </c>
      <c r="I2813" s="128">
        <v>0</v>
      </c>
      <c r="J2813" s="128">
        <v>0</v>
      </c>
    </row>
    <row r="2814" spans="1:10">
      <c r="A2814" s="122" t="s">
        <v>103</v>
      </c>
      <c r="B2814" s="122" t="s">
        <v>13</v>
      </c>
      <c r="C2814" s="125">
        <v>0.64027777777777795</v>
      </c>
      <c r="D2814" s="128">
        <v>0</v>
      </c>
      <c r="E2814" s="128">
        <v>0</v>
      </c>
      <c r="F2814" s="128">
        <v>0</v>
      </c>
      <c r="G2814" s="128">
        <v>0</v>
      </c>
      <c r="H2814" s="128">
        <v>0</v>
      </c>
      <c r="I2814" s="128">
        <v>0</v>
      </c>
      <c r="J2814" s="128">
        <v>0</v>
      </c>
    </row>
    <row r="2815" spans="1:10">
      <c r="A2815" s="122" t="s">
        <v>103</v>
      </c>
      <c r="B2815" s="122" t="s">
        <v>13</v>
      </c>
      <c r="C2815" s="125">
        <v>0.64097222222222205</v>
      </c>
      <c r="D2815" s="128">
        <v>0</v>
      </c>
      <c r="E2815" s="128">
        <v>0</v>
      </c>
      <c r="F2815" s="128">
        <v>0</v>
      </c>
      <c r="G2815" s="128">
        <v>0</v>
      </c>
      <c r="H2815" s="128">
        <v>0</v>
      </c>
      <c r="I2815" s="128">
        <v>0</v>
      </c>
      <c r="J2815" s="128">
        <v>0</v>
      </c>
    </row>
    <row r="2816" spans="1:10">
      <c r="A2816" s="122" t="s">
        <v>103</v>
      </c>
      <c r="B2816" s="122" t="s">
        <v>13</v>
      </c>
      <c r="C2816" s="125">
        <v>0.64166666666666605</v>
      </c>
      <c r="D2816" s="128">
        <v>0</v>
      </c>
      <c r="E2816" s="128">
        <v>0</v>
      </c>
      <c r="F2816" s="128">
        <v>0</v>
      </c>
      <c r="G2816" s="128">
        <v>0</v>
      </c>
      <c r="H2816" s="128">
        <v>0</v>
      </c>
      <c r="I2816" s="128">
        <v>0</v>
      </c>
      <c r="J2816" s="128">
        <v>0</v>
      </c>
    </row>
    <row r="2817" spans="1:10">
      <c r="A2817" s="122" t="s">
        <v>103</v>
      </c>
      <c r="B2817" s="122" t="s">
        <v>13</v>
      </c>
      <c r="C2817" s="125">
        <v>0.64236111111111105</v>
      </c>
      <c r="D2817" s="128">
        <v>0</v>
      </c>
      <c r="E2817" s="128">
        <v>0</v>
      </c>
      <c r="F2817" s="128">
        <v>0</v>
      </c>
      <c r="G2817" s="128">
        <v>0</v>
      </c>
      <c r="H2817" s="128">
        <v>0</v>
      </c>
      <c r="I2817" s="128">
        <v>0</v>
      </c>
      <c r="J2817" s="128">
        <v>0</v>
      </c>
    </row>
    <row r="2818" spans="1:10">
      <c r="A2818" s="122" t="s">
        <v>103</v>
      </c>
      <c r="B2818" s="122" t="s">
        <v>13</v>
      </c>
      <c r="C2818" s="125">
        <v>0.64305555555555505</v>
      </c>
      <c r="D2818" s="128">
        <v>0</v>
      </c>
      <c r="E2818" s="128">
        <v>0</v>
      </c>
      <c r="F2818" s="128">
        <v>0</v>
      </c>
      <c r="G2818" s="128">
        <v>0</v>
      </c>
      <c r="H2818" s="128">
        <v>0</v>
      </c>
      <c r="I2818" s="128">
        <v>0</v>
      </c>
      <c r="J2818" s="128">
        <v>0</v>
      </c>
    </row>
    <row r="2819" spans="1:10">
      <c r="A2819" s="122" t="s">
        <v>103</v>
      </c>
      <c r="B2819" s="122" t="s">
        <v>13</v>
      </c>
      <c r="C2819" s="125">
        <v>0.64375000000000004</v>
      </c>
      <c r="D2819" s="128">
        <v>0</v>
      </c>
      <c r="E2819" s="128">
        <v>0</v>
      </c>
      <c r="F2819" s="128">
        <v>0</v>
      </c>
      <c r="G2819" s="128">
        <v>0</v>
      </c>
      <c r="H2819" s="128">
        <v>0</v>
      </c>
      <c r="I2819" s="128">
        <v>0</v>
      </c>
      <c r="J2819" s="128">
        <v>0</v>
      </c>
    </row>
    <row r="2820" spans="1:10">
      <c r="A2820" s="122" t="s">
        <v>103</v>
      </c>
      <c r="B2820" s="122" t="s">
        <v>13</v>
      </c>
      <c r="C2820" s="125">
        <v>0.64444444444444404</v>
      </c>
      <c r="D2820" s="128">
        <v>0</v>
      </c>
      <c r="E2820" s="128">
        <v>0</v>
      </c>
      <c r="F2820" s="128">
        <v>0</v>
      </c>
      <c r="G2820" s="128">
        <v>0</v>
      </c>
      <c r="H2820" s="128">
        <v>0</v>
      </c>
      <c r="I2820" s="128">
        <v>0</v>
      </c>
      <c r="J2820" s="128">
        <v>0</v>
      </c>
    </row>
    <row r="2821" spans="1:10" ht="17.5" thickBot="1">
      <c r="A2821" s="124" t="s">
        <v>103</v>
      </c>
      <c r="B2821" s="124" t="s">
        <v>13</v>
      </c>
      <c r="C2821" s="127">
        <v>0.64513888888888904</v>
      </c>
      <c r="D2821" s="131">
        <v>0</v>
      </c>
      <c r="E2821" s="131">
        <v>0</v>
      </c>
      <c r="F2821" s="131">
        <v>0</v>
      </c>
      <c r="G2821" s="131">
        <v>0</v>
      </c>
      <c r="H2821" s="131">
        <v>0</v>
      </c>
      <c r="I2821" s="131">
        <v>0</v>
      </c>
      <c r="J2821" s="131">
        <v>0</v>
      </c>
    </row>
    <row r="2822" spans="1:10">
      <c r="A2822" s="122" t="s">
        <v>103</v>
      </c>
      <c r="B2822" s="122" t="s">
        <v>14</v>
      </c>
      <c r="C2822" s="125">
        <v>0.60416666666666663</v>
      </c>
      <c r="D2822" s="132">
        <v>0</v>
      </c>
      <c r="E2822" s="132">
        <v>0</v>
      </c>
      <c r="F2822" s="132">
        <v>0</v>
      </c>
      <c r="G2822" s="132">
        <v>0</v>
      </c>
      <c r="H2822" s="132">
        <v>0</v>
      </c>
      <c r="I2822" s="132">
        <v>0</v>
      </c>
      <c r="J2822" s="132">
        <v>0</v>
      </c>
    </row>
    <row r="2823" spans="1:10">
      <c r="A2823" s="122" t="s">
        <v>103</v>
      </c>
      <c r="B2823" s="122" t="s">
        <v>14</v>
      </c>
      <c r="C2823" s="125">
        <v>0.60486111111111107</v>
      </c>
      <c r="D2823" s="128">
        <v>0</v>
      </c>
      <c r="E2823" s="128">
        <v>0</v>
      </c>
      <c r="F2823" s="128">
        <v>0</v>
      </c>
      <c r="G2823" s="128">
        <v>0</v>
      </c>
      <c r="H2823" s="128">
        <v>0</v>
      </c>
      <c r="I2823" s="128">
        <v>0</v>
      </c>
      <c r="J2823" s="128">
        <v>0</v>
      </c>
    </row>
    <row r="2824" spans="1:10">
      <c r="A2824" s="122" t="s">
        <v>103</v>
      </c>
      <c r="B2824" s="122" t="s">
        <v>14</v>
      </c>
      <c r="C2824" s="125">
        <v>0.60555555555555596</v>
      </c>
      <c r="D2824" s="128">
        <v>0</v>
      </c>
      <c r="E2824" s="128">
        <v>0</v>
      </c>
      <c r="F2824" s="128">
        <v>0</v>
      </c>
      <c r="G2824" s="128">
        <v>0</v>
      </c>
      <c r="H2824" s="128">
        <v>0</v>
      </c>
      <c r="I2824" s="128">
        <v>0</v>
      </c>
      <c r="J2824" s="128">
        <v>0</v>
      </c>
    </row>
    <row r="2825" spans="1:10">
      <c r="A2825" s="122" t="s">
        <v>103</v>
      </c>
      <c r="B2825" s="122" t="s">
        <v>14</v>
      </c>
      <c r="C2825" s="125">
        <v>0.60624999999999996</v>
      </c>
      <c r="D2825" s="128">
        <v>0</v>
      </c>
      <c r="E2825" s="128">
        <v>0</v>
      </c>
      <c r="F2825" s="128">
        <v>0</v>
      </c>
      <c r="G2825" s="128">
        <v>0</v>
      </c>
      <c r="H2825" s="128">
        <v>0</v>
      </c>
      <c r="I2825" s="128">
        <v>0</v>
      </c>
      <c r="J2825" s="128">
        <v>0</v>
      </c>
    </row>
    <row r="2826" spans="1:10">
      <c r="A2826" s="122" t="s">
        <v>103</v>
      </c>
      <c r="B2826" s="122" t="s">
        <v>14</v>
      </c>
      <c r="C2826" s="125">
        <v>0.60694444444444395</v>
      </c>
      <c r="D2826" s="128">
        <v>0</v>
      </c>
      <c r="E2826" s="128">
        <v>0</v>
      </c>
      <c r="F2826" s="128">
        <v>0</v>
      </c>
      <c r="G2826" s="128">
        <v>0</v>
      </c>
      <c r="H2826" s="128">
        <v>0</v>
      </c>
      <c r="I2826" s="128">
        <v>0</v>
      </c>
      <c r="J2826" s="128">
        <v>0</v>
      </c>
    </row>
    <row r="2827" spans="1:10">
      <c r="A2827" s="122" t="s">
        <v>103</v>
      </c>
      <c r="B2827" s="122" t="s">
        <v>14</v>
      </c>
      <c r="C2827" s="125">
        <v>0.60763888888888895</v>
      </c>
      <c r="D2827" s="128">
        <v>0</v>
      </c>
      <c r="E2827" s="128">
        <v>0</v>
      </c>
      <c r="F2827" s="128">
        <v>0</v>
      </c>
      <c r="G2827" s="128">
        <v>0</v>
      </c>
      <c r="H2827" s="128">
        <v>0</v>
      </c>
      <c r="I2827" s="128">
        <v>0</v>
      </c>
      <c r="J2827" s="128">
        <v>0</v>
      </c>
    </row>
    <row r="2828" spans="1:10">
      <c r="A2828" s="122" t="s">
        <v>103</v>
      </c>
      <c r="B2828" s="122" t="s">
        <v>14</v>
      </c>
      <c r="C2828" s="125">
        <v>0.60833333333333295</v>
      </c>
      <c r="D2828" s="128">
        <v>0</v>
      </c>
      <c r="E2828" s="128">
        <v>0</v>
      </c>
      <c r="F2828" s="128">
        <v>0</v>
      </c>
      <c r="G2828" s="128">
        <v>0</v>
      </c>
      <c r="H2828" s="128">
        <v>0</v>
      </c>
      <c r="I2828" s="128">
        <v>0</v>
      </c>
      <c r="J2828" s="128">
        <v>0</v>
      </c>
    </row>
    <row r="2829" spans="1:10">
      <c r="A2829" s="122" t="s">
        <v>103</v>
      </c>
      <c r="B2829" s="122" t="s">
        <v>14</v>
      </c>
      <c r="C2829" s="125">
        <v>0.60902777777777795</v>
      </c>
      <c r="D2829" s="128">
        <v>0</v>
      </c>
      <c r="E2829" s="128">
        <v>0</v>
      </c>
      <c r="F2829" s="128">
        <v>0</v>
      </c>
      <c r="G2829" s="128">
        <v>0</v>
      </c>
      <c r="H2829" s="128">
        <v>0</v>
      </c>
      <c r="I2829" s="128">
        <v>0</v>
      </c>
      <c r="J2829" s="128">
        <v>0</v>
      </c>
    </row>
    <row r="2830" spans="1:10">
      <c r="A2830" s="122" t="s">
        <v>103</v>
      </c>
      <c r="B2830" s="122" t="s">
        <v>14</v>
      </c>
      <c r="C2830" s="125">
        <v>0.60972222222222205</v>
      </c>
      <c r="D2830" s="128">
        <v>0</v>
      </c>
      <c r="E2830" s="128">
        <v>0</v>
      </c>
      <c r="F2830" s="128">
        <v>0</v>
      </c>
      <c r="G2830" s="128">
        <v>0</v>
      </c>
      <c r="H2830" s="128">
        <v>0</v>
      </c>
      <c r="I2830" s="128">
        <v>0</v>
      </c>
      <c r="J2830" s="128">
        <v>0</v>
      </c>
    </row>
    <row r="2831" spans="1:10">
      <c r="A2831" s="122" t="s">
        <v>103</v>
      </c>
      <c r="B2831" s="122" t="s">
        <v>14</v>
      </c>
      <c r="C2831" s="125">
        <v>0.61041666666666705</v>
      </c>
      <c r="D2831" s="128">
        <v>0</v>
      </c>
      <c r="E2831" s="128">
        <v>0</v>
      </c>
      <c r="F2831" s="128">
        <v>0</v>
      </c>
      <c r="G2831" s="128">
        <v>0</v>
      </c>
      <c r="H2831" s="128">
        <v>0</v>
      </c>
      <c r="I2831" s="128">
        <v>0</v>
      </c>
      <c r="J2831" s="128">
        <v>0</v>
      </c>
    </row>
    <row r="2832" spans="1:10">
      <c r="A2832" s="122" t="s">
        <v>103</v>
      </c>
      <c r="B2832" s="122" t="s">
        <v>14</v>
      </c>
      <c r="C2832" s="125">
        <v>0.61111111111111105</v>
      </c>
      <c r="D2832" s="128">
        <v>0</v>
      </c>
      <c r="E2832" s="128">
        <v>0</v>
      </c>
      <c r="F2832" s="128">
        <v>0</v>
      </c>
      <c r="G2832" s="128">
        <v>0</v>
      </c>
      <c r="H2832" s="128">
        <v>0</v>
      </c>
      <c r="I2832" s="128">
        <v>0</v>
      </c>
      <c r="J2832" s="128">
        <v>0</v>
      </c>
    </row>
    <row r="2833" spans="1:10">
      <c r="A2833" s="122" t="s">
        <v>103</v>
      </c>
      <c r="B2833" s="122" t="s">
        <v>14</v>
      </c>
      <c r="C2833" s="125">
        <v>0.61180555555555505</v>
      </c>
      <c r="D2833" s="128">
        <v>0</v>
      </c>
      <c r="E2833" s="128">
        <v>0</v>
      </c>
      <c r="F2833" s="128">
        <v>0</v>
      </c>
      <c r="G2833" s="128">
        <v>0</v>
      </c>
      <c r="H2833" s="128">
        <v>0</v>
      </c>
      <c r="I2833" s="128">
        <v>0</v>
      </c>
      <c r="J2833" s="128">
        <v>0</v>
      </c>
    </row>
    <row r="2834" spans="1:10">
      <c r="A2834" s="122" t="s">
        <v>103</v>
      </c>
      <c r="B2834" s="122" t="s">
        <v>14</v>
      </c>
      <c r="C2834" s="125">
        <v>0.61250000000000004</v>
      </c>
      <c r="D2834" s="128">
        <v>0</v>
      </c>
      <c r="E2834" s="128">
        <v>0</v>
      </c>
      <c r="F2834" s="128">
        <v>0</v>
      </c>
      <c r="G2834" s="128">
        <v>0</v>
      </c>
      <c r="H2834" s="128">
        <v>0</v>
      </c>
      <c r="I2834" s="128">
        <v>0</v>
      </c>
      <c r="J2834" s="128">
        <v>0</v>
      </c>
    </row>
    <row r="2835" spans="1:10">
      <c r="A2835" s="122" t="s">
        <v>103</v>
      </c>
      <c r="B2835" s="122" t="s">
        <v>14</v>
      </c>
      <c r="C2835" s="125">
        <v>0.61319444444444404</v>
      </c>
      <c r="D2835" s="128">
        <v>0</v>
      </c>
      <c r="E2835" s="128">
        <v>0</v>
      </c>
      <c r="F2835" s="128">
        <v>0</v>
      </c>
      <c r="G2835" s="128">
        <v>0</v>
      </c>
      <c r="H2835" s="128">
        <v>0</v>
      </c>
      <c r="I2835" s="128">
        <v>0</v>
      </c>
      <c r="J2835" s="128">
        <v>0</v>
      </c>
    </row>
    <row r="2836" spans="1:10">
      <c r="A2836" s="123" t="s">
        <v>103</v>
      </c>
      <c r="B2836" s="123" t="s">
        <v>14</v>
      </c>
      <c r="C2836" s="126">
        <v>0.61388888888888904</v>
      </c>
      <c r="D2836" s="129">
        <v>0</v>
      </c>
      <c r="E2836" s="129">
        <v>0</v>
      </c>
      <c r="F2836" s="129">
        <v>0</v>
      </c>
      <c r="G2836" s="129">
        <v>0</v>
      </c>
      <c r="H2836" s="129">
        <v>0</v>
      </c>
      <c r="I2836" s="129">
        <v>0</v>
      </c>
      <c r="J2836" s="129">
        <v>0</v>
      </c>
    </row>
    <row r="2837" spans="1:10">
      <c r="A2837" s="122" t="s">
        <v>103</v>
      </c>
      <c r="B2837" s="122" t="s">
        <v>14</v>
      </c>
      <c r="C2837" s="125">
        <v>0.61458333333333304</v>
      </c>
      <c r="D2837" s="130">
        <v>0</v>
      </c>
      <c r="E2837" s="130">
        <v>0</v>
      </c>
      <c r="F2837" s="130">
        <v>0</v>
      </c>
      <c r="G2837" s="130">
        <v>0</v>
      </c>
      <c r="H2837" s="130">
        <v>0</v>
      </c>
      <c r="I2837" s="130">
        <v>0</v>
      </c>
      <c r="J2837" s="130">
        <v>0</v>
      </c>
    </row>
    <row r="2838" spans="1:10">
      <c r="A2838" s="122" t="s">
        <v>103</v>
      </c>
      <c r="B2838" s="122" t="s">
        <v>14</v>
      </c>
      <c r="C2838" s="125">
        <v>0.61527777777777803</v>
      </c>
      <c r="D2838" s="128">
        <v>0</v>
      </c>
      <c r="E2838" s="128">
        <v>0</v>
      </c>
      <c r="F2838" s="128">
        <v>0</v>
      </c>
      <c r="G2838" s="128">
        <v>0</v>
      </c>
      <c r="H2838" s="128">
        <v>0</v>
      </c>
      <c r="I2838" s="128">
        <v>0</v>
      </c>
      <c r="J2838" s="128">
        <v>0</v>
      </c>
    </row>
    <row r="2839" spans="1:10">
      <c r="A2839" s="122" t="s">
        <v>103</v>
      </c>
      <c r="B2839" s="122" t="s">
        <v>14</v>
      </c>
      <c r="C2839" s="125">
        <v>0.61597222222222203</v>
      </c>
      <c r="D2839" s="128">
        <v>0</v>
      </c>
      <c r="E2839" s="128">
        <v>0</v>
      </c>
      <c r="F2839" s="128">
        <v>0</v>
      </c>
      <c r="G2839" s="128">
        <v>0</v>
      </c>
      <c r="H2839" s="128">
        <v>0</v>
      </c>
      <c r="I2839" s="128">
        <v>0</v>
      </c>
      <c r="J2839" s="128">
        <v>0</v>
      </c>
    </row>
    <row r="2840" spans="1:10">
      <c r="A2840" s="122" t="s">
        <v>103</v>
      </c>
      <c r="B2840" s="122" t="s">
        <v>14</v>
      </c>
      <c r="C2840" s="125">
        <v>0.61666666666666703</v>
      </c>
      <c r="D2840" s="128">
        <v>0</v>
      </c>
      <c r="E2840" s="128">
        <v>0</v>
      </c>
      <c r="F2840" s="128">
        <v>0</v>
      </c>
      <c r="G2840" s="128">
        <v>0</v>
      </c>
      <c r="H2840" s="128">
        <v>0</v>
      </c>
      <c r="I2840" s="128">
        <v>0</v>
      </c>
      <c r="J2840" s="128">
        <v>0</v>
      </c>
    </row>
    <row r="2841" spans="1:10">
      <c r="A2841" s="122" t="s">
        <v>103</v>
      </c>
      <c r="B2841" s="122" t="s">
        <v>14</v>
      </c>
      <c r="C2841" s="125">
        <v>0.61736111111111103</v>
      </c>
      <c r="D2841" s="128">
        <v>0</v>
      </c>
      <c r="E2841" s="128">
        <v>0</v>
      </c>
      <c r="F2841" s="128">
        <v>0</v>
      </c>
      <c r="G2841" s="128">
        <v>0</v>
      </c>
      <c r="H2841" s="128">
        <v>0</v>
      </c>
      <c r="I2841" s="128">
        <v>0</v>
      </c>
      <c r="J2841" s="128">
        <v>0</v>
      </c>
    </row>
    <row r="2842" spans="1:10">
      <c r="A2842" s="122" t="s">
        <v>103</v>
      </c>
      <c r="B2842" s="122" t="s">
        <v>14</v>
      </c>
      <c r="C2842" s="125">
        <v>0.61805555555555503</v>
      </c>
      <c r="D2842" s="128">
        <v>0</v>
      </c>
      <c r="E2842" s="128">
        <v>0</v>
      </c>
      <c r="F2842" s="128">
        <v>0</v>
      </c>
      <c r="G2842" s="128">
        <v>0</v>
      </c>
      <c r="H2842" s="128">
        <v>0</v>
      </c>
      <c r="I2842" s="128">
        <v>0</v>
      </c>
      <c r="J2842" s="128">
        <v>0</v>
      </c>
    </row>
    <row r="2843" spans="1:10">
      <c r="A2843" s="122" t="s">
        <v>103</v>
      </c>
      <c r="B2843" s="122" t="s">
        <v>14</v>
      </c>
      <c r="C2843" s="125">
        <v>0.61875000000000002</v>
      </c>
      <c r="D2843" s="128">
        <v>0</v>
      </c>
      <c r="E2843" s="128">
        <v>0</v>
      </c>
      <c r="F2843" s="128">
        <v>0</v>
      </c>
      <c r="G2843" s="128">
        <v>0</v>
      </c>
      <c r="H2843" s="128">
        <v>0</v>
      </c>
      <c r="I2843" s="128">
        <v>0</v>
      </c>
      <c r="J2843" s="128">
        <v>0</v>
      </c>
    </row>
    <row r="2844" spans="1:10">
      <c r="A2844" s="122" t="s">
        <v>103</v>
      </c>
      <c r="B2844" s="122" t="s">
        <v>14</v>
      </c>
      <c r="C2844" s="125">
        <v>0.61944444444444402</v>
      </c>
      <c r="D2844" s="128">
        <v>0</v>
      </c>
      <c r="E2844" s="128">
        <v>0</v>
      </c>
      <c r="F2844" s="128">
        <v>0</v>
      </c>
      <c r="G2844" s="128">
        <v>0</v>
      </c>
      <c r="H2844" s="128">
        <v>0</v>
      </c>
      <c r="I2844" s="128">
        <v>0</v>
      </c>
      <c r="J2844" s="128">
        <v>0</v>
      </c>
    </row>
    <row r="2845" spans="1:10">
      <c r="A2845" s="122" t="s">
        <v>103</v>
      </c>
      <c r="B2845" s="122" t="s">
        <v>14</v>
      </c>
      <c r="C2845" s="125">
        <v>0.62013888888888902</v>
      </c>
      <c r="D2845" s="128">
        <v>0</v>
      </c>
      <c r="E2845" s="128">
        <v>0</v>
      </c>
      <c r="F2845" s="128">
        <v>0</v>
      </c>
      <c r="G2845" s="128">
        <v>0</v>
      </c>
      <c r="H2845" s="128">
        <v>0</v>
      </c>
      <c r="I2845" s="128">
        <v>0</v>
      </c>
      <c r="J2845" s="128">
        <v>0</v>
      </c>
    </row>
    <row r="2846" spans="1:10">
      <c r="A2846" s="122" t="s">
        <v>103</v>
      </c>
      <c r="B2846" s="122" t="s">
        <v>14</v>
      </c>
      <c r="C2846" s="125">
        <v>0.62083333333333302</v>
      </c>
      <c r="D2846" s="128">
        <v>0</v>
      </c>
      <c r="E2846" s="128">
        <v>0</v>
      </c>
      <c r="F2846" s="128">
        <v>0</v>
      </c>
      <c r="G2846" s="128">
        <v>0</v>
      </c>
      <c r="H2846" s="128">
        <v>0</v>
      </c>
      <c r="I2846" s="128">
        <v>0</v>
      </c>
      <c r="J2846" s="128">
        <v>0</v>
      </c>
    </row>
    <row r="2847" spans="1:10">
      <c r="A2847" s="122" t="s">
        <v>103</v>
      </c>
      <c r="B2847" s="122" t="s">
        <v>14</v>
      </c>
      <c r="C2847" s="125">
        <v>0.62152777777777801</v>
      </c>
      <c r="D2847" s="128">
        <v>0</v>
      </c>
      <c r="E2847" s="128">
        <v>0</v>
      </c>
      <c r="F2847" s="128">
        <v>0</v>
      </c>
      <c r="G2847" s="128">
        <v>0</v>
      </c>
      <c r="H2847" s="128">
        <v>0</v>
      </c>
      <c r="I2847" s="128">
        <v>0</v>
      </c>
      <c r="J2847" s="128">
        <v>0</v>
      </c>
    </row>
    <row r="2848" spans="1:10">
      <c r="A2848" s="122" t="s">
        <v>103</v>
      </c>
      <c r="B2848" s="122" t="s">
        <v>14</v>
      </c>
      <c r="C2848" s="125">
        <v>0.62222222222222201</v>
      </c>
      <c r="D2848" s="128">
        <v>0</v>
      </c>
      <c r="E2848" s="128">
        <v>0</v>
      </c>
      <c r="F2848" s="128">
        <v>0</v>
      </c>
      <c r="G2848" s="128">
        <v>0</v>
      </c>
      <c r="H2848" s="128">
        <v>0</v>
      </c>
      <c r="I2848" s="128">
        <v>0</v>
      </c>
      <c r="J2848" s="128">
        <v>0</v>
      </c>
    </row>
    <row r="2849" spans="1:10">
      <c r="A2849" s="122" t="s">
        <v>103</v>
      </c>
      <c r="B2849" s="122" t="s">
        <v>14</v>
      </c>
      <c r="C2849" s="125">
        <v>0.62291666666666701</v>
      </c>
      <c r="D2849" s="128">
        <v>0</v>
      </c>
      <c r="E2849" s="128">
        <v>0</v>
      </c>
      <c r="F2849" s="128">
        <v>0</v>
      </c>
      <c r="G2849" s="128">
        <v>0</v>
      </c>
      <c r="H2849" s="128">
        <v>0</v>
      </c>
      <c r="I2849" s="128">
        <v>0</v>
      </c>
      <c r="J2849" s="128">
        <v>0</v>
      </c>
    </row>
    <row r="2850" spans="1:10">
      <c r="A2850" s="122" t="s">
        <v>103</v>
      </c>
      <c r="B2850" s="122" t="s">
        <v>14</v>
      </c>
      <c r="C2850" s="125">
        <v>0.62361111111111101</v>
      </c>
      <c r="D2850" s="128">
        <v>0</v>
      </c>
      <c r="E2850" s="128">
        <v>0</v>
      </c>
      <c r="F2850" s="128">
        <v>0</v>
      </c>
      <c r="G2850" s="128">
        <v>0</v>
      </c>
      <c r="H2850" s="128">
        <v>0</v>
      </c>
      <c r="I2850" s="128">
        <v>0</v>
      </c>
      <c r="J2850" s="128">
        <v>0</v>
      </c>
    </row>
    <row r="2851" spans="1:10">
      <c r="A2851" s="123" t="s">
        <v>103</v>
      </c>
      <c r="B2851" s="123" t="s">
        <v>14</v>
      </c>
      <c r="C2851" s="126">
        <v>0.624305555555555</v>
      </c>
      <c r="D2851" s="129">
        <v>0</v>
      </c>
      <c r="E2851" s="129">
        <v>0</v>
      </c>
      <c r="F2851" s="129">
        <v>0</v>
      </c>
      <c r="G2851" s="129">
        <v>0</v>
      </c>
      <c r="H2851" s="129">
        <v>0</v>
      </c>
      <c r="I2851" s="129">
        <v>0</v>
      </c>
      <c r="J2851" s="129">
        <v>0</v>
      </c>
    </row>
    <row r="2852" spans="1:10">
      <c r="A2852" s="122" t="s">
        <v>103</v>
      </c>
      <c r="B2852" s="122" t="s">
        <v>14</v>
      </c>
      <c r="C2852" s="125">
        <v>0.625</v>
      </c>
      <c r="D2852" s="130">
        <v>0</v>
      </c>
      <c r="E2852" s="130">
        <v>0</v>
      </c>
      <c r="F2852" s="130">
        <v>0</v>
      </c>
      <c r="G2852" s="130">
        <v>0</v>
      </c>
      <c r="H2852" s="130">
        <v>0</v>
      </c>
      <c r="I2852" s="130">
        <v>0</v>
      </c>
      <c r="J2852" s="130">
        <v>0</v>
      </c>
    </row>
    <row r="2853" spans="1:10">
      <c r="A2853" s="122" t="s">
        <v>103</v>
      </c>
      <c r="B2853" s="122" t="s">
        <v>14</v>
      </c>
      <c r="C2853" s="125">
        <v>0.625694444444444</v>
      </c>
      <c r="D2853" s="128">
        <v>0</v>
      </c>
      <c r="E2853" s="128">
        <v>0</v>
      </c>
      <c r="F2853" s="128">
        <v>0</v>
      </c>
      <c r="G2853" s="128">
        <v>0</v>
      </c>
      <c r="H2853" s="128">
        <v>0</v>
      </c>
      <c r="I2853" s="128">
        <v>0</v>
      </c>
      <c r="J2853" s="128">
        <v>0</v>
      </c>
    </row>
    <row r="2854" spans="1:10">
      <c r="A2854" s="122" t="s">
        <v>103</v>
      </c>
      <c r="B2854" s="122" t="s">
        <v>14</v>
      </c>
      <c r="C2854" s="125">
        <v>0.62638888888888899</v>
      </c>
      <c r="D2854" s="128">
        <v>0</v>
      </c>
      <c r="E2854" s="128">
        <v>0</v>
      </c>
      <c r="F2854" s="128">
        <v>0</v>
      </c>
      <c r="G2854" s="128">
        <v>0</v>
      </c>
      <c r="H2854" s="128">
        <v>0</v>
      </c>
      <c r="I2854" s="128">
        <v>0</v>
      </c>
      <c r="J2854" s="128">
        <v>0</v>
      </c>
    </row>
    <row r="2855" spans="1:10">
      <c r="A2855" s="122" t="s">
        <v>103</v>
      </c>
      <c r="B2855" s="122" t="s">
        <v>14</v>
      </c>
      <c r="C2855" s="125">
        <v>0.62708333333333299</v>
      </c>
      <c r="D2855" s="128">
        <v>0</v>
      </c>
      <c r="E2855" s="128">
        <v>0</v>
      </c>
      <c r="F2855" s="128">
        <v>0</v>
      </c>
      <c r="G2855" s="128">
        <v>0</v>
      </c>
      <c r="H2855" s="128">
        <v>0</v>
      </c>
      <c r="I2855" s="128">
        <v>0</v>
      </c>
      <c r="J2855" s="128">
        <v>0</v>
      </c>
    </row>
    <row r="2856" spans="1:10">
      <c r="A2856" s="122" t="s">
        <v>103</v>
      </c>
      <c r="B2856" s="122" t="s">
        <v>14</v>
      </c>
      <c r="C2856" s="125">
        <v>0.62777777777777799</v>
      </c>
      <c r="D2856" s="128">
        <v>0</v>
      </c>
      <c r="E2856" s="128">
        <v>0</v>
      </c>
      <c r="F2856" s="128">
        <v>0</v>
      </c>
      <c r="G2856" s="128">
        <v>0</v>
      </c>
      <c r="H2856" s="128">
        <v>0</v>
      </c>
      <c r="I2856" s="128">
        <v>0</v>
      </c>
      <c r="J2856" s="128">
        <v>0</v>
      </c>
    </row>
    <row r="2857" spans="1:10">
      <c r="A2857" s="122" t="s">
        <v>103</v>
      </c>
      <c r="B2857" s="122" t="s">
        <v>14</v>
      </c>
      <c r="C2857" s="125">
        <v>0.62847222222222199</v>
      </c>
      <c r="D2857" s="128">
        <v>0</v>
      </c>
      <c r="E2857" s="128">
        <v>0</v>
      </c>
      <c r="F2857" s="128">
        <v>0</v>
      </c>
      <c r="G2857" s="128">
        <v>0</v>
      </c>
      <c r="H2857" s="128">
        <v>0</v>
      </c>
      <c r="I2857" s="128">
        <v>0</v>
      </c>
      <c r="J2857" s="128">
        <v>0</v>
      </c>
    </row>
    <row r="2858" spans="1:10">
      <c r="A2858" s="122" t="s">
        <v>103</v>
      </c>
      <c r="B2858" s="122" t="s">
        <v>14</v>
      </c>
      <c r="C2858" s="125">
        <v>0.62916666666666698</v>
      </c>
      <c r="D2858" s="128">
        <v>0</v>
      </c>
      <c r="E2858" s="128">
        <v>0</v>
      </c>
      <c r="F2858" s="128">
        <v>0</v>
      </c>
      <c r="G2858" s="128">
        <v>0</v>
      </c>
      <c r="H2858" s="128">
        <v>0</v>
      </c>
      <c r="I2858" s="128">
        <v>0</v>
      </c>
      <c r="J2858" s="128">
        <v>0</v>
      </c>
    </row>
    <row r="2859" spans="1:10">
      <c r="A2859" s="122" t="s">
        <v>103</v>
      </c>
      <c r="B2859" s="122" t="s">
        <v>14</v>
      </c>
      <c r="C2859" s="125">
        <v>0.62986111111111098</v>
      </c>
      <c r="D2859" s="128">
        <v>0</v>
      </c>
      <c r="E2859" s="128">
        <v>0</v>
      </c>
      <c r="F2859" s="128">
        <v>0</v>
      </c>
      <c r="G2859" s="128">
        <v>0</v>
      </c>
      <c r="H2859" s="128">
        <v>0</v>
      </c>
      <c r="I2859" s="128">
        <v>0</v>
      </c>
      <c r="J2859" s="128">
        <v>0</v>
      </c>
    </row>
    <row r="2860" spans="1:10">
      <c r="A2860" s="122" t="s">
        <v>103</v>
      </c>
      <c r="B2860" s="122" t="s">
        <v>14</v>
      </c>
      <c r="C2860" s="125">
        <v>0.63055555555555498</v>
      </c>
      <c r="D2860" s="128">
        <v>0</v>
      </c>
      <c r="E2860" s="128">
        <v>0</v>
      </c>
      <c r="F2860" s="128">
        <v>0</v>
      </c>
      <c r="G2860" s="128">
        <v>0</v>
      </c>
      <c r="H2860" s="128">
        <v>0</v>
      </c>
      <c r="I2860" s="128">
        <v>0</v>
      </c>
      <c r="J2860" s="128">
        <v>0</v>
      </c>
    </row>
    <row r="2861" spans="1:10">
      <c r="A2861" s="122" t="s">
        <v>103</v>
      </c>
      <c r="B2861" s="122" t="s">
        <v>14</v>
      </c>
      <c r="C2861" s="125">
        <v>0.63124999999999998</v>
      </c>
      <c r="D2861" s="128">
        <v>0</v>
      </c>
      <c r="E2861" s="128">
        <v>0</v>
      </c>
      <c r="F2861" s="128">
        <v>0</v>
      </c>
      <c r="G2861" s="128">
        <v>0</v>
      </c>
      <c r="H2861" s="128">
        <v>0</v>
      </c>
      <c r="I2861" s="128">
        <v>0</v>
      </c>
      <c r="J2861" s="128">
        <v>0</v>
      </c>
    </row>
    <row r="2862" spans="1:10">
      <c r="A2862" s="122" t="s">
        <v>103</v>
      </c>
      <c r="B2862" s="122" t="s">
        <v>14</v>
      </c>
      <c r="C2862" s="125">
        <v>0.63194444444444398</v>
      </c>
      <c r="D2862" s="128">
        <v>0</v>
      </c>
      <c r="E2862" s="128">
        <v>0</v>
      </c>
      <c r="F2862" s="128">
        <v>0</v>
      </c>
      <c r="G2862" s="128">
        <v>0</v>
      </c>
      <c r="H2862" s="128">
        <v>0</v>
      </c>
      <c r="I2862" s="128">
        <v>0</v>
      </c>
      <c r="J2862" s="128">
        <v>0</v>
      </c>
    </row>
    <row r="2863" spans="1:10">
      <c r="A2863" s="122" t="s">
        <v>103</v>
      </c>
      <c r="B2863" s="122" t="s">
        <v>14</v>
      </c>
      <c r="C2863" s="125">
        <v>0.63263888888888897</v>
      </c>
      <c r="D2863" s="128">
        <v>0</v>
      </c>
      <c r="E2863" s="128">
        <v>0</v>
      </c>
      <c r="F2863" s="128">
        <v>0</v>
      </c>
      <c r="G2863" s="128">
        <v>0</v>
      </c>
      <c r="H2863" s="128">
        <v>0</v>
      </c>
      <c r="I2863" s="128">
        <v>0</v>
      </c>
      <c r="J2863" s="128">
        <v>0</v>
      </c>
    </row>
    <row r="2864" spans="1:10">
      <c r="A2864" s="122" t="s">
        <v>103</v>
      </c>
      <c r="B2864" s="122" t="s">
        <v>14</v>
      </c>
      <c r="C2864" s="125">
        <v>0.63333333333333297</v>
      </c>
      <c r="D2864" s="128">
        <v>0</v>
      </c>
      <c r="E2864" s="128">
        <v>0</v>
      </c>
      <c r="F2864" s="128">
        <v>0</v>
      </c>
      <c r="G2864" s="128">
        <v>0</v>
      </c>
      <c r="H2864" s="128">
        <v>0</v>
      </c>
      <c r="I2864" s="128">
        <v>0</v>
      </c>
      <c r="J2864" s="128">
        <v>0</v>
      </c>
    </row>
    <row r="2865" spans="1:10">
      <c r="A2865" s="122" t="s">
        <v>103</v>
      </c>
      <c r="B2865" s="122" t="s">
        <v>14</v>
      </c>
      <c r="C2865" s="125">
        <v>0.63402777777777797</v>
      </c>
      <c r="D2865" s="128">
        <v>0</v>
      </c>
      <c r="E2865" s="128">
        <v>0</v>
      </c>
      <c r="F2865" s="128">
        <v>0</v>
      </c>
      <c r="G2865" s="128">
        <v>0</v>
      </c>
      <c r="H2865" s="128">
        <v>0</v>
      </c>
      <c r="I2865" s="128">
        <v>0</v>
      </c>
      <c r="J2865" s="128">
        <v>0</v>
      </c>
    </row>
    <row r="2866" spans="1:10">
      <c r="A2866" s="123" t="s">
        <v>103</v>
      </c>
      <c r="B2866" s="123" t="s">
        <v>14</v>
      </c>
      <c r="C2866" s="126">
        <v>0.63472222222222197</v>
      </c>
      <c r="D2866" s="129">
        <v>0</v>
      </c>
      <c r="E2866" s="129">
        <v>0</v>
      </c>
      <c r="F2866" s="129">
        <v>0</v>
      </c>
      <c r="G2866" s="129">
        <v>0</v>
      </c>
      <c r="H2866" s="129">
        <v>0</v>
      </c>
      <c r="I2866" s="129">
        <v>0</v>
      </c>
      <c r="J2866" s="129">
        <v>0</v>
      </c>
    </row>
    <row r="2867" spans="1:10">
      <c r="A2867" s="122" t="s">
        <v>103</v>
      </c>
      <c r="B2867" s="122" t="s">
        <v>14</v>
      </c>
      <c r="C2867" s="125">
        <v>0.63541666666666696</v>
      </c>
      <c r="D2867" s="130">
        <v>0</v>
      </c>
      <c r="E2867" s="130">
        <v>0</v>
      </c>
      <c r="F2867" s="130">
        <v>0</v>
      </c>
      <c r="G2867" s="130">
        <v>0</v>
      </c>
      <c r="H2867" s="130">
        <v>0</v>
      </c>
      <c r="I2867" s="130">
        <v>0</v>
      </c>
      <c r="J2867" s="130">
        <v>0</v>
      </c>
    </row>
    <row r="2868" spans="1:10">
      <c r="A2868" s="122" t="s">
        <v>103</v>
      </c>
      <c r="B2868" s="122" t="s">
        <v>14</v>
      </c>
      <c r="C2868" s="125">
        <v>0.63611111111111096</v>
      </c>
      <c r="D2868" s="128">
        <v>0</v>
      </c>
      <c r="E2868" s="128">
        <v>0</v>
      </c>
      <c r="F2868" s="128">
        <v>0</v>
      </c>
      <c r="G2868" s="128">
        <v>0</v>
      </c>
      <c r="H2868" s="128">
        <v>0</v>
      </c>
      <c r="I2868" s="128">
        <v>0</v>
      </c>
      <c r="J2868" s="128">
        <v>0</v>
      </c>
    </row>
    <row r="2869" spans="1:10">
      <c r="A2869" s="122" t="s">
        <v>103</v>
      </c>
      <c r="B2869" s="122" t="s">
        <v>14</v>
      </c>
      <c r="C2869" s="125">
        <v>0.63680555555555496</v>
      </c>
      <c r="D2869" s="128">
        <v>0</v>
      </c>
      <c r="E2869" s="128">
        <v>0</v>
      </c>
      <c r="F2869" s="128">
        <v>0</v>
      </c>
      <c r="G2869" s="128">
        <v>0</v>
      </c>
      <c r="H2869" s="128">
        <v>0</v>
      </c>
      <c r="I2869" s="128">
        <v>0</v>
      </c>
      <c r="J2869" s="128">
        <v>0</v>
      </c>
    </row>
    <row r="2870" spans="1:10">
      <c r="A2870" s="122" t="s">
        <v>103</v>
      </c>
      <c r="B2870" s="122" t="s">
        <v>14</v>
      </c>
      <c r="C2870" s="125">
        <v>0.63749999999999996</v>
      </c>
      <c r="D2870" s="128">
        <v>0</v>
      </c>
      <c r="E2870" s="128">
        <v>0</v>
      </c>
      <c r="F2870" s="128">
        <v>0</v>
      </c>
      <c r="G2870" s="128">
        <v>0</v>
      </c>
      <c r="H2870" s="128">
        <v>0</v>
      </c>
      <c r="I2870" s="128">
        <v>0</v>
      </c>
      <c r="J2870" s="128">
        <v>0</v>
      </c>
    </row>
    <row r="2871" spans="1:10">
      <c r="A2871" s="122" t="s">
        <v>103</v>
      </c>
      <c r="B2871" s="122" t="s">
        <v>14</v>
      </c>
      <c r="C2871" s="125">
        <v>0.63819444444444395</v>
      </c>
      <c r="D2871" s="128">
        <v>0</v>
      </c>
      <c r="E2871" s="128">
        <v>0</v>
      </c>
      <c r="F2871" s="128">
        <v>0</v>
      </c>
      <c r="G2871" s="128">
        <v>0</v>
      </c>
      <c r="H2871" s="128">
        <v>0</v>
      </c>
      <c r="I2871" s="128">
        <v>0</v>
      </c>
      <c r="J2871" s="128">
        <v>0</v>
      </c>
    </row>
    <row r="2872" spans="1:10">
      <c r="A2872" s="122" t="s">
        <v>103</v>
      </c>
      <c r="B2872" s="122" t="s">
        <v>14</v>
      </c>
      <c r="C2872" s="125">
        <v>0.63888888888888895</v>
      </c>
      <c r="D2872" s="128">
        <v>0</v>
      </c>
      <c r="E2872" s="128">
        <v>0</v>
      </c>
      <c r="F2872" s="128">
        <v>0</v>
      </c>
      <c r="G2872" s="128">
        <v>0</v>
      </c>
      <c r="H2872" s="128">
        <v>0</v>
      </c>
      <c r="I2872" s="128">
        <v>0</v>
      </c>
      <c r="J2872" s="128">
        <v>0</v>
      </c>
    </row>
    <row r="2873" spans="1:10">
      <c r="A2873" s="122" t="s">
        <v>103</v>
      </c>
      <c r="B2873" s="122" t="s">
        <v>14</v>
      </c>
      <c r="C2873" s="125">
        <v>0.63958333333333295</v>
      </c>
      <c r="D2873" s="128">
        <v>0</v>
      </c>
      <c r="E2873" s="128">
        <v>0</v>
      </c>
      <c r="F2873" s="128">
        <v>0</v>
      </c>
      <c r="G2873" s="128">
        <v>0</v>
      </c>
      <c r="H2873" s="128">
        <v>0</v>
      </c>
      <c r="I2873" s="128">
        <v>0</v>
      </c>
      <c r="J2873" s="128">
        <v>0</v>
      </c>
    </row>
    <row r="2874" spans="1:10">
      <c r="A2874" s="122" t="s">
        <v>103</v>
      </c>
      <c r="B2874" s="122" t="s">
        <v>14</v>
      </c>
      <c r="C2874" s="125">
        <v>0.64027777777777795</v>
      </c>
      <c r="D2874" s="128">
        <v>0</v>
      </c>
      <c r="E2874" s="128">
        <v>0</v>
      </c>
      <c r="F2874" s="128">
        <v>0</v>
      </c>
      <c r="G2874" s="128">
        <v>0</v>
      </c>
      <c r="H2874" s="128">
        <v>0</v>
      </c>
      <c r="I2874" s="128">
        <v>0</v>
      </c>
      <c r="J2874" s="128">
        <v>0</v>
      </c>
    </row>
    <row r="2875" spans="1:10">
      <c r="A2875" s="122" t="s">
        <v>103</v>
      </c>
      <c r="B2875" s="122" t="s">
        <v>14</v>
      </c>
      <c r="C2875" s="125">
        <v>0.64097222222222205</v>
      </c>
      <c r="D2875" s="128">
        <v>0</v>
      </c>
      <c r="E2875" s="128">
        <v>0</v>
      </c>
      <c r="F2875" s="128">
        <v>0</v>
      </c>
      <c r="G2875" s="128">
        <v>0</v>
      </c>
      <c r="H2875" s="128">
        <v>0</v>
      </c>
      <c r="I2875" s="128">
        <v>0</v>
      </c>
      <c r="J2875" s="128">
        <v>0</v>
      </c>
    </row>
    <row r="2876" spans="1:10">
      <c r="A2876" s="122" t="s">
        <v>103</v>
      </c>
      <c r="B2876" s="122" t="s">
        <v>14</v>
      </c>
      <c r="C2876" s="125">
        <v>0.64166666666666605</v>
      </c>
      <c r="D2876" s="128">
        <v>0</v>
      </c>
      <c r="E2876" s="128">
        <v>0</v>
      </c>
      <c r="F2876" s="128">
        <v>0</v>
      </c>
      <c r="G2876" s="128">
        <v>0</v>
      </c>
      <c r="H2876" s="128">
        <v>0</v>
      </c>
      <c r="I2876" s="128">
        <v>0</v>
      </c>
      <c r="J2876" s="128">
        <v>0</v>
      </c>
    </row>
    <row r="2877" spans="1:10">
      <c r="A2877" s="122" t="s">
        <v>103</v>
      </c>
      <c r="B2877" s="122" t="s">
        <v>14</v>
      </c>
      <c r="C2877" s="125">
        <v>0.64236111111111105</v>
      </c>
      <c r="D2877" s="128">
        <v>0</v>
      </c>
      <c r="E2877" s="128">
        <v>0</v>
      </c>
      <c r="F2877" s="128">
        <v>0</v>
      </c>
      <c r="G2877" s="128">
        <v>0</v>
      </c>
      <c r="H2877" s="128">
        <v>0</v>
      </c>
      <c r="I2877" s="128">
        <v>0</v>
      </c>
      <c r="J2877" s="128">
        <v>0</v>
      </c>
    </row>
    <row r="2878" spans="1:10">
      <c r="A2878" s="122" t="s">
        <v>103</v>
      </c>
      <c r="B2878" s="122" t="s">
        <v>14</v>
      </c>
      <c r="C2878" s="125">
        <v>0.64305555555555505</v>
      </c>
      <c r="D2878" s="128">
        <v>0</v>
      </c>
      <c r="E2878" s="128">
        <v>0</v>
      </c>
      <c r="F2878" s="128">
        <v>0</v>
      </c>
      <c r="G2878" s="128">
        <v>0</v>
      </c>
      <c r="H2878" s="128">
        <v>0</v>
      </c>
      <c r="I2878" s="128">
        <v>0</v>
      </c>
      <c r="J2878" s="128">
        <v>0</v>
      </c>
    </row>
    <row r="2879" spans="1:10">
      <c r="A2879" s="122" t="s">
        <v>103</v>
      </c>
      <c r="B2879" s="122" t="s">
        <v>14</v>
      </c>
      <c r="C2879" s="125">
        <v>0.64375000000000004</v>
      </c>
      <c r="D2879" s="128">
        <v>0</v>
      </c>
      <c r="E2879" s="128">
        <v>0</v>
      </c>
      <c r="F2879" s="128">
        <v>0</v>
      </c>
      <c r="G2879" s="128">
        <v>0</v>
      </c>
      <c r="H2879" s="128">
        <v>0</v>
      </c>
      <c r="I2879" s="128">
        <v>0</v>
      </c>
      <c r="J2879" s="128">
        <v>0</v>
      </c>
    </row>
    <row r="2880" spans="1:10">
      <c r="A2880" s="122" t="s">
        <v>103</v>
      </c>
      <c r="B2880" s="122" t="s">
        <v>14</v>
      </c>
      <c r="C2880" s="125">
        <v>0.64444444444444404</v>
      </c>
      <c r="D2880" s="128">
        <v>0</v>
      </c>
      <c r="E2880" s="128">
        <v>0</v>
      </c>
      <c r="F2880" s="128">
        <v>0</v>
      </c>
      <c r="G2880" s="128">
        <v>0</v>
      </c>
      <c r="H2880" s="128">
        <v>0</v>
      </c>
      <c r="I2880" s="128">
        <v>0</v>
      </c>
      <c r="J2880" s="128">
        <v>0</v>
      </c>
    </row>
    <row r="2881" spans="1:10" ht="17.5" thickBot="1">
      <c r="A2881" s="124" t="s">
        <v>103</v>
      </c>
      <c r="B2881" s="124" t="s">
        <v>14</v>
      </c>
      <c r="C2881" s="127">
        <v>0.64513888888888904</v>
      </c>
      <c r="D2881" s="131">
        <v>0</v>
      </c>
      <c r="E2881" s="131">
        <v>0</v>
      </c>
      <c r="F2881" s="131">
        <v>0</v>
      </c>
      <c r="G2881" s="131">
        <v>0</v>
      </c>
      <c r="H2881" s="131">
        <v>0</v>
      </c>
      <c r="I2881" s="131">
        <v>0</v>
      </c>
      <c r="J2881" s="131">
        <v>0</v>
      </c>
    </row>
    <row r="2882" spans="1:10">
      <c r="A2882" s="133" t="s">
        <v>105</v>
      </c>
      <c r="B2882" s="133" t="s">
        <v>11</v>
      </c>
      <c r="C2882" s="134">
        <v>0.72916666666666663</v>
      </c>
      <c r="D2882" s="135">
        <v>0</v>
      </c>
      <c r="E2882" s="135">
        <v>0</v>
      </c>
      <c r="F2882" s="135">
        <v>0</v>
      </c>
      <c r="G2882" s="135">
        <v>0</v>
      </c>
      <c r="H2882" s="135">
        <v>0</v>
      </c>
      <c r="I2882" s="135">
        <v>0</v>
      </c>
      <c r="J2882" s="135">
        <v>0</v>
      </c>
    </row>
    <row r="2883" spans="1:10">
      <c r="A2883" s="133" t="s">
        <v>104</v>
      </c>
      <c r="B2883" s="133" t="s">
        <v>11</v>
      </c>
      <c r="C2883" s="134">
        <v>0.72986111111111107</v>
      </c>
      <c r="D2883" s="135">
        <v>0</v>
      </c>
      <c r="E2883" s="135">
        <v>0</v>
      </c>
      <c r="F2883" s="135">
        <v>0</v>
      </c>
      <c r="G2883" s="135">
        <v>0</v>
      </c>
      <c r="H2883" s="135">
        <v>0</v>
      </c>
      <c r="I2883" s="135">
        <v>0</v>
      </c>
      <c r="J2883" s="135">
        <v>0</v>
      </c>
    </row>
    <row r="2884" spans="1:10">
      <c r="A2884" s="133" t="s">
        <v>104</v>
      </c>
      <c r="B2884" s="133" t="s">
        <v>11</v>
      </c>
      <c r="C2884" s="134">
        <v>0.73055555555555596</v>
      </c>
      <c r="D2884" s="135">
        <v>0</v>
      </c>
      <c r="E2884" s="135">
        <v>0</v>
      </c>
      <c r="F2884" s="135">
        <v>0</v>
      </c>
      <c r="G2884" s="135">
        <v>0</v>
      </c>
      <c r="H2884" s="135">
        <v>0</v>
      </c>
      <c r="I2884" s="135">
        <v>0</v>
      </c>
      <c r="J2884" s="135">
        <v>0</v>
      </c>
    </row>
    <row r="2885" spans="1:10">
      <c r="A2885" s="133" t="s">
        <v>104</v>
      </c>
      <c r="B2885" s="133" t="s">
        <v>11</v>
      </c>
      <c r="C2885" s="134">
        <v>0.73124999999999996</v>
      </c>
      <c r="D2885" s="135">
        <v>0</v>
      </c>
      <c r="E2885" s="135">
        <v>0</v>
      </c>
      <c r="F2885" s="135">
        <v>0</v>
      </c>
      <c r="G2885" s="135">
        <v>0</v>
      </c>
      <c r="H2885" s="135">
        <v>0</v>
      </c>
      <c r="I2885" s="135">
        <v>0</v>
      </c>
      <c r="J2885" s="135">
        <v>0</v>
      </c>
    </row>
    <row r="2886" spans="1:10">
      <c r="A2886" s="133" t="s">
        <v>104</v>
      </c>
      <c r="B2886" s="133" t="s">
        <v>11</v>
      </c>
      <c r="C2886" s="134">
        <v>0.73194444444444395</v>
      </c>
      <c r="D2886" s="135">
        <v>0</v>
      </c>
      <c r="E2886" s="135">
        <v>0</v>
      </c>
      <c r="F2886" s="135">
        <v>0</v>
      </c>
      <c r="G2886" s="135">
        <v>0</v>
      </c>
      <c r="H2886" s="135">
        <v>0</v>
      </c>
      <c r="I2886" s="135">
        <v>0</v>
      </c>
      <c r="J2886" s="135">
        <v>0</v>
      </c>
    </row>
    <row r="2887" spans="1:10">
      <c r="A2887" s="133" t="s">
        <v>104</v>
      </c>
      <c r="B2887" s="133" t="s">
        <v>11</v>
      </c>
      <c r="C2887" s="134">
        <v>0.73263888888888895</v>
      </c>
      <c r="D2887" s="135">
        <v>0</v>
      </c>
      <c r="E2887" s="135">
        <v>0</v>
      </c>
      <c r="F2887" s="135">
        <v>0</v>
      </c>
      <c r="G2887" s="135">
        <v>0</v>
      </c>
      <c r="H2887" s="135">
        <v>0</v>
      </c>
      <c r="I2887" s="135">
        <v>0</v>
      </c>
      <c r="J2887" s="135">
        <v>0</v>
      </c>
    </row>
    <row r="2888" spans="1:10">
      <c r="A2888" s="133" t="s">
        <v>104</v>
      </c>
      <c r="B2888" s="133" t="s">
        <v>11</v>
      </c>
      <c r="C2888" s="134">
        <v>0.73333333333333295</v>
      </c>
      <c r="D2888" s="135">
        <v>0</v>
      </c>
      <c r="E2888" s="135">
        <v>0</v>
      </c>
      <c r="F2888" s="135">
        <v>0</v>
      </c>
      <c r="G2888" s="135">
        <v>0</v>
      </c>
      <c r="H2888" s="135">
        <v>0</v>
      </c>
      <c r="I2888" s="135">
        <v>0</v>
      </c>
      <c r="J2888" s="135">
        <v>0</v>
      </c>
    </row>
    <row r="2889" spans="1:10">
      <c r="A2889" s="133" t="s">
        <v>104</v>
      </c>
      <c r="B2889" s="133" t="s">
        <v>11</v>
      </c>
      <c r="C2889" s="134">
        <v>0.73402777777777795</v>
      </c>
      <c r="D2889" s="135">
        <v>0</v>
      </c>
      <c r="E2889" s="135">
        <v>0</v>
      </c>
      <c r="F2889" s="135">
        <v>0</v>
      </c>
      <c r="G2889" s="135">
        <v>0</v>
      </c>
      <c r="H2889" s="135">
        <v>0</v>
      </c>
      <c r="I2889" s="135">
        <v>0</v>
      </c>
      <c r="J2889" s="135">
        <v>0</v>
      </c>
    </row>
    <row r="2890" spans="1:10">
      <c r="A2890" s="133" t="s">
        <v>104</v>
      </c>
      <c r="B2890" s="133" t="s">
        <v>11</v>
      </c>
      <c r="C2890" s="134">
        <v>0.73472222222222205</v>
      </c>
      <c r="D2890" s="135">
        <v>0</v>
      </c>
      <c r="E2890" s="135">
        <v>0</v>
      </c>
      <c r="F2890" s="135">
        <v>0</v>
      </c>
      <c r="G2890" s="135">
        <v>0</v>
      </c>
      <c r="H2890" s="135">
        <v>0</v>
      </c>
      <c r="I2890" s="135">
        <v>0</v>
      </c>
      <c r="J2890" s="135">
        <v>0</v>
      </c>
    </row>
    <row r="2891" spans="1:10">
      <c r="A2891" s="133" t="s">
        <v>104</v>
      </c>
      <c r="B2891" s="133" t="s">
        <v>11</v>
      </c>
      <c r="C2891" s="134">
        <v>0.73541666666666705</v>
      </c>
      <c r="D2891" s="135">
        <v>0</v>
      </c>
      <c r="E2891" s="135">
        <v>0</v>
      </c>
      <c r="F2891" s="135">
        <v>0</v>
      </c>
      <c r="G2891" s="135">
        <v>0</v>
      </c>
      <c r="H2891" s="135">
        <v>0</v>
      </c>
      <c r="I2891" s="135">
        <v>0</v>
      </c>
      <c r="J2891" s="135">
        <v>0</v>
      </c>
    </row>
    <row r="2892" spans="1:10">
      <c r="A2892" s="133" t="s">
        <v>104</v>
      </c>
      <c r="B2892" s="133" t="s">
        <v>11</v>
      </c>
      <c r="C2892" s="134">
        <v>0.73611111111111105</v>
      </c>
      <c r="D2892" s="135">
        <v>0</v>
      </c>
      <c r="E2892" s="135">
        <v>0</v>
      </c>
      <c r="F2892" s="135">
        <v>0</v>
      </c>
      <c r="G2892" s="135">
        <v>0</v>
      </c>
      <c r="H2892" s="135">
        <v>0</v>
      </c>
      <c r="I2892" s="135">
        <v>0</v>
      </c>
      <c r="J2892" s="135">
        <v>0</v>
      </c>
    </row>
    <row r="2893" spans="1:10">
      <c r="A2893" s="133" t="s">
        <v>104</v>
      </c>
      <c r="B2893" s="133" t="s">
        <v>11</v>
      </c>
      <c r="C2893" s="134">
        <v>0.73680555555555505</v>
      </c>
      <c r="D2893" s="135">
        <v>0</v>
      </c>
      <c r="E2893" s="135">
        <v>0</v>
      </c>
      <c r="F2893" s="135">
        <v>0</v>
      </c>
      <c r="G2893" s="135">
        <v>0</v>
      </c>
      <c r="H2893" s="135">
        <v>0</v>
      </c>
      <c r="I2893" s="135">
        <v>0</v>
      </c>
      <c r="J2893" s="135">
        <v>0</v>
      </c>
    </row>
    <row r="2894" spans="1:10">
      <c r="A2894" s="133" t="s">
        <v>104</v>
      </c>
      <c r="B2894" s="133" t="s">
        <v>11</v>
      </c>
      <c r="C2894" s="134">
        <v>0.73750000000000004</v>
      </c>
      <c r="D2894" s="135">
        <v>0</v>
      </c>
      <c r="E2894" s="135">
        <v>0</v>
      </c>
      <c r="F2894" s="135">
        <v>0</v>
      </c>
      <c r="G2894" s="135">
        <v>0</v>
      </c>
      <c r="H2894" s="135">
        <v>0</v>
      </c>
      <c r="I2894" s="135">
        <v>0</v>
      </c>
      <c r="J2894" s="135">
        <v>0</v>
      </c>
    </row>
    <row r="2895" spans="1:10">
      <c r="A2895" s="133" t="s">
        <v>104</v>
      </c>
      <c r="B2895" s="133" t="s">
        <v>11</v>
      </c>
      <c r="C2895" s="134">
        <v>0.73819444444444404</v>
      </c>
      <c r="D2895" s="135">
        <v>0</v>
      </c>
      <c r="E2895" s="135">
        <v>0</v>
      </c>
      <c r="F2895" s="135">
        <v>0</v>
      </c>
      <c r="G2895" s="135">
        <v>0</v>
      </c>
      <c r="H2895" s="135">
        <v>0</v>
      </c>
      <c r="I2895" s="135">
        <v>0</v>
      </c>
      <c r="J2895" s="135">
        <v>0</v>
      </c>
    </row>
    <row r="2896" spans="1:10">
      <c r="A2896" s="136" t="s">
        <v>104</v>
      </c>
      <c r="B2896" s="136" t="s">
        <v>11</v>
      </c>
      <c r="C2896" s="137">
        <v>0.73888888888888904</v>
      </c>
      <c r="D2896" s="135">
        <v>0</v>
      </c>
      <c r="E2896" s="135">
        <v>0</v>
      </c>
      <c r="F2896" s="135">
        <v>0</v>
      </c>
      <c r="G2896" s="135">
        <v>0</v>
      </c>
      <c r="H2896" s="135">
        <v>0</v>
      </c>
      <c r="I2896" s="135">
        <v>0</v>
      </c>
      <c r="J2896" s="135">
        <v>0</v>
      </c>
    </row>
    <row r="2897" spans="1:10">
      <c r="A2897" s="133" t="s">
        <v>104</v>
      </c>
      <c r="B2897" s="133" t="s">
        <v>11</v>
      </c>
      <c r="C2897" s="134">
        <v>0.73958333333333304</v>
      </c>
      <c r="D2897" s="139">
        <v>0</v>
      </c>
      <c r="E2897" s="139">
        <v>0</v>
      </c>
      <c r="F2897" s="139">
        <v>0</v>
      </c>
      <c r="G2897" s="139">
        <v>0</v>
      </c>
      <c r="H2897" s="139">
        <v>0</v>
      </c>
      <c r="I2897" s="139">
        <v>0</v>
      </c>
      <c r="J2897" s="139">
        <v>0</v>
      </c>
    </row>
    <row r="2898" spans="1:10">
      <c r="A2898" s="133" t="s">
        <v>104</v>
      </c>
      <c r="B2898" s="133" t="s">
        <v>11</v>
      </c>
      <c r="C2898" s="134">
        <v>0.74027777777777803</v>
      </c>
      <c r="D2898" s="135">
        <v>0</v>
      </c>
      <c r="E2898" s="135">
        <v>0</v>
      </c>
      <c r="F2898" s="135">
        <v>0</v>
      </c>
      <c r="G2898" s="135">
        <v>0</v>
      </c>
      <c r="H2898" s="135">
        <v>0</v>
      </c>
      <c r="I2898" s="135">
        <v>0</v>
      </c>
      <c r="J2898" s="135">
        <v>0</v>
      </c>
    </row>
    <row r="2899" spans="1:10">
      <c r="A2899" s="133" t="s">
        <v>104</v>
      </c>
      <c r="B2899" s="133" t="s">
        <v>11</v>
      </c>
      <c r="C2899" s="134">
        <v>0.74097222222222203</v>
      </c>
      <c r="D2899" s="135">
        <v>0</v>
      </c>
      <c r="E2899" s="135">
        <v>0</v>
      </c>
      <c r="F2899" s="135">
        <v>0</v>
      </c>
      <c r="G2899" s="135">
        <v>0</v>
      </c>
      <c r="H2899" s="135">
        <v>0</v>
      </c>
      <c r="I2899" s="135">
        <v>0</v>
      </c>
      <c r="J2899" s="135">
        <v>0</v>
      </c>
    </row>
    <row r="2900" spans="1:10">
      <c r="A2900" s="133" t="s">
        <v>104</v>
      </c>
      <c r="B2900" s="133" t="s">
        <v>11</v>
      </c>
      <c r="C2900" s="134">
        <v>0.74166666666666703</v>
      </c>
      <c r="D2900" s="135">
        <v>0</v>
      </c>
      <c r="E2900" s="135">
        <v>0</v>
      </c>
      <c r="F2900" s="135">
        <v>0</v>
      </c>
      <c r="G2900" s="135">
        <v>0</v>
      </c>
      <c r="H2900" s="135">
        <v>0</v>
      </c>
      <c r="I2900" s="135">
        <v>0</v>
      </c>
      <c r="J2900" s="135">
        <v>0</v>
      </c>
    </row>
    <row r="2901" spans="1:10">
      <c r="A2901" s="133" t="s">
        <v>104</v>
      </c>
      <c r="B2901" s="133" t="s">
        <v>11</v>
      </c>
      <c r="C2901" s="134">
        <v>0.74236111111111103</v>
      </c>
      <c r="D2901" s="135">
        <v>0</v>
      </c>
      <c r="E2901" s="135">
        <v>0</v>
      </c>
      <c r="F2901" s="135">
        <v>0</v>
      </c>
      <c r="G2901" s="135">
        <v>0</v>
      </c>
      <c r="H2901" s="135">
        <v>0</v>
      </c>
      <c r="I2901" s="135">
        <v>0</v>
      </c>
      <c r="J2901" s="135">
        <v>0</v>
      </c>
    </row>
    <row r="2902" spans="1:10">
      <c r="A2902" s="133" t="s">
        <v>104</v>
      </c>
      <c r="B2902" s="133" t="s">
        <v>11</v>
      </c>
      <c r="C2902" s="134">
        <v>0.74305555555555503</v>
      </c>
      <c r="D2902" s="135">
        <v>0</v>
      </c>
      <c r="E2902" s="135">
        <v>0</v>
      </c>
      <c r="F2902" s="135">
        <v>0</v>
      </c>
      <c r="G2902" s="135">
        <v>0</v>
      </c>
      <c r="H2902" s="135">
        <v>0</v>
      </c>
      <c r="I2902" s="135">
        <v>0</v>
      </c>
      <c r="J2902" s="135">
        <v>0</v>
      </c>
    </row>
    <row r="2903" spans="1:10">
      <c r="A2903" s="133" t="s">
        <v>104</v>
      </c>
      <c r="B2903" s="133" t="s">
        <v>11</v>
      </c>
      <c r="C2903" s="134">
        <v>0.74375000000000002</v>
      </c>
      <c r="D2903" s="135">
        <v>0</v>
      </c>
      <c r="E2903" s="135">
        <v>0</v>
      </c>
      <c r="F2903" s="135">
        <v>0</v>
      </c>
      <c r="G2903" s="135">
        <v>0</v>
      </c>
      <c r="H2903" s="135">
        <v>0</v>
      </c>
      <c r="I2903" s="135">
        <v>0</v>
      </c>
      <c r="J2903" s="135">
        <v>0</v>
      </c>
    </row>
    <row r="2904" spans="1:10">
      <c r="A2904" s="133" t="s">
        <v>104</v>
      </c>
      <c r="B2904" s="133" t="s">
        <v>11</v>
      </c>
      <c r="C2904" s="134">
        <v>0.74444444444444402</v>
      </c>
      <c r="D2904" s="135">
        <v>0</v>
      </c>
      <c r="E2904" s="135">
        <v>0</v>
      </c>
      <c r="F2904" s="135">
        <v>0</v>
      </c>
      <c r="G2904" s="135">
        <v>0</v>
      </c>
      <c r="H2904" s="135">
        <v>0</v>
      </c>
      <c r="I2904" s="135">
        <v>0</v>
      </c>
      <c r="J2904" s="135">
        <v>0</v>
      </c>
    </row>
    <row r="2905" spans="1:10">
      <c r="A2905" s="133" t="s">
        <v>104</v>
      </c>
      <c r="B2905" s="133" t="s">
        <v>11</v>
      </c>
      <c r="C2905" s="134">
        <v>0.74513888888888902</v>
      </c>
      <c r="D2905" s="135">
        <v>0</v>
      </c>
      <c r="E2905" s="135">
        <v>0</v>
      </c>
      <c r="F2905" s="135">
        <v>0</v>
      </c>
      <c r="G2905" s="135">
        <v>0</v>
      </c>
      <c r="H2905" s="135">
        <v>0</v>
      </c>
      <c r="I2905" s="135">
        <v>0</v>
      </c>
      <c r="J2905" s="135">
        <v>0</v>
      </c>
    </row>
    <row r="2906" spans="1:10">
      <c r="A2906" s="133" t="s">
        <v>104</v>
      </c>
      <c r="B2906" s="133" t="s">
        <v>11</v>
      </c>
      <c r="C2906" s="134">
        <v>0.74583333333333302</v>
      </c>
      <c r="D2906" s="135">
        <v>0</v>
      </c>
      <c r="E2906" s="135">
        <v>0</v>
      </c>
      <c r="F2906" s="135">
        <v>0</v>
      </c>
      <c r="G2906" s="135">
        <v>0</v>
      </c>
      <c r="H2906" s="135">
        <v>0</v>
      </c>
      <c r="I2906" s="135">
        <v>0</v>
      </c>
      <c r="J2906" s="135">
        <v>0</v>
      </c>
    </row>
    <row r="2907" spans="1:10">
      <c r="A2907" s="133" t="s">
        <v>104</v>
      </c>
      <c r="B2907" s="133" t="s">
        <v>11</v>
      </c>
      <c r="C2907" s="134">
        <v>0.74652777777777801</v>
      </c>
      <c r="D2907" s="135">
        <v>0</v>
      </c>
      <c r="E2907" s="135">
        <v>0</v>
      </c>
      <c r="F2907" s="135">
        <v>0</v>
      </c>
      <c r="G2907" s="135">
        <v>0</v>
      </c>
      <c r="H2907" s="135">
        <v>0</v>
      </c>
      <c r="I2907" s="135">
        <v>0</v>
      </c>
      <c r="J2907" s="135">
        <v>0</v>
      </c>
    </row>
    <row r="2908" spans="1:10">
      <c r="A2908" s="133" t="s">
        <v>104</v>
      </c>
      <c r="B2908" s="133" t="s">
        <v>11</v>
      </c>
      <c r="C2908" s="134">
        <v>0.74722222222222201</v>
      </c>
      <c r="D2908" s="135">
        <v>0</v>
      </c>
      <c r="E2908" s="135">
        <v>0</v>
      </c>
      <c r="F2908" s="135">
        <v>0</v>
      </c>
      <c r="G2908" s="135">
        <v>0</v>
      </c>
      <c r="H2908" s="135">
        <v>0</v>
      </c>
      <c r="I2908" s="135">
        <v>0</v>
      </c>
      <c r="J2908" s="135">
        <v>0</v>
      </c>
    </row>
    <row r="2909" spans="1:10">
      <c r="A2909" s="133" t="s">
        <v>104</v>
      </c>
      <c r="B2909" s="133" t="s">
        <v>11</v>
      </c>
      <c r="C2909" s="134">
        <v>0.74791666666666701</v>
      </c>
      <c r="D2909" s="135">
        <v>0</v>
      </c>
      <c r="E2909" s="135">
        <v>0</v>
      </c>
      <c r="F2909" s="135">
        <v>0</v>
      </c>
      <c r="G2909" s="135">
        <v>0</v>
      </c>
      <c r="H2909" s="135">
        <v>0</v>
      </c>
      <c r="I2909" s="135">
        <v>0</v>
      </c>
      <c r="J2909" s="135">
        <v>0</v>
      </c>
    </row>
    <row r="2910" spans="1:10">
      <c r="A2910" s="133" t="s">
        <v>104</v>
      </c>
      <c r="B2910" s="133" t="s">
        <v>11</v>
      </c>
      <c r="C2910" s="134">
        <v>0.74861111111111101</v>
      </c>
      <c r="D2910" s="135">
        <v>0</v>
      </c>
      <c r="E2910" s="135">
        <v>0</v>
      </c>
      <c r="F2910" s="135">
        <v>0</v>
      </c>
      <c r="G2910" s="135">
        <v>0</v>
      </c>
      <c r="H2910" s="135">
        <v>0</v>
      </c>
      <c r="I2910" s="135">
        <v>0</v>
      </c>
      <c r="J2910" s="135">
        <v>0</v>
      </c>
    </row>
    <row r="2911" spans="1:10">
      <c r="A2911" s="136" t="s">
        <v>104</v>
      </c>
      <c r="B2911" s="136" t="s">
        <v>11</v>
      </c>
      <c r="C2911" s="137">
        <v>0.749305555555555</v>
      </c>
      <c r="D2911" s="138">
        <v>0</v>
      </c>
      <c r="E2911" s="138">
        <v>0</v>
      </c>
      <c r="F2911" s="138">
        <v>0</v>
      </c>
      <c r="G2911" s="138">
        <v>0</v>
      </c>
      <c r="H2911" s="138">
        <v>0</v>
      </c>
      <c r="I2911" s="138">
        <v>0</v>
      </c>
      <c r="J2911" s="138">
        <v>0</v>
      </c>
    </row>
    <row r="2912" spans="1:10">
      <c r="A2912" s="133" t="s">
        <v>104</v>
      </c>
      <c r="B2912" s="133" t="s">
        <v>11</v>
      </c>
      <c r="C2912" s="134">
        <v>0.75</v>
      </c>
      <c r="D2912" s="135">
        <v>0</v>
      </c>
      <c r="E2912" s="135">
        <v>0</v>
      </c>
      <c r="F2912" s="135">
        <v>0</v>
      </c>
      <c r="G2912" s="135">
        <v>0</v>
      </c>
      <c r="H2912" s="135">
        <v>0</v>
      </c>
      <c r="I2912" s="135">
        <v>0</v>
      </c>
      <c r="J2912" s="135">
        <v>0</v>
      </c>
    </row>
    <row r="2913" spans="1:10">
      <c r="A2913" s="133" t="s">
        <v>104</v>
      </c>
      <c r="B2913" s="133" t="s">
        <v>11</v>
      </c>
      <c r="C2913" s="134">
        <v>0.750694444444444</v>
      </c>
      <c r="D2913" s="135">
        <v>0</v>
      </c>
      <c r="E2913" s="135">
        <v>0</v>
      </c>
      <c r="F2913" s="135">
        <v>0</v>
      </c>
      <c r="G2913" s="135">
        <v>0</v>
      </c>
      <c r="H2913" s="135">
        <v>0</v>
      </c>
      <c r="I2913" s="135">
        <v>0</v>
      </c>
      <c r="J2913" s="135">
        <v>0</v>
      </c>
    </row>
    <row r="2914" spans="1:10">
      <c r="A2914" s="133" t="s">
        <v>104</v>
      </c>
      <c r="B2914" s="133" t="s">
        <v>11</v>
      </c>
      <c r="C2914" s="134">
        <v>0.75138888888888899</v>
      </c>
      <c r="D2914" s="135">
        <v>0</v>
      </c>
      <c r="E2914" s="135">
        <v>0</v>
      </c>
      <c r="F2914" s="135">
        <v>0</v>
      </c>
      <c r="G2914" s="135">
        <v>0</v>
      </c>
      <c r="H2914" s="135">
        <v>0</v>
      </c>
      <c r="I2914" s="135">
        <v>0</v>
      </c>
      <c r="J2914" s="135">
        <v>0</v>
      </c>
    </row>
    <row r="2915" spans="1:10">
      <c r="A2915" s="133" t="s">
        <v>104</v>
      </c>
      <c r="B2915" s="133" t="s">
        <v>11</v>
      </c>
      <c r="C2915" s="134">
        <v>0.75208333333333299</v>
      </c>
      <c r="D2915" s="135">
        <v>0</v>
      </c>
      <c r="E2915" s="135">
        <v>0</v>
      </c>
      <c r="F2915" s="135">
        <v>0</v>
      </c>
      <c r="G2915" s="135">
        <v>0</v>
      </c>
      <c r="H2915" s="135">
        <v>0</v>
      </c>
      <c r="I2915" s="135">
        <v>0</v>
      </c>
      <c r="J2915" s="135">
        <v>0</v>
      </c>
    </row>
    <row r="2916" spans="1:10">
      <c r="A2916" s="133" t="s">
        <v>104</v>
      </c>
      <c r="B2916" s="133" t="s">
        <v>11</v>
      </c>
      <c r="C2916" s="134">
        <v>0.75277777777777799</v>
      </c>
      <c r="D2916" s="135">
        <v>0</v>
      </c>
      <c r="E2916" s="135">
        <v>0</v>
      </c>
      <c r="F2916" s="135">
        <v>0</v>
      </c>
      <c r="G2916" s="135">
        <v>0</v>
      </c>
      <c r="H2916" s="135">
        <v>0</v>
      </c>
      <c r="I2916" s="135">
        <v>0</v>
      </c>
      <c r="J2916" s="135">
        <v>0</v>
      </c>
    </row>
    <row r="2917" spans="1:10">
      <c r="A2917" s="133" t="s">
        <v>104</v>
      </c>
      <c r="B2917" s="133" t="s">
        <v>11</v>
      </c>
      <c r="C2917" s="134">
        <v>0.75347222222222199</v>
      </c>
      <c r="D2917" s="135">
        <v>0</v>
      </c>
      <c r="E2917" s="135">
        <v>0</v>
      </c>
      <c r="F2917" s="135">
        <v>0</v>
      </c>
      <c r="G2917" s="135">
        <v>0</v>
      </c>
      <c r="H2917" s="135">
        <v>0</v>
      </c>
      <c r="I2917" s="135">
        <v>0</v>
      </c>
      <c r="J2917" s="135">
        <v>0</v>
      </c>
    </row>
    <row r="2918" spans="1:10">
      <c r="A2918" s="133" t="s">
        <v>104</v>
      </c>
      <c r="B2918" s="133" t="s">
        <v>11</v>
      </c>
      <c r="C2918" s="134">
        <v>0.75416666666666698</v>
      </c>
      <c r="D2918" s="135">
        <v>0</v>
      </c>
      <c r="E2918" s="135">
        <v>0</v>
      </c>
      <c r="F2918" s="135">
        <v>0</v>
      </c>
      <c r="G2918" s="135">
        <v>0</v>
      </c>
      <c r="H2918" s="135">
        <v>0</v>
      </c>
      <c r="I2918" s="135">
        <v>0</v>
      </c>
      <c r="J2918" s="135">
        <v>0</v>
      </c>
    </row>
    <row r="2919" spans="1:10">
      <c r="A2919" s="133" t="s">
        <v>104</v>
      </c>
      <c r="B2919" s="133" t="s">
        <v>11</v>
      </c>
      <c r="C2919" s="134">
        <v>0.75486111111111098</v>
      </c>
      <c r="D2919" s="135">
        <v>0</v>
      </c>
      <c r="E2919" s="135">
        <v>0</v>
      </c>
      <c r="F2919" s="135">
        <v>0</v>
      </c>
      <c r="G2919" s="135">
        <v>0</v>
      </c>
      <c r="H2919" s="135">
        <v>0</v>
      </c>
      <c r="I2919" s="135">
        <v>0</v>
      </c>
      <c r="J2919" s="135">
        <v>0</v>
      </c>
    </row>
    <row r="2920" spans="1:10">
      <c r="A2920" s="133" t="s">
        <v>104</v>
      </c>
      <c r="B2920" s="133" t="s">
        <v>11</v>
      </c>
      <c r="C2920" s="134">
        <v>0.75555555555555498</v>
      </c>
      <c r="D2920" s="135">
        <v>0</v>
      </c>
      <c r="E2920" s="135">
        <v>0</v>
      </c>
      <c r="F2920" s="135">
        <v>0</v>
      </c>
      <c r="G2920" s="135">
        <v>0</v>
      </c>
      <c r="H2920" s="135">
        <v>0</v>
      </c>
      <c r="I2920" s="135">
        <v>0</v>
      </c>
      <c r="J2920" s="135">
        <v>0</v>
      </c>
    </row>
    <row r="2921" spans="1:10">
      <c r="A2921" s="133" t="s">
        <v>104</v>
      </c>
      <c r="B2921" s="133" t="s">
        <v>11</v>
      </c>
      <c r="C2921" s="134">
        <v>0.75624999999999998</v>
      </c>
      <c r="D2921" s="135">
        <v>0</v>
      </c>
      <c r="E2921" s="135">
        <v>0</v>
      </c>
      <c r="F2921" s="135">
        <v>0</v>
      </c>
      <c r="G2921" s="135">
        <v>0</v>
      </c>
      <c r="H2921" s="135">
        <v>0</v>
      </c>
      <c r="I2921" s="135">
        <v>0</v>
      </c>
      <c r="J2921" s="135">
        <v>0</v>
      </c>
    </row>
    <row r="2922" spans="1:10">
      <c r="A2922" s="133" t="s">
        <v>104</v>
      </c>
      <c r="B2922" s="133" t="s">
        <v>11</v>
      </c>
      <c r="C2922" s="134">
        <v>0.75694444444444398</v>
      </c>
      <c r="D2922" s="135">
        <v>0</v>
      </c>
      <c r="E2922" s="135">
        <v>0</v>
      </c>
      <c r="F2922" s="135">
        <v>0</v>
      </c>
      <c r="G2922" s="135">
        <v>0</v>
      </c>
      <c r="H2922" s="135">
        <v>0</v>
      </c>
      <c r="I2922" s="135">
        <v>0</v>
      </c>
      <c r="J2922" s="135">
        <v>0</v>
      </c>
    </row>
    <row r="2923" spans="1:10">
      <c r="A2923" s="133" t="s">
        <v>104</v>
      </c>
      <c r="B2923" s="133" t="s">
        <v>11</v>
      </c>
      <c r="C2923" s="134">
        <v>0.75763888888888897</v>
      </c>
      <c r="D2923" s="135">
        <v>0</v>
      </c>
      <c r="E2923" s="135">
        <v>0</v>
      </c>
      <c r="F2923" s="135">
        <v>0</v>
      </c>
      <c r="G2923" s="135">
        <v>0</v>
      </c>
      <c r="H2923" s="135">
        <v>0</v>
      </c>
      <c r="I2923" s="135">
        <v>0</v>
      </c>
      <c r="J2923" s="135">
        <v>0</v>
      </c>
    </row>
    <row r="2924" spans="1:10">
      <c r="A2924" s="133" t="s">
        <v>104</v>
      </c>
      <c r="B2924" s="133" t="s">
        <v>11</v>
      </c>
      <c r="C2924" s="134">
        <v>0.75833333333333297</v>
      </c>
      <c r="D2924" s="135">
        <v>0</v>
      </c>
      <c r="E2924" s="135">
        <v>0</v>
      </c>
      <c r="F2924" s="135">
        <v>0</v>
      </c>
      <c r="G2924" s="135">
        <v>0</v>
      </c>
      <c r="H2924" s="135">
        <v>0</v>
      </c>
      <c r="I2924" s="135">
        <v>0</v>
      </c>
      <c r="J2924" s="135">
        <v>0</v>
      </c>
    </row>
    <row r="2925" spans="1:10">
      <c r="A2925" s="133" t="s">
        <v>104</v>
      </c>
      <c r="B2925" s="133" t="s">
        <v>11</v>
      </c>
      <c r="C2925" s="134">
        <v>0.75902777777777797</v>
      </c>
      <c r="D2925" s="135">
        <v>0</v>
      </c>
      <c r="E2925" s="135">
        <v>0</v>
      </c>
      <c r="F2925" s="135">
        <v>0</v>
      </c>
      <c r="G2925" s="135">
        <v>0</v>
      </c>
      <c r="H2925" s="135">
        <v>0</v>
      </c>
      <c r="I2925" s="135">
        <v>0</v>
      </c>
      <c r="J2925" s="135">
        <v>0</v>
      </c>
    </row>
    <row r="2926" spans="1:10">
      <c r="A2926" s="136" t="s">
        <v>104</v>
      </c>
      <c r="B2926" s="136" t="s">
        <v>11</v>
      </c>
      <c r="C2926" s="137">
        <v>0.75972222222222197</v>
      </c>
      <c r="D2926" s="138">
        <v>0</v>
      </c>
      <c r="E2926" s="138">
        <v>0</v>
      </c>
      <c r="F2926" s="138">
        <v>0</v>
      </c>
      <c r="G2926" s="138">
        <v>0</v>
      </c>
      <c r="H2926" s="138">
        <v>0</v>
      </c>
      <c r="I2926" s="138">
        <v>0</v>
      </c>
      <c r="J2926" s="138">
        <v>0</v>
      </c>
    </row>
    <row r="2927" spans="1:10">
      <c r="A2927" s="133" t="s">
        <v>104</v>
      </c>
      <c r="B2927" s="133" t="s">
        <v>11</v>
      </c>
      <c r="C2927" s="134">
        <v>0.76041666666666696</v>
      </c>
      <c r="D2927" s="135">
        <v>0</v>
      </c>
      <c r="E2927" s="135">
        <v>0</v>
      </c>
      <c r="F2927" s="135">
        <v>0</v>
      </c>
      <c r="G2927" s="135">
        <v>0</v>
      </c>
      <c r="H2927" s="135">
        <v>0</v>
      </c>
      <c r="I2927" s="135">
        <v>0</v>
      </c>
      <c r="J2927" s="135">
        <v>0</v>
      </c>
    </row>
    <row r="2928" spans="1:10">
      <c r="A2928" s="133" t="s">
        <v>104</v>
      </c>
      <c r="B2928" s="133" t="s">
        <v>11</v>
      </c>
      <c r="C2928" s="134">
        <v>0.76111111111111096</v>
      </c>
      <c r="D2928" s="135">
        <v>0</v>
      </c>
      <c r="E2928" s="135">
        <v>0</v>
      </c>
      <c r="F2928" s="135">
        <v>0</v>
      </c>
      <c r="G2928" s="135">
        <v>0</v>
      </c>
      <c r="H2928" s="135">
        <v>0</v>
      </c>
      <c r="I2928" s="135">
        <v>0</v>
      </c>
      <c r="J2928" s="135">
        <v>0</v>
      </c>
    </row>
    <row r="2929" spans="1:10">
      <c r="A2929" s="133" t="s">
        <v>104</v>
      </c>
      <c r="B2929" s="133" t="s">
        <v>11</v>
      </c>
      <c r="C2929" s="134">
        <v>0.76180555555555496</v>
      </c>
      <c r="D2929" s="135">
        <v>0</v>
      </c>
      <c r="E2929" s="135">
        <v>0</v>
      </c>
      <c r="F2929" s="135">
        <v>0</v>
      </c>
      <c r="G2929" s="135">
        <v>0</v>
      </c>
      <c r="H2929" s="135">
        <v>0</v>
      </c>
      <c r="I2929" s="135">
        <v>0</v>
      </c>
      <c r="J2929" s="135">
        <v>0</v>
      </c>
    </row>
    <row r="2930" spans="1:10">
      <c r="A2930" s="133" t="s">
        <v>104</v>
      </c>
      <c r="B2930" s="133" t="s">
        <v>11</v>
      </c>
      <c r="C2930" s="134">
        <v>0.76249999999999996</v>
      </c>
      <c r="D2930" s="135">
        <v>0</v>
      </c>
      <c r="E2930" s="135">
        <v>0</v>
      </c>
      <c r="F2930" s="135">
        <v>0</v>
      </c>
      <c r="G2930" s="135">
        <v>0</v>
      </c>
      <c r="H2930" s="135">
        <v>0</v>
      </c>
      <c r="I2930" s="135">
        <v>0</v>
      </c>
      <c r="J2930" s="135">
        <v>0</v>
      </c>
    </row>
    <row r="2931" spans="1:10">
      <c r="A2931" s="133" t="s">
        <v>104</v>
      </c>
      <c r="B2931" s="133" t="s">
        <v>11</v>
      </c>
      <c r="C2931" s="134">
        <v>0.76319444444444395</v>
      </c>
      <c r="D2931" s="135">
        <v>0</v>
      </c>
      <c r="E2931" s="135">
        <v>0</v>
      </c>
      <c r="F2931" s="135">
        <v>0</v>
      </c>
      <c r="G2931" s="135">
        <v>0</v>
      </c>
      <c r="H2931" s="135">
        <v>0</v>
      </c>
      <c r="I2931" s="135">
        <v>0</v>
      </c>
      <c r="J2931" s="135">
        <v>0</v>
      </c>
    </row>
    <row r="2932" spans="1:10">
      <c r="A2932" s="133" t="s">
        <v>104</v>
      </c>
      <c r="B2932" s="133" t="s">
        <v>11</v>
      </c>
      <c r="C2932" s="134">
        <v>0.76388888888888895</v>
      </c>
      <c r="D2932" s="135">
        <v>0</v>
      </c>
      <c r="E2932" s="135">
        <v>0</v>
      </c>
      <c r="F2932" s="135">
        <v>0</v>
      </c>
      <c r="G2932" s="135">
        <v>0</v>
      </c>
      <c r="H2932" s="135">
        <v>0</v>
      </c>
      <c r="I2932" s="135">
        <v>0</v>
      </c>
      <c r="J2932" s="135">
        <v>0</v>
      </c>
    </row>
    <row r="2933" spans="1:10">
      <c r="A2933" s="133" t="s">
        <v>104</v>
      </c>
      <c r="B2933" s="133" t="s">
        <v>11</v>
      </c>
      <c r="C2933" s="134">
        <v>0.76458333333333295</v>
      </c>
      <c r="D2933" s="135">
        <v>0</v>
      </c>
      <c r="E2933" s="135">
        <v>0</v>
      </c>
      <c r="F2933" s="135">
        <v>0</v>
      </c>
      <c r="G2933" s="135">
        <v>0</v>
      </c>
      <c r="H2933" s="135">
        <v>0</v>
      </c>
      <c r="I2933" s="135">
        <v>0</v>
      </c>
      <c r="J2933" s="135">
        <v>0</v>
      </c>
    </row>
    <row r="2934" spans="1:10">
      <c r="A2934" s="133" t="s">
        <v>104</v>
      </c>
      <c r="B2934" s="133" t="s">
        <v>11</v>
      </c>
      <c r="C2934" s="134">
        <v>0.76527777777777795</v>
      </c>
      <c r="D2934" s="135">
        <v>0</v>
      </c>
      <c r="E2934" s="135">
        <v>0</v>
      </c>
      <c r="F2934" s="135">
        <v>0</v>
      </c>
      <c r="G2934" s="135">
        <v>0</v>
      </c>
      <c r="H2934" s="135">
        <v>0</v>
      </c>
      <c r="I2934" s="135">
        <v>0</v>
      </c>
      <c r="J2934" s="135">
        <v>0</v>
      </c>
    </row>
    <row r="2935" spans="1:10">
      <c r="A2935" s="133" t="s">
        <v>104</v>
      </c>
      <c r="B2935" s="133" t="s">
        <v>11</v>
      </c>
      <c r="C2935" s="134">
        <v>0.76597222222222205</v>
      </c>
      <c r="D2935" s="135">
        <v>0</v>
      </c>
      <c r="E2935" s="135">
        <v>0</v>
      </c>
      <c r="F2935" s="135">
        <v>0</v>
      </c>
      <c r="G2935" s="135">
        <v>0</v>
      </c>
      <c r="H2935" s="135">
        <v>0</v>
      </c>
      <c r="I2935" s="135">
        <v>0</v>
      </c>
      <c r="J2935" s="135">
        <v>0</v>
      </c>
    </row>
    <row r="2936" spans="1:10">
      <c r="A2936" s="133" t="s">
        <v>104</v>
      </c>
      <c r="B2936" s="133" t="s">
        <v>11</v>
      </c>
      <c r="C2936" s="134">
        <v>0.76666666666666605</v>
      </c>
      <c r="D2936" s="135">
        <v>0</v>
      </c>
      <c r="E2936" s="135">
        <v>0</v>
      </c>
      <c r="F2936" s="135">
        <v>0</v>
      </c>
      <c r="G2936" s="135">
        <v>0</v>
      </c>
      <c r="H2936" s="135">
        <v>0</v>
      </c>
      <c r="I2936" s="135">
        <v>0</v>
      </c>
      <c r="J2936" s="135">
        <v>0</v>
      </c>
    </row>
    <row r="2937" spans="1:10">
      <c r="A2937" s="133" t="s">
        <v>104</v>
      </c>
      <c r="B2937" s="133" t="s">
        <v>11</v>
      </c>
      <c r="C2937" s="134">
        <v>0.76736111111111105</v>
      </c>
      <c r="D2937" s="135">
        <v>0</v>
      </c>
      <c r="E2937" s="135">
        <v>0</v>
      </c>
      <c r="F2937" s="135">
        <v>0</v>
      </c>
      <c r="G2937" s="135">
        <v>0</v>
      </c>
      <c r="H2937" s="135">
        <v>0</v>
      </c>
      <c r="I2937" s="135">
        <v>0</v>
      </c>
      <c r="J2937" s="135">
        <v>0</v>
      </c>
    </row>
    <row r="2938" spans="1:10">
      <c r="A2938" s="133" t="s">
        <v>104</v>
      </c>
      <c r="B2938" s="133" t="s">
        <v>11</v>
      </c>
      <c r="C2938" s="134">
        <v>0.76805555555555505</v>
      </c>
      <c r="D2938" s="135">
        <v>0</v>
      </c>
      <c r="E2938" s="135">
        <v>0</v>
      </c>
      <c r="F2938" s="135">
        <v>0</v>
      </c>
      <c r="G2938" s="135">
        <v>0</v>
      </c>
      <c r="H2938" s="135">
        <v>0</v>
      </c>
      <c r="I2938" s="135">
        <v>0</v>
      </c>
      <c r="J2938" s="135">
        <v>0</v>
      </c>
    </row>
    <row r="2939" spans="1:10">
      <c r="A2939" s="133" t="s">
        <v>104</v>
      </c>
      <c r="B2939" s="133" t="s">
        <v>11</v>
      </c>
      <c r="C2939" s="134">
        <v>0.76875000000000004</v>
      </c>
      <c r="D2939" s="135">
        <v>0</v>
      </c>
      <c r="E2939" s="135">
        <v>0</v>
      </c>
      <c r="F2939" s="135">
        <v>0</v>
      </c>
      <c r="G2939" s="135">
        <v>0</v>
      </c>
      <c r="H2939" s="135">
        <v>0</v>
      </c>
      <c r="I2939" s="135">
        <v>0</v>
      </c>
      <c r="J2939" s="135">
        <v>0</v>
      </c>
    </row>
    <row r="2940" spans="1:10">
      <c r="A2940" s="133" t="s">
        <v>104</v>
      </c>
      <c r="B2940" s="133" t="s">
        <v>11</v>
      </c>
      <c r="C2940" s="134">
        <v>0.76944444444444404</v>
      </c>
      <c r="D2940" s="135">
        <v>0</v>
      </c>
      <c r="E2940" s="135">
        <v>0</v>
      </c>
      <c r="F2940" s="135">
        <v>0</v>
      </c>
      <c r="G2940" s="135">
        <v>0</v>
      </c>
      <c r="H2940" s="135">
        <v>0</v>
      </c>
      <c r="I2940" s="135">
        <v>0</v>
      </c>
      <c r="J2940" s="135">
        <v>0</v>
      </c>
    </row>
    <row r="2941" spans="1:10" ht="17.5" thickBot="1">
      <c r="A2941" s="140" t="s">
        <v>104</v>
      </c>
      <c r="B2941" s="140" t="s">
        <v>11</v>
      </c>
      <c r="C2941" s="141">
        <v>0.77013888888888904</v>
      </c>
      <c r="D2941" s="142">
        <v>0</v>
      </c>
      <c r="E2941" s="142">
        <v>0</v>
      </c>
      <c r="F2941" s="142">
        <v>0</v>
      </c>
      <c r="G2941" s="142">
        <v>0</v>
      </c>
      <c r="H2941" s="142">
        <v>0</v>
      </c>
      <c r="I2941" s="142">
        <v>0</v>
      </c>
      <c r="J2941" s="142">
        <v>0</v>
      </c>
    </row>
    <row r="2942" spans="1:10">
      <c r="A2942" s="133" t="s">
        <v>104</v>
      </c>
      <c r="B2942" s="133" t="s">
        <v>12</v>
      </c>
      <c r="C2942" s="134">
        <v>0.72916666666666663</v>
      </c>
      <c r="D2942" s="135">
        <v>0</v>
      </c>
      <c r="E2942" s="135">
        <v>0</v>
      </c>
      <c r="F2942" s="135">
        <v>0</v>
      </c>
      <c r="G2942" s="135">
        <v>0</v>
      </c>
      <c r="H2942" s="135">
        <v>0</v>
      </c>
      <c r="I2942" s="135">
        <v>0</v>
      </c>
      <c r="J2942" s="135">
        <v>0</v>
      </c>
    </row>
    <row r="2943" spans="1:10">
      <c r="A2943" s="133" t="s">
        <v>104</v>
      </c>
      <c r="B2943" s="133" t="s">
        <v>12</v>
      </c>
      <c r="C2943" s="134">
        <v>0.72986111111111107</v>
      </c>
      <c r="D2943" s="135">
        <v>0</v>
      </c>
      <c r="E2943" s="135">
        <v>0</v>
      </c>
      <c r="F2943" s="135">
        <v>0</v>
      </c>
      <c r="G2943" s="135">
        <v>0</v>
      </c>
      <c r="H2943" s="135">
        <v>0</v>
      </c>
      <c r="I2943" s="135">
        <v>0</v>
      </c>
      <c r="J2943" s="135">
        <v>0</v>
      </c>
    </row>
    <row r="2944" spans="1:10">
      <c r="A2944" s="133" t="s">
        <v>104</v>
      </c>
      <c r="B2944" s="133" t="s">
        <v>12</v>
      </c>
      <c r="C2944" s="134">
        <v>0.73055555555555596</v>
      </c>
      <c r="D2944" s="135">
        <v>0</v>
      </c>
      <c r="E2944" s="135">
        <v>0</v>
      </c>
      <c r="F2944" s="135">
        <v>0</v>
      </c>
      <c r="G2944" s="135">
        <v>0</v>
      </c>
      <c r="H2944" s="135">
        <v>0</v>
      </c>
      <c r="I2944" s="135">
        <v>0</v>
      </c>
      <c r="J2944" s="135">
        <v>0</v>
      </c>
    </row>
    <row r="2945" spans="1:10">
      <c r="A2945" s="133" t="s">
        <v>104</v>
      </c>
      <c r="B2945" s="133" t="s">
        <v>12</v>
      </c>
      <c r="C2945" s="134">
        <v>0.73124999999999996</v>
      </c>
      <c r="D2945" s="135">
        <v>0</v>
      </c>
      <c r="E2945" s="135">
        <v>0</v>
      </c>
      <c r="F2945" s="135">
        <v>0</v>
      </c>
      <c r="G2945" s="135">
        <v>0</v>
      </c>
      <c r="H2945" s="135">
        <v>0</v>
      </c>
      <c r="I2945" s="135">
        <v>0</v>
      </c>
      <c r="J2945" s="135">
        <v>0</v>
      </c>
    </row>
    <row r="2946" spans="1:10">
      <c r="A2946" s="133" t="s">
        <v>104</v>
      </c>
      <c r="B2946" s="133" t="s">
        <v>12</v>
      </c>
      <c r="C2946" s="134">
        <v>0.73194444444444395</v>
      </c>
      <c r="D2946" s="135">
        <v>0</v>
      </c>
      <c r="E2946" s="135">
        <v>0</v>
      </c>
      <c r="F2946" s="135">
        <v>0</v>
      </c>
      <c r="G2946" s="135">
        <v>0</v>
      </c>
      <c r="H2946" s="135">
        <v>0</v>
      </c>
      <c r="I2946" s="135">
        <v>0</v>
      </c>
      <c r="J2946" s="135">
        <v>0</v>
      </c>
    </row>
    <row r="2947" spans="1:10">
      <c r="A2947" s="133" t="s">
        <v>104</v>
      </c>
      <c r="B2947" s="133" t="s">
        <v>12</v>
      </c>
      <c r="C2947" s="134">
        <v>0.73263888888888895</v>
      </c>
      <c r="D2947" s="135">
        <v>0</v>
      </c>
      <c r="E2947" s="135">
        <v>0</v>
      </c>
      <c r="F2947" s="135">
        <v>0</v>
      </c>
      <c r="G2947" s="135">
        <v>0</v>
      </c>
      <c r="H2947" s="135">
        <v>0</v>
      </c>
      <c r="I2947" s="135">
        <v>0</v>
      </c>
      <c r="J2947" s="135">
        <v>0</v>
      </c>
    </row>
    <row r="2948" spans="1:10">
      <c r="A2948" s="133" t="s">
        <v>104</v>
      </c>
      <c r="B2948" s="133" t="s">
        <v>12</v>
      </c>
      <c r="C2948" s="134">
        <v>0.73333333333333295</v>
      </c>
      <c r="D2948" s="135">
        <v>0</v>
      </c>
      <c r="E2948" s="135">
        <v>0</v>
      </c>
      <c r="F2948" s="135">
        <v>0</v>
      </c>
      <c r="G2948" s="135">
        <v>0</v>
      </c>
      <c r="H2948" s="135">
        <v>0</v>
      </c>
      <c r="I2948" s="135">
        <v>0</v>
      </c>
      <c r="J2948" s="135">
        <v>0</v>
      </c>
    </row>
    <row r="2949" spans="1:10">
      <c r="A2949" s="133" t="s">
        <v>104</v>
      </c>
      <c r="B2949" s="133" t="s">
        <v>12</v>
      </c>
      <c r="C2949" s="134">
        <v>0.73402777777777795</v>
      </c>
      <c r="D2949" s="135">
        <v>0</v>
      </c>
      <c r="E2949" s="135">
        <v>0</v>
      </c>
      <c r="F2949" s="135">
        <v>0</v>
      </c>
      <c r="G2949" s="135">
        <v>0</v>
      </c>
      <c r="H2949" s="135">
        <v>0</v>
      </c>
      <c r="I2949" s="135">
        <v>0</v>
      </c>
      <c r="J2949" s="135">
        <v>0</v>
      </c>
    </row>
    <row r="2950" spans="1:10">
      <c r="A2950" s="133" t="s">
        <v>104</v>
      </c>
      <c r="B2950" s="133" t="s">
        <v>12</v>
      </c>
      <c r="C2950" s="134">
        <v>0.73472222222222205</v>
      </c>
      <c r="D2950" s="135">
        <v>0</v>
      </c>
      <c r="E2950" s="135">
        <v>0</v>
      </c>
      <c r="F2950" s="135">
        <v>0</v>
      </c>
      <c r="G2950" s="135">
        <v>0</v>
      </c>
      <c r="H2950" s="135">
        <v>0</v>
      </c>
      <c r="I2950" s="135">
        <v>0</v>
      </c>
      <c r="J2950" s="135">
        <v>0</v>
      </c>
    </row>
    <row r="2951" spans="1:10">
      <c r="A2951" s="133" t="s">
        <v>104</v>
      </c>
      <c r="B2951" s="133" t="s">
        <v>12</v>
      </c>
      <c r="C2951" s="134">
        <v>0.73541666666666705</v>
      </c>
      <c r="D2951" s="135">
        <v>0</v>
      </c>
      <c r="E2951" s="135">
        <v>0</v>
      </c>
      <c r="F2951" s="135">
        <v>0</v>
      </c>
      <c r="G2951" s="135">
        <v>0</v>
      </c>
      <c r="H2951" s="135">
        <v>0</v>
      </c>
      <c r="I2951" s="135">
        <v>0</v>
      </c>
      <c r="J2951" s="135">
        <v>0</v>
      </c>
    </row>
    <row r="2952" spans="1:10">
      <c r="A2952" s="133" t="s">
        <v>104</v>
      </c>
      <c r="B2952" s="133" t="s">
        <v>12</v>
      </c>
      <c r="C2952" s="134">
        <v>0.73611111111111105</v>
      </c>
      <c r="D2952" s="135">
        <v>0</v>
      </c>
      <c r="E2952" s="135">
        <v>0</v>
      </c>
      <c r="F2952" s="135">
        <v>0</v>
      </c>
      <c r="G2952" s="135">
        <v>0</v>
      </c>
      <c r="H2952" s="135">
        <v>0</v>
      </c>
      <c r="I2952" s="135">
        <v>0</v>
      </c>
      <c r="J2952" s="135">
        <v>0</v>
      </c>
    </row>
    <row r="2953" spans="1:10">
      <c r="A2953" s="133" t="s">
        <v>104</v>
      </c>
      <c r="B2953" s="133" t="s">
        <v>12</v>
      </c>
      <c r="C2953" s="134">
        <v>0.73680555555555505</v>
      </c>
      <c r="D2953" s="135">
        <v>0</v>
      </c>
      <c r="E2953" s="135">
        <v>0</v>
      </c>
      <c r="F2953" s="135">
        <v>0</v>
      </c>
      <c r="G2953" s="135">
        <v>0</v>
      </c>
      <c r="H2953" s="135">
        <v>0</v>
      </c>
      <c r="I2953" s="135">
        <v>0</v>
      </c>
      <c r="J2953" s="135">
        <v>0</v>
      </c>
    </row>
    <row r="2954" spans="1:10">
      <c r="A2954" s="133" t="s">
        <v>104</v>
      </c>
      <c r="B2954" s="133" t="s">
        <v>12</v>
      </c>
      <c r="C2954" s="134">
        <v>0.73750000000000004</v>
      </c>
      <c r="D2954" s="135">
        <v>0</v>
      </c>
      <c r="E2954" s="135">
        <v>0</v>
      </c>
      <c r="F2954" s="135">
        <v>0</v>
      </c>
      <c r="G2954" s="135">
        <v>0</v>
      </c>
      <c r="H2954" s="135">
        <v>0</v>
      </c>
      <c r="I2954" s="135">
        <v>0</v>
      </c>
      <c r="J2954" s="135">
        <v>0</v>
      </c>
    </row>
    <row r="2955" spans="1:10">
      <c r="A2955" s="133" t="s">
        <v>104</v>
      </c>
      <c r="B2955" s="133" t="s">
        <v>12</v>
      </c>
      <c r="C2955" s="134">
        <v>0.73819444444444404</v>
      </c>
      <c r="D2955" s="135">
        <v>0</v>
      </c>
      <c r="E2955" s="135">
        <v>0</v>
      </c>
      <c r="F2955" s="135">
        <v>0</v>
      </c>
      <c r="G2955" s="135">
        <v>0</v>
      </c>
      <c r="H2955" s="135">
        <v>0</v>
      </c>
      <c r="I2955" s="135">
        <v>0</v>
      </c>
      <c r="J2955" s="135">
        <v>0</v>
      </c>
    </row>
    <row r="2956" spans="1:10">
      <c r="A2956" s="136" t="s">
        <v>104</v>
      </c>
      <c r="B2956" s="136" t="s">
        <v>12</v>
      </c>
      <c r="C2956" s="137">
        <v>0.73888888888888904</v>
      </c>
      <c r="D2956" s="135">
        <v>0</v>
      </c>
      <c r="E2956" s="135">
        <v>0</v>
      </c>
      <c r="F2956" s="135">
        <v>0</v>
      </c>
      <c r="G2956" s="135">
        <v>0</v>
      </c>
      <c r="H2956" s="135">
        <v>0</v>
      </c>
      <c r="I2956" s="135">
        <v>0</v>
      </c>
      <c r="J2956" s="135">
        <v>0</v>
      </c>
    </row>
    <row r="2957" spans="1:10">
      <c r="A2957" s="133" t="s">
        <v>104</v>
      </c>
      <c r="B2957" s="133" t="s">
        <v>12</v>
      </c>
      <c r="C2957" s="134">
        <v>0.73958333333333304</v>
      </c>
      <c r="D2957" s="139">
        <v>0</v>
      </c>
      <c r="E2957" s="139">
        <v>0</v>
      </c>
      <c r="F2957" s="139">
        <v>0</v>
      </c>
      <c r="G2957" s="139">
        <v>0</v>
      </c>
      <c r="H2957" s="139">
        <v>0</v>
      </c>
      <c r="I2957" s="139">
        <v>0</v>
      </c>
      <c r="J2957" s="139">
        <v>0</v>
      </c>
    </row>
    <row r="2958" spans="1:10">
      <c r="A2958" s="133" t="s">
        <v>104</v>
      </c>
      <c r="B2958" s="133" t="s">
        <v>12</v>
      </c>
      <c r="C2958" s="134">
        <v>0.74027777777777803</v>
      </c>
      <c r="D2958" s="135">
        <v>0</v>
      </c>
      <c r="E2958" s="135">
        <v>0</v>
      </c>
      <c r="F2958" s="135">
        <v>0</v>
      </c>
      <c r="G2958" s="135">
        <v>0</v>
      </c>
      <c r="H2958" s="135">
        <v>0</v>
      </c>
      <c r="I2958" s="135">
        <v>0</v>
      </c>
      <c r="J2958" s="135">
        <v>0</v>
      </c>
    </row>
    <row r="2959" spans="1:10">
      <c r="A2959" s="133" t="s">
        <v>104</v>
      </c>
      <c r="B2959" s="133" t="s">
        <v>12</v>
      </c>
      <c r="C2959" s="134">
        <v>0.74097222222222203</v>
      </c>
      <c r="D2959" s="135">
        <v>0</v>
      </c>
      <c r="E2959" s="135">
        <v>0</v>
      </c>
      <c r="F2959" s="135">
        <v>0</v>
      </c>
      <c r="G2959" s="135">
        <v>0</v>
      </c>
      <c r="H2959" s="135">
        <v>0</v>
      </c>
      <c r="I2959" s="135">
        <v>0</v>
      </c>
      <c r="J2959" s="135">
        <v>0</v>
      </c>
    </row>
    <row r="2960" spans="1:10">
      <c r="A2960" s="133" t="s">
        <v>104</v>
      </c>
      <c r="B2960" s="133" t="s">
        <v>12</v>
      </c>
      <c r="C2960" s="134">
        <v>0.74166666666666703</v>
      </c>
      <c r="D2960" s="135">
        <v>0</v>
      </c>
      <c r="E2960" s="135">
        <v>0</v>
      </c>
      <c r="F2960" s="135">
        <v>0</v>
      </c>
      <c r="G2960" s="135">
        <v>0</v>
      </c>
      <c r="H2960" s="135">
        <v>0</v>
      </c>
      <c r="I2960" s="135">
        <v>0</v>
      </c>
      <c r="J2960" s="135">
        <v>0</v>
      </c>
    </row>
    <row r="2961" spans="1:10">
      <c r="A2961" s="133" t="s">
        <v>104</v>
      </c>
      <c r="B2961" s="133" t="s">
        <v>12</v>
      </c>
      <c r="C2961" s="134">
        <v>0.74236111111111103</v>
      </c>
      <c r="D2961" s="135">
        <v>0</v>
      </c>
      <c r="E2961" s="135">
        <v>0</v>
      </c>
      <c r="F2961" s="135">
        <v>0</v>
      </c>
      <c r="G2961" s="135">
        <v>0</v>
      </c>
      <c r="H2961" s="135">
        <v>0</v>
      </c>
      <c r="I2961" s="135">
        <v>0</v>
      </c>
      <c r="J2961" s="135">
        <v>0</v>
      </c>
    </row>
    <row r="2962" spans="1:10">
      <c r="A2962" s="133" t="s">
        <v>104</v>
      </c>
      <c r="B2962" s="133" t="s">
        <v>12</v>
      </c>
      <c r="C2962" s="134">
        <v>0.74305555555555503</v>
      </c>
      <c r="D2962" s="135">
        <v>0</v>
      </c>
      <c r="E2962" s="135">
        <v>0</v>
      </c>
      <c r="F2962" s="135">
        <v>0</v>
      </c>
      <c r="G2962" s="135">
        <v>0</v>
      </c>
      <c r="H2962" s="135">
        <v>0</v>
      </c>
      <c r="I2962" s="135">
        <v>0</v>
      </c>
      <c r="J2962" s="135">
        <v>0</v>
      </c>
    </row>
    <row r="2963" spans="1:10">
      <c r="A2963" s="133" t="s">
        <v>104</v>
      </c>
      <c r="B2963" s="133" t="s">
        <v>12</v>
      </c>
      <c r="C2963" s="134">
        <v>0.74375000000000002</v>
      </c>
      <c r="D2963" s="135">
        <v>0</v>
      </c>
      <c r="E2963" s="135">
        <v>0</v>
      </c>
      <c r="F2963" s="135">
        <v>0</v>
      </c>
      <c r="G2963" s="135">
        <v>0</v>
      </c>
      <c r="H2963" s="135">
        <v>0</v>
      </c>
      <c r="I2963" s="135">
        <v>0</v>
      </c>
      <c r="J2963" s="135">
        <v>0</v>
      </c>
    </row>
    <row r="2964" spans="1:10">
      <c r="A2964" s="133" t="s">
        <v>104</v>
      </c>
      <c r="B2964" s="133" t="s">
        <v>12</v>
      </c>
      <c r="C2964" s="134">
        <v>0.74444444444444402</v>
      </c>
      <c r="D2964" s="135">
        <v>0</v>
      </c>
      <c r="E2964" s="135">
        <v>0</v>
      </c>
      <c r="F2964" s="135">
        <v>0</v>
      </c>
      <c r="G2964" s="135">
        <v>0</v>
      </c>
      <c r="H2964" s="135">
        <v>0</v>
      </c>
      <c r="I2964" s="135">
        <v>0</v>
      </c>
      <c r="J2964" s="135">
        <v>0</v>
      </c>
    </row>
    <row r="2965" spans="1:10">
      <c r="A2965" s="133" t="s">
        <v>104</v>
      </c>
      <c r="B2965" s="133" t="s">
        <v>12</v>
      </c>
      <c r="C2965" s="134">
        <v>0.74513888888888902</v>
      </c>
      <c r="D2965" s="135">
        <v>0</v>
      </c>
      <c r="E2965" s="135">
        <v>0</v>
      </c>
      <c r="F2965" s="135">
        <v>0</v>
      </c>
      <c r="G2965" s="135">
        <v>0</v>
      </c>
      <c r="H2965" s="135">
        <v>0</v>
      </c>
      <c r="I2965" s="135">
        <v>0</v>
      </c>
      <c r="J2965" s="135">
        <v>0</v>
      </c>
    </row>
    <row r="2966" spans="1:10">
      <c r="A2966" s="133" t="s">
        <v>104</v>
      </c>
      <c r="B2966" s="133" t="s">
        <v>12</v>
      </c>
      <c r="C2966" s="134">
        <v>0.74583333333333302</v>
      </c>
      <c r="D2966" s="135">
        <v>0</v>
      </c>
      <c r="E2966" s="135">
        <v>0</v>
      </c>
      <c r="F2966" s="135">
        <v>0</v>
      </c>
      <c r="G2966" s="135">
        <v>0</v>
      </c>
      <c r="H2966" s="135">
        <v>0</v>
      </c>
      <c r="I2966" s="135">
        <v>0</v>
      </c>
      <c r="J2966" s="135">
        <v>0</v>
      </c>
    </row>
    <row r="2967" spans="1:10">
      <c r="A2967" s="133" t="s">
        <v>104</v>
      </c>
      <c r="B2967" s="133" t="s">
        <v>12</v>
      </c>
      <c r="C2967" s="134">
        <v>0.74652777777777801</v>
      </c>
      <c r="D2967" s="135">
        <v>0</v>
      </c>
      <c r="E2967" s="135">
        <v>0</v>
      </c>
      <c r="F2967" s="135">
        <v>0</v>
      </c>
      <c r="G2967" s="135">
        <v>0</v>
      </c>
      <c r="H2967" s="135">
        <v>0</v>
      </c>
      <c r="I2967" s="135">
        <v>0</v>
      </c>
      <c r="J2967" s="135">
        <v>0</v>
      </c>
    </row>
    <row r="2968" spans="1:10">
      <c r="A2968" s="133" t="s">
        <v>104</v>
      </c>
      <c r="B2968" s="133" t="s">
        <v>12</v>
      </c>
      <c r="C2968" s="134">
        <v>0.74722222222222201</v>
      </c>
      <c r="D2968" s="135">
        <v>0</v>
      </c>
      <c r="E2968" s="135">
        <v>0</v>
      </c>
      <c r="F2968" s="135">
        <v>0</v>
      </c>
      <c r="G2968" s="135">
        <v>0</v>
      </c>
      <c r="H2968" s="135">
        <v>0</v>
      </c>
      <c r="I2968" s="135">
        <v>0</v>
      </c>
      <c r="J2968" s="135">
        <v>0</v>
      </c>
    </row>
    <row r="2969" spans="1:10">
      <c r="A2969" s="133" t="s">
        <v>104</v>
      </c>
      <c r="B2969" s="133" t="s">
        <v>12</v>
      </c>
      <c r="C2969" s="134">
        <v>0.74791666666666701</v>
      </c>
      <c r="D2969" s="135">
        <v>0</v>
      </c>
      <c r="E2969" s="135">
        <v>0</v>
      </c>
      <c r="F2969" s="135">
        <v>0</v>
      </c>
      <c r="G2969" s="135">
        <v>0</v>
      </c>
      <c r="H2969" s="135">
        <v>0</v>
      </c>
      <c r="I2969" s="135">
        <v>0</v>
      </c>
      <c r="J2969" s="135">
        <v>0</v>
      </c>
    </row>
    <row r="2970" spans="1:10">
      <c r="A2970" s="133" t="s">
        <v>104</v>
      </c>
      <c r="B2970" s="133" t="s">
        <v>12</v>
      </c>
      <c r="C2970" s="134">
        <v>0.74861111111111101</v>
      </c>
      <c r="D2970" s="135">
        <v>0</v>
      </c>
      <c r="E2970" s="135">
        <v>0</v>
      </c>
      <c r="F2970" s="135">
        <v>0</v>
      </c>
      <c r="G2970" s="135">
        <v>0</v>
      </c>
      <c r="H2970" s="135">
        <v>0</v>
      </c>
      <c r="I2970" s="135">
        <v>0</v>
      </c>
      <c r="J2970" s="135">
        <v>0</v>
      </c>
    </row>
    <row r="2971" spans="1:10">
      <c r="A2971" s="136" t="s">
        <v>104</v>
      </c>
      <c r="B2971" s="136" t="s">
        <v>12</v>
      </c>
      <c r="C2971" s="137">
        <v>0.749305555555555</v>
      </c>
      <c r="D2971" s="138">
        <v>0</v>
      </c>
      <c r="E2971" s="138">
        <v>0</v>
      </c>
      <c r="F2971" s="138">
        <v>0</v>
      </c>
      <c r="G2971" s="138">
        <v>0</v>
      </c>
      <c r="H2971" s="138">
        <v>0</v>
      </c>
      <c r="I2971" s="138">
        <v>0</v>
      </c>
      <c r="J2971" s="138">
        <v>0</v>
      </c>
    </row>
    <row r="2972" spans="1:10">
      <c r="A2972" s="144" t="s">
        <v>104</v>
      </c>
      <c r="B2972" s="144" t="s">
        <v>12</v>
      </c>
      <c r="C2972" s="145">
        <v>0.75</v>
      </c>
      <c r="D2972" s="139">
        <v>0</v>
      </c>
      <c r="E2972" s="139">
        <v>0</v>
      </c>
      <c r="F2972" s="139">
        <v>0</v>
      </c>
      <c r="G2972" s="139">
        <v>0</v>
      </c>
      <c r="H2972" s="139">
        <v>0</v>
      </c>
      <c r="I2972" s="139">
        <v>0</v>
      </c>
      <c r="J2972" s="139">
        <v>0</v>
      </c>
    </row>
    <row r="2973" spans="1:10">
      <c r="A2973" s="133" t="s">
        <v>104</v>
      </c>
      <c r="B2973" s="133" t="s">
        <v>12</v>
      </c>
      <c r="C2973" s="134">
        <v>0.750694444444444</v>
      </c>
      <c r="D2973" s="135">
        <v>0</v>
      </c>
      <c r="E2973" s="135">
        <v>0</v>
      </c>
      <c r="F2973" s="135">
        <v>0</v>
      </c>
      <c r="G2973" s="135">
        <v>0</v>
      </c>
      <c r="H2973" s="135">
        <v>0</v>
      </c>
      <c r="I2973" s="135">
        <v>0</v>
      </c>
      <c r="J2973" s="135">
        <v>0</v>
      </c>
    </row>
    <row r="2974" spans="1:10">
      <c r="A2974" s="133" t="s">
        <v>104</v>
      </c>
      <c r="B2974" s="133" t="s">
        <v>12</v>
      </c>
      <c r="C2974" s="134">
        <v>0.75138888888888899</v>
      </c>
      <c r="D2974" s="135">
        <v>0</v>
      </c>
      <c r="E2974" s="135">
        <v>0</v>
      </c>
      <c r="F2974" s="135">
        <v>0</v>
      </c>
      <c r="G2974" s="135">
        <v>0</v>
      </c>
      <c r="H2974" s="135">
        <v>0</v>
      </c>
      <c r="I2974" s="135">
        <v>0</v>
      </c>
      <c r="J2974" s="135">
        <v>0</v>
      </c>
    </row>
    <row r="2975" spans="1:10">
      <c r="A2975" s="133" t="s">
        <v>104</v>
      </c>
      <c r="B2975" s="133" t="s">
        <v>12</v>
      </c>
      <c r="C2975" s="134">
        <v>0.75208333333333299</v>
      </c>
      <c r="D2975" s="135">
        <v>0</v>
      </c>
      <c r="E2975" s="135">
        <v>0</v>
      </c>
      <c r="F2975" s="135">
        <v>0</v>
      </c>
      <c r="G2975" s="135">
        <v>0</v>
      </c>
      <c r="H2975" s="135">
        <v>0</v>
      </c>
      <c r="I2975" s="135">
        <v>0</v>
      </c>
      <c r="J2975" s="135">
        <v>0</v>
      </c>
    </row>
    <row r="2976" spans="1:10">
      <c r="A2976" s="133" t="s">
        <v>104</v>
      </c>
      <c r="B2976" s="133" t="s">
        <v>12</v>
      </c>
      <c r="C2976" s="134">
        <v>0.75277777777777799</v>
      </c>
      <c r="D2976" s="135">
        <v>0</v>
      </c>
      <c r="E2976" s="135">
        <v>0</v>
      </c>
      <c r="F2976" s="135">
        <v>0</v>
      </c>
      <c r="G2976" s="135">
        <v>0</v>
      </c>
      <c r="H2976" s="135">
        <v>0</v>
      </c>
      <c r="I2976" s="135">
        <v>0</v>
      </c>
      <c r="J2976" s="135">
        <v>0</v>
      </c>
    </row>
    <row r="2977" spans="1:10">
      <c r="A2977" s="133" t="s">
        <v>104</v>
      </c>
      <c r="B2977" s="133" t="s">
        <v>12</v>
      </c>
      <c r="C2977" s="134">
        <v>0.75347222222222199</v>
      </c>
      <c r="D2977" s="135">
        <v>0</v>
      </c>
      <c r="E2977" s="135">
        <v>0</v>
      </c>
      <c r="F2977" s="135">
        <v>0</v>
      </c>
      <c r="G2977" s="135">
        <v>0</v>
      </c>
      <c r="H2977" s="135">
        <v>0</v>
      </c>
      <c r="I2977" s="135">
        <v>0</v>
      </c>
      <c r="J2977" s="135">
        <v>0</v>
      </c>
    </row>
    <row r="2978" spans="1:10">
      <c r="A2978" s="133" t="s">
        <v>104</v>
      </c>
      <c r="B2978" s="133" t="s">
        <v>12</v>
      </c>
      <c r="C2978" s="134">
        <v>0.75416666666666698</v>
      </c>
      <c r="D2978" s="135">
        <v>0</v>
      </c>
      <c r="E2978" s="135">
        <v>0</v>
      </c>
      <c r="F2978" s="135">
        <v>0</v>
      </c>
      <c r="G2978" s="135">
        <v>0</v>
      </c>
      <c r="H2978" s="135">
        <v>0</v>
      </c>
      <c r="I2978" s="135">
        <v>0</v>
      </c>
      <c r="J2978" s="135">
        <v>0</v>
      </c>
    </row>
    <row r="2979" spans="1:10">
      <c r="A2979" s="133" t="s">
        <v>104</v>
      </c>
      <c r="B2979" s="133" t="s">
        <v>12</v>
      </c>
      <c r="C2979" s="134">
        <v>0.75486111111111098</v>
      </c>
      <c r="D2979" s="135">
        <v>0</v>
      </c>
      <c r="E2979" s="135">
        <v>0</v>
      </c>
      <c r="F2979" s="135">
        <v>0</v>
      </c>
      <c r="G2979" s="135">
        <v>0</v>
      </c>
      <c r="H2979" s="135">
        <v>0</v>
      </c>
      <c r="I2979" s="135">
        <v>0</v>
      </c>
      <c r="J2979" s="135">
        <v>0</v>
      </c>
    </row>
    <row r="2980" spans="1:10">
      <c r="A2980" s="133" t="s">
        <v>104</v>
      </c>
      <c r="B2980" s="133" t="s">
        <v>12</v>
      </c>
      <c r="C2980" s="134">
        <v>0.75555555555555498</v>
      </c>
      <c r="D2980" s="135">
        <v>0</v>
      </c>
      <c r="E2980" s="135">
        <v>0</v>
      </c>
      <c r="F2980" s="135">
        <v>0</v>
      </c>
      <c r="G2980" s="135">
        <v>0</v>
      </c>
      <c r="H2980" s="135">
        <v>0</v>
      </c>
      <c r="I2980" s="135">
        <v>0</v>
      </c>
      <c r="J2980" s="135">
        <v>0</v>
      </c>
    </row>
    <row r="2981" spans="1:10">
      <c r="A2981" s="133" t="s">
        <v>104</v>
      </c>
      <c r="B2981" s="133" t="s">
        <v>12</v>
      </c>
      <c r="C2981" s="134">
        <v>0.75624999999999998</v>
      </c>
      <c r="D2981" s="135">
        <v>0</v>
      </c>
      <c r="E2981" s="135">
        <v>0</v>
      </c>
      <c r="F2981" s="135">
        <v>0</v>
      </c>
      <c r="G2981" s="135">
        <v>0</v>
      </c>
      <c r="H2981" s="135">
        <v>0</v>
      </c>
      <c r="I2981" s="135">
        <v>0</v>
      </c>
      <c r="J2981" s="135">
        <v>0</v>
      </c>
    </row>
    <row r="2982" spans="1:10">
      <c r="A2982" s="133" t="s">
        <v>104</v>
      </c>
      <c r="B2982" s="133" t="s">
        <v>12</v>
      </c>
      <c r="C2982" s="134">
        <v>0.75694444444444398</v>
      </c>
      <c r="D2982" s="135">
        <v>0</v>
      </c>
      <c r="E2982" s="135">
        <v>0</v>
      </c>
      <c r="F2982" s="135">
        <v>0</v>
      </c>
      <c r="G2982" s="135">
        <v>0</v>
      </c>
      <c r="H2982" s="135">
        <v>0</v>
      </c>
      <c r="I2982" s="135">
        <v>0</v>
      </c>
      <c r="J2982" s="135">
        <v>0</v>
      </c>
    </row>
    <row r="2983" spans="1:10">
      <c r="A2983" s="133" t="s">
        <v>104</v>
      </c>
      <c r="B2983" s="133" t="s">
        <v>12</v>
      </c>
      <c r="C2983" s="134">
        <v>0.75763888888888897</v>
      </c>
      <c r="D2983" s="135">
        <v>0</v>
      </c>
      <c r="E2983" s="135">
        <v>0</v>
      </c>
      <c r="F2983" s="135">
        <v>0</v>
      </c>
      <c r="G2983" s="135">
        <v>0</v>
      </c>
      <c r="H2983" s="135">
        <v>0</v>
      </c>
      <c r="I2983" s="135">
        <v>0</v>
      </c>
      <c r="J2983" s="135">
        <v>0</v>
      </c>
    </row>
    <row r="2984" spans="1:10">
      <c r="A2984" s="133" t="s">
        <v>104</v>
      </c>
      <c r="B2984" s="133" t="s">
        <v>12</v>
      </c>
      <c r="C2984" s="134">
        <v>0.75833333333333297</v>
      </c>
      <c r="D2984" s="135">
        <v>0</v>
      </c>
      <c r="E2984" s="135">
        <v>0</v>
      </c>
      <c r="F2984" s="135">
        <v>0</v>
      </c>
      <c r="G2984" s="135">
        <v>0</v>
      </c>
      <c r="H2984" s="135">
        <v>0</v>
      </c>
      <c r="I2984" s="135">
        <v>0</v>
      </c>
      <c r="J2984" s="135">
        <v>0</v>
      </c>
    </row>
    <row r="2985" spans="1:10">
      <c r="A2985" s="133" t="s">
        <v>104</v>
      </c>
      <c r="B2985" s="133" t="s">
        <v>12</v>
      </c>
      <c r="C2985" s="134">
        <v>0.75902777777777797</v>
      </c>
      <c r="D2985" s="135">
        <v>0</v>
      </c>
      <c r="E2985" s="135">
        <v>0</v>
      </c>
      <c r="F2985" s="135">
        <v>0</v>
      </c>
      <c r="G2985" s="135">
        <v>0</v>
      </c>
      <c r="H2985" s="135">
        <v>0</v>
      </c>
      <c r="I2985" s="135">
        <v>0</v>
      </c>
      <c r="J2985" s="135">
        <v>0</v>
      </c>
    </row>
    <row r="2986" spans="1:10">
      <c r="A2986" s="136" t="s">
        <v>104</v>
      </c>
      <c r="B2986" s="136" t="s">
        <v>12</v>
      </c>
      <c r="C2986" s="137">
        <v>0.75972222222222197</v>
      </c>
      <c r="D2986" s="138">
        <v>0</v>
      </c>
      <c r="E2986" s="138">
        <v>0</v>
      </c>
      <c r="F2986" s="138">
        <v>0</v>
      </c>
      <c r="G2986" s="138">
        <v>0</v>
      </c>
      <c r="H2986" s="138">
        <v>0</v>
      </c>
      <c r="I2986" s="138">
        <v>0</v>
      </c>
      <c r="J2986" s="138">
        <v>0</v>
      </c>
    </row>
    <row r="2987" spans="1:10">
      <c r="A2987" s="144" t="s">
        <v>104</v>
      </c>
      <c r="B2987" s="144" t="s">
        <v>12</v>
      </c>
      <c r="C2987" s="145">
        <v>0.76041666666666696</v>
      </c>
      <c r="D2987" s="139">
        <v>0</v>
      </c>
      <c r="E2987" s="139">
        <v>0</v>
      </c>
      <c r="F2987" s="139">
        <v>0</v>
      </c>
      <c r="G2987" s="139">
        <v>0</v>
      </c>
      <c r="H2987" s="139">
        <v>0</v>
      </c>
      <c r="I2987" s="139">
        <v>0</v>
      </c>
      <c r="J2987" s="139">
        <v>0</v>
      </c>
    </row>
    <row r="2988" spans="1:10">
      <c r="A2988" s="133" t="s">
        <v>104</v>
      </c>
      <c r="B2988" s="133" t="s">
        <v>12</v>
      </c>
      <c r="C2988" s="134">
        <v>0.76111111111111096</v>
      </c>
      <c r="D2988" s="135">
        <v>0</v>
      </c>
      <c r="E2988" s="135">
        <v>0</v>
      </c>
      <c r="F2988" s="135">
        <v>0</v>
      </c>
      <c r="G2988" s="135">
        <v>0</v>
      </c>
      <c r="H2988" s="135">
        <v>0</v>
      </c>
      <c r="I2988" s="135">
        <v>0</v>
      </c>
      <c r="J2988" s="135">
        <v>0</v>
      </c>
    </row>
    <row r="2989" spans="1:10">
      <c r="A2989" s="133" t="s">
        <v>104</v>
      </c>
      <c r="B2989" s="133" t="s">
        <v>12</v>
      </c>
      <c r="C2989" s="134">
        <v>0.76180555555555496</v>
      </c>
      <c r="D2989" s="135">
        <v>0</v>
      </c>
      <c r="E2989" s="135">
        <v>0</v>
      </c>
      <c r="F2989" s="135">
        <v>0</v>
      </c>
      <c r="G2989" s="135">
        <v>0</v>
      </c>
      <c r="H2989" s="135">
        <v>0</v>
      </c>
      <c r="I2989" s="135">
        <v>0</v>
      </c>
      <c r="J2989" s="135">
        <v>0</v>
      </c>
    </row>
    <row r="2990" spans="1:10">
      <c r="A2990" s="133" t="s">
        <v>104</v>
      </c>
      <c r="B2990" s="133" t="s">
        <v>12</v>
      </c>
      <c r="C2990" s="134">
        <v>0.76249999999999996</v>
      </c>
      <c r="D2990" s="135">
        <v>0</v>
      </c>
      <c r="E2990" s="135">
        <v>0</v>
      </c>
      <c r="F2990" s="135">
        <v>0</v>
      </c>
      <c r="G2990" s="135">
        <v>0</v>
      </c>
      <c r="H2990" s="135">
        <v>0</v>
      </c>
      <c r="I2990" s="135">
        <v>0</v>
      </c>
      <c r="J2990" s="135">
        <v>0</v>
      </c>
    </row>
    <row r="2991" spans="1:10">
      <c r="A2991" s="133" t="s">
        <v>104</v>
      </c>
      <c r="B2991" s="133" t="s">
        <v>12</v>
      </c>
      <c r="C2991" s="134">
        <v>0.76319444444444395</v>
      </c>
      <c r="D2991" s="135">
        <v>0</v>
      </c>
      <c r="E2991" s="135">
        <v>0</v>
      </c>
      <c r="F2991" s="135">
        <v>0</v>
      </c>
      <c r="G2991" s="135">
        <v>0</v>
      </c>
      <c r="H2991" s="135">
        <v>0</v>
      </c>
      <c r="I2991" s="135">
        <v>0</v>
      </c>
      <c r="J2991" s="135">
        <v>0</v>
      </c>
    </row>
    <row r="2992" spans="1:10">
      <c r="A2992" s="133" t="s">
        <v>104</v>
      </c>
      <c r="B2992" s="133" t="s">
        <v>12</v>
      </c>
      <c r="C2992" s="134">
        <v>0.76388888888888895</v>
      </c>
      <c r="D2992" s="135">
        <v>0</v>
      </c>
      <c r="E2992" s="135">
        <v>0</v>
      </c>
      <c r="F2992" s="135">
        <v>0</v>
      </c>
      <c r="G2992" s="135">
        <v>0</v>
      </c>
      <c r="H2992" s="135">
        <v>0</v>
      </c>
      <c r="I2992" s="135">
        <v>0</v>
      </c>
      <c r="J2992" s="135">
        <v>0</v>
      </c>
    </row>
    <row r="2993" spans="1:10">
      <c r="A2993" s="133" t="s">
        <v>104</v>
      </c>
      <c r="B2993" s="133" t="s">
        <v>12</v>
      </c>
      <c r="C2993" s="134">
        <v>0.76458333333333295</v>
      </c>
      <c r="D2993" s="135">
        <v>0</v>
      </c>
      <c r="E2993" s="135">
        <v>0</v>
      </c>
      <c r="F2993" s="135">
        <v>0</v>
      </c>
      <c r="G2993" s="135">
        <v>0</v>
      </c>
      <c r="H2993" s="135">
        <v>0</v>
      </c>
      <c r="I2993" s="135">
        <v>0</v>
      </c>
      <c r="J2993" s="135">
        <v>0</v>
      </c>
    </row>
    <row r="2994" spans="1:10">
      <c r="A2994" s="133" t="s">
        <v>104</v>
      </c>
      <c r="B2994" s="133" t="s">
        <v>12</v>
      </c>
      <c r="C2994" s="134">
        <v>0.76527777777777795</v>
      </c>
      <c r="D2994" s="135">
        <v>0</v>
      </c>
      <c r="E2994" s="135">
        <v>0</v>
      </c>
      <c r="F2994" s="135">
        <v>0</v>
      </c>
      <c r="G2994" s="135">
        <v>0</v>
      </c>
      <c r="H2994" s="135">
        <v>0</v>
      </c>
      <c r="I2994" s="135">
        <v>0</v>
      </c>
      <c r="J2994" s="135">
        <v>0</v>
      </c>
    </row>
    <row r="2995" spans="1:10">
      <c r="A2995" s="133" t="s">
        <v>104</v>
      </c>
      <c r="B2995" s="133" t="s">
        <v>12</v>
      </c>
      <c r="C2995" s="134">
        <v>0.76597222222222205</v>
      </c>
      <c r="D2995" s="135">
        <v>0</v>
      </c>
      <c r="E2995" s="135">
        <v>0</v>
      </c>
      <c r="F2995" s="135">
        <v>0</v>
      </c>
      <c r="G2995" s="135">
        <v>0</v>
      </c>
      <c r="H2995" s="135">
        <v>0</v>
      </c>
      <c r="I2995" s="135">
        <v>0</v>
      </c>
      <c r="J2995" s="135">
        <v>0</v>
      </c>
    </row>
    <row r="2996" spans="1:10">
      <c r="A2996" s="133" t="s">
        <v>104</v>
      </c>
      <c r="B2996" s="133" t="s">
        <v>12</v>
      </c>
      <c r="C2996" s="134">
        <v>0.76666666666666605</v>
      </c>
      <c r="D2996" s="135">
        <v>0</v>
      </c>
      <c r="E2996" s="135">
        <v>0</v>
      </c>
      <c r="F2996" s="135">
        <v>0</v>
      </c>
      <c r="G2996" s="135">
        <v>0</v>
      </c>
      <c r="H2996" s="135">
        <v>0</v>
      </c>
      <c r="I2996" s="135">
        <v>0</v>
      </c>
      <c r="J2996" s="135">
        <v>0</v>
      </c>
    </row>
    <row r="2997" spans="1:10">
      <c r="A2997" s="133" t="s">
        <v>104</v>
      </c>
      <c r="B2997" s="133" t="s">
        <v>12</v>
      </c>
      <c r="C2997" s="134">
        <v>0.76736111111111105</v>
      </c>
      <c r="D2997" s="135">
        <v>0</v>
      </c>
      <c r="E2997" s="135">
        <v>0</v>
      </c>
      <c r="F2997" s="135">
        <v>0</v>
      </c>
      <c r="G2997" s="135">
        <v>0</v>
      </c>
      <c r="H2997" s="135">
        <v>0</v>
      </c>
      <c r="I2997" s="135">
        <v>0</v>
      </c>
      <c r="J2997" s="135">
        <v>0</v>
      </c>
    </row>
    <row r="2998" spans="1:10">
      <c r="A2998" s="133" t="s">
        <v>104</v>
      </c>
      <c r="B2998" s="133" t="s">
        <v>12</v>
      </c>
      <c r="C2998" s="134">
        <v>0.76805555555555505</v>
      </c>
      <c r="D2998" s="135">
        <v>0</v>
      </c>
      <c r="E2998" s="135">
        <v>0</v>
      </c>
      <c r="F2998" s="135">
        <v>0</v>
      </c>
      <c r="G2998" s="135">
        <v>0</v>
      </c>
      <c r="H2998" s="135">
        <v>0</v>
      </c>
      <c r="I2998" s="135">
        <v>0</v>
      </c>
      <c r="J2998" s="135">
        <v>0</v>
      </c>
    </row>
    <row r="2999" spans="1:10">
      <c r="A2999" s="133" t="s">
        <v>104</v>
      </c>
      <c r="B2999" s="133" t="s">
        <v>12</v>
      </c>
      <c r="C2999" s="134">
        <v>0.76875000000000004</v>
      </c>
      <c r="D2999" s="135">
        <v>0</v>
      </c>
      <c r="E2999" s="135">
        <v>0</v>
      </c>
      <c r="F2999" s="135">
        <v>0</v>
      </c>
      <c r="G2999" s="135">
        <v>0</v>
      </c>
      <c r="H2999" s="135">
        <v>0</v>
      </c>
      <c r="I2999" s="135">
        <v>0</v>
      </c>
      <c r="J2999" s="135">
        <v>0</v>
      </c>
    </row>
    <row r="3000" spans="1:10">
      <c r="A3000" s="133" t="s">
        <v>104</v>
      </c>
      <c r="B3000" s="133" t="s">
        <v>12</v>
      </c>
      <c r="C3000" s="134">
        <v>0.76944444444444404</v>
      </c>
      <c r="D3000" s="135">
        <v>0</v>
      </c>
      <c r="E3000" s="135">
        <v>0</v>
      </c>
      <c r="F3000" s="135">
        <v>0</v>
      </c>
      <c r="G3000" s="135">
        <v>0</v>
      </c>
      <c r="H3000" s="135">
        <v>0</v>
      </c>
      <c r="I3000" s="135">
        <v>0</v>
      </c>
      <c r="J3000" s="135">
        <v>0</v>
      </c>
    </row>
    <row r="3001" spans="1:10" ht="17.5" thickBot="1">
      <c r="A3001" s="140" t="s">
        <v>104</v>
      </c>
      <c r="B3001" s="140" t="s">
        <v>12</v>
      </c>
      <c r="C3001" s="141">
        <v>0.77013888888888904</v>
      </c>
      <c r="D3001" s="142">
        <v>0</v>
      </c>
      <c r="E3001" s="142">
        <v>0</v>
      </c>
      <c r="F3001" s="142">
        <v>0</v>
      </c>
      <c r="G3001" s="142">
        <v>0</v>
      </c>
      <c r="H3001" s="142">
        <v>0</v>
      </c>
      <c r="I3001" s="142">
        <v>0</v>
      </c>
      <c r="J3001" s="142">
        <v>0</v>
      </c>
    </row>
    <row r="3002" spans="1:10">
      <c r="A3002" s="133" t="s">
        <v>104</v>
      </c>
      <c r="B3002" s="133" t="s">
        <v>13</v>
      </c>
      <c r="C3002" s="134">
        <v>0.72916666666666663</v>
      </c>
      <c r="D3002" s="143">
        <v>0</v>
      </c>
      <c r="E3002" s="143">
        <v>0</v>
      </c>
      <c r="F3002" s="143">
        <v>0</v>
      </c>
      <c r="G3002" s="143">
        <v>0</v>
      </c>
      <c r="H3002" s="143">
        <v>0</v>
      </c>
      <c r="I3002" s="143">
        <v>0</v>
      </c>
      <c r="J3002" s="143">
        <v>0</v>
      </c>
    </row>
    <row r="3003" spans="1:10">
      <c r="A3003" s="133" t="s">
        <v>104</v>
      </c>
      <c r="B3003" s="133" t="s">
        <v>13</v>
      </c>
      <c r="C3003" s="134">
        <v>0.72986111111111107</v>
      </c>
      <c r="D3003" s="135">
        <v>0</v>
      </c>
      <c r="E3003" s="135">
        <v>0</v>
      </c>
      <c r="F3003" s="135">
        <v>0</v>
      </c>
      <c r="G3003" s="135">
        <v>0</v>
      </c>
      <c r="H3003" s="135">
        <v>0</v>
      </c>
      <c r="I3003" s="135">
        <v>0</v>
      </c>
      <c r="J3003" s="135">
        <v>0</v>
      </c>
    </row>
    <row r="3004" spans="1:10">
      <c r="A3004" s="133" t="s">
        <v>104</v>
      </c>
      <c r="B3004" s="133" t="s">
        <v>13</v>
      </c>
      <c r="C3004" s="134">
        <v>0.73055555555555596</v>
      </c>
      <c r="D3004" s="135">
        <v>0</v>
      </c>
      <c r="E3004" s="135">
        <v>0</v>
      </c>
      <c r="F3004" s="135">
        <v>0</v>
      </c>
      <c r="G3004" s="135">
        <v>0</v>
      </c>
      <c r="H3004" s="135">
        <v>0</v>
      </c>
      <c r="I3004" s="135">
        <v>0</v>
      </c>
      <c r="J3004" s="135">
        <v>0</v>
      </c>
    </row>
    <row r="3005" spans="1:10">
      <c r="A3005" s="133" t="s">
        <v>104</v>
      </c>
      <c r="B3005" s="133" t="s">
        <v>13</v>
      </c>
      <c r="C3005" s="134">
        <v>0.73124999999999996</v>
      </c>
      <c r="D3005" s="135">
        <v>0</v>
      </c>
      <c r="E3005" s="135">
        <v>0</v>
      </c>
      <c r="F3005" s="135">
        <v>0</v>
      </c>
      <c r="G3005" s="135">
        <v>0</v>
      </c>
      <c r="H3005" s="135">
        <v>0</v>
      </c>
      <c r="I3005" s="135">
        <v>0</v>
      </c>
      <c r="J3005" s="135">
        <v>0</v>
      </c>
    </row>
    <row r="3006" spans="1:10">
      <c r="A3006" s="133" t="s">
        <v>104</v>
      </c>
      <c r="B3006" s="133" t="s">
        <v>13</v>
      </c>
      <c r="C3006" s="134">
        <v>0.73194444444444395</v>
      </c>
      <c r="D3006" s="135">
        <v>0</v>
      </c>
      <c r="E3006" s="135">
        <v>0</v>
      </c>
      <c r="F3006" s="135">
        <v>0</v>
      </c>
      <c r="G3006" s="135">
        <v>0</v>
      </c>
      <c r="H3006" s="135">
        <v>0</v>
      </c>
      <c r="I3006" s="135">
        <v>0</v>
      </c>
      <c r="J3006" s="135">
        <v>0</v>
      </c>
    </row>
    <row r="3007" spans="1:10">
      <c r="A3007" s="133" t="s">
        <v>104</v>
      </c>
      <c r="B3007" s="133" t="s">
        <v>13</v>
      </c>
      <c r="C3007" s="134">
        <v>0.73263888888888895</v>
      </c>
      <c r="D3007" s="135">
        <v>0</v>
      </c>
      <c r="E3007" s="135">
        <v>0</v>
      </c>
      <c r="F3007" s="135">
        <v>0</v>
      </c>
      <c r="G3007" s="135">
        <v>0</v>
      </c>
      <c r="H3007" s="135">
        <v>0</v>
      </c>
      <c r="I3007" s="135">
        <v>0</v>
      </c>
      <c r="J3007" s="135">
        <v>0</v>
      </c>
    </row>
    <row r="3008" spans="1:10">
      <c r="A3008" s="133" t="s">
        <v>104</v>
      </c>
      <c r="B3008" s="133" t="s">
        <v>13</v>
      </c>
      <c r="C3008" s="134">
        <v>0.73333333333333295</v>
      </c>
      <c r="D3008" s="135">
        <v>0</v>
      </c>
      <c r="E3008" s="135">
        <v>0</v>
      </c>
      <c r="F3008" s="135">
        <v>0</v>
      </c>
      <c r="G3008" s="135">
        <v>0</v>
      </c>
      <c r="H3008" s="135">
        <v>0</v>
      </c>
      <c r="I3008" s="135">
        <v>0</v>
      </c>
      <c r="J3008" s="135">
        <v>0</v>
      </c>
    </row>
    <row r="3009" spans="1:10">
      <c r="A3009" s="133" t="s">
        <v>104</v>
      </c>
      <c r="B3009" s="133" t="s">
        <v>13</v>
      </c>
      <c r="C3009" s="134">
        <v>0.73402777777777795</v>
      </c>
      <c r="D3009" s="135">
        <v>0</v>
      </c>
      <c r="E3009" s="135">
        <v>0</v>
      </c>
      <c r="F3009" s="135">
        <v>0</v>
      </c>
      <c r="G3009" s="135">
        <v>0</v>
      </c>
      <c r="H3009" s="135">
        <v>0</v>
      </c>
      <c r="I3009" s="135">
        <v>0</v>
      </c>
      <c r="J3009" s="135">
        <v>0</v>
      </c>
    </row>
    <row r="3010" spans="1:10">
      <c r="A3010" s="133" t="s">
        <v>104</v>
      </c>
      <c r="B3010" s="133" t="s">
        <v>13</v>
      </c>
      <c r="C3010" s="134">
        <v>0.73472222222222205</v>
      </c>
      <c r="D3010" s="135">
        <v>0</v>
      </c>
      <c r="E3010" s="135">
        <v>0</v>
      </c>
      <c r="F3010" s="135">
        <v>0</v>
      </c>
      <c r="G3010" s="135">
        <v>0</v>
      </c>
      <c r="H3010" s="135">
        <v>0</v>
      </c>
      <c r="I3010" s="135">
        <v>0</v>
      </c>
      <c r="J3010" s="135">
        <v>0</v>
      </c>
    </row>
    <row r="3011" spans="1:10">
      <c r="A3011" s="133" t="s">
        <v>104</v>
      </c>
      <c r="B3011" s="133" t="s">
        <v>13</v>
      </c>
      <c r="C3011" s="134">
        <v>0.73541666666666705</v>
      </c>
      <c r="D3011" s="135">
        <v>0</v>
      </c>
      <c r="E3011" s="135">
        <v>0</v>
      </c>
      <c r="F3011" s="135">
        <v>0</v>
      </c>
      <c r="G3011" s="135">
        <v>0</v>
      </c>
      <c r="H3011" s="135">
        <v>0</v>
      </c>
      <c r="I3011" s="135">
        <v>0</v>
      </c>
      <c r="J3011" s="135">
        <v>0</v>
      </c>
    </row>
    <row r="3012" spans="1:10">
      <c r="A3012" s="133" t="s">
        <v>104</v>
      </c>
      <c r="B3012" s="133" t="s">
        <v>13</v>
      </c>
      <c r="C3012" s="134">
        <v>0.73611111111111105</v>
      </c>
      <c r="D3012" s="135">
        <v>0</v>
      </c>
      <c r="E3012" s="135">
        <v>0</v>
      </c>
      <c r="F3012" s="135">
        <v>0</v>
      </c>
      <c r="G3012" s="135">
        <v>0</v>
      </c>
      <c r="H3012" s="135">
        <v>0</v>
      </c>
      <c r="I3012" s="135">
        <v>0</v>
      </c>
      <c r="J3012" s="135">
        <v>0</v>
      </c>
    </row>
    <row r="3013" spans="1:10">
      <c r="A3013" s="133" t="s">
        <v>104</v>
      </c>
      <c r="B3013" s="133" t="s">
        <v>13</v>
      </c>
      <c r="C3013" s="134">
        <v>0.73680555555555505</v>
      </c>
      <c r="D3013" s="135">
        <v>0</v>
      </c>
      <c r="E3013" s="135">
        <v>0</v>
      </c>
      <c r="F3013" s="135">
        <v>0</v>
      </c>
      <c r="G3013" s="135">
        <v>0</v>
      </c>
      <c r="H3013" s="135">
        <v>0</v>
      </c>
      <c r="I3013" s="135">
        <v>0</v>
      </c>
      <c r="J3013" s="135">
        <v>0</v>
      </c>
    </row>
    <row r="3014" spans="1:10">
      <c r="A3014" s="133" t="s">
        <v>104</v>
      </c>
      <c r="B3014" s="133" t="s">
        <v>13</v>
      </c>
      <c r="C3014" s="134">
        <v>0.73750000000000004</v>
      </c>
      <c r="D3014" s="135">
        <v>0</v>
      </c>
      <c r="E3014" s="135">
        <v>0</v>
      </c>
      <c r="F3014" s="135">
        <v>0</v>
      </c>
      <c r="G3014" s="135">
        <v>0</v>
      </c>
      <c r="H3014" s="135">
        <v>0</v>
      </c>
      <c r="I3014" s="135">
        <v>0</v>
      </c>
      <c r="J3014" s="135">
        <v>0</v>
      </c>
    </row>
    <row r="3015" spans="1:10">
      <c r="A3015" s="133" t="s">
        <v>104</v>
      </c>
      <c r="B3015" s="133" t="s">
        <v>13</v>
      </c>
      <c r="C3015" s="134">
        <v>0.73819444444444404</v>
      </c>
      <c r="D3015" s="135">
        <v>0</v>
      </c>
      <c r="E3015" s="135">
        <v>0</v>
      </c>
      <c r="F3015" s="135">
        <v>0</v>
      </c>
      <c r="G3015" s="135">
        <v>0</v>
      </c>
      <c r="H3015" s="135">
        <v>0</v>
      </c>
      <c r="I3015" s="135">
        <v>0</v>
      </c>
      <c r="J3015" s="135">
        <v>0</v>
      </c>
    </row>
    <row r="3016" spans="1:10">
      <c r="A3016" s="136" t="s">
        <v>104</v>
      </c>
      <c r="B3016" s="136" t="s">
        <v>13</v>
      </c>
      <c r="C3016" s="137">
        <v>0.73888888888888904</v>
      </c>
      <c r="D3016" s="135">
        <v>0</v>
      </c>
      <c r="E3016" s="135">
        <v>0</v>
      </c>
      <c r="F3016" s="135">
        <v>0</v>
      </c>
      <c r="G3016" s="135">
        <v>0</v>
      </c>
      <c r="H3016" s="135">
        <v>0</v>
      </c>
      <c r="I3016" s="135">
        <v>0</v>
      </c>
      <c r="J3016" s="135">
        <v>0</v>
      </c>
    </row>
    <row r="3017" spans="1:10">
      <c r="A3017" s="133" t="s">
        <v>104</v>
      </c>
      <c r="B3017" s="133" t="s">
        <v>13</v>
      </c>
      <c r="C3017" s="134">
        <v>0.73958333333333304</v>
      </c>
      <c r="D3017" s="139">
        <v>0</v>
      </c>
      <c r="E3017" s="139">
        <v>0</v>
      </c>
      <c r="F3017" s="139">
        <v>0</v>
      </c>
      <c r="G3017" s="139">
        <v>0</v>
      </c>
      <c r="H3017" s="139">
        <v>0</v>
      </c>
      <c r="I3017" s="139">
        <v>0</v>
      </c>
      <c r="J3017" s="139">
        <v>0</v>
      </c>
    </row>
    <row r="3018" spans="1:10">
      <c r="A3018" s="133" t="s">
        <v>104</v>
      </c>
      <c r="B3018" s="133" t="s">
        <v>13</v>
      </c>
      <c r="C3018" s="134">
        <v>0.74027777777777803</v>
      </c>
      <c r="D3018" s="135">
        <v>0</v>
      </c>
      <c r="E3018" s="135">
        <v>0</v>
      </c>
      <c r="F3018" s="135">
        <v>0</v>
      </c>
      <c r="G3018" s="135">
        <v>0</v>
      </c>
      <c r="H3018" s="135">
        <v>0</v>
      </c>
      <c r="I3018" s="135">
        <v>0</v>
      </c>
      <c r="J3018" s="135">
        <v>0</v>
      </c>
    </row>
    <row r="3019" spans="1:10">
      <c r="A3019" s="133" t="s">
        <v>104</v>
      </c>
      <c r="B3019" s="133" t="s">
        <v>13</v>
      </c>
      <c r="C3019" s="134">
        <v>0.74097222222222203</v>
      </c>
      <c r="D3019" s="135">
        <v>0</v>
      </c>
      <c r="E3019" s="135">
        <v>0</v>
      </c>
      <c r="F3019" s="135">
        <v>0</v>
      </c>
      <c r="G3019" s="135">
        <v>0</v>
      </c>
      <c r="H3019" s="135">
        <v>0</v>
      </c>
      <c r="I3019" s="135">
        <v>0</v>
      </c>
      <c r="J3019" s="135">
        <v>0</v>
      </c>
    </row>
    <row r="3020" spans="1:10">
      <c r="A3020" s="133" t="s">
        <v>104</v>
      </c>
      <c r="B3020" s="133" t="s">
        <v>13</v>
      </c>
      <c r="C3020" s="134">
        <v>0.74166666666666703</v>
      </c>
      <c r="D3020" s="135">
        <v>0</v>
      </c>
      <c r="E3020" s="135">
        <v>0</v>
      </c>
      <c r="F3020" s="135">
        <v>0</v>
      </c>
      <c r="G3020" s="135">
        <v>0</v>
      </c>
      <c r="H3020" s="135">
        <v>0</v>
      </c>
      <c r="I3020" s="135">
        <v>0</v>
      </c>
      <c r="J3020" s="135">
        <v>0</v>
      </c>
    </row>
    <row r="3021" spans="1:10">
      <c r="A3021" s="133" t="s">
        <v>104</v>
      </c>
      <c r="B3021" s="133" t="s">
        <v>13</v>
      </c>
      <c r="C3021" s="134">
        <v>0.74236111111111103</v>
      </c>
      <c r="D3021" s="135">
        <v>0</v>
      </c>
      <c r="E3021" s="135">
        <v>0</v>
      </c>
      <c r="F3021" s="135">
        <v>0</v>
      </c>
      <c r="G3021" s="135">
        <v>0</v>
      </c>
      <c r="H3021" s="135">
        <v>0</v>
      </c>
      <c r="I3021" s="135">
        <v>0</v>
      </c>
      <c r="J3021" s="135">
        <v>0</v>
      </c>
    </row>
    <row r="3022" spans="1:10">
      <c r="A3022" s="133" t="s">
        <v>104</v>
      </c>
      <c r="B3022" s="133" t="s">
        <v>13</v>
      </c>
      <c r="C3022" s="134">
        <v>0.74305555555555503</v>
      </c>
      <c r="D3022" s="135">
        <v>0</v>
      </c>
      <c r="E3022" s="135">
        <v>0</v>
      </c>
      <c r="F3022" s="135">
        <v>0</v>
      </c>
      <c r="G3022" s="135">
        <v>0</v>
      </c>
      <c r="H3022" s="135">
        <v>0</v>
      </c>
      <c r="I3022" s="135">
        <v>0</v>
      </c>
      <c r="J3022" s="135">
        <v>0</v>
      </c>
    </row>
    <row r="3023" spans="1:10">
      <c r="A3023" s="133" t="s">
        <v>104</v>
      </c>
      <c r="B3023" s="133" t="s">
        <v>13</v>
      </c>
      <c r="C3023" s="134">
        <v>0.74375000000000002</v>
      </c>
      <c r="D3023" s="135">
        <v>0</v>
      </c>
      <c r="E3023" s="135">
        <v>0</v>
      </c>
      <c r="F3023" s="135">
        <v>0</v>
      </c>
      <c r="G3023" s="135">
        <v>0</v>
      </c>
      <c r="H3023" s="135">
        <v>0</v>
      </c>
      <c r="I3023" s="135">
        <v>0</v>
      </c>
      <c r="J3023" s="135">
        <v>0</v>
      </c>
    </row>
    <row r="3024" spans="1:10">
      <c r="A3024" s="133" t="s">
        <v>104</v>
      </c>
      <c r="B3024" s="133" t="s">
        <v>13</v>
      </c>
      <c r="C3024" s="134">
        <v>0.74444444444444402</v>
      </c>
      <c r="D3024" s="135">
        <v>0</v>
      </c>
      <c r="E3024" s="135">
        <v>0</v>
      </c>
      <c r="F3024" s="135">
        <v>0</v>
      </c>
      <c r="G3024" s="135">
        <v>0</v>
      </c>
      <c r="H3024" s="135">
        <v>0</v>
      </c>
      <c r="I3024" s="135">
        <v>0</v>
      </c>
      <c r="J3024" s="135">
        <v>0</v>
      </c>
    </row>
    <row r="3025" spans="1:10">
      <c r="A3025" s="133" t="s">
        <v>104</v>
      </c>
      <c r="B3025" s="133" t="s">
        <v>13</v>
      </c>
      <c r="C3025" s="134">
        <v>0.74513888888888902</v>
      </c>
      <c r="D3025" s="135">
        <v>0</v>
      </c>
      <c r="E3025" s="135">
        <v>0</v>
      </c>
      <c r="F3025" s="135">
        <v>0</v>
      </c>
      <c r="G3025" s="135">
        <v>0</v>
      </c>
      <c r="H3025" s="135">
        <v>0</v>
      </c>
      <c r="I3025" s="135">
        <v>0</v>
      </c>
      <c r="J3025" s="135">
        <v>0</v>
      </c>
    </row>
    <row r="3026" spans="1:10">
      <c r="A3026" s="133" t="s">
        <v>104</v>
      </c>
      <c r="B3026" s="133" t="s">
        <v>13</v>
      </c>
      <c r="C3026" s="134">
        <v>0.74583333333333302</v>
      </c>
      <c r="D3026" s="135">
        <v>0</v>
      </c>
      <c r="E3026" s="135">
        <v>0</v>
      </c>
      <c r="F3026" s="135">
        <v>0</v>
      </c>
      <c r="G3026" s="135">
        <v>0</v>
      </c>
      <c r="H3026" s="135">
        <v>0</v>
      </c>
      <c r="I3026" s="135">
        <v>0</v>
      </c>
      <c r="J3026" s="135">
        <v>0</v>
      </c>
    </row>
    <row r="3027" spans="1:10">
      <c r="A3027" s="133" t="s">
        <v>104</v>
      </c>
      <c r="B3027" s="133" t="s">
        <v>13</v>
      </c>
      <c r="C3027" s="134">
        <v>0.74652777777777801</v>
      </c>
      <c r="D3027" s="135">
        <v>0</v>
      </c>
      <c r="E3027" s="135">
        <v>0</v>
      </c>
      <c r="F3027" s="135">
        <v>0</v>
      </c>
      <c r="G3027" s="135">
        <v>0</v>
      </c>
      <c r="H3027" s="135">
        <v>0</v>
      </c>
      <c r="I3027" s="135">
        <v>0</v>
      </c>
      <c r="J3027" s="135">
        <v>0</v>
      </c>
    </row>
    <row r="3028" spans="1:10">
      <c r="A3028" s="133" t="s">
        <v>104</v>
      </c>
      <c r="B3028" s="133" t="s">
        <v>13</v>
      </c>
      <c r="C3028" s="134">
        <v>0.74722222222222201</v>
      </c>
      <c r="D3028" s="135">
        <v>0</v>
      </c>
      <c r="E3028" s="135">
        <v>0</v>
      </c>
      <c r="F3028" s="135">
        <v>0</v>
      </c>
      <c r="G3028" s="135">
        <v>0</v>
      </c>
      <c r="H3028" s="135">
        <v>0</v>
      </c>
      <c r="I3028" s="135">
        <v>0</v>
      </c>
      <c r="J3028" s="135">
        <v>0</v>
      </c>
    </row>
    <row r="3029" spans="1:10">
      <c r="A3029" s="133" t="s">
        <v>104</v>
      </c>
      <c r="B3029" s="133" t="s">
        <v>13</v>
      </c>
      <c r="C3029" s="134">
        <v>0.74791666666666701</v>
      </c>
      <c r="D3029" s="135">
        <v>0</v>
      </c>
      <c r="E3029" s="135">
        <v>0</v>
      </c>
      <c r="F3029" s="135">
        <v>0</v>
      </c>
      <c r="G3029" s="135">
        <v>0</v>
      </c>
      <c r="H3029" s="135">
        <v>0</v>
      </c>
      <c r="I3029" s="135">
        <v>0</v>
      </c>
      <c r="J3029" s="135">
        <v>0</v>
      </c>
    </row>
    <row r="3030" spans="1:10">
      <c r="A3030" s="133" t="s">
        <v>104</v>
      </c>
      <c r="B3030" s="133" t="s">
        <v>13</v>
      </c>
      <c r="C3030" s="134">
        <v>0.74861111111111101</v>
      </c>
      <c r="D3030" s="135">
        <v>0</v>
      </c>
      <c r="E3030" s="135">
        <v>0</v>
      </c>
      <c r="F3030" s="135">
        <v>0</v>
      </c>
      <c r="G3030" s="135">
        <v>0</v>
      </c>
      <c r="H3030" s="135">
        <v>0</v>
      </c>
      <c r="I3030" s="135">
        <v>0</v>
      </c>
      <c r="J3030" s="135">
        <v>0</v>
      </c>
    </row>
    <row r="3031" spans="1:10">
      <c r="A3031" s="136" t="s">
        <v>104</v>
      </c>
      <c r="B3031" s="136" t="s">
        <v>13</v>
      </c>
      <c r="C3031" s="137">
        <v>0.749305555555555</v>
      </c>
      <c r="D3031" s="138">
        <v>0</v>
      </c>
      <c r="E3031" s="138">
        <v>0</v>
      </c>
      <c r="F3031" s="138">
        <v>0</v>
      </c>
      <c r="G3031" s="138">
        <v>0</v>
      </c>
      <c r="H3031" s="138">
        <v>0</v>
      </c>
      <c r="I3031" s="138">
        <v>0</v>
      </c>
      <c r="J3031" s="138">
        <v>0</v>
      </c>
    </row>
    <row r="3032" spans="1:10">
      <c r="A3032" s="144" t="s">
        <v>104</v>
      </c>
      <c r="B3032" s="144" t="s">
        <v>13</v>
      </c>
      <c r="C3032" s="145">
        <v>0.75</v>
      </c>
      <c r="D3032" s="139">
        <v>0</v>
      </c>
      <c r="E3032" s="139">
        <v>0</v>
      </c>
      <c r="F3032" s="139">
        <v>0</v>
      </c>
      <c r="G3032" s="139">
        <v>0</v>
      </c>
      <c r="H3032" s="139">
        <v>0</v>
      </c>
      <c r="I3032" s="139">
        <v>0</v>
      </c>
      <c r="J3032" s="139">
        <v>0</v>
      </c>
    </row>
    <row r="3033" spans="1:10">
      <c r="A3033" s="133" t="s">
        <v>104</v>
      </c>
      <c r="B3033" s="133" t="s">
        <v>13</v>
      </c>
      <c r="C3033" s="134">
        <v>0.750694444444444</v>
      </c>
      <c r="D3033" s="135">
        <v>0</v>
      </c>
      <c r="E3033" s="135">
        <v>0</v>
      </c>
      <c r="F3033" s="135">
        <v>0</v>
      </c>
      <c r="G3033" s="135">
        <v>0</v>
      </c>
      <c r="H3033" s="135">
        <v>0</v>
      </c>
      <c r="I3033" s="135">
        <v>0</v>
      </c>
      <c r="J3033" s="135">
        <v>0</v>
      </c>
    </row>
    <row r="3034" spans="1:10">
      <c r="A3034" s="133" t="s">
        <v>104</v>
      </c>
      <c r="B3034" s="133" t="s">
        <v>13</v>
      </c>
      <c r="C3034" s="134">
        <v>0.75138888888888899</v>
      </c>
      <c r="D3034" s="135">
        <v>0</v>
      </c>
      <c r="E3034" s="135">
        <v>0</v>
      </c>
      <c r="F3034" s="135">
        <v>0</v>
      </c>
      <c r="G3034" s="135">
        <v>0</v>
      </c>
      <c r="H3034" s="135">
        <v>0</v>
      </c>
      <c r="I3034" s="135">
        <v>0</v>
      </c>
      <c r="J3034" s="135">
        <v>0</v>
      </c>
    </row>
    <row r="3035" spans="1:10">
      <c r="A3035" s="133" t="s">
        <v>104</v>
      </c>
      <c r="B3035" s="133" t="s">
        <v>13</v>
      </c>
      <c r="C3035" s="134">
        <v>0.75208333333333299</v>
      </c>
      <c r="D3035" s="135">
        <v>0</v>
      </c>
      <c r="E3035" s="135">
        <v>0</v>
      </c>
      <c r="F3035" s="135">
        <v>0</v>
      </c>
      <c r="G3035" s="135">
        <v>0</v>
      </c>
      <c r="H3035" s="135">
        <v>0</v>
      </c>
      <c r="I3035" s="135">
        <v>0</v>
      </c>
      <c r="J3035" s="135">
        <v>0</v>
      </c>
    </row>
    <row r="3036" spans="1:10">
      <c r="A3036" s="133" t="s">
        <v>104</v>
      </c>
      <c r="B3036" s="133" t="s">
        <v>13</v>
      </c>
      <c r="C3036" s="134">
        <v>0.75277777777777799</v>
      </c>
      <c r="D3036" s="135">
        <v>0</v>
      </c>
      <c r="E3036" s="135">
        <v>0</v>
      </c>
      <c r="F3036" s="135">
        <v>0</v>
      </c>
      <c r="G3036" s="135">
        <v>0</v>
      </c>
      <c r="H3036" s="135">
        <v>0</v>
      </c>
      <c r="I3036" s="135">
        <v>0</v>
      </c>
      <c r="J3036" s="135">
        <v>0</v>
      </c>
    </row>
    <row r="3037" spans="1:10">
      <c r="A3037" s="133" t="s">
        <v>104</v>
      </c>
      <c r="B3037" s="133" t="s">
        <v>13</v>
      </c>
      <c r="C3037" s="134">
        <v>0.75347222222222199</v>
      </c>
      <c r="D3037" s="135">
        <v>0</v>
      </c>
      <c r="E3037" s="135">
        <v>0</v>
      </c>
      <c r="F3037" s="135">
        <v>0</v>
      </c>
      <c r="G3037" s="135">
        <v>0</v>
      </c>
      <c r="H3037" s="135">
        <v>0</v>
      </c>
      <c r="I3037" s="135">
        <v>0</v>
      </c>
      <c r="J3037" s="135">
        <v>0</v>
      </c>
    </row>
    <row r="3038" spans="1:10">
      <c r="A3038" s="133" t="s">
        <v>104</v>
      </c>
      <c r="B3038" s="133" t="s">
        <v>13</v>
      </c>
      <c r="C3038" s="134">
        <v>0.75416666666666698</v>
      </c>
      <c r="D3038" s="135">
        <v>0</v>
      </c>
      <c r="E3038" s="135">
        <v>0</v>
      </c>
      <c r="F3038" s="135">
        <v>0</v>
      </c>
      <c r="G3038" s="135">
        <v>0</v>
      </c>
      <c r="H3038" s="135">
        <v>0</v>
      </c>
      <c r="I3038" s="135">
        <v>0</v>
      </c>
      <c r="J3038" s="135">
        <v>0</v>
      </c>
    </row>
    <row r="3039" spans="1:10">
      <c r="A3039" s="133" t="s">
        <v>104</v>
      </c>
      <c r="B3039" s="133" t="s">
        <v>13</v>
      </c>
      <c r="C3039" s="134">
        <v>0.75486111111111098</v>
      </c>
      <c r="D3039" s="135">
        <v>0</v>
      </c>
      <c r="E3039" s="135">
        <v>0</v>
      </c>
      <c r="F3039" s="135">
        <v>0</v>
      </c>
      <c r="G3039" s="135">
        <v>0</v>
      </c>
      <c r="H3039" s="135">
        <v>0</v>
      </c>
      <c r="I3039" s="135">
        <v>0</v>
      </c>
      <c r="J3039" s="135">
        <v>0</v>
      </c>
    </row>
    <row r="3040" spans="1:10">
      <c r="A3040" s="133" t="s">
        <v>104</v>
      </c>
      <c r="B3040" s="133" t="s">
        <v>13</v>
      </c>
      <c r="C3040" s="134">
        <v>0.75555555555555498</v>
      </c>
      <c r="D3040" s="135">
        <v>0</v>
      </c>
      <c r="E3040" s="135">
        <v>0</v>
      </c>
      <c r="F3040" s="135">
        <v>0</v>
      </c>
      <c r="G3040" s="135">
        <v>0</v>
      </c>
      <c r="H3040" s="135">
        <v>0</v>
      </c>
      <c r="I3040" s="135">
        <v>0</v>
      </c>
      <c r="J3040" s="135">
        <v>0</v>
      </c>
    </row>
    <row r="3041" spans="1:10">
      <c r="A3041" s="133" t="s">
        <v>104</v>
      </c>
      <c r="B3041" s="133" t="s">
        <v>13</v>
      </c>
      <c r="C3041" s="134">
        <v>0.75624999999999998</v>
      </c>
      <c r="D3041" s="135">
        <v>0</v>
      </c>
      <c r="E3041" s="135">
        <v>0</v>
      </c>
      <c r="F3041" s="135">
        <v>0</v>
      </c>
      <c r="G3041" s="135">
        <v>0</v>
      </c>
      <c r="H3041" s="135">
        <v>0</v>
      </c>
      <c r="I3041" s="135">
        <v>0</v>
      </c>
      <c r="J3041" s="135">
        <v>0</v>
      </c>
    </row>
    <row r="3042" spans="1:10">
      <c r="A3042" s="133" t="s">
        <v>104</v>
      </c>
      <c r="B3042" s="133" t="s">
        <v>13</v>
      </c>
      <c r="C3042" s="134">
        <v>0.75694444444444398</v>
      </c>
      <c r="D3042" s="135">
        <v>0</v>
      </c>
      <c r="E3042" s="135">
        <v>0</v>
      </c>
      <c r="F3042" s="135">
        <v>0</v>
      </c>
      <c r="G3042" s="135">
        <v>0</v>
      </c>
      <c r="H3042" s="135">
        <v>0</v>
      </c>
      <c r="I3042" s="135">
        <v>0</v>
      </c>
      <c r="J3042" s="135">
        <v>0</v>
      </c>
    </row>
    <row r="3043" spans="1:10">
      <c r="A3043" s="133" t="s">
        <v>104</v>
      </c>
      <c r="B3043" s="133" t="s">
        <v>13</v>
      </c>
      <c r="C3043" s="134">
        <v>0.75763888888888897</v>
      </c>
      <c r="D3043" s="135">
        <v>0</v>
      </c>
      <c r="E3043" s="135">
        <v>0</v>
      </c>
      <c r="F3043" s="135">
        <v>0</v>
      </c>
      <c r="G3043" s="135">
        <v>0</v>
      </c>
      <c r="H3043" s="135">
        <v>0</v>
      </c>
      <c r="I3043" s="135">
        <v>0</v>
      </c>
      <c r="J3043" s="135">
        <v>0</v>
      </c>
    </row>
    <row r="3044" spans="1:10">
      <c r="A3044" s="133" t="s">
        <v>104</v>
      </c>
      <c r="B3044" s="133" t="s">
        <v>13</v>
      </c>
      <c r="C3044" s="134">
        <v>0.75833333333333297</v>
      </c>
      <c r="D3044" s="135">
        <v>0</v>
      </c>
      <c r="E3044" s="135">
        <v>0</v>
      </c>
      <c r="F3044" s="135">
        <v>0</v>
      </c>
      <c r="G3044" s="135">
        <v>0</v>
      </c>
      <c r="H3044" s="135">
        <v>0</v>
      </c>
      <c r="I3044" s="135">
        <v>0</v>
      </c>
      <c r="J3044" s="135">
        <v>0</v>
      </c>
    </row>
    <row r="3045" spans="1:10">
      <c r="A3045" s="133" t="s">
        <v>104</v>
      </c>
      <c r="B3045" s="133" t="s">
        <v>13</v>
      </c>
      <c r="C3045" s="134">
        <v>0.75902777777777797</v>
      </c>
      <c r="D3045" s="135">
        <v>0</v>
      </c>
      <c r="E3045" s="135">
        <v>0</v>
      </c>
      <c r="F3045" s="135">
        <v>0</v>
      </c>
      <c r="G3045" s="135">
        <v>0</v>
      </c>
      <c r="H3045" s="135">
        <v>0</v>
      </c>
      <c r="I3045" s="135">
        <v>0</v>
      </c>
      <c r="J3045" s="135">
        <v>0</v>
      </c>
    </row>
    <row r="3046" spans="1:10">
      <c r="A3046" s="136" t="s">
        <v>104</v>
      </c>
      <c r="B3046" s="136" t="s">
        <v>13</v>
      </c>
      <c r="C3046" s="137">
        <v>0.75972222222222197</v>
      </c>
      <c r="D3046" s="138">
        <v>0</v>
      </c>
      <c r="E3046" s="138">
        <v>0</v>
      </c>
      <c r="F3046" s="138">
        <v>0</v>
      </c>
      <c r="G3046" s="138">
        <v>0</v>
      </c>
      <c r="H3046" s="138">
        <v>0</v>
      </c>
      <c r="I3046" s="138">
        <v>0</v>
      </c>
      <c r="J3046" s="138">
        <v>0</v>
      </c>
    </row>
    <row r="3047" spans="1:10">
      <c r="A3047" s="144" t="s">
        <v>104</v>
      </c>
      <c r="B3047" s="144" t="s">
        <v>13</v>
      </c>
      <c r="C3047" s="145">
        <v>0.76041666666666696</v>
      </c>
      <c r="D3047" s="139">
        <v>0</v>
      </c>
      <c r="E3047" s="139">
        <v>0</v>
      </c>
      <c r="F3047" s="139">
        <v>0</v>
      </c>
      <c r="G3047" s="139">
        <v>0</v>
      </c>
      <c r="H3047" s="139">
        <v>0</v>
      </c>
      <c r="I3047" s="139">
        <v>0</v>
      </c>
      <c r="J3047" s="139">
        <v>0</v>
      </c>
    </row>
    <row r="3048" spans="1:10">
      <c r="A3048" s="133" t="s">
        <v>104</v>
      </c>
      <c r="B3048" s="133" t="s">
        <v>13</v>
      </c>
      <c r="C3048" s="134">
        <v>0.76111111111111096</v>
      </c>
      <c r="D3048" s="135">
        <v>0</v>
      </c>
      <c r="E3048" s="135">
        <v>0</v>
      </c>
      <c r="F3048" s="135">
        <v>0</v>
      </c>
      <c r="G3048" s="135">
        <v>0</v>
      </c>
      <c r="H3048" s="135">
        <v>0</v>
      </c>
      <c r="I3048" s="135">
        <v>0</v>
      </c>
      <c r="J3048" s="135">
        <v>0</v>
      </c>
    </row>
    <row r="3049" spans="1:10">
      <c r="A3049" s="133" t="s">
        <v>104</v>
      </c>
      <c r="B3049" s="133" t="s">
        <v>13</v>
      </c>
      <c r="C3049" s="134">
        <v>0.76180555555555496</v>
      </c>
      <c r="D3049" s="135">
        <v>0</v>
      </c>
      <c r="E3049" s="135">
        <v>0</v>
      </c>
      <c r="F3049" s="135">
        <v>0</v>
      </c>
      <c r="G3049" s="135">
        <v>0</v>
      </c>
      <c r="H3049" s="135">
        <v>0</v>
      </c>
      <c r="I3049" s="135">
        <v>0</v>
      </c>
      <c r="J3049" s="135">
        <v>0</v>
      </c>
    </row>
    <row r="3050" spans="1:10">
      <c r="A3050" s="133" t="s">
        <v>104</v>
      </c>
      <c r="B3050" s="133" t="s">
        <v>13</v>
      </c>
      <c r="C3050" s="134">
        <v>0.76249999999999996</v>
      </c>
      <c r="D3050" s="135">
        <v>0</v>
      </c>
      <c r="E3050" s="135">
        <v>0</v>
      </c>
      <c r="F3050" s="135">
        <v>0</v>
      </c>
      <c r="G3050" s="135">
        <v>0</v>
      </c>
      <c r="H3050" s="135">
        <v>0</v>
      </c>
      <c r="I3050" s="135">
        <v>0</v>
      </c>
      <c r="J3050" s="135">
        <v>0</v>
      </c>
    </row>
    <row r="3051" spans="1:10">
      <c r="A3051" s="133" t="s">
        <v>104</v>
      </c>
      <c r="B3051" s="133" t="s">
        <v>13</v>
      </c>
      <c r="C3051" s="134">
        <v>0.76319444444444395</v>
      </c>
      <c r="D3051" s="135">
        <v>0</v>
      </c>
      <c r="E3051" s="135">
        <v>0</v>
      </c>
      <c r="F3051" s="135">
        <v>0</v>
      </c>
      <c r="G3051" s="135">
        <v>0</v>
      </c>
      <c r="H3051" s="135">
        <v>0</v>
      </c>
      <c r="I3051" s="135">
        <v>0</v>
      </c>
      <c r="J3051" s="135">
        <v>0</v>
      </c>
    </row>
    <row r="3052" spans="1:10">
      <c r="A3052" s="133" t="s">
        <v>104</v>
      </c>
      <c r="B3052" s="133" t="s">
        <v>13</v>
      </c>
      <c r="C3052" s="134">
        <v>0.76388888888888895</v>
      </c>
      <c r="D3052" s="135">
        <v>0</v>
      </c>
      <c r="E3052" s="135">
        <v>0</v>
      </c>
      <c r="F3052" s="135">
        <v>0</v>
      </c>
      <c r="G3052" s="135">
        <v>0</v>
      </c>
      <c r="H3052" s="135">
        <v>0</v>
      </c>
      <c r="I3052" s="135">
        <v>0</v>
      </c>
      <c r="J3052" s="135">
        <v>0</v>
      </c>
    </row>
    <row r="3053" spans="1:10">
      <c r="A3053" s="133" t="s">
        <v>104</v>
      </c>
      <c r="B3053" s="133" t="s">
        <v>13</v>
      </c>
      <c r="C3053" s="134">
        <v>0.76458333333333295</v>
      </c>
      <c r="D3053" s="135">
        <v>0</v>
      </c>
      <c r="E3053" s="135">
        <v>0</v>
      </c>
      <c r="F3053" s="135">
        <v>0</v>
      </c>
      <c r="G3053" s="135">
        <v>0</v>
      </c>
      <c r="H3053" s="135">
        <v>0</v>
      </c>
      <c r="I3053" s="135">
        <v>0</v>
      </c>
      <c r="J3053" s="135">
        <v>0</v>
      </c>
    </row>
    <row r="3054" spans="1:10">
      <c r="A3054" s="133" t="s">
        <v>104</v>
      </c>
      <c r="B3054" s="133" t="s">
        <v>13</v>
      </c>
      <c r="C3054" s="134">
        <v>0.76527777777777795</v>
      </c>
      <c r="D3054" s="135">
        <v>0</v>
      </c>
      <c r="E3054" s="135">
        <v>0</v>
      </c>
      <c r="F3054" s="135">
        <v>0</v>
      </c>
      <c r="G3054" s="135">
        <v>0</v>
      </c>
      <c r="H3054" s="135">
        <v>0</v>
      </c>
      <c r="I3054" s="135">
        <v>0</v>
      </c>
      <c r="J3054" s="135">
        <v>0</v>
      </c>
    </row>
    <row r="3055" spans="1:10">
      <c r="A3055" s="133" t="s">
        <v>104</v>
      </c>
      <c r="B3055" s="133" t="s">
        <v>13</v>
      </c>
      <c r="C3055" s="134">
        <v>0.76597222222222205</v>
      </c>
      <c r="D3055" s="135">
        <v>0</v>
      </c>
      <c r="E3055" s="135">
        <v>0</v>
      </c>
      <c r="F3055" s="135">
        <v>0</v>
      </c>
      <c r="G3055" s="135">
        <v>0</v>
      </c>
      <c r="H3055" s="135">
        <v>0</v>
      </c>
      <c r="I3055" s="135">
        <v>0</v>
      </c>
      <c r="J3055" s="135">
        <v>0</v>
      </c>
    </row>
    <row r="3056" spans="1:10">
      <c r="A3056" s="133" t="s">
        <v>104</v>
      </c>
      <c r="B3056" s="133" t="s">
        <v>13</v>
      </c>
      <c r="C3056" s="134">
        <v>0.76666666666666605</v>
      </c>
      <c r="D3056" s="135">
        <v>0</v>
      </c>
      <c r="E3056" s="135">
        <v>0</v>
      </c>
      <c r="F3056" s="135">
        <v>0</v>
      </c>
      <c r="G3056" s="135">
        <v>0</v>
      </c>
      <c r="H3056" s="135">
        <v>0</v>
      </c>
      <c r="I3056" s="135">
        <v>0</v>
      </c>
      <c r="J3056" s="135">
        <v>0</v>
      </c>
    </row>
    <row r="3057" spans="1:10">
      <c r="A3057" s="133" t="s">
        <v>104</v>
      </c>
      <c r="B3057" s="133" t="s">
        <v>13</v>
      </c>
      <c r="C3057" s="134">
        <v>0.76736111111111105</v>
      </c>
      <c r="D3057" s="135">
        <v>0</v>
      </c>
      <c r="E3057" s="135">
        <v>0</v>
      </c>
      <c r="F3057" s="135">
        <v>0</v>
      </c>
      <c r="G3057" s="135">
        <v>0</v>
      </c>
      <c r="H3057" s="135">
        <v>0</v>
      </c>
      <c r="I3057" s="135">
        <v>0</v>
      </c>
      <c r="J3057" s="135">
        <v>0</v>
      </c>
    </row>
    <row r="3058" spans="1:10">
      <c r="A3058" s="133" t="s">
        <v>104</v>
      </c>
      <c r="B3058" s="133" t="s">
        <v>13</v>
      </c>
      <c r="C3058" s="134">
        <v>0.76805555555555505</v>
      </c>
      <c r="D3058" s="135">
        <v>0</v>
      </c>
      <c r="E3058" s="135">
        <v>0</v>
      </c>
      <c r="F3058" s="135">
        <v>0</v>
      </c>
      <c r="G3058" s="135">
        <v>0</v>
      </c>
      <c r="H3058" s="135">
        <v>0</v>
      </c>
      <c r="I3058" s="135">
        <v>0</v>
      </c>
      <c r="J3058" s="135">
        <v>0</v>
      </c>
    </row>
    <row r="3059" spans="1:10">
      <c r="A3059" s="133" t="s">
        <v>104</v>
      </c>
      <c r="B3059" s="133" t="s">
        <v>13</v>
      </c>
      <c r="C3059" s="134">
        <v>0.76875000000000004</v>
      </c>
      <c r="D3059" s="135">
        <v>0</v>
      </c>
      <c r="E3059" s="135">
        <v>0</v>
      </c>
      <c r="F3059" s="135">
        <v>0</v>
      </c>
      <c r="G3059" s="135">
        <v>0</v>
      </c>
      <c r="H3059" s="135">
        <v>0</v>
      </c>
      <c r="I3059" s="135">
        <v>0</v>
      </c>
      <c r="J3059" s="135">
        <v>0</v>
      </c>
    </row>
    <row r="3060" spans="1:10">
      <c r="A3060" s="133" t="s">
        <v>104</v>
      </c>
      <c r="B3060" s="133" t="s">
        <v>13</v>
      </c>
      <c r="C3060" s="134">
        <v>0.76944444444444404</v>
      </c>
      <c r="D3060" s="135">
        <v>0</v>
      </c>
      <c r="E3060" s="135">
        <v>0</v>
      </c>
      <c r="F3060" s="135">
        <v>0</v>
      </c>
      <c r="G3060" s="135">
        <v>0</v>
      </c>
      <c r="H3060" s="135">
        <v>0</v>
      </c>
      <c r="I3060" s="135">
        <v>0</v>
      </c>
      <c r="J3060" s="135">
        <v>0</v>
      </c>
    </row>
    <row r="3061" spans="1:10" ht="17.5" thickBot="1">
      <c r="A3061" s="140" t="s">
        <v>104</v>
      </c>
      <c r="B3061" s="140" t="s">
        <v>13</v>
      </c>
      <c r="C3061" s="141">
        <v>0.77013888888888904</v>
      </c>
      <c r="D3061" s="142">
        <v>0</v>
      </c>
      <c r="E3061" s="142">
        <v>0</v>
      </c>
      <c r="F3061" s="142">
        <v>0</v>
      </c>
      <c r="G3061" s="142">
        <v>0</v>
      </c>
      <c r="H3061" s="142">
        <v>0</v>
      </c>
      <c r="I3061" s="142">
        <v>0</v>
      </c>
      <c r="J3061" s="142">
        <v>0</v>
      </c>
    </row>
    <row r="3062" spans="1:10">
      <c r="A3062" s="146" t="s">
        <v>104</v>
      </c>
      <c r="B3062" s="146" t="s">
        <v>14</v>
      </c>
      <c r="C3062" s="147">
        <v>0.72916666666666663</v>
      </c>
      <c r="D3062" s="143">
        <v>0</v>
      </c>
      <c r="E3062" s="143">
        <v>0</v>
      </c>
      <c r="F3062" s="143">
        <v>0</v>
      </c>
      <c r="G3062" s="143">
        <v>0</v>
      </c>
      <c r="H3062" s="143">
        <v>0</v>
      </c>
      <c r="I3062" s="143">
        <v>0</v>
      </c>
      <c r="J3062" s="143">
        <v>0</v>
      </c>
    </row>
    <row r="3063" spans="1:10">
      <c r="A3063" s="133" t="s">
        <v>104</v>
      </c>
      <c r="B3063" s="133" t="s">
        <v>14</v>
      </c>
      <c r="C3063" s="134">
        <v>0.72986111111111107</v>
      </c>
      <c r="D3063" s="135">
        <v>0</v>
      </c>
      <c r="E3063" s="135">
        <v>0</v>
      </c>
      <c r="F3063" s="135">
        <v>0</v>
      </c>
      <c r="G3063" s="135">
        <v>0</v>
      </c>
      <c r="H3063" s="135">
        <v>0</v>
      </c>
      <c r="I3063" s="135">
        <v>0</v>
      </c>
      <c r="J3063" s="135">
        <v>0</v>
      </c>
    </row>
    <row r="3064" spans="1:10">
      <c r="A3064" s="133" t="s">
        <v>104</v>
      </c>
      <c r="B3064" s="133" t="s">
        <v>14</v>
      </c>
      <c r="C3064" s="134">
        <v>0.73055555555555596</v>
      </c>
      <c r="D3064" s="135">
        <v>0</v>
      </c>
      <c r="E3064" s="135">
        <v>0</v>
      </c>
      <c r="F3064" s="135">
        <v>0</v>
      </c>
      <c r="G3064" s="135">
        <v>0</v>
      </c>
      <c r="H3064" s="135">
        <v>0</v>
      </c>
      <c r="I3064" s="135">
        <v>0</v>
      </c>
      <c r="J3064" s="135">
        <v>0</v>
      </c>
    </row>
    <row r="3065" spans="1:10">
      <c r="A3065" s="133" t="s">
        <v>104</v>
      </c>
      <c r="B3065" s="133" t="s">
        <v>14</v>
      </c>
      <c r="C3065" s="134">
        <v>0.73124999999999996</v>
      </c>
      <c r="D3065" s="135">
        <v>0</v>
      </c>
      <c r="E3065" s="135">
        <v>0</v>
      </c>
      <c r="F3065" s="135">
        <v>0</v>
      </c>
      <c r="G3065" s="135">
        <v>0</v>
      </c>
      <c r="H3065" s="135">
        <v>0</v>
      </c>
      <c r="I3065" s="135">
        <v>0</v>
      </c>
      <c r="J3065" s="135">
        <v>0</v>
      </c>
    </row>
    <row r="3066" spans="1:10">
      <c r="A3066" s="133" t="s">
        <v>104</v>
      </c>
      <c r="B3066" s="133" t="s">
        <v>14</v>
      </c>
      <c r="C3066" s="134">
        <v>0.73194444444444395</v>
      </c>
      <c r="D3066" s="135">
        <v>0</v>
      </c>
      <c r="E3066" s="135">
        <v>0</v>
      </c>
      <c r="F3066" s="135">
        <v>0</v>
      </c>
      <c r="G3066" s="135">
        <v>0</v>
      </c>
      <c r="H3066" s="135">
        <v>0</v>
      </c>
      <c r="I3066" s="135">
        <v>0</v>
      </c>
      <c r="J3066" s="135">
        <v>0</v>
      </c>
    </row>
    <row r="3067" spans="1:10">
      <c r="A3067" s="133" t="s">
        <v>104</v>
      </c>
      <c r="B3067" s="133" t="s">
        <v>14</v>
      </c>
      <c r="C3067" s="134">
        <v>0.73263888888888895</v>
      </c>
      <c r="D3067" s="135">
        <v>0</v>
      </c>
      <c r="E3067" s="135">
        <v>0</v>
      </c>
      <c r="F3067" s="135">
        <v>0</v>
      </c>
      <c r="G3067" s="135">
        <v>0</v>
      </c>
      <c r="H3067" s="135">
        <v>0</v>
      </c>
      <c r="I3067" s="135">
        <v>0</v>
      </c>
      <c r="J3067" s="135">
        <v>0</v>
      </c>
    </row>
    <row r="3068" spans="1:10">
      <c r="A3068" s="133" t="s">
        <v>104</v>
      </c>
      <c r="B3068" s="133" t="s">
        <v>14</v>
      </c>
      <c r="C3068" s="134">
        <v>0.73333333333333295</v>
      </c>
      <c r="D3068" s="135">
        <v>0</v>
      </c>
      <c r="E3068" s="135">
        <v>0</v>
      </c>
      <c r="F3068" s="135">
        <v>0</v>
      </c>
      <c r="G3068" s="135">
        <v>0</v>
      </c>
      <c r="H3068" s="135">
        <v>0</v>
      </c>
      <c r="I3068" s="135">
        <v>0</v>
      </c>
      <c r="J3068" s="135">
        <v>0</v>
      </c>
    </row>
    <row r="3069" spans="1:10">
      <c r="A3069" s="133" t="s">
        <v>104</v>
      </c>
      <c r="B3069" s="133" t="s">
        <v>14</v>
      </c>
      <c r="C3069" s="134">
        <v>0.73402777777777795</v>
      </c>
      <c r="D3069" s="135">
        <v>0</v>
      </c>
      <c r="E3069" s="135">
        <v>0</v>
      </c>
      <c r="F3069" s="135">
        <v>0</v>
      </c>
      <c r="G3069" s="135">
        <v>0</v>
      </c>
      <c r="H3069" s="135">
        <v>0</v>
      </c>
      <c r="I3069" s="135">
        <v>0</v>
      </c>
      <c r="J3069" s="135">
        <v>0</v>
      </c>
    </row>
    <row r="3070" spans="1:10">
      <c r="A3070" s="133" t="s">
        <v>104</v>
      </c>
      <c r="B3070" s="133" t="s">
        <v>14</v>
      </c>
      <c r="C3070" s="134">
        <v>0.73472222222222205</v>
      </c>
      <c r="D3070" s="135">
        <v>0</v>
      </c>
      <c r="E3070" s="135">
        <v>0</v>
      </c>
      <c r="F3070" s="135">
        <v>0</v>
      </c>
      <c r="G3070" s="135">
        <v>0</v>
      </c>
      <c r="H3070" s="135">
        <v>0</v>
      </c>
      <c r="I3070" s="135">
        <v>0</v>
      </c>
      <c r="J3070" s="135">
        <v>0</v>
      </c>
    </row>
    <row r="3071" spans="1:10">
      <c r="A3071" s="133" t="s">
        <v>104</v>
      </c>
      <c r="B3071" s="133" t="s">
        <v>14</v>
      </c>
      <c r="C3071" s="134">
        <v>0.73541666666666705</v>
      </c>
      <c r="D3071" s="135">
        <v>0</v>
      </c>
      <c r="E3071" s="135">
        <v>0</v>
      </c>
      <c r="F3071" s="135">
        <v>0</v>
      </c>
      <c r="G3071" s="135">
        <v>0</v>
      </c>
      <c r="H3071" s="135">
        <v>0</v>
      </c>
      <c r="I3071" s="135">
        <v>0</v>
      </c>
      <c r="J3071" s="135">
        <v>0</v>
      </c>
    </row>
    <row r="3072" spans="1:10">
      <c r="A3072" s="133" t="s">
        <v>104</v>
      </c>
      <c r="B3072" s="133" t="s">
        <v>14</v>
      </c>
      <c r="C3072" s="134">
        <v>0.73611111111111105</v>
      </c>
      <c r="D3072" s="135">
        <v>0</v>
      </c>
      <c r="E3072" s="135">
        <v>0</v>
      </c>
      <c r="F3072" s="135">
        <v>0</v>
      </c>
      <c r="G3072" s="135">
        <v>0</v>
      </c>
      <c r="H3072" s="135">
        <v>0</v>
      </c>
      <c r="I3072" s="135">
        <v>0</v>
      </c>
      <c r="J3072" s="135">
        <v>0</v>
      </c>
    </row>
    <row r="3073" spans="1:10">
      <c r="A3073" s="133" t="s">
        <v>104</v>
      </c>
      <c r="B3073" s="133" t="s">
        <v>14</v>
      </c>
      <c r="C3073" s="134">
        <v>0.73680555555555505</v>
      </c>
      <c r="D3073" s="135">
        <v>0</v>
      </c>
      <c r="E3073" s="135">
        <v>0</v>
      </c>
      <c r="F3073" s="135">
        <v>0</v>
      </c>
      <c r="G3073" s="135">
        <v>0</v>
      </c>
      <c r="H3073" s="135">
        <v>0</v>
      </c>
      <c r="I3073" s="135">
        <v>0</v>
      </c>
      <c r="J3073" s="135">
        <v>0</v>
      </c>
    </row>
    <row r="3074" spans="1:10">
      <c r="A3074" s="133" t="s">
        <v>104</v>
      </c>
      <c r="B3074" s="133" t="s">
        <v>14</v>
      </c>
      <c r="C3074" s="134">
        <v>0.73750000000000004</v>
      </c>
      <c r="D3074" s="135">
        <v>0</v>
      </c>
      <c r="E3074" s="135">
        <v>0</v>
      </c>
      <c r="F3074" s="135">
        <v>0</v>
      </c>
      <c r="G3074" s="135">
        <v>0</v>
      </c>
      <c r="H3074" s="135">
        <v>0</v>
      </c>
      <c r="I3074" s="135">
        <v>0</v>
      </c>
      <c r="J3074" s="135">
        <v>0</v>
      </c>
    </row>
    <row r="3075" spans="1:10">
      <c r="A3075" s="133" t="s">
        <v>104</v>
      </c>
      <c r="B3075" s="133" t="s">
        <v>14</v>
      </c>
      <c r="C3075" s="134">
        <v>0.73819444444444404</v>
      </c>
      <c r="D3075" s="135">
        <v>0</v>
      </c>
      <c r="E3075" s="135">
        <v>0</v>
      </c>
      <c r="F3075" s="135">
        <v>0</v>
      </c>
      <c r="G3075" s="135">
        <v>0</v>
      </c>
      <c r="H3075" s="135">
        <v>0</v>
      </c>
      <c r="I3075" s="135">
        <v>0</v>
      </c>
      <c r="J3075" s="135">
        <v>0</v>
      </c>
    </row>
    <row r="3076" spans="1:10">
      <c r="A3076" s="136" t="s">
        <v>104</v>
      </c>
      <c r="B3076" s="136" t="s">
        <v>14</v>
      </c>
      <c r="C3076" s="137">
        <v>0.73888888888888904</v>
      </c>
      <c r="D3076" s="138">
        <v>0</v>
      </c>
      <c r="E3076" s="138">
        <v>0</v>
      </c>
      <c r="F3076" s="138">
        <v>0</v>
      </c>
      <c r="G3076" s="138">
        <v>0</v>
      </c>
      <c r="H3076" s="138">
        <v>0</v>
      </c>
      <c r="I3076" s="138">
        <v>0</v>
      </c>
      <c r="J3076" s="138">
        <v>0</v>
      </c>
    </row>
    <row r="3077" spans="1:10">
      <c r="A3077" s="133" t="s">
        <v>104</v>
      </c>
      <c r="B3077" s="133" t="s">
        <v>14</v>
      </c>
      <c r="C3077" s="134">
        <v>0.73958333333333304</v>
      </c>
      <c r="D3077" s="135">
        <v>0</v>
      </c>
      <c r="E3077" s="135">
        <v>0</v>
      </c>
      <c r="F3077" s="135">
        <v>0</v>
      </c>
      <c r="G3077" s="135">
        <v>0</v>
      </c>
      <c r="H3077" s="135">
        <v>0</v>
      </c>
      <c r="I3077" s="135">
        <v>0</v>
      </c>
      <c r="J3077" s="135">
        <v>0</v>
      </c>
    </row>
    <row r="3078" spans="1:10">
      <c r="A3078" s="133" t="s">
        <v>104</v>
      </c>
      <c r="B3078" s="133" t="s">
        <v>14</v>
      </c>
      <c r="C3078" s="134">
        <v>0.74027777777777803</v>
      </c>
      <c r="D3078" s="135">
        <v>0</v>
      </c>
      <c r="E3078" s="135">
        <v>0</v>
      </c>
      <c r="F3078" s="135">
        <v>0</v>
      </c>
      <c r="G3078" s="135">
        <v>0</v>
      </c>
      <c r="H3078" s="135">
        <v>0</v>
      </c>
      <c r="I3078" s="135">
        <v>0</v>
      </c>
      <c r="J3078" s="135">
        <v>0</v>
      </c>
    </row>
    <row r="3079" spans="1:10">
      <c r="A3079" s="133" t="s">
        <v>104</v>
      </c>
      <c r="B3079" s="133" t="s">
        <v>14</v>
      </c>
      <c r="C3079" s="134">
        <v>0.74097222222222203</v>
      </c>
      <c r="D3079" s="135">
        <v>0</v>
      </c>
      <c r="E3079" s="135">
        <v>0</v>
      </c>
      <c r="F3079" s="135">
        <v>0</v>
      </c>
      <c r="G3079" s="135">
        <v>0</v>
      </c>
      <c r="H3079" s="135">
        <v>0</v>
      </c>
      <c r="I3079" s="135">
        <v>0</v>
      </c>
      <c r="J3079" s="135">
        <v>0</v>
      </c>
    </row>
    <row r="3080" spans="1:10">
      <c r="A3080" s="133" t="s">
        <v>104</v>
      </c>
      <c r="B3080" s="133" t="s">
        <v>14</v>
      </c>
      <c r="C3080" s="134">
        <v>0.74166666666666703</v>
      </c>
      <c r="D3080" s="135">
        <v>0</v>
      </c>
      <c r="E3080" s="135">
        <v>0</v>
      </c>
      <c r="F3080" s="135">
        <v>0</v>
      </c>
      <c r="G3080" s="135">
        <v>0</v>
      </c>
      <c r="H3080" s="135">
        <v>0</v>
      </c>
      <c r="I3080" s="135">
        <v>0</v>
      </c>
      <c r="J3080" s="135">
        <v>0</v>
      </c>
    </row>
    <row r="3081" spans="1:10">
      <c r="A3081" s="133" t="s">
        <v>104</v>
      </c>
      <c r="B3081" s="133" t="s">
        <v>14</v>
      </c>
      <c r="C3081" s="134">
        <v>0.74236111111111103</v>
      </c>
      <c r="D3081" s="135">
        <v>0</v>
      </c>
      <c r="E3081" s="135">
        <v>0</v>
      </c>
      <c r="F3081" s="135">
        <v>0</v>
      </c>
      <c r="G3081" s="135">
        <v>0</v>
      </c>
      <c r="H3081" s="135">
        <v>0</v>
      </c>
      <c r="I3081" s="135">
        <v>0</v>
      </c>
      <c r="J3081" s="135">
        <v>0</v>
      </c>
    </row>
    <row r="3082" spans="1:10">
      <c r="A3082" s="133" t="s">
        <v>104</v>
      </c>
      <c r="B3082" s="133" t="s">
        <v>14</v>
      </c>
      <c r="C3082" s="134">
        <v>0.74305555555555503</v>
      </c>
      <c r="D3082" s="135">
        <v>0</v>
      </c>
      <c r="E3082" s="135">
        <v>0</v>
      </c>
      <c r="F3082" s="135">
        <v>0</v>
      </c>
      <c r="G3082" s="135">
        <v>0</v>
      </c>
      <c r="H3082" s="135">
        <v>0</v>
      </c>
      <c r="I3082" s="135">
        <v>0</v>
      </c>
      <c r="J3082" s="135">
        <v>0</v>
      </c>
    </row>
    <row r="3083" spans="1:10">
      <c r="A3083" s="133" t="s">
        <v>104</v>
      </c>
      <c r="B3083" s="133" t="s">
        <v>14</v>
      </c>
      <c r="C3083" s="134">
        <v>0.74375000000000002</v>
      </c>
      <c r="D3083" s="135">
        <v>0</v>
      </c>
      <c r="E3083" s="135">
        <v>0</v>
      </c>
      <c r="F3083" s="135">
        <v>0</v>
      </c>
      <c r="G3083" s="135">
        <v>0</v>
      </c>
      <c r="H3083" s="135">
        <v>0</v>
      </c>
      <c r="I3083" s="135">
        <v>0</v>
      </c>
      <c r="J3083" s="135">
        <v>0</v>
      </c>
    </row>
    <row r="3084" spans="1:10">
      <c r="A3084" s="133" t="s">
        <v>104</v>
      </c>
      <c r="B3084" s="133" t="s">
        <v>14</v>
      </c>
      <c r="C3084" s="134">
        <v>0.74444444444444402</v>
      </c>
      <c r="D3084" s="135">
        <v>0</v>
      </c>
      <c r="E3084" s="135">
        <v>0</v>
      </c>
      <c r="F3084" s="135">
        <v>0</v>
      </c>
      <c r="G3084" s="135">
        <v>0</v>
      </c>
      <c r="H3084" s="135">
        <v>0</v>
      </c>
      <c r="I3084" s="135">
        <v>0</v>
      </c>
      <c r="J3084" s="135">
        <v>0</v>
      </c>
    </row>
    <row r="3085" spans="1:10">
      <c r="A3085" s="133" t="s">
        <v>104</v>
      </c>
      <c r="B3085" s="133" t="s">
        <v>14</v>
      </c>
      <c r="C3085" s="134">
        <v>0.74513888888888902</v>
      </c>
      <c r="D3085" s="135">
        <v>0</v>
      </c>
      <c r="E3085" s="135">
        <v>0</v>
      </c>
      <c r="F3085" s="135">
        <v>0</v>
      </c>
      <c r="G3085" s="135">
        <v>0</v>
      </c>
      <c r="H3085" s="135">
        <v>0</v>
      </c>
      <c r="I3085" s="135">
        <v>0</v>
      </c>
      <c r="J3085" s="135">
        <v>0</v>
      </c>
    </row>
    <row r="3086" spans="1:10">
      <c r="A3086" s="133" t="s">
        <v>104</v>
      </c>
      <c r="B3086" s="133" t="s">
        <v>14</v>
      </c>
      <c r="C3086" s="134">
        <v>0.74583333333333302</v>
      </c>
      <c r="D3086" s="135">
        <v>0</v>
      </c>
      <c r="E3086" s="135">
        <v>0</v>
      </c>
      <c r="F3086" s="135">
        <v>0</v>
      </c>
      <c r="G3086" s="135">
        <v>0</v>
      </c>
      <c r="H3086" s="135">
        <v>0</v>
      </c>
      <c r="I3086" s="135">
        <v>0</v>
      </c>
      <c r="J3086" s="135">
        <v>0</v>
      </c>
    </row>
    <row r="3087" spans="1:10">
      <c r="A3087" s="133" t="s">
        <v>104</v>
      </c>
      <c r="B3087" s="133" t="s">
        <v>14</v>
      </c>
      <c r="C3087" s="134">
        <v>0.74652777777777801</v>
      </c>
      <c r="D3087" s="135">
        <v>0</v>
      </c>
      <c r="E3087" s="135">
        <v>0</v>
      </c>
      <c r="F3087" s="135">
        <v>0</v>
      </c>
      <c r="G3087" s="135">
        <v>0</v>
      </c>
      <c r="H3087" s="135">
        <v>0</v>
      </c>
      <c r="I3087" s="135">
        <v>0</v>
      </c>
      <c r="J3087" s="135">
        <v>0</v>
      </c>
    </row>
    <row r="3088" spans="1:10">
      <c r="A3088" s="133" t="s">
        <v>104</v>
      </c>
      <c r="B3088" s="133" t="s">
        <v>14</v>
      </c>
      <c r="C3088" s="134">
        <v>0.74722222222222201</v>
      </c>
      <c r="D3088" s="135">
        <v>0</v>
      </c>
      <c r="E3088" s="135">
        <v>0</v>
      </c>
      <c r="F3088" s="135">
        <v>0</v>
      </c>
      <c r="G3088" s="135">
        <v>0</v>
      </c>
      <c r="H3088" s="135">
        <v>0</v>
      </c>
      <c r="I3088" s="135">
        <v>0</v>
      </c>
      <c r="J3088" s="135">
        <v>0</v>
      </c>
    </row>
    <row r="3089" spans="1:10">
      <c r="A3089" s="133" t="s">
        <v>104</v>
      </c>
      <c r="B3089" s="133" t="s">
        <v>14</v>
      </c>
      <c r="C3089" s="134">
        <v>0.74791666666666701</v>
      </c>
      <c r="D3089" s="135">
        <v>0</v>
      </c>
      <c r="E3089" s="135">
        <v>0</v>
      </c>
      <c r="F3089" s="135">
        <v>0</v>
      </c>
      <c r="G3089" s="135">
        <v>0</v>
      </c>
      <c r="H3089" s="135">
        <v>0</v>
      </c>
      <c r="I3089" s="135">
        <v>0</v>
      </c>
      <c r="J3089" s="135">
        <v>0</v>
      </c>
    </row>
    <row r="3090" spans="1:10">
      <c r="A3090" s="133" t="s">
        <v>104</v>
      </c>
      <c r="B3090" s="133" t="s">
        <v>14</v>
      </c>
      <c r="C3090" s="134">
        <v>0.74861111111111101</v>
      </c>
      <c r="D3090" s="135">
        <v>0</v>
      </c>
      <c r="E3090" s="135">
        <v>0</v>
      </c>
      <c r="F3090" s="135">
        <v>0</v>
      </c>
      <c r="G3090" s="135">
        <v>0</v>
      </c>
      <c r="H3090" s="135">
        <v>0</v>
      </c>
      <c r="I3090" s="135">
        <v>0</v>
      </c>
      <c r="J3090" s="135">
        <v>0</v>
      </c>
    </row>
    <row r="3091" spans="1:10">
      <c r="A3091" s="136" t="s">
        <v>104</v>
      </c>
      <c r="B3091" s="136" t="s">
        <v>14</v>
      </c>
      <c r="C3091" s="137">
        <v>0.749305555555555</v>
      </c>
      <c r="D3091" s="138">
        <v>0</v>
      </c>
      <c r="E3091" s="138">
        <v>0</v>
      </c>
      <c r="F3091" s="138">
        <v>0</v>
      </c>
      <c r="G3091" s="138">
        <v>0</v>
      </c>
      <c r="H3091" s="138">
        <v>0</v>
      </c>
      <c r="I3091" s="138">
        <v>0</v>
      </c>
      <c r="J3091" s="138">
        <v>0</v>
      </c>
    </row>
    <row r="3092" spans="1:10">
      <c r="A3092" s="144" t="s">
        <v>104</v>
      </c>
      <c r="B3092" s="144" t="s">
        <v>14</v>
      </c>
      <c r="C3092" s="145">
        <v>0.75</v>
      </c>
      <c r="D3092" s="139">
        <v>0</v>
      </c>
      <c r="E3092" s="139">
        <v>0</v>
      </c>
      <c r="F3092" s="139">
        <v>0</v>
      </c>
      <c r="G3092" s="139">
        <v>0</v>
      </c>
      <c r="H3092" s="139">
        <v>0</v>
      </c>
      <c r="I3092" s="139">
        <v>0</v>
      </c>
      <c r="J3092" s="139">
        <v>0</v>
      </c>
    </row>
    <row r="3093" spans="1:10">
      <c r="A3093" s="133" t="s">
        <v>104</v>
      </c>
      <c r="B3093" s="133" t="s">
        <v>14</v>
      </c>
      <c r="C3093" s="134">
        <v>0.750694444444444</v>
      </c>
      <c r="D3093" s="135">
        <v>0</v>
      </c>
      <c r="E3093" s="135">
        <v>0</v>
      </c>
      <c r="F3093" s="135">
        <v>0</v>
      </c>
      <c r="G3093" s="135">
        <v>0</v>
      </c>
      <c r="H3093" s="135">
        <v>0</v>
      </c>
      <c r="I3093" s="135">
        <v>0</v>
      </c>
      <c r="J3093" s="135">
        <v>0</v>
      </c>
    </row>
    <row r="3094" spans="1:10">
      <c r="A3094" s="133" t="s">
        <v>104</v>
      </c>
      <c r="B3094" s="133" t="s">
        <v>14</v>
      </c>
      <c r="C3094" s="134">
        <v>0.75138888888888899</v>
      </c>
      <c r="D3094" s="135">
        <v>0</v>
      </c>
      <c r="E3094" s="135">
        <v>0</v>
      </c>
      <c r="F3094" s="135">
        <v>0</v>
      </c>
      <c r="G3094" s="135">
        <v>0</v>
      </c>
      <c r="H3094" s="135">
        <v>0</v>
      </c>
      <c r="I3094" s="135">
        <v>0</v>
      </c>
      <c r="J3094" s="135">
        <v>0</v>
      </c>
    </row>
    <row r="3095" spans="1:10">
      <c r="A3095" s="133" t="s">
        <v>104</v>
      </c>
      <c r="B3095" s="133" t="s">
        <v>14</v>
      </c>
      <c r="C3095" s="134">
        <v>0.75208333333333299</v>
      </c>
      <c r="D3095" s="135">
        <v>0</v>
      </c>
      <c r="E3095" s="135">
        <v>0</v>
      </c>
      <c r="F3095" s="135">
        <v>0</v>
      </c>
      <c r="G3095" s="135">
        <v>0</v>
      </c>
      <c r="H3095" s="135">
        <v>0</v>
      </c>
      <c r="I3095" s="135">
        <v>0</v>
      </c>
      <c r="J3095" s="135">
        <v>0</v>
      </c>
    </row>
    <row r="3096" spans="1:10">
      <c r="A3096" s="133" t="s">
        <v>104</v>
      </c>
      <c r="B3096" s="133" t="s">
        <v>14</v>
      </c>
      <c r="C3096" s="134">
        <v>0.75277777777777799</v>
      </c>
      <c r="D3096" s="135">
        <v>0</v>
      </c>
      <c r="E3096" s="135">
        <v>0</v>
      </c>
      <c r="F3096" s="135">
        <v>0</v>
      </c>
      <c r="G3096" s="135">
        <v>0</v>
      </c>
      <c r="H3096" s="135">
        <v>0</v>
      </c>
      <c r="I3096" s="135">
        <v>0</v>
      </c>
      <c r="J3096" s="135">
        <v>0</v>
      </c>
    </row>
    <row r="3097" spans="1:10">
      <c r="A3097" s="133" t="s">
        <v>104</v>
      </c>
      <c r="B3097" s="133" t="s">
        <v>14</v>
      </c>
      <c r="C3097" s="134">
        <v>0.75347222222222199</v>
      </c>
      <c r="D3097" s="135">
        <v>0</v>
      </c>
      <c r="E3097" s="135">
        <v>0</v>
      </c>
      <c r="F3097" s="135">
        <v>0</v>
      </c>
      <c r="G3097" s="135">
        <v>0</v>
      </c>
      <c r="H3097" s="135">
        <v>0</v>
      </c>
      <c r="I3097" s="135">
        <v>0</v>
      </c>
      <c r="J3097" s="135">
        <v>0</v>
      </c>
    </row>
    <row r="3098" spans="1:10">
      <c r="A3098" s="133" t="s">
        <v>104</v>
      </c>
      <c r="B3098" s="133" t="s">
        <v>14</v>
      </c>
      <c r="C3098" s="134">
        <v>0.75416666666666698</v>
      </c>
      <c r="D3098" s="135">
        <v>0</v>
      </c>
      <c r="E3098" s="135">
        <v>0</v>
      </c>
      <c r="F3098" s="135">
        <v>0</v>
      </c>
      <c r="G3098" s="135">
        <v>0</v>
      </c>
      <c r="H3098" s="135">
        <v>0</v>
      </c>
      <c r="I3098" s="135">
        <v>0</v>
      </c>
      <c r="J3098" s="135">
        <v>0</v>
      </c>
    </row>
    <row r="3099" spans="1:10">
      <c r="A3099" s="133" t="s">
        <v>104</v>
      </c>
      <c r="B3099" s="133" t="s">
        <v>14</v>
      </c>
      <c r="C3099" s="134">
        <v>0.75486111111111098</v>
      </c>
      <c r="D3099" s="135">
        <v>0</v>
      </c>
      <c r="E3099" s="135">
        <v>0</v>
      </c>
      <c r="F3099" s="135">
        <v>0</v>
      </c>
      <c r="G3099" s="135">
        <v>0</v>
      </c>
      <c r="H3099" s="135">
        <v>0</v>
      </c>
      <c r="I3099" s="135">
        <v>0</v>
      </c>
      <c r="J3099" s="135">
        <v>0</v>
      </c>
    </row>
    <row r="3100" spans="1:10">
      <c r="A3100" s="133" t="s">
        <v>104</v>
      </c>
      <c r="B3100" s="133" t="s">
        <v>14</v>
      </c>
      <c r="C3100" s="134">
        <v>0.75555555555555498</v>
      </c>
      <c r="D3100" s="135">
        <v>0</v>
      </c>
      <c r="E3100" s="135">
        <v>0</v>
      </c>
      <c r="F3100" s="135">
        <v>0</v>
      </c>
      <c r="G3100" s="135">
        <v>0</v>
      </c>
      <c r="H3100" s="135">
        <v>0</v>
      </c>
      <c r="I3100" s="135">
        <v>0</v>
      </c>
      <c r="J3100" s="135">
        <v>0</v>
      </c>
    </row>
    <row r="3101" spans="1:10">
      <c r="A3101" s="133" t="s">
        <v>104</v>
      </c>
      <c r="B3101" s="133" t="s">
        <v>14</v>
      </c>
      <c r="C3101" s="134">
        <v>0.75624999999999998</v>
      </c>
      <c r="D3101" s="135">
        <v>0</v>
      </c>
      <c r="E3101" s="135">
        <v>0</v>
      </c>
      <c r="F3101" s="135">
        <v>0</v>
      </c>
      <c r="G3101" s="135">
        <v>0</v>
      </c>
      <c r="H3101" s="135">
        <v>0</v>
      </c>
      <c r="I3101" s="135">
        <v>0</v>
      </c>
      <c r="J3101" s="135">
        <v>0</v>
      </c>
    </row>
    <row r="3102" spans="1:10">
      <c r="A3102" s="133" t="s">
        <v>104</v>
      </c>
      <c r="B3102" s="133" t="s">
        <v>14</v>
      </c>
      <c r="C3102" s="134">
        <v>0.75694444444444398</v>
      </c>
      <c r="D3102" s="135">
        <v>0</v>
      </c>
      <c r="E3102" s="135">
        <v>0</v>
      </c>
      <c r="F3102" s="135">
        <v>0</v>
      </c>
      <c r="G3102" s="135">
        <v>0</v>
      </c>
      <c r="H3102" s="135">
        <v>0</v>
      </c>
      <c r="I3102" s="135">
        <v>0</v>
      </c>
      <c r="J3102" s="135">
        <v>0</v>
      </c>
    </row>
    <row r="3103" spans="1:10">
      <c r="A3103" s="133" t="s">
        <v>104</v>
      </c>
      <c r="B3103" s="133" t="s">
        <v>14</v>
      </c>
      <c r="C3103" s="134">
        <v>0.75763888888888897</v>
      </c>
      <c r="D3103" s="135">
        <v>0</v>
      </c>
      <c r="E3103" s="135">
        <v>0</v>
      </c>
      <c r="F3103" s="135">
        <v>0</v>
      </c>
      <c r="G3103" s="135">
        <v>0</v>
      </c>
      <c r="H3103" s="135">
        <v>0</v>
      </c>
      <c r="I3103" s="135">
        <v>0</v>
      </c>
      <c r="J3103" s="135">
        <v>0</v>
      </c>
    </row>
    <row r="3104" spans="1:10">
      <c r="A3104" s="133" t="s">
        <v>104</v>
      </c>
      <c r="B3104" s="133" t="s">
        <v>14</v>
      </c>
      <c r="C3104" s="134">
        <v>0.75833333333333297</v>
      </c>
      <c r="D3104" s="135">
        <v>0</v>
      </c>
      <c r="E3104" s="135">
        <v>0</v>
      </c>
      <c r="F3104" s="135">
        <v>0</v>
      </c>
      <c r="G3104" s="135">
        <v>0</v>
      </c>
      <c r="H3104" s="135">
        <v>0</v>
      </c>
      <c r="I3104" s="135">
        <v>0</v>
      </c>
      <c r="J3104" s="135">
        <v>0</v>
      </c>
    </row>
    <row r="3105" spans="1:10">
      <c r="A3105" s="133" t="s">
        <v>104</v>
      </c>
      <c r="B3105" s="133" t="s">
        <v>14</v>
      </c>
      <c r="C3105" s="134">
        <v>0.75902777777777797</v>
      </c>
      <c r="D3105" s="135">
        <v>0</v>
      </c>
      <c r="E3105" s="135">
        <v>0</v>
      </c>
      <c r="F3105" s="135">
        <v>0</v>
      </c>
      <c r="G3105" s="135">
        <v>0</v>
      </c>
      <c r="H3105" s="135">
        <v>0</v>
      </c>
      <c r="I3105" s="135">
        <v>0</v>
      </c>
      <c r="J3105" s="135">
        <v>0</v>
      </c>
    </row>
    <row r="3106" spans="1:10">
      <c r="A3106" s="136" t="s">
        <v>104</v>
      </c>
      <c r="B3106" s="136" t="s">
        <v>14</v>
      </c>
      <c r="C3106" s="137">
        <v>0.75972222222222197</v>
      </c>
      <c r="D3106" s="138">
        <v>0</v>
      </c>
      <c r="E3106" s="138">
        <v>0</v>
      </c>
      <c r="F3106" s="138">
        <v>0</v>
      </c>
      <c r="G3106" s="138">
        <v>0</v>
      </c>
      <c r="H3106" s="138">
        <v>0</v>
      </c>
      <c r="I3106" s="138">
        <v>0</v>
      </c>
      <c r="J3106" s="138">
        <v>0</v>
      </c>
    </row>
    <row r="3107" spans="1:10">
      <c r="A3107" s="144" t="s">
        <v>104</v>
      </c>
      <c r="B3107" s="144" t="s">
        <v>14</v>
      </c>
      <c r="C3107" s="145">
        <v>0.76041666666666696</v>
      </c>
      <c r="D3107" s="139">
        <v>0</v>
      </c>
      <c r="E3107" s="139">
        <v>0</v>
      </c>
      <c r="F3107" s="139">
        <v>0</v>
      </c>
      <c r="G3107" s="139">
        <v>0</v>
      </c>
      <c r="H3107" s="139">
        <v>0</v>
      </c>
      <c r="I3107" s="139">
        <v>0</v>
      </c>
      <c r="J3107" s="139">
        <v>0</v>
      </c>
    </row>
    <row r="3108" spans="1:10">
      <c r="A3108" s="133" t="s">
        <v>104</v>
      </c>
      <c r="B3108" s="133" t="s">
        <v>14</v>
      </c>
      <c r="C3108" s="134">
        <v>0.76111111111111096</v>
      </c>
      <c r="D3108" s="135">
        <v>0</v>
      </c>
      <c r="E3108" s="135">
        <v>0</v>
      </c>
      <c r="F3108" s="135">
        <v>0</v>
      </c>
      <c r="G3108" s="135">
        <v>0</v>
      </c>
      <c r="H3108" s="135">
        <v>0</v>
      </c>
      <c r="I3108" s="135">
        <v>0</v>
      </c>
      <c r="J3108" s="135">
        <v>0</v>
      </c>
    </row>
    <row r="3109" spans="1:10">
      <c r="A3109" s="133" t="s">
        <v>104</v>
      </c>
      <c r="B3109" s="133" t="s">
        <v>14</v>
      </c>
      <c r="C3109" s="134">
        <v>0.76180555555555496</v>
      </c>
      <c r="D3109" s="135">
        <v>0</v>
      </c>
      <c r="E3109" s="135">
        <v>0</v>
      </c>
      <c r="F3109" s="135">
        <v>0</v>
      </c>
      <c r="G3109" s="135">
        <v>0</v>
      </c>
      <c r="H3109" s="135">
        <v>0</v>
      </c>
      <c r="I3109" s="135">
        <v>0</v>
      </c>
      <c r="J3109" s="135">
        <v>0</v>
      </c>
    </row>
    <row r="3110" spans="1:10">
      <c r="A3110" s="133" t="s">
        <v>104</v>
      </c>
      <c r="B3110" s="133" t="s">
        <v>14</v>
      </c>
      <c r="C3110" s="134">
        <v>0.76249999999999996</v>
      </c>
      <c r="D3110" s="135">
        <v>0</v>
      </c>
      <c r="E3110" s="135">
        <v>0</v>
      </c>
      <c r="F3110" s="135">
        <v>0</v>
      </c>
      <c r="G3110" s="135">
        <v>0</v>
      </c>
      <c r="H3110" s="135">
        <v>0</v>
      </c>
      <c r="I3110" s="135">
        <v>0</v>
      </c>
      <c r="J3110" s="135">
        <v>0</v>
      </c>
    </row>
    <row r="3111" spans="1:10">
      <c r="A3111" s="133" t="s">
        <v>104</v>
      </c>
      <c r="B3111" s="133" t="s">
        <v>14</v>
      </c>
      <c r="C3111" s="134">
        <v>0.76319444444444395</v>
      </c>
      <c r="D3111" s="135">
        <v>0</v>
      </c>
      <c r="E3111" s="135">
        <v>0</v>
      </c>
      <c r="F3111" s="135">
        <v>0</v>
      </c>
      <c r="G3111" s="135">
        <v>0</v>
      </c>
      <c r="H3111" s="135">
        <v>0</v>
      </c>
      <c r="I3111" s="135">
        <v>0</v>
      </c>
      <c r="J3111" s="135">
        <v>0</v>
      </c>
    </row>
    <row r="3112" spans="1:10">
      <c r="A3112" s="133" t="s">
        <v>104</v>
      </c>
      <c r="B3112" s="133" t="s">
        <v>14</v>
      </c>
      <c r="C3112" s="134">
        <v>0.76388888888888895</v>
      </c>
      <c r="D3112" s="135">
        <v>0</v>
      </c>
      <c r="E3112" s="135">
        <v>0</v>
      </c>
      <c r="F3112" s="135">
        <v>0</v>
      </c>
      <c r="G3112" s="135">
        <v>0</v>
      </c>
      <c r="H3112" s="135">
        <v>0</v>
      </c>
      <c r="I3112" s="135">
        <v>0</v>
      </c>
      <c r="J3112" s="135">
        <v>0</v>
      </c>
    </row>
    <row r="3113" spans="1:10">
      <c r="A3113" s="133" t="s">
        <v>104</v>
      </c>
      <c r="B3113" s="133" t="s">
        <v>14</v>
      </c>
      <c r="C3113" s="134">
        <v>0.76458333333333295</v>
      </c>
      <c r="D3113" s="135">
        <v>0</v>
      </c>
      <c r="E3113" s="135">
        <v>0</v>
      </c>
      <c r="F3113" s="135">
        <v>0</v>
      </c>
      <c r="G3113" s="135">
        <v>0</v>
      </c>
      <c r="H3113" s="135">
        <v>0</v>
      </c>
      <c r="I3113" s="135">
        <v>0</v>
      </c>
      <c r="J3113" s="135">
        <v>0</v>
      </c>
    </row>
    <row r="3114" spans="1:10">
      <c r="A3114" s="133" t="s">
        <v>104</v>
      </c>
      <c r="B3114" s="133" t="s">
        <v>14</v>
      </c>
      <c r="C3114" s="134">
        <v>0.76527777777777795</v>
      </c>
      <c r="D3114" s="135">
        <v>0</v>
      </c>
      <c r="E3114" s="135">
        <v>0</v>
      </c>
      <c r="F3114" s="135">
        <v>0</v>
      </c>
      <c r="G3114" s="135">
        <v>0</v>
      </c>
      <c r="H3114" s="135">
        <v>0</v>
      </c>
      <c r="I3114" s="135">
        <v>0</v>
      </c>
      <c r="J3114" s="135">
        <v>0</v>
      </c>
    </row>
    <row r="3115" spans="1:10">
      <c r="A3115" s="133" t="s">
        <v>104</v>
      </c>
      <c r="B3115" s="133" t="s">
        <v>14</v>
      </c>
      <c r="C3115" s="134">
        <v>0.76597222222222205</v>
      </c>
      <c r="D3115" s="135">
        <v>0</v>
      </c>
      <c r="E3115" s="135">
        <v>0</v>
      </c>
      <c r="F3115" s="135">
        <v>0</v>
      </c>
      <c r="G3115" s="135">
        <v>0</v>
      </c>
      <c r="H3115" s="135">
        <v>0</v>
      </c>
      <c r="I3115" s="135">
        <v>0</v>
      </c>
      <c r="J3115" s="135">
        <v>0</v>
      </c>
    </row>
    <row r="3116" spans="1:10">
      <c r="A3116" s="133" t="s">
        <v>104</v>
      </c>
      <c r="B3116" s="133" t="s">
        <v>14</v>
      </c>
      <c r="C3116" s="134">
        <v>0.76666666666666605</v>
      </c>
      <c r="D3116" s="135">
        <v>0</v>
      </c>
      <c r="E3116" s="135">
        <v>0</v>
      </c>
      <c r="F3116" s="135">
        <v>0</v>
      </c>
      <c r="G3116" s="135">
        <v>0</v>
      </c>
      <c r="H3116" s="135">
        <v>0</v>
      </c>
      <c r="I3116" s="135">
        <v>0</v>
      </c>
      <c r="J3116" s="135">
        <v>0</v>
      </c>
    </row>
    <row r="3117" spans="1:10">
      <c r="A3117" s="133" t="s">
        <v>104</v>
      </c>
      <c r="B3117" s="133" t="s">
        <v>14</v>
      </c>
      <c r="C3117" s="134">
        <v>0.76736111111111105</v>
      </c>
      <c r="D3117" s="135">
        <v>0</v>
      </c>
      <c r="E3117" s="135">
        <v>0</v>
      </c>
      <c r="F3117" s="135">
        <v>0</v>
      </c>
      <c r="G3117" s="135">
        <v>0</v>
      </c>
      <c r="H3117" s="135">
        <v>0</v>
      </c>
      <c r="I3117" s="135">
        <v>0</v>
      </c>
      <c r="J3117" s="135">
        <v>0</v>
      </c>
    </row>
    <row r="3118" spans="1:10">
      <c r="A3118" s="133" t="s">
        <v>105</v>
      </c>
      <c r="B3118" s="133" t="s">
        <v>14</v>
      </c>
      <c r="C3118" s="134">
        <v>0.76805555555555505</v>
      </c>
      <c r="D3118" s="135">
        <v>0</v>
      </c>
      <c r="E3118" s="135">
        <v>0</v>
      </c>
      <c r="F3118" s="135">
        <v>0</v>
      </c>
      <c r="G3118" s="135">
        <v>0</v>
      </c>
      <c r="H3118" s="135">
        <v>0</v>
      </c>
      <c r="I3118" s="135">
        <v>0</v>
      </c>
      <c r="J3118" s="135">
        <v>0</v>
      </c>
    </row>
    <row r="3119" spans="1:10">
      <c r="A3119" s="133" t="s">
        <v>104</v>
      </c>
      <c r="B3119" s="133" t="s">
        <v>14</v>
      </c>
      <c r="C3119" s="134">
        <v>0.76875000000000004</v>
      </c>
      <c r="D3119" s="135">
        <v>0</v>
      </c>
      <c r="E3119" s="135">
        <v>0</v>
      </c>
      <c r="F3119" s="135">
        <v>0</v>
      </c>
      <c r="G3119" s="135">
        <v>0</v>
      </c>
      <c r="H3119" s="135">
        <v>0</v>
      </c>
      <c r="I3119" s="135">
        <v>0</v>
      </c>
      <c r="J3119" s="135">
        <v>0</v>
      </c>
    </row>
    <row r="3120" spans="1:10">
      <c r="A3120" s="133" t="s">
        <v>104</v>
      </c>
      <c r="B3120" s="133" t="s">
        <v>14</v>
      </c>
      <c r="C3120" s="134">
        <v>0.76944444444444404</v>
      </c>
      <c r="D3120" s="135">
        <v>0</v>
      </c>
      <c r="E3120" s="135">
        <v>0</v>
      </c>
      <c r="F3120" s="135">
        <v>0</v>
      </c>
      <c r="G3120" s="135">
        <v>0</v>
      </c>
      <c r="H3120" s="135">
        <v>0</v>
      </c>
      <c r="I3120" s="135">
        <v>0</v>
      </c>
      <c r="J3120" s="135">
        <v>0</v>
      </c>
    </row>
    <row r="3121" spans="1:10" ht="17.5" thickBot="1">
      <c r="A3121" s="140" t="s">
        <v>104</v>
      </c>
      <c r="B3121" s="140" t="s">
        <v>14</v>
      </c>
      <c r="C3121" s="141">
        <v>0.77013888888888904</v>
      </c>
      <c r="D3121" s="142">
        <v>0</v>
      </c>
      <c r="E3121" s="142">
        <v>0</v>
      </c>
      <c r="F3121" s="142">
        <v>0</v>
      </c>
      <c r="G3121" s="142">
        <v>0</v>
      </c>
      <c r="H3121" s="142">
        <v>0</v>
      </c>
      <c r="I3121" s="142">
        <v>0</v>
      </c>
      <c r="J3121" s="142">
        <v>0</v>
      </c>
    </row>
    <row r="3122" spans="1:10">
      <c r="A3122" s="79" t="s">
        <v>107</v>
      </c>
      <c r="B3122" s="79" t="s">
        <v>34</v>
      </c>
      <c r="C3122" s="148">
        <v>0.66666666666666663</v>
      </c>
      <c r="D3122" s="152">
        <v>0</v>
      </c>
      <c r="E3122" s="152">
        <v>0</v>
      </c>
      <c r="F3122" s="152">
        <v>0</v>
      </c>
      <c r="G3122" s="152">
        <v>0</v>
      </c>
      <c r="H3122" s="152">
        <v>0</v>
      </c>
      <c r="I3122" s="152">
        <v>0</v>
      </c>
      <c r="J3122" s="152">
        <v>0</v>
      </c>
    </row>
    <row r="3123" spans="1:10">
      <c r="A3123" s="79" t="s">
        <v>106</v>
      </c>
      <c r="B3123" s="79" t="s">
        <v>34</v>
      </c>
      <c r="C3123" s="148">
        <v>0.66736111111111107</v>
      </c>
      <c r="D3123" s="152">
        <v>0</v>
      </c>
      <c r="E3123" s="152">
        <v>0</v>
      </c>
      <c r="F3123" s="152">
        <v>0</v>
      </c>
      <c r="G3123" s="152">
        <v>0</v>
      </c>
      <c r="H3123" s="152">
        <v>0</v>
      </c>
      <c r="I3123" s="152">
        <v>0</v>
      </c>
      <c r="J3123" s="152">
        <v>0</v>
      </c>
    </row>
    <row r="3124" spans="1:10">
      <c r="A3124" s="79" t="s">
        <v>106</v>
      </c>
      <c r="B3124" s="79" t="s">
        <v>34</v>
      </c>
      <c r="C3124" s="148">
        <v>0.66805555555555596</v>
      </c>
      <c r="D3124" s="152">
        <v>0</v>
      </c>
      <c r="E3124" s="152">
        <v>0</v>
      </c>
      <c r="F3124" s="152">
        <v>0</v>
      </c>
      <c r="G3124" s="152">
        <v>0</v>
      </c>
      <c r="H3124" s="152">
        <v>0</v>
      </c>
      <c r="I3124" s="152">
        <v>0</v>
      </c>
      <c r="J3124" s="152">
        <v>0</v>
      </c>
    </row>
    <row r="3125" spans="1:10">
      <c r="A3125" s="79" t="s">
        <v>106</v>
      </c>
      <c r="B3125" s="79" t="s">
        <v>34</v>
      </c>
      <c r="C3125" s="148">
        <v>0.66874999999999996</v>
      </c>
      <c r="D3125" s="152">
        <v>0</v>
      </c>
      <c r="E3125" s="152">
        <v>0</v>
      </c>
      <c r="F3125" s="152">
        <v>0</v>
      </c>
      <c r="G3125" s="152">
        <v>0</v>
      </c>
      <c r="H3125" s="152">
        <v>0</v>
      </c>
      <c r="I3125" s="152">
        <v>0</v>
      </c>
      <c r="J3125" s="152">
        <v>0</v>
      </c>
    </row>
    <row r="3126" spans="1:10">
      <c r="A3126" s="79" t="s">
        <v>106</v>
      </c>
      <c r="B3126" s="79" t="s">
        <v>34</v>
      </c>
      <c r="C3126" s="148">
        <v>0.66944444444444395</v>
      </c>
      <c r="D3126" s="152">
        <v>0</v>
      </c>
      <c r="E3126" s="152">
        <v>0</v>
      </c>
      <c r="F3126" s="152">
        <v>0</v>
      </c>
      <c r="G3126" s="152">
        <v>0</v>
      </c>
      <c r="H3126" s="152">
        <v>0</v>
      </c>
      <c r="I3126" s="152">
        <v>0</v>
      </c>
      <c r="J3126" s="152">
        <v>0</v>
      </c>
    </row>
    <row r="3127" spans="1:10">
      <c r="A3127" s="79" t="s">
        <v>106</v>
      </c>
      <c r="B3127" s="79" t="s">
        <v>34</v>
      </c>
      <c r="C3127" s="148">
        <v>0.67013888888888895</v>
      </c>
      <c r="D3127" s="152">
        <v>0</v>
      </c>
      <c r="E3127" s="152">
        <v>0</v>
      </c>
      <c r="F3127" s="152">
        <v>0</v>
      </c>
      <c r="G3127" s="152">
        <v>0</v>
      </c>
      <c r="H3127" s="152">
        <v>0</v>
      </c>
      <c r="I3127" s="152">
        <v>0</v>
      </c>
      <c r="J3127" s="152">
        <v>0</v>
      </c>
    </row>
    <row r="3128" spans="1:10">
      <c r="A3128" s="79" t="s">
        <v>106</v>
      </c>
      <c r="B3128" s="79" t="s">
        <v>34</v>
      </c>
      <c r="C3128" s="148">
        <v>0.67083333333333295</v>
      </c>
      <c r="D3128" s="152">
        <v>0</v>
      </c>
      <c r="E3128" s="152">
        <v>0</v>
      </c>
      <c r="F3128" s="152">
        <v>0</v>
      </c>
      <c r="G3128" s="152">
        <v>0</v>
      </c>
      <c r="H3128" s="152">
        <v>0</v>
      </c>
      <c r="I3128" s="152">
        <v>0</v>
      </c>
      <c r="J3128" s="152">
        <v>0</v>
      </c>
    </row>
    <row r="3129" spans="1:10">
      <c r="A3129" s="79" t="s">
        <v>106</v>
      </c>
      <c r="B3129" s="79" t="s">
        <v>34</v>
      </c>
      <c r="C3129" s="148">
        <v>0.67152777777777795</v>
      </c>
      <c r="D3129" s="152">
        <v>0</v>
      </c>
      <c r="E3129" s="152">
        <v>0</v>
      </c>
      <c r="F3129" s="152">
        <v>0</v>
      </c>
      <c r="G3129" s="152">
        <v>0</v>
      </c>
      <c r="H3129" s="152">
        <v>0</v>
      </c>
      <c r="I3129" s="152">
        <v>0</v>
      </c>
      <c r="J3129" s="152">
        <v>0</v>
      </c>
    </row>
    <row r="3130" spans="1:10">
      <c r="A3130" s="79" t="s">
        <v>106</v>
      </c>
      <c r="B3130" s="79" t="s">
        <v>34</v>
      </c>
      <c r="C3130" s="148">
        <v>0.67222222222222205</v>
      </c>
      <c r="D3130" s="152">
        <v>0</v>
      </c>
      <c r="E3130" s="152">
        <v>0</v>
      </c>
      <c r="F3130" s="152">
        <v>0</v>
      </c>
      <c r="G3130" s="152">
        <v>0</v>
      </c>
      <c r="H3130" s="152">
        <v>0</v>
      </c>
      <c r="I3130" s="152">
        <v>0</v>
      </c>
      <c r="J3130" s="152">
        <v>0</v>
      </c>
    </row>
    <row r="3131" spans="1:10">
      <c r="A3131" s="79" t="s">
        <v>106</v>
      </c>
      <c r="B3131" s="79" t="s">
        <v>34</v>
      </c>
      <c r="C3131" s="148">
        <v>0.67291666666666705</v>
      </c>
      <c r="D3131" s="152">
        <v>0</v>
      </c>
      <c r="E3131" s="152">
        <v>0</v>
      </c>
      <c r="F3131" s="152">
        <v>0</v>
      </c>
      <c r="G3131" s="152">
        <v>0</v>
      </c>
      <c r="H3131" s="152">
        <v>0</v>
      </c>
      <c r="I3131" s="152">
        <v>0</v>
      </c>
      <c r="J3131" s="152">
        <v>0</v>
      </c>
    </row>
    <row r="3132" spans="1:10">
      <c r="A3132" s="79" t="s">
        <v>106</v>
      </c>
      <c r="B3132" s="79" t="s">
        <v>34</v>
      </c>
      <c r="C3132" s="148">
        <v>0.67361111111111105</v>
      </c>
      <c r="D3132" s="152">
        <v>0</v>
      </c>
      <c r="E3132" s="152">
        <v>0</v>
      </c>
      <c r="F3132" s="152">
        <v>0</v>
      </c>
      <c r="G3132" s="152">
        <v>0</v>
      </c>
      <c r="H3132" s="152">
        <v>0</v>
      </c>
      <c r="I3132" s="152">
        <v>0</v>
      </c>
      <c r="J3132" s="152">
        <v>0</v>
      </c>
    </row>
    <row r="3133" spans="1:10">
      <c r="A3133" s="79" t="s">
        <v>106</v>
      </c>
      <c r="B3133" s="79" t="s">
        <v>34</v>
      </c>
      <c r="C3133" s="148">
        <v>0.67430555555555505</v>
      </c>
      <c r="D3133" s="152">
        <v>0</v>
      </c>
      <c r="E3133" s="152">
        <v>0</v>
      </c>
      <c r="F3133" s="152">
        <v>0</v>
      </c>
      <c r="G3133" s="152">
        <v>0</v>
      </c>
      <c r="H3133" s="152">
        <v>0</v>
      </c>
      <c r="I3133" s="152">
        <v>0</v>
      </c>
      <c r="J3133" s="152">
        <v>0</v>
      </c>
    </row>
    <row r="3134" spans="1:10">
      <c r="A3134" s="79" t="s">
        <v>106</v>
      </c>
      <c r="B3134" s="79" t="s">
        <v>34</v>
      </c>
      <c r="C3134" s="148">
        <v>0.67500000000000004</v>
      </c>
      <c r="D3134" s="152">
        <v>0</v>
      </c>
      <c r="E3134" s="152">
        <v>0</v>
      </c>
      <c r="F3134" s="152">
        <v>0</v>
      </c>
      <c r="G3134" s="152">
        <v>0</v>
      </c>
      <c r="H3134" s="152">
        <v>0</v>
      </c>
      <c r="I3134" s="152">
        <v>0</v>
      </c>
      <c r="J3134" s="152">
        <v>0</v>
      </c>
    </row>
    <row r="3135" spans="1:10">
      <c r="A3135" s="79" t="s">
        <v>106</v>
      </c>
      <c r="B3135" s="79" t="s">
        <v>34</v>
      </c>
      <c r="C3135" s="148">
        <v>0.67569444444444404</v>
      </c>
      <c r="D3135" s="152">
        <v>0</v>
      </c>
      <c r="E3135" s="152">
        <v>0</v>
      </c>
      <c r="F3135" s="152">
        <v>0</v>
      </c>
      <c r="G3135" s="152">
        <v>0</v>
      </c>
      <c r="H3135" s="152">
        <v>0</v>
      </c>
      <c r="I3135" s="152">
        <v>0</v>
      </c>
      <c r="J3135" s="152">
        <v>0</v>
      </c>
    </row>
    <row r="3136" spans="1:10" s="78" customFormat="1">
      <c r="A3136" s="82" t="s">
        <v>106</v>
      </c>
      <c r="B3136" s="82" t="s">
        <v>34</v>
      </c>
      <c r="C3136" s="150">
        <v>0.67638888888888904</v>
      </c>
      <c r="D3136" s="153">
        <v>0</v>
      </c>
      <c r="E3136" s="153">
        <v>0</v>
      </c>
      <c r="F3136" s="153">
        <v>0</v>
      </c>
      <c r="G3136" s="153">
        <v>0</v>
      </c>
      <c r="H3136" s="153">
        <v>0</v>
      </c>
      <c r="I3136" s="153">
        <v>0</v>
      </c>
      <c r="J3136" s="153">
        <v>0</v>
      </c>
    </row>
    <row r="3137" spans="1:10">
      <c r="A3137" s="79" t="s">
        <v>106</v>
      </c>
      <c r="B3137" s="79" t="s">
        <v>34</v>
      </c>
      <c r="C3137" s="148">
        <v>0.67708333333333304</v>
      </c>
      <c r="D3137" s="154">
        <v>0</v>
      </c>
      <c r="E3137" s="154">
        <v>0</v>
      </c>
      <c r="F3137" s="154">
        <v>0</v>
      </c>
      <c r="G3137" s="154">
        <v>0</v>
      </c>
      <c r="H3137" s="154">
        <v>0</v>
      </c>
      <c r="I3137" s="154">
        <v>0</v>
      </c>
      <c r="J3137" s="154">
        <v>0</v>
      </c>
    </row>
    <row r="3138" spans="1:10">
      <c r="A3138" s="79" t="s">
        <v>106</v>
      </c>
      <c r="B3138" s="79" t="s">
        <v>34</v>
      </c>
      <c r="C3138" s="148">
        <v>0.67777777777777803</v>
      </c>
      <c r="D3138" s="152">
        <v>0</v>
      </c>
      <c r="E3138" s="152">
        <v>0</v>
      </c>
      <c r="F3138" s="152">
        <v>0</v>
      </c>
      <c r="G3138" s="152">
        <v>0</v>
      </c>
      <c r="H3138" s="152">
        <v>0</v>
      </c>
      <c r="I3138" s="152">
        <v>0</v>
      </c>
      <c r="J3138" s="152">
        <v>0</v>
      </c>
    </row>
    <row r="3139" spans="1:10">
      <c r="A3139" s="79" t="s">
        <v>106</v>
      </c>
      <c r="B3139" s="79" t="s">
        <v>34</v>
      </c>
      <c r="C3139" s="148">
        <v>0.67847222222222203</v>
      </c>
      <c r="D3139" s="152">
        <v>0</v>
      </c>
      <c r="E3139" s="152">
        <v>0</v>
      </c>
      <c r="F3139" s="152">
        <v>0</v>
      </c>
      <c r="G3139" s="152">
        <v>0</v>
      </c>
      <c r="H3139" s="152">
        <v>0</v>
      </c>
      <c r="I3139" s="152">
        <v>0</v>
      </c>
      <c r="J3139" s="152">
        <v>0</v>
      </c>
    </row>
    <row r="3140" spans="1:10">
      <c r="A3140" s="79" t="s">
        <v>106</v>
      </c>
      <c r="B3140" s="79" t="s">
        <v>34</v>
      </c>
      <c r="C3140" s="148">
        <v>0.67916666666666703</v>
      </c>
      <c r="D3140" s="152">
        <v>0</v>
      </c>
      <c r="E3140" s="152">
        <v>0</v>
      </c>
      <c r="F3140" s="152">
        <v>0</v>
      </c>
      <c r="G3140" s="152">
        <v>0</v>
      </c>
      <c r="H3140" s="152">
        <v>0</v>
      </c>
      <c r="I3140" s="152">
        <v>0</v>
      </c>
      <c r="J3140" s="152">
        <v>0</v>
      </c>
    </row>
    <row r="3141" spans="1:10">
      <c r="A3141" s="79" t="s">
        <v>106</v>
      </c>
      <c r="B3141" s="79" t="s">
        <v>34</v>
      </c>
      <c r="C3141" s="148">
        <v>0.67986111111111103</v>
      </c>
      <c r="D3141" s="152">
        <v>0</v>
      </c>
      <c r="E3141" s="152">
        <v>0</v>
      </c>
      <c r="F3141" s="152">
        <v>0</v>
      </c>
      <c r="G3141" s="152">
        <v>0</v>
      </c>
      <c r="H3141" s="152">
        <v>0</v>
      </c>
      <c r="I3141" s="152">
        <v>0</v>
      </c>
      <c r="J3141" s="152">
        <v>0</v>
      </c>
    </row>
    <row r="3142" spans="1:10">
      <c r="A3142" s="79" t="s">
        <v>106</v>
      </c>
      <c r="B3142" s="79" t="s">
        <v>34</v>
      </c>
      <c r="C3142" s="148">
        <v>0.68055555555555503</v>
      </c>
      <c r="D3142" s="152">
        <v>0</v>
      </c>
      <c r="E3142" s="152">
        <v>0</v>
      </c>
      <c r="F3142" s="152">
        <v>0</v>
      </c>
      <c r="G3142" s="152">
        <v>0</v>
      </c>
      <c r="H3142" s="152">
        <v>0</v>
      </c>
      <c r="I3142" s="152">
        <v>0</v>
      </c>
      <c r="J3142" s="152">
        <v>0</v>
      </c>
    </row>
    <row r="3143" spans="1:10">
      <c r="A3143" s="79" t="s">
        <v>106</v>
      </c>
      <c r="B3143" s="79" t="s">
        <v>34</v>
      </c>
      <c r="C3143" s="148">
        <v>0.68125000000000002</v>
      </c>
      <c r="D3143" s="152">
        <v>0</v>
      </c>
      <c r="E3143" s="152">
        <v>0</v>
      </c>
      <c r="F3143" s="152">
        <v>0</v>
      </c>
      <c r="G3143" s="152">
        <v>0</v>
      </c>
      <c r="H3143" s="152">
        <v>0</v>
      </c>
      <c r="I3143" s="152">
        <v>0</v>
      </c>
      <c r="J3143" s="152">
        <v>0</v>
      </c>
    </row>
    <row r="3144" spans="1:10">
      <c r="A3144" s="79" t="s">
        <v>106</v>
      </c>
      <c r="B3144" s="79" t="s">
        <v>34</v>
      </c>
      <c r="C3144" s="148">
        <v>0.68194444444444402</v>
      </c>
      <c r="D3144" s="152">
        <v>0</v>
      </c>
      <c r="E3144" s="152">
        <v>0</v>
      </c>
      <c r="F3144" s="152">
        <v>0</v>
      </c>
      <c r="G3144" s="152">
        <v>0</v>
      </c>
      <c r="H3144" s="152">
        <v>0</v>
      </c>
      <c r="I3144" s="152">
        <v>0</v>
      </c>
      <c r="J3144" s="152">
        <v>0</v>
      </c>
    </row>
    <row r="3145" spans="1:10">
      <c r="A3145" s="79" t="s">
        <v>106</v>
      </c>
      <c r="B3145" s="79" t="s">
        <v>34</v>
      </c>
      <c r="C3145" s="148">
        <v>0.68263888888888902</v>
      </c>
      <c r="D3145" s="152">
        <v>0</v>
      </c>
      <c r="E3145" s="152">
        <v>0</v>
      </c>
      <c r="F3145" s="152">
        <v>0</v>
      </c>
      <c r="G3145" s="152">
        <v>0</v>
      </c>
      <c r="H3145" s="152">
        <v>0</v>
      </c>
      <c r="I3145" s="152">
        <v>0</v>
      </c>
      <c r="J3145" s="152">
        <v>0</v>
      </c>
    </row>
    <row r="3146" spans="1:10">
      <c r="A3146" s="79" t="s">
        <v>106</v>
      </c>
      <c r="B3146" s="79" t="s">
        <v>34</v>
      </c>
      <c r="C3146" s="148">
        <v>0.68333333333333302</v>
      </c>
      <c r="D3146" s="152">
        <v>0</v>
      </c>
      <c r="E3146" s="152">
        <v>0</v>
      </c>
      <c r="F3146" s="152">
        <v>0</v>
      </c>
      <c r="G3146" s="152">
        <v>0</v>
      </c>
      <c r="H3146" s="152">
        <v>0</v>
      </c>
      <c r="I3146" s="152">
        <v>0</v>
      </c>
      <c r="J3146" s="152">
        <v>0</v>
      </c>
    </row>
    <row r="3147" spans="1:10">
      <c r="A3147" s="79" t="s">
        <v>106</v>
      </c>
      <c r="B3147" s="79" t="s">
        <v>34</v>
      </c>
      <c r="C3147" s="148">
        <v>0.68402777777777801</v>
      </c>
      <c r="D3147" s="152">
        <v>0</v>
      </c>
      <c r="E3147" s="152">
        <v>0</v>
      </c>
      <c r="F3147" s="152">
        <v>0</v>
      </c>
      <c r="G3147" s="152">
        <v>0</v>
      </c>
      <c r="H3147" s="152">
        <v>0</v>
      </c>
      <c r="I3147" s="152">
        <v>0</v>
      </c>
      <c r="J3147" s="152">
        <v>0</v>
      </c>
    </row>
    <row r="3148" spans="1:10">
      <c r="A3148" s="79" t="s">
        <v>106</v>
      </c>
      <c r="B3148" s="79" t="s">
        <v>34</v>
      </c>
      <c r="C3148" s="148">
        <v>0.68472222222222201</v>
      </c>
      <c r="D3148" s="152">
        <v>0</v>
      </c>
      <c r="E3148" s="152">
        <v>0</v>
      </c>
      <c r="F3148" s="152">
        <v>0</v>
      </c>
      <c r="G3148" s="152">
        <v>0</v>
      </c>
      <c r="H3148" s="152">
        <v>0</v>
      </c>
      <c r="I3148" s="152">
        <v>0</v>
      </c>
      <c r="J3148" s="152">
        <v>0</v>
      </c>
    </row>
    <row r="3149" spans="1:10">
      <c r="A3149" s="79" t="s">
        <v>106</v>
      </c>
      <c r="B3149" s="79" t="s">
        <v>34</v>
      </c>
      <c r="C3149" s="148">
        <v>0.68541666666666701</v>
      </c>
      <c r="D3149" s="152">
        <v>0</v>
      </c>
      <c r="E3149" s="152">
        <v>0</v>
      </c>
      <c r="F3149" s="152">
        <v>0</v>
      </c>
      <c r="G3149" s="152">
        <v>0</v>
      </c>
      <c r="H3149" s="152">
        <v>0</v>
      </c>
      <c r="I3149" s="152">
        <v>0</v>
      </c>
      <c r="J3149" s="152">
        <v>0</v>
      </c>
    </row>
    <row r="3150" spans="1:10">
      <c r="A3150" s="79" t="s">
        <v>106</v>
      </c>
      <c r="B3150" s="79" t="s">
        <v>34</v>
      </c>
      <c r="C3150" s="148">
        <v>0.68611111111111101</v>
      </c>
      <c r="D3150" s="152">
        <v>0</v>
      </c>
      <c r="E3150" s="152">
        <v>0</v>
      </c>
      <c r="F3150" s="152">
        <v>0</v>
      </c>
      <c r="G3150" s="152">
        <v>0</v>
      </c>
      <c r="H3150" s="152">
        <v>0</v>
      </c>
      <c r="I3150" s="152">
        <v>0</v>
      </c>
      <c r="J3150" s="152">
        <v>0</v>
      </c>
    </row>
    <row r="3151" spans="1:10" s="78" customFormat="1">
      <c r="A3151" s="82" t="s">
        <v>106</v>
      </c>
      <c r="B3151" s="82" t="s">
        <v>34</v>
      </c>
      <c r="C3151" s="150">
        <v>0.686805555555555</v>
      </c>
      <c r="D3151" s="153">
        <v>0</v>
      </c>
      <c r="E3151" s="153">
        <v>0</v>
      </c>
      <c r="F3151" s="153">
        <v>0</v>
      </c>
      <c r="G3151" s="153">
        <v>0</v>
      </c>
      <c r="H3151" s="153">
        <v>0</v>
      </c>
      <c r="I3151" s="153">
        <v>0</v>
      </c>
      <c r="J3151" s="153">
        <v>0</v>
      </c>
    </row>
    <row r="3152" spans="1:10">
      <c r="A3152" s="79" t="s">
        <v>106</v>
      </c>
      <c r="B3152" s="79" t="s">
        <v>34</v>
      </c>
      <c r="C3152" s="148">
        <v>0.6875</v>
      </c>
      <c r="D3152" s="154">
        <v>0</v>
      </c>
      <c r="E3152" s="154">
        <v>0</v>
      </c>
      <c r="F3152" s="154">
        <v>0</v>
      </c>
      <c r="G3152" s="154">
        <v>0</v>
      </c>
      <c r="H3152" s="154">
        <v>0</v>
      </c>
      <c r="I3152" s="154">
        <v>0</v>
      </c>
      <c r="J3152" s="154">
        <v>0</v>
      </c>
    </row>
    <row r="3153" spans="1:10">
      <c r="A3153" s="79" t="s">
        <v>106</v>
      </c>
      <c r="B3153" s="79" t="s">
        <v>34</v>
      </c>
      <c r="C3153" s="148">
        <v>0.688194444444444</v>
      </c>
      <c r="D3153" s="152">
        <v>0</v>
      </c>
      <c r="E3153" s="152">
        <v>0</v>
      </c>
      <c r="F3153" s="152">
        <v>0</v>
      </c>
      <c r="G3153" s="152">
        <v>0</v>
      </c>
      <c r="H3153" s="152">
        <v>0</v>
      </c>
      <c r="I3153" s="152">
        <v>0</v>
      </c>
      <c r="J3153" s="152">
        <v>0</v>
      </c>
    </row>
    <row r="3154" spans="1:10">
      <c r="A3154" s="79" t="s">
        <v>106</v>
      </c>
      <c r="B3154" s="79" t="s">
        <v>34</v>
      </c>
      <c r="C3154" s="148">
        <v>0.68888888888888899</v>
      </c>
      <c r="D3154" s="152">
        <v>0</v>
      </c>
      <c r="E3154" s="152">
        <v>0</v>
      </c>
      <c r="F3154" s="152">
        <v>0</v>
      </c>
      <c r="G3154" s="152">
        <v>0</v>
      </c>
      <c r="H3154" s="152">
        <v>0</v>
      </c>
      <c r="I3154" s="152">
        <v>0</v>
      </c>
      <c r="J3154" s="152">
        <v>0</v>
      </c>
    </row>
    <row r="3155" spans="1:10">
      <c r="A3155" s="79" t="s">
        <v>106</v>
      </c>
      <c r="B3155" s="79" t="s">
        <v>34</v>
      </c>
      <c r="C3155" s="148">
        <v>0.68958333333333299</v>
      </c>
      <c r="D3155" s="152">
        <v>0</v>
      </c>
      <c r="E3155" s="152">
        <v>0</v>
      </c>
      <c r="F3155" s="152">
        <v>0</v>
      </c>
      <c r="G3155" s="152">
        <v>0</v>
      </c>
      <c r="H3155" s="152">
        <v>0</v>
      </c>
      <c r="I3155" s="152">
        <v>0</v>
      </c>
      <c r="J3155" s="152">
        <v>0</v>
      </c>
    </row>
    <row r="3156" spans="1:10">
      <c r="A3156" s="79" t="s">
        <v>106</v>
      </c>
      <c r="B3156" s="79" t="s">
        <v>34</v>
      </c>
      <c r="C3156" s="148">
        <v>0.69027777777777799</v>
      </c>
      <c r="D3156" s="152">
        <v>0</v>
      </c>
      <c r="E3156" s="152">
        <v>0</v>
      </c>
      <c r="F3156" s="152">
        <v>0</v>
      </c>
      <c r="G3156" s="152">
        <v>0</v>
      </c>
      <c r="H3156" s="152">
        <v>0</v>
      </c>
      <c r="I3156" s="152">
        <v>0</v>
      </c>
      <c r="J3156" s="152">
        <v>0</v>
      </c>
    </row>
    <row r="3157" spans="1:10">
      <c r="A3157" s="79" t="s">
        <v>106</v>
      </c>
      <c r="B3157" s="79" t="s">
        <v>34</v>
      </c>
      <c r="C3157" s="148">
        <v>0.69097222222222199</v>
      </c>
      <c r="D3157" s="152">
        <v>0</v>
      </c>
      <c r="E3157" s="152">
        <v>0</v>
      </c>
      <c r="F3157" s="152">
        <v>0</v>
      </c>
      <c r="G3157" s="152">
        <v>0</v>
      </c>
      <c r="H3157" s="152">
        <v>0</v>
      </c>
      <c r="I3157" s="152">
        <v>0</v>
      </c>
      <c r="J3157" s="152">
        <v>0</v>
      </c>
    </row>
    <row r="3158" spans="1:10">
      <c r="A3158" s="79" t="s">
        <v>106</v>
      </c>
      <c r="B3158" s="79" t="s">
        <v>34</v>
      </c>
      <c r="C3158" s="148">
        <v>0.69166666666666698</v>
      </c>
      <c r="D3158" s="152">
        <v>0</v>
      </c>
      <c r="E3158" s="152">
        <v>0</v>
      </c>
      <c r="F3158" s="152">
        <v>0</v>
      </c>
      <c r="G3158" s="152">
        <v>0</v>
      </c>
      <c r="H3158" s="152">
        <v>0</v>
      </c>
      <c r="I3158" s="152">
        <v>0</v>
      </c>
      <c r="J3158" s="152">
        <v>0</v>
      </c>
    </row>
    <row r="3159" spans="1:10">
      <c r="A3159" s="79" t="s">
        <v>106</v>
      </c>
      <c r="B3159" s="79" t="s">
        <v>34</v>
      </c>
      <c r="C3159" s="148">
        <v>0.69236111111111098</v>
      </c>
      <c r="D3159" s="152">
        <v>0</v>
      </c>
      <c r="E3159" s="152">
        <v>0</v>
      </c>
      <c r="F3159" s="152">
        <v>0</v>
      </c>
      <c r="G3159" s="152">
        <v>0</v>
      </c>
      <c r="H3159" s="152">
        <v>0</v>
      </c>
      <c r="I3159" s="152">
        <v>0</v>
      </c>
      <c r="J3159" s="152">
        <v>0</v>
      </c>
    </row>
    <row r="3160" spans="1:10">
      <c r="A3160" s="79" t="s">
        <v>106</v>
      </c>
      <c r="B3160" s="79" t="s">
        <v>34</v>
      </c>
      <c r="C3160" s="148">
        <v>0.69305555555555498</v>
      </c>
      <c r="D3160" s="152">
        <v>0</v>
      </c>
      <c r="E3160" s="152">
        <v>0</v>
      </c>
      <c r="F3160" s="152">
        <v>0</v>
      </c>
      <c r="G3160" s="152">
        <v>0</v>
      </c>
      <c r="H3160" s="152">
        <v>0</v>
      </c>
      <c r="I3160" s="152">
        <v>0</v>
      </c>
      <c r="J3160" s="152">
        <v>0</v>
      </c>
    </row>
    <row r="3161" spans="1:10">
      <c r="A3161" s="79" t="s">
        <v>106</v>
      </c>
      <c r="B3161" s="79" t="s">
        <v>34</v>
      </c>
      <c r="C3161" s="148">
        <v>0.69374999999999998</v>
      </c>
      <c r="D3161" s="152">
        <v>0</v>
      </c>
      <c r="E3161" s="152">
        <v>0</v>
      </c>
      <c r="F3161" s="152">
        <v>0</v>
      </c>
      <c r="G3161" s="152">
        <v>0</v>
      </c>
      <c r="H3161" s="152">
        <v>0</v>
      </c>
      <c r="I3161" s="152">
        <v>0</v>
      </c>
      <c r="J3161" s="152">
        <v>0</v>
      </c>
    </row>
    <row r="3162" spans="1:10">
      <c r="A3162" s="79" t="s">
        <v>106</v>
      </c>
      <c r="B3162" s="79" t="s">
        <v>34</v>
      </c>
      <c r="C3162" s="148">
        <v>0.69444444444444398</v>
      </c>
      <c r="D3162" s="152">
        <v>0</v>
      </c>
      <c r="E3162" s="152">
        <v>0</v>
      </c>
      <c r="F3162" s="152">
        <v>0</v>
      </c>
      <c r="G3162" s="152">
        <v>0</v>
      </c>
      <c r="H3162" s="152">
        <v>0</v>
      </c>
      <c r="I3162" s="152">
        <v>0</v>
      </c>
      <c r="J3162" s="152">
        <v>0</v>
      </c>
    </row>
    <row r="3163" spans="1:10">
      <c r="A3163" s="79" t="s">
        <v>106</v>
      </c>
      <c r="B3163" s="79" t="s">
        <v>34</v>
      </c>
      <c r="C3163" s="148">
        <v>0.69513888888888897</v>
      </c>
      <c r="D3163" s="152">
        <v>0</v>
      </c>
      <c r="E3163" s="152">
        <v>0</v>
      </c>
      <c r="F3163" s="152">
        <v>0</v>
      </c>
      <c r="G3163" s="152">
        <v>0</v>
      </c>
      <c r="H3163" s="152">
        <v>0</v>
      </c>
      <c r="I3163" s="152">
        <v>0</v>
      </c>
      <c r="J3163" s="152">
        <v>0</v>
      </c>
    </row>
    <row r="3164" spans="1:10">
      <c r="A3164" s="79" t="s">
        <v>106</v>
      </c>
      <c r="B3164" s="79" t="s">
        <v>34</v>
      </c>
      <c r="C3164" s="148">
        <v>0.69583333333333297</v>
      </c>
      <c r="D3164" s="152">
        <v>0</v>
      </c>
      <c r="E3164" s="152">
        <v>0</v>
      </c>
      <c r="F3164" s="152">
        <v>0</v>
      </c>
      <c r="G3164" s="152">
        <v>0</v>
      </c>
      <c r="H3164" s="152">
        <v>0</v>
      </c>
      <c r="I3164" s="152">
        <v>0</v>
      </c>
      <c r="J3164" s="152">
        <v>0</v>
      </c>
    </row>
    <row r="3165" spans="1:10">
      <c r="A3165" s="79" t="s">
        <v>106</v>
      </c>
      <c r="B3165" s="79" t="s">
        <v>34</v>
      </c>
      <c r="C3165" s="148">
        <v>0.69652777777777797</v>
      </c>
      <c r="D3165" s="152">
        <v>0</v>
      </c>
      <c r="E3165" s="152">
        <v>0</v>
      </c>
      <c r="F3165" s="152">
        <v>0</v>
      </c>
      <c r="G3165" s="152">
        <v>0</v>
      </c>
      <c r="H3165" s="152">
        <v>0</v>
      </c>
      <c r="I3165" s="152">
        <v>0</v>
      </c>
      <c r="J3165" s="152">
        <v>0</v>
      </c>
    </row>
    <row r="3166" spans="1:10" s="78" customFormat="1">
      <c r="A3166" s="82" t="s">
        <v>106</v>
      </c>
      <c r="B3166" s="82" t="s">
        <v>34</v>
      </c>
      <c r="C3166" s="150">
        <v>0.69722222222222197</v>
      </c>
      <c r="D3166" s="153">
        <v>0</v>
      </c>
      <c r="E3166" s="153">
        <v>0</v>
      </c>
      <c r="F3166" s="153">
        <v>0</v>
      </c>
      <c r="G3166" s="153">
        <v>0</v>
      </c>
      <c r="H3166" s="153">
        <v>0</v>
      </c>
      <c r="I3166" s="153">
        <v>0</v>
      </c>
      <c r="J3166" s="153">
        <v>0</v>
      </c>
    </row>
    <row r="3167" spans="1:10">
      <c r="A3167" s="79" t="s">
        <v>106</v>
      </c>
      <c r="B3167" s="79" t="s">
        <v>34</v>
      </c>
      <c r="C3167" s="148">
        <v>0.69791666666666696</v>
      </c>
      <c r="D3167" s="154">
        <v>0</v>
      </c>
      <c r="E3167" s="154">
        <v>0</v>
      </c>
      <c r="F3167" s="154">
        <v>0</v>
      </c>
      <c r="G3167" s="154">
        <v>0</v>
      </c>
      <c r="H3167" s="154">
        <v>0</v>
      </c>
      <c r="I3167" s="154">
        <v>0</v>
      </c>
      <c r="J3167" s="154">
        <v>0</v>
      </c>
    </row>
    <row r="3168" spans="1:10">
      <c r="A3168" s="79" t="s">
        <v>106</v>
      </c>
      <c r="B3168" s="79" t="s">
        <v>34</v>
      </c>
      <c r="C3168" s="148">
        <v>0.69861111111111096</v>
      </c>
      <c r="D3168" s="152">
        <v>0</v>
      </c>
      <c r="E3168" s="152">
        <v>0</v>
      </c>
      <c r="F3168" s="152">
        <v>0</v>
      </c>
      <c r="G3168" s="152">
        <v>0</v>
      </c>
      <c r="H3168" s="152">
        <v>0</v>
      </c>
      <c r="I3168" s="152">
        <v>0</v>
      </c>
      <c r="J3168" s="152">
        <v>0</v>
      </c>
    </row>
    <row r="3169" spans="1:10">
      <c r="A3169" s="79" t="s">
        <v>106</v>
      </c>
      <c r="B3169" s="79" t="s">
        <v>34</v>
      </c>
      <c r="C3169" s="148">
        <v>0.69930555555555496</v>
      </c>
      <c r="D3169" s="152">
        <v>0</v>
      </c>
      <c r="E3169" s="152">
        <v>0</v>
      </c>
      <c r="F3169" s="152">
        <v>0</v>
      </c>
      <c r="G3169" s="152">
        <v>0</v>
      </c>
      <c r="H3169" s="152">
        <v>0</v>
      </c>
      <c r="I3169" s="152">
        <v>0</v>
      </c>
      <c r="J3169" s="152">
        <v>0</v>
      </c>
    </row>
    <row r="3170" spans="1:10">
      <c r="A3170" s="79" t="s">
        <v>106</v>
      </c>
      <c r="B3170" s="79" t="s">
        <v>34</v>
      </c>
      <c r="C3170" s="148">
        <v>0.7</v>
      </c>
      <c r="D3170" s="152">
        <v>0</v>
      </c>
      <c r="E3170" s="152">
        <v>0</v>
      </c>
      <c r="F3170" s="152">
        <v>0</v>
      </c>
      <c r="G3170" s="152">
        <v>0</v>
      </c>
      <c r="H3170" s="152">
        <v>0</v>
      </c>
      <c r="I3170" s="152">
        <v>0</v>
      </c>
      <c r="J3170" s="152">
        <v>0</v>
      </c>
    </row>
    <row r="3171" spans="1:10">
      <c r="A3171" s="79" t="s">
        <v>106</v>
      </c>
      <c r="B3171" s="79" t="s">
        <v>34</v>
      </c>
      <c r="C3171" s="148">
        <v>0.70069444444444395</v>
      </c>
      <c r="D3171" s="152">
        <v>0</v>
      </c>
      <c r="E3171" s="152">
        <v>0</v>
      </c>
      <c r="F3171" s="152">
        <v>0</v>
      </c>
      <c r="G3171" s="152">
        <v>0</v>
      </c>
      <c r="H3171" s="152">
        <v>0</v>
      </c>
      <c r="I3171" s="152">
        <v>0</v>
      </c>
      <c r="J3171" s="152">
        <v>0</v>
      </c>
    </row>
    <row r="3172" spans="1:10">
      <c r="A3172" s="79" t="s">
        <v>106</v>
      </c>
      <c r="B3172" s="79" t="s">
        <v>34</v>
      </c>
      <c r="C3172" s="148">
        <v>0.70138888888888895</v>
      </c>
      <c r="D3172" s="152">
        <v>0</v>
      </c>
      <c r="E3172" s="152">
        <v>0</v>
      </c>
      <c r="F3172" s="152">
        <v>0</v>
      </c>
      <c r="G3172" s="152">
        <v>0</v>
      </c>
      <c r="H3172" s="152">
        <v>0</v>
      </c>
      <c r="I3172" s="152">
        <v>0</v>
      </c>
      <c r="J3172" s="152">
        <v>0</v>
      </c>
    </row>
    <row r="3173" spans="1:10">
      <c r="A3173" s="79" t="s">
        <v>106</v>
      </c>
      <c r="B3173" s="79" t="s">
        <v>34</v>
      </c>
      <c r="C3173" s="148">
        <v>0.70208333333333295</v>
      </c>
      <c r="D3173" s="152">
        <v>0</v>
      </c>
      <c r="E3173" s="152">
        <v>0</v>
      </c>
      <c r="F3173" s="152">
        <v>0</v>
      </c>
      <c r="G3173" s="152">
        <v>0</v>
      </c>
      <c r="H3173" s="152">
        <v>0</v>
      </c>
      <c r="I3173" s="152">
        <v>0</v>
      </c>
      <c r="J3173" s="152">
        <v>0</v>
      </c>
    </row>
    <row r="3174" spans="1:10">
      <c r="A3174" s="79" t="s">
        <v>106</v>
      </c>
      <c r="B3174" s="79" t="s">
        <v>34</v>
      </c>
      <c r="C3174" s="148">
        <v>0.70277777777777795</v>
      </c>
      <c r="D3174" s="152">
        <v>0</v>
      </c>
      <c r="E3174" s="152">
        <v>0</v>
      </c>
      <c r="F3174" s="152">
        <v>0</v>
      </c>
      <c r="G3174" s="152">
        <v>0</v>
      </c>
      <c r="H3174" s="152">
        <v>0</v>
      </c>
      <c r="I3174" s="152">
        <v>0</v>
      </c>
      <c r="J3174" s="152">
        <v>0</v>
      </c>
    </row>
    <row r="3175" spans="1:10">
      <c r="A3175" s="79" t="s">
        <v>106</v>
      </c>
      <c r="B3175" s="79" t="s">
        <v>34</v>
      </c>
      <c r="C3175" s="148">
        <v>0.70347222222222205</v>
      </c>
      <c r="D3175" s="152">
        <v>0</v>
      </c>
      <c r="E3175" s="152">
        <v>0</v>
      </c>
      <c r="F3175" s="152">
        <v>0</v>
      </c>
      <c r="G3175" s="152">
        <v>0</v>
      </c>
      <c r="H3175" s="152">
        <v>0</v>
      </c>
      <c r="I3175" s="152">
        <v>0</v>
      </c>
      <c r="J3175" s="152">
        <v>0</v>
      </c>
    </row>
    <row r="3176" spans="1:10">
      <c r="A3176" s="79" t="s">
        <v>106</v>
      </c>
      <c r="B3176" s="79" t="s">
        <v>34</v>
      </c>
      <c r="C3176" s="148">
        <v>0.70416666666666605</v>
      </c>
      <c r="D3176" s="152">
        <v>0</v>
      </c>
      <c r="E3176" s="152">
        <v>0</v>
      </c>
      <c r="F3176" s="152">
        <v>0</v>
      </c>
      <c r="G3176" s="152">
        <v>0</v>
      </c>
      <c r="H3176" s="152">
        <v>0</v>
      </c>
      <c r="I3176" s="152">
        <v>0</v>
      </c>
      <c r="J3176" s="152">
        <v>0</v>
      </c>
    </row>
    <row r="3177" spans="1:10">
      <c r="A3177" s="79" t="s">
        <v>106</v>
      </c>
      <c r="B3177" s="79" t="s">
        <v>34</v>
      </c>
      <c r="C3177" s="148">
        <v>0.70486111111111105</v>
      </c>
      <c r="D3177" s="152">
        <v>0</v>
      </c>
      <c r="E3177" s="152">
        <v>0</v>
      </c>
      <c r="F3177" s="152">
        <v>0</v>
      </c>
      <c r="G3177" s="152">
        <v>0</v>
      </c>
      <c r="H3177" s="152">
        <v>0</v>
      </c>
      <c r="I3177" s="152">
        <v>0</v>
      </c>
      <c r="J3177" s="152">
        <v>0</v>
      </c>
    </row>
    <row r="3178" spans="1:10">
      <c r="A3178" s="79" t="s">
        <v>106</v>
      </c>
      <c r="B3178" s="79" t="s">
        <v>34</v>
      </c>
      <c r="C3178" s="148">
        <v>0.70555555555555505</v>
      </c>
      <c r="D3178" s="152">
        <v>0</v>
      </c>
      <c r="E3178" s="152">
        <v>0</v>
      </c>
      <c r="F3178" s="152">
        <v>0</v>
      </c>
      <c r="G3178" s="152">
        <v>0</v>
      </c>
      <c r="H3178" s="152">
        <v>0</v>
      </c>
      <c r="I3178" s="152">
        <v>0</v>
      </c>
      <c r="J3178" s="152">
        <v>0</v>
      </c>
    </row>
    <row r="3179" spans="1:10">
      <c r="A3179" s="79" t="s">
        <v>106</v>
      </c>
      <c r="B3179" s="79" t="s">
        <v>34</v>
      </c>
      <c r="C3179" s="148">
        <v>0.70625000000000004</v>
      </c>
      <c r="D3179" s="152">
        <v>0</v>
      </c>
      <c r="E3179" s="152">
        <v>0</v>
      </c>
      <c r="F3179" s="152">
        <v>0</v>
      </c>
      <c r="G3179" s="152">
        <v>0</v>
      </c>
      <c r="H3179" s="152">
        <v>0</v>
      </c>
      <c r="I3179" s="152">
        <v>0</v>
      </c>
      <c r="J3179" s="152">
        <v>0</v>
      </c>
    </row>
    <row r="3180" spans="1:10">
      <c r="A3180" s="79" t="s">
        <v>106</v>
      </c>
      <c r="B3180" s="79" t="s">
        <v>34</v>
      </c>
      <c r="C3180" s="148">
        <v>0.70694444444444404</v>
      </c>
      <c r="D3180" s="152">
        <v>0</v>
      </c>
      <c r="E3180" s="152">
        <v>0</v>
      </c>
      <c r="F3180" s="152">
        <v>0</v>
      </c>
      <c r="G3180" s="152">
        <v>0</v>
      </c>
      <c r="H3180" s="152">
        <v>0</v>
      </c>
      <c r="I3180" s="152">
        <v>0</v>
      </c>
      <c r="J3180" s="152">
        <v>0</v>
      </c>
    </row>
    <row r="3181" spans="1:10" s="78" customFormat="1">
      <c r="A3181" s="82" t="s">
        <v>106</v>
      </c>
      <c r="B3181" s="82" t="s">
        <v>34</v>
      </c>
      <c r="C3181" s="150">
        <v>0.70763888888888904</v>
      </c>
      <c r="D3181" s="153">
        <v>0</v>
      </c>
      <c r="E3181" s="153">
        <v>0</v>
      </c>
      <c r="F3181" s="153">
        <v>0</v>
      </c>
      <c r="G3181" s="153">
        <v>0</v>
      </c>
      <c r="H3181" s="153">
        <v>0</v>
      </c>
      <c r="I3181" s="153">
        <v>0</v>
      </c>
      <c r="J3181" s="153">
        <v>0</v>
      </c>
    </row>
    <row r="3182" spans="1:10">
      <c r="A3182" s="79" t="s">
        <v>106</v>
      </c>
      <c r="B3182" s="79" t="s">
        <v>34</v>
      </c>
      <c r="C3182" s="148">
        <v>0.70833333333333304</v>
      </c>
      <c r="D3182" s="154">
        <v>0</v>
      </c>
      <c r="E3182" s="154">
        <v>0</v>
      </c>
      <c r="F3182" s="154">
        <v>0</v>
      </c>
      <c r="G3182" s="154">
        <v>0</v>
      </c>
      <c r="H3182" s="154">
        <v>0</v>
      </c>
      <c r="I3182" s="154">
        <v>0</v>
      </c>
      <c r="J3182" s="154">
        <v>0</v>
      </c>
    </row>
    <row r="3183" spans="1:10">
      <c r="A3183" s="79" t="s">
        <v>106</v>
      </c>
      <c r="B3183" s="79" t="s">
        <v>34</v>
      </c>
      <c r="C3183" s="148">
        <v>0.70902777777777803</v>
      </c>
      <c r="D3183" s="152">
        <v>0</v>
      </c>
      <c r="E3183" s="152">
        <v>0</v>
      </c>
      <c r="F3183" s="152">
        <v>0</v>
      </c>
      <c r="G3183" s="152">
        <v>0</v>
      </c>
      <c r="H3183" s="152">
        <v>0</v>
      </c>
      <c r="I3183" s="152">
        <v>0</v>
      </c>
      <c r="J3183" s="152">
        <v>0</v>
      </c>
    </row>
    <row r="3184" spans="1:10">
      <c r="A3184" s="79" t="s">
        <v>106</v>
      </c>
      <c r="B3184" s="79" t="s">
        <v>34</v>
      </c>
      <c r="C3184" s="148">
        <v>0.70972222222222203</v>
      </c>
      <c r="D3184" s="152">
        <v>0</v>
      </c>
      <c r="E3184" s="152">
        <v>0</v>
      </c>
      <c r="F3184" s="152">
        <v>0</v>
      </c>
      <c r="G3184" s="152">
        <v>0</v>
      </c>
      <c r="H3184" s="152">
        <v>0</v>
      </c>
      <c r="I3184" s="152">
        <v>0</v>
      </c>
      <c r="J3184" s="152">
        <v>0</v>
      </c>
    </row>
    <row r="3185" spans="1:10">
      <c r="A3185" s="79" t="s">
        <v>106</v>
      </c>
      <c r="B3185" s="79" t="s">
        <v>34</v>
      </c>
      <c r="C3185" s="148">
        <v>0.71041666666666603</v>
      </c>
      <c r="D3185" s="152">
        <v>0</v>
      </c>
      <c r="E3185" s="152">
        <v>0</v>
      </c>
      <c r="F3185" s="152">
        <v>0</v>
      </c>
      <c r="G3185" s="152">
        <v>0</v>
      </c>
      <c r="H3185" s="152">
        <v>0</v>
      </c>
      <c r="I3185" s="152">
        <v>0</v>
      </c>
      <c r="J3185" s="152">
        <v>0</v>
      </c>
    </row>
    <row r="3186" spans="1:10">
      <c r="A3186" s="79" t="s">
        <v>106</v>
      </c>
      <c r="B3186" s="79" t="s">
        <v>34</v>
      </c>
      <c r="C3186" s="148">
        <v>0.71111111111111103</v>
      </c>
      <c r="D3186" s="152">
        <v>0</v>
      </c>
      <c r="E3186" s="152">
        <v>0</v>
      </c>
      <c r="F3186" s="152">
        <v>0</v>
      </c>
      <c r="G3186" s="152">
        <v>0</v>
      </c>
      <c r="H3186" s="152">
        <v>0</v>
      </c>
      <c r="I3186" s="152">
        <v>0</v>
      </c>
      <c r="J3186" s="152">
        <v>0</v>
      </c>
    </row>
    <row r="3187" spans="1:10">
      <c r="A3187" s="79" t="s">
        <v>106</v>
      </c>
      <c r="B3187" s="79" t="s">
        <v>34</v>
      </c>
      <c r="C3187" s="148">
        <v>0.71180555555555503</v>
      </c>
      <c r="D3187" s="152">
        <v>0</v>
      </c>
      <c r="E3187" s="152">
        <v>0</v>
      </c>
      <c r="F3187" s="152">
        <v>0</v>
      </c>
      <c r="G3187" s="152">
        <v>0</v>
      </c>
      <c r="H3187" s="152">
        <v>0</v>
      </c>
      <c r="I3187" s="152">
        <v>0</v>
      </c>
      <c r="J3187" s="152">
        <v>0</v>
      </c>
    </row>
    <row r="3188" spans="1:10">
      <c r="A3188" s="79" t="s">
        <v>106</v>
      </c>
      <c r="B3188" s="79" t="s">
        <v>34</v>
      </c>
      <c r="C3188" s="148">
        <v>0.71250000000000002</v>
      </c>
      <c r="D3188" s="152">
        <v>0</v>
      </c>
      <c r="E3188" s="152">
        <v>0</v>
      </c>
      <c r="F3188" s="152">
        <v>0</v>
      </c>
      <c r="G3188" s="152">
        <v>0</v>
      </c>
      <c r="H3188" s="152">
        <v>0</v>
      </c>
      <c r="I3188" s="152">
        <v>0</v>
      </c>
      <c r="J3188" s="152">
        <v>0</v>
      </c>
    </row>
    <row r="3189" spans="1:10">
      <c r="A3189" s="79" t="s">
        <v>106</v>
      </c>
      <c r="B3189" s="79" t="s">
        <v>34</v>
      </c>
      <c r="C3189" s="148">
        <v>0.71319444444444402</v>
      </c>
      <c r="D3189" s="152">
        <v>0</v>
      </c>
      <c r="E3189" s="152">
        <v>0</v>
      </c>
      <c r="F3189" s="152">
        <v>0</v>
      </c>
      <c r="G3189" s="152">
        <v>0</v>
      </c>
      <c r="H3189" s="152">
        <v>0</v>
      </c>
      <c r="I3189" s="152">
        <v>0</v>
      </c>
      <c r="J3189" s="152">
        <v>0</v>
      </c>
    </row>
    <row r="3190" spans="1:10">
      <c r="A3190" s="79" t="s">
        <v>106</v>
      </c>
      <c r="B3190" s="79" t="s">
        <v>34</v>
      </c>
      <c r="C3190" s="148">
        <v>0.71388888888888902</v>
      </c>
      <c r="D3190" s="152">
        <v>0</v>
      </c>
      <c r="E3190" s="152">
        <v>0</v>
      </c>
      <c r="F3190" s="152">
        <v>0</v>
      </c>
      <c r="G3190" s="152">
        <v>0</v>
      </c>
      <c r="H3190" s="152">
        <v>0</v>
      </c>
      <c r="I3190" s="152">
        <v>0</v>
      </c>
      <c r="J3190" s="152">
        <v>0</v>
      </c>
    </row>
    <row r="3191" spans="1:10">
      <c r="A3191" s="79" t="s">
        <v>106</v>
      </c>
      <c r="B3191" s="79" t="s">
        <v>34</v>
      </c>
      <c r="C3191" s="148">
        <v>0.71458333333333302</v>
      </c>
      <c r="D3191" s="152">
        <v>0</v>
      </c>
      <c r="E3191" s="152">
        <v>0</v>
      </c>
      <c r="F3191" s="152">
        <v>0</v>
      </c>
      <c r="G3191" s="152">
        <v>0</v>
      </c>
      <c r="H3191" s="152">
        <v>0</v>
      </c>
      <c r="I3191" s="152">
        <v>0</v>
      </c>
      <c r="J3191" s="152">
        <v>0</v>
      </c>
    </row>
    <row r="3192" spans="1:10">
      <c r="A3192" s="79" t="s">
        <v>106</v>
      </c>
      <c r="B3192" s="79" t="s">
        <v>34</v>
      </c>
      <c r="C3192" s="148">
        <v>0.71527777777777801</v>
      </c>
      <c r="D3192" s="152">
        <v>0</v>
      </c>
      <c r="E3192" s="152">
        <v>0</v>
      </c>
      <c r="F3192" s="152">
        <v>0</v>
      </c>
      <c r="G3192" s="152">
        <v>0</v>
      </c>
      <c r="H3192" s="152">
        <v>0</v>
      </c>
      <c r="I3192" s="152">
        <v>0</v>
      </c>
      <c r="J3192" s="152">
        <v>0</v>
      </c>
    </row>
    <row r="3193" spans="1:10">
      <c r="A3193" s="79" t="s">
        <v>106</v>
      </c>
      <c r="B3193" s="79" t="s">
        <v>34</v>
      </c>
      <c r="C3193" s="148">
        <v>0.71597222222222201</v>
      </c>
      <c r="D3193" s="152">
        <v>0</v>
      </c>
      <c r="E3193" s="152">
        <v>0</v>
      </c>
      <c r="F3193" s="152">
        <v>0</v>
      </c>
      <c r="G3193" s="152">
        <v>0</v>
      </c>
      <c r="H3193" s="152">
        <v>0</v>
      </c>
      <c r="I3193" s="152">
        <v>0</v>
      </c>
      <c r="J3193" s="152">
        <v>0</v>
      </c>
    </row>
    <row r="3194" spans="1:10">
      <c r="A3194" s="79" t="s">
        <v>106</v>
      </c>
      <c r="B3194" s="79" t="s">
        <v>34</v>
      </c>
      <c r="C3194" s="148">
        <v>0.71666666666666601</v>
      </c>
      <c r="D3194" s="152">
        <v>0</v>
      </c>
      <c r="E3194" s="152">
        <v>0</v>
      </c>
      <c r="F3194" s="152">
        <v>0</v>
      </c>
      <c r="G3194" s="152">
        <v>0</v>
      </c>
      <c r="H3194" s="152">
        <v>0</v>
      </c>
      <c r="I3194" s="152">
        <v>0</v>
      </c>
      <c r="J3194" s="152">
        <v>0</v>
      </c>
    </row>
    <row r="3195" spans="1:10">
      <c r="A3195" s="79" t="s">
        <v>106</v>
      </c>
      <c r="B3195" s="79" t="s">
        <v>34</v>
      </c>
      <c r="C3195" s="148">
        <v>0.71736111111111101</v>
      </c>
      <c r="D3195" s="152">
        <v>0</v>
      </c>
      <c r="E3195" s="152">
        <v>0</v>
      </c>
      <c r="F3195" s="152">
        <v>0</v>
      </c>
      <c r="G3195" s="152">
        <v>0</v>
      </c>
      <c r="H3195" s="152">
        <v>0</v>
      </c>
      <c r="I3195" s="152">
        <v>0</v>
      </c>
      <c r="J3195" s="152">
        <v>0</v>
      </c>
    </row>
    <row r="3196" spans="1:10" s="78" customFormat="1">
      <c r="A3196" s="82" t="s">
        <v>106</v>
      </c>
      <c r="B3196" s="82" t="s">
        <v>34</v>
      </c>
      <c r="C3196" s="150">
        <v>0.718055555555555</v>
      </c>
      <c r="D3196" s="153">
        <v>0</v>
      </c>
      <c r="E3196" s="153">
        <v>0</v>
      </c>
      <c r="F3196" s="153">
        <v>0</v>
      </c>
      <c r="G3196" s="153">
        <v>0</v>
      </c>
      <c r="H3196" s="153">
        <v>0</v>
      </c>
      <c r="I3196" s="153">
        <v>0</v>
      </c>
      <c r="J3196" s="153">
        <v>0</v>
      </c>
    </row>
    <row r="3197" spans="1:10">
      <c r="A3197" s="79" t="s">
        <v>106</v>
      </c>
      <c r="B3197" s="79" t="s">
        <v>34</v>
      </c>
      <c r="C3197" s="148">
        <v>0.71875</v>
      </c>
      <c r="D3197" s="154">
        <v>0</v>
      </c>
      <c r="E3197" s="154">
        <v>0</v>
      </c>
      <c r="F3197" s="154">
        <v>0</v>
      </c>
      <c r="G3197" s="154">
        <v>0</v>
      </c>
      <c r="H3197" s="154">
        <v>0</v>
      </c>
      <c r="I3197" s="154">
        <v>0</v>
      </c>
      <c r="J3197" s="154">
        <v>0</v>
      </c>
    </row>
    <row r="3198" spans="1:10">
      <c r="A3198" s="79" t="s">
        <v>106</v>
      </c>
      <c r="B3198" s="79" t="s">
        <v>34</v>
      </c>
      <c r="C3198" s="148">
        <v>0.719444444444444</v>
      </c>
      <c r="D3198" s="152">
        <v>0</v>
      </c>
      <c r="E3198" s="152">
        <v>0</v>
      </c>
      <c r="F3198" s="152">
        <v>0</v>
      </c>
      <c r="G3198" s="152">
        <v>0</v>
      </c>
      <c r="H3198" s="152">
        <v>0</v>
      </c>
      <c r="I3198" s="152">
        <v>0</v>
      </c>
      <c r="J3198" s="152">
        <v>0</v>
      </c>
    </row>
    <row r="3199" spans="1:10">
      <c r="A3199" s="79" t="s">
        <v>106</v>
      </c>
      <c r="B3199" s="79" t="s">
        <v>34</v>
      </c>
      <c r="C3199" s="148">
        <v>0.72013888888888899</v>
      </c>
      <c r="D3199" s="152">
        <v>0</v>
      </c>
      <c r="E3199" s="152">
        <v>0</v>
      </c>
      <c r="F3199" s="152">
        <v>0</v>
      </c>
      <c r="G3199" s="152">
        <v>0</v>
      </c>
      <c r="H3199" s="152">
        <v>0</v>
      </c>
      <c r="I3199" s="152">
        <v>0</v>
      </c>
      <c r="J3199" s="152">
        <v>0</v>
      </c>
    </row>
    <row r="3200" spans="1:10">
      <c r="A3200" s="79" t="s">
        <v>106</v>
      </c>
      <c r="B3200" s="79" t="s">
        <v>34</v>
      </c>
      <c r="C3200" s="148">
        <v>0.72083333333333299</v>
      </c>
      <c r="D3200" s="152">
        <v>0</v>
      </c>
      <c r="E3200" s="152">
        <v>0</v>
      </c>
      <c r="F3200" s="152">
        <v>0</v>
      </c>
      <c r="G3200" s="152">
        <v>0</v>
      </c>
      <c r="H3200" s="152">
        <v>0</v>
      </c>
      <c r="I3200" s="152">
        <v>0</v>
      </c>
      <c r="J3200" s="152">
        <v>0</v>
      </c>
    </row>
    <row r="3201" spans="1:10">
      <c r="A3201" s="79" t="s">
        <v>106</v>
      </c>
      <c r="B3201" s="79" t="s">
        <v>34</v>
      </c>
      <c r="C3201" s="148">
        <v>0.72152777777777799</v>
      </c>
      <c r="D3201" s="152">
        <v>0</v>
      </c>
      <c r="E3201" s="152">
        <v>0</v>
      </c>
      <c r="F3201" s="152">
        <v>0</v>
      </c>
      <c r="G3201" s="152">
        <v>0</v>
      </c>
      <c r="H3201" s="152">
        <v>0</v>
      </c>
      <c r="I3201" s="152">
        <v>0</v>
      </c>
      <c r="J3201" s="152">
        <v>0</v>
      </c>
    </row>
    <row r="3202" spans="1:10">
      <c r="A3202" s="79" t="s">
        <v>106</v>
      </c>
      <c r="B3202" s="79" t="s">
        <v>34</v>
      </c>
      <c r="C3202" s="148">
        <v>0.72222222222222199</v>
      </c>
      <c r="D3202" s="152">
        <v>0</v>
      </c>
      <c r="E3202" s="152">
        <v>0</v>
      </c>
      <c r="F3202" s="152">
        <v>0</v>
      </c>
      <c r="G3202" s="152">
        <v>0</v>
      </c>
      <c r="H3202" s="152">
        <v>0</v>
      </c>
      <c r="I3202" s="152">
        <v>0</v>
      </c>
      <c r="J3202" s="152">
        <v>0</v>
      </c>
    </row>
    <row r="3203" spans="1:10">
      <c r="A3203" s="79" t="s">
        <v>106</v>
      </c>
      <c r="B3203" s="79" t="s">
        <v>34</v>
      </c>
      <c r="C3203" s="148">
        <v>0.72291666666666599</v>
      </c>
      <c r="D3203" s="152">
        <v>0</v>
      </c>
      <c r="E3203" s="152">
        <v>0</v>
      </c>
      <c r="F3203" s="152">
        <v>0</v>
      </c>
      <c r="G3203" s="152">
        <v>0</v>
      </c>
      <c r="H3203" s="152">
        <v>0</v>
      </c>
      <c r="I3203" s="152">
        <v>0</v>
      </c>
      <c r="J3203" s="152">
        <v>0</v>
      </c>
    </row>
    <row r="3204" spans="1:10">
      <c r="A3204" s="79" t="s">
        <v>106</v>
      </c>
      <c r="B3204" s="79" t="s">
        <v>34</v>
      </c>
      <c r="C3204" s="148">
        <v>0.72361111111111098</v>
      </c>
      <c r="D3204" s="152">
        <v>0</v>
      </c>
      <c r="E3204" s="152">
        <v>0</v>
      </c>
      <c r="F3204" s="152">
        <v>0</v>
      </c>
      <c r="G3204" s="152">
        <v>0</v>
      </c>
      <c r="H3204" s="152">
        <v>0</v>
      </c>
      <c r="I3204" s="152">
        <v>0</v>
      </c>
      <c r="J3204" s="152">
        <v>0</v>
      </c>
    </row>
    <row r="3205" spans="1:10">
      <c r="A3205" s="79" t="s">
        <v>106</v>
      </c>
      <c r="B3205" s="79" t="s">
        <v>34</v>
      </c>
      <c r="C3205" s="148">
        <v>0.72430555555555498</v>
      </c>
      <c r="D3205" s="152">
        <v>0</v>
      </c>
      <c r="E3205" s="152">
        <v>0</v>
      </c>
      <c r="F3205" s="152">
        <v>0</v>
      </c>
      <c r="G3205" s="152">
        <v>0</v>
      </c>
      <c r="H3205" s="152">
        <v>0</v>
      </c>
      <c r="I3205" s="152">
        <v>0</v>
      </c>
      <c r="J3205" s="152">
        <v>0</v>
      </c>
    </row>
    <row r="3206" spans="1:10">
      <c r="A3206" s="79" t="s">
        <v>106</v>
      </c>
      <c r="B3206" s="79" t="s">
        <v>34</v>
      </c>
      <c r="C3206" s="148">
        <v>0.72499999999999998</v>
      </c>
      <c r="D3206" s="152">
        <v>0</v>
      </c>
      <c r="E3206" s="152">
        <v>0</v>
      </c>
      <c r="F3206" s="152">
        <v>0</v>
      </c>
      <c r="G3206" s="152">
        <v>0</v>
      </c>
      <c r="H3206" s="152">
        <v>0</v>
      </c>
      <c r="I3206" s="152">
        <v>0</v>
      </c>
      <c r="J3206" s="152">
        <v>0</v>
      </c>
    </row>
    <row r="3207" spans="1:10">
      <c r="A3207" s="79" t="s">
        <v>106</v>
      </c>
      <c r="B3207" s="79" t="s">
        <v>34</v>
      </c>
      <c r="C3207" s="148">
        <v>0.72569444444444398</v>
      </c>
      <c r="D3207" s="152">
        <v>0</v>
      </c>
      <c r="E3207" s="152">
        <v>0</v>
      </c>
      <c r="F3207" s="152">
        <v>0</v>
      </c>
      <c r="G3207" s="152">
        <v>0</v>
      </c>
      <c r="H3207" s="152">
        <v>0</v>
      </c>
      <c r="I3207" s="152">
        <v>0</v>
      </c>
      <c r="J3207" s="152">
        <v>0</v>
      </c>
    </row>
    <row r="3208" spans="1:10">
      <c r="A3208" s="79" t="s">
        <v>106</v>
      </c>
      <c r="B3208" s="79" t="s">
        <v>34</v>
      </c>
      <c r="C3208" s="148">
        <v>0.72638888888888897</v>
      </c>
      <c r="D3208" s="152">
        <v>0</v>
      </c>
      <c r="E3208" s="152">
        <v>0</v>
      </c>
      <c r="F3208" s="152">
        <v>0</v>
      </c>
      <c r="G3208" s="152">
        <v>0</v>
      </c>
      <c r="H3208" s="152">
        <v>0</v>
      </c>
      <c r="I3208" s="152">
        <v>0</v>
      </c>
      <c r="J3208" s="152">
        <v>0</v>
      </c>
    </row>
    <row r="3209" spans="1:10">
      <c r="A3209" s="79" t="s">
        <v>106</v>
      </c>
      <c r="B3209" s="79" t="s">
        <v>34</v>
      </c>
      <c r="C3209" s="148">
        <v>0.72708333333333297</v>
      </c>
      <c r="D3209" s="152">
        <v>0</v>
      </c>
      <c r="E3209" s="152">
        <v>0</v>
      </c>
      <c r="F3209" s="152">
        <v>0</v>
      </c>
      <c r="G3209" s="152">
        <v>0</v>
      </c>
      <c r="H3209" s="152">
        <v>0</v>
      </c>
      <c r="I3209" s="152">
        <v>0</v>
      </c>
      <c r="J3209" s="152">
        <v>0</v>
      </c>
    </row>
    <row r="3210" spans="1:10">
      <c r="A3210" s="79" t="s">
        <v>106</v>
      </c>
      <c r="B3210" s="79" t="s">
        <v>34</v>
      </c>
      <c r="C3210" s="148">
        <v>0.72777777777777797</v>
      </c>
      <c r="D3210" s="152">
        <v>0</v>
      </c>
      <c r="E3210" s="152">
        <v>0</v>
      </c>
      <c r="F3210" s="152">
        <v>0</v>
      </c>
      <c r="G3210" s="152">
        <v>0</v>
      </c>
      <c r="H3210" s="152">
        <v>0</v>
      </c>
      <c r="I3210" s="152">
        <v>0</v>
      </c>
      <c r="J3210" s="152">
        <v>0</v>
      </c>
    </row>
    <row r="3211" spans="1:10" s="78" customFormat="1">
      <c r="A3211" s="82" t="s">
        <v>106</v>
      </c>
      <c r="B3211" s="82" t="s">
        <v>34</v>
      </c>
      <c r="C3211" s="150">
        <v>0.72847222222222197</v>
      </c>
      <c r="D3211" s="153">
        <v>0</v>
      </c>
      <c r="E3211" s="153">
        <v>0</v>
      </c>
      <c r="F3211" s="153">
        <v>0</v>
      </c>
      <c r="G3211" s="153">
        <v>0</v>
      </c>
      <c r="H3211" s="153">
        <v>0</v>
      </c>
      <c r="I3211" s="153">
        <v>0</v>
      </c>
      <c r="J3211" s="153">
        <v>0</v>
      </c>
    </row>
    <row r="3212" spans="1:10">
      <c r="A3212" s="79" t="s">
        <v>106</v>
      </c>
      <c r="B3212" s="79" t="s">
        <v>34</v>
      </c>
      <c r="C3212" s="148">
        <v>0.72916666666666596</v>
      </c>
      <c r="D3212" s="154">
        <v>0</v>
      </c>
      <c r="E3212" s="154">
        <v>0</v>
      </c>
      <c r="F3212" s="154">
        <v>0</v>
      </c>
      <c r="G3212" s="154">
        <v>0</v>
      </c>
      <c r="H3212" s="154">
        <v>0</v>
      </c>
      <c r="I3212" s="154">
        <v>0</v>
      </c>
      <c r="J3212" s="154">
        <v>0</v>
      </c>
    </row>
    <row r="3213" spans="1:10">
      <c r="A3213" s="79" t="s">
        <v>106</v>
      </c>
      <c r="B3213" s="79" t="s">
        <v>34</v>
      </c>
      <c r="C3213" s="148">
        <v>0.72986111111111096</v>
      </c>
      <c r="D3213" s="152">
        <v>0</v>
      </c>
      <c r="E3213" s="152">
        <v>0</v>
      </c>
      <c r="F3213" s="152">
        <v>0</v>
      </c>
      <c r="G3213" s="152">
        <v>0</v>
      </c>
      <c r="H3213" s="152">
        <v>0</v>
      </c>
      <c r="I3213" s="152">
        <v>0</v>
      </c>
      <c r="J3213" s="152">
        <v>0</v>
      </c>
    </row>
    <row r="3214" spans="1:10">
      <c r="A3214" s="79" t="s">
        <v>106</v>
      </c>
      <c r="B3214" s="79" t="s">
        <v>34</v>
      </c>
      <c r="C3214" s="148">
        <v>0.73055555555555496</v>
      </c>
      <c r="D3214" s="152">
        <v>0</v>
      </c>
      <c r="E3214" s="152">
        <v>0</v>
      </c>
      <c r="F3214" s="152">
        <v>0</v>
      </c>
      <c r="G3214" s="152">
        <v>0</v>
      </c>
      <c r="H3214" s="152">
        <v>0</v>
      </c>
      <c r="I3214" s="152">
        <v>0</v>
      </c>
      <c r="J3214" s="152">
        <v>0</v>
      </c>
    </row>
    <row r="3215" spans="1:10">
      <c r="A3215" s="79" t="s">
        <v>106</v>
      </c>
      <c r="B3215" s="79" t="s">
        <v>34</v>
      </c>
      <c r="C3215" s="148">
        <v>0.73124999999999996</v>
      </c>
      <c r="D3215" s="152">
        <v>0</v>
      </c>
      <c r="E3215" s="152">
        <v>0</v>
      </c>
      <c r="F3215" s="152">
        <v>0</v>
      </c>
      <c r="G3215" s="152">
        <v>0</v>
      </c>
      <c r="H3215" s="152">
        <v>0</v>
      </c>
      <c r="I3215" s="152">
        <v>0</v>
      </c>
      <c r="J3215" s="152">
        <v>0</v>
      </c>
    </row>
    <row r="3216" spans="1:10">
      <c r="A3216" s="79" t="s">
        <v>106</v>
      </c>
      <c r="B3216" s="79" t="s">
        <v>34</v>
      </c>
      <c r="C3216" s="148">
        <v>0.73194444444444395</v>
      </c>
      <c r="D3216" s="152">
        <v>0</v>
      </c>
      <c r="E3216" s="152">
        <v>0</v>
      </c>
      <c r="F3216" s="152">
        <v>0</v>
      </c>
      <c r="G3216" s="152">
        <v>0</v>
      </c>
      <c r="H3216" s="152">
        <v>0</v>
      </c>
      <c r="I3216" s="152">
        <v>0</v>
      </c>
      <c r="J3216" s="152">
        <v>0</v>
      </c>
    </row>
    <row r="3217" spans="1:10">
      <c r="A3217" s="79" t="s">
        <v>106</v>
      </c>
      <c r="B3217" s="79" t="s">
        <v>34</v>
      </c>
      <c r="C3217" s="148">
        <v>0.73263888888888895</v>
      </c>
      <c r="D3217" s="152">
        <v>0</v>
      </c>
      <c r="E3217" s="152">
        <v>0</v>
      </c>
      <c r="F3217" s="152">
        <v>0</v>
      </c>
      <c r="G3217" s="152">
        <v>0</v>
      </c>
      <c r="H3217" s="152">
        <v>0</v>
      </c>
      <c r="I3217" s="152">
        <v>0</v>
      </c>
      <c r="J3217" s="152">
        <v>0</v>
      </c>
    </row>
    <row r="3218" spans="1:10">
      <c r="A3218" s="79" t="s">
        <v>106</v>
      </c>
      <c r="B3218" s="79" t="s">
        <v>34</v>
      </c>
      <c r="C3218" s="148">
        <v>0.73333333333333295</v>
      </c>
      <c r="D3218" s="152">
        <v>0</v>
      </c>
      <c r="E3218" s="152">
        <v>0</v>
      </c>
      <c r="F3218" s="152">
        <v>0</v>
      </c>
      <c r="G3218" s="152">
        <v>0</v>
      </c>
      <c r="H3218" s="152">
        <v>0</v>
      </c>
      <c r="I3218" s="152">
        <v>0</v>
      </c>
      <c r="J3218" s="152">
        <v>0</v>
      </c>
    </row>
    <row r="3219" spans="1:10">
      <c r="A3219" s="79" t="s">
        <v>106</v>
      </c>
      <c r="B3219" s="79" t="s">
        <v>34</v>
      </c>
      <c r="C3219" s="148">
        <v>0.73402777777777795</v>
      </c>
      <c r="D3219" s="152">
        <v>0</v>
      </c>
      <c r="E3219" s="152">
        <v>0</v>
      </c>
      <c r="F3219" s="152">
        <v>0</v>
      </c>
      <c r="G3219" s="152">
        <v>0</v>
      </c>
      <c r="H3219" s="152">
        <v>0</v>
      </c>
      <c r="I3219" s="152">
        <v>0</v>
      </c>
      <c r="J3219" s="152">
        <v>0</v>
      </c>
    </row>
    <row r="3220" spans="1:10">
      <c r="A3220" s="79" t="s">
        <v>106</v>
      </c>
      <c r="B3220" s="79" t="s">
        <v>34</v>
      </c>
      <c r="C3220" s="148">
        <v>0.73472222222222205</v>
      </c>
      <c r="D3220" s="152">
        <v>0</v>
      </c>
      <c r="E3220" s="152">
        <v>0</v>
      </c>
      <c r="F3220" s="152">
        <v>0</v>
      </c>
      <c r="G3220" s="152">
        <v>0</v>
      </c>
      <c r="H3220" s="152">
        <v>0</v>
      </c>
      <c r="I3220" s="152">
        <v>0</v>
      </c>
      <c r="J3220" s="152">
        <v>0</v>
      </c>
    </row>
    <row r="3221" spans="1:10">
      <c r="A3221" s="79" t="s">
        <v>106</v>
      </c>
      <c r="B3221" s="79" t="s">
        <v>34</v>
      </c>
      <c r="C3221" s="148">
        <v>0.73541666666666605</v>
      </c>
      <c r="D3221" s="152">
        <v>0</v>
      </c>
      <c r="E3221" s="152">
        <v>0</v>
      </c>
      <c r="F3221" s="152">
        <v>0</v>
      </c>
      <c r="G3221" s="152">
        <v>0</v>
      </c>
      <c r="H3221" s="152">
        <v>0</v>
      </c>
      <c r="I3221" s="152">
        <v>0</v>
      </c>
      <c r="J3221" s="152">
        <v>0</v>
      </c>
    </row>
    <row r="3222" spans="1:10">
      <c r="A3222" s="79" t="s">
        <v>106</v>
      </c>
      <c r="B3222" s="79" t="s">
        <v>34</v>
      </c>
      <c r="C3222" s="148">
        <v>0.73611111111111105</v>
      </c>
      <c r="D3222" s="152">
        <v>0</v>
      </c>
      <c r="E3222" s="152">
        <v>0</v>
      </c>
      <c r="F3222" s="152">
        <v>0</v>
      </c>
      <c r="G3222" s="152">
        <v>0</v>
      </c>
      <c r="H3222" s="152">
        <v>0</v>
      </c>
      <c r="I3222" s="152">
        <v>0</v>
      </c>
      <c r="J3222" s="152">
        <v>0</v>
      </c>
    </row>
    <row r="3223" spans="1:10">
      <c r="A3223" s="79" t="s">
        <v>106</v>
      </c>
      <c r="B3223" s="79" t="s">
        <v>34</v>
      </c>
      <c r="C3223" s="148">
        <v>0.73680555555555505</v>
      </c>
      <c r="D3223" s="152">
        <v>0</v>
      </c>
      <c r="E3223" s="152">
        <v>0</v>
      </c>
      <c r="F3223" s="152">
        <v>0</v>
      </c>
      <c r="G3223" s="152">
        <v>0</v>
      </c>
      <c r="H3223" s="152">
        <v>0</v>
      </c>
      <c r="I3223" s="152">
        <v>0</v>
      </c>
      <c r="J3223" s="152">
        <v>0</v>
      </c>
    </row>
    <row r="3224" spans="1:10">
      <c r="A3224" s="79" t="s">
        <v>106</v>
      </c>
      <c r="B3224" s="79" t="s">
        <v>34</v>
      </c>
      <c r="C3224" s="148">
        <v>0.73750000000000004</v>
      </c>
      <c r="D3224" s="152">
        <v>0</v>
      </c>
      <c r="E3224" s="152">
        <v>0</v>
      </c>
      <c r="F3224" s="152">
        <v>0</v>
      </c>
      <c r="G3224" s="152">
        <v>0</v>
      </c>
      <c r="H3224" s="152">
        <v>0</v>
      </c>
      <c r="I3224" s="152">
        <v>0</v>
      </c>
      <c r="J3224" s="152">
        <v>0</v>
      </c>
    </row>
    <row r="3225" spans="1:10">
      <c r="A3225" s="79" t="s">
        <v>106</v>
      </c>
      <c r="B3225" s="79" t="s">
        <v>34</v>
      </c>
      <c r="C3225" s="148">
        <v>0.73819444444444404</v>
      </c>
      <c r="D3225" s="152">
        <v>0</v>
      </c>
      <c r="E3225" s="152">
        <v>0</v>
      </c>
      <c r="F3225" s="152">
        <v>0</v>
      </c>
      <c r="G3225" s="152">
        <v>0</v>
      </c>
      <c r="H3225" s="152">
        <v>0</v>
      </c>
      <c r="I3225" s="152">
        <v>0</v>
      </c>
      <c r="J3225" s="152">
        <v>0</v>
      </c>
    </row>
    <row r="3226" spans="1:10" s="78" customFormat="1">
      <c r="A3226" s="82" t="s">
        <v>106</v>
      </c>
      <c r="B3226" s="82" t="s">
        <v>34</v>
      </c>
      <c r="C3226" s="150">
        <v>0.73888888888888904</v>
      </c>
      <c r="D3226" s="153">
        <v>0</v>
      </c>
      <c r="E3226" s="153">
        <v>0</v>
      </c>
      <c r="F3226" s="153">
        <v>0</v>
      </c>
      <c r="G3226" s="153">
        <v>0</v>
      </c>
      <c r="H3226" s="153">
        <v>0</v>
      </c>
      <c r="I3226" s="153">
        <v>0</v>
      </c>
      <c r="J3226" s="153">
        <v>0</v>
      </c>
    </row>
    <row r="3227" spans="1:10">
      <c r="A3227" s="79" t="s">
        <v>106</v>
      </c>
      <c r="B3227" s="79" t="s">
        <v>34</v>
      </c>
      <c r="C3227" s="148">
        <v>0.73958333333333304</v>
      </c>
      <c r="D3227" s="154">
        <v>0</v>
      </c>
      <c r="E3227" s="154">
        <v>0</v>
      </c>
      <c r="F3227" s="154">
        <v>0</v>
      </c>
      <c r="G3227" s="154">
        <v>0</v>
      </c>
      <c r="H3227" s="154">
        <v>0</v>
      </c>
      <c r="I3227" s="154">
        <v>0</v>
      </c>
      <c r="J3227" s="154">
        <v>0</v>
      </c>
    </row>
    <row r="3228" spans="1:10">
      <c r="A3228" s="79" t="s">
        <v>106</v>
      </c>
      <c r="B3228" s="79" t="s">
        <v>34</v>
      </c>
      <c r="C3228" s="148">
        <v>0.74027777777777704</v>
      </c>
      <c r="D3228" s="152">
        <v>0</v>
      </c>
      <c r="E3228" s="152">
        <v>0</v>
      </c>
      <c r="F3228" s="152">
        <v>0</v>
      </c>
      <c r="G3228" s="152">
        <v>0</v>
      </c>
      <c r="H3228" s="152">
        <v>0</v>
      </c>
      <c r="I3228" s="152">
        <v>0</v>
      </c>
      <c r="J3228" s="152">
        <v>0</v>
      </c>
    </row>
    <row r="3229" spans="1:10">
      <c r="A3229" s="79" t="s">
        <v>106</v>
      </c>
      <c r="B3229" s="79" t="s">
        <v>34</v>
      </c>
      <c r="C3229" s="148">
        <v>0.74097222222222203</v>
      </c>
      <c r="D3229" s="152">
        <v>0</v>
      </c>
      <c r="E3229" s="152">
        <v>0</v>
      </c>
      <c r="F3229" s="152">
        <v>0</v>
      </c>
      <c r="G3229" s="152">
        <v>0</v>
      </c>
      <c r="H3229" s="152">
        <v>0</v>
      </c>
      <c r="I3229" s="152">
        <v>0</v>
      </c>
      <c r="J3229" s="152">
        <v>0</v>
      </c>
    </row>
    <row r="3230" spans="1:10">
      <c r="A3230" s="79" t="s">
        <v>106</v>
      </c>
      <c r="B3230" s="79" t="s">
        <v>34</v>
      </c>
      <c r="C3230" s="148">
        <v>0.74166666666666603</v>
      </c>
      <c r="D3230" s="152">
        <v>0</v>
      </c>
      <c r="E3230" s="152">
        <v>0</v>
      </c>
      <c r="F3230" s="152">
        <v>0</v>
      </c>
      <c r="G3230" s="152">
        <v>0</v>
      </c>
      <c r="H3230" s="152">
        <v>0</v>
      </c>
      <c r="I3230" s="152">
        <v>0</v>
      </c>
      <c r="J3230" s="152">
        <v>0</v>
      </c>
    </row>
    <row r="3231" spans="1:10">
      <c r="A3231" s="79" t="s">
        <v>106</v>
      </c>
      <c r="B3231" s="79" t="s">
        <v>34</v>
      </c>
      <c r="C3231" s="148">
        <v>0.74236111111111103</v>
      </c>
      <c r="D3231" s="152">
        <v>0</v>
      </c>
      <c r="E3231" s="152">
        <v>0</v>
      </c>
      <c r="F3231" s="152">
        <v>0</v>
      </c>
      <c r="G3231" s="152">
        <v>0</v>
      </c>
      <c r="H3231" s="152">
        <v>0</v>
      </c>
      <c r="I3231" s="152">
        <v>0</v>
      </c>
      <c r="J3231" s="152">
        <v>0</v>
      </c>
    </row>
    <row r="3232" spans="1:10">
      <c r="A3232" s="79" t="s">
        <v>106</v>
      </c>
      <c r="B3232" s="79" t="s">
        <v>34</v>
      </c>
      <c r="C3232" s="148">
        <v>0.74305555555555503</v>
      </c>
      <c r="D3232" s="152">
        <v>0</v>
      </c>
      <c r="E3232" s="152">
        <v>0</v>
      </c>
      <c r="F3232" s="152">
        <v>0</v>
      </c>
      <c r="G3232" s="152">
        <v>0</v>
      </c>
      <c r="H3232" s="152">
        <v>0</v>
      </c>
      <c r="I3232" s="152">
        <v>0</v>
      </c>
      <c r="J3232" s="152">
        <v>0</v>
      </c>
    </row>
    <row r="3233" spans="1:10">
      <c r="A3233" s="79" t="s">
        <v>106</v>
      </c>
      <c r="B3233" s="79" t="s">
        <v>34</v>
      </c>
      <c r="C3233" s="148">
        <v>0.74375000000000002</v>
      </c>
      <c r="D3233" s="152">
        <v>0</v>
      </c>
      <c r="E3233" s="152">
        <v>0</v>
      </c>
      <c r="F3233" s="152">
        <v>0</v>
      </c>
      <c r="G3233" s="152">
        <v>0</v>
      </c>
      <c r="H3233" s="152">
        <v>0</v>
      </c>
      <c r="I3233" s="152">
        <v>0</v>
      </c>
      <c r="J3233" s="152">
        <v>0</v>
      </c>
    </row>
    <row r="3234" spans="1:10">
      <c r="A3234" s="79" t="s">
        <v>106</v>
      </c>
      <c r="B3234" s="79" t="s">
        <v>34</v>
      </c>
      <c r="C3234" s="148">
        <v>0.74444444444444402</v>
      </c>
      <c r="D3234" s="152">
        <v>0</v>
      </c>
      <c r="E3234" s="152">
        <v>0</v>
      </c>
      <c r="F3234" s="152">
        <v>0</v>
      </c>
      <c r="G3234" s="152">
        <v>0</v>
      </c>
      <c r="H3234" s="152">
        <v>0</v>
      </c>
      <c r="I3234" s="152">
        <v>0</v>
      </c>
      <c r="J3234" s="152">
        <v>0</v>
      </c>
    </row>
    <row r="3235" spans="1:10">
      <c r="A3235" s="79" t="s">
        <v>106</v>
      </c>
      <c r="B3235" s="79" t="s">
        <v>34</v>
      </c>
      <c r="C3235" s="148">
        <v>0.74513888888888902</v>
      </c>
      <c r="D3235" s="152">
        <v>0</v>
      </c>
      <c r="E3235" s="152">
        <v>0</v>
      </c>
      <c r="F3235" s="152">
        <v>0</v>
      </c>
      <c r="G3235" s="152">
        <v>0</v>
      </c>
      <c r="H3235" s="152">
        <v>0</v>
      </c>
      <c r="I3235" s="152">
        <v>0</v>
      </c>
      <c r="J3235" s="152">
        <v>0</v>
      </c>
    </row>
    <row r="3236" spans="1:10">
      <c r="A3236" s="79" t="s">
        <v>106</v>
      </c>
      <c r="B3236" s="79" t="s">
        <v>34</v>
      </c>
      <c r="C3236" s="148">
        <v>0.74583333333333302</v>
      </c>
      <c r="D3236" s="152">
        <v>0</v>
      </c>
      <c r="E3236" s="152">
        <v>0</v>
      </c>
      <c r="F3236" s="152">
        <v>0</v>
      </c>
      <c r="G3236" s="152">
        <v>0</v>
      </c>
      <c r="H3236" s="152">
        <v>0</v>
      </c>
      <c r="I3236" s="152">
        <v>0</v>
      </c>
      <c r="J3236" s="152">
        <v>0</v>
      </c>
    </row>
    <row r="3237" spans="1:10">
      <c r="A3237" s="79" t="s">
        <v>106</v>
      </c>
      <c r="B3237" s="79" t="s">
        <v>34</v>
      </c>
      <c r="C3237" s="148">
        <v>0.74652777777777701</v>
      </c>
      <c r="D3237" s="152">
        <v>0</v>
      </c>
      <c r="E3237" s="152">
        <v>0</v>
      </c>
      <c r="F3237" s="152">
        <v>0</v>
      </c>
      <c r="G3237" s="152">
        <v>0</v>
      </c>
      <c r="H3237" s="152">
        <v>0</v>
      </c>
      <c r="I3237" s="152">
        <v>0</v>
      </c>
      <c r="J3237" s="152">
        <v>0</v>
      </c>
    </row>
    <row r="3238" spans="1:10">
      <c r="A3238" s="79" t="s">
        <v>106</v>
      </c>
      <c r="B3238" s="79" t="s">
        <v>34</v>
      </c>
      <c r="C3238" s="148">
        <v>0.74722222222222201</v>
      </c>
      <c r="D3238" s="152">
        <v>0</v>
      </c>
      <c r="E3238" s="152">
        <v>0</v>
      </c>
      <c r="F3238" s="152">
        <v>0</v>
      </c>
      <c r="G3238" s="152">
        <v>0</v>
      </c>
      <c r="H3238" s="152">
        <v>0</v>
      </c>
      <c r="I3238" s="152">
        <v>0</v>
      </c>
      <c r="J3238" s="152">
        <v>0</v>
      </c>
    </row>
    <row r="3239" spans="1:10">
      <c r="A3239" s="79" t="s">
        <v>106</v>
      </c>
      <c r="B3239" s="79" t="s">
        <v>34</v>
      </c>
      <c r="C3239" s="148">
        <v>0.74791666666666601</v>
      </c>
      <c r="D3239" s="152">
        <v>0</v>
      </c>
      <c r="E3239" s="152">
        <v>0</v>
      </c>
      <c r="F3239" s="152">
        <v>0</v>
      </c>
      <c r="G3239" s="152">
        <v>0</v>
      </c>
      <c r="H3239" s="152">
        <v>0</v>
      </c>
      <c r="I3239" s="152">
        <v>0</v>
      </c>
      <c r="J3239" s="152">
        <v>0</v>
      </c>
    </row>
    <row r="3240" spans="1:10">
      <c r="A3240" s="79" t="s">
        <v>106</v>
      </c>
      <c r="B3240" s="79" t="s">
        <v>34</v>
      </c>
      <c r="C3240" s="148">
        <v>0.74861111111111101</v>
      </c>
      <c r="D3240" s="152">
        <v>0</v>
      </c>
      <c r="E3240" s="152">
        <v>0</v>
      </c>
      <c r="F3240" s="152">
        <v>0</v>
      </c>
      <c r="G3240" s="152">
        <v>0</v>
      </c>
      <c r="H3240" s="152">
        <v>0</v>
      </c>
      <c r="I3240" s="152">
        <v>0</v>
      </c>
      <c r="J3240" s="152">
        <v>0</v>
      </c>
    </row>
    <row r="3241" spans="1:10" s="28" customFormat="1" ht="17.5" thickBot="1">
      <c r="A3241" s="97" t="s">
        <v>106</v>
      </c>
      <c r="B3241" s="97" t="s">
        <v>34</v>
      </c>
      <c r="C3241" s="149">
        <v>0.749305555555555</v>
      </c>
      <c r="D3241" s="155">
        <v>0</v>
      </c>
      <c r="E3241" s="155">
        <v>0</v>
      </c>
      <c r="F3241" s="155">
        <v>0</v>
      </c>
      <c r="G3241" s="155">
        <v>0</v>
      </c>
      <c r="H3241" s="155">
        <v>0</v>
      </c>
      <c r="I3241" s="155">
        <v>0</v>
      </c>
      <c r="J3241" s="155">
        <v>0</v>
      </c>
    </row>
    <row r="3242" spans="1:10">
      <c r="A3242" s="79" t="s">
        <v>106</v>
      </c>
      <c r="B3242" s="79" t="s">
        <v>35</v>
      </c>
      <c r="C3242" s="148">
        <v>0.66666666666666663</v>
      </c>
      <c r="D3242" s="151">
        <v>0</v>
      </c>
      <c r="E3242" s="151">
        <v>0</v>
      </c>
      <c r="F3242" s="151">
        <v>0</v>
      </c>
      <c r="G3242" s="151">
        <v>0</v>
      </c>
      <c r="H3242" s="151">
        <v>0</v>
      </c>
      <c r="I3242" s="151">
        <v>0</v>
      </c>
      <c r="J3242" s="151">
        <v>0</v>
      </c>
    </row>
    <row r="3243" spans="1:10">
      <c r="A3243" s="79" t="s">
        <v>106</v>
      </c>
      <c r="B3243" s="79" t="s">
        <v>35</v>
      </c>
      <c r="C3243" s="148">
        <v>0.66736111111111107</v>
      </c>
      <c r="D3243" s="152">
        <v>0</v>
      </c>
      <c r="E3243" s="152">
        <v>0</v>
      </c>
      <c r="F3243" s="152">
        <v>0</v>
      </c>
      <c r="G3243" s="152">
        <v>0</v>
      </c>
      <c r="H3243" s="152">
        <v>0</v>
      </c>
      <c r="I3243" s="152">
        <v>0</v>
      </c>
      <c r="J3243" s="152">
        <v>0</v>
      </c>
    </row>
    <row r="3244" spans="1:10">
      <c r="A3244" s="79" t="s">
        <v>106</v>
      </c>
      <c r="B3244" s="79" t="s">
        <v>35</v>
      </c>
      <c r="C3244" s="148">
        <v>0.66805555555555596</v>
      </c>
      <c r="D3244" s="152">
        <v>0</v>
      </c>
      <c r="E3244" s="152">
        <v>0</v>
      </c>
      <c r="F3244" s="152">
        <v>0</v>
      </c>
      <c r="G3244" s="152">
        <v>0</v>
      </c>
      <c r="H3244" s="152">
        <v>0</v>
      </c>
      <c r="I3244" s="152">
        <v>0</v>
      </c>
      <c r="J3244" s="152">
        <v>0</v>
      </c>
    </row>
    <row r="3245" spans="1:10">
      <c r="A3245" s="79" t="s">
        <v>106</v>
      </c>
      <c r="B3245" s="79" t="s">
        <v>35</v>
      </c>
      <c r="C3245" s="148">
        <v>0.66874999999999996</v>
      </c>
      <c r="D3245" s="152">
        <v>0</v>
      </c>
      <c r="E3245" s="152">
        <v>0</v>
      </c>
      <c r="F3245" s="152">
        <v>0</v>
      </c>
      <c r="G3245" s="152">
        <v>0</v>
      </c>
      <c r="H3245" s="152">
        <v>0</v>
      </c>
      <c r="I3245" s="152">
        <v>0</v>
      </c>
      <c r="J3245" s="152">
        <v>0</v>
      </c>
    </row>
    <row r="3246" spans="1:10">
      <c r="A3246" s="79" t="s">
        <v>106</v>
      </c>
      <c r="B3246" s="79" t="s">
        <v>35</v>
      </c>
      <c r="C3246" s="148">
        <v>0.66944444444444395</v>
      </c>
      <c r="D3246" s="152">
        <v>0</v>
      </c>
      <c r="E3246" s="152">
        <v>0</v>
      </c>
      <c r="F3246" s="152">
        <v>0</v>
      </c>
      <c r="G3246" s="152">
        <v>0</v>
      </c>
      <c r="H3246" s="152">
        <v>0</v>
      </c>
      <c r="I3246" s="152">
        <v>0</v>
      </c>
      <c r="J3246" s="152">
        <v>0</v>
      </c>
    </row>
    <row r="3247" spans="1:10">
      <c r="A3247" s="79" t="s">
        <v>106</v>
      </c>
      <c r="B3247" s="79" t="s">
        <v>35</v>
      </c>
      <c r="C3247" s="148">
        <v>0.67013888888888895</v>
      </c>
      <c r="D3247" s="152">
        <v>0</v>
      </c>
      <c r="E3247" s="152">
        <v>0</v>
      </c>
      <c r="F3247" s="152">
        <v>0</v>
      </c>
      <c r="G3247" s="152">
        <v>0</v>
      </c>
      <c r="H3247" s="152">
        <v>0</v>
      </c>
      <c r="I3247" s="152">
        <v>0</v>
      </c>
      <c r="J3247" s="152">
        <v>0</v>
      </c>
    </row>
    <row r="3248" spans="1:10">
      <c r="A3248" s="79" t="s">
        <v>106</v>
      </c>
      <c r="B3248" s="79" t="s">
        <v>35</v>
      </c>
      <c r="C3248" s="148">
        <v>0.67083333333333295</v>
      </c>
      <c r="D3248" s="152">
        <v>0</v>
      </c>
      <c r="E3248" s="152">
        <v>0</v>
      </c>
      <c r="F3248" s="152">
        <v>0</v>
      </c>
      <c r="G3248" s="152">
        <v>0</v>
      </c>
      <c r="H3248" s="152">
        <v>0</v>
      </c>
      <c r="I3248" s="152">
        <v>0</v>
      </c>
      <c r="J3248" s="152">
        <v>0</v>
      </c>
    </row>
    <row r="3249" spans="1:10">
      <c r="A3249" s="79" t="s">
        <v>106</v>
      </c>
      <c r="B3249" s="79" t="s">
        <v>35</v>
      </c>
      <c r="C3249" s="148">
        <v>0.67152777777777795</v>
      </c>
      <c r="D3249" s="152">
        <v>0</v>
      </c>
      <c r="E3249" s="152">
        <v>0</v>
      </c>
      <c r="F3249" s="152">
        <v>0</v>
      </c>
      <c r="G3249" s="152">
        <v>0</v>
      </c>
      <c r="H3249" s="152">
        <v>0</v>
      </c>
      <c r="I3249" s="152">
        <v>0</v>
      </c>
      <c r="J3249" s="152">
        <v>0</v>
      </c>
    </row>
    <row r="3250" spans="1:10">
      <c r="A3250" s="79" t="s">
        <v>106</v>
      </c>
      <c r="B3250" s="79" t="s">
        <v>35</v>
      </c>
      <c r="C3250" s="148">
        <v>0.67222222222222205</v>
      </c>
      <c r="D3250" s="152">
        <v>0</v>
      </c>
      <c r="E3250" s="152">
        <v>0</v>
      </c>
      <c r="F3250" s="152">
        <v>0</v>
      </c>
      <c r="G3250" s="152">
        <v>0</v>
      </c>
      <c r="H3250" s="152">
        <v>0</v>
      </c>
      <c r="I3250" s="152">
        <v>0</v>
      </c>
      <c r="J3250" s="152">
        <v>0</v>
      </c>
    </row>
    <row r="3251" spans="1:10">
      <c r="A3251" s="79" t="s">
        <v>106</v>
      </c>
      <c r="B3251" s="79" t="s">
        <v>35</v>
      </c>
      <c r="C3251" s="148">
        <v>0.67291666666666705</v>
      </c>
      <c r="D3251" s="152">
        <v>0</v>
      </c>
      <c r="E3251" s="152">
        <v>0</v>
      </c>
      <c r="F3251" s="152">
        <v>0</v>
      </c>
      <c r="G3251" s="152">
        <v>0</v>
      </c>
      <c r="H3251" s="152">
        <v>0</v>
      </c>
      <c r="I3251" s="152">
        <v>0</v>
      </c>
      <c r="J3251" s="152">
        <v>0</v>
      </c>
    </row>
    <row r="3252" spans="1:10">
      <c r="A3252" s="79" t="s">
        <v>106</v>
      </c>
      <c r="B3252" s="79" t="s">
        <v>35</v>
      </c>
      <c r="C3252" s="148">
        <v>0.67361111111111105</v>
      </c>
      <c r="D3252" s="152">
        <v>0</v>
      </c>
      <c r="E3252" s="152">
        <v>0</v>
      </c>
      <c r="F3252" s="152">
        <v>0</v>
      </c>
      <c r="G3252" s="152">
        <v>0</v>
      </c>
      <c r="H3252" s="152">
        <v>0</v>
      </c>
      <c r="I3252" s="152">
        <v>0</v>
      </c>
      <c r="J3252" s="152">
        <v>0</v>
      </c>
    </row>
    <row r="3253" spans="1:10">
      <c r="A3253" s="79" t="s">
        <v>106</v>
      </c>
      <c r="B3253" s="79" t="s">
        <v>35</v>
      </c>
      <c r="C3253" s="148">
        <v>0.67430555555555505</v>
      </c>
      <c r="D3253" s="152">
        <v>0</v>
      </c>
      <c r="E3253" s="152">
        <v>0</v>
      </c>
      <c r="F3253" s="152">
        <v>0</v>
      </c>
      <c r="G3253" s="152">
        <v>0</v>
      </c>
      <c r="H3253" s="152">
        <v>0</v>
      </c>
      <c r="I3253" s="152">
        <v>0</v>
      </c>
      <c r="J3253" s="152">
        <v>0</v>
      </c>
    </row>
    <row r="3254" spans="1:10">
      <c r="A3254" s="79" t="s">
        <v>106</v>
      </c>
      <c r="B3254" s="79" t="s">
        <v>35</v>
      </c>
      <c r="C3254" s="148">
        <v>0.67500000000000004</v>
      </c>
      <c r="D3254" s="152">
        <v>0</v>
      </c>
      <c r="E3254" s="152">
        <v>0</v>
      </c>
      <c r="F3254" s="152">
        <v>0</v>
      </c>
      <c r="G3254" s="152">
        <v>0</v>
      </c>
      <c r="H3254" s="152">
        <v>0</v>
      </c>
      <c r="I3254" s="152">
        <v>0</v>
      </c>
      <c r="J3254" s="152">
        <v>0</v>
      </c>
    </row>
    <row r="3255" spans="1:10">
      <c r="A3255" s="79" t="s">
        <v>106</v>
      </c>
      <c r="B3255" s="79" t="s">
        <v>35</v>
      </c>
      <c r="C3255" s="148">
        <v>0.67569444444444404</v>
      </c>
      <c r="D3255" s="152">
        <v>0</v>
      </c>
      <c r="E3255" s="152">
        <v>0</v>
      </c>
      <c r="F3255" s="152">
        <v>0</v>
      </c>
      <c r="G3255" s="152">
        <v>0</v>
      </c>
      <c r="H3255" s="152">
        <v>0</v>
      </c>
      <c r="I3255" s="152">
        <v>0</v>
      </c>
      <c r="J3255" s="152">
        <v>0</v>
      </c>
    </row>
    <row r="3256" spans="1:10" s="78" customFormat="1">
      <c r="A3256" s="82" t="s">
        <v>106</v>
      </c>
      <c r="B3256" s="82" t="s">
        <v>35</v>
      </c>
      <c r="C3256" s="150">
        <v>0.67638888888888904</v>
      </c>
      <c r="D3256" s="153">
        <v>0</v>
      </c>
      <c r="E3256" s="153">
        <v>0</v>
      </c>
      <c r="F3256" s="153">
        <v>0</v>
      </c>
      <c r="G3256" s="153">
        <v>0</v>
      </c>
      <c r="H3256" s="153">
        <v>0</v>
      </c>
      <c r="I3256" s="153">
        <v>0</v>
      </c>
      <c r="J3256" s="153">
        <v>0</v>
      </c>
    </row>
    <row r="3257" spans="1:10">
      <c r="A3257" s="79" t="s">
        <v>106</v>
      </c>
      <c r="B3257" s="79" t="s">
        <v>35</v>
      </c>
      <c r="C3257" s="148">
        <v>0.67708333333333304</v>
      </c>
      <c r="D3257" s="154">
        <v>0</v>
      </c>
      <c r="E3257" s="154">
        <v>0</v>
      </c>
      <c r="F3257" s="154">
        <v>0</v>
      </c>
      <c r="G3257" s="154">
        <v>0</v>
      </c>
      <c r="H3257" s="154">
        <v>0</v>
      </c>
      <c r="I3257" s="154">
        <v>0</v>
      </c>
      <c r="J3257" s="154">
        <v>0</v>
      </c>
    </row>
    <row r="3258" spans="1:10">
      <c r="A3258" s="79" t="s">
        <v>106</v>
      </c>
      <c r="B3258" s="79" t="s">
        <v>35</v>
      </c>
      <c r="C3258" s="148">
        <v>0.67777777777777803</v>
      </c>
      <c r="D3258" s="152">
        <v>0</v>
      </c>
      <c r="E3258" s="152">
        <v>0</v>
      </c>
      <c r="F3258" s="152">
        <v>0</v>
      </c>
      <c r="G3258" s="152">
        <v>0</v>
      </c>
      <c r="H3258" s="152">
        <v>0</v>
      </c>
      <c r="I3258" s="152">
        <v>0</v>
      </c>
      <c r="J3258" s="152">
        <v>0</v>
      </c>
    </row>
    <row r="3259" spans="1:10">
      <c r="A3259" s="79" t="s">
        <v>106</v>
      </c>
      <c r="B3259" s="79" t="s">
        <v>35</v>
      </c>
      <c r="C3259" s="148">
        <v>0.67847222222222203</v>
      </c>
      <c r="D3259" s="152">
        <v>0</v>
      </c>
      <c r="E3259" s="152">
        <v>0</v>
      </c>
      <c r="F3259" s="152">
        <v>0</v>
      </c>
      <c r="G3259" s="152">
        <v>0</v>
      </c>
      <c r="H3259" s="152">
        <v>0</v>
      </c>
      <c r="I3259" s="152">
        <v>0</v>
      </c>
      <c r="J3259" s="152">
        <v>0</v>
      </c>
    </row>
    <row r="3260" spans="1:10">
      <c r="A3260" s="79" t="s">
        <v>106</v>
      </c>
      <c r="B3260" s="79" t="s">
        <v>35</v>
      </c>
      <c r="C3260" s="148">
        <v>0.67916666666666703</v>
      </c>
      <c r="D3260" s="152">
        <v>0</v>
      </c>
      <c r="E3260" s="152">
        <v>0</v>
      </c>
      <c r="F3260" s="152">
        <v>0</v>
      </c>
      <c r="G3260" s="152">
        <v>0</v>
      </c>
      <c r="H3260" s="152">
        <v>0</v>
      </c>
      <c r="I3260" s="152">
        <v>0</v>
      </c>
      <c r="J3260" s="152">
        <v>0</v>
      </c>
    </row>
    <row r="3261" spans="1:10">
      <c r="A3261" s="79" t="s">
        <v>106</v>
      </c>
      <c r="B3261" s="79" t="s">
        <v>35</v>
      </c>
      <c r="C3261" s="148">
        <v>0.67986111111111103</v>
      </c>
      <c r="D3261" s="152">
        <v>0</v>
      </c>
      <c r="E3261" s="152">
        <v>0</v>
      </c>
      <c r="F3261" s="152">
        <v>0</v>
      </c>
      <c r="G3261" s="152">
        <v>0</v>
      </c>
      <c r="H3261" s="152">
        <v>0</v>
      </c>
      <c r="I3261" s="152">
        <v>0</v>
      </c>
      <c r="J3261" s="152">
        <v>0</v>
      </c>
    </row>
    <row r="3262" spans="1:10">
      <c r="A3262" s="79" t="s">
        <v>106</v>
      </c>
      <c r="B3262" s="79" t="s">
        <v>35</v>
      </c>
      <c r="C3262" s="148">
        <v>0.68055555555555503</v>
      </c>
      <c r="D3262" s="152">
        <v>0</v>
      </c>
      <c r="E3262" s="152">
        <v>0</v>
      </c>
      <c r="F3262" s="152">
        <v>0</v>
      </c>
      <c r="G3262" s="152">
        <v>0</v>
      </c>
      <c r="H3262" s="152">
        <v>0</v>
      </c>
      <c r="I3262" s="152">
        <v>0</v>
      </c>
      <c r="J3262" s="152">
        <v>0</v>
      </c>
    </row>
    <row r="3263" spans="1:10">
      <c r="A3263" s="79" t="s">
        <v>106</v>
      </c>
      <c r="B3263" s="79" t="s">
        <v>35</v>
      </c>
      <c r="C3263" s="148">
        <v>0.68125000000000002</v>
      </c>
      <c r="D3263" s="152">
        <v>0</v>
      </c>
      <c r="E3263" s="152">
        <v>0</v>
      </c>
      <c r="F3263" s="152">
        <v>0</v>
      </c>
      <c r="G3263" s="152">
        <v>0</v>
      </c>
      <c r="H3263" s="152">
        <v>0</v>
      </c>
      <c r="I3263" s="152">
        <v>0</v>
      </c>
      <c r="J3263" s="152">
        <v>0</v>
      </c>
    </row>
    <row r="3264" spans="1:10">
      <c r="A3264" s="79" t="s">
        <v>106</v>
      </c>
      <c r="B3264" s="79" t="s">
        <v>35</v>
      </c>
      <c r="C3264" s="148">
        <v>0.68194444444444402</v>
      </c>
      <c r="D3264" s="152">
        <v>0</v>
      </c>
      <c r="E3264" s="152">
        <v>0</v>
      </c>
      <c r="F3264" s="152">
        <v>0</v>
      </c>
      <c r="G3264" s="152">
        <v>0</v>
      </c>
      <c r="H3264" s="152">
        <v>0</v>
      </c>
      <c r="I3264" s="152">
        <v>0</v>
      </c>
      <c r="J3264" s="152">
        <v>0</v>
      </c>
    </row>
    <row r="3265" spans="1:10">
      <c r="A3265" s="79" t="s">
        <v>106</v>
      </c>
      <c r="B3265" s="79" t="s">
        <v>35</v>
      </c>
      <c r="C3265" s="148">
        <v>0.68263888888888902</v>
      </c>
      <c r="D3265" s="152">
        <v>0</v>
      </c>
      <c r="E3265" s="152">
        <v>0</v>
      </c>
      <c r="F3265" s="152">
        <v>0</v>
      </c>
      <c r="G3265" s="152">
        <v>0</v>
      </c>
      <c r="H3265" s="152">
        <v>0</v>
      </c>
      <c r="I3265" s="152">
        <v>0</v>
      </c>
      <c r="J3265" s="152">
        <v>0</v>
      </c>
    </row>
    <row r="3266" spans="1:10">
      <c r="A3266" s="79" t="s">
        <v>106</v>
      </c>
      <c r="B3266" s="79" t="s">
        <v>35</v>
      </c>
      <c r="C3266" s="148">
        <v>0.68333333333333302</v>
      </c>
      <c r="D3266" s="152">
        <v>0</v>
      </c>
      <c r="E3266" s="152">
        <v>0</v>
      </c>
      <c r="F3266" s="152">
        <v>0</v>
      </c>
      <c r="G3266" s="152">
        <v>0</v>
      </c>
      <c r="H3266" s="152">
        <v>0</v>
      </c>
      <c r="I3266" s="152">
        <v>0</v>
      </c>
      <c r="J3266" s="152">
        <v>0</v>
      </c>
    </row>
    <row r="3267" spans="1:10">
      <c r="A3267" s="79" t="s">
        <v>106</v>
      </c>
      <c r="B3267" s="79" t="s">
        <v>35</v>
      </c>
      <c r="C3267" s="148">
        <v>0.68402777777777801</v>
      </c>
      <c r="D3267" s="152">
        <v>0</v>
      </c>
      <c r="E3267" s="152">
        <v>0</v>
      </c>
      <c r="F3267" s="152">
        <v>0</v>
      </c>
      <c r="G3267" s="152">
        <v>0</v>
      </c>
      <c r="H3267" s="152">
        <v>0</v>
      </c>
      <c r="I3267" s="152">
        <v>0</v>
      </c>
      <c r="J3267" s="152">
        <v>0</v>
      </c>
    </row>
    <row r="3268" spans="1:10">
      <c r="A3268" s="79" t="s">
        <v>106</v>
      </c>
      <c r="B3268" s="79" t="s">
        <v>35</v>
      </c>
      <c r="C3268" s="148">
        <v>0.68472222222222201</v>
      </c>
      <c r="D3268" s="152">
        <v>0</v>
      </c>
      <c r="E3268" s="152">
        <v>0</v>
      </c>
      <c r="F3268" s="152">
        <v>0</v>
      </c>
      <c r="G3268" s="152">
        <v>0</v>
      </c>
      <c r="H3268" s="152">
        <v>0</v>
      </c>
      <c r="I3268" s="152">
        <v>0</v>
      </c>
      <c r="J3268" s="152">
        <v>0</v>
      </c>
    </row>
    <row r="3269" spans="1:10">
      <c r="A3269" s="79" t="s">
        <v>106</v>
      </c>
      <c r="B3269" s="79" t="s">
        <v>35</v>
      </c>
      <c r="C3269" s="148">
        <v>0.68541666666666701</v>
      </c>
      <c r="D3269" s="152">
        <v>0</v>
      </c>
      <c r="E3269" s="152">
        <v>0</v>
      </c>
      <c r="F3269" s="152">
        <v>0</v>
      </c>
      <c r="G3269" s="152">
        <v>0</v>
      </c>
      <c r="H3269" s="152">
        <v>0</v>
      </c>
      <c r="I3269" s="152">
        <v>0</v>
      </c>
      <c r="J3269" s="152">
        <v>0</v>
      </c>
    </row>
    <row r="3270" spans="1:10">
      <c r="A3270" s="79" t="s">
        <v>106</v>
      </c>
      <c r="B3270" s="79" t="s">
        <v>35</v>
      </c>
      <c r="C3270" s="148">
        <v>0.68611111111111101</v>
      </c>
      <c r="D3270" s="152">
        <v>0</v>
      </c>
      <c r="E3270" s="152">
        <v>0</v>
      </c>
      <c r="F3270" s="152">
        <v>0</v>
      </c>
      <c r="G3270" s="152">
        <v>0</v>
      </c>
      <c r="H3270" s="152">
        <v>0</v>
      </c>
      <c r="I3270" s="152">
        <v>0</v>
      </c>
      <c r="J3270" s="152">
        <v>0</v>
      </c>
    </row>
    <row r="3271" spans="1:10" s="78" customFormat="1">
      <c r="A3271" s="82" t="s">
        <v>106</v>
      </c>
      <c r="B3271" s="82" t="s">
        <v>35</v>
      </c>
      <c r="C3271" s="150">
        <v>0.686805555555555</v>
      </c>
      <c r="D3271" s="153">
        <v>0</v>
      </c>
      <c r="E3271" s="153">
        <v>0</v>
      </c>
      <c r="F3271" s="153">
        <v>0</v>
      </c>
      <c r="G3271" s="153">
        <v>0</v>
      </c>
      <c r="H3271" s="153">
        <v>0</v>
      </c>
      <c r="I3271" s="153">
        <v>0</v>
      </c>
      <c r="J3271" s="153">
        <v>0</v>
      </c>
    </row>
    <row r="3272" spans="1:10">
      <c r="A3272" s="79" t="s">
        <v>106</v>
      </c>
      <c r="B3272" s="79" t="s">
        <v>35</v>
      </c>
      <c r="C3272" s="148">
        <v>0.6875</v>
      </c>
      <c r="D3272" s="154">
        <v>0</v>
      </c>
      <c r="E3272" s="154">
        <v>0</v>
      </c>
      <c r="F3272" s="154">
        <v>0</v>
      </c>
      <c r="G3272" s="154">
        <v>0</v>
      </c>
      <c r="H3272" s="154">
        <v>0</v>
      </c>
      <c r="I3272" s="154">
        <v>0</v>
      </c>
      <c r="J3272" s="154">
        <v>0</v>
      </c>
    </row>
    <row r="3273" spans="1:10">
      <c r="A3273" s="79" t="s">
        <v>106</v>
      </c>
      <c r="B3273" s="79" t="s">
        <v>35</v>
      </c>
      <c r="C3273" s="148">
        <v>0.688194444444444</v>
      </c>
      <c r="D3273" s="152">
        <v>0</v>
      </c>
      <c r="E3273" s="152">
        <v>0</v>
      </c>
      <c r="F3273" s="152">
        <v>0</v>
      </c>
      <c r="G3273" s="152">
        <v>0</v>
      </c>
      <c r="H3273" s="152">
        <v>0</v>
      </c>
      <c r="I3273" s="152">
        <v>0</v>
      </c>
      <c r="J3273" s="152">
        <v>0</v>
      </c>
    </row>
    <row r="3274" spans="1:10">
      <c r="A3274" s="79" t="s">
        <v>106</v>
      </c>
      <c r="B3274" s="79" t="s">
        <v>35</v>
      </c>
      <c r="C3274" s="148">
        <v>0.68888888888888899</v>
      </c>
      <c r="D3274" s="152">
        <v>0</v>
      </c>
      <c r="E3274" s="152">
        <v>0</v>
      </c>
      <c r="F3274" s="152">
        <v>0</v>
      </c>
      <c r="G3274" s="152">
        <v>0</v>
      </c>
      <c r="H3274" s="152">
        <v>0</v>
      </c>
      <c r="I3274" s="152">
        <v>0</v>
      </c>
      <c r="J3274" s="152">
        <v>0</v>
      </c>
    </row>
    <row r="3275" spans="1:10">
      <c r="A3275" s="79" t="s">
        <v>106</v>
      </c>
      <c r="B3275" s="79" t="s">
        <v>35</v>
      </c>
      <c r="C3275" s="148">
        <v>0.68958333333333299</v>
      </c>
      <c r="D3275" s="152">
        <v>0</v>
      </c>
      <c r="E3275" s="152">
        <v>0</v>
      </c>
      <c r="F3275" s="152">
        <v>0</v>
      </c>
      <c r="G3275" s="152">
        <v>0</v>
      </c>
      <c r="H3275" s="152">
        <v>0</v>
      </c>
      <c r="I3275" s="152">
        <v>0</v>
      </c>
      <c r="J3275" s="152">
        <v>0</v>
      </c>
    </row>
    <row r="3276" spans="1:10">
      <c r="A3276" s="79" t="s">
        <v>106</v>
      </c>
      <c r="B3276" s="79" t="s">
        <v>35</v>
      </c>
      <c r="C3276" s="148">
        <v>0.69027777777777799</v>
      </c>
      <c r="D3276" s="152">
        <v>0</v>
      </c>
      <c r="E3276" s="152">
        <v>0</v>
      </c>
      <c r="F3276" s="152">
        <v>0</v>
      </c>
      <c r="G3276" s="152">
        <v>0</v>
      </c>
      <c r="H3276" s="152">
        <v>0</v>
      </c>
      <c r="I3276" s="152">
        <v>0</v>
      </c>
      <c r="J3276" s="152">
        <v>0</v>
      </c>
    </row>
    <row r="3277" spans="1:10">
      <c r="A3277" s="79" t="s">
        <v>106</v>
      </c>
      <c r="B3277" s="79" t="s">
        <v>35</v>
      </c>
      <c r="C3277" s="148">
        <v>0.69097222222222199</v>
      </c>
      <c r="D3277" s="152">
        <v>0</v>
      </c>
      <c r="E3277" s="152">
        <v>0</v>
      </c>
      <c r="F3277" s="152">
        <v>0</v>
      </c>
      <c r="G3277" s="152">
        <v>0</v>
      </c>
      <c r="H3277" s="152">
        <v>0</v>
      </c>
      <c r="I3277" s="152">
        <v>0</v>
      </c>
      <c r="J3277" s="152">
        <v>0</v>
      </c>
    </row>
    <row r="3278" spans="1:10">
      <c r="A3278" s="79" t="s">
        <v>106</v>
      </c>
      <c r="B3278" s="79" t="s">
        <v>35</v>
      </c>
      <c r="C3278" s="148">
        <v>0.69166666666666698</v>
      </c>
      <c r="D3278" s="152">
        <v>0</v>
      </c>
      <c r="E3278" s="152">
        <v>0</v>
      </c>
      <c r="F3278" s="152">
        <v>0</v>
      </c>
      <c r="G3278" s="152">
        <v>0</v>
      </c>
      <c r="H3278" s="152">
        <v>0</v>
      </c>
      <c r="I3278" s="152">
        <v>0</v>
      </c>
      <c r="J3278" s="152">
        <v>0</v>
      </c>
    </row>
    <row r="3279" spans="1:10">
      <c r="A3279" s="79" t="s">
        <v>106</v>
      </c>
      <c r="B3279" s="79" t="s">
        <v>35</v>
      </c>
      <c r="C3279" s="148">
        <v>0.69236111111111098</v>
      </c>
      <c r="D3279" s="152">
        <v>0</v>
      </c>
      <c r="E3279" s="152">
        <v>0</v>
      </c>
      <c r="F3279" s="152">
        <v>0</v>
      </c>
      <c r="G3279" s="152">
        <v>0</v>
      </c>
      <c r="H3279" s="152">
        <v>0</v>
      </c>
      <c r="I3279" s="152">
        <v>0</v>
      </c>
      <c r="J3279" s="152">
        <v>0</v>
      </c>
    </row>
    <row r="3280" spans="1:10">
      <c r="A3280" s="79" t="s">
        <v>106</v>
      </c>
      <c r="B3280" s="79" t="s">
        <v>35</v>
      </c>
      <c r="C3280" s="148">
        <v>0.69305555555555498</v>
      </c>
      <c r="D3280" s="152">
        <v>0</v>
      </c>
      <c r="E3280" s="152">
        <v>0</v>
      </c>
      <c r="F3280" s="152">
        <v>0</v>
      </c>
      <c r="G3280" s="152">
        <v>0</v>
      </c>
      <c r="H3280" s="152">
        <v>0</v>
      </c>
      <c r="I3280" s="152">
        <v>0</v>
      </c>
      <c r="J3280" s="152">
        <v>0</v>
      </c>
    </row>
    <row r="3281" spans="1:10">
      <c r="A3281" s="79" t="s">
        <v>106</v>
      </c>
      <c r="B3281" s="79" t="s">
        <v>35</v>
      </c>
      <c r="C3281" s="148">
        <v>0.69374999999999998</v>
      </c>
      <c r="D3281" s="152">
        <v>0</v>
      </c>
      <c r="E3281" s="152">
        <v>0</v>
      </c>
      <c r="F3281" s="152">
        <v>0</v>
      </c>
      <c r="G3281" s="152">
        <v>0</v>
      </c>
      <c r="H3281" s="152">
        <v>0</v>
      </c>
      <c r="I3281" s="152">
        <v>0</v>
      </c>
      <c r="J3281" s="152">
        <v>0</v>
      </c>
    </row>
    <row r="3282" spans="1:10">
      <c r="A3282" s="79" t="s">
        <v>106</v>
      </c>
      <c r="B3282" s="79" t="s">
        <v>35</v>
      </c>
      <c r="C3282" s="148">
        <v>0.69444444444444398</v>
      </c>
      <c r="D3282" s="152">
        <v>0</v>
      </c>
      <c r="E3282" s="152">
        <v>0</v>
      </c>
      <c r="F3282" s="152">
        <v>0</v>
      </c>
      <c r="G3282" s="152">
        <v>0</v>
      </c>
      <c r="H3282" s="152">
        <v>0</v>
      </c>
      <c r="I3282" s="152">
        <v>0</v>
      </c>
      <c r="J3282" s="152">
        <v>0</v>
      </c>
    </row>
    <row r="3283" spans="1:10">
      <c r="A3283" s="79" t="s">
        <v>106</v>
      </c>
      <c r="B3283" s="79" t="s">
        <v>35</v>
      </c>
      <c r="C3283" s="148">
        <v>0.69513888888888897</v>
      </c>
      <c r="D3283" s="152">
        <v>0</v>
      </c>
      <c r="E3283" s="152">
        <v>0</v>
      </c>
      <c r="F3283" s="152">
        <v>0</v>
      </c>
      <c r="G3283" s="152">
        <v>0</v>
      </c>
      <c r="H3283" s="152">
        <v>0</v>
      </c>
      <c r="I3283" s="152">
        <v>0</v>
      </c>
      <c r="J3283" s="152">
        <v>0</v>
      </c>
    </row>
    <row r="3284" spans="1:10">
      <c r="A3284" s="79" t="s">
        <v>106</v>
      </c>
      <c r="B3284" s="79" t="s">
        <v>35</v>
      </c>
      <c r="C3284" s="148">
        <v>0.69583333333333297</v>
      </c>
      <c r="D3284" s="152">
        <v>0</v>
      </c>
      <c r="E3284" s="152">
        <v>0</v>
      </c>
      <c r="F3284" s="152">
        <v>0</v>
      </c>
      <c r="G3284" s="152">
        <v>0</v>
      </c>
      <c r="H3284" s="152">
        <v>0</v>
      </c>
      <c r="I3284" s="152">
        <v>0</v>
      </c>
      <c r="J3284" s="152">
        <v>0</v>
      </c>
    </row>
    <row r="3285" spans="1:10">
      <c r="A3285" s="79" t="s">
        <v>106</v>
      </c>
      <c r="B3285" s="79" t="s">
        <v>35</v>
      </c>
      <c r="C3285" s="148">
        <v>0.69652777777777797</v>
      </c>
      <c r="D3285" s="152">
        <v>0</v>
      </c>
      <c r="E3285" s="152">
        <v>0</v>
      </c>
      <c r="F3285" s="152">
        <v>0</v>
      </c>
      <c r="G3285" s="152">
        <v>0</v>
      </c>
      <c r="H3285" s="152">
        <v>0</v>
      </c>
      <c r="I3285" s="152">
        <v>0</v>
      </c>
      <c r="J3285" s="152">
        <v>0</v>
      </c>
    </row>
    <row r="3286" spans="1:10" s="78" customFormat="1">
      <c r="A3286" s="82" t="s">
        <v>106</v>
      </c>
      <c r="B3286" s="82" t="s">
        <v>35</v>
      </c>
      <c r="C3286" s="150">
        <v>0.69722222222222197</v>
      </c>
      <c r="D3286" s="153">
        <v>0</v>
      </c>
      <c r="E3286" s="153">
        <v>0</v>
      </c>
      <c r="F3286" s="153">
        <v>0</v>
      </c>
      <c r="G3286" s="153">
        <v>0</v>
      </c>
      <c r="H3286" s="153">
        <v>0</v>
      </c>
      <c r="I3286" s="153">
        <v>0</v>
      </c>
      <c r="J3286" s="153">
        <v>0</v>
      </c>
    </row>
    <row r="3287" spans="1:10">
      <c r="A3287" s="79" t="s">
        <v>106</v>
      </c>
      <c r="B3287" s="79" t="s">
        <v>35</v>
      </c>
      <c r="C3287" s="148">
        <v>0.69791666666666696</v>
      </c>
      <c r="D3287" s="154">
        <v>0</v>
      </c>
      <c r="E3287" s="154">
        <v>0</v>
      </c>
      <c r="F3287" s="154">
        <v>0</v>
      </c>
      <c r="G3287" s="154">
        <v>0</v>
      </c>
      <c r="H3287" s="154">
        <v>0</v>
      </c>
      <c r="I3287" s="154">
        <v>0</v>
      </c>
      <c r="J3287" s="154">
        <v>0</v>
      </c>
    </row>
    <row r="3288" spans="1:10">
      <c r="A3288" s="79" t="s">
        <v>106</v>
      </c>
      <c r="B3288" s="79" t="s">
        <v>35</v>
      </c>
      <c r="C3288" s="148">
        <v>0.69861111111111096</v>
      </c>
      <c r="D3288" s="152">
        <v>0</v>
      </c>
      <c r="E3288" s="152">
        <v>0</v>
      </c>
      <c r="F3288" s="152">
        <v>0</v>
      </c>
      <c r="G3288" s="152">
        <v>0</v>
      </c>
      <c r="H3288" s="152">
        <v>0</v>
      </c>
      <c r="I3288" s="152">
        <v>0</v>
      </c>
      <c r="J3288" s="152">
        <v>0</v>
      </c>
    </row>
    <row r="3289" spans="1:10">
      <c r="A3289" s="79" t="s">
        <v>106</v>
      </c>
      <c r="B3289" s="79" t="s">
        <v>35</v>
      </c>
      <c r="C3289" s="148">
        <v>0.69930555555555496</v>
      </c>
      <c r="D3289" s="152">
        <v>0</v>
      </c>
      <c r="E3289" s="152">
        <v>0</v>
      </c>
      <c r="F3289" s="152">
        <v>0</v>
      </c>
      <c r="G3289" s="152">
        <v>0</v>
      </c>
      <c r="H3289" s="152">
        <v>0</v>
      </c>
      <c r="I3289" s="152">
        <v>0</v>
      </c>
      <c r="J3289" s="152">
        <v>0</v>
      </c>
    </row>
    <row r="3290" spans="1:10">
      <c r="A3290" s="79" t="s">
        <v>106</v>
      </c>
      <c r="B3290" s="79" t="s">
        <v>35</v>
      </c>
      <c r="C3290" s="148">
        <v>0.7</v>
      </c>
      <c r="D3290" s="152">
        <v>0</v>
      </c>
      <c r="E3290" s="152">
        <v>0</v>
      </c>
      <c r="F3290" s="152">
        <v>0</v>
      </c>
      <c r="G3290" s="152">
        <v>0</v>
      </c>
      <c r="H3290" s="152">
        <v>0</v>
      </c>
      <c r="I3290" s="152">
        <v>0</v>
      </c>
      <c r="J3290" s="152">
        <v>0</v>
      </c>
    </row>
    <row r="3291" spans="1:10">
      <c r="A3291" s="79" t="s">
        <v>106</v>
      </c>
      <c r="B3291" s="79" t="s">
        <v>35</v>
      </c>
      <c r="C3291" s="148">
        <v>0.70069444444444395</v>
      </c>
      <c r="D3291" s="152">
        <v>0</v>
      </c>
      <c r="E3291" s="152">
        <v>0</v>
      </c>
      <c r="F3291" s="152">
        <v>0</v>
      </c>
      <c r="G3291" s="152">
        <v>0</v>
      </c>
      <c r="H3291" s="152">
        <v>0</v>
      </c>
      <c r="I3291" s="152">
        <v>0</v>
      </c>
      <c r="J3291" s="152">
        <v>0</v>
      </c>
    </row>
    <row r="3292" spans="1:10">
      <c r="A3292" s="79" t="s">
        <v>106</v>
      </c>
      <c r="B3292" s="79" t="s">
        <v>35</v>
      </c>
      <c r="C3292" s="148">
        <v>0.70138888888888895</v>
      </c>
      <c r="D3292" s="152">
        <v>0</v>
      </c>
      <c r="E3292" s="152">
        <v>0</v>
      </c>
      <c r="F3292" s="152">
        <v>0</v>
      </c>
      <c r="G3292" s="152">
        <v>0</v>
      </c>
      <c r="H3292" s="152">
        <v>0</v>
      </c>
      <c r="I3292" s="152">
        <v>0</v>
      </c>
      <c r="J3292" s="152">
        <v>0</v>
      </c>
    </row>
    <row r="3293" spans="1:10">
      <c r="A3293" s="79" t="s">
        <v>106</v>
      </c>
      <c r="B3293" s="79" t="s">
        <v>35</v>
      </c>
      <c r="C3293" s="148">
        <v>0.70208333333333295</v>
      </c>
      <c r="D3293" s="152">
        <v>0</v>
      </c>
      <c r="E3293" s="152">
        <v>0</v>
      </c>
      <c r="F3293" s="152">
        <v>0</v>
      </c>
      <c r="G3293" s="152">
        <v>0</v>
      </c>
      <c r="H3293" s="152">
        <v>0</v>
      </c>
      <c r="I3293" s="152">
        <v>0</v>
      </c>
      <c r="J3293" s="152">
        <v>0</v>
      </c>
    </row>
    <row r="3294" spans="1:10">
      <c r="A3294" s="79" t="s">
        <v>106</v>
      </c>
      <c r="B3294" s="79" t="s">
        <v>35</v>
      </c>
      <c r="C3294" s="148">
        <v>0.70277777777777795</v>
      </c>
      <c r="D3294" s="152">
        <v>0</v>
      </c>
      <c r="E3294" s="152">
        <v>0</v>
      </c>
      <c r="F3294" s="152">
        <v>0</v>
      </c>
      <c r="G3294" s="152">
        <v>0</v>
      </c>
      <c r="H3294" s="152">
        <v>0</v>
      </c>
      <c r="I3294" s="152">
        <v>0</v>
      </c>
      <c r="J3294" s="152">
        <v>0</v>
      </c>
    </row>
    <row r="3295" spans="1:10">
      <c r="A3295" s="79" t="s">
        <v>106</v>
      </c>
      <c r="B3295" s="79" t="s">
        <v>35</v>
      </c>
      <c r="C3295" s="148">
        <v>0.70347222222222205</v>
      </c>
      <c r="D3295" s="152">
        <v>0</v>
      </c>
      <c r="E3295" s="152">
        <v>0</v>
      </c>
      <c r="F3295" s="152">
        <v>0</v>
      </c>
      <c r="G3295" s="152">
        <v>0</v>
      </c>
      <c r="H3295" s="152">
        <v>0</v>
      </c>
      <c r="I3295" s="152">
        <v>0</v>
      </c>
      <c r="J3295" s="152">
        <v>0</v>
      </c>
    </row>
    <row r="3296" spans="1:10">
      <c r="A3296" s="79" t="s">
        <v>106</v>
      </c>
      <c r="B3296" s="79" t="s">
        <v>35</v>
      </c>
      <c r="C3296" s="148">
        <v>0.70416666666666605</v>
      </c>
      <c r="D3296" s="152">
        <v>0</v>
      </c>
      <c r="E3296" s="152">
        <v>0</v>
      </c>
      <c r="F3296" s="152">
        <v>0</v>
      </c>
      <c r="G3296" s="152">
        <v>0</v>
      </c>
      <c r="H3296" s="152">
        <v>0</v>
      </c>
      <c r="I3296" s="152">
        <v>0</v>
      </c>
      <c r="J3296" s="152">
        <v>0</v>
      </c>
    </row>
    <row r="3297" spans="1:10">
      <c r="A3297" s="79" t="s">
        <v>106</v>
      </c>
      <c r="B3297" s="79" t="s">
        <v>35</v>
      </c>
      <c r="C3297" s="148">
        <v>0.70486111111111105</v>
      </c>
      <c r="D3297" s="152">
        <v>0</v>
      </c>
      <c r="E3297" s="152">
        <v>0</v>
      </c>
      <c r="F3297" s="152">
        <v>0</v>
      </c>
      <c r="G3297" s="152">
        <v>0</v>
      </c>
      <c r="H3297" s="152">
        <v>0</v>
      </c>
      <c r="I3297" s="152">
        <v>0</v>
      </c>
      <c r="J3297" s="152">
        <v>0</v>
      </c>
    </row>
    <row r="3298" spans="1:10">
      <c r="A3298" s="79" t="s">
        <v>106</v>
      </c>
      <c r="B3298" s="79" t="s">
        <v>35</v>
      </c>
      <c r="C3298" s="148">
        <v>0.70555555555555505</v>
      </c>
      <c r="D3298" s="152">
        <v>0</v>
      </c>
      <c r="E3298" s="152">
        <v>0</v>
      </c>
      <c r="F3298" s="152">
        <v>0</v>
      </c>
      <c r="G3298" s="152">
        <v>0</v>
      </c>
      <c r="H3298" s="152">
        <v>0</v>
      </c>
      <c r="I3298" s="152">
        <v>0</v>
      </c>
      <c r="J3298" s="152">
        <v>0</v>
      </c>
    </row>
    <row r="3299" spans="1:10">
      <c r="A3299" s="79" t="s">
        <v>106</v>
      </c>
      <c r="B3299" s="79" t="s">
        <v>35</v>
      </c>
      <c r="C3299" s="148">
        <v>0.70625000000000004</v>
      </c>
      <c r="D3299" s="152">
        <v>0</v>
      </c>
      <c r="E3299" s="152">
        <v>0</v>
      </c>
      <c r="F3299" s="152">
        <v>0</v>
      </c>
      <c r="G3299" s="152">
        <v>0</v>
      </c>
      <c r="H3299" s="152">
        <v>0</v>
      </c>
      <c r="I3299" s="152">
        <v>0</v>
      </c>
      <c r="J3299" s="152">
        <v>0</v>
      </c>
    </row>
    <row r="3300" spans="1:10">
      <c r="A3300" s="79" t="s">
        <v>106</v>
      </c>
      <c r="B3300" s="79" t="s">
        <v>35</v>
      </c>
      <c r="C3300" s="148">
        <v>0.70694444444444404</v>
      </c>
      <c r="D3300" s="152">
        <v>0</v>
      </c>
      <c r="E3300" s="152">
        <v>0</v>
      </c>
      <c r="F3300" s="152">
        <v>0</v>
      </c>
      <c r="G3300" s="152">
        <v>0</v>
      </c>
      <c r="H3300" s="152">
        <v>0</v>
      </c>
      <c r="I3300" s="152">
        <v>0</v>
      </c>
      <c r="J3300" s="152">
        <v>0</v>
      </c>
    </row>
    <row r="3301" spans="1:10" s="78" customFormat="1">
      <c r="A3301" s="82" t="s">
        <v>106</v>
      </c>
      <c r="B3301" s="82" t="s">
        <v>35</v>
      </c>
      <c r="C3301" s="150">
        <v>0.70763888888888904</v>
      </c>
      <c r="D3301" s="153">
        <v>0</v>
      </c>
      <c r="E3301" s="153">
        <v>0</v>
      </c>
      <c r="F3301" s="153">
        <v>0</v>
      </c>
      <c r="G3301" s="153">
        <v>0</v>
      </c>
      <c r="H3301" s="153">
        <v>0</v>
      </c>
      <c r="I3301" s="153">
        <v>0</v>
      </c>
      <c r="J3301" s="153">
        <v>0</v>
      </c>
    </row>
    <row r="3302" spans="1:10">
      <c r="A3302" s="79" t="s">
        <v>106</v>
      </c>
      <c r="B3302" s="79" t="s">
        <v>35</v>
      </c>
      <c r="C3302" s="148">
        <v>0.70833333333333304</v>
      </c>
      <c r="D3302" s="154">
        <v>0</v>
      </c>
      <c r="E3302" s="154">
        <v>0</v>
      </c>
      <c r="F3302" s="154">
        <v>0</v>
      </c>
      <c r="G3302" s="154">
        <v>0</v>
      </c>
      <c r="H3302" s="154">
        <v>0</v>
      </c>
      <c r="I3302" s="154">
        <v>0</v>
      </c>
      <c r="J3302" s="154">
        <v>0</v>
      </c>
    </row>
    <row r="3303" spans="1:10">
      <c r="A3303" s="79" t="s">
        <v>106</v>
      </c>
      <c r="B3303" s="79" t="s">
        <v>35</v>
      </c>
      <c r="C3303" s="148">
        <v>0.70902777777777803</v>
      </c>
      <c r="D3303" s="152">
        <v>0</v>
      </c>
      <c r="E3303" s="152">
        <v>0</v>
      </c>
      <c r="F3303" s="152">
        <v>0</v>
      </c>
      <c r="G3303" s="152">
        <v>0</v>
      </c>
      <c r="H3303" s="152">
        <v>0</v>
      </c>
      <c r="I3303" s="152">
        <v>0</v>
      </c>
      <c r="J3303" s="152">
        <v>0</v>
      </c>
    </row>
    <row r="3304" spans="1:10">
      <c r="A3304" s="79" t="s">
        <v>106</v>
      </c>
      <c r="B3304" s="79" t="s">
        <v>35</v>
      </c>
      <c r="C3304" s="148">
        <v>0.70972222222222203</v>
      </c>
      <c r="D3304" s="152">
        <v>0</v>
      </c>
      <c r="E3304" s="152">
        <v>0</v>
      </c>
      <c r="F3304" s="152">
        <v>0</v>
      </c>
      <c r="G3304" s="152">
        <v>0</v>
      </c>
      <c r="H3304" s="152">
        <v>0</v>
      </c>
      <c r="I3304" s="152">
        <v>0</v>
      </c>
      <c r="J3304" s="152">
        <v>0</v>
      </c>
    </row>
    <row r="3305" spans="1:10">
      <c r="A3305" s="79" t="s">
        <v>106</v>
      </c>
      <c r="B3305" s="79" t="s">
        <v>35</v>
      </c>
      <c r="C3305" s="148">
        <v>0.71041666666666603</v>
      </c>
      <c r="D3305" s="152">
        <v>0</v>
      </c>
      <c r="E3305" s="152">
        <v>0</v>
      </c>
      <c r="F3305" s="152">
        <v>0</v>
      </c>
      <c r="G3305" s="152">
        <v>0</v>
      </c>
      <c r="H3305" s="152">
        <v>0</v>
      </c>
      <c r="I3305" s="152">
        <v>0</v>
      </c>
      <c r="J3305" s="152">
        <v>0</v>
      </c>
    </row>
    <row r="3306" spans="1:10">
      <c r="A3306" s="79" t="s">
        <v>106</v>
      </c>
      <c r="B3306" s="79" t="s">
        <v>35</v>
      </c>
      <c r="C3306" s="148">
        <v>0.71111111111111103</v>
      </c>
      <c r="D3306" s="152">
        <v>0</v>
      </c>
      <c r="E3306" s="152">
        <v>0</v>
      </c>
      <c r="F3306" s="152">
        <v>0</v>
      </c>
      <c r="G3306" s="152">
        <v>0</v>
      </c>
      <c r="H3306" s="152">
        <v>0</v>
      </c>
      <c r="I3306" s="152">
        <v>0</v>
      </c>
      <c r="J3306" s="152">
        <v>0</v>
      </c>
    </row>
    <row r="3307" spans="1:10">
      <c r="A3307" s="79" t="s">
        <v>106</v>
      </c>
      <c r="B3307" s="79" t="s">
        <v>35</v>
      </c>
      <c r="C3307" s="148">
        <v>0.71180555555555503</v>
      </c>
      <c r="D3307" s="152">
        <v>0</v>
      </c>
      <c r="E3307" s="152">
        <v>0</v>
      </c>
      <c r="F3307" s="152">
        <v>0</v>
      </c>
      <c r="G3307" s="152">
        <v>0</v>
      </c>
      <c r="H3307" s="152">
        <v>0</v>
      </c>
      <c r="I3307" s="152">
        <v>0</v>
      </c>
      <c r="J3307" s="152">
        <v>0</v>
      </c>
    </row>
    <row r="3308" spans="1:10">
      <c r="A3308" s="79" t="s">
        <v>106</v>
      </c>
      <c r="B3308" s="79" t="s">
        <v>35</v>
      </c>
      <c r="C3308" s="148">
        <v>0.71250000000000002</v>
      </c>
      <c r="D3308" s="152">
        <v>0</v>
      </c>
      <c r="E3308" s="152">
        <v>0</v>
      </c>
      <c r="F3308" s="152">
        <v>0</v>
      </c>
      <c r="G3308" s="152">
        <v>0</v>
      </c>
      <c r="H3308" s="152">
        <v>0</v>
      </c>
      <c r="I3308" s="152">
        <v>0</v>
      </c>
      <c r="J3308" s="152">
        <v>0</v>
      </c>
    </row>
    <row r="3309" spans="1:10">
      <c r="A3309" s="79" t="s">
        <v>106</v>
      </c>
      <c r="B3309" s="79" t="s">
        <v>35</v>
      </c>
      <c r="C3309" s="148">
        <v>0.71319444444444402</v>
      </c>
      <c r="D3309" s="152">
        <v>0</v>
      </c>
      <c r="E3309" s="152">
        <v>0</v>
      </c>
      <c r="F3309" s="152">
        <v>0</v>
      </c>
      <c r="G3309" s="152">
        <v>0</v>
      </c>
      <c r="H3309" s="152">
        <v>0</v>
      </c>
      <c r="I3309" s="152">
        <v>0</v>
      </c>
      <c r="J3309" s="152">
        <v>0</v>
      </c>
    </row>
    <row r="3310" spans="1:10">
      <c r="A3310" s="79" t="s">
        <v>106</v>
      </c>
      <c r="B3310" s="79" t="s">
        <v>35</v>
      </c>
      <c r="C3310" s="148">
        <v>0.71388888888888902</v>
      </c>
      <c r="D3310" s="152">
        <v>0</v>
      </c>
      <c r="E3310" s="152">
        <v>0</v>
      </c>
      <c r="F3310" s="152">
        <v>0</v>
      </c>
      <c r="G3310" s="152">
        <v>0</v>
      </c>
      <c r="H3310" s="152">
        <v>0</v>
      </c>
      <c r="I3310" s="152">
        <v>0</v>
      </c>
      <c r="J3310" s="152">
        <v>0</v>
      </c>
    </row>
    <row r="3311" spans="1:10">
      <c r="A3311" s="79" t="s">
        <v>106</v>
      </c>
      <c r="B3311" s="79" t="s">
        <v>35</v>
      </c>
      <c r="C3311" s="148">
        <v>0.71458333333333302</v>
      </c>
      <c r="D3311" s="152">
        <v>0</v>
      </c>
      <c r="E3311" s="152">
        <v>0</v>
      </c>
      <c r="F3311" s="152">
        <v>0</v>
      </c>
      <c r="G3311" s="152">
        <v>0</v>
      </c>
      <c r="H3311" s="152">
        <v>0</v>
      </c>
      <c r="I3311" s="152">
        <v>0</v>
      </c>
      <c r="J3311" s="152">
        <v>0</v>
      </c>
    </row>
    <row r="3312" spans="1:10">
      <c r="A3312" s="79" t="s">
        <v>106</v>
      </c>
      <c r="B3312" s="79" t="s">
        <v>35</v>
      </c>
      <c r="C3312" s="148">
        <v>0.71527777777777801</v>
      </c>
      <c r="D3312" s="152">
        <v>0</v>
      </c>
      <c r="E3312" s="152">
        <v>0</v>
      </c>
      <c r="F3312" s="152">
        <v>0</v>
      </c>
      <c r="G3312" s="152">
        <v>0</v>
      </c>
      <c r="H3312" s="152">
        <v>0</v>
      </c>
      <c r="I3312" s="152">
        <v>0</v>
      </c>
      <c r="J3312" s="152">
        <v>0</v>
      </c>
    </row>
    <row r="3313" spans="1:10">
      <c r="A3313" s="79" t="s">
        <v>106</v>
      </c>
      <c r="B3313" s="79" t="s">
        <v>35</v>
      </c>
      <c r="C3313" s="148">
        <v>0.71597222222222201</v>
      </c>
      <c r="D3313" s="152">
        <v>0</v>
      </c>
      <c r="E3313" s="152">
        <v>0</v>
      </c>
      <c r="F3313" s="152">
        <v>0</v>
      </c>
      <c r="G3313" s="152">
        <v>0</v>
      </c>
      <c r="H3313" s="152">
        <v>0</v>
      </c>
      <c r="I3313" s="152">
        <v>0</v>
      </c>
      <c r="J3313" s="152">
        <v>0</v>
      </c>
    </row>
    <row r="3314" spans="1:10">
      <c r="A3314" s="79" t="s">
        <v>106</v>
      </c>
      <c r="B3314" s="79" t="s">
        <v>35</v>
      </c>
      <c r="C3314" s="148">
        <v>0.71666666666666601</v>
      </c>
      <c r="D3314" s="152">
        <v>0</v>
      </c>
      <c r="E3314" s="152">
        <v>0</v>
      </c>
      <c r="F3314" s="152">
        <v>0</v>
      </c>
      <c r="G3314" s="152">
        <v>0</v>
      </c>
      <c r="H3314" s="152">
        <v>0</v>
      </c>
      <c r="I3314" s="152">
        <v>0</v>
      </c>
      <c r="J3314" s="152">
        <v>0</v>
      </c>
    </row>
    <row r="3315" spans="1:10">
      <c r="A3315" s="79" t="s">
        <v>106</v>
      </c>
      <c r="B3315" s="79" t="s">
        <v>35</v>
      </c>
      <c r="C3315" s="148">
        <v>0.71736111111111101</v>
      </c>
      <c r="D3315" s="152">
        <v>0</v>
      </c>
      <c r="E3315" s="152">
        <v>0</v>
      </c>
      <c r="F3315" s="152">
        <v>0</v>
      </c>
      <c r="G3315" s="152">
        <v>0</v>
      </c>
      <c r="H3315" s="152">
        <v>0</v>
      </c>
      <c r="I3315" s="152">
        <v>0</v>
      </c>
      <c r="J3315" s="152">
        <v>0</v>
      </c>
    </row>
    <row r="3316" spans="1:10" s="78" customFormat="1">
      <c r="A3316" s="82" t="s">
        <v>106</v>
      </c>
      <c r="B3316" s="82" t="s">
        <v>35</v>
      </c>
      <c r="C3316" s="150">
        <v>0.718055555555555</v>
      </c>
      <c r="D3316" s="153">
        <v>0</v>
      </c>
      <c r="E3316" s="153">
        <v>0</v>
      </c>
      <c r="F3316" s="153">
        <v>0</v>
      </c>
      <c r="G3316" s="153">
        <v>0</v>
      </c>
      <c r="H3316" s="153">
        <v>0</v>
      </c>
      <c r="I3316" s="153">
        <v>0</v>
      </c>
      <c r="J3316" s="153">
        <v>0</v>
      </c>
    </row>
    <row r="3317" spans="1:10">
      <c r="A3317" s="79" t="s">
        <v>106</v>
      </c>
      <c r="B3317" s="79" t="s">
        <v>35</v>
      </c>
      <c r="C3317" s="148">
        <v>0.71875</v>
      </c>
      <c r="D3317" s="154">
        <v>0</v>
      </c>
      <c r="E3317" s="154">
        <v>0</v>
      </c>
      <c r="F3317" s="154">
        <v>0</v>
      </c>
      <c r="G3317" s="154">
        <v>0</v>
      </c>
      <c r="H3317" s="154">
        <v>0</v>
      </c>
      <c r="I3317" s="154">
        <v>0</v>
      </c>
      <c r="J3317" s="154">
        <v>0</v>
      </c>
    </row>
    <row r="3318" spans="1:10">
      <c r="A3318" s="79" t="s">
        <v>106</v>
      </c>
      <c r="B3318" s="79" t="s">
        <v>35</v>
      </c>
      <c r="C3318" s="148">
        <v>0.719444444444444</v>
      </c>
      <c r="D3318" s="152">
        <v>0</v>
      </c>
      <c r="E3318" s="152">
        <v>0</v>
      </c>
      <c r="F3318" s="152">
        <v>0</v>
      </c>
      <c r="G3318" s="152">
        <v>0</v>
      </c>
      <c r="H3318" s="152">
        <v>0</v>
      </c>
      <c r="I3318" s="152">
        <v>0</v>
      </c>
      <c r="J3318" s="152">
        <v>0</v>
      </c>
    </row>
    <row r="3319" spans="1:10">
      <c r="A3319" s="79" t="s">
        <v>106</v>
      </c>
      <c r="B3319" s="79" t="s">
        <v>35</v>
      </c>
      <c r="C3319" s="148">
        <v>0.72013888888888899</v>
      </c>
      <c r="D3319" s="152">
        <v>0</v>
      </c>
      <c r="E3319" s="152">
        <v>0</v>
      </c>
      <c r="F3319" s="152">
        <v>0</v>
      </c>
      <c r="G3319" s="152">
        <v>0</v>
      </c>
      <c r="H3319" s="152">
        <v>0</v>
      </c>
      <c r="I3319" s="152">
        <v>0</v>
      </c>
      <c r="J3319" s="152">
        <v>0</v>
      </c>
    </row>
    <row r="3320" spans="1:10">
      <c r="A3320" s="79" t="s">
        <v>106</v>
      </c>
      <c r="B3320" s="79" t="s">
        <v>35</v>
      </c>
      <c r="C3320" s="148">
        <v>0.72083333333333299</v>
      </c>
      <c r="D3320" s="152">
        <v>0</v>
      </c>
      <c r="E3320" s="152">
        <v>0</v>
      </c>
      <c r="F3320" s="152">
        <v>0</v>
      </c>
      <c r="G3320" s="152">
        <v>0</v>
      </c>
      <c r="H3320" s="152">
        <v>0</v>
      </c>
      <c r="I3320" s="152">
        <v>0</v>
      </c>
      <c r="J3320" s="152">
        <v>0</v>
      </c>
    </row>
    <row r="3321" spans="1:10">
      <c r="A3321" s="79" t="s">
        <v>106</v>
      </c>
      <c r="B3321" s="79" t="s">
        <v>35</v>
      </c>
      <c r="C3321" s="148">
        <v>0.72152777777777799</v>
      </c>
      <c r="D3321" s="152">
        <v>0</v>
      </c>
      <c r="E3321" s="152">
        <v>0</v>
      </c>
      <c r="F3321" s="152">
        <v>0</v>
      </c>
      <c r="G3321" s="152">
        <v>0</v>
      </c>
      <c r="H3321" s="152">
        <v>0</v>
      </c>
      <c r="I3321" s="152">
        <v>0</v>
      </c>
      <c r="J3321" s="152">
        <v>0</v>
      </c>
    </row>
    <row r="3322" spans="1:10">
      <c r="A3322" s="79" t="s">
        <v>106</v>
      </c>
      <c r="B3322" s="79" t="s">
        <v>35</v>
      </c>
      <c r="C3322" s="148">
        <v>0.72222222222222199</v>
      </c>
      <c r="D3322" s="152">
        <v>0</v>
      </c>
      <c r="E3322" s="152">
        <v>0</v>
      </c>
      <c r="F3322" s="152">
        <v>0</v>
      </c>
      <c r="G3322" s="152">
        <v>0</v>
      </c>
      <c r="H3322" s="152">
        <v>0</v>
      </c>
      <c r="I3322" s="152">
        <v>0</v>
      </c>
      <c r="J3322" s="152">
        <v>0</v>
      </c>
    </row>
    <row r="3323" spans="1:10">
      <c r="A3323" s="79" t="s">
        <v>106</v>
      </c>
      <c r="B3323" s="79" t="s">
        <v>35</v>
      </c>
      <c r="C3323" s="148">
        <v>0.72291666666666599</v>
      </c>
      <c r="D3323" s="152">
        <v>0</v>
      </c>
      <c r="E3323" s="152">
        <v>0</v>
      </c>
      <c r="F3323" s="152">
        <v>0</v>
      </c>
      <c r="G3323" s="152">
        <v>0</v>
      </c>
      <c r="H3323" s="152">
        <v>0</v>
      </c>
      <c r="I3323" s="152">
        <v>0</v>
      </c>
      <c r="J3323" s="152">
        <v>0</v>
      </c>
    </row>
    <row r="3324" spans="1:10">
      <c r="A3324" s="79" t="s">
        <v>106</v>
      </c>
      <c r="B3324" s="79" t="s">
        <v>35</v>
      </c>
      <c r="C3324" s="148">
        <v>0.72361111111111098</v>
      </c>
      <c r="D3324" s="152">
        <v>0</v>
      </c>
      <c r="E3324" s="152">
        <v>0</v>
      </c>
      <c r="F3324" s="152">
        <v>0</v>
      </c>
      <c r="G3324" s="152">
        <v>0</v>
      </c>
      <c r="H3324" s="152">
        <v>0</v>
      </c>
      <c r="I3324" s="152">
        <v>0</v>
      </c>
      <c r="J3324" s="152">
        <v>0</v>
      </c>
    </row>
    <row r="3325" spans="1:10">
      <c r="A3325" s="79" t="s">
        <v>106</v>
      </c>
      <c r="B3325" s="79" t="s">
        <v>35</v>
      </c>
      <c r="C3325" s="148">
        <v>0.72430555555555498</v>
      </c>
      <c r="D3325" s="152">
        <v>0</v>
      </c>
      <c r="E3325" s="152">
        <v>0</v>
      </c>
      <c r="F3325" s="152">
        <v>0</v>
      </c>
      <c r="G3325" s="152">
        <v>0</v>
      </c>
      <c r="H3325" s="152">
        <v>0</v>
      </c>
      <c r="I3325" s="152">
        <v>0</v>
      </c>
      <c r="J3325" s="152">
        <v>0</v>
      </c>
    </row>
    <row r="3326" spans="1:10">
      <c r="A3326" s="79" t="s">
        <v>106</v>
      </c>
      <c r="B3326" s="79" t="s">
        <v>35</v>
      </c>
      <c r="C3326" s="148">
        <v>0.72499999999999998</v>
      </c>
      <c r="D3326" s="152">
        <v>0</v>
      </c>
      <c r="E3326" s="152">
        <v>0</v>
      </c>
      <c r="F3326" s="152">
        <v>0</v>
      </c>
      <c r="G3326" s="152">
        <v>0</v>
      </c>
      <c r="H3326" s="152">
        <v>0</v>
      </c>
      <c r="I3326" s="152">
        <v>0</v>
      </c>
      <c r="J3326" s="152">
        <v>0</v>
      </c>
    </row>
    <row r="3327" spans="1:10">
      <c r="A3327" s="79" t="s">
        <v>106</v>
      </c>
      <c r="B3327" s="79" t="s">
        <v>35</v>
      </c>
      <c r="C3327" s="148">
        <v>0.72569444444444398</v>
      </c>
      <c r="D3327" s="152">
        <v>0</v>
      </c>
      <c r="E3327" s="152">
        <v>0</v>
      </c>
      <c r="F3327" s="152">
        <v>0</v>
      </c>
      <c r="G3327" s="152">
        <v>0</v>
      </c>
      <c r="H3327" s="152">
        <v>0</v>
      </c>
      <c r="I3327" s="152">
        <v>0</v>
      </c>
      <c r="J3327" s="152">
        <v>0</v>
      </c>
    </row>
    <row r="3328" spans="1:10">
      <c r="A3328" s="79" t="s">
        <v>106</v>
      </c>
      <c r="B3328" s="79" t="s">
        <v>35</v>
      </c>
      <c r="C3328" s="148">
        <v>0.72638888888888897</v>
      </c>
      <c r="D3328" s="152">
        <v>0</v>
      </c>
      <c r="E3328" s="152">
        <v>0</v>
      </c>
      <c r="F3328" s="152">
        <v>0</v>
      </c>
      <c r="G3328" s="152">
        <v>0</v>
      </c>
      <c r="H3328" s="152">
        <v>0</v>
      </c>
      <c r="I3328" s="152">
        <v>0</v>
      </c>
      <c r="J3328" s="152">
        <v>0</v>
      </c>
    </row>
    <row r="3329" spans="1:10">
      <c r="A3329" s="79" t="s">
        <v>106</v>
      </c>
      <c r="B3329" s="79" t="s">
        <v>35</v>
      </c>
      <c r="C3329" s="148">
        <v>0.72708333333333297</v>
      </c>
      <c r="D3329" s="152">
        <v>0</v>
      </c>
      <c r="E3329" s="152">
        <v>0</v>
      </c>
      <c r="F3329" s="152">
        <v>0</v>
      </c>
      <c r="G3329" s="152">
        <v>0</v>
      </c>
      <c r="H3329" s="152">
        <v>0</v>
      </c>
      <c r="I3329" s="152">
        <v>0</v>
      </c>
      <c r="J3329" s="152">
        <v>0</v>
      </c>
    </row>
    <row r="3330" spans="1:10">
      <c r="A3330" s="79" t="s">
        <v>106</v>
      </c>
      <c r="B3330" s="79" t="s">
        <v>35</v>
      </c>
      <c r="C3330" s="148">
        <v>0.72777777777777797</v>
      </c>
      <c r="D3330" s="152">
        <v>0</v>
      </c>
      <c r="E3330" s="152">
        <v>0</v>
      </c>
      <c r="F3330" s="152">
        <v>0</v>
      </c>
      <c r="G3330" s="152">
        <v>0</v>
      </c>
      <c r="H3330" s="152">
        <v>0</v>
      </c>
      <c r="I3330" s="152">
        <v>0</v>
      </c>
      <c r="J3330" s="152">
        <v>0</v>
      </c>
    </row>
    <row r="3331" spans="1:10" s="78" customFormat="1">
      <c r="A3331" s="82" t="s">
        <v>106</v>
      </c>
      <c r="B3331" s="82" t="s">
        <v>35</v>
      </c>
      <c r="C3331" s="150">
        <v>0.72847222222222197</v>
      </c>
      <c r="D3331" s="153">
        <v>0</v>
      </c>
      <c r="E3331" s="153">
        <v>0</v>
      </c>
      <c r="F3331" s="153">
        <v>0</v>
      </c>
      <c r="G3331" s="153">
        <v>0</v>
      </c>
      <c r="H3331" s="153">
        <v>0</v>
      </c>
      <c r="I3331" s="153">
        <v>0</v>
      </c>
      <c r="J3331" s="153">
        <v>0</v>
      </c>
    </row>
    <row r="3332" spans="1:10">
      <c r="A3332" s="79" t="s">
        <v>106</v>
      </c>
      <c r="B3332" s="79" t="s">
        <v>35</v>
      </c>
      <c r="C3332" s="148">
        <v>0.72916666666666596</v>
      </c>
      <c r="D3332" s="154">
        <v>0</v>
      </c>
      <c r="E3332" s="154">
        <v>0</v>
      </c>
      <c r="F3332" s="154">
        <v>0</v>
      </c>
      <c r="G3332" s="154">
        <v>0</v>
      </c>
      <c r="H3332" s="154">
        <v>0</v>
      </c>
      <c r="I3332" s="154">
        <v>0</v>
      </c>
      <c r="J3332" s="154">
        <v>0</v>
      </c>
    </row>
    <row r="3333" spans="1:10">
      <c r="A3333" s="79" t="s">
        <v>106</v>
      </c>
      <c r="B3333" s="79" t="s">
        <v>35</v>
      </c>
      <c r="C3333" s="148">
        <v>0.72986111111111096</v>
      </c>
      <c r="D3333" s="152">
        <v>0</v>
      </c>
      <c r="E3333" s="152">
        <v>0</v>
      </c>
      <c r="F3333" s="152">
        <v>0</v>
      </c>
      <c r="G3333" s="152">
        <v>0</v>
      </c>
      <c r="H3333" s="152">
        <v>0</v>
      </c>
      <c r="I3333" s="152">
        <v>0</v>
      </c>
      <c r="J3333" s="152">
        <v>0</v>
      </c>
    </row>
    <row r="3334" spans="1:10">
      <c r="A3334" s="79" t="s">
        <v>106</v>
      </c>
      <c r="B3334" s="79" t="s">
        <v>35</v>
      </c>
      <c r="C3334" s="148">
        <v>0.73055555555555496</v>
      </c>
      <c r="D3334" s="152">
        <v>0</v>
      </c>
      <c r="E3334" s="152">
        <v>0</v>
      </c>
      <c r="F3334" s="152">
        <v>0</v>
      </c>
      <c r="G3334" s="152">
        <v>0</v>
      </c>
      <c r="H3334" s="152">
        <v>0</v>
      </c>
      <c r="I3334" s="152">
        <v>0</v>
      </c>
      <c r="J3334" s="152">
        <v>0</v>
      </c>
    </row>
    <row r="3335" spans="1:10">
      <c r="A3335" s="79" t="s">
        <v>106</v>
      </c>
      <c r="B3335" s="79" t="s">
        <v>35</v>
      </c>
      <c r="C3335" s="148">
        <v>0.73124999999999996</v>
      </c>
      <c r="D3335" s="152">
        <v>0</v>
      </c>
      <c r="E3335" s="152">
        <v>0</v>
      </c>
      <c r="F3335" s="152">
        <v>0</v>
      </c>
      <c r="G3335" s="152">
        <v>0</v>
      </c>
      <c r="H3335" s="152">
        <v>0</v>
      </c>
      <c r="I3335" s="152">
        <v>0</v>
      </c>
      <c r="J3335" s="152">
        <v>0</v>
      </c>
    </row>
    <row r="3336" spans="1:10">
      <c r="A3336" s="79" t="s">
        <v>106</v>
      </c>
      <c r="B3336" s="79" t="s">
        <v>35</v>
      </c>
      <c r="C3336" s="148">
        <v>0.73194444444444395</v>
      </c>
      <c r="D3336" s="152">
        <v>0</v>
      </c>
      <c r="E3336" s="152">
        <v>0</v>
      </c>
      <c r="F3336" s="152">
        <v>0</v>
      </c>
      <c r="G3336" s="152">
        <v>0</v>
      </c>
      <c r="H3336" s="152">
        <v>0</v>
      </c>
      <c r="I3336" s="152">
        <v>0</v>
      </c>
      <c r="J3336" s="152">
        <v>0</v>
      </c>
    </row>
    <row r="3337" spans="1:10">
      <c r="A3337" s="79" t="s">
        <v>106</v>
      </c>
      <c r="B3337" s="79" t="s">
        <v>35</v>
      </c>
      <c r="C3337" s="148">
        <v>0.73263888888888895</v>
      </c>
      <c r="D3337" s="152">
        <v>0</v>
      </c>
      <c r="E3337" s="152">
        <v>0</v>
      </c>
      <c r="F3337" s="152">
        <v>0</v>
      </c>
      <c r="G3337" s="152">
        <v>0</v>
      </c>
      <c r="H3337" s="152">
        <v>0</v>
      </c>
      <c r="I3337" s="152">
        <v>0</v>
      </c>
      <c r="J3337" s="152">
        <v>0</v>
      </c>
    </row>
    <row r="3338" spans="1:10">
      <c r="A3338" s="79" t="s">
        <v>106</v>
      </c>
      <c r="B3338" s="79" t="s">
        <v>35</v>
      </c>
      <c r="C3338" s="148">
        <v>0.73333333333333295</v>
      </c>
      <c r="D3338" s="152">
        <v>0</v>
      </c>
      <c r="E3338" s="152">
        <v>0</v>
      </c>
      <c r="F3338" s="152">
        <v>0</v>
      </c>
      <c r="G3338" s="152">
        <v>0</v>
      </c>
      <c r="H3338" s="152">
        <v>0</v>
      </c>
      <c r="I3338" s="152">
        <v>0</v>
      </c>
      <c r="J3338" s="152">
        <v>0</v>
      </c>
    </row>
    <row r="3339" spans="1:10">
      <c r="A3339" s="79" t="s">
        <v>106</v>
      </c>
      <c r="B3339" s="79" t="s">
        <v>35</v>
      </c>
      <c r="C3339" s="148">
        <v>0.73402777777777795</v>
      </c>
      <c r="D3339" s="152">
        <v>0</v>
      </c>
      <c r="E3339" s="152">
        <v>0</v>
      </c>
      <c r="F3339" s="152">
        <v>0</v>
      </c>
      <c r="G3339" s="152">
        <v>0</v>
      </c>
      <c r="H3339" s="152">
        <v>0</v>
      </c>
      <c r="I3339" s="152">
        <v>0</v>
      </c>
      <c r="J3339" s="152">
        <v>0</v>
      </c>
    </row>
    <row r="3340" spans="1:10">
      <c r="A3340" s="79" t="s">
        <v>106</v>
      </c>
      <c r="B3340" s="79" t="s">
        <v>35</v>
      </c>
      <c r="C3340" s="148">
        <v>0.73472222222222205</v>
      </c>
      <c r="D3340" s="152">
        <v>0</v>
      </c>
      <c r="E3340" s="152">
        <v>0</v>
      </c>
      <c r="F3340" s="152">
        <v>0</v>
      </c>
      <c r="G3340" s="152">
        <v>0</v>
      </c>
      <c r="H3340" s="152">
        <v>0</v>
      </c>
      <c r="I3340" s="152">
        <v>0</v>
      </c>
      <c r="J3340" s="152">
        <v>0</v>
      </c>
    </row>
    <row r="3341" spans="1:10">
      <c r="A3341" s="79" t="s">
        <v>106</v>
      </c>
      <c r="B3341" s="79" t="s">
        <v>35</v>
      </c>
      <c r="C3341" s="148">
        <v>0.73541666666666605</v>
      </c>
      <c r="D3341" s="152">
        <v>0</v>
      </c>
      <c r="E3341" s="152">
        <v>0</v>
      </c>
      <c r="F3341" s="152">
        <v>0</v>
      </c>
      <c r="G3341" s="152">
        <v>0</v>
      </c>
      <c r="H3341" s="152">
        <v>0</v>
      </c>
      <c r="I3341" s="152">
        <v>0</v>
      </c>
      <c r="J3341" s="152">
        <v>0</v>
      </c>
    </row>
    <row r="3342" spans="1:10">
      <c r="A3342" s="79" t="s">
        <v>106</v>
      </c>
      <c r="B3342" s="79" t="s">
        <v>35</v>
      </c>
      <c r="C3342" s="148">
        <v>0.73611111111111105</v>
      </c>
      <c r="D3342" s="152">
        <v>0</v>
      </c>
      <c r="E3342" s="152">
        <v>0</v>
      </c>
      <c r="F3342" s="152">
        <v>0</v>
      </c>
      <c r="G3342" s="152">
        <v>0</v>
      </c>
      <c r="H3342" s="152">
        <v>0</v>
      </c>
      <c r="I3342" s="152">
        <v>0</v>
      </c>
      <c r="J3342" s="152">
        <v>0</v>
      </c>
    </row>
    <row r="3343" spans="1:10">
      <c r="A3343" s="79" t="s">
        <v>106</v>
      </c>
      <c r="B3343" s="79" t="s">
        <v>35</v>
      </c>
      <c r="C3343" s="148">
        <v>0.73680555555555505</v>
      </c>
      <c r="D3343" s="152">
        <v>0</v>
      </c>
      <c r="E3343" s="152">
        <v>0</v>
      </c>
      <c r="F3343" s="152">
        <v>0</v>
      </c>
      <c r="G3343" s="152">
        <v>0</v>
      </c>
      <c r="H3343" s="152">
        <v>0</v>
      </c>
      <c r="I3343" s="152">
        <v>0</v>
      </c>
      <c r="J3343" s="152">
        <v>0</v>
      </c>
    </row>
    <row r="3344" spans="1:10">
      <c r="A3344" s="79" t="s">
        <v>106</v>
      </c>
      <c r="B3344" s="79" t="s">
        <v>35</v>
      </c>
      <c r="C3344" s="148">
        <v>0.73750000000000004</v>
      </c>
      <c r="D3344" s="152">
        <v>0</v>
      </c>
      <c r="E3344" s="152">
        <v>0</v>
      </c>
      <c r="F3344" s="152">
        <v>0</v>
      </c>
      <c r="G3344" s="152">
        <v>0</v>
      </c>
      <c r="H3344" s="152">
        <v>0</v>
      </c>
      <c r="I3344" s="152">
        <v>0</v>
      </c>
      <c r="J3344" s="152">
        <v>0</v>
      </c>
    </row>
    <row r="3345" spans="1:10">
      <c r="A3345" s="79" t="s">
        <v>106</v>
      </c>
      <c r="B3345" s="79" t="s">
        <v>35</v>
      </c>
      <c r="C3345" s="148">
        <v>0.73819444444444404</v>
      </c>
      <c r="D3345" s="152">
        <v>0</v>
      </c>
      <c r="E3345" s="152">
        <v>0</v>
      </c>
      <c r="F3345" s="152">
        <v>0</v>
      </c>
      <c r="G3345" s="152">
        <v>0</v>
      </c>
      <c r="H3345" s="152">
        <v>0</v>
      </c>
      <c r="I3345" s="152">
        <v>0</v>
      </c>
      <c r="J3345" s="152">
        <v>0</v>
      </c>
    </row>
    <row r="3346" spans="1:10" s="78" customFormat="1">
      <c r="A3346" s="82" t="s">
        <v>106</v>
      </c>
      <c r="B3346" s="82" t="s">
        <v>35</v>
      </c>
      <c r="C3346" s="150">
        <v>0.73888888888888904</v>
      </c>
      <c r="D3346" s="153">
        <v>0</v>
      </c>
      <c r="E3346" s="153">
        <v>0</v>
      </c>
      <c r="F3346" s="153">
        <v>0</v>
      </c>
      <c r="G3346" s="153">
        <v>0</v>
      </c>
      <c r="H3346" s="153">
        <v>0</v>
      </c>
      <c r="I3346" s="153">
        <v>0</v>
      </c>
      <c r="J3346" s="153">
        <v>0</v>
      </c>
    </row>
    <row r="3347" spans="1:10">
      <c r="A3347" s="79" t="s">
        <v>106</v>
      </c>
      <c r="B3347" s="79" t="s">
        <v>35</v>
      </c>
      <c r="C3347" s="148">
        <v>0.73958333333333304</v>
      </c>
      <c r="D3347" s="154">
        <v>0</v>
      </c>
      <c r="E3347" s="154">
        <v>0</v>
      </c>
      <c r="F3347" s="154">
        <v>0</v>
      </c>
      <c r="G3347" s="154">
        <v>0</v>
      </c>
      <c r="H3347" s="154">
        <v>0</v>
      </c>
      <c r="I3347" s="154">
        <v>0</v>
      </c>
      <c r="J3347" s="154">
        <v>0</v>
      </c>
    </row>
    <row r="3348" spans="1:10">
      <c r="A3348" s="79" t="s">
        <v>106</v>
      </c>
      <c r="B3348" s="79" t="s">
        <v>35</v>
      </c>
      <c r="C3348" s="148">
        <v>0.74027777777777704</v>
      </c>
      <c r="D3348" s="152">
        <v>0</v>
      </c>
      <c r="E3348" s="152">
        <v>0</v>
      </c>
      <c r="F3348" s="152">
        <v>0</v>
      </c>
      <c r="G3348" s="152">
        <v>0</v>
      </c>
      <c r="H3348" s="152">
        <v>0</v>
      </c>
      <c r="I3348" s="152">
        <v>0</v>
      </c>
      <c r="J3348" s="152">
        <v>0</v>
      </c>
    </row>
    <row r="3349" spans="1:10">
      <c r="A3349" s="79" t="s">
        <v>106</v>
      </c>
      <c r="B3349" s="79" t="s">
        <v>35</v>
      </c>
      <c r="C3349" s="148">
        <v>0.74097222222222203</v>
      </c>
      <c r="D3349" s="152">
        <v>0</v>
      </c>
      <c r="E3349" s="152">
        <v>0</v>
      </c>
      <c r="F3349" s="152">
        <v>0</v>
      </c>
      <c r="G3349" s="152">
        <v>0</v>
      </c>
      <c r="H3349" s="152">
        <v>0</v>
      </c>
      <c r="I3349" s="152">
        <v>0</v>
      </c>
      <c r="J3349" s="152">
        <v>0</v>
      </c>
    </row>
    <row r="3350" spans="1:10">
      <c r="A3350" s="79" t="s">
        <v>106</v>
      </c>
      <c r="B3350" s="79" t="s">
        <v>35</v>
      </c>
      <c r="C3350" s="148">
        <v>0.74166666666666603</v>
      </c>
      <c r="D3350" s="152">
        <v>0</v>
      </c>
      <c r="E3350" s="152">
        <v>0</v>
      </c>
      <c r="F3350" s="152">
        <v>0</v>
      </c>
      <c r="G3350" s="152">
        <v>0</v>
      </c>
      <c r="H3350" s="152">
        <v>0</v>
      </c>
      <c r="I3350" s="152">
        <v>0</v>
      </c>
      <c r="J3350" s="152">
        <v>0</v>
      </c>
    </row>
    <row r="3351" spans="1:10">
      <c r="A3351" s="79" t="s">
        <v>106</v>
      </c>
      <c r="B3351" s="79" t="s">
        <v>35</v>
      </c>
      <c r="C3351" s="148">
        <v>0.74236111111111103</v>
      </c>
      <c r="D3351" s="152">
        <v>0</v>
      </c>
      <c r="E3351" s="152">
        <v>0</v>
      </c>
      <c r="F3351" s="152">
        <v>0</v>
      </c>
      <c r="G3351" s="152">
        <v>0</v>
      </c>
      <c r="H3351" s="152">
        <v>0</v>
      </c>
      <c r="I3351" s="152">
        <v>0</v>
      </c>
      <c r="J3351" s="152">
        <v>0</v>
      </c>
    </row>
    <row r="3352" spans="1:10">
      <c r="A3352" s="79" t="s">
        <v>106</v>
      </c>
      <c r="B3352" s="79" t="s">
        <v>35</v>
      </c>
      <c r="C3352" s="148">
        <v>0.74305555555555503</v>
      </c>
      <c r="D3352" s="152">
        <v>0</v>
      </c>
      <c r="E3352" s="152">
        <v>0</v>
      </c>
      <c r="F3352" s="152">
        <v>0</v>
      </c>
      <c r="G3352" s="152">
        <v>0</v>
      </c>
      <c r="H3352" s="152">
        <v>0</v>
      </c>
      <c r="I3352" s="152">
        <v>0</v>
      </c>
      <c r="J3352" s="152">
        <v>0</v>
      </c>
    </row>
    <row r="3353" spans="1:10">
      <c r="A3353" s="79" t="s">
        <v>106</v>
      </c>
      <c r="B3353" s="79" t="s">
        <v>35</v>
      </c>
      <c r="C3353" s="148">
        <v>0.74375000000000002</v>
      </c>
      <c r="D3353" s="152">
        <v>0</v>
      </c>
      <c r="E3353" s="152">
        <v>0</v>
      </c>
      <c r="F3353" s="152">
        <v>0</v>
      </c>
      <c r="G3353" s="152">
        <v>0</v>
      </c>
      <c r="H3353" s="152">
        <v>0</v>
      </c>
      <c r="I3353" s="152">
        <v>0</v>
      </c>
      <c r="J3353" s="152">
        <v>0</v>
      </c>
    </row>
    <row r="3354" spans="1:10">
      <c r="A3354" s="79" t="s">
        <v>106</v>
      </c>
      <c r="B3354" s="79" t="s">
        <v>35</v>
      </c>
      <c r="C3354" s="148">
        <v>0.74444444444444402</v>
      </c>
      <c r="D3354" s="152">
        <v>0</v>
      </c>
      <c r="E3354" s="152">
        <v>0</v>
      </c>
      <c r="F3354" s="152">
        <v>0</v>
      </c>
      <c r="G3354" s="152">
        <v>0</v>
      </c>
      <c r="H3354" s="152">
        <v>0</v>
      </c>
      <c r="I3354" s="152">
        <v>0</v>
      </c>
      <c r="J3354" s="152">
        <v>0</v>
      </c>
    </row>
    <row r="3355" spans="1:10">
      <c r="A3355" s="79" t="s">
        <v>106</v>
      </c>
      <c r="B3355" s="79" t="s">
        <v>35</v>
      </c>
      <c r="C3355" s="148">
        <v>0.74513888888888902</v>
      </c>
      <c r="D3355" s="152">
        <v>0</v>
      </c>
      <c r="E3355" s="152">
        <v>0</v>
      </c>
      <c r="F3355" s="152">
        <v>0</v>
      </c>
      <c r="G3355" s="152">
        <v>0</v>
      </c>
      <c r="H3355" s="152">
        <v>0</v>
      </c>
      <c r="I3355" s="152">
        <v>0</v>
      </c>
      <c r="J3355" s="152">
        <v>0</v>
      </c>
    </row>
    <row r="3356" spans="1:10">
      <c r="A3356" s="79" t="s">
        <v>106</v>
      </c>
      <c r="B3356" s="79" t="s">
        <v>35</v>
      </c>
      <c r="C3356" s="148">
        <v>0.74583333333333302</v>
      </c>
      <c r="D3356" s="152">
        <v>0</v>
      </c>
      <c r="E3356" s="152">
        <v>0</v>
      </c>
      <c r="F3356" s="152">
        <v>0</v>
      </c>
      <c r="G3356" s="152">
        <v>0</v>
      </c>
      <c r="H3356" s="152">
        <v>0</v>
      </c>
      <c r="I3356" s="152">
        <v>0</v>
      </c>
      <c r="J3356" s="152">
        <v>0</v>
      </c>
    </row>
    <row r="3357" spans="1:10">
      <c r="A3357" s="79" t="s">
        <v>106</v>
      </c>
      <c r="B3357" s="79" t="s">
        <v>35</v>
      </c>
      <c r="C3357" s="148">
        <v>0.74652777777777701</v>
      </c>
      <c r="D3357" s="152">
        <v>0</v>
      </c>
      <c r="E3357" s="152">
        <v>0</v>
      </c>
      <c r="F3357" s="152">
        <v>0</v>
      </c>
      <c r="G3357" s="152">
        <v>0</v>
      </c>
      <c r="H3357" s="152">
        <v>0</v>
      </c>
      <c r="I3357" s="152">
        <v>0</v>
      </c>
      <c r="J3357" s="152">
        <v>0</v>
      </c>
    </row>
    <row r="3358" spans="1:10">
      <c r="A3358" s="79" t="s">
        <v>106</v>
      </c>
      <c r="B3358" s="79" t="s">
        <v>35</v>
      </c>
      <c r="C3358" s="148">
        <v>0.74722222222222201</v>
      </c>
      <c r="D3358" s="152">
        <v>0</v>
      </c>
      <c r="E3358" s="152">
        <v>0</v>
      </c>
      <c r="F3358" s="152">
        <v>0</v>
      </c>
      <c r="G3358" s="152">
        <v>0</v>
      </c>
      <c r="H3358" s="152">
        <v>0</v>
      </c>
      <c r="I3358" s="152">
        <v>0</v>
      </c>
      <c r="J3358" s="152">
        <v>0</v>
      </c>
    </row>
    <row r="3359" spans="1:10">
      <c r="A3359" s="79" t="s">
        <v>106</v>
      </c>
      <c r="B3359" s="79" t="s">
        <v>35</v>
      </c>
      <c r="C3359" s="148">
        <v>0.74791666666666601</v>
      </c>
      <c r="D3359" s="152">
        <v>0</v>
      </c>
      <c r="E3359" s="152">
        <v>0</v>
      </c>
      <c r="F3359" s="152">
        <v>0</v>
      </c>
      <c r="G3359" s="152">
        <v>0</v>
      </c>
      <c r="H3359" s="152">
        <v>0</v>
      </c>
      <c r="I3359" s="152">
        <v>0</v>
      </c>
      <c r="J3359" s="152">
        <v>0</v>
      </c>
    </row>
    <row r="3360" spans="1:10">
      <c r="A3360" s="79" t="s">
        <v>106</v>
      </c>
      <c r="B3360" s="79" t="s">
        <v>35</v>
      </c>
      <c r="C3360" s="148">
        <v>0.74861111111111101</v>
      </c>
      <c r="D3360" s="152">
        <v>0</v>
      </c>
      <c r="E3360" s="152">
        <v>0</v>
      </c>
      <c r="F3360" s="152">
        <v>0</v>
      </c>
      <c r="G3360" s="152">
        <v>0</v>
      </c>
      <c r="H3360" s="152">
        <v>0</v>
      </c>
      <c r="I3360" s="152">
        <v>0</v>
      </c>
      <c r="J3360" s="152">
        <v>0</v>
      </c>
    </row>
    <row r="3361" spans="1:10" s="28" customFormat="1" ht="17.5" thickBot="1">
      <c r="A3361" s="97" t="s">
        <v>106</v>
      </c>
      <c r="B3361" s="97" t="s">
        <v>35</v>
      </c>
      <c r="C3361" s="149">
        <v>0.749305555555555</v>
      </c>
      <c r="D3361" s="155">
        <v>0</v>
      </c>
      <c r="E3361" s="155">
        <v>0</v>
      </c>
      <c r="F3361" s="155">
        <v>0</v>
      </c>
      <c r="G3361" s="155">
        <v>0</v>
      </c>
      <c r="H3361" s="155">
        <v>0</v>
      </c>
      <c r="I3361" s="155">
        <v>0</v>
      </c>
      <c r="J3361" s="155">
        <v>0</v>
      </c>
    </row>
    <row r="3362" spans="1:10">
      <c r="A3362" s="79" t="s">
        <v>106</v>
      </c>
      <c r="B3362" s="79" t="s">
        <v>36</v>
      </c>
      <c r="C3362" s="148">
        <v>0.66666666666666663</v>
      </c>
      <c r="D3362" s="151">
        <v>0</v>
      </c>
      <c r="E3362" s="151">
        <v>0</v>
      </c>
      <c r="F3362" s="151">
        <v>0</v>
      </c>
      <c r="G3362" s="151">
        <v>0</v>
      </c>
      <c r="H3362" s="151">
        <v>0</v>
      </c>
      <c r="I3362" s="151">
        <v>0</v>
      </c>
      <c r="J3362" s="151">
        <v>0</v>
      </c>
    </row>
    <row r="3363" spans="1:10">
      <c r="A3363" s="79" t="s">
        <v>106</v>
      </c>
      <c r="B3363" s="79" t="s">
        <v>36</v>
      </c>
      <c r="C3363" s="148">
        <v>0.66736111111111107</v>
      </c>
      <c r="D3363" s="152">
        <v>0</v>
      </c>
      <c r="E3363" s="152">
        <v>0</v>
      </c>
      <c r="F3363" s="152">
        <v>0</v>
      </c>
      <c r="G3363" s="152">
        <v>0</v>
      </c>
      <c r="H3363" s="152">
        <v>0</v>
      </c>
      <c r="I3363" s="152">
        <v>0</v>
      </c>
      <c r="J3363" s="152">
        <v>0</v>
      </c>
    </row>
    <row r="3364" spans="1:10">
      <c r="A3364" s="79" t="s">
        <v>106</v>
      </c>
      <c r="B3364" s="79" t="s">
        <v>36</v>
      </c>
      <c r="C3364" s="148">
        <v>0.66805555555555596</v>
      </c>
      <c r="D3364" s="152">
        <v>0</v>
      </c>
      <c r="E3364" s="152">
        <v>0</v>
      </c>
      <c r="F3364" s="152">
        <v>0</v>
      </c>
      <c r="G3364" s="152">
        <v>0</v>
      </c>
      <c r="H3364" s="152">
        <v>0</v>
      </c>
      <c r="I3364" s="152">
        <v>0</v>
      </c>
      <c r="J3364" s="152">
        <v>0</v>
      </c>
    </row>
    <row r="3365" spans="1:10">
      <c r="A3365" s="79" t="s">
        <v>106</v>
      </c>
      <c r="B3365" s="79" t="s">
        <v>36</v>
      </c>
      <c r="C3365" s="148">
        <v>0.66874999999999996</v>
      </c>
      <c r="D3365" s="152">
        <v>0</v>
      </c>
      <c r="E3365" s="152">
        <v>0</v>
      </c>
      <c r="F3365" s="152">
        <v>0</v>
      </c>
      <c r="G3365" s="152">
        <v>0</v>
      </c>
      <c r="H3365" s="152">
        <v>0</v>
      </c>
      <c r="I3365" s="152">
        <v>0</v>
      </c>
      <c r="J3365" s="152">
        <v>0</v>
      </c>
    </row>
    <row r="3366" spans="1:10">
      <c r="A3366" s="79" t="s">
        <v>106</v>
      </c>
      <c r="B3366" s="79" t="s">
        <v>36</v>
      </c>
      <c r="C3366" s="148">
        <v>0.66944444444444395</v>
      </c>
      <c r="D3366" s="152">
        <v>0</v>
      </c>
      <c r="E3366" s="152">
        <v>0</v>
      </c>
      <c r="F3366" s="152">
        <v>0</v>
      </c>
      <c r="G3366" s="152">
        <v>0</v>
      </c>
      <c r="H3366" s="152">
        <v>0</v>
      </c>
      <c r="I3366" s="152">
        <v>0</v>
      </c>
      <c r="J3366" s="152">
        <v>0</v>
      </c>
    </row>
    <row r="3367" spans="1:10">
      <c r="A3367" s="79" t="s">
        <v>106</v>
      </c>
      <c r="B3367" s="79" t="s">
        <v>36</v>
      </c>
      <c r="C3367" s="148">
        <v>0.67013888888888895</v>
      </c>
      <c r="D3367" s="152">
        <v>0</v>
      </c>
      <c r="E3367" s="152">
        <v>0</v>
      </c>
      <c r="F3367" s="152">
        <v>0</v>
      </c>
      <c r="G3367" s="152">
        <v>0</v>
      </c>
      <c r="H3367" s="152">
        <v>0</v>
      </c>
      <c r="I3367" s="152">
        <v>0</v>
      </c>
      <c r="J3367" s="152">
        <v>0</v>
      </c>
    </row>
    <row r="3368" spans="1:10">
      <c r="A3368" s="79" t="s">
        <v>106</v>
      </c>
      <c r="B3368" s="79" t="s">
        <v>36</v>
      </c>
      <c r="C3368" s="148">
        <v>0.67083333333333295</v>
      </c>
      <c r="D3368" s="152">
        <v>0</v>
      </c>
      <c r="E3368" s="152">
        <v>0</v>
      </c>
      <c r="F3368" s="152">
        <v>0</v>
      </c>
      <c r="G3368" s="152">
        <v>0</v>
      </c>
      <c r="H3368" s="152">
        <v>0</v>
      </c>
      <c r="I3368" s="152">
        <v>0</v>
      </c>
      <c r="J3368" s="152">
        <v>0</v>
      </c>
    </row>
    <row r="3369" spans="1:10">
      <c r="A3369" s="79" t="s">
        <v>106</v>
      </c>
      <c r="B3369" s="79" t="s">
        <v>36</v>
      </c>
      <c r="C3369" s="148">
        <v>0.67152777777777795</v>
      </c>
      <c r="D3369" s="152">
        <v>0</v>
      </c>
      <c r="E3369" s="152">
        <v>0</v>
      </c>
      <c r="F3369" s="152">
        <v>0</v>
      </c>
      <c r="G3369" s="152">
        <v>0</v>
      </c>
      <c r="H3369" s="152">
        <v>0</v>
      </c>
      <c r="I3369" s="152">
        <v>0</v>
      </c>
      <c r="J3369" s="152">
        <v>0</v>
      </c>
    </row>
    <row r="3370" spans="1:10">
      <c r="A3370" s="79" t="s">
        <v>106</v>
      </c>
      <c r="B3370" s="79" t="s">
        <v>36</v>
      </c>
      <c r="C3370" s="148">
        <v>0.67222222222222205</v>
      </c>
      <c r="D3370" s="152">
        <v>0</v>
      </c>
      <c r="E3370" s="152">
        <v>0</v>
      </c>
      <c r="F3370" s="152">
        <v>0</v>
      </c>
      <c r="G3370" s="152">
        <v>0</v>
      </c>
      <c r="H3370" s="152">
        <v>0</v>
      </c>
      <c r="I3370" s="152">
        <v>0</v>
      </c>
      <c r="J3370" s="152">
        <v>0</v>
      </c>
    </row>
    <row r="3371" spans="1:10">
      <c r="A3371" s="79" t="s">
        <v>106</v>
      </c>
      <c r="B3371" s="79" t="s">
        <v>36</v>
      </c>
      <c r="C3371" s="148">
        <v>0.67291666666666705</v>
      </c>
      <c r="D3371" s="152">
        <v>0</v>
      </c>
      <c r="E3371" s="152">
        <v>0</v>
      </c>
      <c r="F3371" s="152">
        <v>0</v>
      </c>
      <c r="G3371" s="152">
        <v>0</v>
      </c>
      <c r="H3371" s="152">
        <v>0</v>
      </c>
      <c r="I3371" s="152">
        <v>0</v>
      </c>
      <c r="J3371" s="152">
        <v>0</v>
      </c>
    </row>
    <row r="3372" spans="1:10">
      <c r="A3372" s="79" t="s">
        <v>106</v>
      </c>
      <c r="B3372" s="79" t="s">
        <v>36</v>
      </c>
      <c r="C3372" s="148">
        <v>0.67361111111111105</v>
      </c>
      <c r="D3372" s="152">
        <v>0</v>
      </c>
      <c r="E3372" s="152">
        <v>0</v>
      </c>
      <c r="F3372" s="152">
        <v>0</v>
      </c>
      <c r="G3372" s="152">
        <v>0</v>
      </c>
      <c r="H3372" s="152">
        <v>0</v>
      </c>
      <c r="I3372" s="152">
        <v>0</v>
      </c>
      <c r="J3372" s="152">
        <v>0</v>
      </c>
    </row>
    <row r="3373" spans="1:10">
      <c r="A3373" s="79" t="s">
        <v>106</v>
      </c>
      <c r="B3373" s="79" t="s">
        <v>36</v>
      </c>
      <c r="C3373" s="148">
        <v>0.67430555555555505</v>
      </c>
      <c r="D3373" s="152">
        <v>0</v>
      </c>
      <c r="E3373" s="152">
        <v>0</v>
      </c>
      <c r="F3373" s="152">
        <v>0</v>
      </c>
      <c r="G3373" s="152">
        <v>0</v>
      </c>
      <c r="H3373" s="152">
        <v>0</v>
      </c>
      <c r="I3373" s="152">
        <v>0</v>
      </c>
      <c r="J3373" s="152">
        <v>0</v>
      </c>
    </row>
    <row r="3374" spans="1:10">
      <c r="A3374" s="79" t="s">
        <v>106</v>
      </c>
      <c r="B3374" s="79" t="s">
        <v>36</v>
      </c>
      <c r="C3374" s="148">
        <v>0.67500000000000004</v>
      </c>
      <c r="D3374" s="152">
        <v>0</v>
      </c>
      <c r="E3374" s="152">
        <v>0</v>
      </c>
      <c r="F3374" s="152">
        <v>0</v>
      </c>
      <c r="G3374" s="152">
        <v>0</v>
      </c>
      <c r="H3374" s="152">
        <v>0</v>
      </c>
      <c r="I3374" s="152">
        <v>0</v>
      </c>
      <c r="J3374" s="152">
        <v>0</v>
      </c>
    </row>
    <row r="3375" spans="1:10">
      <c r="A3375" s="79" t="s">
        <v>106</v>
      </c>
      <c r="B3375" s="79" t="s">
        <v>36</v>
      </c>
      <c r="C3375" s="148">
        <v>0.67569444444444404</v>
      </c>
      <c r="D3375" s="152">
        <v>0</v>
      </c>
      <c r="E3375" s="152">
        <v>0</v>
      </c>
      <c r="F3375" s="152">
        <v>0</v>
      </c>
      <c r="G3375" s="152">
        <v>0</v>
      </c>
      <c r="H3375" s="152">
        <v>0</v>
      </c>
      <c r="I3375" s="152">
        <v>0</v>
      </c>
      <c r="J3375" s="152">
        <v>0</v>
      </c>
    </row>
    <row r="3376" spans="1:10" s="78" customFormat="1">
      <c r="A3376" s="82" t="s">
        <v>106</v>
      </c>
      <c r="B3376" s="82" t="s">
        <v>36</v>
      </c>
      <c r="C3376" s="150">
        <v>0.67638888888888904</v>
      </c>
      <c r="D3376" s="153">
        <v>0</v>
      </c>
      <c r="E3376" s="153">
        <v>0</v>
      </c>
      <c r="F3376" s="153">
        <v>0</v>
      </c>
      <c r="G3376" s="153">
        <v>0</v>
      </c>
      <c r="H3376" s="153">
        <v>0</v>
      </c>
      <c r="I3376" s="153">
        <v>0</v>
      </c>
      <c r="J3376" s="153">
        <v>0</v>
      </c>
    </row>
    <row r="3377" spans="1:10">
      <c r="A3377" s="79" t="s">
        <v>106</v>
      </c>
      <c r="B3377" s="79" t="s">
        <v>36</v>
      </c>
      <c r="C3377" s="148">
        <v>0.67708333333333304</v>
      </c>
      <c r="D3377" s="154">
        <v>0</v>
      </c>
      <c r="E3377" s="154">
        <v>0</v>
      </c>
      <c r="F3377" s="154">
        <v>0</v>
      </c>
      <c r="G3377" s="154">
        <v>0</v>
      </c>
      <c r="H3377" s="154">
        <v>0</v>
      </c>
      <c r="I3377" s="154">
        <v>0</v>
      </c>
      <c r="J3377" s="154">
        <v>0</v>
      </c>
    </row>
    <row r="3378" spans="1:10">
      <c r="A3378" s="79" t="s">
        <v>106</v>
      </c>
      <c r="B3378" s="79" t="s">
        <v>36</v>
      </c>
      <c r="C3378" s="148">
        <v>0.67777777777777803</v>
      </c>
      <c r="D3378" s="152">
        <v>0</v>
      </c>
      <c r="E3378" s="152">
        <v>0</v>
      </c>
      <c r="F3378" s="152">
        <v>0</v>
      </c>
      <c r="G3378" s="152">
        <v>0</v>
      </c>
      <c r="H3378" s="152">
        <v>0</v>
      </c>
      <c r="I3378" s="152">
        <v>0</v>
      </c>
      <c r="J3378" s="152">
        <v>0</v>
      </c>
    </row>
    <row r="3379" spans="1:10">
      <c r="A3379" s="79" t="s">
        <v>106</v>
      </c>
      <c r="B3379" s="79" t="s">
        <v>36</v>
      </c>
      <c r="C3379" s="148">
        <v>0.67847222222222203</v>
      </c>
      <c r="D3379" s="152">
        <v>0</v>
      </c>
      <c r="E3379" s="152">
        <v>0</v>
      </c>
      <c r="F3379" s="152">
        <v>0</v>
      </c>
      <c r="G3379" s="152">
        <v>0</v>
      </c>
      <c r="H3379" s="152">
        <v>0</v>
      </c>
      <c r="I3379" s="152">
        <v>0</v>
      </c>
      <c r="J3379" s="152">
        <v>0</v>
      </c>
    </row>
    <row r="3380" spans="1:10">
      <c r="A3380" s="79" t="s">
        <v>106</v>
      </c>
      <c r="B3380" s="79" t="s">
        <v>36</v>
      </c>
      <c r="C3380" s="148">
        <v>0.67916666666666703</v>
      </c>
      <c r="D3380" s="152">
        <v>0</v>
      </c>
      <c r="E3380" s="152">
        <v>0</v>
      </c>
      <c r="F3380" s="152">
        <v>0</v>
      </c>
      <c r="G3380" s="152">
        <v>0</v>
      </c>
      <c r="H3380" s="152">
        <v>0</v>
      </c>
      <c r="I3380" s="152">
        <v>0</v>
      </c>
      <c r="J3380" s="152">
        <v>0</v>
      </c>
    </row>
    <row r="3381" spans="1:10">
      <c r="A3381" s="79" t="s">
        <v>106</v>
      </c>
      <c r="B3381" s="79" t="s">
        <v>36</v>
      </c>
      <c r="C3381" s="148">
        <v>0.67986111111111103</v>
      </c>
      <c r="D3381" s="152">
        <v>0</v>
      </c>
      <c r="E3381" s="152">
        <v>0</v>
      </c>
      <c r="F3381" s="152">
        <v>0</v>
      </c>
      <c r="G3381" s="152">
        <v>0</v>
      </c>
      <c r="H3381" s="152">
        <v>0</v>
      </c>
      <c r="I3381" s="152">
        <v>0</v>
      </c>
      <c r="J3381" s="152">
        <v>0</v>
      </c>
    </row>
    <row r="3382" spans="1:10">
      <c r="A3382" s="79" t="s">
        <v>106</v>
      </c>
      <c r="B3382" s="79" t="s">
        <v>36</v>
      </c>
      <c r="C3382" s="148">
        <v>0.68055555555555503</v>
      </c>
      <c r="D3382" s="152">
        <v>0</v>
      </c>
      <c r="E3382" s="152">
        <v>0</v>
      </c>
      <c r="F3382" s="152">
        <v>0</v>
      </c>
      <c r="G3382" s="152">
        <v>0</v>
      </c>
      <c r="H3382" s="152">
        <v>0</v>
      </c>
      <c r="I3382" s="152">
        <v>0</v>
      </c>
      <c r="J3382" s="152">
        <v>0</v>
      </c>
    </row>
    <row r="3383" spans="1:10">
      <c r="A3383" s="79" t="s">
        <v>106</v>
      </c>
      <c r="B3383" s="79" t="s">
        <v>36</v>
      </c>
      <c r="C3383" s="148">
        <v>0.68125000000000002</v>
      </c>
      <c r="D3383" s="152">
        <v>0</v>
      </c>
      <c r="E3383" s="152">
        <v>0</v>
      </c>
      <c r="F3383" s="152">
        <v>0</v>
      </c>
      <c r="G3383" s="152">
        <v>0</v>
      </c>
      <c r="H3383" s="152">
        <v>0</v>
      </c>
      <c r="I3383" s="152">
        <v>0</v>
      </c>
      <c r="J3383" s="152">
        <v>0</v>
      </c>
    </row>
    <row r="3384" spans="1:10">
      <c r="A3384" s="79" t="s">
        <v>106</v>
      </c>
      <c r="B3384" s="79" t="s">
        <v>36</v>
      </c>
      <c r="C3384" s="148">
        <v>0.68194444444444402</v>
      </c>
      <c r="D3384" s="152">
        <v>0</v>
      </c>
      <c r="E3384" s="152">
        <v>0</v>
      </c>
      <c r="F3384" s="152">
        <v>0</v>
      </c>
      <c r="G3384" s="152">
        <v>0</v>
      </c>
      <c r="H3384" s="152">
        <v>0</v>
      </c>
      <c r="I3384" s="152">
        <v>0</v>
      </c>
      <c r="J3384" s="152">
        <v>0</v>
      </c>
    </row>
    <row r="3385" spans="1:10">
      <c r="A3385" s="79" t="s">
        <v>106</v>
      </c>
      <c r="B3385" s="79" t="s">
        <v>36</v>
      </c>
      <c r="C3385" s="148">
        <v>0.68263888888888902</v>
      </c>
      <c r="D3385" s="152">
        <v>0</v>
      </c>
      <c r="E3385" s="152">
        <v>0</v>
      </c>
      <c r="F3385" s="152">
        <v>0</v>
      </c>
      <c r="G3385" s="152">
        <v>0</v>
      </c>
      <c r="H3385" s="152">
        <v>0</v>
      </c>
      <c r="I3385" s="152">
        <v>0</v>
      </c>
      <c r="J3385" s="152">
        <v>0</v>
      </c>
    </row>
    <row r="3386" spans="1:10">
      <c r="A3386" s="79" t="s">
        <v>106</v>
      </c>
      <c r="B3386" s="79" t="s">
        <v>36</v>
      </c>
      <c r="C3386" s="148">
        <v>0.68333333333333302</v>
      </c>
      <c r="D3386" s="152">
        <v>0</v>
      </c>
      <c r="E3386" s="152">
        <v>0</v>
      </c>
      <c r="F3386" s="152">
        <v>0</v>
      </c>
      <c r="G3386" s="152">
        <v>0</v>
      </c>
      <c r="H3386" s="152">
        <v>0</v>
      </c>
      <c r="I3386" s="152">
        <v>0</v>
      </c>
      <c r="J3386" s="152">
        <v>0</v>
      </c>
    </row>
    <row r="3387" spans="1:10">
      <c r="A3387" s="79" t="s">
        <v>106</v>
      </c>
      <c r="B3387" s="79" t="s">
        <v>36</v>
      </c>
      <c r="C3387" s="148">
        <v>0.68402777777777801</v>
      </c>
      <c r="D3387" s="152">
        <v>0</v>
      </c>
      <c r="E3387" s="152">
        <v>0</v>
      </c>
      <c r="F3387" s="152">
        <v>0</v>
      </c>
      <c r="G3387" s="152">
        <v>0</v>
      </c>
      <c r="H3387" s="152">
        <v>0</v>
      </c>
      <c r="I3387" s="152">
        <v>0</v>
      </c>
      <c r="J3387" s="152">
        <v>0</v>
      </c>
    </row>
    <row r="3388" spans="1:10">
      <c r="A3388" s="79" t="s">
        <v>106</v>
      </c>
      <c r="B3388" s="79" t="s">
        <v>36</v>
      </c>
      <c r="C3388" s="148">
        <v>0.68472222222222201</v>
      </c>
      <c r="D3388" s="152">
        <v>0</v>
      </c>
      <c r="E3388" s="152">
        <v>0</v>
      </c>
      <c r="F3388" s="152">
        <v>0</v>
      </c>
      <c r="G3388" s="152">
        <v>0</v>
      </c>
      <c r="H3388" s="152">
        <v>0</v>
      </c>
      <c r="I3388" s="152">
        <v>0</v>
      </c>
      <c r="J3388" s="152">
        <v>0</v>
      </c>
    </row>
    <row r="3389" spans="1:10">
      <c r="A3389" s="79" t="s">
        <v>106</v>
      </c>
      <c r="B3389" s="79" t="s">
        <v>36</v>
      </c>
      <c r="C3389" s="148">
        <v>0.68541666666666701</v>
      </c>
      <c r="D3389" s="152">
        <v>0</v>
      </c>
      <c r="E3389" s="152">
        <v>0</v>
      </c>
      <c r="F3389" s="152">
        <v>0</v>
      </c>
      <c r="G3389" s="152">
        <v>0</v>
      </c>
      <c r="H3389" s="152">
        <v>0</v>
      </c>
      <c r="I3389" s="152">
        <v>0</v>
      </c>
      <c r="J3389" s="152">
        <v>0</v>
      </c>
    </row>
    <row r="3390" spans="1:10">
      <c r="A3390" s="79" t="s">
        <v>106</v>
      </c>
      <c r="B3390" s="79" t="s">
        <v>36</v>
      </c>
      <c r="C3390" s="148">
        <v>0.68611111111111101</v>
      </c>
      <c r="D3390" s="152">
        <v>0</v>
      </c>
      <c r="E3390" s="152">
        <v>0</v>
      </c>
      <c r="F3390" s="152">
        <v>0</v>
      </c>
      <c r="G3390" s="152">
        <v>0</v>
      </c>
      <c r="H3390" s="152">
        <v>0</v>
      </c>
      <c r="I3390" s="152">
        <v>0</v>
      </c>
      <c r="J3390" s="152">
        <v>0</v>
      </c>
    </row>
    <row r="3391" spans="1:10" s="78" customFormat="1">
      <c r="A3391" s="82" t="s">
        <v>106</v>
      </c>
      <c r="B3391" s="82" t="s">
        <v>36</v>
      </c>
      <c r="C3391" s="150">
        <v>0.686805555555555</v>
      </c>
      <c r="D3391" s="153">
        <v>0</v>
      </c>
      <c r="E3391" s="153">
        <v>0</v>
      </c>
      <c r="F3391" s="153">
        <v>0</v>
      </c>
      <c r="G3391" s="153">
        <v>0</v>
      </c>
      <c r="H3391" s="153">
        <v>0</v>
      </c>
      <c r="I3391" s="153">
        <v>0</v>
      </c>
      <c r="J3391" s="153">
        <v>0</v>
      </c>
    </row>
    <row r="3392" spans="1:10">
      <c r="A3392" s="79" t="s">
        <v>106</v>
      </c>
      <c r="B3392" s="79" t="s">
        <v>36</v>
      </c>
      <c r="C3392" s="148">
        <v>0.6875</v>
      </c>
      <c r="D3392" s="154">
        <v>0</v>
      </c>
      <c r="E3392" s="154">
        <v>0</v>
      </c>
      <c r="F3392" s="154">
        <v>0</v>
      </c>
      <c r="G3392" s="154">
        <v>0</v>
      </c>
      <c r="H3392" s="154">
        <v>0</v>
      </c>
      <c r="I3392" s="154">
        <v>0</v>
      </c>
      <c r="J3392" s="154">
        <v>0</v>
      </c>
    </row>
    <row r="3393" spans="1:10">
      <c r="A3393" s="79" t="s">
        <v>106</v>
      </c>
      <c r="B3393" s="79" t="s">
        <v>36</v>
      </c>
      <c r="C3393" s="148">
        <v>0.688194444444444</v>
      </c>
      <c r="D3393" s="152">
        <v>0</v>
      </c>
      <c r="E3393" s="152">
        <v>0</v>
      </c>
      <c r="F3393" s="152">
        <v>0</v>
      </c>
      <c r="G3393" s="152">
        <v>0</v>
      </c>
      <c r="H3393" s="152">
        <v>0</v>
      </c>
      <c r="I3393" s="152">
        <v>0</v>
      </c>
      <c r="J3393" s="152">
        <v>0</v>
      </c>
    </row>
    <row r="3394" spans="1:10">
      <c r="A3394" s="79" t="s">
        <v>106</v>
      </c>
      <c r="B3394" s="79" t="s">
        <v>36</v>
      </c>
      <c r="C3394" s="148">
        <v>0.68888888888888899</v>
      </c>
      <c r="D3394" s="152">
        <v>0</v>
      </c>
      <c r="E3394" s="152">
        <v>0</v>
      </c>
      <c r="F3394" s="152">
        <v>0</v>
      </c>
      <c r="G3394" s="152">
        <v>0</v>
      </c>
      <c r="H3394" s="152">
        <v>0</v>
      </c>
      <c r="I3394" s="152">
        <v>0</v>
      </c>
      <c r="J3394" s="152">
        <v>0</v>
      </c>
    </row>
    <row r="3395" spans="1:10">
      <c r="A3395" s="79" t="s">
        <v>106</v>
      </c>
      <c r="B3395" s="79" t="s">
        <v>36</v>
      </c>
      <c r="C3395" s="148">
        <v>0.68958333333333299</v>
      </c>
      <c r="D3395" s="152">
        <v>0</v>
      </c>
      <c r="E3395" s="152">
        <v>0</v>
      </c>
      <c r="F3395" s="152">
        <v>0</v>
      </c>
      <c r="G3395" s="152">
        <v>0</v>
      </c>
      <c r="H3395" s="152">
        <v>0</v>
      </c>
      <c r="I3395" s="152">
        <v>0</v>
      </c>
      <c r="J3395" s="152">
        <v>0</v>
      </c>
    </row>
    <row r="3396" spans="1:10">
      <c r="A3396" s="79" t="s">
        <v>106</v>
      </c>
      <c r="B3396" s="79" t="s">
        <v>36</v>
      </c>
      <c r="C3396" s="148">
        <v>0.69027777777777799</v>
      </c>
      <c r="D3396" s="152">
        <v>0</v>
      </c>
      <c r="E3396" s="152">
        <v>0</v>
      </c>
      <c r="F3396" s="152">
        <v>0</v>
      </c>
      <c r="G3396" s="152">
        <v>0</v>
      </c>
      <c r="H3396" s="152">
        <v>0</v>
      </c>
      <c r="I3396" s="152">
        <v>0</v>
      </c>
      <c r="J3396" s="152">
        <v>0</v>
      </c>
    </row>
    <row r="3397" spans="1:10">
      <c r="A3397" s="79" t="s">
        <v>106</v>
      </c>
      <c r="B3397" s="79" t="s">
        <v>36</v>
      </c>
      <c r="C3397" s="148">
        <v>0.69097222222222199</v>
      </c>
      <c r="D3397" s="152">
        <v>0</v>
      </c>
      <c r="E3397" s="152">
        <v>0</v>
      </c>
      <c r="F3397" s="152">
        <v>0</v>
      </c>
      <c r="G3397" s="152">
        <v>0</v>
      </c>
      <c r="H3397" s="152">
        <v>0</v>
      </c>
      <c r="I3397" s="152">
        <v>0</v>
      </c>
      <c r="J3397" s="152">
        <v>0</v>
      </c>
    </row>
    <row r="3398" spans="1:10">
      <c r="A3398" s="79" t="s">
        <v>106</v>
      </c>
      <c r="B3398" s="79" t="s">
        <v>36</v>
      </c>
      <c r="C3398" s="148">
        <v>0.69166666666666698</v>
      </c>
      <c r="D3398" s="152">
        <v>0</v>
      </c>
      <c r="E3398" s="152">
        <v>0</v>
      </c>
      <c r="F3398" s="152">
        <v>0</v>
      </c>
      <c r="G3398" s="152">
        <v>0</v>
      </c>
      <c r="H3398" s="152">
        <v>0</v>
      </c>
      <c r="I3398" s="152">
        <v>0</v>
      </c>
      <c r="J3398" s="152">
        <v>0</v>
      </c>
    </row>
    <row r="3399" spans="1:10">
      <c r="A3399" s="79" t="s">
        <v>106</v>
      </c>
      <c r="B3399" s="79" t="s">
        <v>36</v>
      </c>
      <c r="C3399" s="148">
        <v>0.69236111111111098</v>
      </c>
      <c r="D3399" s="152">
        <v>0</v>
      </c>
      <c r="E3399" s="152">
        <v>0</v>
      </c>
      <c r="F3399" s="152">
        <v>0</v>
      </c>
      <c r="G3399" s="152">
        <v>0</v>
      </c>
      <c r="H3399" s="152">
        <v>0</v>
      </c>
      <c r="I3399" s="152">
        <v>0</v>
      </c>
      <c r="J3399" s="152">
        <v>0</v>
      </c>
    </row>
    <row r="3400" spans="1:10">
      <c r="A3400" s="79" t="s">
        <v>106</v>
      </c>
      <c r="B3400" s="79" t="s">
        <v>36</v>
      </c>
      <c r="C3400" s="148">
        <v>0.69305555555555498</v>
      </c>
      <c r="D3400" s="152">
        <v>0</v>
      </c>
      <c r="E3400" s="152">
        <v>0</v>
      </c>
      <c r="F3400" s="152">
        <v>0</v>
      </c>
      <c r="G3400" s="152">
        <v>0</v>
      </c>
      <c r="H3400" s="152">
        <v>0</v>
      </c>
      <c r="I3400" s="152">
        <v>0</v>
      </c>
      <c r="J3400" s="152">
        <v>0</v>
      </c>
    </row>
    <row r="3401" spans="1:10">
      <c r="A3401" s="79" t="s">
        <v>106</v>
      </c>
      <c r="B3401" s="79" t="s">
        <v>36</v>
      </c>
      <c r="C3401" s="148">
        <v>0.69374999999999998</v>
      </c>
      <c r="D3401" s="152">
        <v>0</v>
      </c>
      <c r="E3401" s="152">
        <v>0</v>
      </c>
      <c r="F3401" s="152">
        <v>0</v>
      </c>
      <c r="G3401" s="152">
        <v>0</v>
      </c>
      <c r="H3401" s="152">
        <v>0</v>
      </c>
      <c r="I3401" s="152">
        <v>0</v>
      </c>
      <c r="J3401" s="152">
        <v>0</v>
      </c>
    </row>
    <row r="3402" spans="1:10">
      <c r="A3402" s="79" t="s">
        <v>106</v>
      </c>
      <c r="B3402" s="79" t="s">
        <v>36</v>
      </c>
      <c r="C3402" s="148">
        <v>0.69444444444444398</v>
      </c>
      <c r="D3402" s="152">
        <v>0</v>
      </c>
      <c r="E3402" s="152">
        <v>0</v>
      </c>
      <c r="F3402" s="152">
        <v>0</v>
      </c>
      <c r="G3402" s="152">
        <v>0</v>
      </c>
      <c r="H3402" s="152">
        <v>0</v>
      </c>
      <c r="I3402" s="152">
        <v>0</v>
      </c>
      <c r="J3402" s="152">
        <v>0</v>
      </c>
    </row>
    <row r="3403" spans="1:10">
      <c r="A3403" s="79" t="s">
        <v>106</v>
      </c>
      <c r="B3403" s="79" t="s">
        <v>36</v>
      </c>
      <c r="C3403" s="148">
        <v>0.69513888888888897</v>
      </c>
      <c r="D3403" s="152">
        <v>0</v>
      </c>
      <c r="E3403" s="152">
        <v>0</v>
      </c>
      <c r="F3403" s="152">
        <v>0</v>
      </c>
      <c r="G3403" s="152">
        <v>0</v>
      </c>
      <c r="H3403" s="152">
        <v>0</v>
      </c>
      <c r="I3403" s="152">
        <v>0</v>
      </c>
      <c r="J3403" s="152">
        <v>0</v>
      </c>
    </row>
    <row r="3404" spans="1:10">
      <c r="A3404" s="79" t="s">
        <v>106</v>
      </c>
      <c r="B3404" s="79" t="s">
        <v>36</v>
      </c>
      <c r="C3404" s="148">
        <v>0.69583333333333297</v>
      </c>
      <c r="D3404" s="152">
        <v>0</v>
      </c>
      <c r="E3404" s="152">
        <v>0</v>
      </c>
      <c r="F3404" s="152">
        <v>0</v>
      </c>
      <c r="G3404" s="152">
        <v>0</v>
      </c>
      <c r="H3404" s="152">
        <v>0</v>
      </c>
      <c r="I3404" s="152">
        <v>0</v>
      </c>
      <c r="J3404" s="152">
        <v>0</v>
      </c>
    </row>
    <row r="3405" spans="1:10">
      <c r="A3405" s="79" t="s">
        <v>106</v>
      </c>
      <c r="B3405" s="79" t="s">
        <v>36</v>
      </c>
      <c r="C3405" s="148">
        <v>0.69652777777777797</v>
      </c>
      <c r="D3405" s="152">
        <v>0</v>
      </c>
      <c r="E3405" s="152">
        <v>0</v>
      </c>
      <c r="F3405" s="152">
        <v>0</v>
      </c>
      <c r="G3405" s="152">
        <v>0</v>
      </c>
      <c r="H3405" s="152">
        <v>0</v>
      </c>
      <c r="I3405" s="152">
        <v>0</v>
      </c>
      <c r="J3405" s="152">
        <v>0</v>
      </c>
    </row>
    <row r="3406" spans="1:10" s="78" customFormat="1">
      <c r="A3406" s="82" t="s">
        <v>106</v>
      </c>
      <c r="B3406" s="82" t="s">
        <v>36</v>
      </c>
      <c r="C3406" s="150">
        <v>0.69722222222222197</v>
      </c>
      <c r="D3406" s="153">
        <v>0</v>
      </c>
      <c r="E3406" s="153">
        <v>0</v>
      </c>
      <c r="F3406" s="153">
        <v>0</v>
      </c>
      <c r="G3406" s="153">
        <v>0</v>
      </c>
      <c r="H3406" s="153">
        <v>0</v>
      </c>
      <c r="I3406" s="153">
        <v>0</v>
      </c>
      <c r="J3406" s="153">
        <v>0</v>
      </c>
    </row>
    <row r="3407" spans="1:10">
      <c r="A3407" s="79" t="s">
        <v>106</v>
      </c>
      <c r="B3407" s="79" t="s">
        <v>36</v>
      </c>
      <c r="C3407" s="148">
        <v>0.69791666666666696</v>
      </c>
      <c r="D3407" s="154">
        <v>0</v>
      </c>
      <c r="E3407" s="154">
        <v>0</v>
      </c>
      <c r="F3407" s="154">
        <v>0</v>
      </c>
      <c r="G3407" s="154">
        <v>0</v>
      </c>
      <c r="H3407" s="154">
        <v>0</v>
      </c>
      <c r="I3407" s="154">
        <v>0</v>
      </c>
      <c r="J3407" s="154">
        <v>0</v>
      </c>
    </row>
    <row r="3408" spans="1:10">
      <c r="A3408" s="79" t="s">
        <v>106</v>
      </c>
      <c r="B3408" s="79" t="s">
        <v>36</v>
      </c>
      <c r="C3408" s="148">
        <v>0.69861111111111096</v>
      </c>
      <c r="D3408" s="152">
        <v>0</v>
      </c>
      <c r="E3408" s="152">
        <v>0</v>
      </c>
      <c r="F3408" s="152">
        <v>0</v>
      </c>
      <c r="G3408" s="152">
        <v>0</v>
      </c>
      <c r="H3408" s="152">
        <v>0</v>
      </c>
      <c r="I3408" s="152">
        <v>0</v>
      </c>
      <c r="J3408" s="152">
        <v>0</v>
      </c>
    </row>
    <row r="3409" spans="1:10">
      <c r="A3409" s="79" t="s">
        <v>106</v>
      </c>
      <c r="B3409" s="79" t="s">
        <v>36</v>
      </c>
      <c r="C3409" s="148">
        <v>0.69930555555555496</v>
      </c>
      <c r="D3409" s="152">
        <v>0</v>
      </c>
      <c r="E3409" s="152">
        <v>0</v>
      </c>
      <c r="F3409" s="152">
        <v>0</v>
      </c>
      <c r="G3409" s="152">
        <v>0</v>
      </c>
      <c r="H3409" s="152">
        <v>0</v>
      </c>
      <c r="I3409" s="152">
        <v>0</v>
      </c>
      <c r="J3409" s="152">
        <v>0</v>
      </c>
    </row>
    <row r="3410" spans="1:10">
      <c r="A3410" s="79" t="s">
        <v>106</v>
      </c>
      <c r="B3410" s="79" t="s">
        <v>36</v>
      </c>
      <c r="C3410" s="148">
        <v>0.7</v>
      </c>
      <c r="D3410" s="152">
        <v>0</v>
      </c>
      <c r="E3410" s="152">
        <v>0</v>
      </c>
      <c r="F3410" s="152">
        <v>0</v>
      </c>
      <c r="G3410" s="152">
        <v>0</v>
      </c>
      <c r="H3410" s="152">
        <v>0</v>
      </c>
      <c r="I3410" s="152">
        <v>0</v>
      </c>
      <c r="J3410" s="152">
        <v>0</v>
      </c>
    </row>
    <row r="3411" spans="1:10">
      <c r="A3411" s="79" t="s">
        <v>106</v>
      </c>
      <c r="B3411" s="79" t="s">
        <v>36</v>
      </c>
      <c r="C3411" s="148">
        <v>0.70069444444444395</v>
      </c>
      <c r="D3411" s="152">
        <v>0</v>
      </c>
      <c r="E3411" s="152">
        <v>0</v>
      </c>
      <c r="F3411" s="152">
        <v>0</v>
      </c>
      <c r="G3411" s="152">
        <v>0</v>
      </c>
      <c r="H3411" s="152">
        <v>0</v>
      </c>
      <c r="I3411" s="152">
        <v>0</v>
      </c>
      <c r="J3411" s="152">
        <v>0</v>
      </c>
    </row>
    <row r="3412" spans="1:10">
      <c r="A3412" s="79" t="s">
        <v>106</v>
      </c>
      <c r="B3412" s="79" t="s">
        <v>36</v>
      </c>
      <c r="C3412" s="148">
        <v>0.70138888888888895</v>
      </c>
      <c r="D3412" s="152">
        <v>0</v>
      </c>
      <c r="E3412" s="152">
        <v>0</v>
      </c>
      <c r="F3412" s="152">
        <v>0</v>
      </c>
      <c r="G3412" s="152">
        <v>0</v>
      </c>
      <c r="H3412" s="152">
        <v>0</v>
      </c>
      <c r="I3412" s="152">
        <v>0</v>
      </c>
      <c r="J3412" s="152">
        <v>0</v>
      </c>
    </row>
    <row r="3413" spans="1:10">
      <c r="A3413" s="79" t="s">
        <v>106</v>
      </c>
      <c r="B3413" s="79" t="s">
        <v>36</v>
      </c>
      <c r="C3413" s="148">
        <v>0.70208333333333295</v>
      </c>
      <c r="D3413" s="152">
        <v>0</v>
      </c>
      <c r="E3413" s="152">
        <v>0</v>
      </c>
      <c r="F3413" s="152">
        <v>0</v>
      </c>
      <c r="G3413" s="152">
        <v>0</v>
      </c>
      <c r="H3413" s="152">
        <v>0</v>
      </c>
      <c r="I3413" s="152">
        <v>0</v>
      </c>
      <c r="J3413" s="152">
        <v>0</v>
      </c>
    </row>
    <row r="3414" spans="1:10">
      <c r="A3414" s="79" t="s">
        <v>106</v>
      </c>
      <c r="B3414" s="79" t="s">
        <v>36</v>
      </c>
      <c r="C3414" s="148">
        <v>0.70277777777777795</v>
      </c>
      <c r="D3414" s="152">
        <v>0</v>
      </c>
      <c r="E3414" s="152">
        <v>0</v>
      </c>
      <c r="F3414" s="152">
        <v>0</v>
      </c>
      <c r="G3414" s="152">
        <v>0</v>
      </c>
      <c r="H3414" s="152">
        <v>0</v>
      </c>
      <c r="I3414" s="152">
        <v>0</v>
      </c>
      <c r="J3414" s="152">
        <v>0</v>
      </c>
    </row>
    <row r="3415" spans="1:10">
      <c r="A3415" s="79" t="s">
        <v>106</v>
      </c>
      <c r="B3415" s="79" t="s">
        <v>36</v>
      </c>
      <c r="C3415" s="148">
        <v>0.70347222222222205</v>
      </c>
      <c r="D3415" s="152">
        <v>0</v>
      </c>
      <c r="E3415" s="152">
        <v>0</v>
      </c>
      <c r="F3415" s="152">
        <v>0</v>
      </c>
      <c r="G3415" s="152">
        <v>0</v>
      </c>
      <c r="H3415" s="152">
        <v>0</v>
      </c>
      <c r="I3415" s="152">
        <v>0</v>
      </c>
      <c r="J3415" s="152">
        <v>0</v>
      </c>
    </row>
    <row r="3416" spans="1:10">
      <c r="A3416" s="79" t="s">
        <v>106</v>
      </c>
      <c r="B3416" s="79" t="s">
        <v>36</v>
      </c>
      <c r="C3416" s="148">
        <v>0.70416666666666605</v>
      </c>
      <c r="D3416" s="152">
        <v>0</v>
      </c>
      <c r="E3416" s="152">
        <v>0</v>
      </c>
      <c r="F3416" s="152">
        <v>0</v>
      </c>
      <c r="G3416" s="152">
        <v>0</v>
      </c>
      <c r="H3416" s="152">
        <v>0</v>
      </c>
      <c r="I3416" s="152">
        <v>0</v>
      </c>
      <c r="J3416" s="152">
        <v>0</v>
      </c>
    </row>
    <row r="3417" spans="1:10">
      <c r="A3417" s="79" t="s">
        <v>106</v>
      </c>
      <c r="B3417" s="79" t="s">
        <v>36</v>
      </c>
      <c r="C3417" s="148">
        <v>0.70486111111111105</v>
      </c>
      <c r="D3417" s="152">
        <v>0</v>
      </c>
      <c r="E3417" s="152">
        <v>0</v>
      </c>
      <c r="F3417" s="152">
        <v>0</v>
      </c>
      <c r="G3417" s="152">
        <v>0</v>
      </c>
      <c r="H3417" s="152">
        <v>0</v>
      </c>
      <c r="I3417" s="152">
        <v>0</v>
      </c>
      <c r="J3417" s="152">
        <v>0</v>
      </c>
    </row>
    <row r="3418" spans="1:10">
      <c r="A3418" s="79" t="s">
        <v>106</v>
      </c>
      <c r="B3418" s="79" t="s">
        <v>36</v>
      </c>
      <c r="C3418" s="148">
        <v>0.70555555555555505</v>
      </c>
      <c r="D3418" s="152">
        <v>0</v>
      </c>
      <c r="E3418" s="152">
        <v>0</v>
      </c>
      <c r="F3418" s="152">
        <v>0</v>
      </c>
      <c r="G3418" s="152">
        <v>0</v>
      </c>
      <c r="H3418" s="152">
        <v>0</v>
      </c>
      <c r="I3418" s="152">
        <v>0</v>
      </c>
      <c r="J3418" s="152">
        <v>0</v>
      </c>
    </row>
    <row r="3419" spans="1:10">
      <c r="A3419" s="79" t="s">
        <v>106</v>
      </c>
      <c r="B3419" s="79" t="s">
        <v>36</v>
      </c>
      <c r="C3419" s="148">
        <v>0.70625000000000004</v>
      </c>
      <c r="D3419" s="152">
        <v>0</v>
      </c>
      <c r="E3419" s="152">
        <v>0</v>
      </c>
      <c r="F3419" s="152">
        <v>0</v>
      </c>
      <c r="G3419" s="152">
        <v>0</v>
      </c>
      <c r="H3419" s="152">
        <v>0</v>
      </c>
      <c r="I3419" s="152">
        <v>0</v>
      </c>
      <c r="J3419" s="152">
        <v>0</v>
      </c>
    </row>
    <row r="3420" spans="1:10">
      <c r="A3420" s="79" t="s">
        <v>106</v>
      </c>
      <c r="B3420" s="79" t="s">
        <v>36</v>
      </c>
      <c r="C3420" s="148">
        <v>0.70694444444444404</v>
      </c>
      <c r="D3420" s="152">
        <v>0</v>
      </c>
      <c r="E3420" s="152">
        <v>0</v>
      </c>
      <c r="F3420" s="152">
        <v>0</v>
      </c>
      <c r="G3420" s="152">
        <v>0</v>
      </c>
      <c r="H3420" s="152">
        <v>0</v>
      </c>
      <c r="I3420" s="152">
        <v>0</v>
      </c>
      <c r="J3420" s="152">
        <v>0</v>
      </c>
    </row>
    <row r="3421" spans="1:10" s="78" customFormat="1">
      <c r="A3421" s="82" t="s">
        <v>106</v>
      </c>
      <c r="B3421" s="82" t="s">
        <v>36</v>
      </c>
      <c r="C3421" s="150">
        <v>0.70763888888888904</v>
      </c>
      <c r="D3421" s="153">
        <v>0</v>
      </c>
      <c r="E3421" s="153">
        <v>0</v>
      </c>
      <c r="F3421" s="153">
        <v>0</v>
      </c>
      <c r="G3421" s="153">
        <v>0</v>
      </c>
      <c r="H3421" s="153">
        <v>0</v>
      </c>
      <c r="I3421" s="153">
        <v>0</v>
      </c>
      <c r="J3421" s="153">
        <v>0</v>
      </c>
    </row>
    <row r="3422" spans="1:10">
      <c r="A3422" s="79" t="s">
        <v>106</v>
      </c>
      <c r="B3422" s="79" t="s">
        <v>36</v>
      </c>
      <c r="C3422" s="148">
        <v>0.70833333333333304</v>
      </c>
      <c r="D3422" s="154">
        <v>0</v>
      </c>
      <c r="E3422" s="154">
        <v>0</v>
      </c>
      <c r="F3422" s="154">
        <v>0</v>
      </c>
      <c r="G3422" s="154">
        <v>0</v>
      </c>
      <c r="H3422" s="154">
        <v>0</v>
      </c>
      <c r="I3422" s="154">
        <v>0</v>
      </c>
      <c r="J3422" s="154">
        <v>0</v>
      </c>
    </row>
    <row r="3423" spans="1:10">
      <c r="A3423" s="79" t="s">
        <v>106</v>
      </c>
      <c r="B3423" s="79" t="s">
        <v>36</v>
      </c>
      <c r="C3423" s="148">
        <v>0.70902777777777803</v>
      </c>
      <c r="D3423" s="152">
        <v>0</v>
      </c>
      <c r="E3423" s="152">
        <v>0</v>
      </c>
      <c r="F3423" s="152">
        <v>0</v>
      </c>
      <c r="G3423" s="152">
        <v>0</v>
      </c>
      <c r="H3423" s="152">
        <v>0</v>
      </c>
      <c r="I3423" s="152">
        <v>0</v>
      </c>
      <c r="J3423" s="152">
        <v>0</v>
      </c>
    </row>
    <row r="3424" spans="1:10">
      <c r="A3424" s="79" t="s">
        <v>106</v>
      </c>
      <c r="B3424" s="79" t="s">
        <v>36</v>
      </c>
      <c r="C3424" s="148">
        <v>0.70972222222222203</v>
      </c>
      <c r="D3424" s="152">
        <v>0</v>
      </c>
      <c r="E3424" s="152">
        <v>0</v>
      </c>
      <c r="F3424" s="152">
        <v>0</v>
      </c>
      <c r="G3424" s="152">
        <v>0</v>
      </c>
      <c r="H3424" s="152">
        <v>0</v>
      </c>
      <c r="I3424" s="152">
        <v>0</v>
      </c>
      <c r="J3424" s="152">
        <v>0</v>
      </c>
    </row>
    <row r="3425" spans="1:10">
      <c r="A3425" s="79" t="s">
        <v>106</v>
      </c>
      <c r="B3425" s="79" t="s">
        <v>36</v>
      </c>
      <c r="C3425" s="148">
        <v>0.71041666666666603</v>
      </c>
      <c r="D3425" s="152">
        <v>0</v>
      </c>
      <c r="E3425" s="152">
        <v>0</v>
      </c>
      <c r="F3425" s="152">
        <v>0</v>
      </c>
      <c r="G3425" s="152">
        <v>0</v>
      </c>
      <c r="H3425" s="152">
        <v>0</v>
      </c>
      <c r="I3425" s="152">
        <v>0</v>
      </c>
      <c r="J3425" s="152">
        <v>0</v>
      </c>
    </row>
    <row r="3426" spans="1:10">
      <c r="A3426" s="79" t="s">
        <v>106</v>
      </c>
      <c r="B3426" s="79" t="s">
        <v>36</v>
      </c>
      <c r="C3426" s="148">
        <v>0.71111111111111103</v>
      </c>
      <c r="D3426" s="152">
        <v>0</v>
      </c>
      <c r="E3426" s="152">
        <v>0</v>
      </c>
      <c r="F3426" s="152">
        <v>0</v>
      </c>
      <c r="G3426" s="152">
        <v>0</v>
      </c>
      <c r="H3426" s="152">
        <v>0</v>
      </c>
      <c r="I3426" s="152">
        <v>0</v>
      </c>
      <c r="J3426" s="152">
        <v>0</v>
      </c>
    </row>
    <row r="3427" spans="1:10">
      <c r="A3427" s="79" t="s">
        <v>106</v>
      </c>
      <c r="B3427" s="79" t="s">
        <v>36</v>
      </c>
      <c r="C3427" s="148">
        <v>0.71180555555555503</v>
      </c>
      <c r="D3427" s="152">
        <v>0</v>
      </c>
      <c r="E3427" s="152">
        <v>0</v>
      </c>
      <c r="F3427" s="152">
        <v>0</v>
      </c>
      <c r="G3427" s="152">
        <v>0</v>
      </c>
      <c r="H3427" s="152">
        <v>0</v>
      </c>
      <c r="I3427" s="152">
        <v>0</v>
      </c>
      <c r="J3427" s="152">
        <v>0</v>
      </c>
    </row>
    <row r="3428" spans="1:10">
      <c r="A3428" s="79" t="s">
        <v>106</v>
      </c>
      <c r="B3428" s="79" t="s">
        <v>36</v>
      </c>
      <c r="C3428" s="148">
        <v>0.71250000000000002</v>
      </c>
      <c r="D3428" s="152">
        <v>0</v>
      </c>
      <c r="E3428" s="152">
        <v>0</v>
      </c>
      <c r="F3428" s="152">
        <v>0</v>
      </c>
      <c r="G3428" s="152">
        <v>0</v>
      </c>
      <c r="H3428" s="152">
        <v>0</v>
      </c>
      <c r="I3428" s="152">
        <v>0</v>
      </c>
      <c r="J3428" s="152">
        <v>0</v>
      </c>
    </row>
    <row r="3429" spans="1:10">
      <c r="A3429" s="79" t="s">
        <v>106</v>
      </c>
      <c r="B3429" s="79" t="s">
        <v>36</v>
      </c>
      <c r="C3429" s="148">
        <v>0.71319444444444402</v>
      </c>
      <c r="D3429" s="152">
        <v>0</v>
      </c>
      <c r="E3429" s="152">
        <v>0</v>
      </c>
      <c r="F3429" s="152">
        <v>0</v>
      </c>
      <c r="G3429" s="152">
        <v>0</v>
      </c>
      <c r="H3429" s="152">
        <v>0</v>
      </c>
      <c r="I3429" s="152">
        <v>0</v>
      </c>
      <c r="J3429" s="152">
        <v>0</v>
      </c>
    </row>
    <row r="3430" spans="1:10">
      <c r="A3430" s="79" t="s">
        <v>106</v>
      </c>
      <c r="B3430" s="79" t="s">
        <v>36</v>
      </c>
      <c r="C3430" s="148">
        <v>0.71388888888888902</v>
      </c>
      <c r="D3430" s="152">
        <v>0</v>
      </c>
      <c r="E3430" s="152">
        <v>0</v>
      </c>
      <c r="F3430" s="152">
        <v>0</v>
      </c>
      <c r="G3430" s="152">
        <v>0</v>
      </c>
      <c r="H3430" s="152">
        <v>0</v>
      </c>
      <c r="I3430" s="152">
        <v>0</v>
      </c>
      <c r="J3430" s="152">
        <v>0</v>
      </c>
    </row>
    <row r="3431" spans="1:10">
      <c r="A3431" s="79" t="s">
        <v>106</v>
      </c>
      <c r="B3431" s="79" t="s">
        <v>36</v>
      </c>
      <c r="C3431" s="148">
        <v>0.71458333333333302</v>
      </c>
      <c r="D3431" s="152">
        <v>0</v>
      </c>
      <c r="E3431" s="152">
        <v>0</v>
      </c>
      <c r="F3431" s="152">
        <v>0</v>
      </c>
      <c r="G3431" s="152">
        <v>0</v>
      </c>
      <c r="H3431" s="152">
        <v>0</v>
      </c>
      <c r="I3431" s="152">
        <v>0</v>
      </c>
      <c r="J3431" s="152">
        <v>0</v>
      </c>
    </row>
    <row r="3432" spans="1:10">
      <c r="A3432" s="79" t="s">
        <v>106</v>
      </c>
      <c r="B3432" s="79" t="s">
        <v>36</v>
      </c>
      <c r="C3432" s="148">
        <v>0.71527777777777801</v>
      </c>
      <c r="D3432" s="152">
        <v>0</v>
      </c>
      <c r="E3432" s="152">
        <v>0</v>
      </c>
      <c r="F3432" s="152">
        <v>0</v>
      </c>
      <c r="G3432" s="152">
        <v>0</v>
      </c>
      <c r="H3432" s="152">
        <v>0</v>
      </c>
      <c r="I3432" s="152">
        <v>0</v>
      </c>
      <c r="J3432" s="152">
        <v>0</v>
      </c>
    </row>
    <row r="3433" spans="1:10">
      <c r="A3433" s="79" t="s">
        <v>106</v>
      </c>
      <c r="B3433" s="79" t="s">
        <v>36</v>
      </c>
      <c r="C3433" s="148">
        <v>0.71597222222222201</v>
      </c>
      <c r="D3433" s="152">
        <v>0</v>
      </c>
      <c r="E3433" s="152">
        <v>0</v>
      </c>
      <c r="F3433" s="152">
        <v>0</v>
      </c>
      <c r="G3433" s="152">
        <v>0</v>
      </c>
      <c r="H3433" s="152">
        <v>0</v>
      </c>
      <c r="I3433" s="152">
        <v>0</v>
      </c>
      <c r="J3433" s="152">
        <v>0</v>
      </c>
    </row>
    <row r="3434" spans="1:10">
      <c r="A3434" s="79" t="s">
        <v>106</v>
      </c>
      <c r="B3434" s="79" t="s">
        <v>36</v>
      </c>
      <c r="C3434" s="148">
        <v>0.71666666666666601</v>
      </c>
      <c r="D3434" s="152">
        <v>0</v>
      </c>
      <c r="E3434" s="152">
        <v>0</v>
      </c>
      <c r="F3434" s="152">
        <v>0</v>
      </c>
      <c r="G3434" s="152">
        <v>0</v>
      </c>
      <c r="H3434" s="152">
        <v>0</v>
      </c>
      <c r="I3434" s="152">
        <v>0</v>
      </c>
      <c r="J3434" s="152">
        <v>0</v>
      </c>
    </row>
    <row r="3435" spans="1:10">
      <c r="A3435" s="79" t="s">
        <v>106</v>
      </c>
      <c r="B3435" s="79" t="s">
        <v>36</v>
      </c>
      <c r="C3435" s="148">
        <v>0.71736111111111101</v>
      </c>
      <c r="D3435" s="152">
        <v>0</v>
      </c>
      <c r="E3435" s="152">
        <v>0</v>
      </c>
      <c r="F3435" s="152">
        <v>0</v>
      </c>
      <c r="G3435" s="152">
        <v>0</v>
      </c>
      <c r="H3435" s="152">
        <v>0</v>
      </c>
      <c r="I3435" s="152">
        <v>0</v>
      </c>
      <c r="J3435" s="152">
        <v>0</v>
      </c>
    </row>
    <row r="3436" spans="1:10" s="78" customFormat="1">
      <c r="A3436" s="82" t="s">
        <v>106</v>
      </c>
      <c r="B3436" s="82" t="s">
        <v>36</v>
      </c>
      <c r="C3436" s="150">
        <v>0.718055555555555</v>
      </c>
      <c r="D3436" s="153">
        <v>0</v>
      </c>
      <c r="E3436" s="153">
        <v>0</v>
      </c>
      <c r="F3436" s="153">
        <v>0</v>
      </c>
      <c r="G3436" s="153">
        <v>0</v>
      </c>
      <c r="H3436" s="153">
        <v>0</v>
      </c>
      <c r="I3436" s="153">
        <v>0</v>
      </c>
      <c r="J3436" s="153">
        <v>0</v>
      </c>
    </row>
    <row r="3437" spans="1:10">
      <c r="A3437" s="79" t="s">
        <v>106</v>
      </c>
      <c r="B3437" s="79" t="s">
        <v>36</v>
      </c>
      <c r="C3437" s="148">
        <v>0.71875</v>
      </c>
      <c r="D3437" s="154">
        <v>0</v>
      </c>
      <c r="E3437" s="154">
        <v>0</v>
      </c>
      <c r="F3437" s="154">
        <v>0</v>
      </c>
      <c r="G3437" s="154">
        <v>0</v>
      </c>
      <c r="H3437" s="154">
        <v>0</v>
      </c>
      <c r="I3437" s="154">
        <v>0</v>
      </c>
      <c r="J3437" s="154">
        <v>0</v>
      </c>
    </row>
    <row r="3438" spans="1:10">
      <c r="A3438" s="79" t="s">
        <v>106</v>
      </c>
      <c r="B3438" s="79" t="s">
        <v>36</v>
      </c>
      <c r="C3438" s="148">
        <v>0.719444444444444</v>
      </c>
      <c r="D3438" s="152">
        <v>0</v>
      </c>
      <c r="E3438" s="152">
        <v>0</v>
      </c>
      <c r="F3438" s="152">
        <v>0</v>
      </c>
      <c r="G3438" s="152">
        <v>0</v>
      </c>
      <c r="H3438" s="152">
        <v>0</v>
      </c>
      <c r="I3438" s="152">
        <v>0</v>
      </c>
      <c r="J3438" s="152">
        <v>0</v>
      </c>
    </row>
    <row r="3439" spans="1:10">
      <c r="A3439" s="79" t="s">
        <v>106</v>
      </c>
      <c r="B3439" s="79" t="s">
        <v>36</v>
      </c>
      <c r="C3439" s="148">
        <v>0.72013888888888899</v>
      </c>
      <c r="D3439" s="152">
        <v>0</v>
      </c>
      <c r="E3439" s="152">
        <v>0</v>
      </c>
      <c r="F3439" s="152">
        <v>0</v>
      </c>
      <c r="G3439" s="152">
        <v>0</v>
      </c>
      <c r="H3439" s="152">
        <v>0</v>
      </c>
      <c r="I3439" s="152">
        <v>0</v>
      </c>
      <c r="J3439" s="152">
        <v>0</v>
      </c>
    </row>
    <row r="3440" spans="1:10">
      <c r="A3440" s="79" t="s">
        <v>106</v>
      </c>
      <c r="B3440" s="79" t="s">
        <v>36</v>
      </c>
      <c r="C3440" s="148">
        <v>0.72083333333333299</v>
      </c>
      <c r="D3440" s="152">
        <v>0</v>
      </c>
      <c r="E3440" s="152">
        <v>0</v>
      </c>
      <c r="F3440" s="152">
        <v>0</v>
      </c>
      <c r="G3440" s="152">
        <v>0</v>
      </c>
      <c r="H3440" s="152">
        <v>0</v>
      </c>
      <c r="I3440" s="152">
        <v>0</v>
      </c>
      <c r="J3440" s="152">
        <v>0</v>
      </c>
    </row>
    <row r="3441" spans="1:10">
      <c r="A3441" s="79" t="s">
        <v>106</v>
      </c>
      <c r="B3441" s="79" t="s">
        <v>36</v>
      </c>
      <c r="C3441" s="148">
        <v>0.72152777777777799</v>
      </c>
      <c r="D3441" s="152">
        <v>0</v>
      </c>
      <c r="E3441" s="152">
        <v>0</v>
      </c>
      <c r="F3441" s="152">
        <v>0</v>
      </c>
      <c r="G3441" s="152">
        <v>0</v>
      </c>
      <c r="H3441" s="152">
        <v>0</v>
      </c>
      <c r="I3441" s="152">
        <v>0</v>
      </c>
      <c r="J3441" s="152">
        <v>0</v>
      </c>
    </row>
    <row r="3442" spans="1:10">
      <c r="A3442" s="79" t="s">
        <v>106</v>
      </c>
      <c r="B3442" s="79" t="s">
        <v>36</v>
      </c>
      <c r="C3442" s="148">
        <v>0.72222222222222199</v>
      </c>
      <c r="D3442" s="152">
        <v>0</v>
      </c>
      <c r="E3442" s="152">
        <v>0</v>
      </c>
      <c r="F3442" s="152">
        <v>0</v>
      </c>
      <c r="G3442" s="152">
        <v>0</v>
      </c>
      <c r="H3442" s="152">
        <v>0</v>
      </c>
      <c r="I3442" s="152">
        <v>0</v>
      </c>
      <c r="J3442" s="152">
        <v>0</v>
      </c>
    </row>
    <row r="3443" spans="1:10">
      <c r="A3443" s="79" t="s">
        <v>106</v>
      </c>
      <c r="B3443" s="79" t="s">
        <v>36</v>
      </c>
      <c r="C3443" s="148">
        <v>0.72291666666666599</v>
      </c>
      <c r="D3443" s="152">
        <v>0</v>
      </c>
      <c r="E3443" s="152">
        <v>0</v>
      </c>
      <c r="F3443" s="152">
        <v>0</v>
      </c>
      <c r="G3443" s="152">
        <v>0</v>
      </c>
      <c r="H3443" s="152">
        <v>0</v>
      </c>
      <c r="I3443" s="152">
        <v>0</v>
      </c>
      <c r="J3443" s="152">
        <v>0</v>
      </c>
    </row>
    <row r="3444" spans="1:10">
      <c r="A3444" s="79" t="s">
        <v>106</v>
      </c>
      <c r="B3444" s="79" t="s">
        <v>36</v>
      </c>
      <c r="C3444" s="148">
        <v>0.72361111111111098</v>
      </c>
      <c r="D3444" s="152">
        <v>0</v>
      </c>
      <c r="E3444" s="152">
        <v>0</v>
      </c>
      <c r="F3444" s="152">
        <v>0</v>
      </c>
      <c r="G3444" s="152">
        <v>0</v>
      </c>
      <c r="H3444" s="152">
        <v>0</v>
      </c>
      <c r="I3444" s="152">
        <v>0</v>
      </c>
      <c r="J3444" s="152">
        <v>0</v>
      </c>
    </row>
    <row r="3445" spans="1:10">
      <c r="A3445" s="79" t="s">
        <v>106</v>
      </c>
      <c r="B3445" s="79" t="s">
        <v>36</v>
      </c>
      <c r="C3445" s="148">
        <v>0.72430555555555498</v>
      </c>
      <c r="D3445" s="152">
        <v>0</v>
      </c>
      <c r="E3445" s="152">
        <v>0</v>
      </c>
      <c r="F3445" s="152">
        <v>0</v>
      </c>
      <c r="G3445" s="152">
        <v>0</v>
      </c>
      <c r="H3445" s="152">
        <v>0</v>
      </c>
      <c r="I3445" s="152">
        <v>0</v>
      </c>
      <c r="J3445" s="152">
        <v>0</v>
      </c>
    </row>
    <row r="3446" spans="1:10">
      <c r="A3446" s="79" t="s">
        <v>106</v>
      </c>
      <c r="B3446" s="79" t="s">
        <v>36</v>
      </c>
      <c r="C3446" s="148">
        <v>0.72499999999999998</v>
      </c>
      <c r="D3446" s="152">
        <v>0</v>
      </c>
      <c r="E3446" s="152">
        <v>0</v>
      </c>
      <c r="F3446" s="152">
        <v>0</v>
      </c>
      <c r="G3446" s="152">
        <v>0</v>
      </c>
      <c r="H3446" s="152">
        <v>0</v>
      </c>
      <c r="I3446" s="152">
        <v>0</v>
      </c>
      <c r="J3446" s="152">
        <v>0</v>
      </c>
    </row>
    <row r="3447" spans="1:10">
      <c r="A3447" s="79" t="s">
        <v>106</v>
      </c>
      <c r="B3447" s="79" t="s">
        <v>36</v>
      </c>
      <c r="C3447" s="148">
        <v>0.72569444444444398</v>
      </c>
      <c r="D3447" s="152">
        <v>0</v>
      </c>
      <c r="E3447" s="152">
        <v>0</v>
      </c>
      <c r="F3447" s="152">
        <v>0</v>
      </c>
      <c r="G3447" s="152">
        <v>0</v>
      </c>
      <c r="H3447" s="152">
        <v>0</v>
      </c>
      <c r="I3447" s="152">
        <v>0</v>
      </c>
      <c r="J3447" s="152">
        <v>0</v>
      </c>
    </row>
    <row r="3448" spans="1:10">
      <c r="A3448" s="79" t="s">
        <v>106</v>
      </c>
      <c r="B3448" s="79" t="s">
        <v>36</v>
      </c>
      <c r="C3448" s="148">
        <v>0.72638888888888897</v>
      </c>
      <c r="D3448" s="152">
        <v>0</v>
      </c>
      <c r="E3448" s="152">
        <v>0</v>
      </c>
      <c r="F3448" s="152">
        <v>0</v>
      </c>
      <c r="G3448" s="152">
        <v>0</v>
      </c>
      <c r="H3448" s="152">
        <v>0</v>
      </c>
      <c r="I3448" s="152">
        <v>0</v>
      </c>
      <c r="J3448" s="152">
        <v>0</v>
      </c>
    </row>
    <row r="3449" spans="1:10">
      <c r="A3449" s="79" t="s">
        <v>106</v>
      </c>
      <c r="B3449" s="79" t="s">
        <v>36</v>
      </c>
      <c r="C3449" s="148">
        <v>0.72708333333333297</v>
      </c>
      <c r="D3449" s="152">
        <v>0</v>
      </c>
      <c r="E3449" s="152">
        <v>0</v>
      </c>
      <c r="F3449" s="152">
        <v>0</v>
      </c>
      <c r="G3449" s="152">
        <v>0</v>
      </c>
      <c r="H3449" s="152">
        <v>0</v>
      </c>
      <c r="I3449" s="152">
        <v>0</v>
      </c>
      <c r="J3449" s="152">
        <v>0</v>
      </c>
    </row>
    <row r="3450" spans="1:10">
      <c r="A3450" s="79" t="s">
        <v>106</v>
      </c>
      <c r="B3450" s="79" t="s">
        <v>36</v>
      </c>
      <c r="C3450" s="148">
        <v>0.72777777777777797</v>
      </c>
      <c r="D3450" s="152">
        <v>0</v>
      </c>
      <c r="E3450" s="152">
        <v>0</v>
      </c>
      <c r="F3450" s="152">
        <v>0</v>
      </c>
      <c r="G3450" s="152">
        <v>0</v>
      </c>
      <c r="H3450" s="152">
        <v>0</v>
      </c>
      <c r="I3450" s="152">
        <v>0</v>
      </c>
      <c r="J3450" s="152">
        <v>0</v>
      </c>
    </row>
    <row r="3451" spans="1:10" s="78" customFormat="1">
      <c r="A3451" s="82" t="s">
        <v>106</v>
      </c>
      <c r="B3451" s="82" t="s">
        <v>36</v>
      </c>
      <c r="C3451" s="150">
        <v>0.72847222222222197</v>
      </c>
      <c r="D3451" s="153">
        <v>0</v>
      </c>
      <c r="E3451" s="153">
        <v>0</v>
      </c>
      <c r="F3451" s="153">
        <v>0</v>
      </c>
      <c r="G3451" s="153">
        <v>0</v>
      </c>
      <c r="H3451" s="153">
        <v>0</v>
      </c>
      <c r="I3451" s="153">
        <v>0</v>
      </c>
      <c r="J3451" s="153">
        <v>0</v>
      </c>
    </row>
    <row r="3452" spans="1:10">
      <c r="A3452" s="79" t="s">
        <v>106</v>
      </c>
      <c r="B3452" s="79" t="s">
        <v>36</v>
      </c>
      <c r="C3452" s="148">
        <v>0.72916666666666596</v>
      </c>
      <c r="D3452" s="154">
        <v>0</v>
      </c>
      <c r="E3452" s="154">
        <v>0</v>
      </c>
      <c r="F3452" s="154">
        <v>0</v>
      </c>
      <c r="G3452" s="154">
        <v>0</v>
      </c>
      <c r="H3452" s="154">
        <v>0</v>
      </c>
      <c r="I3452" s="154">
        <v>0</v>
      </c>
      <c r="J3452" s="154">
        <v>0</v>
      </c>
    </row>
    <row r="3453" spans="1:10">
      <c r="A3453" s="79" t="s">
        <v>106</v>
      </c>
      <c r="B3453" s="79" t="s">
        <v>36</v>
      </c>
      <c r="C3453" s="148">
        <v>0.72986111111111096</v>
      </c>
      <c r="D3453" s="152">
        <v>0</v>
      </c>
      <c r="E3453" s="152">
        <v>0</v>
      </c>
      <c r="F3453" s="152">
        <v>0</v>
      </c>
      <c r="G3453" s="152">
        <v>0</v>
      </c>
      <c r="H3453" s="152">
        <v>0</v>
      </c>
      <c r="I3453" s="152">
        <v>0</v>
      </c>
      <c r="J3453" s="152">
        <v>0</v>
      </c>
    </row>
    <row r="3454" spans="1:10">
      <c r="A3454" s="79" t="s">
        <v>106</v>
      </c>
      <c r="B3454" s="79" t="s">
        <v>36</v>
      </c>
      <c r="C3454" s="148">
        <v>0.73055555555555496</v>
      </c>
      <c r="D3454" s="152">
        <v>0</v>
      </c>
      <c r="E3454" s="152">
        <v>0</v>
      </c>
      <c r="F3454" s="152">
        <v>0</v>
      </c>
      <c r="G3454" s="152">
        <v>0</v>
      </c>
      <c r="H3454" s="152">
        <v>0</v>
      </c>
      <c r="I3454" s="152">
        <v>0</v>
      </c>
      <c r="J3454" s="152">
        <v>0</v>
      </c>
    </row>
    <row r="3455" spans="1:10">
      <c r="A3455" s="79" t="s">
        <v>106</v>
      </c>
      <c r="B3455" s="79" t="s">
        <v>36</v>
      </c>
      <c r="C3455" s="148">
        <v>0.73124999999999996</v>
      </c>
      <c r="D3455" s="152">
        <v>0</v>
      </c>
      <c r="E3455" s="152">
        <v>0</v>
      </c>
      <c r="F3455" s="152">
        <v>0</v>
      </c>
      <c r="G3455" s="152">
        <v>0</v>
      </c>
      <c r="H3455" s="152">
        <v>0</v>
      </c>
      <c r="I3455" s="152">
        <v>0</v>
      </c>
      <c r="J3455" s="152">
        <v>0</v>
      </c>
    </row>
    <row r="3456" spans="1:10">
      <c r="A3456" s="79" t="s">
        <v>106</v>
      </c>
      <c r="B3456" s="79" t="s">
        <v>36</v>
      </c>
      <c r="C3456" s="148">
        <v>0.73194444444444395</v>
      </c>
      <c r="D3456" s="152">
        <v>0</v>
      </c>
      <c r="E3456" s="152">
        <v>0</v>
      </c>
      <c r="F3456" s="152">
        <v>0</v>
      </c>
      <c r="G3456" s="152">
        <v>0</v>
      </c>
      <c r="H3456" s="152">
        <v>0</v>
      </c>
      <c r="I3456" s="152">
        <v>0</v>
      </c>
      <c r="J3456" s="152">
        <v>0</v>
      </c>
    </row>
    <row r="3457" spans="1:10">
      <c r="A3457" s="79" t="s">
        <v>106</v>
      </c>
      <c r="B3457" s="79" t="s">
        <v>36</v>
      </c>
      <c r="C3457" s="148">
        <v>0.73263888888888895</v>
      </c>
      <c r="D3457" s="152">
        <v>0</v>
      </c>
      <c r="E3457" s="152">
        <v>0</v>
      </c>
      <c r="F3457" s="152">
        <v>0</v>
      </c>
      <c r="G3457" s="152">
        <v>0</v>
      </c>
      <c r="H3457" s="152">
        <v>0</v>
      </c>
      <c r="I3457" s="152">
        <v>0</v>
      </c>
      <c r="J3457" s="152">
        <v>0</v>
      </c>
    </row>
    <row r="3458" spans="1:10">
      <c r="A3458" s="79" t="s">
        <v>106</v>
      </c>
      <c r="B3458" s="79" t="s">
        <v>36</v>
      </c>
      <c r="C3458" s="148">
        <v>0.73333333333333295</v>
      </c>
      <c r="D3458" s="152">
        <v>0</v>
      </c>
      <c r="E3458" s="152">
        <v>0</v>
      </c>
      <c r="F3458" s="152">
        <v>0</v>
      </c>
      <c r="G3458" s="152">
        <v>0</v>
      </c>
      <c r="H3458" s="152">
        <v>0</v>
      </c>
      <c r="I3458" s="152">
        <v>0</v>
      </c>
      <c r="J3458" s="152">
        <v>0</v>
      </c>
    </row>
    <row r="3459" spans="1:10">
      <c r="A3459" s="79" t="s">
        <v>106</v>
      </c>
      <c r="B3459" s="79" t="s">
        <v>36</v>
      </c>
      <c r="C3459" s="148">
        <v>0.73402777777777795</v>
      </c>
      <c r="D3459" s="152">
        <v>0</v>
      </c>
      <c r="E3459" s="152">
        <v>0</v>
      </c>
      <c r="F3459" s="152">
        <v>0</v>
      </c>
      <c r="G3459" s="152">
        <v>0</v>
      </c>
      <c r="H3459" s="152">
        <v>0</v>
      </c>
      <c r="I3459" s="152">
        <v>0</v>
      </c>
      <c r="J3459" s="152">
        <v>0</v>
      </c>
    </row>
    <row r="3460" spans="1:10">
      <c r="A3460" s="79" t="s">
        <v>106</v>
      </c>
      <c r="B3460" s="79" t="s">
        <v>36</v>
      </c>
      <c r="C3460" s="148">
        <v>0.73472222222222205</v>
      </c>
      <c r="D3460" s="152">
        <v>0</v>
      </c>
      <c r="E3460" s="152">
        <v>0</v>
      </c>
      <c r="F3460" s="152">
        <v>0</v>
      </c>
      <c r="G3460" s="152">
        <v>0</v>
      </c>
      <c r="H3460" s="152">
        <v>0</v>
      </c>
      <c r="I3460" s="152">
        <v>0</v>
      </c>
      <c r="J3460" s="152">
        <v>0</v>
      </c>
    </row>
    <row r="3461" spans="1:10">
      <c r="A3461" s="79" t="s">
        <v>106</v>
      </c>
      <c r="B3461" s="79" t="s">
        <v>36</v>
      </c>
      <c r="C3461" s="148">
        <v>0.73541666666666605</v>
      </c>
      <c r="D3461" s="152">
        <v>0</v>
      </c>
      <c r="E3461" s="152">
        <v>0</v>
      </c>
      <c r="F3461" s="152">
        <v>0</v>
      </c>
      <c r="G3461" s="152">
        <v>0</v>
      </c>
      <c r="H3461" s="152">
        <v>0</v>
      </c>
      <c r="I3461" s="152">
        <v>0</v>
      </c>
      <c r="J3461" s="152">
        <v>0</v>
      </c>
    </row>
    <row r="3462" spans="1:10">
      <c r="A3462" s="79" t="s">
        <v>106</v>
      </c>
      <c r="B3462" s="79" t="s">
        <v>36</v>
      </c>
      <c r="C3462" s="148">
        <v>0.73611111111111105</v>
      </c>
      <c r="D3462" s="152">
        <v>0</v>
      </c>
      <c r="E3462" s="152">
        <v>0</v>
      </c>
      <c r="F3462" s="152">
        <v>0</v>
      </c>
      <c r="G3462" s="152">
        <v>0</v>
      </c>
      <c r="H3462" s="152">
        <v>0</v>
      </c>
      <c r="I3462" s="152">
        <v>0</v>
      </c>
      <c r="J3462" s="152">
        <v>0</v>
      </c>
    </row>
    <row r="3463" spans="1:10">
      <c r="A3463" s="79" t="s">
        <v>106</v>
      </c>
      <c r="B3463" s="79" t="s">
        <v>36</v>
      </c>
      <c r="C3463" s="148">
        <v>0.73680555555555505</v>
      </c>
      <c r="D3463" s="152">
        <v>0</v>
      </c>
      <c r="E3463" s="152">
        <v>0</v>
      </c>
      <c r="F3463" s="152">
        <v>0</v>
      </c>
      <c r="G3463" s="152">
        <v>0</v>
      </c>
      <c r="H3463" s="152">
        <v>0</v>
      </c>
      <c r="I3463" s="152">
        <v>0</v>
      </c>
      <c r="J3463" s="152">
        <v>0</v>
      </c>
    </row>
    <row r="3464" spans="1:10">
      <c r="A3464" s="79" t="s">
        <v>106</v>
      </c>
      <c r="B3464" s="79" t="s">
        <v>36</v>
      </c>
      <c r="C3464" s="148">
        <v>0.73750000000000004</v>
      </c>
      <c r="D3464" s="152">
        <v>0</v>
      </c>
      <c r="E3464" s="152">
        <v>0</v>
      </c>
      <c r="F3464" s="152">
        <v>0</v>
      </c>
      <c r="G3464" s="152">
        <v>0</v>
      </c>
      <c r="H3464" s="152">
        <v>0</v>
      </c>
      <c r="I3464" s="152">
        <v>0</v>
      </c>
      <c r="J3464" s="152">
        <v>0</v>
      </c>
    </row>
    <row r="3465" spans="1:10">
      <c r="A3465" s="79" t="s">
        <v>106</v>
      </c>
      <c r="B3465" s="79" t="s">
        <v>36</v>
      </c>
      <c r="C3465" s="148">
        <v>0.73819444444444404</v>
      </c>
      <c r="D3465" s="152">
        <v>0</v>
      </c>
      <c r="E3465" s="152">
        <v>0</v>
      </c>
      <c r="F3465" s="152">
        <v>0</v>
      </c>
      <c r="G3465" s="152">
        <v>0</v>
      </c>
      <c r="H3465" s="152">
        <v>0</v>
      </c>
      <c r="I3465" s="152">
        <v>0</v>
      </c>
      <c r="J3465" s="152">
        <v>0</v>
      </c>
    </row>
    <row r="3466" spans="1:10" s="78" customFormat="1">
      <c r="A3466" s="82" t="s">
        <v>106</v>
      </c>
      <c r="B3466" s="82" t="s">
        <v>36</v>
      </c>
      <c r="C3466" s="150">
        <v>0.73888888888888904</v>
      </c>
      <c r="D3466" s="153">
        <v>0</v>
      </c>
      <c r="E3466" s="153">
        <v>0</v>
      </c>
      <c r="F3466" s="153">
        <v>0</v>
      </c>
      <c r="G3466" s="153">
        <v>0</v>
      </c>
      <c r="H3466" s="153">
        <v>0</v>
      </c>
      <c r="I3466" s="153">
        <v>0</v>
      </c>
      <c r="J3466" s="153">
        <v>0</v>
      </c>
    </row>
    <row r="3467" spans="1:10">
      <c r="A3467" s="79" t="s">
        <v>106</v>
      </c>
      <c r="B3467" s="79" t="s">
        <v>36</v>
      </c>
      <c r="C3467" s="148">
        <v>0.73958333333333304</v>
      </c>
      <c r="D3467" s="154">
        <v>0</v>
      </c>
      <c r="E3467" s="154">
        <v>0</v>
      </c>
      <c r="F3467" s="154">
        <v>0</v>
      </c>
      <c r="G3467" s="154">
        <v>0</v>
      </c>
      <c r="H3467" s="154">
        <v>0</v>
      </c>
      <c r="I3467" s="154">
        <v>0</v>
      </c>
      <c r="J3467" s="154">
        <v>0</v>
      </c>
    </row>
    <row r="3468" spans="1:10">
      <c r="A3468" s="79" t="s">
        <v>106</v>
      </c>
      <c r="B3468" s="79" t="s">
        <v>36</v>
      </c>
      <c r="C3468" s="148">
        <v>0.74027777777777704</v>
      </c>
      <c r="D3468" s="152">
        <v>0</v>
      </c>
      <c r="E3468" s="152">
        <v>0</v>
      </c>
      <c r="F3468" s="152">
        <v>0</v>
      </c>
      <c r="G3468" s="152">
        <v>0</v>
      </c>
      <c r="H3468" s="152">
        <v>0</v>
      </c>
      <c r="I3468" s="152">
        <v>0</v>
      </c>
      <c r="J3468" s="152">
        <v>0</v>
      </c>
    </row>
    <row r="3469" spans="1:10">
      <c r="A3469" s="79" t="s">
        <v>106</v>
      </c>
      <c r="B3469" s="79" t="s">
        <v>36</v>
      </c>
      <c r="C3469" s="148">
        <v>0.74097222222222203</v>
      </c>
      <c r="D3469" s="152">
        <v>0</v>
      </c>
      <c r="E3469" s="152">
        <v>0</v>
      </c>
      <c r="F3469" s="152">
        <v>0</v>
      </c>
      <c r="G3469" s="152">
        <v>0</v>
      </c>
      <c r="H3469" s="152">
        <v>0</v>
      </c>
      <c r="I3469" s="152">
        <v>0</v>
      </c>
      <c r="J3469" s="152">
        <v>0</v>
      </c>
    </row>
    <row r="3470" spans="1:10">
      <c r="A3470" s="79" t="s">
        <v>106</v>
      </c>
      <c r="B3470" s="79" t="s">
        <v>36</v>
      </c>
      <c r="C3470" s="148">
        <v>0.74166666666666603</v>
      </c>
      <c r="D3470" s="152">
        <v>0</v>
      </c>
      <c r="E3470" s="152">
        <v>0</v>
      </c>
      <c r="F3470" s="152">
        <v>0</v>
      </c>
      <c r="G3470" s="152">
        <v>0</v>
      </c>
      <c r="H3470" s="152">
        <v>0</v>
      </c>
      <c r="I3470" s="152">
        <v>0</v>
      </c>
      <c r="J3470" s="152">
        <v>0</v>
      </c>
    </row>
    <row r="3471" spans="1:10">
      <c r="A3471" s="79" t="s">
        <v>106</v>
      </c>
      <c r="B3471" s="79" t="s">
        <v>36</v>
      </c>
      <c r="C3471" s="148">
        <v>0.74236111111111103</v>
      </c>
      <c r="D3471" s="152">
        <v>0</v>
      </c>
      <c r="E3471" s="152">
        <v>0</v>
      </c>
      <c r="F3471" s="152">
        <v>0</v>
      </c>
      <c r="G3471" s="152">
        <v>0</v>
      </c>
      <c r="H3471" s="152">
        <v>0</v>
      </c>
      <c r="I3471" s="152">
        <v>0</v>
      </c>
      <c r="J3471" s="152">
        <v>0</v>
      </c>
    </row>
    <row r="3472" spans="1:10">
      <c r="A3472" s="79" t="s">
        <v>106</v>
      </c>
      <c r="B3472" s="79" t="s">
        <v>36</v>
      </c>
      <c r="C3472" s="148">
        <v>0.74305555555555503</v>
      </c>
      <c r="D3472" s="152">
        <v>0</v>
      </c>
      <c r="E3472" s="152">
        <v>0</v>
      </c>
      <c r="F3472" s="152">
        <v>0</v>
      </c>
      <c r="G3472" s="152">
        <v>0</v>
      </c>
      <c r="H3472" s="152">
        <v>0</v>
      </c>
      <c r="I3472" s="152">
        <v>0</v>
      </c>
      <c r="J3472" s="152">
        <v>0</v>
      </c>
    </row>
    <row r="3473" spans="1:10">
      <c r="A3473" s="79" t="s">
        <v>106</v>
      </c>
      <c r="B3473" s="79" t="s">
        <v>36</v>
      </c>
      <c r="C3473" s="148">
        <v>0.74375000000000002</v>
      </c>
      <c r="D3473" s="152">
        <v>0</v>
      </c>
      <c r="E3473" s="152">
        <v>0</v>
      </c>
      <c r="F3473" s="152">
        <v>0</v>
      </c>
      <c r="G3473" s="152">
        <v>0</v>
      </c>
      <c r="H3473" s="152">
        <v>0</v>
      </c>
      <c r="I3473" s="152">
        <v>0</v>
      </c>
      <c r="J3473" s="152">
        <v>0</v>
      </c>
    </row>
    <row r="3474" spans="1:10">
      <c r="A3474" s="79" t="s">
        <v>106</v>
      </c>
      <c r="B3474" s="79" t="s">
        <v>36</v>
      </c>
      <c r="C3474" s="148">
        <v>0.74444444444444402</v>
      </c>
      <c r="D3474" s="152">
        <v>0</v>
      </c>
      <c r="E3474" s="152">
        <v>0</v>
      </c>
      <c r="F3474" s="152">
        <v>0</v>
      </c>
      <c r="G3474" s="152">
        <v>0</v>
      </c>
      <c r="H3474" s="152">
        <v>0</v>
      </c>
      <c r="I3474" s="152">
        <v>0</v>
      </c>
      <c r="J3474" s="152">
        <v>0</v>
      </c>
    </row>
    <row r="3475" spans="1:10">
      <c r="A3475" s="79" t="s">
        <v>106</v>
      </c>
      <c r="B3475" s="79" t="s">
        <v>36</v>
      </c>
      <c r="C3475" s="148">
        <v>0.74513888888888902</v>
      </c>
      <c r="D3475" s="152">
        <v>0</v>
      </c>
      <c r="E3475" s="152">
        <v>0</v>
      </c>
      <c r="F3475" s="152">
        <v>0</v>
      </c>
      <c r="G3475" s="152">
        <v>0</v>
      </c>
      <c r="H3475" s="152">
        <v>0</v>
      </c>
      <c r="I3475" s="152">
        <v>0</v>
      </c>
      <c r="J3475" s="152">
        <v>0</v>
      </c>
    </row>
    <row r="3476" spans="1:10">
      <c r="A3476" s="79" t="s">
        <v>106</v>
      </c>
      <c r="B3476" s="79" t="s">
        <v>36</v>
      </c>
      <c r="C3476" s="148">
        <v>0.74583333333333302</v>
      </c>
      <c r="D3476" s="152">
        <v>0</v>
      </c>
      <c r="E3476" s="152">
        <v>0</v>
      </c>
      <c r="F3476" s="152">
        <v>0</v>
      </c>
      <c r="G3476" s="152">
        <v>0</v>
      </c>
      <c r="H3476" s="152">
        <v>0</v>
      </c>
      <c r="I3476" s="152">
        <v>0</v>
      </c>
      <c r="J3476" s="152">
        <v>0</v>
      </c>
    </row>
    <row r="3477" spans="1:10">
      <c r="A3477" s="79" t="s">
        <v>106</v>
      </c>
      <c r="B3477" s="79" t="s">
        <v>36</v>
      </c>
      <c r="C3477" s="148">
        <v>0.74652777777777701</v>
      </c>
      <c r="D3477" s="152">
        <v>0</v>
      </c>
      <c r="E3477" s="152">
        <v>0</v>
      </c>
      <c r="F3477" s="152">
        <v>0</v>
      </c>
      <c r="G3477" s="152">
        <v>0</v>
      </c>
      <c r="H3477" s="152">
        <v>0</v>
      </c>
      <c r="I3477" s="152">
        <v>0</v>
      </c>
      <c r="J3477" s="152">
        <v>0</v>
      </c>
    </row>
    <row r="3478" spans="1:10">
      <c r="A3478" s="79" t="s">
        <v>106</v>
      </c>
      <c r="B3478" s="79" t="s">
        <v>36</v>
      </c>
      <c r="C3478" s="148">
        <v>0.74722222222222201</v>
      </c>
      <c r="D3478" s="152">
        <v>0</v>
      </c>
      <c r="E3478" s="152">
        <v>0</v>
      </c>
      <c r="F3478" s="152">
        <v>0</v>
      </c>
      <c r="G3478" s="152">
        <v>0</v>
      </c>
      <c r="H3478" s="152">
        <v>0</v>
      </c>
      <c r="I3478" s="152">
        <v>0</v>
      </c>
      <c r="J3478" s="152">
        <v>0</v>
      </c>
    </row>
    <row r="3479" spans="1:10">
      <c r="A3479" s="79" t="s">
        <v>106</v>
      </c>
      <c r="B3479" s="79" t="s">
        <v>36</v>
      </c>
      <c r="C3479" s="148">
        <v>0.74791666666666601</v>
      </c>
      <c r="D3479" s="152">
        <v>0</v>
      </c>
      <c r="E3479" s="152">
        <v>0</v>
      </c>
      <c r="F3479" s="152">
        <v>0</v>
      </c>
      <c r="G3479" s="152">
        <v>0</v>
      </c>
      <c r="H3479" s="152">
        <v>0</v>
      </c>
      <c r="I3479" s="152">
        <v>0</v>
      </c>
      <c r="J3479" s="152">
        <v>0</v>
      </c>
    </row>
    <row r="3480" spans="1:10">
      <c r="A3480" s="79" t="s">
        <v>106</v>
      </c>
      <c r="B3480" s="79" t="s">
        <v>36</v>
      </c>
      <c r="C3480" s="148">
        <v>0.74861111111111101</v>
      </c>
      <c r="D3480" s="152">
        <v>0</v>
      </c>
      <c r="E3480" s="152">
        <v>0</v>
      </c>
      <c r="F3480" s="152">
        <v>0</v>
      </c>
      <c r="G3480" s="152">
        <v>0</v>
      </c>
      <c r="H3480" s="152">
        <v>0</v>
      </c>
      <c r="I3480" s="152">
        <v>0</v>
      </c>
      <c r="J3480" s="152">
        <v>0</v>
      </c>
    </row>
    <row r="3481" spans="1:10" s="28" customFormat="1" ht="17.5" thickBot="1">
      <c r="A3481" s="97" t="s">
        <v>106</v>
      </c>
      <c r="B3481" s="97" t="s">
        <v>36</v>
      </c>
      <c r="C3481" s="149">
        <v>0.749305555555555</v>
      </c>
      <c r="D3481" s="155">
        <v>0</v>
      </c>
      <c r="E3481" s="155">
        <v>0</v>
      </c>
      <c r="F3481" s="155">
        <v>0</v>
      </c>
      <c r="G3481" s="155">
        <v>0</v>
      </c>
      <c r="H3481" s="155">
        <v>0</v>
      </c>
      <c r="I3481" s="155">
        <v>0</v>
      </c>
      <c r="J3481" s="155">
        <v>0</v>
      </c>
    </row>
    <row r="3482" spans="1:10">
      <c r="A3482" s="79" t="s">
        <v>106</v>
      </c>
      <c r="B3482" s="79" t="s">
        <v>37</v>
      </c>
      <c r="C3482" s="148">
        <v>0.66666666666666663</v>
      </c>
      <c r="D3482" s="152">
        <v>0</v>
      </c>
      <c r="E3482" s="152">
        <v>0</v>
      </c>
      <c r="F3482" s="152">
        <v>0</v>
      </c>
      <c r="G3482" s="152">
        <v>0</v>
      </c>
      <c r="H3482" s="152">
        <v>0</v>
      </c>
      <c r="I3482" s="152">
        <v>0</v>
      </c>
      <c r="J3482" s="152">
        <v>0</v>
      </c>
    </row>
    <row r="3483" spans="1:10">
      <c r="A3483" s="79" t="s">
        <v>106</v>
      </c>
      <c r="B3483" s="79" t="s">
        <v>37</v>
      </c>
      <c r="C3483" s="148">
        <v>0.66736111111111107</v>
      </c>
      <c r="D3483" s="152">
        <v>0</v>
      </c>
      <c r="E3483" s="152">
        <v>0</v>
      </c>
      <c r="F3483" s="152">
        <v>0</v>
      </c>
      <c r="G3483" s="152">
        <v>0</v>
      </c>
      <c r="H3483" s="152">
        <v>0</v>
      </c>
      <c r="I3483" s="152">
        <v>0</v>
      </c>
      <c r="J3483" s="152">
        <v>0</v>
      </c>
    </row>
    <row r="3484" spans="1:10">
      <c r="A3484" s="79" t="s">
        <v>106</v>
      </c>
      <c r="B3484" s="79" t="s">
        <v>37</v>
      </c>
      <c r="C3484" s="148">
        <v>0.66805555555555596</v>
      </c>
      <c r="D3484" s="152">
        <v>0</v>
      </c>
      <c r="E3484" s="152">
        <v>0</v>
      </c>
      <c r="F3484" s="152">
        <v>0</v>
      </c>
      <c r="G3484" s="152">
        <v>0</v>
      </c>
      <c r="H3484" s="152">
        <v>0</v>
      </c>
      <c r="I3484" s="152">
        <v>0</v>
      </c>
      <c r="J3484" s="152">
        <v>0</v>
      </c>
    </row>
    <row r="3485" spans="1:10">
      <c r="A3485" s="79" t="s">
        <v>106</v>
      </c>
      <c r="B3485" s="79" t="s">
        <v>37</v>
      </c>
      <c r="C3485" s="148">
        <v>0.66874999999999996</v>
      </c>
      <c r="D3485" s="152">
        <v>0</v>
      </c>
      <c r="E3485" s="152">
        <v>0</v>
      </c>
      <c r="F3485" s="152">
        <v>0</v>
      </c>
      <c r="G3485" s="152">
        <v>0</v>
      </c>
      <c r="H3485" s="152">
        <v>0</v>
      </c>
      <c r="I3485" s="152">
        <v>0</v>
      </c>
      <c r="J3485" s="152">
        <v>0</v>
      </c>
    </row>
    <row r="3486" spans="1:10">
      <c r="A3486" s="79" t="s">
        <v>106</v>
      </c>
      <c r="B3486" s="79" t="s">
        <v>37</v>
      </c>
      <c r="C3486" s="148">
        <v>0.66944444444444395</v>
      </c>
      <c r="D3486" s="152">
        <v>0</v>
      </c>
      <c r="E3486" s="152">
        <v>0</v>
      </c>
      <c r="F3486" s="152">
        <v>0</v>
      </c>
      <c r="G3486" s="152">
        <v>0</v>
      </c>
      <c r="H3486" s="152">
        <v>0</v>
      </c>
      <c r="I3486" s="152">
        <v>0</v>
      </c>
      <c r="J3486" s="152">
        <v>0</v>
      </c>
    </row>
    <row r="3487" spans="1:10">
      <c r="A3487" s="79" t="s">
        <v>106</v>
      </c>
      <c r="B3487" s="79" t="s">
        <v>37</v>
      </c>
      <c r="C3487" s="148">
        <v>0.67013888888888895</v>
      </c>
      <c r="D3487" s="152">
        <v>0</v>
      </c>
      <c r="E3487" s="152">
        <v>0</v>
      </c>
      <c r="F3487" s="152">
        <v>0</v>
      </c>
      <c r="G3487" s="152">
        <v>0</v>
      </c>
      <c r="H3487" s="152">
        <v>0</v>
      </c>
      <c r="I3487" s="152">
        <v>0</v>
      </c>
      <c r="J3487" s="152">
        <v>0</v>
      </c>
    </row>
    <row r="3488" spans="1:10">
      <c r="A3488" s="79" t="s">
        <v>106</v>
      </c>
      <c r="B3488" s="79" t="s">
        <v>37</v>
      </c>
      <c r="C3488" s="148">
        <v>0.67083333333333295</v>
      </c>
      <c r="D3488" s="152">
        <v>0</v>
      </c>
      <c r="E3488" s="152">
        <v>0</v>
      </c>
      <c r="F3488" s="152">
        <v>0</v>
      </c>
      <c r="G3488" s="152">
        <v>0</v>
      </c>
      <c r="H3488" s="152">
        <v>0</v>
      </c>
      <c r="I3488" s="152">
        <v>0</v>
      </c>
      <c r="J3488" s="152">
        <v>0</v>
      </c>
    </row>
    <row r="3489" spans="1:10">
      <c r="A3489" s="79" t="s">
        <v>106</v>
      </c>
      <c r="B3489" s="79" t="s">
        <v>37</v>
      </c>
      <c r="C3489" s="148">
        <v>0.67152777777777795</v>
      </c>
      <c r="D3489" s="152">
        <v>0</v>
      </c>
      <c r="E3489" s="152">
        <v>0</v>
      </c>
      <c r="F3489" s="152">
        <v>0</v>
      </c>
      <c r="G3489" s="152">
        <v>0</v>
      </c>
      <c r="H3489" s="152">
        <v>0</v>
      </c>
      <c r="I3489" s="152">
        <v>0</v>
      </c>
      <c r="J3489" s="152">
        <v>0</v>
      </c>
    </row>
    <row r="3490" spans="1:10">
      <c r="A3490" s="79" t="s">
        <v>106</v>
      </c>
      <c r="B3490" s="79" t="s">
        <v>37</v>
      </c>
      <c r="C3490" s="148">
        <v>0.67222222222222205</v>
      </c>
      <c r="D3490" s="152">
        <v>0</v>
      </c>
      <c r="E3490" s="152">
        <v>0</v>
      </c>
      <c r="F3490" s="152">
        <v>0</v>
      </c>
      <c r="G3490" s="152">
        <v>0</v>
      </c>
      <c r="H3490" s="152">
        <v>0</v>
      </c>
      <c r="I3490" s="152">
        <v>0</v>
      </c>
      <c r="J3490" s="152">
        <v>0</v>
      </c>
    </row>
    <row r="3491" spans="1:10">
      <c r="A3491" s="79" t="s">
        <v>106</v>
      </c>
      <c r="B3491" s="79" t="s">
        <v>37</v>
      </c>
      <c r="C3491" s="148">
        <v>0.67291666666666705</v>
      </c>
      <c r="D3491" s="152">
        <v>0</v>
      </c>
      <c r="E3491" s="152">
        <v>0</v>
      </c>
      <c r="F3491" s="152">
        <v>0</v>
      </c>
      <c r="G3491" s="152">
        <v>0</v>
      </c>
      <c r="H3491" s="152">
        <v>0</v>
      </c>
      <c r="I3491" s="152">
        <v>0</v>
      </c>
      <c r="J3491" s="152">
        <v>0</v>
      </c>
    </row>
    <row r="3492" spans="1:10">
      <c r="A3492" s="79" t="s">
        <v>106</v>
      </c>
      <c r="B3492" s="79" t="s">
        <v>37</v>
      </c>
      <c r="C3492" s="148">
        <v>0.67361111111111105</v>
      </c>
      <c r="D3492" s="152">
        <v>0</v>
      </c>
      <c r="E3492" s="152">
        <v>0</v>
      </c>
      <c r="F3492" s="152">
        <v>0</v>
      </c>
      <c r="G3492" s="152">
        <v>0</v>
      </c>
      <c r="H3492" s="152">
        <v>0</v>
      </c>
      <c r="I3492" s="152">
        <v>0</v>
      </c>
      <c r="J3492" s="152">
        <v>0</v>
      </c>
    </row>
    <row r="3493" spans="1:10">
      <c r="A3493" s="79" t="s">
        <v>106</v>
      </c>
      <c r="B3493" s="79" t="s">
        <v>37</v>
      </c>
      <c r="C3493" s="148">
        <v>0.67430555555555505</v>
      </c>
      <c r="D3493" s="152">
        <v>0</v>
      </c>
      <c r="E3493" s="152">
        <v>0</v>
      </c>
      <c r="F3493" s="152">
        <v>0</v>
      </c>
      <c r="G3493" s="152">
        <v>0</v>
      </c>
      <c r="H3493" s="152">
        <v>0</v>
      </c>
      <c r="I3493" s="152">
        <v>0</v>
      </c>
      <c r="J3493" s="152">
        <v>0</v>
      </c>
    </row>
    <row r="3494" spans="1:10">
      <c r="A3494" s="79" t="s">
        <v>106</v>
      </c>
      <c r="B3494" s="79" t="s">
        <v>37</v>
      </c>
      <c r="C3494" s="148">
        <v>0.67500000000000004</v>
      </c>
      <c r="D3494" s="152">
        <v>0</v>
      </c>
      <c r="E3494" s="152">
        <v>0</v>
      </c>
      <c r="F3494" s="152">
        <v>0</v>
      </c>
      <c r="G3494" s="152">
        <v>0</v>
      </c>
      <c r="H3494" s="152">
        <v>0</v>
      </c>
      <c r="I3494" s="152">
        <v>0</v>
      </c>
      <c r="J3494" s="152">
        <v>0</v>
      </c>
    </row>
    <row r="3495" spans="1:10">
      <c r="A3495" s="79" t="s">
        <v>106</v>
      </c>
      <c r="B3495" s="79" t="s">
        <v>37</v>
      </c>
      <c r="C3495" s="148">
        <v>0.67569444444444404</v>
      </c>
      <c r="D3495" s="152">
        <v>0</v>
      </c>
      <c r="E3495" s="152">
        <v>0</v>
      </c>
      <c r="F3495" s="152">
        <v>0</v>
      </c>
      <c r="G3495" s="152">
        <v>0</v>
      </c>
      <c r="H3495" s="152">
        <v>0</v>
      </c>
      <c r="I3495" s="152">
        <v>0</v>
      </c>
      <c r="J3495" s="152">
        <v>0</v>
      </c>
    </row>
    <row r="3496" spans="1:10" s="78" customFormat="1">
      <c r="A3496" s="82" t="s">
        <v>106</v>
      </c>
      <c r="B3496" s="82" t="s">
        <v>37</v>
      </c>
      <c r="C3496" s="150">
        <v>0.67638888888888904</v>
      </c>
      <c r="D3496" s="153">
        <v>0</v>
      </c>
      <c r="E3496" s="153">
        <v>0</v>
      </c>
      <c r="F3496" s="153">
        <v>0</v>
      </c>
      <c r="G3496" s="153">
        <v>0</v>
      </c>
      <c r="H3496" s="153">
        <v>0</v>
      </c>
      <c r="I3496" s="153">
        <v>0</v>
      </c>
      <c r="J3496" s="153">
        <v>0</v>
      </c>
    </row>
    <row r="3497" spans="1:10">
      <c r="A3497" s="79" t="s">
        <v>106</v>
      </c>
      <c r="B3497" s="79" t="s">
        <v>37</v>
      </c>
      <c r="C3497" s="148">
        <v>0.67708333333333304</v>
      </c>
      <c r="D3497" s="152">
        <v>0</v>
      </c>
      <c r="E3497" s="152">
        <v>0</v>
      </c>
      <c r="F3497" s="152">
        <v>0</v>
      </c>
      <c r="G3497" s="152">
        <v>0</v>
      </c>
      <c r="H3497" s="152">
        <v>0</v>
      </c>
      <c r="I3497" s="152">
        <v>0</v>
      </c>
      <c r="J3497" s="152">
        <v>0</v>
      </c>
    </row>
    <row r="3498" spans="1:10">
      <c r="A3498" s="79" t="s">
        <v>106</v>
      </c>
      <c r="B3498" s="79" t="s">
        <v>37</v>
      </c>
      <c r="C3498" s="148">
        <v>0.67777777777777803</v>
      </c>
      <c r="D3498" s="152">
        <v>0</v>
      </c>
      <c r="E3498" s="152">
        <v>0</v>
      </c>
      <c r="F3498" s="152">
        <v>0</v>
      </c>
      <c r="G3498" s="152">
        <v>0</v>
      </c>
      <c r="H3498" s="152">
        <v>0</v>
      </c>
      <c r="I3498" s="152">
        <v>0</v>
      </c>
      <c r="J3498" s="152">
        <v>0</v>
      </c>
    </row>
    <row r="3499" spans="1:10">
      <c r="A3499" s="79" t="s">
        <v>106</v>
      </c>
      <c r="B3499" s="79" t="s">
        <v>37</v>
      </c>
      <c r="C3499" s="148">
        <v>0.67847222222222203</v>
      </c>
      <c r="D3499" s="152">
        <v>0</v>
      </c>
      <c r="E3499" s="152">
        <v>0</v>
      </c>
      <c r="F3499" s="152">
        <v>0</v>
      </c>
      <c r="G3499" s="152">
        <v>0</v>
      </c>
      <c r="H3499" s="152">
        <v>0</v>
      </c>
      <c r="I3499" s="152">
        <v>0</v>
      </c>
      <c r="J3499" s="152">
        <v>0</v>
      </c>
    </row>
    <row r="3500" spans="1:10">
      <c r="A3500" s="79" t="s">
        <v>106</v>
      </c>
      <c r="B3500" s="79" t="s">
        <v>37</v>
      </c>
      <c r="C3500" s="148">
        <v>0.67916666666666703</v>
      </c>
      <c r="D3500" s="152">
        <v>0</v>
      </c>
      <c r="E3500" s="152">
        <v>0</v>
      </c>
      <c r="F3500" s="152">
        <v>0</v>
      </c>
      <c r="G3500" s="152">
        <v>0</v>
      </c>
      <c r="H3500" s="152">
        <v>0</v>
      </c>
      <c r="I3500" s="152">
        <v>0</v>
      </c>
      <c r="J3500" s="152">
        <v>0</v>
      </c>
    </row>
    <row r="3501" spans="1:10">
      <c r="A3501" s="79" t="s">
        <v>106</v>
      </c>
      <c r="B3501" s="79" t="s">
        <v>37</v>
      </c>
      <c r="C3501" s="148">
        <v>0.67986111111111103</v>
      </c>
      <c r="D3501" s="152">
        <v>0</v>
      </c>
      <c r="E3501" s="152">
        <v>0</v>
      </c>
      <c r="F3501" s="152">
        <v>0</v>
      </c>
      <c r="G3501" s="152">
        <v>0</v>
      </c>
      <c r="H3501" s="152">
        <v>0</v>
      </c>
      <c r="I3501" s="152">
        <v>0</v>
      </c>
      <c r="J3501" s="152">
        <v>0</v>
      </c>
    </row>
    <row r="3502" spans="1:10">
      <c r="A3502" s="79" t="s">
        <v>106</v>
      </c>
      <c r="B3502" s="79" t="s">
        <v>37</v>
      </c>
      <c r="C3502" s="148">
        <v>0.68055555555555503</v>
      </c>
      <c r="D3502" s="152">
        <v>0</v>
      </c>
      <c r="E3502" s="152">
        <v>0</v>
      </c>
      <c r="F3502" s="152">
        <v>0</v>
      </c>
      <c r="G3502" s="152">
        <v>0</v>
      </c>
      <c r="H3502" s="152">
        <v>0</v>
      </c>
      <c r="I3502" s="152">
        <v>0</v>
      </c>
      <c r="J3502" s="152">
        <v>0</v>
      </c>
    </row>
    <row r="3503" spans="1:10">
      <c r="A3503" s="79" t="s">
        <v>106</v>
      </c>
      <c r="B3503" s="79" t="s">
        <v>37</v>
      </c>
      <c r="C3503" s="148">
        <v>0.68125000000000002</v>
      </c>
      <c r="D3503" s="152">
        <v>0</v>
      </c>
      <c r="E3503" s="152">
        <v>0</v>
      </c>
      <c r="F3503" s="152">
        <v>0</v>
      </c>
      <c r="G3503" s="152">
        <v>0</v>
      </c>
      <c r="H3503" s="152">
        <v>0</v>
      </c>
      <c r="I3503" s="152">
        <v>0</v>
      </c>
      <c r="J3503" s="152">
        <v>0</v>
      </c>
    </row>
    <row r="3504" spans="1:10">
      <c r="A3504" s="79" t="s">
        <v>106</v>
      </c>
      <c r="B3504" s="79" t="s">
        <v>37</v>
      </c>
      <c r="C3504" s="148">
        <v>0.68194444444444402</v>
      </c>
      <c r="D3504" s="152">
        <v>0</v>
      </c>
      <c r="E3504" s="152">
        <v>0</v>
      </c>
      <c r="F3504" s="152">
        <v>0</v>
      </c>
      <c r="G3504" s="152">
        <v>0</v>
      </c>
      <c r="H3504" s="152">
        <v>0</v>
      </c>
      <c r="I3504" s="152">
        <v>0</v>
      </c>
      <c r="J3504" s="152">
        <v>0</v>
      </c>
    </row>
    <row r="3505" spans="1:10">
      <c r="A3505" s="79" t="s">
        <v>106</v>
      </c>
      <c r="B3505" s="79" t="s">
        <v>37</v>
      </c>
      <c r="C3505" s="148">
        <v>0.68263888888888902</v>
      </c>
      <c r="D3505" s="152">
        <v>0</v>
      </c>
      <c r="E3505" s="152">
        <v>0</v>
      </c>
      <c r="F3505" s="152">
        <v>0</v>
      </c>
      <c r="G3505" s="152">
        <v>0</v>
      </c>
      <c r="H3505" s="152">
        <v>0</v>
      </c>
      <c r="I3505" s="152">
        <v>0</v>
      </c>
      <c r="J3505" s="152">
        <v>0</v>
      </c>
    </row>
    <row r="3506" spans="1:10">
      <c r="A3506" s="79" t="s">
        <v>106</v>
      </c>
      <c r="B3506" s="79" t="s">
        <v>37</v>
      </c>
      <c r="C3506" s="148">
        <v>0.68333333333333302</v>
      </c>
      <c r="D3506" s="152">
        <v>0</v>
      </c>
      <c r="E3506" s="152">
        <v>0</v>
      </c>
      <c r="F3506" s="152">
        <v>0</v>
      </c>
      <c r="G3506" s="152">
        <v>0</v>
      </c>
      <c r="H3506" s="152">
        <v>0</v>
      </c>
      <c r="I3506" s="152">
        <v>0</v>
      </c>
      <c r="J3506" s="152">
        <v>0</v>
      </c>
    </row>
    <row r="3507" spans="1:10">
      <c r="A3507" s="79" t="s">
        <v>106</v>
      </c>
      <c r="B3507" s="79" t="s">
        <v>37</v>
      </c>
      <c r="C3507" s="148">
        <v>0.68402777777777801</v>
      </c>
      <c r="D3507" s="152">
        <v>0</v>
      </c>
      <c r="E3507" s="152">
        <v>0</v>
      </c>
      <c r="F3507" s="152">
        <v>0</v>
      </c>
      <c r="G3507" s="152">
        <v>0</v>
      </c>
      <c r="H3507" s="152">
        <v>0</v>
      </c>
      <c r="I3507" s="152">
        <v>0</v>
      </c>
      <c r="J3507" s="152">
        <v>0</v>
      </c>
    </row>
    <row r="3508" spans="1:10">
      <c r="A3508" s="79" t="s">
        <v>106</v>
      </c>
      <c r="B3508" s="79" t="s">
        <v>37</v>
      </c>
      <c r="C3508" s="148">
        <v>0.68472222222222201</v>
      </c>
      <c r="D3508" s="152">
        <v>0</v>
      </c>
      <c r="E3508" s="152">
        <v>0</v>
      </c>
      <c r="F3508" s="152">
        <v>0</v>
      </c>
      <c r="G3508" s="152">
        <v>0</v>
      </c>
      <c r="H3508" s="152">
        <v>0</v>
      </c>
      <c r="I3508" s="152">
        <v>0</v>
      </c>
      <c r="J3508" s="152">
        <v>0</v>
      </c>
    </row>
    <row r="3509" spans="1:10">
      <c r="A3509" s="79" t="s">
        <v>106</v>
      </c>
      <c r="B3509" s="79" t="s">
        <v>37</v>
      </c>
      <c r="C3509" s="148">
        <v>0.68541666666666701</v>
      </c>
      <c r="D3509" s="152">
        <v>0</v>
      </c>
      <c r="E3509" s="152">
        <v>0</v>
      </c>
      <c r="F3509" s="152">
        <v>0</v>
      </c>
      <c r="G3509" s="152">
        <v>0</v>
      </c>
      <c r="H3509" s="152">
        <v>0</v>
      </c>
      <c r="I3509" s="152">
        <v>0</v>
      </c>
      <c r="J3509" s="152">
        <v>0</v>
      </c>
    </row>
    <row r="3510" spans="1:10">
      <c r="A3510" s="79" t="s">
        <v>106</v>
      </c>
      <c r="B3510" s="79" t="s">
        <v>37</v>
      </c>
      <c r="C3510" s="148">
        <v>0.68611111111111101</v>
      </c>
      <c r="D3510" s="152">
        <v>0</v>
      </c>
      <c r="E3510" s="152">
        <v>0</v>
      </c>
      <c r="F3510" s="152">
        <v>0</v>
      </c>
      <c r="G3510" s="152">
        <v>0</v>
      </c>
      <c r="H3510" s="152">
        <v>0</v>
      </c>
      <c r="I3510" s="152">
        <v>0</v>
      </c>
      <c r="J3510" s="152">
        <v>0</v>
      </c>
    </row>
    <row r="3511" spans="1:10" s="78" customFormat="1">
      <c r="A3511" s="82" t="s">
        <v>106</v>
      </c>
      <c r="B3511" s="82" t="s">
        <v>37</v>
      </c>
      <c r="C3511" s="150">
        <v>0.686805555555555</v>
      </c>
      <c r="D3511" s="153">
        <v>0</v>
      </c>
      <c r="E3511" s="153">
        <v>0</v>
      </c>
      <c r="F3511" s="153">
        <v>0</v>
      </c>
      <c r="G3511" s="153">
        <v>0</v>
      </c>
      <c r="H3511" s="153">
        <v>0</v>
      </c>
      <c r="I3511" s="153">
        <v>0</v>
      </c>
      <c r="J3511" s="153">
        <v>0</v>
      </c>
    </row>
    <row r="3512" spans="1:10">
      <c r="A3512" s="79" t="s">
        <v>106</v>
      </c>
      <c r="B3512" s="79" t="s">
        <v>37</v>
      </c>
      <c r="C3512" s="148">
        <v>0.6875</v>
      </c>
      <c r="D3512" s="152">
        <v>0</v>
      </c>
      <c r="E3512" s="152">
        <v>0</v>
      </c>
      <c r="F3512" s="152">
        <v>0</v>
      </c>
      <c r="G3512" s="152">
        <v>0</v>
      </c>
      <c r="H3512" s="152">
        <v>0</v>
      </c>
      <c r="I3512" s="152">
        <v>0</v>
      </c>
      <c r="J3512" s="152">
        <v>0</v>
      </c>
    </row>
    <row r="3513" spans="1:10">
      <c r="A3513" s="79" t="s">
        <v>106</v>
      </c>
      <c r="B3513" s="79" t="s">
        <v>37</v>
      </c>
      <c r="C3513" s="148">
        <v>0.688194444444444</v>
      </c>
      <c r="D3513" s="152">
        <v>0</v>
      </c>
      <c r="E3513" s="152">
        <v>0</v>
      </c>
      <c r="F3513" s="152">
        <v>0</v>
      </c>
      <c r="G3513" s="152">
        <v>0</v>
      </c>
      <c r="H3513" s="152">
        <v>0</v>
      </c>
      <c r="I3513" s="152">
        <v>0</v>
      </c>
      <c r="J3513" s="152">
        <v>0</v>
      </c>
    </row>
    <row r="3514" spans="1:10">
      <c r="A3514" s="79" t="s">
        <v>106</v>
      </c>
      <c r="B3514" s="79" t="s">
        <v>37</v>
      </c>
      <c r="C3514" s="148">
        <v>0.68888888888888899</v>
      </c>
      <c r="D3514" s="152">
        <v>0</v>
      </c>
      <c r="E3514" s="152">
        <v>0</v>
      </c>
      <c r="F3514" s="152">
        <v>0</v>
      </c>
      <c r="G3514" s="152">
        <v>0</v>
      </c>
      <c r="H3514" s="152">
        <v>0</v>
      </c>
      <c r="I3514" s="152">
        <v>0</v>
      </c>
      <c r="J3514" s="152">
        <v>0</v>
      </c>
    </row>
    <row r="3515" spans="1:10">
      <c r="A3515" s="79" t="s">
        <v>106</v>
      </c>
      <c r="B3515" s="79" t="s">
        <v>37</v>
      </c>
      <c r="C3515" s="148">
        <v>0.68958333333333299</v>
      </c>
      <c r="D3515" s="152">
        <v>0</v>
      </c>
      <c r="E3515" s="152">
        <v>0</v>
      </c>
      <c r="F3515" s="152">
        <v>0</v>
      </c>
      <c r="G3515" s="152">
        <v>0</v>
      </c>
      <c r="H3515" s="152">
        <v>0</v>
      </c>
      <c r="I3515" s="152">
        <v>0</v>
      </c>
      <c r="J3515" s="152">
        <v>0</v>
      </c>
    </row>
    <row r="3516" spans="1:10">
      <c r="A3516" s="79" t="s">
        <v>106</v>
      </c>
      <c r="B3516" s="79" t="s">
        <v>37</v>
      </c>
      <c r="C3516" s="148">
        <v>0.69027777777777799</v>
      </c>
      <c r="D3516" s="152">
        <v>0</v>
      </c>
      <c r="E3516" s="152">
        <v>0</v>
      </c>
      <c r="F3516" s="152">
        <v>0</v>
      </c>
      <c r="G3516" s="152">
        <v>0</v>
      </c>
      <c r="H3516" s="152">
        <v>0</v>
      </c>
      <c r="I3516" s="152">
        <v>0</v>
      </c>
      <c r="J3516" s="152">
        <v>0</v>
      </c>
    </row>
    <row r="3517" spans="1:10">
      <c r="A3517" s="79" t="s">
        <v>106</v>
      </c>
      <c r="B3517" s="79" t="s">
        <v>37</v>
      </c>
      <c r="C3517" s="148">
        <v>0.69097222222222199</v>
      </c>
      <c r="D3517" s="152">
        <v>0</v>
      </c>
      <c r="E3517" s="152">
        <v>0</v>
      </c>
      <c r="F3517" s="152">
        <v>0</v>
      </c>
      <c r="G3517" s="152">
        <v>0</v>
      </c>
      <c r="H3517" s="152">
        <v>0</v>
      </c>
      <c r="I3517" s="152">
        <v>0</v>
      </c>
      <c r="J3517" s="152">
        <v>0</v>
      </c>
    </row>
    <row r="3518" spans="1:10">
      <c r="A3518" s="79" t="s">
        <v>106</v>
      </c>
      <c r="B3518" s="79" t="s">
        <v>37</v>
      </c>
      <c r="C3518" s="148">
        <v>0.69166666666666698</v>
      </c>
      <c r="D3518" s="152">
        <v>0</v>
      </c>
      <c r="E3518" s="152">
        <v>0</v>
      </c>
      <c r="F3518" s="152">
        <v>0</v>
      </c>
      <c r="G3518" s="152">
        <v>0</v>
      </c>
      <c r="H3518" s="152">
        <v>0</v>
      </c>
      <c r="I3518" s="152">
        <v>0</v>
      </c>
      <c r="J3518" s="152">
        <v>0</v>
      </c>
    </row>
    <row r="3519" spans="1:10">
      <c r="A3519" s="79" t="s">
        <v>106</v>
      </c>
      <c r="B3519" s="79" t="s">
        <v>37</v>
      </c>
      <c r="C3519" s="148">
        <v>0.69236111111111098</v>
      </c>
      <c r="D3519" s="152">
        <v>0</v>
      </c>
      <c r="E3519" s="152">
        <v>0</v>
      </c>
      <c r="F3519" s="152">
        <v>0</v>
      </c>
      <c r="G3519" s="152">
        <v>0</v>
      </c>
      <c r="H3519" s="152">
        <v>0</v>
      </c>
      <c r="I3519" s="152">
        <v>0</v>
      </c>
      <c r="J3519" s="152">
        <v>0</v>
      </c>
    </row>
    <row r="3520" spans="1:10">
      <c r="A3520" s="79" t="s">
        <v>106</v>
      </c>
      <c r="B3520" s="79" t="s">
        <v>37</v>
      </c>
      <c r="C3520" s="148">
        <v>0.69305555555555498</v>
      </c>
      <c r="D3520" s="152">
        <v>0</v>
      </c>
      <c r="E3520" s="152">
        <v>0</v>
      </c>
      <c r="F3520" s="152">
        <v>0</v>
      </c>
      <c r="G3520" s="152">
        <v>0</v>
      </c>
      <c r="H3520" s="152">
        <v>0</v>
      </c>
      <c r="I3520" s="152">
        <v>0</v>
      </c>
      <c r="J3520" s="152">
        <v>0</v>
      </c>
    </row>
    <row r="3521" spans="1:10">
      <c r="A3521" s="79" t="s">
        <v>106</v>
      </c>
      <c r="B3521" s="79" t="s">
        <v>37</v>
      </c>
      <c r="C3521" s="148">
        <v>0.69374999999999998</v>
      </c>
      <c r="D3521" s="152">
        <v>0</v>
      </c>
      <c r="E3521" s="152">
        <v>0</v>
      </c>
      <c r="F3521" s="152">
        <v>0</v>
      </c>
      <c r="G3521" s="152">
        <v>0</v>
      </c>
      <c r="H3521" s="152">
        <v>0</v>
      </c>
      <c r="I3521" s="152">
        <v>0</v>
      </c>
      <c r="J3521" s="152">
        <v>0</v>
      </c>
    </row>
    <row r="3522" spans="1:10">
      <c r="A3522" s="79" t="s">
        <v>106</v>
      </c>
      <c r="B3522" s="79" t="s">
        <v>37</v>
      </c>
      <c r="C3522" s="148">
        <v>0.69444444444444398</v>
      </c>
      <c r="D3522" s="152">
        <v>0</v>
      </c>
      <c r="E3522" s="152">
        <v>0</v>
      </c>
      <c r="F3522" s="152">
        <v>0</v>
      </c>
      <c r="G3522" s="152">
        <v>0</v>
      </c>
      <c r="H3522" s="152">
        <v>0</v>
      </c>
      <c r="I3522" s="152">
        <v>0</v>
      </c>
      <c r="J3522" s="152">
        <v>0</v>
      </c>
    </row>
    <row r="3523" spans="1:10">
      <c r="A3523" s="79" t="s">
        <v>106</v>
      </c>
      <c r="B3523" s="79" t="s">
        <v>37</v>
      </c>
      <c r="C3523" s="148">
        <v>0.69513888888888897</v>
      </c>
      <c r="D3523" s="152">
        <v>0</v>
      </c>
      <c r="E3523" s="152">
        <v>0</v>
      </c>
      <c r="F3523" s="152">
        <v>0</v>
      </c>
      <c r="G3523" s="152">
        <v>0</v>
      </c>
      <c r="H3523" s="152">
        <v>0</v>
      </c>
      <c r="I3523" s="152">
        <v>0</v>
      </c>
      <c r="J3523" s="152">
        <v>0</v>
      </c>
    </row>
    <row r="3524" spans="1:10">
      <c r="A3524" s="79" t="s">
        <v>106</v>
      </c>
      <c r="B3524" s="79" t="s">
        <v>37</v>
      </c>
      <c r="C3524" s="148">
        <v>0.69583333333333297</v>
      </c>
      <c r="D3524" s="152">
        <v>0</v>
      </c>
      <c r="E3524" s="152">
        <v>0</v>
      </c>
      <c r="F3524" s="152">
        <v>0</v>
      </c>
      <c r="G3524" s="152">
        <v>0</v>
      </c>
      <c r="H3524" s="152">
        <v>0</v>
      </c>
      <c r="I3524" s="152">
        <v>0</v>
      </c>
      <c r="J3524" s="152">
        <v>0</v>
      </c>
    </row>
    <row r="3525" spans="1:10">
      <c r="A3525" s="79" t="s">
        <v>106</v>
      </c>
      <c r="B3525" s="79" t="s">
        <v>37</v>
      </c>
      <c r="C3525" s="148">
        <v>0.69652777777777797</v>
      </c>
      <c r="D3525" s="152">
        <v>0</v>
      </c>
      <c r="E3525" s="152">
        <v>0</v>
      </c>
      <c r="F3525" s="152">
        <v>0</v>
      </c>
      <c r="G3525" s="152">
        <v>0</v>
      </c>
      <c r="H3525" s="152">
        <v>0</v>
      </c>
      <c r="I3525" s="152">
        <v>0</v>
      </c>
      <c r="J3525" s="152">
        <v>0</v>
      </c>
    </row>
    <row r="3526" spans="1:10" s="78" customFormat="1">
      <c r="A3526" s="82" t="s">
        <v>106</v>
      </c>
      <c r="B3526" s="82" t="s">
        <v>37</v>
      </c>
      <c r="C3526" s="150">
        <v>0.69722222222222197</v>
      </c>
      <c r="D3526" s="153">
        <v>0</v>
      </c>
      <c r="E3526" s="153">
        <v>0</v>
      </c>
      <c r="F3526" s="153">
        <v>0</v>
      </c>
      <c r="G3526" s="153">
        <v>0</v>
      </c>
      <c r="H3526" s="153">
        <v>0</v>
      </c>
      <c r="I3526" s="153">
        <v>0</v>
      </c>
      <c r="J3526" s="153">
        <v>0</v>
      </c>
    </row>
    <row r="3527" spans="1:10">
      <c r="A3527" s="79" t="s">
        <v>106</v>
      </c>
      <c r="B3527" s="79" t="s">
        <v>37</v>
      </c>
      <c r="C3527" s="148">
        <v>0.69791666666666696</v>
      </c>
      <c r="D3527" s="154">
        <v>0</v>
      </c>
      <c r="E3527" s="154">
        <v>0</v>
      </c>
      <c r="F3527" s="154">
        <v>0</v>
      </c>
      <c r="G3527" s="154">
        <v>0</v>
      </c>
      <c r="H3527" s="154">
        <v>0</v>
      </c>
      <c r="I3527" s="154">
        <v>0</v>
      </c>
      <c r="J3527" s="154">
        <v>0</v>
      </c>
    </row>
    <row r="3528" spans="1:10">
      <c r="A3528" s="79" t="s">
        <v>106</v>
      </c>
      <c r="B3528" s="79" t="s">
        <v>37</v>
      </c>
      <c r="C3528" s="148">
        <v>0.69861111111111096</v>
      </c>
      <c r="D3528" s="152">
        <v>0</v>
      </c>
      <c r="E3528" s="152">
        <v>0</v>
      </c>
      <c r="F3528" s="152">
        <v>0</v>
      </c>
      <c r="G3528" s="152">
        <v>0</v>
      </c>
      <c r="H3528" s="152">
        <v>0</v>
      </c>
      <c r="I3528" s="152">
        <v>0</v>
      </c>
      <c r="J3528" s="152">
        <v>0</v>
      </c>
    </row>
    <row r="3529" spans="1:10">
      <c r="A3529" s="79" t="s">
        <v>106</v>
      </c>
      <c r="B3529" s="79" t="s">
        <v>37</v>
      </c>
      <c r="C3529" s="148">
        <v>0.69930555555555496</v>
      </c>
      <c r="D3529" s="152">
        <v>0</v>
      </c>
      <c r="E3529" s="152">
        <v>0</v>
      </c>
      <c r="F3529" s="152">
        <v>0</v>
      </c>
      <c r="G3529" s="152">
        <v>0</v>
      </c>
      <c r="H3529" s="152">
        <v>0</v>
      </c>
      <c r="I3529" s="152">
        <v>0</v>
      </c>
      <c r="J3529" s="152">
        <v>0</v>
      </c>
    </row>
    <row r="3530" spans="1:10">
      <c r="A3530" s="79" t="s">
        <v>106</v>
      </c>
      <c r="B3530" s="79" t="s">
        <v>37</v>
      </c>
      <c r="C3530" s="148">
        <v>0.7</v>
      </c>
      <c r="D3530" s="152">
        <v>0</v>
      </c>
      <c r="E3530" s="152">
        <v>0</v>
      </c>
      <c r="F3530" s="152">
        <v>0</v>
      </c>
      <c r="G3530" s="152">
        <v>0</v>
      </c>
      <c r="H3530" s="152">
        <v>0</v>
      </c>
      <c r="I3530" s="152">
        <v>0</v>
      </c>
      <c r="J3530" s="152">
        <v>0</v>
      </c>
    </row>
    <row r="3531" spans="1:10">
      <c r="A3531" s="79" t="s">
        <v>106</v>
      </c>
      <c r="B3531" s="79" t="s">
        <v>37</v>
      </c>
      <c r="C3531" s="148">
        <v>0.70069444444444395</v>
      </c>
      <c r="D3531" s="152">
        <v>0</v>
      </c>
      <c r="E3531" s="152">
        <v>0</v>
      </c>
      <c r="F3531" s="152">
        <v>0</v>
      </c>
      <c r="G3531" s="152">
        <v>0</v>
      </c>
      <c r="H3531" s="152">
        <v>0</v>
      </c>
      <c r="I3531" s="152">
        <v>0</v>
      </c>
      <c r="J3531" s="152">
        <v>0</v>
      </c>
    </row>
    <row r="3532" spans="1:10">
      <c r="A3532" s="79" t="s">
        <v>106</v>
      </c>
      <c r="B3532" s="79" t="s">
        <v>37</v>
      </c>
      <c r="C3532" s="148">
        <v>0.70138888888888895</v>
      </c>
      <c r="D3532" s="152">
        <v>0</v>
      </c>
      <c r="E3532" s="152">
        <v>0</v>
      </c>
      <c r="F3532" s="152">
        <v>0</v>
      </c>
      <c r="G3532" s="152">
        <v>0</v>
      </c>
      <c r="H3532" s="152">
        <v>0</v>
      </c>
      <c r="I3532" s="152">
        <v>0</v>
      </c>
      <c r="J3532" s="152">
        <v>0</v>
      </c>
    </row>
    <row r="3533" spans="1:10">
      <c r="A3533" s="79" t="s">
        <v>106</v>
      </c>
      <c r="B3533" s="79" t="s">
        <v>37</v>
      </c>
      <c r="C3533" s="148">
        <v>0.70208333333333295</v>
      </c>
      <c r="D3533" s="152">
        <v>0</v>
      </c>
      <c r="E3533" s="152">
        <v>0</v>
      </c>
      <c r="F3533" s="152">
        <v>0</v>
      </c>
      <c r="G3533" s="152">
        <v>0</v>
      </c>
      <c r="H3533" s="152">
        <v>0</v>
      </c>
      <c r="I3533" s="152">
        <v>0</v>
      </c>
      <c r="J3533" s="152">
        <v>0</v>
      </c>
    </row>
    <row r="3534" spans="1:10">
      <c r="A3534" s="79" t="s">
        <v>106</v>
      </c>
      <c r="B3534" s="79" t="s">
        <v>37</v>
      </c>
      <c r="C3534" s="148">
        <v>0.70277777777777795</v>
      </c>
      <c r="D3534" s="152">
        <v>0</v>
      </c>
      <c r="E3534" s="152">
        <v>0</v>
      </c>
      <c r="F3534" s="152">
        <v>0</v>
      </c>
      <c r="G3534" s="152">
        <v>0</v>
      </c>
      <c r="H3534" s="152">
        <v>0</v>
      </c>
      <c r="I3534" s="152">
        <v>0</v>
      </c>
      <c r="J3534" s="152">
        <v>0</v>
      </c>
    </row>
    <row r="3535" spans="1:10">
      <c r="A3535" s="79" t="s">
        <v>106</v>
      </c>
      <c r="B3535" s="79" t="s">
        <v>37</v>
      </c>
      <c r="C3535" s="148">
        <v>0.70347222222222205</v>
      </c>
      <c r="D3535" s="152">
        <v>0</v>
      </c>
      <c r="E3535" s="152">
        <v>0</v>
      </c>
      <c r="F3535" s="152">
        <v>0</v>
      </c>
      <c r="G3535" s="152">
        <v>0</v>
      </c>
      <c r="H3535" s="152">
        <v>0</v>
      </c>
      <c r="I3535" s="152">
        <v>0</v>
      </c>
      <c r="J3535" s="152">
        <v>0</v>
      </c>
    </row>
    <row r="3536" spans="1:10">
      <c r="A3536" s="79" t="s">
        <v>106</v>
      </c>
      <c r="B3536" s="79" t="s">
        <v>37</v>
      </c>
      <c r="C3536" s="148">
        <v>0.70416666666666605</v>
      </c>
      <c r="D3536" s="152">
        <v>0</v>
      </c>
      <c r="E3536" s="152">
        <v>0</v>
      </c>
      <c r="F3536" s="152">
        <v>0</v>
      </c>
      <c r="G3536" s="152">
        <v>0</v>
      </c>
      <c r="H3536" s="152">
        <v>0</v>
      </c>
      <c r="I3536" s="152">
        <v>0</v>
      </c>
      <c r="J3536" s="152">
        <v>0</v>
      </c>
    </row>
    <row r="3537" spans="1:10">
      <c r="A3537" s="79" t="s">
        <v>106</v>
      </c>
      <c r="B3537" s="79" t="s">
        <v>37</v>
      </c>
      <c r="C3537" s="148">
        <v>0.70486111111111105</v>
      </c>
      <c r="D3537" s="152">
        <v>0</v>
      </c>
      <c r="E3537" s="152">
        <v>0</v>
      </c>
      <c r="F3537" s="152">
        <v>0</v>
      </c>
      <c r="G3537" s="152">
        <v>0</v>
      </c>
      <c r="H3537" s="152">
        <v>0</v>
      </c>
      <c r="I3537" s="152">
        <v>0</v>
      </c>
      <c r="J3537" s="152">
        <v>0</v>
      </c>
    </row>
    <row r="3538" spans="1:10">
      <c r="A3538" s="79" t="s">
        <v>106</v>
      </c>
      <c r="B3538" s="79" t="s">
        <v>37</v>
      </c>
      <c r="C3538" s="148">
        <v>0.70555555555555505</v>
      </c>
      <c r="D3538" s="152">
        <v>0</v>
      </c>
      <c r="E3538" s="152">
        <v>0</v>
      </c>
      <c r="F3538" s="152">
        <v>0</v>
      </c>
      <c r="G3538" s="152">
        <v>0</v>
      </c>
      <c r="H3538" s="152">
        <v>0</v>
      </c>
      <c r="I3538" s="152">
        <v>0</v>
      </c>
      <c r="J3538" s="152">
        <v>0</v>
      </c>
    </row>
    <row r="3539" spans="1:10">
      <c r="A3539" s="79" t="s">
        <v>106</v>
      </c>
      <c r="B3539" s="79" t="s">
        <v>37</v>
      </c>
      <c r="C3539" s="148">
        <v>0.70625000000000004</v>
      </c>
      <c r="D3539" s="152">
        <v>0</v>
      </c>
      <c r="E3539" s="152">
        <v>0</v>
      </c>
      <c r="F3539" s="152">
        <v>0</v>
      </c>
      <c r="G3539" s="152">
        <v>0</v>
      </c>
      <c r="H3539" s="152">
        <v>0</v>
      </c>
      <c r="I3539" s="152">
        <v>0</v>
      </c>
      <c r="J3539" s="152">
        <v>0</v>
      </c>
    </row>
    <row r="3540" spans="1:10">
      <c r="A3540" s="79" t="s">
        <v>106</v>
      </c>
      <c r="B3540" s="79" t="s">
        <v>37</v>
      </c>
      <c r="C3540" s="148">
        <v>0.70694444444444404</v>
      </c>
      <c r="D3540" s="152">
        <v>0</v>
      </c>
      <c r="E3540" s="152">
        <v>0</v>
      </c>
      <c r="F3540" s="152">
        <v>0</v>
      </c>
      <c r="G3540" s="152">
        <v>0</v>
      </c>
      <c r="H3540" s="152">
        <v>0</v>
      </c>
      <c r="I3540" s="152">
        <v>0</v>
      </c>
      <c r="J3540" s="152">
        <v>0</v>
      </c>
    </row>
    <row r="3541" spans="1:10" s="78" customFormat="1">
      <c r="A3541" s="82" t="s">
        <v>106</v>
      </c>
      <c r="B3541" s="82" t="s">
        <v>37</v>
      </c>
      <c r="C3541" s="150">
        <v>0.70763888888888904</v>
      </c>
      <c r="D3541" s="153">
        <v>0</v>
      </c>
      <c r="E3541" s="153">
        <v>0</v>
      </c>
      <c r="F3541" s="153">
        <v>0</v>
      </c>
      <c r="G3541" s="153">
        <v>0</v>
      </c>
      <c r="H3541" s="153">
        <v>0</v>
      </c>
      <c r="I3541" s="153">
        <v>0</v>
      </c>
      <c r="J3541" s="153">
        <v>0</v>
      </c>
    </row>
    <row r="3542" spans="1:10">
      <c r="A3542" s="79" t="s">
        <v>106</v>
      </c>
      <c r="B3542" s="79" t="s">
        <v>37</v>
      </c>
      <c r="C3542" s="148">
        <v>0.70833333333333304</v>
      </c>
      <c r="D3542" s="154">
        <v>0</v>
      </c>
      <c r="E3542" s="154">
        <v>0</v>
      </c>
      <c r="F3542" s="154">
        <v>0</v>
      </c>
      <c r="G3542" s="154">
        <v>0</v>
      </c>
      <c r="H3542" s="154">
        <v>0</v>
      </c>
      <c r="I3542" s="154">
        <v>0</v>
      </c>
      <c r="J3542" s="154">
        <v>0</v>
      </c>
    </row>
    <row r="3543" spans="1:10">
      <c r="A3543" s="79" t="s">
        <v>106</v>
      </c>
      <c r="B3543" s="79" t="s">
        <v>37</v>
      </c>
      <c r="C3543" s="148">
        <v>0.70902777777777803</v>
      </c>
      <c r="D3543" s="152">
        <v>0</v>
      </c>
      <c r="E3543" s="152">
        <v>0</v>
      </c>
      <c r="F3543" s="152">
        <v>0</v>
      </c>
      <c r="G3543" s="152">
        <v>0</v>
      </c>
      <c r="H3543" s="152">
        <v>0</v>
      </c>
      <c r="I3543" s="152">
        <v>0</v>
      </c>
      <c r="J3543" s="152">
        <v>0</v>
      </c>
    </row>
    <row r="3544" spans="1:10">
      <c r="A3544" s="79" t="s">
        <v>106</v>
      </c>
      <c r="B3544" s="79" t="s">
        <v>37</v>
      </c>
      <c r="C3544" s="148">
        <v>0.70972222222222203</v>
      </c>
      <c r="D3544" s="152">
        <v>0</v>
      </c>
      <c r="E3544" s="152">
        <v>0</v>
      </c>
      <c r="F3544" s="152">
        <v>0</v>
      </c>
      <c r="G3544" s="152">
        <v>0</v>
      </c>
      <c r="H3544" s="152">
        <v>0</v>
      </c>
      <c r="I3544" s="152">
        <v>0</v>
      </c>
      <c r="J3544" s="152">
        <v>0</v>
      </c>
    </row>
    <row r="3545" spans="1:10">
      <c r="A3545" s="79" t="s">
        <v>106</v>
      </c>
      <c r="B3545" s="79" t="s">
        <v>37</v>
      </c>
      <c r="C3545" s="148">
        <v>0.71041666666666603</v>
      </c>
      <c r="D3545" s="152">
        <v>0</v>
      </c>
      <c r="E3545" s="152">
        <v>0</v>
      </c>
      <c r="F3545" s="152">
        <v>0</v>
      </c>
      <c r="G3545" s="152">
        <v>0</v>
      </c>
      <c r="H3545" s="152">
        <v>0</v>
      </c>
      <c r="I3545" s="152">
        <v>0</v>
      </c>
      <c r="J3545" s="152">
        <v>0</v>
      </c>
    </row>
    <row r="3546" spans="1:10">
      <c r="A3546" s="79" t="s">
        <v>106</v>
      </c>
      <c r="B3546" s="79" t="s">
        <v>37</v>
      </c>
      <c r="C3546" s="148">
        <v>0.71111111111111103</v>
      </c>
      <c r="D3546" s="152">
        <v>0</v>
      </c>
      <c r="E3546" s="152">
        <v>0</v>
      </c>
      <c r="F3546" s="152">
        <v>0</v>
      </c>
      <c r="G3546" s="152">
        <v>0</v>
      </c>
      <c r="H3546" s="152">
        <v>0</v>
      </c>
      <c r="I3546" s="152">
        <v>0</v>
      </c>
      <c r="J3546" s="152">
        <v>0</v>
      </c>
    </row>
    <row r="3547" spans="1:10">
      <c r="A3547" s="79" t="s">
        <v>106</v>
      </c>
      <c r="B3547" s="79" t="s">
        <v>37</v>
      </c>
      <c r="C3547" s="148">
        <v>0.71180555555555503</v>
      </c>
      <c r="D3547" s="152">
        <v>0</v>
      </c>
      <c r="E3547" s="152">
        <v>0</v>
      </c>
      <c r="F3547" s="152">
        <v>0</v>
      </c>
      <c r="G3547" s="152">
        <v>0</v>
      </c>
      <c r="H3547" s="152">
        <v>0</v>
      </c>
      <c r="I3547" s="152">
        <v>0</v>
      </c>
      <c r="J3547" s="152">
        <v>0</v>
      </c>
    </row>
    <row r="3548" spans="1:10">
      <c r="A3548" s="79" t="s">
        <v>106</v>
      </c>
      <c r="B3548" s="79" t="s">
        <v>37</v>
      </c>
      <c r="C3548" s="148">
        <v>0.71250000000000002</v>
      </c>
      <c r="D3548" s="152">
        <v>0</v>
      </c>
      <c r="E3548" s="152">
        <v>0</v>
      </c>
      <c r="F3548" s="152">
        <v>0</v>
      </c>
      <c r="G3548" s="152">
        <v>0</v>
      </c>
      <c r="H3548" s="152">
        <v>0</v>
      </c>
      <c r="I3548" s="152">
        <v>0</v>
      </c>
      <c r="J3548" s="152">
        <v>0</v>
      </c>
    </row>
    <row r="3549" spans="1:10">
      <c r="A3549" s="79" t="s">
        <v>106</v>
      </c>
      <c r="B3549" s="79" t="s">
        <v>37</v>
      </c>
      <c r="C3549" s="148">
        <v>0.71319444444444402</v>
      </c>
      <c r="D3549" s="152">
        <v>0</v>
      </c>
      <c r="E3549" s="152">
        <v>0</v>
      </c>
      <c r="F3549" s="152">
        <v>0</v>
      </c>
      <c r="G3549" s="152">
        <v>0</v>
      </c>
      <c r="H3549" s="152">
        <v>0</v>
      </c>
      <c r="I3549" s="152">
        <v>0</v>
      </c>
      <c r="J3549" s="152">
        <v>0</v>
      </c>
    </row>
    <row r="3550" spans="1:10">
      <c r="A3550" s="79" t="s">
        <v>106</v>
      </c>
      <c r="B3550" s="79" t="s">
        <v>37</v>
      </c>
      <c r="C3550" s="148">
        <v>0.71388888888888902</v>
      </c>
      <c r="D3550" s="152">
        <v>0</v>
      </c>
      <c r="E3550" s="152">
        <v>0</v>
      </c>
      <c r="F3550" s="152">
        <v>0</v>
      </c>
      <c r="G3550" s="152">
        <v>0</v>
      </c>
      <c r="H3550" s="152">
        <v>0</v>
      </c>
      <c r="I3550" s="152">
        <v>0</v>
      </c>
      <c r="J3550" s="152">
        <v>0</v>
      </c>
    </row>
    <row r="3551" spans="1:10">
      <c r="A3551" s="79" t="s">
        <v>106</v>
      </c>
      <c r="B3551" s="79" t="s">
        <v>37</v>
      </c>
      <c r="C3551" s="148">
        <v>0.71458333333333302</v>
      </c>
      <c r="D3551" s="152">
        <v>0</v>
      </c>
      <c r="E3551" s="152">
        <v>0</v>
      </c>
      <c r="F3551" s="152">
        <v>0</v>
      </c>
      <c r="G3551" s="152">
        <v>0</v>
      </c>
      <c r="H3551" s="152">
        <v>0</v>
      </c>
      <c r="I3551" s="152">
        <v>0</v>
      </c>
      <c r="J3551" s="152">
        <v>0</v>
      </c>
    </row>
    <row r="3552" spans="1:10">
      <c r="A3552" s="79" t="s">
        <v>106</v>
      </c>
      <c r="B3552" s="79" t="s">
        <v>37</v>
      </c>
      <c r="C3552" s="148">
        <v>0.71527777777777801</v>
      </c>
      <c r="D3552" s="152">
        <v>0</v>
      </c>
      <c r="E3552" s="152">
        <v>0</v>
      </c>
      <c r="F3552" s="152">
        <v>0</v>
      </c>
      <c r="G3552" s="152">
        <v>0</v>
      </c>
      <c r="H3552" s="152">
        <v>0</v>
      </c>
      <c r="I3552" s="152">
        <v>0</v>
      </c>
      <c r="J3552" s="152">
        <v>0</v>
      </c>
    </row>
    <row r="3553" spans="1:10">
      <c r="A3553" s="79" t="s">
        <v>106</v>
      </c>
      <c r="B3553" s="79" t="s">
        <v>37</v>
      </c>
      <c r="C3553" s="148">
        <v>0.71597222222222201</v>
      </c>
      <c r="D3553" s="152">
        <v>0</v>
      </c>
      <c r="E3553" s="152">
        <v>0</v>
      </c>
      <c r="F3553" s="152">
        <v>0</v>
      </c>
      <c r="G3553" s="152">
        <v>0</v>
      </c>
      <c r="H3553" s="152">
        <v>0</v>
      </c>
      <c r="I3553" s="152">
        <v>0</v>
      </c>
      <c r="J3553" s="152">
        <v>0</v>
      </c>
    </row>
    <row r="3554" spans="1:10">
      <c r="A3554" s="79" t="s">
        <v>106</v>
      </c>
      <c r="B3554" s="79" t="s">
        <v>37</v>
      </c>
      <c r="C3554" s="148">
        <v>0.71666666666666601</v>
      </c>
      <c r="D3554" s="152">
        <v>0</v>
      </c>
      <c r="E3554" s="152">
        <v>0</v>
      </c>
      <c r="F3554" s="152">
        <v>0</v>
      </c>
      <c r="G3554" s="152">
        <v>0</v>
      </c>
      <c r="H3554" s="152">
        <v>0</v>
      </c>
      <c r="I3554" s="152">
        <v>0</v>
      </c>
      <c r="J3554" s="152">
        <v>0</v>
      </c>
    </row>
    <row r="3555" spans="1:10">
      <c r="A3555" s="79" t="s">
        <v>106</v>
      </c>
      <c r="B3555" s="79" t="s">
        <v>37</v>
      </c>
      <c r="C3555" s="148">
        <v>0.71736111111111101</v>
      </c>
      <c r="D3555" s="152">
        <v>0</v>
      </c>
      <c r="E3555" s="152">
        <v>0</v>
      </c>
      <c r="F3555" s="152">
        <v>0</v>
      </c>
      <c r="G3555" s="152">
        <v>0</v>
      </c>
      <c r="H3555" s="152">
        <v>0</v>
      </c>
      <c r="I3555" s="152">
        <v>0</v>
      </c>
      <c r="J3555" s="152">
        <v>0</v>
      </c>
    </row>
    <row r="3556" spans="1:10" s="78" customFormat="1">
      <c r="A3556" s="82" t="s">
        <v>106</v>
      </c>
      <c r="B3556" s="82" t="s">
        <v>37</v>
      </c>
      <c r="C3556" s="150">
        <v>0.718055555555555</v>
      </c>
      <c r="D3556" s="153">
        <v>0</v>
      </c>
      <c r="E3556" s="153">
        <v>0</v>
      </c>
      <c r="F3556" s="153">
        <v>0</v>
      </c>
      <c r="G3556" s="153">
        <v>0</v>
      </c>
      <c r="H3556" s="153">
        <v>0</v>
      </c>
      <c r="I3556" s="153">
        <v>0</v>
      </c>
      <c r="J3556" s="153">
        <v>0</v>
      </c>
    </row>
    <row r="3557" spans="1:10">
      <c r="A3557" s="79" t="s">
        <v>106</v>
      </c>
      <c r="B3557" s="79" t="s">
        <v>37</v>
      </c>
      <c r="C3557" s="148">
        <v>0.71875</v>
      </c>
      <c r="D3557" s="154">
        <v>0</v>
      </c>
      <c r="E3557" s="154">
        <v>0</v>
      </c>
      <c r="F3557" s="154">
        <v>0</v>
      </c>
      <c r="G3557" s="154">
        <v>0</v>
      </c>
      <c r="H3557" s="154">
        <v>0</v>
      </c>
      <c r="I3557" s="154">
        <v>0</v>
      </c>
      <c r="J3557" s="154">
        <v>0</v>
      </c>
    </row>
    <row r="3558" spans="1:10">
      <c r="A3558" s="79" t="s">
        <v>106</v>
      </c>
      <c r="B3558" s="79" t="s">
        <v>37</v>
      </c>
      <c r="C3558" s="148">
        <v>0.719444444444444</v>
      </c>
      <c r="D3558" s="152">
        <v>0</v>
      </c>
      <c r="E3558" s="152">
        <v>0</v>
      </c>
      <c r="F3558" s="152">
        <v>0</v>
      </c>
      <c r="G3558" s="152">
        <v>0</v>
      </c>
      <c r="H3558" s="152">
        <v>0</v>
      </c>
      <c r="I3558" s="152">
        <v>0</v>
      </c>
      <c r="J3558" s="152">
        <v>0</v>
      </c>
    </row>
    <row r="3559" spans="1:10">
      <c r="A3559" s="79" t="s">
        <v>106</v>
      </c>
      <c r="B3559" s="79" t="s">
        <v>37</v>
      </c>
      <c r="C3559" s="148">
        <v>0.72013888888888899</v>
      </c>
      <c r="D3559" s="152">
        <v>0</v>
      </c>
      <c r="E3559" s="152">
        <v>0</v>
      </c>
      <c r="F3559" s="152">
        <v>0</v>
      </c>
      <c r="G3559" s="152">
        <v>0</v>
      </c>
      <c r="H3559" s="152">
        <v>0</v>
      </c>
      <c r="I3559" s="152">
        <v>0</v>
      </c>
      <c r="J3559" s="152">
        <v>0</v>
      </c>
    </row>
    <row r="3560" spans="1:10">
      <c r="A3560" s="79" t="s">
        <v>106</v>
      </c>
      <c r="B3560" s="79" t="s">
        <v>37</v>
      </c>
      <c r="C3560" s="148">
        <v>0.72083333333333299</v>
      </c>
      <c r="D3560" s="152">
        <v>0</v>
      </c>
      <c r="E3560" s="152">
        <v>0</v>
      </c>
      <c r="F3560" s="152">
        <v>0</v>
      </c>
      <c r="G3560" s="152">
        <v>0</v>
      </c>
      <c r="H3560" s="152">
        <v>0</v>
      </c>
      <c r="I3560" s="152">
        <v>0</v>
      </c>
      <c r="J3560" s="152">
        <v>0</v>
      </c>
    </row>
    <row r="3561" spans="1:10">
      <c r="A3561" s="79" t="s">
        <v>106</v>
      </c>
      <c r="B3561" s="79" t="s">
        <v>37</v>
      </c>
      <c r="C3561" s="148">
        <v>0.72152777777777799</v>
      </c>
      <c r="D3561" s="152">
        <v>0</v>
      </c>
      <c r="E3561" s="152">
        <v>0</v>
      </c>
      <c r="F3561" s="152">
        <v>0</v>
      </c>
      <c r="G3561" s="152">
        <v>0</v>
      </c>
      <c r="H3561" s="152">
        <v>0</v>
      </c>
      <c r="I3561" s="152">
        <v>0</v>
      </c>
      <c r="J3561" s="152">
        <v>0</v>
      </c>
    </row>
    <row r="3562" spans="1:10">
      <c r="A3562" s="79" t="s">
        <v>106</v>
      </c>
      <c r="B3562" s="79" t="s">
        <v>37</v>
      </c>
      <c r="C3562" s="148">
        <v>0.72222222222222199</v>
      </c>
      <c r="D3562" s="152">
        <v>0</v>
      </c>
      <c r="E3562" s="152">
        <v>0</v>
      </c>
      <c r="F3562" s="152">
        <v>0</v>
      </c>
      <c r="G3562" s="152">
        <v>0</v>
      </c>
      <c r="H3562" s="152">
        <v>0</v>
      </c>
      <c r="I3562" s="152">
        <v>0</v>
      </c>
      <c r="J3562" s="152">
        <v>0</v>
      </c>
    </row>
    <row r="3563" spans="1:10">
      <c r="A3563" s="79" t="s">
        <v>106</v>
      </c>
      <c r="B3563" s="79" t="s">
        <v>37</v>
      </c>
      <c r="C3563" s="148">
        <v>0.72291666666666599</v>
      </c>
      <c r="D3563" s="152">
        <v>0</v>
      </c>
      <c r="E3563" s="152">
        <v>0</v>
      </c>
      <c r="F3563" s="152">
        <v>0</v>
      </c>
      <c r="G3563" s="152">
        <v>0</v>
      </c>
      <c r="H3563" s="152">
        <v>0</v>
      </c>
      <c r="I3563" s="152">
        <v>0</v>
      </c>
      <c r="J3563" s="152">
        <v>0</v>
      </c>
    </row>
    <row r="3564" spans="1:10">
      <c r="A3564" s="79" t="s">
        <v>106</v>
      </c>
      <c r="B3564" s="79" t="s">
        <v>37</v>
      </c>
      <c r="C3564" s="148">
        <v>0.72361111111111098</v>
      </c>
      <c r="D3564" s="152">
        <v>0</v>
      </c>
      <c r="E3564" s="152">
        <v>0</v>
      </c>
      <c r="F3564" s="152">
        <v>0</v>
      </c>
      <c r="G3564" s="152">
        <v>0</v>
      </c>
      <c r="H3564" s="152">
        <v>0</v>
      </c>
      <c r="I3564" s="152">
        <v>0</v>
      </c>
      <c r="J3564" s="152">
        <v>0</v>
      </c>
    </row>
    <row r="3565" spans="1:10">
      <c r="A3565" s="79" t="s">
        <v>106</v>
      </c>
      <c r="B3565" s="79" t="s">
        <v>37</v>
      </c>
      <c r="C3565" s="148">
        <v>0.72430555555555498</v>
      </c>
      <c r="D3565" s="152">
        <v>0</v>
      </c>
      <c r="E3565" s="152">
        <v>0</v>
      </c>
      <c r="F3565" s="152">
        <v>0</v>
      </c>
      <c r="G3565" s="152">
        <v>0</v>
      </c>
      <c r="H3565" s="152">
        <v>0</v>
      </c>
      <c r="I3565" s="152">
        <v>0</v>
      </c>
      <c r="J3565" s="152">
        <v>0</v>
      </c>
    </row>
    <row r="3566" spans="1:10">
      <c r="A3566" s="79" t="s">
        <v>106</v>
      </c>
      <c r="B3566" s="79" t="s">
        <v>37</v>
      </c>
      <c r="C3566" s="148">
        <v>0.72499999999999998</v>
      </c>
      <c r="D3566" s="152">
        <v>0</v>
      </c>
      <c r="E3566" s="152">
        <v>0</v>
      </c>
      <c r="F3566" s="152">
        <v>0</v>
      </c>
      <c r="G3566" s="152">
        <v>0</v>
      </c>
      <c r="H3566" s="152">
        <v>0</v>
      </c>
      <c r="I3566" s="152">
        <v>0</v>
      </c>
      <c r="J3566" s="152">
        <v>0</v>
      </c>
    </row>
    <row r="3567" spans="1:10">
      <c r="A3567" s="79" t="s">
        <v>106</v>
      </c>
      <c r="B3567" s="79" t="s">
        <v>37</v>
      </c>
      <c r="C3567" s="148">
        <v>0.72569444444444398</v>
      </c>
      <c r="D3567" s="152">
        <v>0</v>
      </c>
      <c r="E3567" s="152">
        <v>0</v>
      </c>
      <c r="F3567" s="152">
        <v>0</v>
      </c>
      <c r="G3567" s="152">
        <v>0</v>
      </c>
      <c r="H3567" s="152">
        <v>0</v>
      </c>
      <c r="I3567" s="152">
        <v>0</v>
      </c>
      <c r="J3567" s="152">
        <v>0</v>
      </c>
    </row>
    <row r="3568" spans="1:10">
      <c r="A3568" s="79" t="s">
        <v>106</v>
      </c>
      <c r="B3568" s="79" t="s">
        <v>37</v>
      </c>
      <c r="C3568" s="148">
        <v>0.72638888888888897</v>
      </c>
      <c r="D3568" s="152">
        <v>0</v>
      </c>
      <c r="E3568" s="152">
        <v>0</v>
      </c>
      <c r="F3568" s="152">
        <v>0</v>
      </c>
      <c r="G3568" s="152">
        <v>0</v>
      </c>
      <c r="H3568" s="152">
        <v>0</v>
      </c>
      <c r="I3568" s="152">
        <v>0</v>
      </c>
      <c r="J3568" s="152">
        <v>0</v>
      </c>
    </row>
    <row r="3569" spans="1:10">
      <c r="A3569" s="79" t="s">
        <v>106</v>
      </c>
      <c r="B3569" s="79" t="s">
        <v>37</v>
      </c>
      <c r="C3569" s="148">
        <v>0.72708333333333297</v>
      </c>
      <c r="D3569" s="152">
        <v>0</v>
      </c>
      <c r="E3569" s="152">
        <v>0</v>
      </c>
      <c r="F3569" s="152">
        <v>0</v>
      </c>
      <c r="G3569" s="152">
        <v>0</v>
      </c>
      <c r="H3569" s="152">
        <v>0</v>
      </c>
      <c r="I3569" s="152">
        <v>0</v>
      </c>
      <c r="J3569" s="152">
        <v>0</v>
      </c>
    </row>
    <row r="3570" spans="1:10">
      <c r="A3570" s="79" t="s">
        <v>106</v>
      </c>
      <c r="B3570" s="79" t="s">
        <v>37</v>
      </c>
      <c r="C3570" s="148">
        <v>0.72777777777777797</v>
      </c>
      <c r="D3570" s="152">
        <v>0</v>
      </c>
      <c r="E3570" s="152">
        <v>0</v>
      </c>
      <c r="F3570" s="152">
        <v>0</v>
      </c>
      <c r="G3570" s="152">
        <v>0</v>
      </c>
      <c r="H3570" s="152">
        <v>0</v>
      </c>
      <c r="I3570" s="152">
        <v>0</v>
      </c>
      <c r="J3570" s="152">
        <v>0</v>
      </c>
    </row>
    <row r="3571" spans="1:10" s="78" customFormat="1">
      <c r="A3571" s="82" t="s">
        <v>106</v>
      </c>
      <c r="B3571" s="82" t="s">
        <v>37</v>
      </c>
      <c r="C3571" s="150">
        <v>0.72847222222222197</v>
      </c>
      <c r="D3571" s="153">
        <v>0</v>
      </c>
      <c r="E3571" s="153">
        <v>0</v>
      </c>
      <c r="F3571" s="153">
        <v>0</v>
      </c>
      <c r="G3571" s="153">
        <v>0</v>
      </c>
      <c r="H3571" s="153">
        <v>0</v>
      </c>
      <c r="I3571" s="153">
        <v>0</v>
      </c>
      <c r="J3571" s="153">
        <v>0</v>
      </c>
    </row>
    <row r="3572" spans="1:10">
      <c r="A3572" s="79" t="s">
        <v>106</v>
      </c>
      <c r="B3572" s="79" t="s">
        <v>37</v>
      </c>
      <c r="C3572" s="148">
        <v>0.72916666666666596</v>
      </c>
      <c r="D3572" s="154">
        <v>0</v>
      </c>
      <c r="E3572" s="154">
        <v>0</v>
      </c>
      <c r="F3572" s="154">
        <v>0</v>
      </c>
      <c r="G3572" s="154">
        <v>0</v>
      </c>
      <c r="H3572" s="154">
        <v>0</v>
      </c>
      <c r="I3572" s="154">
        <v>0</v>
      </c>
      <c r="J3572" s="154">
        <v>0</v>
      </c>
    </row>
    <row r="3573" spans="1:10">
      <c r="A3573" s="79" t="s">
        <v>106</v>
      </c>
      <c r="B3573" s="79" t="s">
        <v>37</v>
      </c>
      <c r="C3573" s="148">
        <v>0.72986111111111096</v>
      </c>
      <c r="D3573" s="152">
        <v>0</v>
      </c>
      <c r="E3573" s="152">
        <v>0</v>
      </c>
      <c r="F3573" s="152">
        <v>0</v>
      </c>
      <c r="G3573" s="152">
        <v>0</v>
      </c>
      <c r="H3573" s="152">
        <v>0</v>
      </c>
      <c r="I3573" s="152">
        <v>0</v>
      </c>
      <c r="J3573" s="152">
        <v>0</v>
      </c>
    </row>
    <row r="3574" spans="1:10">
      <c r="A3574" s="79" t="s">
        <v>106</v>
      </c>
      <c r="B3574" s="79" t="s">
        <v>37</v>
      </c>
      <c r="C3574" s="148">
        <v>0.73055555555555496</v>
      </c>
      <c r="D3574" s="152">
        <v>0</v>
      </c>
      <c r="E3574" s="152">
        <v>0</v>
      </c>
      <c r="F3574" s="152">
        <v>0</v>
      </c>
      <c r="G3574" s="152">
        <v>0</v>
      </c>
      <c r="H3574" s="152">
        <v>0</v>
      </c>
      <c r="I3574" s="152">
        <v>0</v>
      </c>
      <c r="J3574" s="152">
        <v>0</v>
      </c>
    </row>
    <row r="3575" spans="1:10">
      <c r="A3575" s="79" t="s">
        <v>106</v>
      </c>
      <c r="B3575" s="79" t="s">
        <v>37</v>
      </c>
      <c r="C3575" s="148">
        <v>0.73124999999999996</v>
      </c>
      <c r="D3575" s="152">
        <v>0</v>
      </c>
      <c r="E3575" s="152">
        <v>0</v>
      </c>
      <c r="F3575" s="152">
        <v>0</v>
      </c>
      <c r="G3575" s="152">
        <v>0</v>
      </c>
      <c r="H3575" s="152">
        <v>0</v>
      </c>
      <c r="I3575" s="152">
        <v>0</v>
      </c>
      <c r="J3575" s="152">
        <v>0</v>
      </c>
    </row>
    <row r="3576" spans="1:10">
      <c r="A3576" s="79" t="s">
        <v>106</v>
      </c>
      <c r="B3576" s="79" t="s">
        <v>37</v>
      </c>
      <c r="C3576" s="148">
        <v>0.73194444444444395</v>
      </c>
      <c r="D3576" s="152">
        <v>0</v>
      </c>
      <c r="E3576" s="152">
        <v>0</v>
      </c>
      <c r="F3576" s="152">
        <v>0</v>
      </c>
      <c r="G3576" s="152">
        <v>0</v>
      </c>
      <c r="H3576" s="152">
        <v>0</v>
      </c>
      <c r="I3576" s="152">
        <v>0</v>
      </c>
      <c r="J3576" s="152">
        <v>0</v>
      </c>
    </row>
    <row r="3577" spans="1:10">
      <c r="A3577" s="79" t="s">
        <v>106</v>
      </c>
      <c r="B3577" s="79" t="s">
        <v>37</v>
      </c>
      <c r="C3577" s="148">
        <v>0.73263888888888895</v>
      </c>
      <c r="D3577" s="152">
        <v>0</v>
      </c>
      <c r="E3577" s="152">
        <v>0</v>
      </c>
      <c r="F3577" s="152">
        <v>0</v>
      </c>
      <c r="G3577" s="152">
        <v>0</v>
      </c>
      <c r="H3577" s="152">
        <v>0</v>
      </c>
      <c r="I3577" s="152">
        <v>0</v>
      </c>
      <c r="J3577" s="152">
        <v>0</v>
      </c>
    </row>
    <row r="3578" spans="1:10">
      <c r="A3578" s="79" t="s">
        <v>106</v>
      </c>
      <c r="B3578" s="79" t="s">
        <v>37</v>
      </c>
      <c r="C3578" s="148">
        <v>0.73333333333333295</v>
      </c>
      <c r="D3578" s="152">
        <v>0</v>
      </c>
      <c r="E3578" s="152">
        <v>0</v>
      </c>
      <c r="F3578" s="152">
        <v>0</v>
      </c>
      <c r="G3578" s="152">
        <v>0</v>
      </c>
      <c r="H3578" s="152">
        <v>0</v>
      </c>
      <c r="I3578" s="152">
        <v>0</v>
      </c>
      <c r="J3578" s="152">
        <v>0</v>
      </c>
    </row>
    <row r="3579" spans="1:10">
      <c r="A3579" s="79" t="s">
        <v>106</v>
      </c>
      <c r="B3579" s="79" t="s">
        <v>37</v>
      </c>
      <c r="C3579" s="148">
        <v>0.73402777777777795</v>
      </c>
      <c r="D3579" s="152">
        <v>0</v>
      </c>
      <c r="E3579" s="152">
        <v>0</v>
      </c>
      <c r="F3579" s="152">
        <v>0</v>
      </c>
      <c r="G3579" s="152">
        <v>0</v>
      </c>
      <c r="H3579" s="152">
        <v>0</v>
      </c>
      <c r="I3579" s="152">
        <v>0</v>
      </c>
      <c r="J3579" s="152">
        <v>0</v>
      </c>
    </row>
    <row r="3580" spans="1:10">
      <c r="A3580" s="79" t="s">
        <v>106</v>
      </c>
      <c r="B3580" s="79" t="s">
        <v>37</v>
      </c>
      <c r="C3580" s="148">
        <v>0.73472222222222205</v>
      </c>
      <c r="D3580" s="152">
        <v>0</v>
      </c>
      <c r="E3580" s="152">
        <v>0</v>
      </c>
      <c r="F3580" s="152">
        <v>0</v>
      </c>
      <c r="G3580" s="152">
        <v>0</v>
      </c>
      <c r="H3580" s="152">
        <v>0</v>
      </c>
      <c r="I3580" s="152">
        <v>0</v>
      </c>
      <c r="J3580" s="152">
        <v>0</v>
      </c>
    </row>
    <row r="3581" spans="1:10">
      <c r="A3581" s="79" t="s">
        <v>106</v>
      </c>
      <c r="B3581" s="79" t="s">
        <v>37</v>
      </c>
      <c r="C3581" s="148">
        <v>0.73541666666666605</v>
      </c>
      <c r="D3581" s="152">
        <v>0</v>
      </c>
      <c r="E3581" s="152">
        <v>0</v>
      </c>
      <c r="F3581" s="152">
        <v>0</v>
      </c>
      <c r="G3581" s="152">
        <v>0</v>
      </c>
      <c r="H3581" s="152">
        <v>0</v>
      </c>
      <c r="I3581" s="152">
        <v>0</v>
      </c>
      <c r="J3581" s="152">
        <v>0</v>
      </c>
    </row>
    <row r="3582" spans="1:10">
      <c r="A3582" s="79" t="s">
        <v>106</v>
      </c>
      <c r="B3582" s="79" t="s">
        <v>37</v>
      </c>
      <c r="C3582" s="148">
        <v>0.73611111111111105</v>
      </c>
      <c r="D3582" s="152">
        <v>0</v>
      </c>
      <c r="E3582" s="152">
        <v>0</v>
      </c>
      <c r="F3582" s="152">
        <v>0</v>
      </c>
      <c r="G3582" s="152">
        <v>0</v>
      </c>
      <c r="H3582" s="152">
        <v>0</v>
      </c>
      <c r="I3582" s="152">
        <v>0</v>
      </c>
      <c r="J3582" s="152">
        <v>0</v>
      </c>
    </row>
    <row r="3583" spans="1:10">
      <c r="A3583" s="79" t="s">
        <v>106</v>
      </c>
      <c r="B3583" s="79" t="s">
        <v>37</v>
      </c>
      <c r="C3583" s="148">
        <v>0.73680555555555505</v>
      </c>
      <c r="D3583" s="152">
        <v>0</v>
      </c>
      <c r="E3583" s="152">
        <v>0</v>
      </c>
      <c r="F3583" s="152">
        <v>0</v>
      </c>
      <c r="G3583" s="152">
        <v>0</v>
      </c>
      <c r="H3583" s="152">
        <v>0</v>
      </c>
      <c r="I3583" s="152">
        <v>0</v>
      </c>
      <c r="J3583" s="152">
        <v>0</v>
      </c>
    </row>
    <row r="3584" spans="1:10">
      <c r="A3584" s="79" t="s">
        <v>106</v>
      </c>
      <c r="B3584" s="79" t="s">
        <v>37</v>
      </c>
      <c r="C3584" s="148">
        <v>0.73750000000000004</v>
      </c>
      <c r="D3584" s="152">
        <v>0</v>
      </c>
      <c r="E3584" s="152">
        <v>0</v>
      </c>
      <c r="F3584" s="152">
        <v>0</v>
      </c>
      <c r="G3584" s="152">
        <v>0</v>
      </c>
      <c r="H3584" s="152">
        <v>0</v>
      </c>
      <c r="I3584" s="152">
        <v>0</v>
      </c>
      <c r="J3584" s="152">
        <v>0</v>
      </c>
    </row>
    <row r="3585" spans="1:10">
      <c r="A3585" s="79" t="s">
        <v>106</v>
      </c>
      <c r="B3585" s="79" t="s">
        <v>37</v>
      </c>
      <c r="C3585" s="148">
        <v>0.73819444444444404</v>
      </c>
      <c r="D3585" s="152">
        <v>0</v>
      </c>
      <c r="E3585" s="152">
        <v>0</v>
      </c>
      <c r="F3585" s="152">
        <v>0</v>
      </c>
      <c r="G3585" s="152">
        <v>0</v>
      </c>
      <c r="H3585" s="152">
        <v>0</v>
      </c>
      <c r="I3585" s="152">
        <v>0</v>
      </c>
      <c r="J3585" s="152">
        <v>0</v>
      </c>
    </row>
    <row r="3586" spans="1:10" s="78" customFormat="1">
      <c r="A3586" s="82" t="s">
        <v>106</v>
      </c>
      <c r="B3586" s="82" t="s">
        <v>37</v>
      </c>
      <c r="C3586" s="150">
        <v>0.73888888888888904</v>
      </c>
      <c r="D3586" s="153">
        <v>0</v>
      </c>
      <c r="E3586" s="153">
        <v>0</v>
      </c>
      <c r="F3586" s="153">
        <v>0</v>
      </c>
      <c r="G3586" s="153">
        <v>0</v>
      </c>
      <c r="H3586" s="153">
        <v>0</v>
      </c>
      <c r="I3586" s="153">
        <v>0</v>
      </c>
      <c r="J3586" s="153">
        <v>0</v>
      </c>
    </row>
    <row r="3587" spans="1:10">
      <c r="A3587" s="79" t="s">
        <v>106</v>
      </c>
      <c r="B3587" s="79" t="s">
        <v>37</v>
      </c>
      <c r="C3587" s="148">
        <v>0.73958333333333304</v>
      </c>
      <c r="D3587" s="154">
        <v>0</v>
      </c>
      <c r="E3587" s="154">
        <v>0</v>
      </c>
      <c r="F3587" s="154">
        <v>0</v>
      </c>
      <c r="G3587" s="154">
        <v>0</v>
      </c>
      <c r="H3587" s="154">
        <v>0</v>
      </c>
      <c r="I3587" s="154">
        <v>0</v>
      </c>
      <c r="J3587" s="154">
        <v>0</v>
      </c>
    </row>
    <row r="3588" spans="1:10">
      <c r="A3588" s="79" t="s">
        <v>106</v>
      </c>
      <c r="B3588" s="79" t="s">
        <v>37</v>
      </c>
      <c r="C3588" s="148">
        <v>0.74027777777777704</v>
      </c>
      <c r="D3588" s="152">
        <v>0</v>
      </c>
      <c r="E3588" s="152">
        <v>0</v>
      </c>
      <c r="F3588" s="152">
        <v>0</v>
      </c>
      <c r="G3588" s="152">
        <v>0</v>
      </c>
      <c r="H3588" s="152">
        <v>0</v>
      </c>
      <c r="I3588" s="152">
        <v>0</v>
      </c>
      <c r="J3588" s="152">
        <v>0</v>
      </c>
    </row>
    <row r="3589" spans="1:10">
      <c r="A3589" s="79" t="s">
        <v>106</v>
      </c>
      <c r="B3589" s="79" t="s">
        <v>37</v>
      </c>
      <c r="C3589" s="148">
        <v>0.74097222222222203</v>
      </c>
      <c r="D3589" s="152">
        <v>0</v>
      </c>
      <c r="E3589" s="152">
        <v>0</v>
      </c>
      <c r="F3589" s="152">
        <v>0</v>
      </c>
      <c r="G3589" s="152">
        <v>0</v>
      </c>
      <c r="H3589" s="152">
        <v>0</v>
      </c>
      <c r="I3589" s="152">
        <v>0</v>
      </c>
      <c r="J3589" s="152">
        <v>0</v>
      </c>
    </row>
    <row r="3590" spans="1:10">
      <c r="A3590" s="79" t="s">
        <v>106</v>
      </c>
      <c r="B3590" s="79" t="s">
        <v>37</v>
      </c>
      <c r="C3590" s="148">
        <v>0.74166666666666603</v>
      </c>
      <c r="D3590" s="152">
        <v>0</v>
      </c>
      <c r="E3590" s="152">
        <v>0</v>
      </c>
      <c r="F3590" s="152">
        <v>0</v>
      </c>
      <c r="G3590" s="152">
        <v>0</v>
      </c>
      <c r="H3590" s="152">
        <v>0</v>
      </c>
      <c r="I3590" s="152">
        <v>0</v>
      </c>
      <c r="J3590" s="152">
        <v>0</v>
      </c>
    </row>
    <row r="3591" spans="1:10">
      <c r="A3591" s="79" t="s">
        <v>106</v>
      </c>
      <c r="B3591" s="79" t="s">
        <v>37</v>
      </c>
      <c r="C3591" s="148">
        <v>0.74236111111111103</v>
      </c>
      <c r="D3591" s="152">
        <v>0</v>
      </c>
      <c r="E3591" s="152">
        <v>0</v>
      </c>
      <c r="F3591" s="152">
        <v>0</v>
      </c>
      <c r="G3591" s="152">
        <v>0</v>
      </c>
      <c r="H3591" s="152">
        <v>0</v>
      </c>
      <c r="I3591" s="152">
        <v>0</v>
      </c>
      <c r="J3591" s="152">
        <v>0</v>
      </c>
    </row>
    <row r="3592" spans="1:10">
      <c r="A3592" s="79" t="s">
        <v>106</v>
      </c>
      <c r="B3592" s="79" t="s">
        <v>37</v>
      </c>
      <c r="C3592" s="148">
        <v>0.74305555555555503</v>
      </c>
      <c r="D3592" s="152">
        <v>0</v>
      </c>
      <c r="E3592" s="152">
        <v>0</v>
      </c>
      <c r="F3592" s="152">
        <v>0</v>
      </c>
      <c r="G3592" s="152">
        <v>0</v>
      </c>
      <c r="H3592" s="152">
        <v>0</v>
      </c>
      <c r="I3592" s="152">
        <v>0</v>
      </c>
      <c r="J3592" s="152">
        <v>0</v>
      </c>
    </row>
    <row r="3593" spans="1:10">
      <c r="A3593" s="79" t="s">
        <v>106</v>
      </c>
      <c r="B3593" s="79" t="s">
        <v>37</v>
      </c>
      <c r="C3593" s="148">
        <v>0.74375000000000002</v>
      </c>
      <c r="D3593" s="152">
        <v>0</v>
      </c>
      <c r="E3593" s="152">
        <v>0</v>
      </c>
      <c r="F3593" s="152">
        <v>0</v>
      </c>
      <c r="G3593" s="152">
        <v>0</v>
      </c>
      <c r="H3593" s="152">
        <v>0</v>
      </c>
      <c r="I3593" s="152">
        <v>0</v>
      </c>
      <c r="J3593" s="152">
        <v>0</v>
      </c>
    </row>
    <row r="3594" spans="1:10">
      <c r="A3594" s="79" t="s">
        <v>106</v>
      </c>
      <c r="B3594" s="79" t="s">
        <v>37</v>
      </c>
      <c r="C3594" s="148">
        <v>0.74444444444444402</v>
      </c>
      <c r="D3594" s="152">
        <v>0</v>
      </c>
      <c r="E3594" s="152">
        <v>0</v>
      </c>
      <c r="F3594" s="152">
        <v>0</v>
      </c>
      <c r="G3594" s="152">
        <v>0</v>
      </c>
      <c r="H3594" s="152">
        <v>0</v>
      </c>
      <c r="I3594" s="152">
        <v>0</v>
      </c>
      <c r="J3594" s="152">
        <v>0</v>
      </c>
    </row>
    <row r="3595" spans="1:10">
      <c r="A3595" s="79" t="s">
        <v>106</v>
      </c>
      <c r="B3595" s="79" t="s">
        <v>37</v>
      </c>
      <c r="C3595" s="148">
        <v>0.74513888888888902</v>
      </c>
      <c r="D3595" s="152">
        <v>0</v>
      </c>
      <c r="E3595" s="152">
        <v>0</v>
      </c>
      <c r="F3595" s="152">
        <v>0</v>
      </c>
      <c r="G3595" s="152">
        <v>0</v>
      </c>
      <c r="H3595" s="152">
        <v>0</v>
      </c>
      <c r="I3595" s="152">
        <v>0</v>
      </c>
      <c r="J3595" s="152">
        <v>0</v>
      </c>
    </row>
    <row r="3596" spans="1:10">
      <c r="A3596" s="79" t="s">
        <v>106</v>
      </c>
      <c r="B3596" s="79" t="s">
        <v>37</v>
      </c>
      <c r="C3596" s="148">
        <v>0.74583333333333302</v>
      </c>
      <c r="D3596" s="152">
        <v>0</v>
      </c>
      <c r="E3596" s="152">
        <v>0</v>
      </c>
      <c r="F3596" s="152">
        <v>0</v>
      </c>
      <c r="G3596" s="152">
        <v>0</v>
      </c>
      <c r="H3596" s="152">
        <v>0</v>
      </c>
      <c r="I3596" s="152">
        <v>0</v>
      </c>
      <c r="J3596" s="152">
        <v>0</v>
      </c>
    </row>
    <row r="3597" spans="1:10">
      <c r="A3597" s="79" t="s">
        <v>106</v>
      </c>
      <c r="B3597" s="79" t="s">
        <v>37</v>
      </c>
      <c r="C3597" s="148">
        <v>0.74652777777777701</v>
      </c>
      <c r="D3597" s="152">
        <v>0</v>
      </c>
      <c r="E3597" s="152">
        <v>0</v>
      </c>
      <c r="F3597" s="152">
        <v>0</v>
      </c>
      <c r="G3597" s="152">
        <v>0</v>
      </c>
      <c r="H3597" s="152">
        <v>0</v>
      </c>
      <c r="I3597" s="152">
        <v>0</v>
      </c>
      <c r="J3597" s="152">
        <v>0</v>
      </c>
    </row>
    <row r="3598" spans="1:10">
      <c r="A3598" s="79" t="s">
        <v>106</v>
      </c>
      <c r="B3598" s="79" t="s">
        <v>37</v>
      </c>
      <c r="C3598" s="148">
        <v>0.74722222222222201</v>
      </c>
      <c r="D3598" s="152">
        <v>0</v>
      </c>
      <c r="E3598" s="152">
        <v>0</v>
      </c>
      <c r="F3598" s="152">
        <v>0</v>
      </c>
      <c r="G3598" s="152">
        <v>0</v>
      </c>
      <c r="H3598" s="152">
        <v>0</v>
      </c>
      <c r="I3598" s="152">
        <v>0</v>
      </c>
      <c r="J3598" s="152">
        <v>0</v>
      </c>
    </row>
    <row r="3599" spans="1:10">
      <c r="A3599" s="79" t="s">
        <v>106</v>
      </c>
      <c r="B3599" s="79" t="s">
        <v>37</v>
      </c>
      <c r="C3599" s="148">
        <v>0.74791666666666601</v>
      </c>
      <c r="D3599" s="152">
        <v>0</v>
      </c>
      <c r="E3599" s="152">
        <v>0</v>
      </c>
      <c r="F3599" s="152">
        <v>0</v>
      </c>
      <c r="G3599" s="152">
        <v>0</v>
      </c>
      <c r="H3599" s="152">
        <v>0</v>
      </c>
      <c r="I3599" s="152">
        <v>0</v>
      </c>
      <c r="J3599" s="152">
        <v>0</v>
      </c>
    </row>
    <row r="3600" spans="1:10">
      <c r="A3600" s="79" t="s">
        <v>106</v>
      </c>
      <c r="B3600" s="79" t="s">
        <v>37</v>
      </c>
      <c r="C3600" s="148">
        <v>0.74861111111111101</v>
      </c>
      <c r="D3600" s="152">
        <v>0</v>
      </c>
      <c r="E3600" s="152">
        <v>0</v>
      </c>
      <c r="F3600" s="152">
        <v>0</v>
      </c>
      <c r="G3600" s="152">
        <v>0</v>
      </c>
      <c r="H3600" s="152">
        <v>0</v>
      </c>
      <c r="I3600" s="152">
        <v>0</v>
      </c>
      <c r="J3600" s="152">
        <v>0</v>
      </c>
    </row>
    <row r="3601" spans="1:10" s="28" customFormat="1" ht="17.5" thickBot="1">
      <c r="A3601" s="97" t="s">
        <v>106</v>
      </c>
      <c r="B3601" s="97" t="s">
        <v>37</v>
      </c>
      <c r="C3601" s="149">
        <v>0.749305555555555</v>
      </c>
      <c r="D3601" s="155">
        <v>0</v>
      </c>
      <c r="E3601" s="155">
        <v>0</v>
      </c>
      <c r="F3601" s="155">
        <v>0</v>
      </c>
      <c r="G3601" s="155">
        <v>0</v>
      </c>
      <c r="H3601" s="155">
        <v>0</v>
      </c>
      <c r="I3601" s="155">
        <v>0</v>
      </c>
      <c r="J3601" s="155">
        <v>0</v>
      </c>
    </row>
    <row r="3602" spans="1:10">
      <c r="A3602" s="85" t="s">
        <v>108</v>
      </c>
      <c r="B3602" s="85" t="s">
        <v>34</v>
      </c>
      <c r="C3602" s="156">
        <v>0.70833333333333337</v>
      </c>
      <c r="D3602" s="71">
        <v>0</v>
      </c>
      <c r="E3602" s="71">
        <v>0</v>
      </c>
      <c r="F3602" s="71">
        <v>0</v>
      </c>
      <c r="G3602" s="71">
        <v>0</v>
      </c>
      <c r="H3602" s="71">
        <v>0</v>
      </c>
      <c r="I3602" s="71">
        <v>0</v>
      </c>
      <c r="J3602" s="71">
        <v>0</v>
      </c>
    </row>
    <row r="3603" spans="1:10">
      <c r="A3603" s="85" t="s">
        <v>108</v>
      </c>
      <c r="B3603" s="85" t="s">
        <v>34</v>
      </c>
      <c r="C3603" s="156">
        <v>0.70902777777777781</v>
      </c>
      <c r="D3603" s="71">
        <v>0</v>
      </c>
      <c r="E3603" s="71">
        <v>0</v>
      </c>
      <c r="F3603" s="71">
        <v>0</v>
      </c>
      <c r="G3603" s="71">
        <v>0</v>
      </c>
      <c r="H3603" s="71">
        <v>0</v>
      </c>
      <c r="I3603" s="71">
        <v>0</v>
      </c>
      <c r="J3603" s="71">
        <v>0</v>
      </c>
    </row>
    <row r="3604" spans="1:10">
      <c r="A3604" s="85" t="s">
        <v>108</v>
      </c>
      <c r="B3604" s="85" t="s">
        <v>34</v>
      </c>
      <c r="C3604" s="156">
        <v>0.70972222222222203</v>
      </c>
      <c r="D3604" s="71">
        <v>0</v>
      </c>
      <c r="E3604" s="71">
        <v>0</v>
      </c>
      <c r="F3604" s="71">
        <v>0</v>
      </c>
      <c r="G3604" s="71">
        <v>0</v>
      </c>
      <c r="H3604" s="71">
        <v>0</v>
      </c>
      <c r="I3604" s="71">
        <v>0</v>
      </c>
      <c r="J3604" s="71">
        <v>0</v>
      </c>
    </row>
    <row r="3605" spans="1:10">
      <c r="A3605" s="85" t="s">
        <v>108</v>
      </c>
      <c r="B3605" s="85" t="s">
        <v>34</v>
      </c>
      <c r="C3605" s="156">
        <v>0.71041666666666703</v>
      </c>
      <c r="D3605" s="71">
        <v>0</v>
      </c>
      <c r="E3605" s="71">
        <v>0</v>
      </c>
      <c r="F3605" s="71">
        <v>0</v>
      </c>
      <c r="G3605" s="71">
        <v>0</v>
      </c>
      <c r="H3605" s="71">
        <v>0</v>
      </c>
      <c r="I3605" s="71">
        <v>0</v>
      </c>
      <c r="J3605" s="71">
        <v>0</v>
      </c>
    </row>
    <row r="3606" spans="1:10">
      <c r="A3606" s="85" t="s">
        <v>108</v>
      </c>
      <c r="B3606" s="85" t="s">
        <v>34</v>
      </c>
      <c r="C3606" s="156">
        <v>0.71111111111111103</v>
      </c>
      <c r="D3606" s="71">
        <v>0</v>
      </c>
      <c r="E3606" s="71">
        <v>0</v>
      </c>
      <c r="F3606" s="71">
        <v>0</v>
      </c>
      <c r="G3606" s="71">
        <v>0</v>
      </c>
      <c r="H3606" s="71">
        <v>0</v>
      </c>
      <c r="I3606" s="71">
        <v>0</v>
      </c>
      <c r="J3606" s="71">
        <v>0</v>
      </c>
    </row>
    <row r="3607" spans="1:10">
      <c r="A3607" s="85" t="s">
        <v>108</v>
      </c>
      <c r="B3607" s="85" t="s">
        <v>34</v>
      </c>
      <c r="C3607" s="156">
        <v>0.71180555555555602</v>
      </c>
      <c r="D3607" s="71">
        <v>0</v>
      </c>
      <c r="E3607" s="71">
        <v>0</v>
      </c>
      <c r="F3607" s="71">
        <v>0</v>
      </c>
      <c r="G3607" s="71">
        <v>0</v>
      </c>
      <c r="H3607" s="71">
        <v>0</v>
      </c>
      <c r="I3607" s="71">
        <v>0</v>
      </c>
      <c r="J3607" s="71">
        <v>0</v>
      </c>
    </row>
    <row r="3608" spans="1:10">
      <c r="A3608" s="85" t="s">
        <v>108</v>
      </c>
      <c r="B3608" s="85" t="s">
        <v>34</v>
      </c>
      <c r="C3608" s="156">
        <v>0.71250000000000002</v>
      </c>
      <c r="D3608" s="71">
        <v>0</v>
      </c>
      <c r="E3608" s="71">
        <v>0</v>
      </c>
      <c r="F3608" s="71">
        <v>0</v>
      </c>
      <c r="G3608" s="71">
        <v>0</v>
      </c>
      <c r="H3608" s="71">
        <v>0</v>
      </c>
      <c r="I3608" s="71">
        <v>0</v>
      </c>
      <c r="J3608" s="71">
        <v>0</v>
      </c>
    </row>
    <row r="3609" spans="1:10">
      <c r="A3609" s="85" t="s">
        <v>108</v>
      </c>
      <c r="B3609" s="85" t="s">
        <v>34</v>
      </c>
      <c r="C3609" s="156">
        <v>0.71319444444444402</v>
      </c>
      <c r="D3609" s="71">
        <v>0</v>
      </c>
      <c r="E3609" s="71">
        <v>0</v>
      </c>
      <c r="F3609" s="71">
        <v>0</v>
      </c>
      <c r="G3609" s="71">
        <v>0</v>
      </c>
      <c r="H3609" s="71">
        <v>0</v>
      </c>
      <c r="I3609" s="71">
        <v>0</v>
      </c>
      <c r="J3609" s="71">
        <v>0</v>
      </c>
    </row>
    <row r="3610" spans="1:10">
      <c r="A3610" s="85" t="s">
        <v>108</v>
      </c>
      <c r="B3610" s="85" t="s">
        <v>34</v>
      </c>
      <c r="C3610" s="156">
        <v>0.71388888888888902</v>
      </c>
      <c r="D3610" s="71">
        <v>0</v>
      </c>
      <c r="E3610" s="71">
        <v>0</v>
      </c>
      <c r="F3610" s="71">
        <v>0</v>
      </c>
      <c r="G3610" s="71">
        <v>0</v>
      </c>
      <c r="H3610" s="71">
        <v>0</v>
      </c>
      <c r="I3610" s="71">
        <v>0</v>
      </c>
      <c r="J3610" s="71">
        <v>0</v>
      </c>
    </row>
    <row r="3611" spans="1:10">
      <c r="A3611" s="85" t="s">
        <v>108</v>
      </c>
      <c r="B3611" s="85" t="s">
        <v>34</v>
      </c>
      <c r="C3611" s="156">
        <v>0.71458333333333302</v>
      </c>
      <c r="D3611" s="71">
        <v>0</v>
      </c>
      <c r="E3611" s="71">
        <v>0</v>
      </c>
      <c r="F3611" s="71">
        <v>0</v>
      </c>
      <c r="G3611" s="71">
        <v>0</v>
      </c>
      <c r="H3611" s="71">
        <v>0</v>
      </c>
      <c r="I3611" s="71">
        <v>0</v>
      </c>
      <c r="J3611" s="71">
        <v>0</v>
      </c>
    </row>
    <row r="3612" spans="1:10">
      <c r="A3612" s="85" t="s">
        <v>108</v>
      </c>
      <c r="B3612" s="85" t="s">
        <v>34</v>
      </c>
      <c r="C3612" s="156">
        <v>0.71527777777777801</v>
      </c>
      <c r="D3612" s="71">
        <v>0</v>
      </c>
      <c r="E3612" s="71">
        <v>0</v>
      </c>
      <c r="F3612" s="71">
        <v>0</v>
      </c>
      <c r="G3612" s="71">
        <v>0</v>
      </c>
      <c r="H3612" s="71">
        <v>0</v>
      </c>
      <c r="I3612" s="71">
        <v>0</v>
      </c>
      <c r="J3612" s="71">
        <v>0</v>
      </c>
    </row>
    <row r="3613" spans="1:10">
      <c r="A3613" s="85" t="s">
        <v>108</v>
      </c>
      <c r="B3613" s="85" t="s">
        <v>34</v>
      </c>
      <c r="C3613" s="156">
        <v>0.71597222222222201</v>
      </c>
      <c r="D3613" s="71">
        <v>0</v>
      </c>
      <c r="E3613" s="71">
        <v>0</v>
      </c>
      <c r="F3613" s="71">
        <v>0</v>
      </c>
      <c r="G3613" s="71">
        <v>0</v>
      </c>
      <c r="H3613" s="71">
        <v>0</v>
      </c>
      <c r="I3613" s="71">
        <v>0</v>
      </c>
      <c r="J3613" s="71">
        <v>0</v>
      </c>
    </row>
    <row r="3614" spans="1:10">
      <c r="A3614" s="85" t="s">
        <v>108</v>
      </c>
      <c r="B3614" s="85" t="s">
        <v>34</v>
      </c>
      <c r="C3614" s="156">
        <v>0.71666666666666701</v>
      </c>
      <c r="D3614" s="71">
        <v>0</v>
      </c>
      <c r="E3614" s="71">
        <v>0</v>
      </c>
      <c r="F3614" s="71">
        <v>0</v>
      </c>
      <c r="G3614" s="71">
        <v>0</v>
      </c>
      <c r="H3614" s="71">
        <v>0</v>
      </c>
      <c r="I3614" s="71">
        <v>0</v>
      </c>
      <c r="J3614" s="71">
        <v>0</v>
      </c>
    </row>
    <row r="3615" spans="1:10">
      <c r="A3615" s="85" t="s">
        <v>108</v>
      </c>
      <c r="B3615" s="85" t="s">
        <v>34</v>
      </c>
      <c r="C3615" s="156">
        <v>0.71736111111111101</v>
      </c>
      <c r="D3615" s="71">
        <v>0</v>
      </c>
      <c r="E3615" s="71">
        <v>0</v>
      </c>
      <c r="F3615" s="71">
        <v>0</v>
      </c>
      <c r="G3615" s="71">
        <v>0</v>
      </c>
      <c r="H3615" s="71">
        <v>0</v>
      </c>
      <c r="I3615" s="71">
        <v>0</v>
      </c>
      <c r="J3615" s="71">
        <v>0</v>
      </c>
    </row>
    <row r="3616" spans="1:10" s="78" customFormat="1">
      <c r="A3616" s="88" t="s">
        <v>108</v>
      </c>
      <c r="B3616" s="88" t="s">
        <v>34</v>
      </c>
      <c r="C3616" s="158">
        <v>0.718055555555556</v>
      </c>
      <c r="D3616" s="160">
        <v>0</v>
      </c>
      <c r="E3616" s="160">
        <v>0</v>
      </c>
      <c r="F3616" s="160">
        <v>0</v>
      </c>
      <c r="G3616" s="160">
        <v>0</v>
      </c>
      <c r="H3616" s="160">
        <v>0</v>
      </c>
      <c r="I3616" s="160">
        <v>0</v>
      </c>
      <c r="J3616" s="160">
        <v>0</v>
      </c>
    </row>
    <row r="3617" spans="1:10">
      <c r="A3617" s="85" t="s">
        <v>108</v>
      </c>
      <c r="B3617" s="85" t="s">
        <v>34</v>
      </c>
      <c r="C3617" s="156">
        <v>0.71875</v>
      </c>
      <c r="D3617" s="161">
        <v>0</v>
      </c>
      <c r="E3617" s="161">
        <v>0</v>
      </c>
      <c r="F3617" s="161">
        <v>0</v>
      </c>
      <c r="G3617" s="161">
        <v>0</v>
      </c>
      <c r="H3617" s="161">
        <v>0</v>
      </c>
      <c r="I3617" s="161">
        <v>0</v>
      </c>
      <c r="J3617" s="161">
        <v>0</v>
      </c>
    </row>
    <row r="3618" spans="1:10">
      <c r="A3618" s="85" t="s">
        <v>108</v>
      </c>
      <c r="B3618" s="85" t="s">
        <v>34</v>
      </c>
      <c r="C3618" s="156">
        <v>0.719444444444444</v>
      </c>
      <c r="D3618" s="71">
        <v>0</v>
      </c>
      <c r="E3618" s="71">
        <v>0</v>
      </c>
      <c r="F3618" s="71">
        <v>0</v>
      </c>
      <c r="G3618" s="71">
        <v>0</v>
      </c>
      <c r="H3618" s="71">
        <v>0</v>
      </c>
      <c r="I3618" s="71">
        <v>0</v>
      </c>
      <c r="J3618" s="71">
        <v>0</v>
      </c>
    </row>
    <row r="3619" spans="1:10">
      <c r="A3619" s="85" t="s">
        <v>108</v>
      </c>
      <c r="B3619" s="85" t="s">
        <v>34</v>
      </c>
      <c r="C3619" s="156">
        <v>0.72013888888888899</v>
      </c>
      <c r="D3619" s="71">
        <v>0</v>
      </c>
      <c r="E3619" s="71">
        <v>0</v>
      </c>
      <c r="F3619" s="71">
        <v>0</v>
      </c>
      <c r="G3619" s="71">
        <v>0</v>
      </c>
      <c r="H3619" s="71">
        <v>0</v>
      </c>
      <c r="I3619" s="71">
        <v>0</v>
      </c>
      <c r="J3619" s="71">
        <v>0</v>
      </c>
    </row>
    <row r="3620" spans="1:10">
      <c r="A3620" s="85" t="s">
        <v>108</v>
      </c>
      <c r="B3620" s="85" t="s">
        <v>34</v>
      </c>
      <c r="C3620" s="156">
        <v>0.72083333333333299</v>
      </c>
      <c r="D3620" s="71">
        <v>0</v>
      </c>
      <c r="E3620" s="71">
        <v>0</v>
      </c>
      <c r="F3620" s="71">
        <v>0</v>
      </c>
      <c r="G3620" s="71">
        <v>0</v>
      </c>
      <c r="H3620" s="71">
        <v>0</v>
      </c>
      <c r="I3620" s="71">
        <v>0</v>
      </c>
      <c r="J3620" s="71">
        <v>0</v>
      </c>
    </row>
    <row r="3621" spans="1:10">
      <c r="A3621" s="85" t="s">
        <v>108</v>
      </c>
      <c r="B3621" s="85" t="s">
        <v>34</v>
      </c>
      <c r="C3621" s="156">
        <v>0.72152777777777799</v>
      </c>
      <c r="D3621" s="71">
        <v>0</v>
      </c>
      <c r="E3621" s="71">
        <v>0</v>
      </c>
      <c r="F3621" s="71">
        <v>0</v>
      </c>
      <c r="G3621" s="71">
        <v>0</v>
      </c>
      <c r="H3621" s="71">
        <v>0</v>
      </c>
      <c r="I3621" s="71">
        <v>0</v>
      </c>
      <c r="J3621" s="71">
        <v>0</v>
      </c>
    </row>
    <row r="3622" spans="1:10">
      <c r="A3622" s="85" t="s">
        <v>108</v>
      </c>
      <c r="B3622" s="85" t="s">
        <v>34</v>
      </c>
      <c r="C3622" s="156">
        <v>0.72222222222222199</v>
      </c>
      <c r="D3622" s="71">
        <v>0</v>
      </c>
      <c r="E3622" s="71">
        <v>0</v>
      </c>
      <c r="F3622" s="71">
        <v>0</v>
      </c>
      <c r="G3622" s="71">
        <v>0</v>
      </c>
      <c r="H3622" s="71">
        <v>0</v>
      </c>
      <c r="I3622" s="71">
        <v>0</v>
      </c>
      <c r="J3622" s="71">
        <v>0</v>
      </c>
    </row>
    <row r="3623" spans="1:10">
      <c r="A3623" s="85" t="s">
        <v>108</v>
      </c>
      <c r="B3623" s="85" t="s">
        <v>34</v>
      </c>
      <c r="C3623" s="156">
        <v>0.72291666666666698</v>
      </c>
      <c r="D3623" s="71">
        <v>0</v>
      </c>
      <c r="E3623" s="71">
        <v>0</v>
      </c>
      <c r="F3623" s="71">
        <v>0</v>
      </c>
      <c r="G3623" s="71">
        <v>0</v>
      </c>
      <c r="H3623" s="71">
        <v>0</v>
      </c>
      <c r="I3623" s="71">
        <v>0</v>
      </c>
      <c r="J3623" s="71">
        <v>0</v>
      </c>
    </row>
    <row r="3624" spans="1:10">
      <c r="A3624" s="85" t="s">
        <v>108</v>
      </c>
      <c r="B3624" s="85" t="s">
        <v>34</v>
      </c>
      <c r="C3624" s="156">
        <v>0.72361111111111098</v>
      </c>
      <c r="D3624" s="71">
        <v>0</v>
      </c>
      <c r="E3624" s="71">
        <v>0</v>
      </c>
      <c r="F3624" s="71">
        <v>0</v>
      </c>
      <c r="G3624" s="71">
        <v>0</v>
      </c>
      <c r="H3624" s="71">
        <v>0</v>
      </c>
      <c r="I3624" s="71">
        <v>0</v>
      </c>
      <c r="J3624" s="71">
        <v>0</v>
      </c>
    </row>
    <row r="3625" spans="1:10">
      <c r="A3625" s="85" t="s">
        <v>108</v>
      </c>
      <c r="B3625" s="85" t="s">
        <v>34</v>
      </c>
      <c r="C3625" s="156">
        <v>0.72430555555555598</v>
      </c>
      <c r="D3625" s="71">
        <v>0</v>
      </c>
      <c r="E3625" s="71">
        <v>0</v>
      </c>
      <c r="F3625" s="71">
        <v>0</v>
      </c>
      <c r="G3625" s="71">
        <v>0</v>
      </c>
      <c r="H3625" s="71">
        <v>0</v>
      </c>
      <c r="I3625" s="71">
        <v>0</v>
      </c>
      <c r="J3625" s="71">
        <v>0</v>
      </c>
    </row>
    <row r="3626" spans="1:10">
      <c r="A3626" s="85" t="s">
        <v>108</v>
      </c>
      <c r="B3626" s="85" t="s">
        <v>34</v>
      </c>
      <c r="C3626" s="156">
        <v>0.72499999999999998</v>
      </c>
      <c r="D3626" s="71">
        <v>0</v>
      </c>
      <c r="E3626" s="71">
        <v>0</v>
      </c>
      <c r="F3626" s="71">
        <v>0</v>
      </c>
      <c r="G3626" s="71">
        <v>0</v>
      </c>
      <c r="H3626" s="71">
        <v>0</v>
      </c>
      <c r="I3626" s="71">
        <v>0</v>
      </c>
      <c r="J3626" s="71">
        <v>0</v>
      </c>
    </row>
    <row r="3627" spans="1:10">
      <c r="A3627" s="85" t="s">
        <v>108</v>
      </c>
      <c r="B3627" s="85" t="s">
        <v>34</v>
      </c>
      <c r="C3627" s="156">
        <v>0.72569444444444398</v>
      </c>
      <c r="D3627" s="71">
        <v>0</v>
      </c>
      <c r="E3627" s="71">
        <v>0</v>
      </c>
      <c r="F3627" s="71">
        <v>0</v>
      </c>
      <c r="G3627" s="71">
        <v>0</v>
      </c>
      <c r="H3627" s="71">
        <v>0</v>
      </c>
      <c r="I3627" s="71">
        <v>0</v>
      </c>
      <c r="J3627" s="71">
        <v>0</v>
      </c>
    </row>
    <row r="3628" spans="1:10">
      <c r="A3628" s="85" t="s">
        <v>108</v>
      </c>
      <c r="B3628" s="85" t="s">
        <v>34</v>
      </c>
      <c r="C3628" s="156">
        <v>0.72638888888888897</v>
      </c>
      <c r="D3628" s="71">
        <v>0</v>
      </c>
      <c r="E3628" s="71">
        <v>0</v>
      </c>
      <c r="F3628" s="71">
        <v>0</v>
      </c>
      <c r="G3628" s="71">
        <v>0</v>
      </c>
      <c r="H3628" s="71">
        <v>0</v>
      </c>
      <c r="I3628" s="71">
        <v>0</v>
      </c>
      <c r="J3628" s="71">
        <v>0</v>
      </c>
    </row>
    <row r="3629" spans="1:10">
      <c r="A3629" s="85" t="s">
        <v>108</v>
      </c>
      <c r="B3629" s="85" t="s">
        <v>34</v>
      </c>
      <c r="C3629" s="156">
        <v>0.72708333333333297</v>
      </c>
      <c r="D3629" s="71">
        <v>0</v>
      </c>
      <c r="E3629" s="71">
        <v>0</v>
      </c>
      <c r="F3629" s="71">
        <v>0</v>
      </c>
      <c r="G3629" s="71">
        <v>0</v>
      </c>
      <c r="H3629" s="71">
        <v>0</v>
      </c>
      <c r="I3629" s="71">
        <v>0</v>
      </c>
      <c r="J3629" s="71">
        <v>0</v>
      </c>
    </row>
    <row r="3630" spans="1:10">
      <c r="A3630" s="85" t="s">
        <v>108</v>
      </c>
      <c r="B3630" s="85" t="s">
        <v>34</v>
      </c>
      <c r="C3630" s="156">
        <v>0.72777777777777797</v>
      </c>
      <c r="D3630" s="71">
        <v>0</v>
      </c>
      <c r="E3630" s="71">
        <v>0</v>
      </c>
      <c r="F3630" s="71">
        <v>0</v>
      </c>
      <c r="G3630" s="71">
        <v>0</v>
      </c>
      <c r="H3630" s="71">
        <v>0</v>
      </c>
      <c r="I3630" s="71">
        <v>0</v>
      </c>
      <c r="J3630" s="71">
        <v>0</v>
      </c>
    </row>
    <row r="3631" spans="1:10" s="78" customFormat="1">
      <c r="A3631" s="88" t="s">
        <v>108</v>
      </c>
      <c r="B3631" s="88" t="s">
        <v>34</v>
      </c>
      <c r="C3631" s="158">
        <v>0.72847222222222197</v>
      </c>
      <c r="D3631" s="160">
        <v>0</v>
      </c>
      <c r="E3631" s="160">
        <v>0</v>
      </c>
      <c r="F3631" s="160">
        <v>0</v>
      </c>
      <c r="G3631" s="160">
        <v>0</v>
      </c>
      <c r="H3631" s="160">
        <v>0</v>
      </c>
      <c r="I3631" s="160">
        <v>0</v>
      </c>
      <c r="J3631" s="160">
        <v>0</v>
      </c>
    </row>
    <row r="3632" spans="1:10">
      <c r="A3632" s="85" t="s">
        <v>108</v>
      </c>
      <c r="B3632" s="85" t="s">
        <v>34</v>
      </c>
      <c r="C3632" s="156">
        <v>0.72916666666666696</v>
      </c>
      <c r="D3632" s="161">
        <v>0</v>
      </c>
      <c r="E3632" s="161">
        <v>0</v>
      </c>
      <c r="F3632" s="161">
        <v>0</v>
      </c>
      <c r="G3632" s="161">
        <v>0</v>
      </c>
      <c r="H3632" s="161">
        <v>0</v>
      </c>
      <c r="I3632" s="161">
        <v>0</v>
      </c>
      <c r="J3632" s="161">
        <v>0</v>
      </c>
    </row>
    <row r="3633" spans="1:10">
      <c r="A3633" s="85" t="s">
        <v>108</v>
      </c>
      <c r="B3633" s="85" t="s">
        <v>34</v>
      </c>
      <c r="C3633" s="156">
        <v>0.72986111111111096</v>
      </c>
      <c r="D3633" s="71">
        <v>0</v>
      </c>
      <c r="E3633" s="71">
        <v>0</v>
      </c>
      <c r="F3633" s="71">
        <v>0</v>
      </c>
      <c r="G3633" s="71">
        <v>0</v>
      </c>
      <c r="H3633" s="71">
        <v>0</v>
      </c>
      <c r="I3633" s="71">
        <v>0</v>
      </c>
      <c r="J3633" s="71">
        <v>0</v>
      </c>
    </row>
    <row r="3634" spans="1:10">
      <c r="A3634" s="85" t="s">
        <v>108</v>
      </c>
      <c r="B3634" s="85" t="s">
        <v>34</v>
      </c>
      <c r="C3634" s="156">
        <v>0.73055555555555596</v>
      </c>
      <c r="D3634" s="71">
        <v>0</v>
      </c>
      <c r="E3634" s="71">
        <v>0</v>
      </c>
      <c r="F3634" s="71">
        <v>0</v>
      </c>
      <c r="G3634" s="71">
        <v>0</v>
      </c>
      <c r="H3634" s="71">
        <v>0</v>
      </c>
      <c r="I3634" s="71">
        <v>0</v>
      </c>
      <c r="J3634" s="71">
        <v>0</v>
      </c>
    </row>
    <row r="3635" spans="1:10">
      <c r="A3635" s="85" t="s">
        <v>108</v>
      </c>
      <c r="B3635" s="85" t="s">
        <v>34</v>
      </c>
      <c r="C3635" s="156">
        <v>0.73124999999999996</v>
      </c>
      <c r="D3635" s="71">
        <v>0</v>
      </c>
      <c r="E3635" s="71">
        <v>0</v>
      </c>
      <c r="F3635" s="71">
        <v>0</v>
      </c>
      <c r="G3635" s="71">
        <v>0</v>
      </c>
      <c r="H3635" s="71">
        <v>0</v>
      </c>
      <c r="I3635" s="71">
        <v>0</v>
      </c>
      <c r="J3635" s="71">
        <v>0</v>
      </c>
    </row>
    <row r="3636" spans="1:10">
      <c r="A3636" s="85" t="s">
        <v>108</v>
      </c>
      <c r="B3636" s="85" t="s">
        <v>34</v>
      </c>
      <c r="C3636" s="156">
        <v>0.73194444444444395</v>
      </c>
      <c r="D3636" s="71">
        <v>0</v>
      </c>
      <c r="E3636" s="71">
        <v>0</v>
      </c>
      <c r="F3636" s="71">
        <v>0</v>
      </c>
      <c r="G3636" s="71">
        <v>0</v>
      </c>
      <c r="H3636" s="71">
        <v>0</v>
      </c>
      <c r="I3636" s="71">
        <v>0</v>
      </c>
      <c r="J3636" s="71">
        <v>0</v>
      </c>
    </row>
    <row r="3637" spans="1:10">
      <c r="A3637" s="85" t="s">
        <v>108</v>
      </c>
      <c r="B3637" s="85" t="s">
        <v>34</v>
      </c>
      <c r="C3637" s="156">
        <v>0.73263888888888895</v>
      </c>
      <c r="D3637" s="71">
        <v>0</v>
      </c>
      <c r="E3637" s="71">
        <v>0</v>
      </c>
      <c r="F3637" s="71">
        <v>0</v>
      </c>
      <c r="G3637" s="71">
        <v>0</v>
      </c>
      <c r="H3637" s="71">
        <v>0</v>
      </c>
      <c r="I3637" s="71">
        <v>0</v>
      </c>
      <c r="J3637" s="71">
        <v>0</v>
      </c>
    </row>
    <row r="3638" spans="1:10">
      <c r="A3638" s="85" t="s">
        <v>108</v>
      </c>
      <c r="B3638" s="85" t="s">
        <v>34</v>
      </c>
      <c r="C3638" s="156">
        <v>0.73333333333333295</v>
      </c>
      <c r="D3638" s="71">
        <v>0</v>
      </c>
      <c r="E3638" s="71">
        <v>0</v>
      </c>
      <c r="F3638" s="71">
        <v>0</v>
      </c>
      <c r="G3638" s="71">
        <v>0</v>
      </c>
      <c r="H3638" s="71">
        <v>0</v>
      </c>
      <c r="I3638" s="71">
        <v>0</v>
      </c>
      <c r="J3638" s="71">
        <v>0</v>
      </c>
    </row>
    <row r="3639" spans="1:10">
      <c r="A3639" s="85" t="s">
        <v>108</v>
      </c>
      <c r="B3639" s="85" t="s">
        <v>34</v>
      </c>
      <c r="C3639" s="156">
        <v>0.73402777777777795</v>
      </c>
      <c r="D3639" s="71">
        <v>0</v>
      </c>
      <c r="E3639" s="71">
        <v>0</v>
      </c>
      <c r="F3639" s="71">
        <v>0</v>
      </c>
      <c r="G3639" s="71">
        <v>0</v>
      </c>
      <c r="H3639" s="71">
        <v>0</v>
      </c>
      <c r="I3639" s="71">
        <v>0</v>
      </c>
      <c r="J3639" s="71">
        <v>0</v>
      </c>
    </row>
    <row r="3640" spans="1:10">
      <c r="A3640" s="85" t="s">
        <v>108</v>
      </c>
      <c r="B3640" s="85" t="s">
        <v>34</v>
      </c>
      <c r="C3640" s="156">
        <v>0.73472222222222205</v>
      </c>
      <c r="D3640" s="71">
        <v>0</v>
      </c>
      <c r="E3640" s="71">
        <v>0</v>
      </c>
      <c r="F3640" s="71">
        <v>0</v>
      </c>
      <c r="G3640" s="71">
        <v>0</v>
      </c>
      <c r="H3640" s="71">
        <v>0</v>
      </c>
      <c r="I3640" s="71">
        <v>0</v>
      </c>
      <c r="J3640" s="71">
        <v>0</v>
      </c>
    </row>
    <row r="3641" spans="1:10">
      <c r="A3641" s="85" t="s">
        <v>108</v>
      </c>
      <c r="B3641" s="85" t="s">
        <v>34</v>
      </c>
      <c r="C3641" s="156">
        <v>0.73541666666666705</v>
      </c>
      <c r="D3641" s="71">
        <v>0</v>
      </c>
      <c r="E3641" s="71">
        <v>0</v>
      </c>
      <c r="F3641" s="71">
        <v>0</v>
      </c>
      <c r="G3641" s="71">
        <v>0</v>
      </c>
      <c r="H3641" s="71">
        <v>0</v>
      </c>
      <c r="I3641" s="71">
        <v>0</v>
      </c>
      <c r="J3641" s="71">
        <v>0</v>
      </c>
    </row>
    <row r="3642" spans="1:10">
      <c r="A3642" s="85" t="s">
        <v>108</v>
      </c>
      <c r="B3642" s="85" t="s">
        <v>34</v>
      </c>
      <c r="C3642" s="156">
        <v>0.73611111111111105</v>
      </c>
      <c r="D3642" s="71">
        <v>0</v>
      </c>
      <c r="E3642" s="71">
        <v>0</v>
      </c>
      <c r="F3642" s="71">
        <v>0</v>
      </c>
      <c r="G3642" s="71">
        <v>0</v>
      </c>
      <c r="H3642" s="71">
        <v>0</v>
      </c>
      <c r="I3642" s="71">
        <v>0</v>
      </c>
      <c r="J3642" s="71">
        <v>0</v>
      </c>
    </row>
    <row r="3643" spans="1:10">
      <c r="A3643" s="85" t="s">
        <v>108</v>
      </c>
      <c r="B3643" s="85" t="s">
        <v>34</v>
      </c>
      <c r="C3643" s="156">
        <v>0.73680555555555505</v>
      </c>
      <c r="D3643" s="71">
        <v>0</v>
      </c>
      <c r="E3643" s="71">
        <v>0</v>
      </c>
      <c r="F3643" s="71">
        <v>0</v>
      </c>
      <c r="G3643" s="71">
        <v>0</v>
      </c>
      <c r="H3643" s="71">
        <v>0</v>
      </c>
      <c r="I3643" s="71">
        <v>0</v>
      </c>
      <c r="J3643" s="71">
        <v>0</v>
      </c>
    </row>
    <row r="3644" spans="1:10">
      <c r="A3644" s="85" t="s">
        <v>108</v>
      </c>
      <c r="B3644" s="85" t="s">
        <v>34</v>
      </c>
      <c r="C3644" s="156">
        <v>0.73750000000000004</v>
      </c>
      <c r="D3644" s="71">
        <v>0</v>
      </c>
      <c r="E3644" s="71">
        <v>0</v>
      </c>
      <c r="F3644" s="71">
        <v>0</v>
      </c>
      <c r="G3644" s="71">
        <v>0</v>
      </c>
      <c r="H3644" s="71">
        <v>0</v>
      </c>
      <c r="I3644" s="71">
        <v>0</v>
      </c>
      <c r="J3644" s="71">
        <v>0</v>
      </c>
    </row>
    <row r="3645" spans="1:10">
      <c r="A3645" s="85" t="s">
        <v>108</v>
      </c>
      <c r="B3645" s="85" t="s">
        <v>34</v>
      </c>
      <c r="C3645" s="156">
        <v>0.73819444444444404</v>
      </c>
      <c r="D3645" s="71">
        <v>0</v>
      </c>
      <c r="E3645" s="71">
        <v>0</v>
      </c>
      <c r="F3645" s="71">
        <v>0</v>
      </c>
      <c r="G3645" s="71">
        <v>0</v>
      </c>
      <c r="H3645" s="71">
        <v>0</v>
      </c>
      <c r="I3645" s="71">
        <v>0</v>
      </c>
      <c r="J3645" s="71">
        <v>0</v>
      </c>
    </row>
    <row r="3646" spans="1:10" s="78" customFormat="1">
      <c r="A3646" s="88" t="s">
        <v>108</v>
      </c>
      <c r="B3646" s="88" t="s">
        <v>34</v>
      </c>
      <c r="C3646" s="158">
        <v>0.73888888888888904</v>
      </c>
      <c r="D3646" s="160">
        <v>0</v>
      </c>
      <c r="E3646" s="160">
        <v>0</v>
      </c>
      <c r="F3646" s="160">
        <v>0</v>
      </c>
      <c r="G3646" s="160">
        <v>0</v>
      </c>
      <c r="H3646" s="160">
        <v>0</v>
      </c>
      <c r="I3646" s="160">
        <v>0</v>
      </c>
      <c r="J3646" s="160">
        <v>0</v>
      </c>
    </row>
    <row r="3647" spans="1:10">
      <c r="A3647" s="85" t="s">
        <v>108</v>
      </c>
      <c r="B3647" s="85" t="s">
        <v>34</v>
      </c>
      <c r="C3647" s="156">
        <v>0.73958333333333304</v>
      </c>
      <c r="D3647" s="161">
        <v>0</v>
      </c>
      <c r="E3647" s="161">
        <v>0</v>
      </c>
      <c r="F3647" s="161">
        <v>0</v>
      </c>
      <c r="G3647" s="161">
        <v>0</v>
      </c>
      <c r="H3647" s="161">
        <v>0</v>
      </c>
      <c r="I3647" s="161">
        <v>0</v>
      </c>
      <c r="J3647" s="161">
        <v>0</v>
      </c>
    </row>
    <row r="3648" spans="1:10">
      <c r="A3648" s="85" t="s">
        <v>108</v>
      </c>
      <c r="B3648" s="85" t="s">
        <v>34</v>
      </c>
      <c r="C3648" s="156">
        <v>0.74027777777777803</v>
      </c>
      <c r="D3648" s="71">
        <v>0</v>
      </c>
      <c r="E3648" s="71">
        <v>0</v>
      </c>
      <c r="F3648" s="71">
        <v>0</v>
      </c>
      <c r="G3648" s="71">
        <v>0</v>
      </c>
      <c r="H3648" s="71">
        <v>0</v>
      </c>
      <c r="I3648" s="71">
        <v>0</v>
      </c>
      <c r="J3648" s="71">
        <v>0</v>
      </c>
    </row>
    <row r="3649" spans="1:10">
      <c r="A3649" s="85" t="s">
        <v>108</v>
      </c>
      <c r="B3649" s="85" t="s">
        <v>34</v>
      </c>
      <c r="C3649" s="156">
        <v>0.74097222222222203</v>
      </c>
      <c r="D3649" s="71">
        <v>0</v>
      </c>
      <c r="E3649" s="71">
        <v>0</v>
      </c>
      <c r="F3649" s="71">
        <v>0</v>
      </c>
      <c r="G3649" s="71">
        <v>0</v>
      </c>
      <c r="H3649" s="71">
        <v>0</v>
      </c>
      <c r="I3649" s="71">
        <v>0</v>
      </c>
      <c r="J3649" s="71">
        <v>0</v>
      </c>
    </row>
    <row r="3650" spans="1:10">
      <c r="A3650" s="85" t="s">
        <v>108</v>
      </c>
      <c r="B3650" s="85" t="s">
        <v>34</v>
      </c>
      <c r="C3650" s="156">
        <v>0.74166666666666703</v>
      </c>
      <c r="D3650" s="71">
        <v>0</v>
      </c>
      <c r="E3650" s="71">
        <v>0</v>
      </c>
      <c r="F3650" s="71">
        <v>0</v>
      </c>
      <c r="G3650" s="71">
        <v>0</v>
      </c>
      <c r="H3650" s="71">
        <v>0</v>
      </c>
      <c r="I3650" s="71">
        <v>0</v>
      </c>
      <c r="J3650" s="71">
        <v>0</v>
      </c>
    </row>
    <row r="3651" spans="1:10">
      <c r="A3651" s="85" t="s">
        <v>108</v>
      </c>
      <c r="B3651" s="85" t="s">
        <v>34</v>
      </c>
      <c r="C3651" s="156">
        <v>0.74236111111111103</v>
      </c>
      <c r="D3651" s="71">
        <v>0</v>
      </c>
      <c r="E3651" s="71">
        <v>0</v>
      </c>
      <c r="F3651" s="71">
        <v>0</v>
      </c>
      <c r="G3651" s="71">
        <v>0</v>
      </c>
      <c r="H3651" s="71">
        <v>0</v>
      </c>
      <c r="I3651" s="71">
        <v>0</v>
      </c>
      <c r="J3651" s="71">
        <v>0</v>
      </c>
    </row>
    <row r="3652" spans="1:10">
      <c r="A3652" s="85" t="s">
        <v>108</v>
      </c>
      <c r="B3652" s="85" t="s">
        <v>34</v>
      </c>
      <c r="C3652" s="156">
        <v>0.74305555555555503</v>
      </c>
      <c r="D3652" s="71">
        <v>0</v>
      </c>
      <c r="E3652" s="71">
        <v>0</v>
      </c>
      <c r="F3652" s="71">
        <v>0</v>
      </c>
      <c r="G3652" s="71">
        <v>0</v>
      </c>
      <c r="H3652" s="71">
        <v>0</v>
      </c>
      <c r="I3652" s="71">
        <v>0</v>
      </c>
      <c r="J3652" s="71">
        <v>0</v>
      </c>
    </row>
    <row r="3653" spans="1:10">
      <c r="A3653" s="85" t="s">
        <v>108</v>
      </c>
      <c r="B3653" s="85" t="s">
        <v>34</v>
      </c>
      <c r="C3653" s="156">
        <v>0.74375000000000002</v>
      </c>
      <c r="D3653" s="71">
        <v>0</v>
      </c>
      <c r="E3653" s="71">
        <v>0</v>
      </c>
      <c r="F3653" s="71">
        <v>0</v>
      </c>
      <c r="G3653" s="71">
        <v>0</v>
      </c>
      <c r="H3653" s="71">
        <v>0</v>
      </c>
      <c r="I3653" s="71">
        <v>0</v>
      </c>
      <c r="J3653" s="71">
        <v>0</v>
      </c>
    </row>
    <row r="3654" spans="1:10">
      <c r="A3654" s="85" t="s">
        <v>108</v>
      </c>
      <c r="B3654" s="85" t="s">
        <v>34</v>
      </c>
      <c r="C3654" s="156">
        <v>0.74444444444444402</v>
      </c>
      <c r="D3654" s="71">
        <v>0</v>
      </c>
      <c r="E3654" s="71">
        <v>0</v>
      </c>
      <c r="F3654" s="71">
        <v>0</v>
      </c>
      <c r="G3654" s="71">
        <v>0</v>
      </c>
      <c r="H3654" s="71">
        <v>0</v>
      </c>
      <c r="I3654" s="71">
        <v>0</v>
      </c>
      <c r="J3654" s="71">
        <v>0</v>
      </c>
    </row>
    <row r="3655" spans="1:10">
      <c r="A3655" s="85" t="s">
        <v>108</v>
      </c>
      <c r="B3655" s="85" t="s">
        <v>34</v>
      </c>
      <c r="C3655" s="156">
        <v>0.74513888888888902</v>
      </c>
      <c r="D3655" s="71">
        <v>0</v>
      </c>
      <c r="E3655" s="71">
        <v>0</v>
      </c>
      <c r="F3655" s="71">
        <v>0</v>
      </c>
      <c r="G3655" s="71">
        <v>0</v>
      </c>
      <c r="H3655" s="71">
        <v>0</v>
      </c>
      <c r="I3655" s="71">
        <v>0</v>
      </c>
      <c r="J3655" s="71">
        <v>0</v>
      </c>
    </row>
    <row r="3656" spans="1:10">
      <c r="A3656" s="85" t="s">
        <v>108</v>
      </c>
      <c r="B3656" s="85" t="s">
        <v>34</v>
      </c>
      <c r="C3656" s="156">
        <v>0.74583333333333302</v>
      </c>
      <c r="D3656" s="71">
        <v>0</v>
      </c>
      <c r="E3656" s="71">
        <v>0</v>
      </c>
      <c r="F3656" s="71">
        <v>0</v>
      </c>
      <c r="G3656" s="71">
        <v>0</v>
      </c>
      <c r="H3656" s="71">
        <v>0</v>
      </c>
      <c r="I3656" s="71">
        <v>0</v>
      </c>
      <c r="J3656" s="71">
        <v>0</v>
      </c>
    </row>
    <row r="3657" spans="1:10">
      <c r="A3657" s="85" t="s">
        <v>108</v>
      </c>
      <c r="B3657" s="85" t="s">
        <v>34</v>
      </c>
      <c r="C3657" s="156">
        <v>0.74652777777777801</v>
      </c>
      <c r="D3657" s="71">
        <v>0</v>
      </c>
      <c r="E3657" s="71">
        <v>0</v>
      </c>
      <c r="F3657" s="71">
        <v>0</v>
      </c>
      <c r="G3657" s="71">
        <v>0</v>
      </c>
      <c r="H3657" s="71">
        <v>0</v>
      </c>
      <c r="I3657" s="71">
        <v>0</v>
      </c>
      <c r="J3657" s="71">
        <v>0</v>
      </c>
    </row>
    <row r="3658" spans="1:10">
      <c r="A3658" s="85" t="s">
        <v>108</v>
      </c>
      <c r="B3658" s="85" t="s">
        <v>34</v>
      </c>
      <c r="C3658" s="156">
        <v>0.74722222222222201</v>
      </c>
      <c r="D3658" s="71">
        <v>0</v>
      </c>
      <c r="E3658" s="71">
        <v>0</v>
      </c>
      <c r="F3658" s="71">
        <v>0</v>
      </c>
      <c r="G3658" s="71">
        <v>0</v>
      </c>
      <c r="H3658" s="71">
        <v>0</v>
      </c>
      <c r="I3658" s="71">
        <v>0</v>
      </c>
      <c r="J3658" s="71">
        <v>0</v>
      </c>
    </row>
    <row r="3659" spans="1:10">
      <c r="A3659" s="85" t="s">
        <v>108</v>
      </c>
      <c r="B3659" s="85" t="s">
        <v>34</v>
      </c>
      <c r="C3659" s="156">
        <v>0.74791666666666701</v>
      </c>
      <c r="D3659" s="71">
        <v>0</v>
      </c>
      <c r="E3659" s="71">
        <v>0</v>
      </c>
      <c r="F3659" s="71">
        <v>0</v>
      </c>
      <c r="G3659" s="71">
        <v>0</v>
      </c>
      <c r="H3659" s="71">
        <v>0</v>
      </c>
      <c r="I3659" s="71">
        <v>0</v>
      </c>
      <c r="J3659" s="71">
        <v>0</v>
      </c>
    </row>
    <row r="3660" spans="1:10">
      <c r="A3660" s="85" t="s">
        <v>108</v>
      </c>
      <c r="B3660" s="85" t="s">
        <v>34</v>
      </c>
      <c r="C3660" s="156">
        <v>0.74861111111111101</v>
      </c>
      <c r="D3660" s="71">
        <v>0</v>
      </c>
      <c r="E3660" s="71">
        <v>0</v>
      </c>
      <c r="F3660" s="71">
        <v>0</v>
      </c>
      <c r="G3660" s="71">
        <v>0</v>
      </c>
      <c r="H3660" s="71">
        <v>0</v>
      </c>
      <c r="I3660" s="71">
        <v>0</v>
      </c>
      <c r="J3660" s="71">
        <v>0</v>
      </c>
    </row>
    <row r="3661" spans="1:10" s="78" customFormat="1">
      <c r="A3661" s="88" t="s">
        <v>108</v>
      </c>
      <c r="B3661" s="88" t="s">
        <v>34</v>
      </c>
      <c r="C3661" s="158">
        <v>0.749305555555555</v>
      </c>
      <c r="D3661" s="160">
        <v>0</v>
      </c>
      <c r="E3661" s="160">
        <v>0</v>
      </c>
      <c r="F3661" s="160">
        <v>0</v>
      </c>
      <c r="G3661" s="160">
        <v>0</v>
      </c>
      <c r="H3661" s="160">
        <v>0</v>
      </c>
      <c r="I3661" s="160">
        <v>0</v>
      </c>
      <c r="J3661" s="160">
        <v>0</v>
      </c>
    </row>
    <row r="3662" spans="1:10">
      <c r="A3662" s="85" t="s">
        <v>108</v>
      </c>
      <c r="B3662" s="85" t="s">
        <v>34</v>
      </c>
      <c r="C3662" s="156">
        <v>0.75</v>
      </c>
      <c r="D3662" s="161">
        <v>0</v>
      </c>
      <c r="E3662" s="161">
        <v>0</v>
      </c>
      <c r="F3662" s="161">
        <v>0</v>
      </c>
      <c r="G3662" s="161">
        <v>0</v>
      </c>
      <c r="H3662" s="161">
        <v>0</v>
      </c>
      <c r="I3662" s="161">
        <v>0</v>
      </c>
      <c r="J3662" s="161">
        <v>0</v>
      </c>
    </row>
    <row r="3663" spans="1:10">
      <c r="A3663" s="85" t="s">
        <v>108</v>
      </c>
      <c r="B3663" s="85" t="s">
        <v>34</v>
      </c>
      <c r="C3663" s="156">
        <v>0.750694444444444</v>
      </c>
      <c r="D3663" s="71">
        <v>0</v>
      </c>
      <c r="E3663" s="71">
        <v>0</v>
      </c>
      <c r="F3663" s="71">
        <v>0</v>
      </c>
      <c r="G3663" s="71">
        <v>0</v>
      </c>
      <c r="H3663" s="71">
        <v>0</v>
      </c>
      <c r="I3663" s="71">
        <v>0</v>
      </c>
      <c r="J3663" s="71">
        <v>0</v>
      </c>
    </row>
    <row r="3664" spans="1:10">
      <c r="A3664" s="85" t="s">
        <v>108</v>
      </c>
      <c r="B3664" s="85" t="s">
        <v>34</v>
      </c>
      <c r="C3664" s="156">
        <v>0.75138888888888899</v>
      </c>
      <c r="D3664" s="71">
        <v>0</v>
      </c>
      <c r="E3664" s="71">
        <v>0</v>
      </c>
      <c r="F3664" s="71">
        <v>0</v>
      </c>
      <c r="G3664" s="71">
        <v>0</v>
      </c>
      <c r="H3664" s="71">
        <v>0</v>
      </c>
      <c r="I3664" s="71">
        <v>0</v>
      </c>
      <c r="J3664" s="71">
        <v>0</v>
      </c>
    </row>
    <row r="3665" spans="1:10">
      <c r="A3665" s="85" t="s">
        <v>108</v>
      </c>
      <c r="B3665" s="85" t="s">
        <v>34</v>
      </c>
      <c r="C3665" s="156">
        <v>0.75208333333333299</v>
      </c>
      <c r="D3665" s="71">
        <v>0</v>
      </c>
      <c r="E3665" s="71">
        <v>0</v>
      </c>
      <c r="F3665" s="71">
        <v>0</v>
      </c>
      <c r="G3665" s="71">
        <v>0</v>
      </c>
      <c r="H3665" s="71">
        <v>0</v>
      </c>
      <c r="I3665" s="71">
        <v>0</v>
      </c>
      <c r="J3665" s="71">
        <v>0</v>
      </c>
    </row>
    <row r="3666" spans="1:10">
      <c r="A3666" s="85" t="s">
        <v>108</v>
      </c>
      <c r="B3666" s="85" t="s">
        <v>34</v>
      </c>
      <c r="C3666" s="156">
        <v>0.75277777777777799</v>
      </c>
      <c r="D3666" s="71">
        <v>0</v>
      </c>
      <c r="E3666" s="71">
        <v>0</v>
      </c>
      <c r="F3666" s="71">
        <v>0</v>
      </c>
      <c r="G3666" s="71">
        <v>0</v>
      </c>
      <c r="H3666" s="71">
        <v>0</v>
      </c>
      <c r="I3666" s="71">
        <v>0</v>
      </c>
      <c r="J3666" s="71">
        <v>0</v>
      </c>
    </row>
    <row r="3667" spans="1:10">
      <c r="A3667" s="85" t="s">
        <v>108</v>
      </c>
      <c r="B3667" s="85" t="s">
        <v>34</v>
      </c>
      <c r="C3667" s="156">
        <v>0.75347222222222199</v>
      </c>
      <c r="D3667" s="71">
        <v>0</v>
      </c>
      <c r="E3667" s="71">
        <v>0</v>
      </c>
      <c r="F3667" s="71">
        <v>0</v>
      </c>
      <c r="G3667" s="71">
        <v>0</v>
      </c>
      <c r="H3667" s="71">
        <v>0</v>
      </c>
      <c r="I3667" s="71">
        <v>0</v>
      </c>
      <c r="J3667" s="71">
        <v>0</v>
      </c>
    </row>
    <row r="3668" spans="1:10">
      <c r="A3668" s="85" t="s">
        <v>108</v>
      </c>
      <c r="B3668" s="85" t="s">
        <v>34</v>
      </c>
      <c r="C3668" s="156">
        <v>0.75416666666666698</v>
      </c>
      <c r="D3668" s="71">
        <v>0</v>
      </c>
      <c r="E3668" s="71">
        <v>0</v>
      </c>
      <c r="F3668" s="71">
        <v>0</v>
      </c>
      <c r="G3668" s="71">
        <v>0</v>
      </c>
      <c r="H3668" s="71">
        <v>0</v>
      </c>
      <c r="I3668" s="71">
        <v>0</v>
      </c>
      <c r="J3668" s="71">
        <v>0</v>
      </c>
    </row>
    <row r="3669" spans="1:10">
      <c r="A3669" s="85" t="s">
        <v>108</v>
      </c>
      <c r="B3669" s="85" t="s">
        <v>34</v>
      </c>
      <c r="C3669" s="156">
        <v>0.75486111111111098</v>
      </c>
      <c r="D3669" s="71">
        <v>0</v>
      </c>
      <c r="E3669" s="71">
        <v>0</v>
      </c>
      <c r="F3669" s="71">
        <v>0</v>
      </c>
      <c r="G3669" s="71">
        <v>0</v>
      </c>
      <c r="H3669" s="71">
        <v>0</v>
      </c>
      <c r="I3669" s="71">
        <v>0</v>
      </c>
      <c r="J3669" s="71">
        <v>0</v>
      </c>
    </row>
    <row r="3670" spans="1:10">
      <c r="A3670" s="85" t="s">
        <v>108</v>
      </c>
      <c r="B3670" s="85" t="s">
        <v>34</v>
      </c>
      <c r="C3670" s="156">
        <v>0.75555555555555498</v>
      </c>
      <c r="D3670" s="71">
        <v>0</v>
      </c>
      <c r="E3670" s="71">
        <v>0</v>
      </c>
      <c r="F3670" s="71">
        <v>0</v>
      </c>
      <c r="G3670" s="71">
        <v>0</v>
      </c>
      <c r="H3670" s="71">
        <v>0</v>
      </c>
      <c r="I3670" s="71">
        <v>0</v>
      </c>
      <c r="J3670" s="71">
        <v>0</v>
      </c>
    </row>
    <row r="3671" spans="1:10">
      <c r="A3671" s="85" t="s">
        <v>108</v>
      </c>
      <c r="B3671" s="85" t="s">
        <v>34</v>
      </c>
      <c r="C3671" s="156">
        <v>0.75624999999999998</v>
      </c>
      <c r="D3671" s="71">
        <v>0</v>
      </c>
      <c r="E3671" s="71">
        <v>0</v>
      </c>
      <c r="F3671" s="71">
        <v>0</v>
      </c>
      <c r="G3671" s="71">
        <v>0</v>
      </c>
      <c r="H3671" s="71">
        <v>0</v>
      </c>
      <c r="I3671" s="71">
        <v>0</v>
      </c>
      <c r="J3671" s="71">
        <v>0</v>
      </c>
    </row>
    <row r="3672" spans="1:10">
      <c r="A3672" s="85" t="s">
        <v>108</v>
      </c>
      <c r="B3672" s="85" t="s">
        <v>34</v>
      </c>
      <c r="C3672" s="156">
        <v>0.75694444444444398</v>
      </c>
      <c r="D3672" s="71">
        <v>0</v>
      </c>
      <c r="E3672" s="71">
        <v>0</v>
      </c>
      <c r="F3672" s="71">
        <v>0</v>
      </c>
      <c r="G3672" s="71">
        <v>0</v>
      </c>
      <c r="H3672" s="71">
        <v>0</v>
      </c>
      <c r="I3672" s="71">
        <v>0</v>
      </c>
      <c r="J3672" s="71">
        <v>0</v>
      </c>
    </row>
    <row r="3673" spans="1:10">
      <c r="A3673" s="85" t="s">
        <v>108</v>
      </c>
      <c r="B3673" s="85" t="s">
        <v>34</v>
      </c>
      <c r="C3673" s="156">
        <v>0.75763888888888897</v>
      </c>
      <c r="D3673" s="71">
        <v>0</v>
      </c>
      <c r="E3673" s="71">
        <v>0</v>
      </c>
      <c r="F3673" s="71">
        <v>0</v>
      </c>
      <c r="G3673" s="71">
        <v>0</v>
      </c>
      <c r="H3673" s="71">
        <v>0</v>
      </c>
      <c r="I3673" s="71">
        <v>0</v>
      </c>
      <c r="J3673" s="71">
        <v>0</v>
      </c>
    </row>
    <row r="3674" spans="1:10">
      <c r="A3674" s="85" t="s">
        <v>108</v>
      </c>
      <c r="B3674" s="85" t="s">
        <v>34</v>
      </c>
      <c r="C3674" s="156">
        <v>0.75833333333333297</v>
      </c>
      <c r="D3674" s="71">
        <v>0</v>
      </c>
      <c r="E3674" s="71">
        <v>0</v>
      </c>
      <c r="F3674" s="71">
        <v>0</v>
      </c>
      <c r="G3674" s="71">
        <v>0</v>
      </c>
      <c r="H3674" s="71">
        <v>0</v>
      </c>
      <c r="I3674" s="71">
        <v>0</v>
      </c>
      <c r="J3674" s="71">
        <v>0</v>
      </c>
    </row>
    <row r="3675" spans="1:10">
      <c r="A3675" s="85" t="s">
        <v>108</v>
      </c>
      <c r="B3675" s="85" t="s">
        <v>34</v>
      </c>
      <c r="C3675" s="156">
        <v>0.75902777777777797</v>
      </c>
      <c r="D3675" s="71">
        <v>0</v>
      </c>
      <c r="E3675" s="71">
        <v>0</v>
      </c>
      <c r="F3675" s="71">
        <v>0</v>
      </c>
      <c r="G3675" s="71">
        <v>0</v>
      </c>
      <c r="H3675" s="71">
        <v>0</v>
      </c>
      <c r="I3675" s="71">
        <v>0</v>
      </c>
      <c r="J3675" s="71">
        <v>0</v>
      </c>
    </row>
    <row r="3676" spans="1:10" s="78" customFormat="1">
      <c r="A3676" s="88" t="s">
        <v>108</v>
      </c>
      <c r="B3676" s="88" t="s">
        <v>34</v>
      </c>
      <c r="C3676" s="158">
        <v>0.75972222222222197</v>
      </c>
      <c r="D3676" s="160">
        <v>0</v>
      </c>
      <c r="E3676" s="160">
        <v>0</v>
      </c>
      <c r="F3676" s="160">
        <v>0</v>
      </c>
      <c r="G3676" s="160">
        <v>0</v>
      </c>
      <c r="H3676" s="160">
        <v>0</v>
      </c>
      <c r="I3676" s="160">
        <v>0</v>
      </c>
      <c r="J3676" s="160">
        <v>0</v>
      </c>
    </row>
    <row r="3677" spans="1:10">
      <c r="A3677" s="85" t="s">
        <v>108</v>
      </c>
      <c r="B3677" s="85" t="s">
        <v>34</v>
      </c>
      <c r="C3677" s="156">
        <v>0.76041666666666696</v>
      </c>
      <c r="D3677" s="161">
        <v>0</v>
      </c>
      <c r="E3677" s="161">
        <v>0</v>
      </c>
      <c r="F3677" s="161">
        <v>0</v>
      </c>
      <c r="G3677" s="161">
        <v>0</v>
      </c>
      <c r="H3677" s="161">
        <v>0</v>
      </c>
      <c r="I3677" s="161">
        <v>0</v>
      </c>
      <c r="J3677" s="161">
        <v>0</v>
      </c>
    </row>
    <row r="3678" spans="1:10">
      <c r="A3678" s="85" t="s">
        <v>108</v>
      </c>
      <c r="B3678" s="85" t="s">
        <v>34</v>
      </c>
      <c r="C3678" s="156">
        <v>0.76111111111111096</v>
      </c>
      <c r="D3678" s="71">
        <v>0</v>
      </c>
      <c r="E3678" s="71">
        <v>0</v>
      </c>
      <c r="F3678" s="71">
        <v>0</v>
      </c>
      <c r="G3678" s="71">
        <v>0</v>
      </c>
      <c r="H3678" s="71">
        <v>0</v>
      </c>
      <c r="I3678" s="71">
        <v>0</v>
      </c>
      <c r="J3678" s="71">
        <v>0</v>
      </c>
    </row>
    <row r="3679" spans="1:10">
      <c r="A3679" s="85" t="s">
        <v>108</v>
      </c>
      <c r="B3679" s="85" t="s">
        <v>34</v>
      </c>
      <c r="C3679" s="156">
        <v>0.76180555555555496</v>
      </c>
      <c r="D3679" s="71">
        <v>0</v>
      </c>
      <c r="E3679" s="71">
        <v>0</v>
      </c>
      <c r="F3679" s="71">
        <v>0</v>
      </c>
      <c r="G3679" s="71">
        <v>0</v>
      </c>
      <c r="H3679" s="71">
        <v>0</v>
      </c>
      <c r="I3679" s="71">
        <v>0</v>
      </c>
      <c r="J3679" s="71">
        <v>0</v>
      </c>
    </row>
    <row r="3680" spans="1:10">
      <c r="A3680" s="85" t="s">
        <v>108</v>
      </c>
      <c r="B3680" s="85" t="s">
        <v>34</v>
      </c>
      <c r="C3680" s="156">
        <v>0.76249999999999996</v>
      </c>
      <c r="D3680" s="71">
        <v>0</v>
      </c>
      <c r="E3680" s="71">
        <v>0</v>
      </c>
      <c r="F3680" s="71">
        <v>0</v>
      </c>
      <c r="G3680" s="71">
        <v>0</v>
      </c>
      <c r="H3680" s="71">
        <v>0</v>
      </c>
      <c r="I3680" s="71">
        <v>0</v>
      </c>
      <c r="J3680" s="71">
        <v>0</v>
      </c>
    </row>
    <row r="3681" spans="1:10">
      <c r="A3681" s="85" t="s">
        <v>108</v>
      </c>
      <c r="B3681" s="85" t="s">
        <v>34</v>
      </c>
      <c r="C3681" s="156">
        <v>0.76319444444444395</v>
      </c>
      <c r="D3681" s="71">
        <v>0</v>
      </c>
      <c r="E3681" s="71">
        <v>0</v>
      </c>
      <c r="F3681" s="71">
        <v>0</v>
      </c>
      <c r="G3681" s="71">
        <v>0</v>
      </c>
      <c r="H3681" s="71">
        <v>0</v>
      </c>
      <c r="I3681" s="71">
        <v>0</v>
      </c>
      <c r="J3681" s="71">
        <v>0</v>
      </c>
    </row>
    <row r="3682" spans="1:10">
      <c r="A3682" s="85" t="s">
        <v>108</v>
      </c>
      <c r="B3682" s="85" t="s">
        <v>34</v>
      </c>
      <c r="C3682" s="156">
        <v>0.76388888888888895</v>
      </c>
      <c r="D3682" s="71">
        <v>0</v>
      </c>
      <c r="E3682" s="71">
        <v>0</v>
      </c>
      <c r="F3682" s="71">
        <v>0</v>
      </c>
      <c r="G3682" s="71">
        <v>0</v>
      </c>
      <c r="H3682" s="71">
        <v>0</v>
      </c>
      <c r="I3682" s="71">
        <v>0</v>
      </c>
      <c r="J3682" s="71">
        <v>0</v>
      </c>
    </row>
    <row r="3683" spans="1:10">
      <c r="A3683" s="85" t="s">
        <v>108</v>
      </c>
      <c r="B3683" s="85" t="s">
        <v>34</v>
      </c>
      <c r="C3683" s="156">
        <v>0.76458333333333295</v>
      </c>
      <c r="D3683" s="71">
        <v>0</v>
      </c>
      <c r="E3683" s="71">
        <v>0</v>
      </c>
      <c r="F3683" s="71">
        <v>0</v>
      </c>
      <c r="G3683" s="71">
        <v>0</v>
      </c>
      <c r="H3683" s="71">
        <v>0</v>
      </c>
      <c r="I3683" s="71">
        <v>0</v>
      </c>
      <c r="J3683" s="71">
        <v>0</v>
      </c>
    </row>
    <row r="3684" spans="1:10">
      <c r="A3684" s="85" t="s">
        <v>108</v>
      </c>
      <c r="B3684" s="85" t="s">
        <v>34</v>
      </c>
      <c r="C3684" s="156">
        <v>0.76527777777777795</v>
      </c>
      <c r="D3684" s="71">
        <v>0</v>
      </c>
      <c r="E3684" s="71">
        <v>0</v>
      </c>
      <c r="F3684" s="71">
        <v>0</v>
      </c>
      <c r="G3684" s="71">
        <v>0</v>
      </c>
      <c r="H3684" s="71">
        <v>0</v>
      </c>
      <c r="I3684" s="71">
        <v>0</v>
      </c>
      <c r="J3684" s="71">
        <v>0</v>
      </c>
    </row>
    <row r="3685" spans="1:10">
      <c r="A3685" s="85" t="s">
        <v>108</v>
      </c>
      <c r="B3685" s="85" t="s">
        <v>34</v>
      </c>
      <c r="C3685" s="156">
        <v>0.76597222222222205</v>
      </c>
      <c r="D3685" s="71">
        <v>0</v>
      </c>
      <c r="E3685" s="71">
        <v>0</v>
      </c>
      <c r="F3685" s="71">
        <v>0</v>
      </c>
      <c r="G3685" s="71">
        <v>0</v>
      </c>
      <c r="H3685" s="71">
        <v>0</v>
      </c>
      <c r="I3685" s="71">
        <v>0</v>
      </c>
      <c r="J3685" s="71">
        <v>0</v>
      </c>
    </row>
    <row r="3686" spans="1:10">
      <c r="A3686" s="85" t="s">
        <v>108</v>
      </c>
      <c r="B3686" s="85" t="s">
        <v>34</v>
      </c>
      <c r="C3686" s="156">
        <v>0.76666666666666605</v>
      </c>
      <c r="D3686" s="71">
        <v>0</v>
      </c>
      <c r="E3686" s="71">
        <v>0</v>
      </c>
      <c r="F3686" s="71">
        <v>0</v>
      </c>
      <c r="G3686" s="71">
        <v>0</v>
      </c>
      <c r="H3686" s="71">
        <v>0</v>
      </c>
      <c r="I3686" s="71">
        <v>0</v>
      </c>
      <c r="J3686" s="71">
        <v>0</v>
      </c>
    </row>
    <row r="3687" spans="1:10">
      <c r="A3687" s="85" t="s">
        <v>108</v>
      </c>
      <c r="B3687" s="85" t="s">
        <v>34</v>
      </c>
      <c r="C3687" s="156">
        <v>0.76736111111111105</v>
      </c>
      <c r="D3687" s="71">
        <v>0</v>
      </c>
      <c r="E3687" s="71">
        <v>0</v>
      </c>
      <c r="F3687" s="71">
        <v>0</v>
      </c>
      <c r="G3687" s="71">
        <v>0</v>
      </c>
      <c r="H3687" s="71">
        <v>0</v>
      </c>
      <c r="I3687" s="71">
        <v>0</v>
      </c>
      <c r="J3687" s="71">
        <v>0</v>
      </c>
    </row>
    <row r="3688" spans="1:10">
      <c r="A3688" s="85" t="s">
        <v>108</v>
      </c>
      <c r="B3688" s="85" t="s">
        <v>34</v>
      </c>
      <c r="C3688" s="156">
        <v>0.76805555555555505</v>
      </c>
      <c r="D3688" s="71">
        <v>0</v>
      </c>
      <c r="E3688" s="71">
        <v>0</v>
      </c>
      <c r="F3688" s="71">
        <v>0</v>
      </c>
      <c r="G3688" s="71">
        <v>0</v>
      </c>
      <c r="H3688" s="71">
        <v>0</v>
      </c>
      <c r="I3688" s="71">
        <v>0</v>
      </c>
      <c r="J3688" s="71">
        <v>0</v>
      </c>
    </row>
    <row r="3689" spans="1:10">
      <c r="A3689" s="85" t="s">
        <v>108</v>
      </c>
      <c r="B3689" s="85" t="s">
        <v>34</v>
      </c>
      <c r="C3689" s="156">
        <v>0.76875000000000004</v>
      </c>
      <c r="D3689" s="71">
        <v>0</v>
      </c>
      <c r="E3689" s="71">
        <v>0</v>
      </c>
      <c r="F3689" s="71">
        <v>0</v>
      </c>
      <c r="G3689" s="71">
        <v>0</v>
      </c>
      <c r="H3689" s="71">
        <v>0</v>
      </c>
      <c r="I3689" s="71">
        <v>0</v>
      </c>
      <c r="J3689" s="71">
        <v>0</v>
      </c>
    </row>
    <row r="3690" spans="1:10">
      <c r="A3690" s="85" t="s">
        <v>108</v>
      </c>
      <c r="B3690" s="85" t="s">
        <v>34</v>
      </c>
      <c r="C3690" s="156">
        <v>0.76944444444444404</v>
      </c>
      <c r="D3690" s="71">
        <v>0</v>
      </c>
      <c r="E3690" s="71">
        <v>0</v>
      </c>
      <c r="F3690" s="71">
        <v>0</v>
      </c>
      <c r="G3690" s="71">
        <v>0</v>
      </c>
      <c r="H3690" s="71">
        <v>0</v>
      </c>
      <c r="I3690" s="71">
        <v>0</v>
      </c>
      <c r="J3690" s="71">
        <v>0</v>
      </c>
    </row>
    <row r="3691" spans="1:10" s="78" customFormat="1">
      <c r="A3691" s="88" t="s">
        <v>108</v>
      </c>
      <c r="B3691" s="88" t="s">
        <v>34</v>
      </c>
      <c r="C3691" s="158">
        <v>0.77013888888888904</v>
      </c>
      <c r="D3691" s="160">
        <v>0</v>
      </c>
      <c r="E3691" s="160">
        <v>0</v>
      </c>
      <c r="F3691" s="160">
        <v>0</v>
      </c>
      <c r="G3691" s="160">
        <v>0</v>
      </c>
      <c r="H3691" s="160">
        <v>0</v>
      </c>
      <c r="I3691" s="160">
        <v>0</v>
      </c>
      <c r="J3691" s="160">
        <v>0</v>
      </c>
    </row>
    <row r="3692" spans="1:10">
      <c r="A3692" s="85" t="s">
        <v>108</v>
      </c>
      <c r="B3692" s="85" t="s">
        <v>34</v>
      </c>
      <c r="C3692" s="156">
        <v>0.77083333333333304</v>
      </c>
      <c r="D3692" s="161">
        <v>0</v>
      </c>
      <c r="E3692" s="161">
        <v>0</v>
      </c>
      <c r="F3692" s="161">
        <v>0</v>
      </c>
      <c r="G3692" s="161">
        <v>0</v>
      </c>
      <c r="H3692" s="161">
        <v>0</v>
      </c>
      <c r="I3692" s="161">
        <v>0</v>
      </c>
      <c r="J3692" s="161">
        <v>0</v>
      </c>
    </row>
    <row r="3693" spans="1:10">
      <c r="A3693" s="85" t="s">
        <v>108</v>
      </c>
      <c r="B3693" s="85" t="s">
        <v>34</v>
      </c>
      <c r="C3693" s="156">
        <v>0.77152777777777803</v>
      </c>
      <c r="D3693" s="71">
        <v>0</v>
      </c>
      <c r="E3693" s="71">
        <v>0</v>
      </c>
      <c r="F3693" s="71">
        <v>0</v>
      </c>
      <c r="G3693" s="71">
        <v>0</v>
      </c>
      <c r="H3693" s="71">
        <v>0</v>
      </c>
      <c r="I3693" s="71">
        <v>0</v>
      </c>
      <c r="J3693" s="71">
        <v>0</v>
      </c>
    </row>
    <row r="3694" spans="1:10">
      <c r="A3694" s="85" t="s">
        <v>108</v>
      </c>
      <c r="B3694" s="85" t="s">
        <v>34</v>
      </c>
      <c r="C3694" s="156">
        <v>0.77222222222222203</v>
      </c>
      <c r="D3694" s="71">
        <v>0</v>
      </c>
      <c r="E3694" s="71">
        <v>0</v>
      </c>
      <c r="F3694" s="71">
        <v>0</v>
      </c>
      <c r="G3694" s="71">
        <v>0</v>
      </c>
      <c r="H3694" s="71">
        <v>0</v>
      </c>
      <c r="I3694" s="71">
        <v>0</v>
      </c>
      <c r="J3694" s="71">
        <v>0</v>
      </c>
    </row>
    <row r="3695" spans="1:10">
      <c r="A3695" s="85" t="s">
        <v>108</v>
      </c>
      <c r="B3695" s="85" t="s">
        <v>34</v>
      </c>
      <c r="C3695" s="156">
        <v>0.77291666666666603</v>
      </c>
      <c r="D3695" s="71">
        <v>0</v>
      </c>
      <c r="E3695" s="71">
        <v>0</v>
      </c>
      <c r="F3695" s="71">
        <v>0</v>
      </c>
      <c r="G3695" s="71">
        <v>0</v>
      </c>
      <c r="H3695" s="71">
        <v>0</v>
      </c>
      <c r="I3695" s="71">
        <v>0</v>
      </c>
      <c r="J3695" s="71">
        <v>0</v>
      </c>
    </row>
    <row r="3696" spans="1:10">
      <c r="A3696" s="85" t="s">
        <v>108</v>
      </c>
      <c r="B3696" s="85" t="s">
        <v>34</v>
      </c>
      <c r="C3696" s="156">
        <v>0.77361111111111103</v>
      </c>
      <c r="D3696" s="71">
        <v>0</v>
      </c>
      <c r="E3696" s="71">
        <v>0</v>
      </c>
      <c r="F3696" s="71">
        <v>0</v>
      </c>
      <c r="G3696" s="71">
        <v>0</v>
      </c>
      <c r="H3696" s="71">
        <v>0</v>
      </c>
      <c r="I3696" s="71">
        <v>0</v>
      </c>
      <c r="J3696" s="71">
        <v>0</v>
      </c>
    </row>
    <row r="3697" spans="1:10">
      <c r="A3697" s="85" t="s">
        <v>108</v>
      </c>
      <c r="B3697" s="85" t="s">
        <v>34</v>
      </c>
      <c r="C3697" s="156">
        <v>0.77430555555555503</v>
      </c>
      <c r="D3697" s="71">
        <v>0</v>
      </c>
      <c r="E3697" s="71">
        <v>0</v>
      </c>
      <c r="F3697" s="71">
        <v>0</v>
      </c>
      <c r="G3697" s="71">
        <v>0</v>
      </c>
      <c r="H3697" s="71">
        <v>0</v>
      </c>
      <c r="I3697" s="71">
        <v>0</v>
      </c>
      <c r="J3697" s="71">
        <v>0</v>
      </c>
    </row>
    <row r="3698" spans="1:10">
      <c r="A3698" s="85" t="s">
        <v>108</v>
      </c>
      <c r="B3698" s="85" t="s">
        <v>34</v>
      </c>
      <c r="C3698" s="156">
        <v>0.77500000000000002</v>
      </c>
      <c r="D3698" s="71">
        <v>0</v>
      </c>
      <c r="E3698" s="71">
        <v>0</v>
      </c>
      <c r="F3698" s="71">
        <v>0</v>
      </c>
      <c r="G3698" s="71">
        <v>0</v>
      </c>
      <c r="H3698" s="71">
        <v>0</v>
      </c>
      <c r="I3698" s="71">
        <v>0</v>
      </c>
      <c r="J3698" s="71">
        <v>0</v>
      </c>
    </row>
    <row r="3699" spans="1:10">
      <c r="A3699" s="85" t="s">
        <v>108</v>
      </c>
      <c r="B3699" s="85" t="s">
        <v>34</v>
      </c>
      <c r="C3699" s="156">
        <v>0.77569444444444402</v>
      </c>
      <c r="D3699" s="71">
        <v>0</v>
      </c>
      <c r="E3699" s="71">
        <v>0</v>
      </c>
      <c r="F3699" s="71">
        <v>0</v>
      </c>
      <c r="G3699" s="71">
        <v>0</v>
      </c>
      <c r="H3699" s="71">
        <v>0</v>
      </c>
      <c r="I3699" s="71">
        <v>0</v>
      </c>
      <c r="J3699" s="71">
        <v>0</v>
      </c>
    </row>
    <row r="3700" spans="1:10">
      <c r="A3700" s="85" t="s">
        <v>108</v>
      </c>
      <c r="B3700" s="85" t="s">
        <v>34</v>
      </c>
      <c r="C3700" s="156">
        <v>0.77638888888888902</v>
      </c>
      <c r="D3700" s="71">
        <v>0</v>
      </c>
      <c r="E3700" s="71">
        <v>0</v>
      </c>
      <c r="F3700" s="71">
        <v>0</v>
      </c>
      <c r="G3700" s="71">
        <v>0</v>
      </c>
      <c r="H3700" s="71">
        <v>0</v>
      </c>
      <c r="I3700" s="71">
        <v>0</v>
      </c>
      <c r="J3700" s="71">
        <v>0</v>
      </c>
    </row>
    <row r="3701" spans="1:10">
      <c r="A3701" s="85" t="s">
        <v>108</v>
      </c>
      <c r="B3701" s="85" t="s">
        <v>34</v>
      </c>
      <c r="C3701" s="156">
        <v>0.77708333333333302</v>
      </c>
      <c r="D3701" s="71">
        <v>0</v>
      </c>
      <c r="E3701" s="71">
        <v>0</v>
      </c>
      <c r="F3701" s="71">
        <v>0</v>
      </c>
      <c r="G3701" s="71">
        <v>0</v>
      </c>
      <c r="H3701" s="71">
        <v>0</v>
      </c>
      <c r="I3701" s="71">
        <v>0</v>
      </c>
      <c r="J3701" s="71">
        <v>0</v>
      </c>
    </row>
    <row r="3702" spans="1:10">
      <c r="A3702" s="85" t="s">
        <v>108</v>
      </c>
      <c r="B3702" s="85" t="s">
        <v>34</v>
      </c>
      <c r="C3702" s="156">
        <v>0.77777777777777801</v>
      </c>
      <c r="D3702" s="71">
        <v>0</v>
      </c>
      <c r="E3702" s="71">
        <v>0</v>
      </c>
      <c r="F3702" s="71">
        <v>0</v>
      </c>
      <c r="G3702" s="71">
        <v>0</v>
      </c>
      <c r="H3702" s="71">
        <v>0</v>
      </c>
      <c r="I3702" s="71">
        <v>0</v>
      </c>
      <c r="J3702" s="71">
        <v>0</v>
      </c>
    </row>
    <row r="3703" spans="1:10">
      <c r="A3703" s="85" t="s">
        <v>108</v>
      </c>
      <c r="B3703" s="85" t="s">
        <v>34</v>
      </c>
      <c r="C3703" s="156">
        <v>0.77847222222222201</v>
      </c>
      <c r="D3703" s="71">
        <v>0</v>
      </c>
      <c r="E3703" s="71">
        <v>0</v>
      </c>
      <c r="F3703" s="71">
        <v>0</v>
      </c>
      <c r="G3703" s="71">
        <v>0</v>
      </c>
      <c r="H3703" s="71">
        <v>0</v>
      </c>
      <c r="I3703" s="71">
        <v>0</v>
      </c>
      <c r="J3703" s="71">
        <v>0</v>
      </c>
    </row>
    <row r="3704" spans="1:10">
      <c r="A3704" s="85" t="s">
        <v>108</v>
      </c>
      <c r="B3704" s="85" t="s">
        <v>34</v>
      </c>
      <c r="C3704" s="156">
        <v>0.77916666666666601</v>
      </c>
      <c r="D3704" s="71">
        <v>0</v>
      </c>
      <c r="E3704" s="71">
        <v>0</v>
      </c>
      <c r="F3704" s="71">
        <v>0</v>
      </c>
      <c r="G3704" s="71">
        <v>0</v>
      </c>
      <c r="H3704" s="71">
        <v>0</v>
      </c>
      <c r="I3704" s="71">
        <v>0</v>
      </c>
      <c r="J3704" s="71">
        <v>0</v>
      </c>
    </row>
    <row r="3705" spans="1:10">
      <c r="A3705" s="85" t="s">
        <v>108</v>
      </c>
      <c r="B3705" s="85" t="s">
        <v>34</v>
      </c>
      <c r="C3705" s="156">
        <v>0.77986111111111101</v>
      </c>
      <c r="D3705" s="71">
        <v>0</v>
      </c>
      <c r="E3705" s="71">
        <v>0</v>
      </c>
      <c r="F3705" s="71">
        <v>0</v>
      </c>
      <c r="G3705" s="71">
        <v>0</v>
      </c>
      <c r="H3705" s="71">
        <v>0</v>
      </c>
      <c r="I3705" s="71">
        <v>0</v>
      </c>
      <c r="J3705" s="71">
        <v>0</v>
      </c>
    </row>
    <row r="3706" spans="1:10" s="78" customFormat="1">
      <c r="A3706" s="88" t="s">
        <v>108</v>
      </c>
      <c r="B3706" s="88" t="s">
        <v>34</v>
      </c>
      <c r="C3706" s="158">
        <v>0.780555555555555</v>
      </c>
      <c r="D3706" s="160">
        <v>0</v>
      </c>
      <c r="E3706" s="160">
        <v>0</v>
      </c>
      <c r="F3706" s="160">
        <v>0</v>
      </c>
      <c r="G3706" s="160">
        <v>0</v>
      </c>
      <c r="H3706" s="160">
        <v>0</v>
      </c>
      <c r="I3706" s="160">
        <v>0</v>
      </c>
      <c r="J3706" s="160">
        <v>0</v>
      </c>
    </row>
    <row r="3707" spans="1:10">
      <c r="A3707" s="85" t="s">
        <v>108</v>
      </c>
      <c r="B3707" s="85" t="s">
        <v>34</v>
      </c>
      <c r="C3707" s="156">
        <v>0.78125</v>
      </c>
      <c r="D3707" s="161">
        <v>0</v>
      </c>
      <c r="E3707" s="161">
        <v>0</v>
      </c>
      <c r="F3707" s="161">
        <v>0</v>
      </c>
      <c r="G3707" s="161">
        <v>0</v>
      </c>
      <c r="H3707" s="161">
        <v>0</v>
      </c>
      <c r="I3707" s="161">
        <v>0</v>
      </c>
      <c r="J3707" s="161">
        <v>0</v>
      </c>
    </row>
    <row r="3708" spans="1:10">
      <c r="A3708" s="85" t="s">
        <v>108</v>
      </c>
      <c r="B3708" s="85" t="s">
        <v>34</v>
      </c>
      <c r="C3708" s="156">
        <v>0.781944444444444</v>
      </c>
      <c r="D3708" s="71">
        <v>0</v>
      </c>
      <c r="E3708" s="71">
        <v>0</v>
      </c>
      <c r="F3708" s="71">
        <v>0</v>
      </c>
      <c r="G3708" s="71">
        <v>0</v>
      </c>
      <c r="H3708" s="71">
        <v>0</v>
      </c>
      <c r="I3708" s="71">
        <v>0</v>
      </c>
      <c r="J3708" s="71">
        <v>0</v>
      </c>
    </row>
    <row r="3709" spans="1:10">
      <c r="A3709" s="85" t="s">
        <v>108</v>
      </c>
      <c r="B3709" s="85" t="s">
        <v>34</v>
      </c>
      <c r="C3709" s="156">
        <v>0.78263888888888899</v>
      </c>
      <c r="D3709" s="71">
        <v>0</v>
      </c>
      <c r="E3709" s="71">
        <v>0</v>
      </c>
      <c r="F3709" s="71">
        <v>0</v>
      </c>
      <c r="G3709" s="71">
        <v>0</v>
      </c>
      <c r="H3709" s="71">
        <v>0</v>
      </c>
      <c r="I3709" s="71">
        <v>0</v>
      </c>
      <c r="J3709" s="71">
        <v>0</v>
      </c>
    </row>
    <row r="3710" spans="1:10">
      <c r="A3710" s="85" t="s">
        <v>108</v>
      </c>
      <c r="B3710" s="85" t="s">
        <v>34</v>
      </c>
      <c r="C3710" s="156">
        <v>0.78333333333333299</v>
      </c>
      <c r="D3710" s="71">
        <v>0</v>
      </c>
      <c r="E3710" s="71">
        <v>0</v>
      </c>
      <c r="F3710" s="71">
        <v>0</v>
      </c>
      <c r="G3710" s="71">
        <v>0</v>
      </c>
      <c r="H3710" s="71">
        <v>0</v>
      </c>
      <c r="I3710" s="71">
        <v>0</v>
      </c>
      <c r="J3710" s="71">
        <v>0</v>
      </c>
    </row>
    <row r="3711" spans="1:10">
      <c r="A3711" s="85" t="s">
        <v>108</v>
      </c>
      <c r="B3711" s="85" t="s">
        <v>34</v>
      </c>
      <c r="C3711" s="156">
        <v>0.78402777777777799</v>
      </c>
      <c r="D3711" s="71">
        <v>0</v>
      </c>
      <c r="E3711" s="71">
        <v>0</v>
      </c>
      <c r="F3711" s="71">
        <v>0</v>
      </c>
      <c r="G3711" s="71">
        <v>0</v>
      </c>
      <c r="H3711" s="71">
        <v>0</v>
      </c>
      <c r="I3711" s="71">
        <v>0</v>
      </c>
      <c r="J3711" s="71">
        <v>0</v>
      </c>
    </row>
    <row r="3712" spans="1:10">
      <c r="A3712" s="85" t="s">
        <v>108</v>
      </c>
      <c r="B3712" s="85" t="s">
        <v>34</v>
      </c>
      <c r="C3712" s="156">
        <v>0.78472222222222199</v>
      </c>
      <c r="D3712" s="71">
        <v>0</v>
      </c>
      <c r="E3712" s="71">
        <v>0</v>
      </c>
      <c r="F3712" s="71">
        <v>0</v>
      </c>
      <c r="G3712" s="71">
        <v>0</v>
      </c>
      <c r="H3712" s="71">
        <v>0</v>
      </c>
      <c r="I3712" s="71">
        <v>0</v>
      </c>
      <c r="J3712" s="71">
        <v>0</v>
      </c>
    </row>
    <row r="3713" spans="1:10">
      <c r="A3713" s="85" t="s">
        <v>108</v>
      </c>
      <c r="B3713" s="85" t="s">
        <v>34</v>
      </c>
      <c r="C3713" s="156">
        <v>0.78541666666666599</v>
      </c>
      <c r="D3713" s="71">
        <v>0</v>
      </c>
      <c r="E3713" s="71">
        <v>0</v>
      </c>
      <c r="F3713" s="71">
        <v>0</v>
      </c>
      <c r="G3713" s="71">
        <v>0</v>
      </c>
      <c r="H3713" s="71">
        <v>0</v>
      </c>
      <c r="I3713" s="71">
        <v>0</v>
      </c>
      <c r="J3713" s="71">
        <v>0</v>
      </c>
    </row>
    <row r="3714" spans="1:10">
      <c r="A3714" s="85" t="s">
        <v>108</v>
      </c>
      <c r="B3714" s="85" t="s">
        <v>34</v>
      </c>
      <c r="C3714" s="156">
        <v>0.78611111111111098</v>
      </c>
      <c r="D3714" s="71">
        <v>0</v>
      </c>
      <c r="E3714" s="71">
        <v>0</v>
      </c>
      <c r="F3714" s="71">
        <v>0</v>
      </c>
      <c r="G3714" s="71">
        <v>0</v>
      </c>
      <c r="H3714" s="71">
        <v>0</v>
      </c>
      <c r="I3714" s="71">
        <v>0</v>
      </c>
      <c r="J3714" s="71">
        <v>0</v>
      </c>
    </row>
    <row r="3715" spans="1:10">
      <c r="A3715" s="85" t="s">
        <v>108</v>
      </c>
      <c r="B3715" s="85" t="s">
        <v>34</v>
      </c>
      <c r="C3715" s="156">
        <v>0.78680555555555498</v>
      </c>
      <c r="D3715" s="71">
        <v>0</v>
      </c>
      <c r="E3715" s="71">
        <v>0</v>
      </c>
      <c r="F3715" s="71">
        <v>0</v>
      </c>
      <c r="G3715" s="71">
        <v>0</v>
      </c>
      <c r="H3715" s="71">
        <v>0</v>
      </c>
      <c r="I3715" s="71">
        <v>0</v>
      </c>
      <c r="J3715" s="71">
        <v>0</v>
      </c>
    </row>
    <row r="3716" spans="1:10">
      <c r="A3716" s="85" t="s">
        <v>108</v>
      </c>
      <c r="B3716" s="85" t="s">
        <v>34</v>
      </c>
      <c r="C3716" s="156">
        <v>0.78749999999999998</v>
      </c>
      <c r="D3716" s="71">
        <v>0</v>
      </c>
      <c r="E3716" s="71">
        <v>0</v>
      </c>
      <c r="F3716" s="71">
        <v>0</v>
      </c>
      <c r="G3716" s="71">
        <v>0</v>
      </c>
      <c r="H3716" s="71">
        <v>0</v>
      </c>
      <c r="I3716" s="71">
        <v>0</v>
      </c>
      <c r="J3716" s="71">
        <v>0</v>
      </c>
    </row>
    <row r="3717" spans="1:10">
      <c r="A3717" s="85" t="s">
        <v>108</v>
      </c>
      <c r="B3717" s="85" t="s">
        <v>34</v>
      </c>
      <c r="C3717" s="156">
        <v>0.78819444444444398</v>
      </c>
      <c r="D3717" s="71">
        <v>0</v>
      </c>
      <c r="E3717" s="71">
        <v>0</v>
      </c>
      <c r="F3717" s="71">
        <v>0</v>
      </c>
      <c r="G3717" s="71">
        <v>0</v>
      </c>
      <c r="H3717" s="71">
        <v>0</v>
      </c>
      <c r="I3717" s="71">
        <v>0</v>
      </c>
      <c r="J3717" s="71">
        <v>0</v>
      </c>
    </row>
    <row r="3718" spans="1:10">
      <c r="A3718" s="85" t="s">
        <v>108</v>
      </c>
      <c r="B3718" s="85" t="s">
        <v>34</v>
      </c>
      <c r="C3718" s="156">
        <v>0.78888888888888897</v>
      </c>
      <c r="D3718" s="71">
        <v>0</v>
      </c>
      <c r="E3718" s="71">
        <v>0</v>
      </c>
      <c r="F3718" s="71">
        <v>0</v>
      </c>
      <c r="G3718" s="71">
        <v>0</v>
      </c>
      <c r="H3718" s="71">
        <v>0</v>
      </c>
      <c r="I3718" s="71">
        <v>0</v>
      </c>
      <c r="J3718" s="71">
        <v>0</v>
      </c>
    </row>
    <row r="3719" spans="1:10">
      <c r="A3719" s="85" t="s">
        <v>108</v>
      </c>
      <c r="B3719" s="85" t="s">
        <v>34</v>
      </c>
      <c r="C3719" s="156">
        <v>0.78958333333333297</v>
      </c>
      <c r="D3719" s="71">
        <v>0</v>
      </c>
      <c r="E3719" s="71">
        <v>0</v>
      </c>
      <c r="F3719" s="71">
        <v>0</v>
      </c>
      <c r="G3719" s="71">
        <v>0</v>
      </c>
      <c r="H3719" s="71">
        <v>0</v>
      </c>
      <c r="I3719" s="71">
        <v>0</v>
      </c>
      <c r="J3719" s="71">
        <v>0</v>
      </c>
    </row>
    <row r="3720" spans="1:10">
      <c r="A3720" s="85" t="s">
        <v>108</v>
      </c>
      <c r="B3720" s="85" t="s">
        <v>34</v>
      </c>
      <c r="C3720" s="156">
        <v>0.79027777777777797</v>
      </c>
      <c r="D3720" s="71">
        <v>0</v>
      </c>
      <c r="E3720" s="71">
        <v>0</v>
      </c>
      <c r="F3720" s="71">
        <v>0</v>
      </c>
      <c r="G3720" s="71">
        <v>0</v>
      </c>
      <c r="H3720" s="71">
        <v>0</v>
      </c>
      <c r="I3720" s="71">
        <v>0</v>
      </c>
      <c r="J3720" s="71">
        <v>0</v>
      </c>
    </row>
    <row r="3721" spans="1:10" s="28" customFormat="1" ht="17.5" thickBot="1">
      <c r="A3721" s="100" t="s">
        <v>108</v>
      </c>
      <c r="B3721" s="100" t="s">
        <v>34</v>
      </c>
      <c r="C3721" s="157">
        <v>0.83194444444444504</v>
      </c>
      <c r="D3721" s="162">
        <v>0</v>
      </c>
      <c r="E3721" s="162">
        <v>0</v>
      </c>
      <c r="F3721" s="162">
        <v>0</v>
      </c>
      <c r="G3721" s="162">
        <v>0</v>
      </c>
      <c r="H3721" s="162">
        <v>0</v>
      </c>
      <c r="I3721" s="162">
        <v>0</v>
      </c>
      <c r="J3721" s="162">
        <v>0</v>
      </c>
    </row>
    <row r="3722" spans="1:10">
      <c r="A3722" s="85" t="s">
        <v>108</v>
      </c>
      <c r="B3722" s="85" t="s">
        <v>35</v>
      </c>
      <c r="C3722" s="156">
        <v>0.70833333333333337</v>
      </c>
      <c r="D3722" s="159">
        <v>0</v>
      </c>
      <c r="E3722" s="159">
        <v>0</v>
      </c>
      <c r="F3722" s="159">
        <v>0</v>
      </c>
      <c r="G3722" s="159">
        <v>0</v>
      </c>
      <c r="H3722" s="159">
        <v>0</v>
      </c>
      <c r="I3722" s="159">
        <v>0</v>
      </c>
      <c r="J3722" s="159">
        <v>0</v>
      </c>
    </row>
    <row r="3723" spans="1:10">
      <c r="A3723" s="85" t="s">
        <v>108</v>
      </c>
      <c r="B3723" s="85" t="s">
        <v>35</v>
      </c>
      <c r="C3723" s="156">
        <v>0.70902777777777781</v>
      </c>
      <c r="D3723" s="71">
        <v>0</v>
      </c>
      <c r="E3723" s="71">
        <v>0</v>
      </c>
      <c r="F3723" s="71">
        <v>0</v>
      </c>
      <c r="G3723" s="71">
        <v>0</v>
      </c>
      <c r="H3723" s="71">
        <v>0</v>
      </c>
      <c r="I3723" s="71">
        <v>0</v>
      </c>
      <c r="J3723" s="71">
        <v>0</v>
      </c>
    </row>
    <row r="3724" spans="1:10">
      <c r="A3724" s="85" t="s">
        <v>108</v>
      </c>
      <c r="B3724" s="85" t="s">
        <v>35</v>
      </c>
      <c r="C3724" s="156">
        <v>0.70972222222222203</v>
      </c>
      <c r="D3724" s="71">
        <v>0</v>
      </c>
      <c r="E3724" s="71">
        <v>0</v>
      </c>
      <c r="F3724" s="71">
        <v>0</v>
      </c>
      <c r="G3724" s="71">
        <v>0</v>
      </c>
      <c r="H3724" s="71">
        <v>0</v>
      </c>
      <c r="I3724" s="71">
        <v>0</v>
      </c>
      <c r="J3724" s="71">
        <v>0</v>
      </c>
    </row>
    <row r="3725" spans="1:10">
      <c r="A3725" s="85" t="s">
        <v>108</v>
      </c>
      <c r="B3725" s="85" t="s">
        <v>35</v>
      </c>
      <c r="C3725" s="156">
        <v>0.71041666666666703</v>
      </c>
      <c r="D3725" s="71">
        <v>0</v>
      </c>
      <c r="E3725" s="71">
        <v>0</v>
      </c>
      <c r="F3725" s="71">
        <v>0</v>
      </c>
      <c r="G3725" s="71">
        <v>0</v>
      </c>
      <c r="H3725" s="71">
        <v>0</v>
      </c>
      <c r="I3725" s="71">
        <v>0</v>
      </c>
      <c r="J3725" s="71">
        <v>0</v>
      </c>
    </row>
    <row r="3726" spans="1:10">
      <c r="A3726" s="85" t="s">
        <v>108</v>
      </c>
      <c r="B3726" s="85" t="s">
        <v>35</v>
      </c>
      <c r="C3726" s="156">
        <v>0.71111111111111103</v>
      </c>
      <c r="D3726" s="71">
        <v>0</v>
      </c>
      <c r="E3726" s="71">
        <v>0</v>
      </c>
      <c r="F3726" s="71">
        <v>0</v>
      </c>
      <c r="G3726" s="71">
        <v>0</v>
      </c>
      <c r="H3726" s="71">
        <v>0</v>
      </c>
      <c r="I3726" s="71">
        <v>0</v>
      </c>
      <c r="J3726" s="71">
        <v>0</v>
      </c>
    </row>
    <row r="3727" spans="1:10">
      <c r="A3727" s="85" t="s">
        <v>108</v>
      </c>
      <c r="B3727" s="85" t="s">
        <v>35</v>
      </c>
      <c r="C3727" s="156">
        <v>0.71180555555555602</v>
      </c>
      <c r="D3727" s="71">
        <v>0</v>
      </c>
      <c r="E3727" s="71">
        <v>0</v>
      </c>
      <c r="F3727" s="71">
        <v>0</v>
      </c>
      <c r="G3727" s="71">
        <v>0</v>
      </c>
      <c r="H3727" s="71">
        <v>0</v>
      </c>
      <c r="I3727" s="71">
        <v>0</v>
      </c>
      <c r="J3727" s="71">
        <v>0</v>
      </c>
    </row>
    <row r="3728" spans="1:10">
      <c r="A3728" s="85" t="s">
        <v>108</v>
      </c>
      <c r="B3728" s="85" t="s">
        <v>35</v>
      </c>
      <c r="C3728" s="156">
        <v>0.71250000000000002</v>
      </c>
      <c r="D3728" s="71">
        <v>0</v>
      </c>
      <c r="E3728" s="71">
        <v>0</v>
      </c>
      <c r="F3728" s="71">
        <v>0</v>
      </c>
      <c r="G3728" s="71">
        <v>0</v>
      </c>
      <c r="H3728" s="71">
        <v>0</v>
      </c>
      <c r="I3728" s="71">
        <v>0</v>
      </c>
      <c r="J3728" s="71">
        <v>0</v>
      </c>
    </row>
    <row r="3729" spans="1:10">
      <c r="A3729" s="85" t="s">
        <v>108</v>
      </c>
      <c r="B3729" s="85" t="s">
        <v>35</v>
      </c>
      <c r="C3729" s="156">
        <v>0.71319444444444402</v>
      </c>
      <c r="D3729" s="71">
        <v>0</v>
      </c>
      <c r="E3729" s="71">
        <v>0</v>
      </c>
      <c r="F3729" s="71">
        <v>0</v>
      </c>
      <c r="G3729" s="71">
        <v>0</v>
      </c>
      <c r="H3729" s="71">
        <v>0</v>
      </c>
      <c r="I3729" s="71">
        <v>0</v>
      </c>
      <c r="J3729" s="71">
        <v>0</v>
      </c>
    </row>
    <row r="3730" spans="1:10">
      <c r="A3730" s="85" t="s">
        <v>108</v>
      </c>
      <c r="B3730" s="85" t="s">
        <v>35</v>
      </c>
      <c r="C3730" s="156">
        <v>0.71388888888888902</v>
      </c>
      <c r="D3730" s="71">
        <v>0</v>
      </c>
      <c r="E3730" s="71">
        <v>0</v>
      </c>
      <c r="F3730" s="71">
        <v>0</v>
      </c>
      <c r="G3730" s="71">
        <v>0</v>
      </c>
      <c r="H3730" s="71">
        <v>0</v>
      </c>
      <c r="I3730" s="71">
        <v>0</v>
      </c>
      <c r="J3730" s="71">
        <v>0</v>
      </c>
    </row>
    <row r="3731" spans="1:10">
      <c r="A3731" s="85" t="s">
        <v>108</v>
      </c>
      <c r="B3731" s="85" t="s">
        <v>35</v>
      </c>
      <c r="C3731" s="156">
        <v>0.71458333333333302</v>
      </c>
      <c r="D3731" s="71">
        <v>0</v>
      </c>
      <c r="E3731" s="71">
        <v>0</v>
      </c>
      <c r="F3731" s="71">
        <v>0</v>
      </c>
      <c r="G3731" s="71">
        <v>0</v>
      </c>
      <c r="H3731" s="71">
        <v>0</v>
      </c>
      <c r="I3731" s="71">
        <v>0</v>
      </c>
      <c r="J3731" s="71">
        <v>0</v>
      </c>
    </row>
    <row r="3732" spans="1:10">
      <c r="A3732" s="85" t="s">
        <v>108</v>
      </c>
      <c r="B3732" s="85" t="s">
        <v>35</v>
      </c>
      <c r="C3732" s="156">
        <v>0.71527777777777801</v>
      </c>
      <c r="D3732" s="71">
        <v>0</v>
      </c>
      <c r="E3732" s="71">
        <v>0</v>
      </c>
      <c r="F3732" s="71">
        <v>0</v>
      </c>
      <c r="G3732" s="71">
        <v>0</v>
      </c>
      <c r="H3732" s="71">
        <v>0</v>
      </c>
      <c r="I3732" s="71">
        <v>0</v>
      </c>
      <c r="J3732" s="71">
        <v>0</v>
      </c>
    </row>
    <row r="3733" spans="1:10">
      <c r="A3733" s="85" t="s">
        <v>108</v>
      </c>
      <c r="B3733" s="85" t="s">
        <v>35</v>
      </c>
      <c r="C3733" s="156">
        <v>0.71597222222222201</v>
      </c>
      <c r="D3733" s="71">
        <v>0</v>
      </c>
      <c r="E3733" s="71">
        <v>0</v>
      </c>
      <c r="F3733" s="71">
        <v>0</v>
      </c>
      <c r="G3733" s="71">
        <v>0</v>
      </c>
      <c r="H3733" s="71">
        <v>0</v>
      </c>
      <c r="I3733" s="71">
        <v>0</v>
      </c>
      <c r="J3733" s="71">
        <v>0</v>
      </c>
    </row>
    <row r="3734" spans="1:10">
      <c r="A3734" s="85" t="s">
        <v>108</v>
      </c>
      <c r="B3734" s="85" t="s">
        <v>35</v>
      </c>
      <c r="C3734" s="156">
        <v>0.71666666666666701</v>
      </c>
      <c r="D3734" s="71">
        <v>0</v>
      </c>
      <c r="E3734" s="71">
        <v>0</v>
      </c>
      <c r="F3734" s="71">
        <v>0</v>
      </c>
      <c r="G3734" s="71">
        <v>0</v>
      </c>
      <c r="H3734" s="71">
        <v>0</v>
      </c>
      <c r="I3734" s="71">
        <v>0</v>
      </c>
      <c r="J3734" s="71">
        <v>0</v>
      </c>
    </row>
    <row r="3735" spans="1:10">
      <c r="A3735" s="85" t="s">
        <v>108</v>
      </c>
      <c r="B3735" s="85" t="s">
        <v>35</v>
      </c>
      <c r="C3735" s="156">
        <v>0.71736111111111101</v>
      </c>
      <c r="D3735" s="71">
        <v>0</v>
      </c>
      <c r="E3735" s="71">
        <v>0</v>
      </c>
      <c r="F3735" s="71">
        <v>0</v>
      </c>
      <c r="G3735" s="71">
        <v>0</v>
      </c>
      <c r="H3735" s="71">
        <v>0</v>
      </c>
      <c r="I3735" s="71">
        <v>0</v>
      </c>
      <c r="J3735" s="71">
        <v>0</v>
      </c>
    </row>
    <row r="3736" spans="1:10" s="78" customFormat="1">
      <c r="A3736" s="88" t="s">
        <v>108</v>
      </c>
      <c r="B3736" s="88" t="s">
        <v>35</v>
      </c>
      <c r="C3736" s="158">
        <v>0.718055555555556</v>
      </c>
      <c r="D3736" s="160">
        <v>0</v>
      </c>
      <c r="E3736" s="160">
        <v>0</v>
      </c>
      <c r="F3736" s="160">
        <v>0</v>
      </c>
      <c r="G3736" s="160">
        <v>0</v>
      </c>
      <c r="H3736" s="160">
        <v>0</v>
      </c>
      <c r="I3736" s="160">
        <v>0</v>
      </c>
      <c r="J3736" s="160">
        <v>0</v>
      </c>
    </row>
    <row r="3737" spans="1:10">
      <c r="A3737" s="85" t="s">
        <v>108</v>
      </c>
      <c r="B3737" s="85" t="s">
        <v>35</v>
      </c>
      <c r="C3737" s="156">
        <v>0.71875</v>
      </c>
      <c r="D3737" s="71">
        <v>0</v>
      </c>
      <c r="E3737" s="71">
        <v>0</v>
      </c>
      <c r="F3737" s="71">
        <v>0</v>
      </c>
      <c r="G3737" s="71">
        <v>0</v>
      </c>
      <c r="H3737" s="71">
        <v>0</v>
      </c>
      <c r="I3737" s="71">
        <v>0</v>
      </c>
      <c r="J3737" s="71">
        <v>0</v>
      </c>
    </row>
    <row r="3738" spans="1:10">
      <c r="A3738" s="85" t="s">
        <v>108</v>
      </c>
      <c r="B3738" s="85" t="s">
        <v>35</v>
      </c>
      <c r="C3738" s="156">
        <v>0.719444444444444</v>
      </c>
      <c r="D3738" s="71">
        <v>0</v>
      </c>
      <c r="E3738" s="71">
        <v>0</v>
      </c>
      <c r="F3738" s="71">
        <v>0</v>
      </c>
      <c r="G3738" s="71">
        <v>0</v>
      </c>
      <c r="H3738" s="71">
        <v>0</v>
      </c>
      <c r="I3738" s="71">
        <v>0</v>
      </c>
      <c r="J3738" s="71">
        <v>0</v>
      </c>
    </row>
    <row r="3739" spans="1:10">
      <c r="A3739" s="85" t="s">
        <v>108</v>
      </c>
      <c r="B3739" s="85" t="s">
        <v>35</v>
      </c>
      <c r="C3739" s="156">
        <v>0.72013888888888899</v>
      </c>
      <c r="D3739" s="71">
        <v>0</v>
      </c>
      <c r="E3739" s="71">
        <v>0</v>
      </c>
      <c r="F3739" s="71">
        <v>0</v>
      </c>
      <c r="G3739" s="71">
        <v>0</v>
      </c>
      <c r="H3739" s="71">
        <v>0</v>
      </c>
      <c r="I3739" s="71">
        <v>0</v>
      </c>
      <c r="J3739" s="71">
        <v>0</v>
      </c>
    </row>
    <row r="3740" spans="1:10">
      <c r="A3740" s="85" t="s">
        <v>108</v>
      </c>
      <c r="B3740" s="85" t="s">
        <v>35</v>
      </c>
      <c r="C3740" s="156">
        <v>0.72083333333333299</v>
      </c>
      <c r="D3740" s="71">
        <v>0</v>
      </c>
      <c r="E3740" s="71">
        <v>0</v>
      </c>
      <c r="F3740" s="71">
        <v>0</v>
      </c>
      <c r="G3740" s="71">
        <v>0</v>
      </c>
      <c r="H3740" s="71">
        <v>0</v>
      </c>
      <c r="I3740" s="71">
        <v>0</v>
      </c>
      <c r="J3740" s="71">
        <v>0</v>
      </c>
    </row>
    <row r="3741" spans="1:10">
      <c r="A3741" s="85" t="s">
        <v>108</v>
      </c>
      <c r="B3741" s="85" t="s">
        <v>35</v>
      </c>
      <c r="C3741" s="156">
        <v>0.72152777777777799</v>
      </c>
      <c r="D3741" s="71">
        <v>0</v>
      </c>
      <c r="E3741" s="71">
        <v>0</v>
      </c>
      <c r="F3741" s="71">
        <v>0</v>
      </c>
      <c r="G3741" s="71">
        <v>0</v>
      </c>
      <c r="H3741" s="71">
        <v>0</v>
      </c>
      <c r="I3741" s="71">
        <v>0</v>
      </c>
      <c r="J3741" s="71">
        <v>0</v>
      </c>
    </row>
    <row r="3742" spans="1:10">
      <c r="A3742" s="85" t="s">
        <v>108</v>
      </c>
      <c r="B3742" s="85" t="s">
        <v>35</v>
      </c>
      <c r="C3742" s="156">
        <v>0.72222222222222199</v>
      </c>
      <c r="D3742" s="71">
        <v>0</v>
      </c>
      <c r="E3742" s="71">
        <v>0</v>
      </c>
      <c r="F3742" s="71">
        <v>0</v>
      </c>
      <c r="G3742" s="71">
        <v>0</v>
      </c>
      <c r="H3742" s="71">
        <v>0</v>
      </c>
      <c r="I3742" s="71">
        <v>0</v>
      </c>
      <c r="J3742" s="71">
        <v>0</v>
      </c>
    </row>
    <row r="3743" spans="1:10">
      <c r="A3743" s="85" t="s">
        <v>108</v>
      </c>
      <c r="B3743" s="85" t="s">
        <v>35</v>
      </c>
      <c r="C3743" s="156">
        <v>0.72291666666666698</v>
      </c>
      <c r="D3743" s="71">
        <v>0</v>
      </c>
      <c r="E3743" s="71">
        <v>0</v>
      </c>
      <c r="F3743" s="71">
        <v>0</v>
      </c>
      <c r="G3743" s="71">
        <v>0</v>
      </c>
      <c r="H3743" s="71">
        <v>0</v>
      </c>
      <c r="I3743" s="71">
        <v>0</v>
      </c>
      <c r="J3743" s="71">
        <v>0</v>
      </c>
    </row>
    <row r="3744" spans="1:10">
      <c r="A3744" s="85" t="s">
        <v>108</v>
      </c>
      <c r="B3744" s="85" t="s">
        <v>35</v>
      </c>
      <c r="C3744" s="156">
        <v>0.72361111111111098</v>
      </c>
      <c r="D3744" s="71">
        <v>0</v>
      </c>
      <c r="E3744" s="71">
        <v>0</v>
      </c>
      <c r="F3744" s="71">
        <v>0</v>
      </c>
      <c r="G3744" s="71">
        <v>0</v>
      </c>
      <c r="H3744" s="71">
        <v>0</v>
      </c>
      <c r="I3744" s="71">
        <v>0</v>
      </c>
      <c r="J3744" s="71">
        <v>0</v>
      </c>
    </row>
    <row r="3745" spans="1:10">
      <c r="A3745" s="85" t="s">
        <v>108</v>
      </c>
      <c r="B3745" s="85" t="s">
        <v>35</v>
      </c>
      <c r="C3745" s="156">
        <v>0.72430555555555598</v>
      </c>
      <c r="D3745" s="71">
        <v>0</v>
      </c>
      <c r="E3745" s="71">
        <v>0</v>
      </c>
      <c r="F3745" s="71">
        <v>0</v>
      </c>
      <c r="G3745" s="71">
        <v>0</v>
      </c>
      <c r="H3745" s="71">
        <v>0</v>
      </c>
      <c r="I3745" s="71">
        <v>0</v>
      </c>
      <c r="J3745" s="71">
        <v>0</v>
      </c>
    </row>
    <row r="3746" spans="1:10">
      <c r="A3746" s="85" t="s">
        <v>108</v>
      </c>
      <c r="B3746" s="85" t="s">
        <v>35</v>
      </c>
      <c r="C3746" s="156">
        <v>0.72499999999999998</v>
      </c>
      <c r="D3746" s="71">
        <v>0</v>
      </c>
      <c r="E3746" s="71">
        <v>0</v>
      </c>
      <c r="F3746" s="71">
        <v>0</v>
      </c>
      <c r="G3746" s="71">
        <v>0</v>
      </c>
      <c r="H3746" s="71">
        <v>0</v>
      </c>
      <c r="I3746" s="71">
        <v>0</v>
      </c>
      <c r="J3746" s="71">
        <v>0</v>
      </c>
    </row>
    <row r="3747" spans="1:10">
      <c r="A3747" s="85" t="s">
        <v>108</v>
      </c>
      <c r="B3747" s="85" t="s">
        <v>35</v>
      </c>
      <c r="C3747" s="156">
        <v>0.72569444444444398</v>
      </c>
      <c r="D3747" s="71">
        <v>0</v>
      </c>
      <c r="E3747" s="71">
        <v>0</v>
      </c>
      <c r="F3747" s="71">
        <v>0</v>
      </c>
      <c r="G3747" s="71">
        <v>0</v>
      </c>
      <c r="H3747" s="71">
        <v>0</v>
      </c>
      <c r="I3747" s="71">
        <v>0</v>
      </c>
      <c r="J3747" s="71">
        <v>0</v>
      </c>
    </row>
    <row r="3748" spans="1:10">
      <c r="A3748" s="85" t="s">
        <v>108</v>
      </c>
      <c r="B3748" s="85" t="s">
        <v>35</v>
      </c>
      <c r="C3748" s="156">
        <v>0.72638888888888897</v>
      </c>
      <c r="D3748" s="71">
        <v>0</v>
      </c>
      <c r="E3748" s="71">
        <v>0</v>
      </c>
      <c r="F3748" s="71">
        <v>0</v>
      </c>
      <c r="G3748" s="71">
        <v>0</v>
      </c>
      <c r="H3748" s="71">
        <v>0</v>
      </c>
      <c r="I3748" s="71">
        <v>0</v>
      </c>
      <c r="J3748" s="71">
        <v>0</v>
      </c>
    </row>
    <row r="3749" spans="1:10">
      <c r="A3749" s="85" t="s">
        <v>108</v>
      </c>
      <c r="B3749" s="85" t="s">
        <v>35</v>
      </c>
      <c r="C3749" s="156">
        <v>0.72708333333333297</v>
      </c>
      <c r="D3749" s="71">
        <v>0</v>
      </c>
      <c r="E3749" s="71">
        <v>0</v>
      </c>
      <c r="F3749" s="71">
        <v>0</v>
      </c>
      <c r="G3749" s="71">
        <v>0</v>
      </c>
      <c r="H3749" s="71">
        <v>0</v>
      </c>
      <c r="I3749" s="71">
        <v>0</v>
      </c>
      <c r="J3749" s="71">
        <v>0</v>
      </c>
    </row>
    <row r="3750" spans="1:10">
      <c r="A3750" s="85" t="s">
        <v>108</v>
      </c>
      <c r="B3750" s="85" t="s">
        <v>35</v>
      </c>
      <c r="C3750" s="156">
        <v>0.72777777777777797</v>
      </c>
      <c r="D3750" s="71">
        <v>0</v>
      </c>
      <c r="E3750" s="71">
        <v>0</v>
      </c>
      <c r="F3750" s="71">
        <v>0</v>
      </c>
      <c r="G3750" s="71">
        <v>0</v>
      </c>
      <c r="H3750" s="71">
        <v>0</v>
      </c>
      <c r="I3750" s="71">
        <v>0</v>
      </c>
      <c r="J3750" s="71">
        <v>0</v>
      </c>
    </row>
    <row r="3751" spans="1:10" s="78" customFormat="1">
      <c r="A3751" s="88" t="s">
        <v>108</v>
      </c>
      <c r="B3751" s="88" t="s">
        <v>35</v>
      </c>
      <c r="C3751" s="158">
        <v>0.72847222222222197</v>
      </c>
      <c r="D3751" s="160">
        <v>0</v>
      </c>
      <c r="E3751" s="160">
        <v>0</v>
      </c>
      <c r="F3751" s="160">
        <v>0</v>
      </c>
      <c r="G3751" s="160">
        <v>0</v>
      </c>
      <c r="H3751" s="160">
        <v>0</v>
      </c>
      <c r="I3751" s="160">
        <v>0</v>
      </c>
      <c r="J3751" s="160">
        <v>0</v>
      </c>
    </row>
    <row r="3752" spans="1:10">
      <c r="A3752" s="85" t="s">
        <v>108</v>
      </c>
      <c r="B3752" s="85" t="s">
        <v>35</v>
      </c>
      <c r="C3752" s="156">
        <v>0.72916666666666696</v>
      </c>
      <c r="D3752" s="161">
        <v>0</v>
      </c>
      <c r="E3752" s="161">
        <v>0</v>
      </c>
      <c r="F3752" s="161">
        <v>0</v>
      </c>
      <c r="G3752" s="161">
        <v>0</v>
      </c>
      <c r="H3752" s="161">
        <v>0</v>
      </c>
      <c r="I3752" s="161">
        <v>0</v>
      </c>
      <c r="J3752" s="161">
        <v>0</v>
      </c>
    </row>
    <row r="3753" spans="1:10">
      <c r="A3753" s="85" t="s">
        <v>108</v>
      </c>
      <c r="B3753" s="85" t="s">
        <v>35</v>
      </c>
      <c r="C3753" s="156">
        <v>0.72986111111111096</v>
      </c>
      <c r="D3753" s="71">
        <v>0</v>
      </c>
      <c r="E3753" s="71">
        <v>0</v>
      </c>
      <c r="F3753" s="71">
        <v>0</v>
      </c>
      <c r="G3753" s="71">
        <v>0</v>
      </c>
      <c r="H3753" s="71">
        <v>0</v>
      </c>
      <c r="I3753" s="71">
        <v>0</v>
      </c>
      <c r="J3753" s="71">
        <v>0</v>
      </c>
    </row>
    <row r="3754" spans="1:10">
      <c r="A3754" s="85" t="s">
        <v>108</v>
      </c>
      <c r="B3754" s="85" t="s">
        <v>35</v>
      </c>
      <c r="C3754" s="156">
        <v>0.73055555555555596</v>
      </c>
      <c r="D3754" s="71">
        <v>0</v>
      </c>
      <c r="E3754" s="71">
        <v>0</v>
      </c>
      <c r="F3754" s="71">
        <v>0</v>
      </c>
      <c r="G3754" s="71">
        <v>0</v>
      </c>
      <c r="H3754" s="71">
        <v>0</v>
      </c>
      <c r="I3754" s="71">
        <v>0</v>
      </c>
      <c r="J3754" s="71">
        <v>0</v>
      </c>
    </row>
    <row r="3755" spans="1:10">
      <c r="A3755" s="85" t="s">
        <v>108</v>
      </c>
      <c r="B3755" s="85" t="s">
        <v>35</v>
      </c>
      <c r="C3755" s="156">
        <v>0.73124999999999996</v>
      </c>
      <c r="D3755" s="71">
        <v>0</v>
      </c>
      <c r="E3755" s="71">
        <v>0</v>
      </c>
      <c r="F3755" s="71">
        <v>0</v>
      </c>
      <c r="G3755" s="71">
        <v>0</v>
      </c>
      <c r="H3755" s="71">
        <v>0</v>
      </c>
      <c r="I3755" s="71">
        <v>0</v>
      </c>
      <c r="J3755" s="71">
        <v>0</v>
      </c>
    </row>
    <row r="3756" spans="1:10">
      <c r="A3756" s="85" t="s">
        <v>108</v>
      </c>
      <c r="B3756" s="85" t="s">
        <v>35</v>
      </c>
      <c r="C3756" s="156">
        <v>0.73194444444444395</v>
      </c>
      <c r="D3756" s="71">
        <v>0</v>
      </c>
      <c r="E3756" s="71">
        <v>0</v>
      </c>
      <c r="F3756" s="71">
        <v>0</v>
      </c>
      <c r="G3756" s="71">
        <v>0</v>
      </c>
      <c r="H3756" s="71">
        <v>0</v>
      </c>
      <c r="I3756" s="71">
        <v>0</v>
      </c>
      <c r="J3756" s="71">
        <v>0</v>
      </c>
    </row>
    <row r="3757" spans="1:10">
      <c r="A3757" s="85" t="s">
        <v>108</v>
      </c>
      <c r="B3757" s="85" t="s">
        <v>35</v>
      </c>
      <c r="C3757" s="156">
        <v>0.73263888888888895</v>
      </c>
      <c r="D3757" s="71">
        <v>0</v>
      </c>
      <c r="E3757" s="71">
        <v>0</v>
      </c>
      <c r="F3757" s="71">
        <v>0</v>
      </c>
      <c r="G3757" s="71">
        <v>0</v>
      </c>
      <c r="H3757" s="71">
        <v>0</v>
      </c>
      <c r="I3757" s="71">
        <v>0</v>
      </c>
      <c r="J3757" s="71">
        <v>0</v>
      </c>
    </row>
    <row r="3758" spans="1:10">
      <c r="A3758" s="85" t="s">
        <v>108</v>
      </c>
      <c r="B3758" s="85" t="s">
        <v>35</v>
      </c>
      <c r="C3758" s="156">
        <v>0.73333333333333295</v>
      </c>
      <c r="D3758" s="71">
        <v>0</v>
      </c>
      <c r="E3758" s="71">
        <v>0</v>
      </c>
      <c r="F3758" s="71">
        <v>0</v>
      </c>
      <c r="G3758" s="71">
        <v>0</v>
      </c>
      <c r="H3758" s="71">
        <v>0</v>
      </c>
      <c r="I3758" s="71">
        <v>0</v>
      </c>
      <c r="J3758" s="71">
        <v>0</v>
      </c>
    </row>
    <row r="3759" spans="1:10">
      <c r="A3759" s="85" t="s">
        <v>108</v>
      </c>
      <c r="B3759" s="85" t="s">
        <v>35</v>
      </c>
      <c r="C3759" s="156">
        <v>0.73402777777777795</v>
      </c>
      <c r="D3759" s="71">
        <v>0</v>
      </c>
      <c r="E3759" s="71">
        <v>0</v>
      </c>
      <c r="F3759" s="71">
        <v>0</v>
      </c>
      <c r="G3759" s="71">
        <v>0</v>
      </c>
      <c r="H3759" s="71">
        <v>0</v>
      </c>
      <c r="I3759" s="71">
        <v>0</v>
      </c>
      <c r="J3759" s="71">
        <v>0</v>
      </c>
    </row>
    <row r="3760" spans="1:10">
      <c r="A3760" s="85" t="s">
        <v>108</v>
      </c>
      <c r="B3760" s="85" t="s">
        <v>35</v>
      </c>
      <c r="C3760" s="156">
        <v>0.73472222222222205</v>
      </c>
      <c r="D3760" s="71">
        <v>0</v>
      </c>
      <c r="E3760" s="71">
        <v>0</v>
      </c>
      <c r="F3760" s="71">
        <v>0</v>
      </c>
      <c r="G3760" s="71">
        <v>0</v>
      </c>
      <c r="H3760" s="71">
        <v>0</v>
      </c>
      <c r="I3760" s="71">
        <v>0</v>
      </c>
      <c r="J3760" s="71">
        <v>0</v>
      </c>
    </row>
    <row r="3761" spans="1:10">
      <c r="A3761" s="85" t="s">
        <v>108</v>
      </c>
      <c r="B3761" s="85" t="s">
        <v>35</v>
      </c>
      <c r="C3761" s="156">
        <v>0.73541666666666705</v>
      </c>
      <c r="D3761" s="71">
        <v>0</v>
      </c>
      <c r="E3761" s="71">
        <v>0</v>
      </c>
      <c r="F3761" s="71">
        <v>0</v>
      </c>
      <c r="G3761" s="71">
        <v>0</v>
      </c>
      <c r="H3761" s="71">
        <v>0</v>
      </c>
      <c r="I3761" s="71">
        <v>0</v>
      </c>
      <c r="J3761" s="71">
        <v>0</v>
      </c>
    </row>
    <row r="3762" spans="1:10">
      <c r="A3762" s="85" t="s">
        <v>108</v>
      </c>
      <c r="B3762" s="85" t="s">
        <v>35</v>
      </c>
      <c r="C3762" s="156">
        <v>0.73611111111111105</v>
      </c>
      <c r="D3762" s="71">
        <v>0</v>
      </c>
      <c r="E3762" s="71">
        <v>0</v>
      </c>
      <c r="F3762" s="71">
        <v>0</v>
      </c>
      <c r="G3762" s="71">
        <v>0</v>
      </c>
      <c r="H3762" s="71">
        <v>0</v>
      </c>
      <c r="I3762" s="71">
        <v>0</v>
      </c>
      <c r="J3762" s="71">
        <v>0</v>
      </c>
    </row>
    <row r="3763" spans="1:10">
      <c r="A3763" s="85" t="s">
        <v>108</v>
      </c>
      <c r="B3763" s="85" t="s">
        <v>35</v>
      </c>
      <c r="C3763" s="156">
        <v>0.73680555555555505</v>
      </c>
      <c r="D3763" s="71">
        <v>0</v>
      </c>
      <c r="E3763" s="71">
        <v>0</v>
      </c>
      <c r="F3763" s="71">
        <v>0</v>
      </c>
      <c r="G3763" s="71">
        <v>0</v>
      </c>
      <c r="H3763" s="71">
        <v>0</v>
      </c>
      <c r="I3763" s="71">
        <v>0</v>
      </c>
      <c r="J3763" s="71">
        <v>0</v>
      </c>
    </row>
    <row r="3764" spans="1:10">
      <c r="A3764" s="85" t="s">
        <v>108</v>
      </c>
      <c r="B3764" s="85" t="s">
        <v>35</v>
      </c>
      <c r="C3764" s="156">
        <v>0.73750000000000004</v>
      </c>
      <c r="D3764" s="71">
        <v>0</v>
      </c>
      <c r="E3764" s="71">
        <v>0</v>
      </c>
      <c r="F3764" s="71">
        <v>0</v>
      </c>
      <c r="G3764" s="71">
        <v>0</v>
      </c>
      <c r="H3764" s="71">
        <v>0</v>
      </c>
      <c r="I3764" s="71">
        <v>0</v>
      </c>
      <c r="J3764" s="71">
        <v>0</v>
      </c>
    </row>
    <row r="3765" spans="1:10">
      <c r="A3765" s="85" t="s">
        <v>108</v>
      </c>
      <c r="B3765" s="85" t="s">
        <v>35</v>
      </c>
      <c r="C3765" s="156">
        <v>0.73819444444444404</v>
      </c>
      <c r="D3765" s="71">
        <v>0</v>
      </c>
      <c r="E3765" s="71">
        <v>0</v>
      </c>
      <c r="F3765" s="71">
        <v>0</v>
      </c>
      <c r="G3765" s="71">
        <v>0</v>
      </c>
      <c r="H3765" s="71">
        <v>0</v>
      </c>
      <c r="I3765" s="71">
        <v>0</v>
      </c>
      <c r="J3765" s="71">
        <v>0</v>
      </c>
    </row>
    <row r="3766" spans="1:10" s="78" customFormat="1">
      <c r="A3766" s="88" t="s">
        <v>108</v>
      </c>
      <c r="B3766" s="88" t="s">
        <v>35</v>
      </c>
      <c r="C3766" s="158">
        <v>0.73888888888888904</v>
      </c>
      <c r="D3766" s="160">
        <v>0</v>
      </c>
      <c r="E3766" s="160">
        <v>0</v>
      </c>
      <c r="F3766" s="160">
        <v>0</v>
      </c>
      <c r="G3766" s="160">
        <v>0</v>
      </c>
      <c r="H3766" s="160">
        <v>0</v>
      </c>
      <c r="I3766" s="160">
        <v>0</v>
      </c>
      <c r="J3766" s="160">
        <v>0</v>
      </c>
    </row>
    <row r="3767" spans="1:10">
      <c r="A3767" s="85" t="s">
        <v>108</v>
      </c>
      <c r="B3767" s="85" t="s">
        <v>35</v>
      </c>
      <c r="C3767" s="156">
        <v>0.73958333333333304</v>
      </c>
      <c r="D3767" s="161">
        <v>0</v>
      </c>
      <c r="E3767" s="161">
        <v>0</v>
      </c>
      <c r="F3767" s="161">
        <v>0</v>
      </c>
      <c r="G3767" s="161">
        <v>0</v>
      </c>
      <c r="H3767" s="161">
        <v>0</v>
      </c>
      <c r="I3767" s="161">
        <v>0</v>
      </c>
      <c r="J3767" s="161">
        <v>0</v>
      </c>
    </row>
    <row r="3768" spans="1:10">
      <c r="A3768" s="85" t="s">
        <v>108</v>
      </c>
      <c r="B3768" s="85" t="s">
        <v>35</v>
      </c>
      <c r="C3768" s="156">
        <v>0.74027777777777803</v>
      </c>
      <c r="D3768" s="71">
        <v>0</v>
      </c>
      <c r="E3768" s="71">
        <v>0</v>
      </c>
      <c r="F3768" s="71">
        <v>0</v>
      </c>
      <c r="G3768" s="71">
        <v>0</v>
      </c>
      <c r="H3768" s="71">
        <v>0</v>
      </c>
      <c r="I3768" s="71">
        <v>0</v>
      </c>
      <c r="J3768" s="71">
        <v>0</v>
      </c>
    </row>
    <row r="3769" spans="1:10">
      <c r="A3769" s="85" t="s">
        <v>108</v>
      </c>
      <c r="B3769" s="85" t="s">
        <v>35</v>
      </c>
      <c r="C3769" s="156">
        <v>0.74097222222222203</v>
      </c>
      <c r="D3769" s="71">
        <v>0</v>
      </c>
      <c r="E3769" s="71">
        <v>0</v>
      </c>
      <c r="F3769" s="71">
        <v>0</v>
      </c>
      <c r="G3769" s="71">
        <v>0</v>
      </c>
      <c r="H3769" s="71">
        <v>0</v>
      </c>
      <c r="I3769" s="71">
        <v>0</v>
      </c>
      <c r="J3769" s="71">
        <v>0</v>
      </c>
    </row>
    <row r="3770" spans="1:10">
      <c r="A3770" s="85" t="s">
        <v>108</v>
      </c>
      <c r="B3770" s="85" t="s">
        <v>35</v>
      </c>
      <c r="C3770" s="156">
        <v>0.74166666666666703</v>
      </c>
      <c r="D3770" s="71">
        <v>0</v>
      </c>
      <c r="E3770" s="71">
        <v>0</v>
      </c>
      <c r="F3770" s="71">
        <v>0</v>
      </c>
      <c r="G3770" s="71">
        <v>0</v>
      </c>
      <c r="H3770" s="71">
        <v>0</v>
      </c>
      <c r="I3770" s="71">
        <v>0</v>
      </c>
      <c r="J3770" s="71">
        <v>0</v>
      </c>
    </row>
    <row r="3771" spans="1:10">
      <c r="A3771" s="85" t="s">
        <v>108</v>
      </c>
      <c r="B3771" s="85" t="s">
        <v>35</v>
      </c>
      <c r="C3771" s="156">
        <v>0.74236111111111103</v>
      </c>
      <c r="D3771" s="71">
        <v>0</v>
      </c>
      <c r="E3771" s="71">
        <v>0</v>
      </c>
      <c r="F3771" s="71">
        <v>0</v>
      </c>
      <c r="G3771" s="71">
        <v>0</v>
      </c>
      <c r="H3771" s="71">
        <v>0</v>
      </c>
      <c r="I3771" s="71">
        <v>0</v>
      </c>
      <c r="J3771" s="71">
        <v>0</v>
      </c>
    </row>
    <row r="3772" spans="1:10">
      <c r="A3772" s="85" t="s">
        <v>108</v>
      </c>
      <c r="B3772" s="85" t="s">
        <v>35</v>
      </c>
      <c r="C3772" s="156">
        <v>0.74305555555555503</v>
      </c>
      <c r="D3772" s="71">
        <v>0</v>
      </c>
      <c r="E3772" s="71">
        <v>0</v>
      </c>
      <c r="F3772" s="71">
        <v>0</v>
      </c>
      <c r="G3772" s="71">
        <v>0</v>
      </c>
      <c r="H3772" s="71">
        <v>0</v>
      </c>
      <c r="I3772" s="71">
        <v>0</v>
      </c>
      <c r="J3772" s="71">
        <v>0</v>
      </c>
    </row>
    <row r="3773" spans="1:10">
      <c r="A3773" s="85" t="s">
        <v>108</v>
      </c>
      <c r="B3773" s="85" t="s">
        <v>35</v>
      </c>
      <c r="C3773" s="156">
        <v>0.74375000000000002</v>
      </c>
      <c r="D3773" s="71">
        <v>0</v>
      </c>
      <c r="E3773" s="71">
        <v>0</v>
      </c>
      <c r="F3773" s="71">
        <v>0</v>
      </c>
      <c r="G3773" s="71">
        <v>0</v>
      </c>
      <c r="H3773" s="71">
        <v>0</v>
      </c>
      <c r="I3773" s="71">
        <v>0</v>
      </c>
      <c r="J3773" s="71">
        <v>0</v>
      </c>
    </row>
    <row r="3774" spans="1:10">
      <c r="A3774" s="85" t="s">
        <v>108</v>
      </c>
      <c r="B3774" s="85" t="s">
        <v>35</v>
      </c>
      <c r="C3774" s="156">
        <v>0.74444444444444402</v>
      </c>
      <c r="D3774" s="71">
        <v>0</v>
      </c>
      <c r="E3774" s="71">
        <v>0</v>
      </c>
      <c r="F3774" s="71">
        <v>0</v>
      </c>
      <c r="G3774" s="71">
        <v>0</v>
      </c>
      <c r="H3774" s="71">
        <v>0</v>
      </c>
      <c r="I3774" s="71">
        <v>0</v>
      </c>
      <c r="J3774" s="71">
        <v>0</v>
      </c>
    </row>
    <row r="3775" spans="1:10">
      <c r="A3775" s="85" t="s">
        <v>108</v>
      </c>
      <c r="B3775" s="85" t="s">
        <v>35</v>
      </c>
      <c r="C3775" s="156">
        <v>0.74513888888888902</v>
      </c>
      <c r="D3775" s="71">
        <v>0</v>
      </c>
      <c r="E3775" s="71">
        <v>0</v>
      </c>
      <c r="F3775" s="71">
        <v>0</v>
      </c>
      <c r="G3775" s="71">
        <v>0</v>
      </c>
      <c r="H3775" s="71">
        <v>0</v>
      </c>
      <c r="I3775" s="71">
        <v>0</v>
      </c>
      <c r="J3775" s="71">
        <v>0</v>
      </c>
    </row>
    <row r="3776" spans="1:10">
      <c r="A3776" s="85" t="s">
        <v>108</v>
      </c>
      <c r="B3776" s="85" t="s">
        <v>35</v>
      </c>
      <c r="C3776" s="156">
        <v>0.74583333333333302</v>
      </c>
      <c r="D3776" s="71">
        <v>0</v>
      </c>
      <c r="E3776" s="71">
        <v>0</v>
      </c>
      <c r="F3776" s="71">
        <v>0</v>
      </c>
      <c r="G3776" s="71">
        <v>0</v>
      </c>
      <c r="H3776" s="71">
        <v>0</v>
      </c>
      <c r="I3776" s="71">
        <v>0</v>
      </c>
      <c r="J3776" s="71">
        <v>0</v>
      </c>
    </row>
    <row r="3777" spans="1:10">
      <c r="A3777" s="85" t="s">
        <v>108</v>
      </c>
      <c r="B3777" s="85" t="s">
        <v>35</v>
      </c>
      <c r="C3777" s="156">
        <v>0.74652777777777801</v>
      </c>
      <c r="D3777" s="71">
        <v>0</v>
      </c>
      <c r="E3777" s="71">
        <v>0</v>
      </c>
      <c r="F3777" s="71">
        <v>0</v>
      </c>
      <c r="G3777" s="71">
        <v>0</v>
      </c>
      <c r="H3777" s="71">
        <v>0</v>
      </c>
      <c r="I3777" s="71">
        <v>0</v>
      </c>
      <c r="J3777" s="71">
        <v>0</v>
      </c>
    </row>
    <row r="3778" spans="1:10">
      <c r="A3778" s="85" t="s">
        <v>108</v>
      </c>
      <c r="B3778" s="85" t="s">
        <v>35</v>
      </c>
      <c r="C3778" s="156">
        <v>0.74722222222222201</v>
      </c>
      <c r="D3778" s="71">
        <v>0</v>
      </c>
      <c r="E3778" s="71">
        <v>0</v>
      </c>
      <c r="F3778" s="71">
        <v>0</v>
      </c>
      <c r="G3778" s="71">
        <v>0</v>
      </c>
      <c r="H3778" s="71">
        <v>0</v>
      </c>
      <c r="I3778" s="71">
        <v>0</v>
      </c>
      <c r="J3778" s="71">
        <v>0</v>
      </c>
    </row>
    <row r="3779" spans="1:10">
      <c r="A3779" s="85" t="s">
        <v>108</v>
      </c>
      <c r="B3779" s="85" t="s">
        <v>35</v>
      </c>
      <c r="C3779" s="156">
        <v>0.74791666666666701</v>
      </c>
      <c r="D3779" s="71">
        <v>0</v>
      </c>
      <c r="E3779" s="71">
        <v>0</v>
      </c>
      <c r="F3779" s="71">
        <v>0</v>
      </c>
      <c r="G3779" s="71">
        <v>0</v>
      </c>
      <c r="H3779" s="71">
        <v>0</v>
      </c>
      <c r="I3779" s="71">
        <v>0</v>
      </c>
      <c r="J3779" s="71">
        <v>0</v>
      </c>
    </row>
    <row r="3780" spans="1:10">
      <c r="A3780" s="85" t="s">
        <v>108</v>
      </c>
      <c r="B3780" s="85" t="s">
        <v>35</v>
      </c>
      <c r="C3780" s="156">
        <v>0.74861111111111101</v>
      </c>
      <c r="D3780" s="71">
        <v>0</v>
      </c>
      <c r="E3780" s="71">
        <v>0</v>
      </c>
      <c r="F3780" s="71">
        <v>0</v>
      </c>
      <c r="G3780" s="71">
        <v>0</v>
      </c>
      <c r="H3780" s="71">
        <v>0</v>
      </c>
      <c r="I3780" s="71">
        <v>0</v>
      </c>
      <c r="J3780" s="71">
        <v>0</v>
      </c>
    </row>
    <row r="3781" spans="1:10" s="78" customFormat="1">
      <c r="A3781" s="88" t="s">
        <v>108</v>
      </c>
      <c r="B3781" s="88" t="s">
        <v>35</v>
      </c>
      <c r="C3781" s="158">
        <v>0.749305555555555</v>
      </c>
      <c r="D3781" s="160">
        <v>0</v>
      </c>
      <c r="E3781" s="160">
        <v>0</v>
      </c>
      <c r="F3781" s="160">
        <v>0</v>
      </c>
      <c r="G3781" s="160">
        <v>0</v>
      </c>
      <c r="H3781" s="160">
        <v>0</v>
      </c>
      <c r="I3781" s="160">
        <v>0</v>
      </c>
      <c r="J3781" s="160">
        <v>0</v>
      </c>
    </row>
    <row r="3782" spans="1:10">
      <c r="A3782" s="85" t="s">
        <v>108</v>
      </c>
      <c r="B3782" s="85" t="s">
        <v>35</v>
      </c>
      <c r="C3782" s="156">
        <v>0.75</v>
      </c>
      <c r="D3782" s="161">
        <v>0</v>
      </c>
      <c r="E3782" s="161">
        <v>0</v>
      </c>
      <c r="F3782" s="161">
        <v>0</v>
      </c>
      <c r="G3782" s="161">
        <v>0</v>
      </c>
      <c r="H3782" s="161">
        <v>0</v>
      </c>
      <c r="I3782" s="161">
        <v>0</v>
      </c>
      <c r="J3782" s="161">
        <v>0</v>
      </c>
    </row>
    <row r="3783" spans="1:10">
      <c r="A3783" s="85" t="s">
        <v>108</v>
      </c>
      <c r="B3783" s="85" t="s">
        <v>35</v>
      </c>
      <c r="C3783" s="156">
        <v>0.750694444444444</v>
      </c>
      <c r="D3783" s="71">
        <v>0</v>
      </c>
      <c r="E3783" s="71">
        <v>0</v>
      </c>
      <c r="F3783" s="71">
        <v>0</v>
      </c>
      <c r="G3783" s="71">
        <v>0</v>
      </c>
      <c r="H3783" s="71">
        <v>0</v>
      </c>
      <c r="I3783" s="71">
        <v>0</v>
      </c>
      <c r="J3783" s="71">
        <v>0</v>
      </c>
    </row>
    <row r="3784" spans="1:10">
      <c r="A3784" s="85" t="s">
        <v>108</v>
      </c>
      <c r="B3784" s="85" t="s">
        <v>35</v>
      </c>
      <c r="C3784" s="156">
        <v>0.75138888888888899</v>
      </c>
      <c r="D3784" s="71">
        <v>0</v>
      </c>
      <c r="E3784" s="71">
        <v>0</v>
      </c>
      <c r="F3784" s="71">
        <v>0</v>
      </c>
      <c r="G3784" s="71">
        <v>0</v>
      </c>
      <c r="H3784" s="71">
        <v>0</v>
      </c>
      <c r="I3784" s="71">
        <v>0</v>
      </c>
      <c r="J3784" s="71">
        <v>0</v>
      </c>
    </row>
    <row r="3785" spans="1:10">
      <c r="A3785" s="85" t="s">
        <v>108</v>
      </c>
      <c r="B3785" s="85" t="s">
        <v>35</v>
      </c>
      <c r="C3785" s="156">
        <v>0.75208333333333299</v>
      </c>
      <c r="D3785" s="71">
        <v>0</v>
      </c>
      <c r="E3785" s="71">
        <v>0</v>
      </c>
      <c r="F3785" s="71">
        <v>0</v>
      </c>
      <c r="G3785" s="71">
        <v>0</v>
      </c>
      <c r="H3785" s="71">
        <v>0</v>
      </c>
      <c r="I3785" s="71">
        <v>0</v>
      </c>
      <c r="J3785" s="71">
        <v>0</v>
      </c>
    </row>
    <row r="3786" spans="1:10">
      <c r="A3786" s="85" t="s">
        <v>108</v>
      </c>
      <c r="B3786" s="85" t="s">
        <v>35</v>
      </c>
      <c r="C3786" s="156">
        <v>0.75277777777777799</v>
      </c>
      <c r="D3786" s="71">
        <v>0</v>
      </c>
      <c r="E3786" s="71">
        <v>0</v>
      </c>
      <c r="F3786" s="71">
        <v>0</v>
      </c>
      <c r="G3786" s="71">
        <v>0</v>
      </c>
      <c r="H3786" s="71">
        <v>0</v>
      </c>
      <c r="I3786" s="71">
        <v>0</v>
      </c>
      <c r="J3786" s="71">
        <v>0</v>
      </c>
    </row>
    <row r="3787" spans="1:10">
      <c r="A3787" s="85" t="s">
        <v>108</v>
      </c>
      <c r="B3787" s="85" t="s">
        <v>35</v>
      </c>
      <c r="C3787" s="156">
        <v>0.75347222222222199</v>
      </c>
      <c r="D3787" s="71">
        <v>0</v>
      </c>
      <c r="E3787" s="71">
        <v>0</v>
      </c>
      <c r="F3787" s="71">
        <v>0</v>
      </c>
      <c r="G3787" s="71">
        <v>0</v>
      </c>
      <c r="H3787" s="71">
        <v>0</v>
      </c>
      <c r="I3787" s="71">
        <v>0</v>
      </c>
      <c r="J3787" s="71">
        <v>0</v>
      </c>
    </row>
    <row r="3788" spans="1:10">
      <c r="A3788" s="85" t="s">
        <v>108</v>
      </c>
      <c r="B3788" s="85" t="s">
        <v>35</v>
      </c>
      <c r="C3788" s="156">
        <v>0.75416666666666698</v>
      </c>
      <c r="D3788" s="71">
        <v>0</v>
      </c>
      <c r="E3788" s="71">
        <v>0</v>
      </c>
      <c r="F3788" s="71">
        <v>0</v>
      </c>
      <c r="G3788" s="71">
        <v>0</v>
      </c>
      <c r="H3788" s="71">
        <v>0</v>
      </c>
      <c r="I3788" s="71">
        <v>0</v>
      </c>
      <c r="J3788" s="71">
        <v>0</v>
      </c>
    </row>
    <row r="3789" spans="1:10">
      <c r="A3789" s="85" t="s">
        <v>108</v>
      </c>
      <c r="B3789" s="85" t="s">
        <v>35</v>
      </c>
      <c r="C3789" s="156">
        <v>0.75486111111111098</v>
      </c>
      <c r="D3789" s="71">
        <v>0</v>
      </c>
      <c r="E3789" s="71">
        <v>0</v>
      </c>
      <c r="F3789" s="71">
        <v>0</v>
      </c>
      <c r="G3789" s="71">
        <v>0</v>
      </c>
      <c r="H3789" s="71">
        <v>0</v>
      </c>
      <c r="I3789" s="71">
        <v>0</v>
      </c>
      <c r="J3789" s="71">
        <v>0</v>
      </c>
    </row>
    <row r="3790" spans="1:10">
      <c r="A3790" s="85" t="s">
        <v>108</v>
      </c>
      <c r="B3790" s="85" t="s">
        <v>35</v>
      </c>
      <c r="C3790" s="156">
        <v>0.75555555555555498</v>
      </c>
      <c r="D3790" s="71">
        <v>0</v>
      </c>
      <c r="E3790" s="71">
        <v>0</v>
      </c>
      <c r="F3790" s="71">
        <v>0</v>
      </c>
      <c r="G3790" s="71">
        <v>0</v>
      </c>
      <c r="H3790" s="71">
        <v>0</v>
      </c>
      <c r="I3790" s="71">
        <v>0</v>
      </c>
      <c r="J3790" s="71">
        <v>0</v>
      </c>
    </row>
    <row r="3791" spans="1:10">
      <c r="A3791" s="85" t="s">
        <v>108</v>
      </c>
      <c r="B3791" s="85" t="s">
        <v>35</v>
      </c>
      <c r="C3791" s="156">
        <v>0.75624999999999998</v>
      </c>
      <c r="D3791" s="71">
        <v>0</v>
      </c>
      <c r="E3791" s="71">
        <v>0</v>
      </c>
      <c r="F3791" s="71">
        <v>0</v>
      </c>
      <c r="G3791" s="71">
        <v>0</v>
      </c>
      <c r="H3791" s="71">
        <v>0</v>
      </c>
      <c r="I3791" s="71">
        <v>0</v>
      </c>
      <c r="J3791" s="71">
        <v>0</v>
      </c>
    </row>
    <row r="3792" spans="1:10">
      <c r="A3792" s="85" t="s">
        <v>108</v>
      </c>
      <c r="B3792" s="85" t="s">
        <v>35</v>
      </c>
      <c r="C3792" s="156">
        <v>0.75694444444444398</v>
      </c>
      <c r="D3792" s="71">
        <v>0</v>
      </c>
      <c r="E3792" s="71">
        <v>0</v>
      </c>
      <c r="F3792" s="71">
        <v>0</v>
      </c>
      <c r="G3792" s="71">
        <v>0</v>
      </c>
      <c r="H3792" s="71">
        <v>0</v>
      </c>
      <c r="I3792" s="71">
        <v>0</v>
      </c>
      <c r="J3792" s="71">
        <v>0</v>
      </c>
    </row>
    <row r="3793" spans="1:10">
      <c r="A3793" s="85" t="s">
        <v>108</v>
      </c>
      <c r="B3793" s="85" t="s">
        <v>35</v>
      </c>
      <c r="C3793" s="156">
        <v>0.75763888888888897</v>
      </c>
      <c r="D3793" s="71">
        <v>0</v>
      </c>
      <c r="E3793" s="71">
        <v>0</v>
      </c>
      <c r="F3793" s="71">
        <v>0</v>
      </c>
      <c r="G3793" s="71">
        <v>0</v>
      </c>
      <c r="H3793" s="71">
        <v>0</v>
      </c>
      <c r="I3793" s="71">
        <v>0</v>
      </c>
      <c r="J3793" s="71">
        <v>0</v>
      </c>
    </row>
    <row r="3794" spans="1:10">
      <c r="A3794" s="85" t="s">
        <v>108</v>
      </c>
      <c r="B3794" s="85" t="s">
        <v>35</v>
      </c>
      <c r="C3794" s="156">
        <v>0.75833333333333297</v>
      </c>
      <c r="D3794" s="71">
        <v>0</v>
      </c>
      <c r="E3794" s="71">
        <v>0</v>
      </c>
      <c r="F3794" s="71">
        <v>0</v>
      </c>
      <c r="G3794" s="71">
        <v>0</v>
      </c>
      <c r="H3794" s="71">
        <v>0</v>
      </c>
      <c r="I3794" s="71">
        <v>0</v>
      </c>
      <c r="J3794" s="71">
        <v>0</v>
      </c>
    </row>
    <row r="3795" spans="1:10">
      <c r="A3795" s="85" t="s">
        <v>108</v>
      </c>
      <c r="B3795" s="85" t="s">
        <v>35</v>
      </c>
      <c r="C3795" s="156">
        <v>0.75902777777777797</v>
      </c>
      <c r="D3795" s="71">
        <v>0</v>
      </c>
      <c r="E3795" s="71">
        <v>0</v>
      </c>
      <c r="F3795" s="71">
        <v>0</v>
      </c>
      <c r="G3795" s="71">
        <v>0</v>
      </c>
      <c r="H3795" s="71">
        <v>0</v>
      </c>
      <c r="I3795" s="71">
        <v>0</v>
      </c>
      <c r="J3795" s="71">
        <v>0</v>
      </c>
    </row>
    <row r="3796" spans="1:10" s="78" customFormat="1">
      <c r="A3796" s="88" t="s">
        <v>108</v>
      </c>
      <c r="B3796" s="88" t="s">
        <v>35</v>
      </c>
      <c r="C3796" s="158">
        <v>0.75972222222222197</v>
      </c>
      <c r="D3796" s="160">
        <v>0</v>
      </c>
      <c r="E3796" s="160">
        <v>0</v>
      </c>
      <c r="F3796" s="160">
        <v>0</v>
      </c>
      <c r="G3796" s="160">
        <v>0</v>
      </c>
      <c r="H3796" s="160">
        <v>0</v>
      </c>
      <c r="I3796" s="160">
        <v>0</v>
      </c>
      <c r="J3796" s="160">
        <v>0</v>
      </c>
    </row>
    <row r="3797" spans="1:10">
      <c r="A3797" s="85" t="s">
        <v>108</v>
      </c>
      <c r="B3797" s="85" t="s">
        <v>35</v>
      </c>
      <c r="C3797" s="156">
        <v>0.76041666666666696</v>
      </c>
      <c r="D3797" s="161">
        <v>0</v>
      </c>
      <c r="E3797" s="161">
        <v>0</v>
      </c>
      <c r="F3797" s="161">
        <v>0</v>
      </c>
      <c r="G3797" s="161">
        <v>0</v>
      </c>
      <c r="H3797" s="161">
        <v>0</v>
      </c>
      <c r="I3797" s="161">
        <v>0</v>
      </c>
      <c r="J3797" s="161">
        <v>0</v>
      </c>
    </row>
    <row r="3798" spans="1:10">
      <c r="A3798" s="85" t="s">
        <v>108</v>
      </c>
      <c r="B3798" s="85" t="s">
        <v>35</v>
      </c>
      <c r="C3798" s="156">
        <v>0.76111111111111096</v>
      </c>
      <c r="D3798" s="71">
        <v>0</v>
      </c>
      <c r="E3798" s="71">
        <v>0</v>
      </c>
      <c r="F3798" s="71">
        <v>0</v>
      </c>
      <c r="G3798" s="71">
        <v>0</v>
      </c>
      <c r="H3798" s="71">
        <v>0</v>
      </c>
      <c r="I3798" s="71">
        <v>0</v>
      </c>
      <c r="J3798" s="71">
        <v>0</v>
      </c>
    </row>
    <row r="3799" spans="1:10">
      <c r="A3799" s="85" t="s">
        <v>108</v>
      </c>
      <c r="B3799" s="85" t="s">
        <v>35</v>
      </c>
      <c r="C3799" s="156">
        <v>0.76180555555555496</v>
      </c>
      <c r="D3799" s="71">
        <v>0</v>
      </c>
      <c r="E3799" s="71">
        <v>0</v>
      </c>
      <c r="F3799" s="71">
        <v>0</v>
      </c>
      <c r="G3799" s="71">
        <v>0</v>
      </c>
      <c r="H3799" s="71">
        <v>0</v>
      </c>
      <c r="I3799" s="71">
        <v>0</v>
      </c>
      <c r="J3799" s="71">
        <v>0</v>
      </c>
    </row>
    <row r="3800" spans="1:10">
      <c r="A3800" s="85" t="s">
        <v>108</v>
      </c>
      <c r="B3800" s="85" t="s">
        <v>35</v>
      </c>
      <c r="C3800" s="156">
        <v>0.76249999999999996</v>
      </c>
      <c r="D3800" s="71">
        <v>0</v>
      </c>
      <c r="E3800" s="71">
        <v>0</v>
      </c>
      <c r="F3800" s="71">
        <v>0</v>
      </c>
      <c r="G3800" s="71">
        <v>0</v>
      </c>
      <c r="H3800" s="71">
        <v>0</v>
      </c>
      <c r="I3800" s="71">
        <v>0</v>
      </c>
      <c r="J3800" s="71">
        <v>0</v>
      </c>
    </row>
    <row r="3801" spans="1:10">
      <c r="A3801" s="85" t="s">
        <v>108</v>
      </c>
      <c r="B3801" s="85" t="s">
        <v>35</v>
      </c>
      <c r="C3801" s="156">
        <v>0.76319444444444395</v>
      </c>
      <c r="D3801" s="71">
        <v>0</v>
      </c>
      <c r="E3801" s="71">
        <v>0</v>
      </c>
      <c r="F3801" s="71">
        <v>0</v>
      </c>
      <c r="G3801" s="71">
        <v>0</v>
      </c>
      <c r="H3801" s="71">
        <v>0</v>
      </c>
      <c r="I3801" s="71">
        <v>0</v>
      </c>
      <c r="J3801" s="71">
        <v>0</v>
      </c>
    </row>
    <row r="3802" spans="1:10">
      <c r="A3802" s="85" t="s">
        <v>108</v>
      </c>
      <c r="B3802" s="85" t="s">
        <v>35</v>
      </c>
      <c r="C3802" s="156">
        <v>0.76388888888888895</v>
      </c>
      <c r="D3802" s="71">
        <v>0</v>
      </c>
      <c r="E3802" s="71">
        <v>0</v>
      </c>
      <c r="F3802" s="71">
        <v>0</v>
      </c>
      <c r="G3802" s="71">
        <v>0</v>
      </c>
      <c r="H3802" s="71">
        <v>0</v>
      </c>
      <c r="I3802" s="71">
        <v>0</v>
      </c>
      <c r="J3802" s="71">
        <v>0</v>
      </c>
    </row>
    <row r="3803" spans="1:10">
      <c r="A3803" s="85" t="s">
        <v>108</v>
      </c>
      <c r="B3803" s="85" t="s">
        <v>35</v>
      </c>
      <c r="C3803" s="156">
        <v>0.76458333333333295</v>
      </c>
      <c r="D3803" s="71">
        <v>0</v>
      </c>
      <c r="E3803" s="71">
        <v>0</v>
      </c>
      <c r="F3803" s="71">
        <v>0</v>
      </c>
      <c r="G3803" s="71">
        <v>0</v>
      </c>
      <c r="H3803" s="71">
        <v>0</v>
      </c>
      <c r="I3803" s="71">
        <v>0</v>
      </c>
      <c r="J3803" s="71">
        <v>0</v>
      </c>
    </row>
    <row r="3804" spans="1:10">
      <c r="A3804" s="85" t="s">
        <v>108</v>
      </c>
      <c r="B3804" s="85" t="s">
        <v>35</v>
      </c>
      <c r="C3804" s="156">
        <v>0.76527777777777795</v>
      </c>
      <c r="D3804" s="71">
        <v>0</v>
      </c>
      <c r="E3804" s="71">
        <v>0</v>
      </c>
      <c r="F3804" s="71">
        <v>0</v>
      </c>
      <c r="G3804" s="71">
        <v>0</v>
      </c>
      <c r="H3804" s="71">
        <v>0</v>
      </c>
      <c r="I3804" s="71">
        <v>0</v>
      </c>
      <c r="J3804" s="71">
        <v>0</v>
      </c>
    </row>
    <row r="3805" spans="1:10">
      <c r="A3805" s="85" t="s">
        <v>108</v>
      </c>
      <c r="B3805" s="85" t="s">
        <v>35</v>
      </c>
      <c r="C3805" s="156">
        <v>0.76597222222222205</v>
      </c>
      <c r="D3805" s="71">
        <v>0</v>
      </c>
      <c r="E3805" s="71">
        <v>0</v>
      </c>
      <c r="F3805" s="71">
        <v>0</v>
      </c>
      <c r="G3805" s="71">
        <v>0</v>
      </c>
      <c r="H3805" s="71">
        <v>0</v>
      </c>
      <c r="I3805" s="71">
        <v>0</v>
      </c>
      <c r="J3805" s="71">
        <v>0</v>
      </c>
    </row>
    <row r="3806" spans="1:10">
      <c r="A3806" s="85" t="s">
        <v>108</v>
      </c>
      <c r="B3806" s="85" t="s">
        <v>35</v>
      </c>
      <c r="C3806" s="156">
        <v>0.76666666666666605</v>
      </c>
      <c r="D3806" s="71">
        <v>0</v>
      </c>
      <c r="E3806" s="71">
        <v>0</v>
      </c>
      <c r="F3806" s="71">
        <v>0</v>
      </c>
      <c r="G3806" s="71">
        <v>0</v>
      </c>
      <c r="H3806" s="71">
        <v>0</v>
      </c>
      <c r="I3806" s="71">
        <v>0</v>
      </c>
      <c r="J3806" s="71">
        <v>0</v>
      </c>
    </row>
    <row r="3807" spans="1:10">
      <c r="A3807" s="85" t="s">
        <v>108</v>
      </c>
      <c r="B3807" s="85" t="s">
        <v>35</v>
      </c>
      <c r="C3807" s="156">
        <v>0.76736111111111105</v>
      </c>
      <c r="D3807" s="71">
        <v>0</v>
      </c>
      <c r="E3807" s="71">
        <v>0</v>
      </c>
      <c r="F3807" s="71">
        <v>0</v>
      </c>
      <c r="G3807" s="71">
        <v>0</v>
      </c>
      <c r="H3807" s="71">
        <v>0</v>
      </c>
      <c r="I3807" s="71">
        <v>0</v>
      </c>
      <c r="J3807" s="71">
        <v>0</v>
      </c>
    </row>
    <row r="3808" spans="1:10">
      <c r="A3808" s="85" t="s">
        <v>108</v>
      </c>
      <c r="B3808" s="85" t="s">
        <v>35</v>
      </c>
      <c r="C3808" s="156">
        <v>0.76805555555555505</v>
      </c>
      <c r="D3808" s="71">
        <v>0</v>
      </c>
      <c r="E3808" s="71">
        <v>0</v>
      </c>
      <c r="F3808" s="71">
        <v>0</v>
      </c>
      <c r="G3808" s="71">
        <v>0</v>
      </c>
      <c r="H3808" s="71">
        <v>0</v>
      </c>
      <c r="I3808" s="71">
        <v>0</v>
      </c>
      <c r="J3808" s="71">
        <v>0</v>
      </c>
    </row>
    <row r="3809" spans="1:10">
      <c r="A3809" s="85" t="s">
        <v>108</v>
      </c>
      <c r="B3809" s="85" t="s">
        <v>35</v>
      </c>
      <c r="C3809" s="156">
        <v>0.76875000000000004</v>
      </c>
      <c r="D3809" s="71">
        <v>0</v>
      </c>
      <c r="E3809" s="71">
        <v>0</v>
      </c>
      <c r="F3809" s="71">
        <v>0</v>
      </c>
      <c r="G3809" s="71">
        <v>0</v>
      </c>
      <c r="H3809" s="71">
        <v>0</v>
      </c>
      <c r="I3809" s="71">
        <v>0</v>
      </c>
      <c r="J3809" s="71">
        <v>0</v>
      </c>
    </row>
    <row r="3810" spans="1:10">
      <c r="A3810" s="85" t="s">
        <v>108</v>
      </c>
      <c r="B3810" s="85" t="s">
        <v>35</v>
      </c>
      <c r="C3810" s="156">
        <v>0.76944444444444404</v>
      </c>
      <c r="D3810" s="71">
        <v>0</v>
      </c>
      <c r="E3810" s="71">
        <v>0</v>
      </c>
      <c r="F3810" s="71">
        <v>0</v>
      </c>
      <c r="G3810" s="71">
        <v>0</v>
      </c>
      <c r="H3810" s="71">
        <v>0</v>
      </c>
      <c r="I3810" s="71">
        <v>0</v>
      </c>
      <c r="J3810" s="71">
        <v>0</v>
      </c>
    </row>
    <row r="3811" spans="1:10" s="78" customFormat="1">
      <c r="A3811" s="88" t="s">
        <v>108</v>
      </c>
      <c r="B3811" s="88" t="s">
        <v>35</v>
      </c>
      <c r="C3811" s="158">
        <v>0.77013888888888904</v>
      </c>
      <c r="D3811" s="160">
        <v>0</v>
      </c>
      <c r="E3811" s="160">
        <v>0</v>
      </c>
      <c r="F3811" s="160">
        <v>0</v>
      </c>
      <c r="G3811" s="160">
        <v>0</v>
      </c>
      <c r="H3811" s="160">
        <v>0</v>
      </c>
      <c r="I3811" s="160">
        <v>0</v>
      </c>
      <c r="J3811" s="160">
        <v>0</v>
      </c>
    </row>
    <row r="3812" spans="1:10">
      <c r="A3812" s="85" t="s">
        <v>108</v>
      </c>
      <c r="B3812" s="85" t="s">
        <v>35</v>
      </c>
      <c r="C3812" s="156">
        <v>0.77083333333333304</v>
      </c>
      <c r="D3812" s="161">
        <v>0</v>
      </c>
      <c r="E3812" s="161">
        <v>0</v>
      </c>
      <c r="F3812" s="161">
        <v>0</v>
      </c>
      <c r="G3812" s="161">
        <v>0</v>
      </c>
      <c r="H3812" s="161">
        <v>0</v>
      </c>
      <c r="I3812" s="161">
        <v>0</v>
      </c>
      <c r="J3812" s="161">
        <v>0</v>
      </c>
    </row>
    <row r="3813" spans="1:10">
      <c r="A3813" s="85" t="s">
        <v>108</v>
      </c>
      <c r="B3813" s="85" t="s">
        <v>35</v>
      </c>
      <c r="C3813" s="156">
        <v>0.77152777777777803</v>
      </c>
      <c r="D3813" s="71">
        <v>0</v>
      </c>
      <c r="E3813" s="71">
        <v>0</v>
      </c>
      <c r="F3813" s="71">
        <v>0</v>
      </c>
      <c r="G3813" s="71">
        <v>0</v>
      </c>
      <c r="H3813" s="71">
        <v>0</v>
      </c>
      <c r="I3813" s="71">
        <v>0</v>
      </c>
      <c r="J3813" s="71">
        <v>0</v>
      </c>
    </row>
    <row r="3814" spans="1:10">
      <c r="A3814" s="85" t="s">
        <v>108</v>
      </c>
      <c r="B3814" s="85" t="s">
        <v>35</v>
      </c>
      <c r="C3814" s="156">
        <v>0.77222222222222203</v>
      </c>
      <c r="D3814" s="71">
        <v>0</v>
      </c>
      <c r="E3814" s="71">
        <v>0</v>
      </c>
      <c r="F3814" s="71">
        <v>0</v>
      </c>
      <c r="G3814" s="71">
        <v>0</v>
      </c>
      <c r="H3814" s="71">
        <v>0</v>
      </c>
      <c r="I3814" s="71">
        <v>0</v>
      </c>
      <c r="J3814" s="71">
        <v>0</v>
      </c>
    </row>
    <row r="3815" spans="1:10">
      <c r="A3815" s="85" t="s">
        <v>108</v>
      </c>
      <c r="B3815" s="85" t="s">
        <v>35</v>
      </c>
      <c r="C3815" s="156">
        <v>0.77291666666666603</v>
      </c>
      <c r="D3815" s="71">
        <v>0</v>
      </c>
      <c r="E3815" s="71">
        <v>0</v>
      </c>
      <c r="F3815" s="71">
        <v>0</v>
      </c>
      <c r="G3815" s="71">
        <v>0</v>
      </c>
      <c r="H3815" s="71">
        <v>0</v>
      </c>
      <c r="I3815" s="71">
        <v>0</v>
      </c>
      <c r="J3815" s="71">
        <v>0</v>
      </c>
    </row>
    <row r="3816" spans="1:10">
      <c r="A3816" s="85" t="s">
        <v>108</v>
      </c>
      <c r="B3816" s="85" t="s">
        <v>35</v>
      </c>
      <c r="C3816" s="156">
        <v>0.77361111111111103</v>
      </c>
      <c r="D3816" s="71">
        <v>0</v>
      </c>
      <c r="E3816" s="71">
        <v>0</v>
      </c>
      <c r="F3816" s="71">
        <v>0</v>
      </c>
      <c r="G3816" s="71">
        <v>0</v>
      </c>
      <c r="H3816" s="71">
        <v>0</v>
      </c>
      <c r="I3816" s="71">
        <v>0</v>
      </c>
      <c r="J3816" s="71">
        <v>0</v>
      </c>
    </row>
    <row r="3817" spans="1:10">
      <c r="A3817" s="85" t="s">
        <v>108</v>
      </c>
      <c r="B3817" s="85" t="s">
        <v>35</v>
      </c>
      <c r="C3817" s="156">
        <v>0.77430555555555503</v>
      </c>
      <c r="D3817" s="71">
        <v>0</v>
      </c>
      <c r="E3817" s="71">
        <v>0</v>
      </c>
      <c r="F3817" s="71">
        <v>0</v>
      </c>
      <c r="G3817" s="71">
        <v>0</v>
      </c>
      <c r="H3817" s="71">
        <v>0</v>
      </c>
      <c r="I3817" s="71">
        <v>0</v>
      </c>
      <c r="J3817" s="71">
        <v>0</v>
      </c>
    </row>
    <row r="3818" spans="1:10">
      <c r="A3818" s="85" t="s">
        <v>108</v>
      </c>
      <c r="B3818" s="85" t="s">
        <v>35</v>
      </c>
      <c r="C3818" s="156">
        <v>0.77500000000000002</v>
      </c>
      <c r="D3818" s="71">
        <v>0</v>
      </c>
      <c r="E3818" s="71">
        <v>0</v>
      </c>
      <c r="F3818" s="71">
        <v>0</v>
      </c>
      <c r="G3818" s="71">
        <v>0</v>
      </c>
      <c r="H3818" s="71">
        <v>0</v>
      </c>
      <c r="I3818" s="71">
        <v>0</v>
      </c>
      <c r="J3818" s="71">
        <v>0</v>
      </c>
    </row>
    <row r="3819" spans="1:10">
      <c r="A3819" s="85" t="s">
        <v>108</v>
      </c>
      <c r="B3819" s="85" t="s">
        <v>35</v>
      </c>
      <c r="C3819" s="156">
        <v>0.77569444444444402</v>
      </c>
      <c r="D3819" s="71">
        <v>0</v>
      </c>
      <c r="E3819" s="71">
        <v>0</v>
      </c>
      <c r="F3819" s="71">
        <v>0</v>
      </c>
      <c r="G3819" s="71">
        <v>0</v>
      </c>
      <c r="H3819" s="71">
        <v>0</v>
      </c>
      <c r="I3819" s="71">
        <v>0</v>
      </c>
      <c r="J3819" s="71">
        <v>0</v>
      </c>
    </row>
    <row r="3820" spans="1:10">
      <c r="A3820" s="85" t="s">
        <v>108</v>
      </c>
      <c r="B3820" s="85" t="s">
        <v>35</v>
      </c>
      <c r="C3820" s="156">
        <v>0.77638888888888902</v>
      </c>
      <c r="D3820" s="71">
        <v>0</v>
      </c>
      <c r="E3820" s="71">
        <v>0</v>
      </c>
      <c r="F3820" s="71">
        <v>0</v>
      </c>
      <c r="G3820" s="71">
        <v>0</v>
      </c>
      <c r="H3820" s="71">
        <v>0</v>
      </c>
      <c r="I3820" s="71">
        <v>0</v>
      </c>
      <c r="J3820" s="71">
        <v>0</v>
      </c>
    </row>
    <row r="3821" spans="1:10">
      <c r="A3821" s="85" t="s">
        <v>108</v>
      </c>
      <c r="B3821" s="85" t="s">
        <v>35</v>
      </c>
      <c r="C3821" s="156">
        <v>0.77708333333333302</v>
      </c>
      <c r="D3821" s="71">
        <v>0</v>
      </c>
      <c r="E3821" s="71">
        <v>0</v>
      </c>
      <c r="F3821" s="71">
        <v>0</v>
      </c>
      <c r="G3821" s="71">
        <v>0</v>
      </c>
      <c r="H3821" s="71">
        <v>0</v>
      </c>
      <c r="I3821" s="71">
        <v>0</v>
      </c>
      <c r="J3821" s="71">
        <v>0</v>
      </c>
    </row>
    <row r="3822" spans="1:10">
      <c r="A3822" s="85" t="s">
        <v>108</v>
      </c>
      <c r="B3822" s="85" t="s">
        <v>35</v>
      </c>
      <c r="C3822" s="156">
        <v>0.77777777777777801</v>
      </c>
      <c r="D3822" s="71">
        <v>0</v>
      </c>
      <c r="E3822" s="71">
        <v>0</v>
      </c>
      <c r="F3822" s="71">
        <v>0</v>
      </c>
      <c r="G3822" s="71">
        <v>0</v>
      </c>
      <c r="H3822" s="71">
        <v>0</v>
      </c>
      <c r="I3822" s="71">
        <v>0</v>
      </c>
      <c r="J3822" s="71">
        <v>0</v>
      </c>
    </row>
    <row r="3823" spans="1:10">
      <c r="A3823" s="85" t="s">
        <v>108</v>
      </c>
      <c r="B3823" s="85" t="s">
        <v>35</v>
      </c>
      <c r="C3823" s="156">
        <v>0.77847222222222201</v>
      </c>
      <c r="D3823" s="71">
        <v>0</v>
      </c>
      <c r="E3823" s="71">
        <v>0</v>
      </c>
      <c r="F3823" s="71">
        <v>0</v>
      </c>
      <c r="G3823" s="71">
        <v>0</v>
      </c>
      <c r="H3823" s="71">
        <v>0</v>
      </c>
      <c r="I3823" s="71">
        <v>0</v>
      </c>
      <c r="J3823" s="71">
        <v>0</v>
      </c>
    </row>
    <row r="3824" spans="1:10">
      <c r="A3824" s="85" t="s">
        <v>108</v>
      </c>
      <c r="B3824" s="85" t="s">
        <v>35</v>
      </c>
      <c r="C3824" s="156">
        <v>0.77916666666666601</v>
      </c>
      <c r="D3824" s="71">
        <v>0</v>
      </c>
      <c r="E3824" s="71">
        <v>0</v>
      </c>
      <c r="F3824" s="71">
        <v>0</v>
      </c>
      <c r="G3824" s="71">
        <v>0</v>
      </c>
      <c r="H3824" s="71">
        <v>0</v>
      </c>
      <c r="I3824" s="71">
        <v>0</v>
      </c>
      <c r="J3824" s="71">
        <v>0</v>
      </c>
    </row>
    <row r="3825" spans="1:10">
      <c r="A3825" s="85" t="s">
        <v>108</v>
      </c>
      <c r="B3825" s="85" t="s">
        <v>35</v>
      </c>
      <c r="C3825" s="156">
        <v>0.77986111111111101</v>
      </c>
      <c r="D3825" s="71">
        <v>0</v>
      </c>
      <c r="E3825" s="71">
        <v>0</v>
      </c>
      <c r="F3825" s="71">
        <v>0</v>
      </c>
      <c r="G3825" s="71">
        <v>0</v>
      </c>
      <c r="H3825" s="71">
        <v>0</v>
      </c>
      <c r="I3825" s="71">
        <v>0</v>
      </c>
      <c r="J3825" s="71">
        <v>0</v>
      </c>
    </row>
    <row r="3826" spans="1:10" s="78" customFormat="1">
      <c r="A3826" s="88" t="s">
        <v>108</v>
      </c>
      <c r="B3826" s="88" t="s">
        <v>35</v>
      </c>
      <c r="C3826" s="158">
        <v>0.780555555555555</v>
      </c>
      <c r="D3826" s="160">
        <v>0</v>
      </c>
      <c r="E3826" s="160">
        <v>0</v>
      </c>
      <c r="F3826" s="160">
        <v>0</v>
      </c>
      <c r="G3826" s="160">
        <v>0</v>
      </c>
      <c r="H3826" s="160">
        <v>0</v>
      </c>
      <c r="I3826" s="160">
        <v>0</v>
      </c>
      <c r="J3826" s="160">
        <v>0</v>
      </c>
    </row>
    <row r="3827" spans="1:10">
      <c r="A3827" s="85" t="s">
        <v>108</v>
      </c>
      <c r="B3827" s="85" t="s">
        <v>35</v>
      </c>
      <c r="C3827" s="156">
        <v>0.78125</v>
      </c>
      <c r="D3827" s="161">
        <v>0</v>
      </c>
      <c r="E3827" s="161">
        <v>0</v>
      </c>
      <c r="F3827" s="161">
        <v>0</v>
      </c>
      <c r="G3827" s="161">
        <v>0</v>
      </c>
      <c r="H3827" s="161">
        <v>0</v>
      </c>
      <c r="I3827" s="161">
        <v>0</v>
      </c>
      <c r="J3827" s="161">
        <v>0</v>
      </c>
    </row>
    <row r="3828" spans="1:10">
      <c r="A3828" s="85" t="s">
        <v>108</v>
      </c>
      <c r="B3828" s="85" t="s">
        <v>35</v>
      </c>
      <c r="C3828" s="156">
        <v>0.781944444444444</v>
      </c>
      <c r="D3828" s="71">
        <v>0</v>
      </c>
      <c r="E3828" s="71">
        <v>0</v>
      </c>
      <c r="F3828" s="71">
        <v>0</v>
      </c>
      <c r="G3828" s="71">
        <v>0</v>
      </c>
      <c r="H3828" s="71">
        <v>0</v>
      </c>
      <c r="I3828" s="71">
        <v>0</v>
      </c>
      <c r="J3828" s="71">
        <v>0</v>
      </c>
    </row>
    <row r="3829" spans="1:10">
      <c r="A3829" s="85" t="s">
        <v>108</v>
      </c>
      <c r="B3829" s="85" t="s">
        <v>35</v>
      </c>
      <c r="C3829" s="156">
        <v>0.78263888888888899</v>
      </c>
      <c r="D3829" s="71">
        <v>0</v>
      </c>
      <c r="E3829" s="71">
        <v>0</v>
      </c>
      <c r="F3829" s="71">
        <v>0</v>
      </c>
      <c r="G3829" s="71">
        <v>0</v>
      </c>
      <c r="H3829" s="71">
        <v>0</v>
      </c>
      <c r="I3829" s="71">
        <v>0</v>
      </c>
      <c r="J3829" s="71">
        <v>0</v>
      </c>
    </row>
    <row r="3830" spans="1:10">
      <c r="A3830" s="85" t="s">
        <v>108</v>
      </c>
      <c r="B3830" s="85" t="s">
        <v>35</v>
      </c>
      <c r="C3830" s="156">
        <v>0.78333333333333299</v>
      </c>
      <c r="D3830" s="71">
        <v>0</v>
      </c>
      <c r="E3830" s="71">
        <v>0</v>
      </c>
      <c r="F3830" s="71">
        <v>0</v>
      </c>
      <c r="G3830" s="71">
        <v>0</v>
      </c>
      <c r="H3830" s="71">
        <v>0</v>
      </c>
      <c r="I3830" s="71">
        <v>0</v>
      </c>
      <c r="J3830" s="71">
        <v>0</v>
      </c>
    </row>
    <row r="3831" spans="1:10">
      <c r="A3831" s="85" t="s">
        <v>108</v>
      </c>
      <c r="B3831" s="85" t="s">
        <v>35</v>
      </c>
      <c r="C3831" s="156">
        <v>0.78402777777777799</v>
      </c>
      <c r="D3831" s="71">
        <v>0</v>
      </c>
      <c r="E3831" s="71">
        <v>0</v>
      </c>
      <c r="F3831" s="71">
        <v>0</v>
      </c>
      <c r="G3831" s="71">
        <v>0</v>
      </c>
      <c r="H3831" s="71">
        <v>0</v>
      </c>
      <c r="I3831" s="71">
        <v>0</v>
      </c>
      <c r="J3831" s="71">
        <v>0</v>
      </c>
    </row>
    <row r="3832" spans="1:10">
      <c r="A3832" s="85" t="s">
        <v>108</v>
      </c>
      <c r="B3832" s="85" t="s">
        <v>35</v>
      </c>
      <c r="C3832" s="156">
        <v>0.78472222222222199</v>
      </c>
      <c r="D3832" s="71">
        <v>0</v>
      </c>
      <c r="E3832" s="71">
        <v>0</v>
      </c>
      <c r="F3832" s="71">
        <v>0</v>
      </c>
      <c r="G3832" s="71">
        <v>0</v>
      </c>
      <c r="H3832" s="71">
        <v>0</v>
      </c>
      <c r="I3832" s="71">
        <v>0</v>
      </c>
      <c r="J3832" s="71">
        <v>0</v>
      </c>
    </row>
    <row r="3833" spans="1:10">
      <c r="A3833" s="85" t="s">
        <v>108</v>
      </c>
      <c r="B3833" s="85" t="s">
        <v>35</v>
      </c>
      <c r="C3833" s="156">
        <v>0.78541666666666599</v>
      </c>
      <c r="D3833" s="71">
        <v>0</v>
      </c>
      <c r="E3833" s="71">
        <v>0</v>
      </c>
      <c r="F3833" s="71">
        <v>0</v>
      </c>
      <c r="G3833" s="71">
        <v>0</v>
      </c>
      <c r="H3833" s="71">
        <v>0</v>
      </c>
      <c r="I3833" s="71">
        <v>0</v>
      </c>
      <c r="J3833" s="71">
        <v>0</v>
      </c>
    </row>
    <row r="3834" spans="1:10">
      <c r="A3834" s="85" t="s">
        <v>108</v>
      </c>
      <c r="B3834" s="85" t="s">
        <v>35</v>
      </c>
      <c r="C3834" s="156">
        <v>0.78611111111111098</v>
      </c>
      <c r="D3834" s="71">
        <v>0</v>
      </c>
      <c r="E3834" s="71">
        <v>0</v>
      </c>
      <c r="F3834" s="71">
        <v>0</v>
      </c>
      <c r="G3834" s="71">
        <v>0</v>
      </c>
      <c r="H3834" s="71">
        <v>0</v>
      </c>
      <c r="I3834" s="71">
        <v>0</v>
      </c>
      <c r="J3834" s="71">
        <v>0</v>
      </c>
    </row>
    <row r="3835" spans="1:10">
      <c r="A3835" s="85" t="s">
        <v>108</v>
      </c>
      <c r="B3835" s="85" t="s">
        <v>35</v>
      </c>
      <c r="C3835" s="156">
        <v>0.78680555555555498</v>
      </c>
      <c r="D3835" s="71">
        <v>0</v>
      </c>
      <c r="E3835" s="71">
        <v>0</v>
      </c>
      <c r="F3835" s="71">
        <v>0</v>
      </c>
      <c r="G3835" s="71">
        <v>0</v>
      </c>
      <c r="H3835" s="71">
        <v>0</v>
      </c>
      <c r="I3835" s="71">
        <v>0</v>
      </c>
      <c r="J3835" s="71">
        <v>0</v>
      </c>
    </row>
    <row r="3836" spans="1:10">
      <c r="A3836" s="85" t="s">
        <v>108</v>
      </c>
      <c r="B3836" s="85" t="s">
        <v>35</v>
      </c>
      <c r="C3836" s="156">
        <v>0.78749999999999998</v>
      </c>
      <c r="D3836" s="71">
        <v>0</v>
      </c>
      <c r="E3836" s="71">
        <v>0</v>
      </c>
      <c r="F3836" s="71">
        <v>0</v>
      </c>
      <c r="G3836" s="71">
        <v>0</v>
      </c>
      <c r="H3836" s="71">
        <v>0</v>
      </c>
      <c r="I3836" s="71">
        <v>0</v>
      </c>
      <c r="J3836" s="71">
        <v>0</v>
      </c>
    </row>
    <row r="3837" spans="1:10">
      <c r="A3837" s="85" t="s">
        <v>108</v>
      </c>
      <c r="B3837" s="85" t="s">
        <v>35</v>
      </c>
      <c r="C3837" s="156">
        <v>0.78819444444444398</v>
      </c>
      <c r="D3837" s="71">
        <v>0</v>
      </c>
      <c r="E3837" s="71">
        <v>0</v>
      </c>
      <c r="F3837" s="71">
        <v>0</v>
      </c>
      <c r="G3837" s="71">
        <v>0</v>
      </c>
      <c r="H3837" s="71">
        <v>0</v>
      </c>
      <c r="I3837" s="71">
        <v>0</v>
      </c>
      <c r="J3837" s="71">
        <v>0</v>
      </c>
    </row>
    <row r="3838" spans="1:10">
      <c r="A3838" s="85" t="s">
        <v>108</v>
      </c>
      <c r="B3838" s="85" t="s">
        <v>35</v>
      </c>
      <c r="C3838" s="156">
        <v>0.78888888888888897</v>
      </c>
      <c r="D3838" s="71">
        <v>0</v>
      </c>
      <c r="E3838" s="71">
        <v>0</v>
      </c>
      <c r="F3838" s="71">
        <v>0</v>
      </c>
      <c r="G3838" s="71">
        <v>0</v>
      </c>
      <c r="H3838" s="71">
        <v>0</v>
      </c>
      <c r="I3838" s="71">
        <v>0</v>
      </c>
      <c r="J3838" s="71">
        <v>0</v>
      </c>
    </row>
    <row r="3839" spans="1:10">
      <c r="A3839" s="85" t="s">
        <v>108</v>
      </c>
      <c r="B3839" s="85" t="s">
        <v>35</v>
      </c>
      <c r="C3839" s="156">
        <v>0.78958333333333297</v>
      </c>
      <c r="D3839" s="71">
        <v>0</v>
      </c>
      <c r="E3839" s="71">
        <v>0</v>
      </c>
      <c r="F3839" s="71">
        <v>0</v>
      </c>
      <c r="G3839" s="71">
        <v>0</v>
      </c>
      <c r="H3839" s="71">
        <v>0</v>
      </c>
      <c r="I3839" s="71">
        <v>0</v>
      </c>
      <c r="J3839" s="71">
        <v>0</v>
      </c>
    </row>
    <row r="3840" spans="1:10">
      <c r="A3840" s="85" t="s">
        <v>108</v>
      </c>
      <c r="B3840" s="85" t="s">
        <v>35</v>
      </c>
      <c r="C3840" s="156">
        <v>0.79027777777777797</v>
      </c>
      <c r="D3840" s="71">
        <v>0</v>
      </c>
      <c r="E3840" s="71">
        <v>0</v>
      </c>
      <c r="F3840" s="71">
        <v>0</v>
      </c>
      <c r="G3840" s="71">
        <v>0</v>
      </c>
      <c r="H3840" s="71">
        <v>0</v>
      </c>
      <c r="I3840" s="71">
        <v>0</v>
      </c>
      <c r="J3840" s="71">
        <v>0</v>
      </c>
    </row>
    <row r="3841" spans="1:10" s="28" customFormat="1" ht="17.5" thickBot="1">
      <c r="A3841" s="100" t="s">
        <v>108</v>
      </c>
      <c r="B3841" s="100" t="s">
        <v>35</v>
      </c>
      <c r="C3841" s="157">
        <v>0.83194444444444504</v>
      </c>
      <c r="D3841" s="162">
        <v>0</v>
      </c>
      <c r="E3841" s="162">
        <v>0</v>
      </c>
      <c r="F3841" s="162">
        <v>0</v>
      </c>
      <c r="G3841" s="162">
        <v>0</v>
      </c>
      <c r="H3841" s="162">
        <v>0</v>
      </c>
      <c r="I3841" s="162">
        <v>0</v>
      </c>
      <c r="J3841" s="162">
        <v>0</v>
      </c>
    </row>
    <row r="3842" spans="1:10">
      <c r="A3842" s="85" t="s">
        <v>108</v>
      </c>
      <c r="B3842" s="85" t="s">
        <v>36</v>
      </c>
      <c r="C3842" s="156">
        <v>0.70833333333333337</v>
      </c>
      <c r="D3842" s="159">
        <v>0</v>
      </c>
      <c r="E3842" s="159">
        <v>0</v>
      </c>
      <c r="F3842" s="159">
        <v>0</v>
      </c>
      <c r="G3842" s="159">
        <v>0</v>
      </c>
      <c r="H3842" s="159">
        <v>0</v>
      </c>
      <c r="I3842" s="159">
        <v>0</v>
      </c>
      <c r="J3842" s="159">
        <v>0</v>
      </c>
    </row>
    <row r="3843" spans="1:10">
      <c r="A3843" s="85" t="s">
        <v>108</v>
      </c>
      <c r="B3843" s="85" t="s">
        <v>36</v>
      </c>
      <c r="C3843" s="156">
        <v>0.70902777777777781</v>
      </c>
      <c r="D3843" s="71">
        <v>0</v>
      </c>
      <c r="E3843" s="71">
        <v>0</v>
      </c>
      <c r="F3843" s="71">
        <v>0</v>
      </c>
      <c r="G3843" s="71">
        <v>0</v>
      </c>
      <c r="H3843" s="71">
        <v>0</v>
      </c>
      <c r="I3843" s="71">
        <v>0</v>
      </c>
      <c r="J3843" s="71">
        <v>0</v>
      </c>
    </row>
    <row r="3844" spans="1:10">
      <c r="A3844" s="85" t="s">
        <v>108</v>
      </c>
      <c r="B3844" s="85" t="s">
        <v>36</v>
      </c>
      <c r="C3844" s="156">
        <v>0.70972222222222203</v>
      </c>
      <c r="D3844" s="71">
        <v>0</v>
      </c>
      <c r="E3844" s="71">
        <v>0</v>
      </c>
      <c r="F3844" s="71">
        <v>0</v>
      </c>
      <c r="G3844" s="71">
        <v>0</v>
      </c>
      <c r="H3844" s="71">
        <v>0</v>
      </c>
      <c r="I3844" s="71">
        <v>0</v>
      </c>
      <c r="J3844" s="71">
        <v>0</v>
      </c>
    </row>
    <row r="3845" spans="1:10">
      <c r="A3845" s="85" t="s">
        <v>108</v>
      </c>
      <c r="B3845" s="85" t="s">
        <v>36</v>
      </c>
      <c r="C3845" s="156">
        <v>0.71041666666666703</v>
      </c>
      <c r="D3845" s="71">
        <v>0</v>
      </c>
      <c r="E3845" s="71">
        <v>0</v>
      </c>
      <c r="F3845" s="71">
        <v>0</v>
      </c>
      <c r="G3845" s="71">
        <v>0</v>
      </c>
      <c r="H3845" s="71">
        <v>0</v>
      </c>
      <c r="I3845" s="71">
        <v>0</v>
      </c>
      <c r="J3845" s="71">
        <v>0</v>
      </c>
    </row>
    <row r="3846" spans="1:10">
      <c r="A3846" s="85" t="s">
        <v>108</v>
      </c>
      <c r="B3846" s="85" t="s">
        <v>36</v>
      </c>
      <c r="C3846" s="156">
        <v>0.71111111111111103</v>
      </c>
      <c r="D3846" s="71">
        <v>0</v>
      </c>
      <c r="E3846" s="71">
        <v>0</v>
      </c>
      <c r="F3846" s="71">
        <v>0</v>
      </c>
      <c r="G3846" s="71">
        <v>0</v>
      </c>
      <c r="H3846" s="71">
        <v>0</v>
      </c>
      <c r="I3846" s="71">
        <v>0</v>
      </c>
      <c r="J3846" s="71">
        <v>0</v>
      </c>
    </row>
    <row r="3847" spans="1:10">
      <c r="A3847" s="85" t="s">
        <v>108</v>
      </c>
      <c r="B3847" s="85" t="s">
        <v>36</v>
      </c>
      <c r="C3847" s="156">
        <v>0.71180555555555602</v>
      </c>
      <c r="D3847" s="71">
        <v>0</v>
      </c>
      <c r="E3847" s="71">
        <v>0</v>
      </c>
      <c r="F3847" s="71">
        <v>0</v>
      </c>
      <c r="G3847" s="71">
        <v>0</v>
      </c>
      <c r="H3847" s="71">
        <v>0</v>
      </c>
      <c r="I3847" s="71">
        <v>0</v>
      </c>
      <c r="J3847" s="71">
        <v>0</v>
      </c>
    </row>
    <row r="3848" spans="1:10">
      <c r="A3848" s="85" t="s">
        <v>108</v>
      </c>
      <c r="B3848" s="85" t="s">
        <v>36</v>
      </c>
      <c r="C3848" s="156">
        <v>0.71250000000000002</v>
      </c>
      <c r="D3848" s="71">
        <v>0</v>
      </c>
      <c r="E3848" s="71">
        <v>0</v>
      </c>
      <c r="F3848" s="71">
        <v>0</v>
      </c>
      <c r="G3848" s="71">
        <v>0</v>
      </c>
      <c r="H3848" s="71">
        <v>0</v>
      </c>
      <c r="I3848" s="71">
        <v>0</v>
      </c>
      <c r="J3848" s="71">
        <v>0</v>
      </c>
    </row>
    <row r="3849" spans="1:10">
      <c r="A3849" s="85" t="s">
        <v>108</v>
      </c>
      <c r="B3849" s="85" t="s">
        <v>36</v>
      </c>
      <c r="C3849" s="156">
        <v>0.71319444444444402</v>
      </c>
      <c r="D3849" s="71">
        <v>0</v>
      </c>
      <c r="E3849" s="71">
        <v>0</v>
      </c>
      <c r="F3849" s="71">
        <v>0</v>
      </c>
      <c r="G3849" s="71">
        <v>0</v>
      </c>
      <c r="H3849" s="71">
        <v>0</v>
      </c>
      <c r="I3849" s="71">
        <v>0</v>
      </c>
      <c r="J3849" s="71">
        <v>0</v>
      </c>
    </row>
    <row r="3850" spans="1:10">
      <c r="A3850" s="85" t="s">
        <v>108</v>
      </c>
      <c r="B3850" s="85" t="s">
        <v>36</v>
      </c>
      <c r="C3850" s="156">
        <v>0.71388888888888902</v>
      </c>
      <c r="D3850" s="71">
        <v>0</v>
      </c>
      <c r="E3850" s="71">
        <v>0</v>
      </c>
      <c r="F3850" s="71">
        <v>0</v>
      </c>
      <c r="G3850" s="71">
        <v>0</v>
      </c>
      <c r="H3850" s="71">
        <v>0</v>
      </c>
      <c r="I3850" s="71">
        <v>0</v>
      </c>
      <c r="J3850" s="71">
        <v>0</v>
      </c>
    </row>
    <row r="3851" spans="1:10">
      <c r="A3851" s="85" t="s">
        <v>108</v>
      </c>
      <c r="B3851" s="85" t="s">
        <v>36</v>
      </c>
      <c r="C3851" s="156">
        <v>0.71458333333333302</v>
      </c>
      <c r="D3851" s="71">
        <v>0</v>
      </c>
      <c r="E3851" s="71">
        <v>0</v>
      </c>
      <c r="F3851" s="71">
        <v>0</v>
      </c>
      <c r="G3851" s="71">
        <v>0</v>
      </c>
      <c r="H3851" s="71">
        <v>0</v>
      </c>
      <c r="I3851" s="71">
        <v>0</v>
      </c>
      <c r="J3851" s="71">
        <v>0</v>
      </c>
    </row>
    <row r="3852" spans="1:10">
      <c r="A3852" s="85" t="s">
        <v>108</v>
      </c>
      <c r="B3852" s="85" t="s">
        <v>36</v>
      </c>
      <c r="C3852" s="156">
        <v>0.71527777777777801</v>
      </c>
      <c r="D3852" s="71">
        <v>0</v>
      </c>
      <c r="E3852" s="71">
        <v>0</v>
      </c>
      <c r="F3852" s="71">
        <v>0</v>
      </c>
      <c r="G3852" s="71">
        <v>0</v>
      </c>
      <c r="H3852" s="71">
        <v>0</v>
      </c>
      <c r="I3852" s="71">
        <v>0</v>
      </c>
      <c r="J3852" s="71">
        <v>0</v>
      </c>
    </row>
    <row r="3853" spans="1:10">
      <c r="A3853" s="85" t="s">
        <v>108</v>
      </c>
      <c r="B3853" s="85" t="s">
        <v>36</v>
      </c>
      <c r="C3853" s="156">
        <v>0.71597222222222201</v>
      </c>
      <c r="D3853" s="71">
        <v>0</v>
      </c>
      <c r="E3853" s="71">
        <v>0</v>
      </c>
      <c r="F3853" s="71">
        <v>0</v>
      </c>
      <c r="G3853" s="71">
        <v>0</v>
      </c>
      <c r="H3853" s="71">
        <v>0</v>
      </c>
      <c r="I3853" s="71">
        <v>0</v>
      </c>
      <c r="J3853" s="71">
        <v>0</v>
      </c>
    </row>
    <row r="3854" spans="1:10">
      <c r="A3854" s="85" t="s">
        <v>108</v>
      </c>
      <c r="B3854" s="85" t="s">
        <v>36</v>
      </c>
      <c r="C3854" s="156">
        <v>0.71666666666666701</v>
      </c>
      <c r="D3854" s="71">
        <v>0</v>
      </c>
      <c r="E3854" s="71">
        <v>0</v>
      </c>
      <c r="F3854" s="71">
        <v>0</v>
      </c>
      <c r="G3854" s="71">
        <v>0</v>
      </c>
      <c r="H3854" s="71">
        <v>0</v>
      </c>
      <c r="I3854" s="71">
        <v>0</v>
      </c>
      <c r="J3854" s="71">
        <v>0</v>
      </c>
    </row>
    <row r="3855" spans="1:10">
      <c r="A3855" s="85" t="s">
        <v>108</v>
      </c>
      <c r="B3855" s="85" t="s">
        <v>36</v>
      </c>
      <c r="C3855" s="156">
        <v>0.71736111111111101</v>
      </c>
      <c r="D3855" s="71">
        <v>0</v>
      </c>
      <c r="E3855" s="71">
        <v>0</v>
      </c>
      <c r="F3855" s="71">
        <v>0</v>
      </c>
      <c r="G3855" s="71">
        <v>0</v>
      </c>
      <c r="H3855" s="71">
        <v>0</v>
      </c>
      <c r="I3855" s="71">
        <v>0</v>
      </c>
      <c r="J3855" s="71">
        <v>0</v>
      </c>
    </row>
    <row r="3856" spans="1:10" s="78" customFormat="1">
      <c r="A3856" s="88" t="s">
        <v>108</v>
      </c>
      <c r="B3856" s="88" t="s">
        <v>36</v>
      </c>
      <c r="C3856" s="158">
        <v>0.718055555555556</v>
      </c>
      <c r="D3856" s="160">
        <v>0</v>
      </c>
      <c r="E3856" s="160">
        <v>0</v>
      </c>
      <c r="F3856" s="160">
        <v>0</v>
      </c>
      <c r="G3856" s="160">
        <v>0</v>
      </c>
      <c r="H3856" s="160">
        <v>0</v>
      </c>
      <c r="I3856" s="160">
        <v>0</v>
      </c>
      <c r="J3856" s="160">
        <v>0</v>
      </c>
    </row>
    <row r="3857" spans="1:10">
      <c r="A3857" s="85" t="s">
        <v>108</v>
      </c>
      <c r="B3857" s="85" t="s">
        <v>36</v>
      </c>
      <c r="C3857" s="156">
        <v>0.71875</v>
      </c>
      <c r="D3857" s="161">
        <v>0</v>
      </c>
      <c r="E3857" s="161">
        <v>0</v>
      </c>
      <c r="F3857" s="161">
        <v>0</v>
      </c>
      <c r="G3857" s="161">
        <v>0</v>
      </c>
      <c r="H3857" s="161">
        <v>0</v>
      </c>
      <c r="I3857" s="161">
        <v>0</v>
      </c>
      <c r="J3857" s="161">
        <v>0</v>
      </c>
    </row>
    <row r="3858" spans="1:10">
      <c r="A3858" s="85" t="s">
        <v>108</v>
      </c>
      <c r="B3858" s="85" t="s">
        <v>36</v>
      </c>
      <c r="C3858" s="156">
        <v>0.719444444444444</v>
      </c>
      <c r="D3858" s="71">
        <v>0</v>
      </c>
      <c r="E3858" s="71">
        <v>0</v>
      </c>
      <c r="F3858" s="71">
        <v>0</v>
      </c>
      <c r="G3858" s="71">
        <v>0</v>
      </c>
      <c r="H3858" s="71">
        <v>0</v>
      </c>
      <c r="I3858" s="71">
        <v>0</v>
      </c>
      <c r="J3858" s="71">
        <v>0</v>
      </c>
    </row>
    <row r="3859" spans="1:10">
      <c r="A3859" s="85" t="s">
        <v>108</v>
      </c>
      <c r="B3859" s="85" t="s">
        <v>36</v>
      </c>
      <c r="C3859" s="156">
        <v>0.72013888888888899</v>
      </c>
      <c r="D3859" s="71">
        <v>0</v>
      </c>
      <c r="E3859" s="71">
        <v>0</v>
      </c>
      <c r="F3859" s="71">
        <v>0</v>
      </c>
      <c r="G3859" s="71">
        <v>0</v>
      </c>
      <c r="H3859" s="71">
        <v>0</v>
      </c>
      <c r="I3859" s="71">
        <v>0</v>
      </c>
      <c r="J3859" s="71">
        <v>0</v>
      </c>
    </row>
    <row r="3860" spans="1:10">
      <c r="A3860" s="85" t="s">
        <v>108</v>
      </c>
      <c r="B3860" s="85" t="s">
        <v>36</v>
      </c>
      <c r="C3860" s="156">
        <v>0.72083333333333299</v>
      </c>
      <c r="D3860" s="71">
        <v>0</v>
      </c>
      <c r="E3860" s="71">
        <v>0</v>
      </c>
      <c r="F3860" s="71">
        <v>0</v>
      </c>
      <c r="G3860" s="71">
        <v>0</v>
      </c>
      <c r="H3860" s="71">
        <v>0</v>
      </c>
      <c r="I3860" s="71">
        <v>0</v>
      </c>
      <c r="J3860" s="71">
        <v>0</v>
      </c>
    </row>
    <row r="3861" spans="1:10">
      <c r="A3861" s="85" t="s">
        <v>108</v>
      </c>
      <c r="B3861" s="85" t="s">
        <v>36</v>
      </c>
      <c r="C3861" s="156">
        <v>0.72152777777777799</v>
      </c>
      <c r="D3861" s="71">
        <v>0</v>
      </c>
      <c r="E3861" s="71">
        <v>0</v>
      </c>
      <c r="F3861" s="71">
        <v>0</v>
      </c>
      <c r="G3861" s="71">
        <v>0</v>
      </c>
      <c r="H3861" s="71">
        <v>0</v>
      </c>
      <c r="I3861" s="71">
        <v>0</v>
      </c>
      <c r="J3861" s="71">
        <v>0</v>
      </c>
    </row>
    <row r="3862" spans="1:10">
      <c r="A3862" s="85" t="s">
        <v>108</v>
      </c>
      <c r="B3862" s="85" t="s">
        <v>36</v>
      </c>
      <c r="C3862" s="156">
        <v>0.72222222222222199</v>
      </c>
      <c r="D3862" s="71">
        <v>0</v>
      </c>
      <c r="E3862" s="71">
        <v>0</v>
      </c>
      <c r="F3862" s="71">
        <v>0</v>
      </c>
      <c r="G3862" s="71">
        <v>0</v>
      </c>
      <c r="H3862" s="71">
        <v>0</v>
      </c>
      <c r="I3862" s="71">
        <v>0</v>
      </c>
      <c r="J3862" s="71">
        <v>0</v>
      </c>
    </row>
    <row r="3863" spans="1:10">
      <c r="A3863" s="85" t="s">
        <v>108</v>
      </c>
      <c r="B3863" s="85" t="s">
        <v>36</v>
      </c>
      <c r="C3863" s="156">
        <v>0.72291666666666698</v>
      </c>
      <c r="D3863" s="71">
        <v>0</v>
      </c>
      <c r="E3863" s="71">
        <v>0</v>
      </c>
      <c r="F3863" s="71">
        <v>0</v>
      </c>
      <c r="G3863" s="71">
        <v>0</v>
      </c>
      <c r="H3863" s="71">
        <v>0</v>
      </c>
      <c r="I3863" s="71">
        <v>0</v>
      </c>
      <c r="J3863" s="71">
        <v>0</v>
      </c>
    </row>
    <row r="3864" spans="1:10">
      <c r="A3864" s="85" t="s">
        <v>108</v>
      </c>
      <c r="B3864" s="85" t="s">
        <v>36</v>
      </c>
      <c r="C3864" s="156">
        <v>0.72361111111111098</v>
      </c>
      <c r="D3864" s="71">
        <v>0</v>
      </c>
      <c r="E3864" s="71">
        <v>0</v>
      </c>
      <c r="F3864" s="71">
        <v>0</v>
      </c>
      <c r="G3864" s="71">
        <v>0</v>
      </c>
      <c r="H3864" s="71">
        <v>0</v>
      </c>
      <c r="I3864" s="71">
        <v>0</v>
      </c>
      <c r="J3864" s="71">
        <v>0</v>
      </c>
    </row>
    <row r="3865" spans="1:10">
      <c r="A3865" s="85" t="s">
        <v>108</v>
      </c>
      <c r="B3865" s="85" t="s">
        <v>36</v>
      </c>
      <c r="C3865" s="156">
        <v>0.72430555555555598</v>
      </c>
      <c r="D3865" s="71">
        <v>0</v>
      </c>
      <c r="E3865" s="71">
        <v>0</v>
      </c>
      <c r="F3865" s="71">
        <v>0</v>
      </c>
      <c r="G3865" s="71">
        <v>0</v>
      </c>
      <c r="H3865" s="71">
        <v>0</v>
      </c>
      <c r="I3865" s="71">
        <v>0</v>
      </c>
      <c r="J3865" s="71">
        <v>0</v>
      </c>
    </row>
    <row r="3866" spans="1:10">
      <c r="A3866" s="85" t="s">
        <v>108</v>
      </c>
      <c r="B3866" s="85" t="s">
        <v>36</v>
      </c>
      <c r="C3866" s="156">
        <v>0.72499999999999998</v>
      </c>
      <c r="D3866" s="71">
        <v>0</v>
      </c>
      <c r="E3866" s="71">
        <v>0</v>
      </c>
      <c r="F3866" s="71">
        <v>0</v>
      </c>
      <c r="G3866" s="71">
        <v>0</v>
      </c>
      <c r="H3866" s="71">
        <v>0</v>
      </c>
      <c r="I3866" s="71">
        <v>0</v>
      </c>
      <c r="J3866" s="71">
        <v>0</v>
      </c>
    </row>
    <row r="3867" spans="1:10">
      <c r="A3867" s="85" t="s">
        <v>108</v>
      </c>
      <c r="B3867" s="85" t="s">
        <v>36</v>
      </c>
      <c r="C3867" s="156">
        <v>0.72569444444444398</v>
      </c>
      <c r="D3867" s="71">
        <v>0</v>
      </c>
      <c r="E3867" s="71">
        <v>0</v>
      </c>
      <c r="F3867" s="71">
        <v>0</v>
      </c>
      <c r="G3867" s="71">
        <v>0</v>
      </c>
      <c r="H3867" s="71">
        <v>0</v>
      </c>
      <c r="I3867" s="71">
        <v>0</v>
      </c>
      <c r="J3867" s="71">
        <v>0</v>
      </c>
    </row>
    <row r="3868" spans="1:10">
      <c r="A3868" s="85" t="s">
        <v>108</v>
      </c>
      <c r="B3868" s="85" t="s">
        <v>36</v>
      </c>
      <c r="C3868" s="156">
        <v>0.72638888888888897</v>
      </c>
      <c r="D3868" s="71">
        <v>0</v>
      </c>
      <c r="E3868" s="71">
        <v>0</v>
      </c>
      <c r="F3868" s="71">
        <v>0</v>
      </c>
      <c r="G3868" s="71">
        <v>0</v>
      </c>
      <c r="H3868" s="71">
        <v>0</v>
      </c>
      <c r="I3868" s="71">
        <v>0</v>
      </c>
      <c r="J3868" s="71">
        <v>0</v>
      </c>
    </row>
    <row r="3869" spans="1:10">
      <c r="A3869" s="85" t="s">
        <v>108</v>
      </c>
      <c r="B3869" s="85" t="s">
        <v>36</v>
      </c>
      <c r="C3869" s="156">
        <v>0.72708333333333297</v>
      </c>
      <c r="D3869" s="71">
        <v>0</v>
      </c>
      <c r="E3869" s="71">
        <v>0</v>
      </c>
      <c r="F3869" s="71">
        <v>0</v>
      </c>
      <c r="G3869" s="71">
        <v>0</v>
      </c>
      <c r="H3869" s="71">
        <v>0</v>
      </c>
      <c r="I3869" s="71">
        <v>0</v>
      </c>
      <c r="J3869" s="71">
        <v>0</v>
      </c>
    </row>
    <row r="3870" spans="1:10">
      <c r="A3870" s="85" t="s">
        <v>108</v>
      </c>
      <c r="B3870" s="85" t="s">
        <v>36</v>
      </c>
      <c r="C3870" s="156">
        <v>0.72777777777777797</v>
      </c>
      <c r="D3870" s="71">
        <v>0</v>
      </c>
      <c r="E3870" s="71">
        <v>0</v>
      </c>
      <c r="F3870" s="71">
        <v>0</v>
      </c>
      <c r="G3870" s="71">
        <v>0</v>
      </c>
      <c r="H3870" s="71">
        <v>0</v>
      </c>
      <c r="I3870" s="71">
        <v>0</v>
      </c>
      <c r="J3870" s="71">
        <v>0</v>
      </c>
    </row>
    <row r="3871" spans="1:10" s="78" customFormat="1">
      <c r="A3871" s="88" t="s">
        <v>108</v>
      </c>
      <c r="B3871" s="88" t="s">
        <v>36</v>
      </c>
      <c r="C3871" s="158">
        <v>0.72847222222222197</v>
      </c>
      <c r="D3871" s="160">
        <v>0</v>
      </c>
      <c r="E3871" s="160">
        <v>0</v>
      </c>
      <c r="F3871" s="160">
        <v>0</v>
      </c>
      <c r="G3871" s="160">
        <v>0</v>
      </c>
      <c r="H3871" s="160">
        <v>0</v>
      </c>
      <c r="I3871" s="160">
        <v>0</v>
      </c>
      <c r="J3871" s="160">
        <v>0</v>
      </c>
    </row>
    <row r="3872" spans="1:10">
      <c r="A3872" s="85" t="s">
        <v>108</v>
      </c>
      <c r="B3872" s="85" t="s">
        <v>36</v>
      </c>
      <c r="C3872" s="156">
        <v>0.72916666666666696</v>
      </c>
      <c r="D3872" s="161">
        <v>0</v>
      </c>
      <c r="E3872" s="161">
        <v>0</v>
      </c>
      <c r="F3872" s="161">
        <v>0</v>
      </c>
      <c r="G3872" s="161">
        <v>0</v>
      </c>
      <c r="H3872" s="161">
        <v>0</v>
      </c>
      <c r="I3872" s="161">
        <v>0</v>
      </c>
      <c r="J3872" s="161">
        <v>0</v>
      </c>
    </row>
    <row r="3873" spans="1:10">
      <c r="A3873" s="85" t="s">
        <v>108</v>
      </c>
      <c r="B3873" s="85" t="s">
        <v>36</v>
      </c>
      <c r="C3873" s="156">
        <v>0.72986111111111096</v>
      </c>
      <c r="D3873" s="71">
        <v>0</v>
      </c>
      <c r="E3873" s="71">
        <v>0</v>
      </c>
      <c r="F3873" s="71">
        <v>0</v>
      </c>
      <c r="G3873" s="71">
        <v>0</v>
      </c>
      <c r="H3873" s="71">
        <v>0</v>
      </c>
      <c r="I3873" s="71">
        <v>0</v>
      </c>
      <c r="J3873" s="71">
        <v>0</v>
      </c>
    </row>
    <row r="3874" spans="1:10">
      <c r="A3874" s="85" t="s">
        <v>108</v>
      </c>
      <c r="B3874" s="85" t="s">
        <v>36</v>
      </c>
      <c r="C3874" s="156">
        <v>0.73055555555555596</v>
      </c>
      <c r="D3874" s="71">
        <v>0</v>
      </c>
      <c r="E3874" s="71">
        <v>0</v>
      </c>
      <c r="F3874" s="71">
        <v>0</v>
      </c>
      <c r="G3874" s="71">
        <v>0</v>
      </c>
      <c r="H3874" s="71">
        <v>0</v>
      </c>
      <c r="I3874" s="71">
        <v>0</v>
      </c>
      <c r="J3874" s="71">
        <v>0</v>
      </c>
    </row>
    <row r="3875" spans="1:10">
      <c r="A3875" s="85" t="s">
        <v>108</v>
      </c>
      <c r="B3875" s="85" t="s">
        <v>36</v>
      </c>
      <c r="C3875" s="156">
        <v>0.73124999999999996</v>
      </c>
      <c r="D3875" s="71">
        <v>0</v>
      </c>
      <c r="E3875" s="71">
        <v>0</v>
      </c>
      <c r="F3875" s="71">
        <v>0</v>
      </c>
      <c r="G3875" s="71">
        <v>0</v>
      </c>
      <c r="H3875" s="71">
        <v>0</v>
      </c>
      <c r="I3875" s="71">
        <v>0</v>
      </c>
      <c r="J3875" s="71">
        <v>0</v>
      </c>
    </row>
    <row r="3876" spans="1:10">
      <c r="A3876" s="85" t="s">
        <v>108</v>
      </c>
      <c r="B3876" s="85" t="s">
        <v>36</v>
      </c>
      <c r="C3876" s="156">
        <v>0.73194444444444395</v>
      </c>
      <c r="D3876" s="71">
        <v>0</v>
      </c>
      <c r="E3876" s="71">
        <v>0</v>
      </c>
      <c r="F3876" s="71">
        <v>0</v>
      </c>
      <c r="G3876" s="71">
        <v>0</v>
      </c>
      <c r="H3876" s="71">
        <v>0</v>
      </c>
      <c r="I3876" s="71">
        <v>0</v>
      </c>
      <c r="J3876" s="71">
        <v>0</v>
      </c>
    </row>
    <row r="3877" spans="1:10">
      <c r="A3877" s="85" t="s">
        <v>108</v>
      </c>
      <c r="B3877" s="85" t="s">
        <v>36</v>
      </c>
      <c r="C3877" s="156">
        <v>0.73263888888888895</v>
      </c>
      <c r="D3877" s="71">
        <v>0</v>
      </c>
      <c r="E3877" s="71">
        <v>0</v>
      </c>
      <c r="F3877" s="71">
        <v>0</v>
      </c>
      <c r="G3877" s="71">
        <v>0</v>
      </c>
      <c r="H3877" s="71">
        <v>0</v>
      </c>
      <c r="I3877" s="71">
        <v>0</v>
      </c>
      <c r="J3877" s="71">
        <v>0</v>
      </c>
    </row>
    <row r="3878" spans="1:10">
      <c r="A3878" s="85" t="s">
        <v>108</v>
      </c>
      <c r="B3878" s="85" t="s">
        <v>36</v>
      </c>
      <c r="C3878" s="156">
        <v>0.73333333333333295</v>
      </c>
      <c r="D3878" s="71">
        <v>0</v>
      </c>
      <c r="E3878" s="71">
        <v>0</v>
      </c>
      <c r="F3878" s="71">
        <v>0</v>
      </c>
      <c r="G3878" s="71">
        <v>0</v>
      </c>
      <c r="H3878" s="71">
        <v>0</v>
      </c>
      <c r="I3878" s="71">
        <v>0</v>
      </c>
      <c r="J3878" s="71">
        <v>0</v>
      </c>
    </row>
    <row r="3879" spans="1:10">
      <c r="A3879" s="85" t="s">
        <v>108</v>
      </c>
      <c r="B3879" s="85" t="s">
        <v>36</v>
      </c>
      <c r="C3879" s="156">
        <v>0.73402777777777795</v>
      </c>
      <c r="D3879" s="71">
        <v>0</v>
      </c>
      <c r="E3879" s="71">
        <v>0</v>
      </c>
      <c r="F3879" s="71">
        <v>0</v>
      </c>
      <c r="G3879" s="71">
        <v>0</v>
      </c>
      <c r="H3879" s="71">
        <v>0</v>
      </c>
      <c r="I3879" s="71">
        <v>0</v>
      </c>
      <c r="J3879" s="71">
        <v>0</v>
      </c>
    </row>
    <row r="3880" spans="1:10">
      <c r="A3880" s="85" t="s">
        <v>108</v>
      </c>
      <c r="B3880" s="85" t="s">
        <v>36</v>
      </c>
      <c r="C3880" s="156">
        <v>0.73472222222222205</v>
      </c>
      <c r="D3880" s="71">
        <v>0</v>
      </c>
      <c r="E3880" s="71">
        <v>0</v>
      </c>
      <c r="F3880" s="71">
        <v>0</v>
      </c>
      <c r="G3880" s="71">
        <v>0</v>
      </c>
      <c r="H3880" s="71">
        <v>0</v>
      </c>
      <c r="I3880" s="71">
        <v>0</v>
      </c>
      <c r="J3880" s="71">
        <v>0</v>
      </c>
    </row>
    <row r="3881" spans="1:10">
      <c r="A3881" s="85" t="s">
        <v>108</v>
      </c>
      <c r="B3881" s="85" t="s">
        <v>36</v>
      </c>
      <c r="C3881" s="156">
        <v>0.73541666666666705</v>
      </c>
      <c r="D3881" s="71">
        <v>0</v>
      </c>
      <c r="E3881" s="71">
        <v>0</v>
      </c>
      <c r="F3881" s="71">
        <v>0</v>
      </c>
      <c r="G3881" s="71">
        <v>0</v>
      </c>
      <c r="H3881" s="71">
        <v>0</v>
      </c>
      <c r="I3881" s="71">
        <v>0</v>
      </c>
      <c r="J3881" s="71">
        <v>0</v>
      </c>
    </row>
    <row r="3882" spans="1:10">
      <c r="A3882" s="85" t="s">
        <v>108</v>
      </c>
      <c r="B3882" s="85" t="s">
        <v>36</v>
      </c>
      <c r="C3882" s="156">
        <v>0.73611111111111105</v>
      </c>
      <c r="D3882" s="71">
        <v>0</v>
      </c>
      <c r="E3882" s="71">
        <v>0</v>
      </c>
      <c r="F3882" s="71">
        <v>0</v>
      </c>
      <c r="G3882" s="71">
        <v>0</v>
      </c>
      <c r="H3882" s="71">
        <v>0</v>
      </c>
      <c r="I3882" s="71">
        <v>0</v>
      </c>
      <c r="J3882" s="71">
        <v>0</v>
      </c>
    </row>
    <row r="3883" spans="1:10">
      <c r="A3883" s="85" t="s">
        <v>108</v>
      </c>
      <c r="B3883" s="85" t="s">
        <v>36</v>
      </c>
      <c r="C3883" s="156">
        <v>0.73680555555555505</v>
      </c>
      <c r="D3883" s="71">
        <v>0</v>
      </c>
      <c r="E3883" s="71">
        <v>0</v>
      </c>
      <c r="F3883" s="71">
        <v>0</v>
      </c>
      <c r="G3883" s="71">
        <v>0</v>
      </c>
      <c r="H3883" s="71">
        <v>0</v>
      </c>
      <c r="I3883" s="71">
        <v>0</v>
      </c>
      <c r="J3883" s="71">
        <v>0</v>
      </c>
    </row>
    <row r="3884" spans="1:10">
      <c r="A3884" s="85" t="s">
        <v>108</v>
      </c>
      <c r="B3884" s="85" t="s">
        <v>36</v>
      </c>
      <c r="C3884" s="156">
        <v>0.73750000000000004</v>
      </c>
      <c r="D3884" s="71">
        <v>0</v>
      </c>
      <c r="E3884" s="71">
        <v>0</v>
      </c>
      <c r="F3884" s="71">
        <v>0</v>
      </c>
      <c r="G3884" s="71">
        <v>0</v>
      </c>
      <c r="H3884" s="71">
        <v>0</v>
      </c>
      <c r="I3884" s="71">
        <v>0</v>
      </c>
      <c r="J3884" s="71">
        <v>0</v>
      </c>
    </row>
    <row r="3885" spans="1:10">
      <c r="A3885" s="85" t="s">
        <v>108</v>
      </c>
      <c r="B3885" s="85" t="s">
        <v>36</v>
      </c>
      <c r="C3885" s="156">
        <v>0.73819444444444404</v>
      </c>
      <c r="D3885" s="71">
        <v>0</v>
      </c>
      <c r="E3885" s="71">
        <v>0</v>
      </c>
      <c r="F3885" s="71">
        <v>0</v>
      </c>
      <c r="G3885" s="71">
        <v>0</v>
      </c>
      <c r="H3885" s="71">
        <v>0</v>
      </c>
      <c r="I3885" s="71">
        <v>0</v>
      </c>
      <c r="J3885" s="71">
        <v>0</v>
      </c>
    </row>
    <row r="3886" spans="1:10" s="78" customFormat="1">
      <c r="A3886" s="88" t="s">
        <v>108</v>
      </c>
      <c r="B3886" s="88" t="s">
        <v>36</v>
      </c>
      <c r="C3886" s="158">
        <v>0.73888888888888904</v>
      </c>
      <c r="D3886" s="160">
        <v>0</v>
      </c>
      <c r="E3886" s="160">
        <v>0</v>
      </c>
      <c r="F3886" s="160">
        <v>0</v>
      </c>
      <c r="G3886" s="160">
        <v>0</v>
      </c>
      <c r="H3886" s="160">
        <v>0</v>
      </c>
      <c r="I3886" s="160">
        <v>0</v>
      </c>
      <c r="J3886" s="160">
        <v>0</v>
      </c>
    </row>
    <row r="3887" spans="1:10">
      <c r="A3887" s="85" t="s">
        <v>108</v>
      </c>
      <c r="B3887" s="85" t="s">
        <v>36</v>
      </c>
      <c r="C3887" s="156">
        <v>0.73958333333333304</v>
      </c>
      <c r="D3887" s="161">
        <v>0</v>
      </c>
      <c r="E3887" s="161">
        <v>0</v>
      </c>
      <c r="F3887" s="161">
        <v>0</v>
      </c>
      <c r="G3887" s="161">
        <v>0</v>
      </c>
      <c r="H3887" s="161">
        <v>0</v>
      </c>
      <c r="I3887" s="161">
        <v>0</v>
      </c>
      <c r="J3887" s="161">
        <v>0</v>
      </c>
    </row>
    <row r="3888" spans="1:10">
      <c r="A3888" s="85" t="s">
        <v>108</v>
      </c>
      <c r="B3888" s="85" t="s">
        <v>36</v>
      </c>
      <c r="C3888" s="156">
        <v>0.74027777777777803</v>
      </c>
      <c r="D3888" s="71">
        <v>0</v>
      </c>
      <c r="E3888" s="71">
        <v>0</v>
      </c>
      <c r="F3888" s="71">
        <v>0</v>
      </c>
      <c r="G3888" s="71">
        <v>0</v>
      </c>
      <c r="H3888" s="71">
        <v>0</v>
      </c>
      <c r="I3888" s="71">
        <v>0</v>
      </c>
      <c r="J3888" s="71">
        <v>0</v>
      </c>
    </row>
    <row r="3889" spans="1:10">
      <c r="A3889" s="85" t="s">
        <v>108</v>
      </c>
      <c r="B3889" s="85" t="s">
        <v>36</v>
      </c>
      <c r="C3889" s="156">
        <v>0.74097222222222203</v>
      </c>
      <c r="D3889" s="71">
        <v>0</v>
      </c>
      <c r="E3889" s="71">
        <v>0</v>
      </c>
      <c r="F3889" s="71">
        <v>0</v>
      </c>
      <c r="G3889" s="71">
        <v>0</v>
      </c>
      <c r="H3889" s="71">
        <v>0</v>
      </c>
      <c r="I3889" s="71">
        <v>0</v>
      </c>
      <c r="J3889" s="71">
        <v>0</v>
      </c>
    </row>
    <row r="3890" spans="1:10">
      <c r="A3890" s="85" t="s">
        <v>108</v>
      </c>
      <c r="B3890" s="85" t="s">
        <v>36</v>
      </c>
      <c r="C3890" s="156">
        <v>0.74166666666666703</v>
      </c>
      <c r="D3890" s="71">
        <v>0</v>
      </c>
      <c r="E3890" s="71">
        <v>0</v>
      </c>
      <c r="F3890" s="71">
        <v>0</v>
      </c>
      <c r="G3890" s="71">
        <v>0</v>
      </c>
      <c r="H3890" s="71">
        <v>0</v>
      </c>
      <c r="I3890" s="71">
        <v>0</v>
      </c>
      <c r="J3890" s="71">
        <v>0</v>
      </c>
    </row>
    <row r="3891" spans="1:10">
      <c r="A3891" s="85" t="s">
        <v>108</v>
      </c>
      <c r="B3891" s="85" t="s">
        <v>36</v>
      </c>
      <c r="C3891" s="156">
        <v>0.74236111111111103</v>
      </c>
      <c r="D3891" s="71">
        <v>0</v>
      </c>
      <c r="E3891" s="71">
        <v>0</v>
      </c>
      <c r="F3891" s="71">
        <v>0</v>
      </c>
      <c r="G3891" s="71">
        <v>0</v>
      </c>
      <c r="H3891" s="71">
        <v>0</v>
      </c>
      <c r="I3891" s="71">
        <v>0</v>
      </c>
      <c r="J3891" s="71">
        <v>0</v>
      </c>
    </row>
    <row r="3892" spans="1:10">
      <c r="A3892" s="85" t="s">
        <v>108</v>
      </c>
      <c r="B3892" s="85" t="s">
        <v>36</v>
      </c>
      <c r="C3892" s="156">
        <v>0.74305555555555503</v>
      </c>
      <c r="D3892" s="71">
        <v>0</v>
      </c>
      <c r="E3892" s="71">
        <v>0</v>
      </c>
      <c r="F3892" s="71">
        <v>0</v>
      </c>
      <c r="G3892" s="71">
        <v>0</v>
      </c>
      <c r="H3892" s="71">
        <v>0</v>
      </c>
      <c r="I3892" s="71">
        <v>0</v>
      </c>
      <c r="J3892" s="71">
        <v>0</v>
      </c>
    </row>
    <row r="3893" spans="1:10">
      <c r="A3893" s="85" t="s">
        <v>108</v>
      </c>
      <c r="B3893" s="85" t="s">
        <v>36</v>
      </c>
      <c r="C3893" s="156">
        <v>0.74375000000000002</v>
      </c>
      <c r="D3893" s="71">
        <v>0</v>
      </c>
      <c r="E3893" s="71">
        <v>0</v>
      </c>
      <c r="F3893" s="71">
        <v>0</v>
      </c>
      <c r="G3893" s="71">
        <v>0</v>
      </c>
      <c r="H3893" s="71">
        <v>0</v>
      </c>
      <c r="I3893" s="71">
        <v>0</v>
      </c>
      <c r="J3893" s="71">
        <v>0</v>
      </c>
    </row>
    <row r="3894" spans="1:10">
      <c r="A3894" s="85" t="s">
        <v>108</v>
      </c>
      <c r="B3894" s="85" t="s">
        <v>36</v>
      </c>
      <c r="C3894" s="156">
        <v>0.74444444444444402</v>
      </c>
      <c r="D3894" s="71">
        <v>0</v>
      </c>
      <c r="E3894" s="71">
        <v>0</v>
      </c>
      <c r="F3894" s="71">
        <v>0</v>
      </c>
      <c r="G3894" s="71">
        <v>0</v>
      </c>
      <c r="H3894" s="71">
        <v>0</v>
      </c>
      <c r="I3894" s="71">
        <v>0</v>
      </c>
      <c r="J3894" s="71">
        <v>0</v>
      </c>
    </row>
    <row r="3895" spans="1:10">
      <c r="A3895" s="85" t="s">
        <v>108</v>
      </c>
      <c r="B3895" s="85" t="s">
        <v>36</v>
      </c>
      <c r="C3895" s="156">
        <v>0.74513888888888902</v>
      </c>
      <c r="D3895" s="71">
        <v>0</v>
      </c>
      <c r="E3895" s="71">
        <v>0</v>
      </c>
      <c r="F3895" s="71">
        <v>0</v>
      </c>
      <c r="G3895" s="71">
        <v>0</v>
      </c>
      <c r="H3895" s="71">
        <v>0</v>
      </c>
      <c r="I3895" s="71">
        <v>0</v>
      </c>
      <c r="J3895" s="71">
        <v>0</v>
      </c>
    </row>
    <row r="3896" spans="1:10">
      <c r="A3896" s="85" t="s">
        <v>108</v>
      </c>
      <c r="B3896" s="85" t="s">
        <v>36</v>
      </c>
      <c r="C3896" s="156">
        <v>0.74583333333333302</v>
      </c>
      <c r="D3896" s="71">
        <v>0</v>
      </c>
      <c r="E3896" s="71">
        <v>0</v>
      </c>
      <c r="F3896" s="71">
        <v>0</v>
      </c>
      <c r="G3896" s="71">
        <v>0</v>
      </c>
      <c r="H3896" s="71">
        <v>0</v>
      </c>
      <c r="I3896" s="71">
        <v>0</v>
      </c>
      <c r="J3896" s="71">
        <v>0</v>
      </c>
    </row>
    <row r="3897" spans="1:10">
      <c r="A3897" s="85" t="s">
        <v>108</v>
      </c>
      <c r="B3897" s="85" t="s">
        <v>36</v>
      </c>
      <c r="C3897" s="156">
        <v>0.74652777777777801</v>
      </c>
      <c r="D3897" s="71">
        <v>0</v>
      </c>
      <c r="E3897" s="71">
        <v>0</v>
      </c>
      <c r="F3897" s="71">
        <v>0</v>
      </c>
      <c r="G3897" s="71">
        <v>0</v>
      </c>
      <c r="H3897" s="71">
        <v>0</v>
      </c>
      <c r="I3897" s="71">
        <v>0</v>
      </c>
      <c r="J3897" s="71">
        <v>0</v>
      </c>
    </row>
    <row r="3898" spans="1:10">
      <c r="A3898" s="85" t="s">
        <v>108</v>
      </c>
      <c r="B3898" s="85" t="s">
        <v>36</v>
      </c>
      <c r="C3898" s="156">
        <v>0.74722222222222201</v>
      </c>
      <c r="D3898" s="71">
        <v>0</v>
      </c>
      <c r="E3898" s="71">
        <v>0</v>
      </c>
      <c r="F3898" s="71">
        <v>0</v>
      </c>
      <c r="G3898" s="71">
        <v>0</v>
      </c>
      <c r="H3898" s="71">
        <v>0</v>
      </c>
      <c r="I3898" s="71">
        <v>0</v>
      </c>
      <c r="J3898" s="71">
        <v>0</v>
      </c>
    </row>
    <row r="3899" spans="1:10">
      <c r="A3899" s="85" t="s">
        <v>108</v>
      </c>
      <c r="B3899" s="85" t="s">
        <v>36</v>
      </c>
      <c r="C3899" s="156">
        <v>0.74791666666666701</v>
      </c>
      <c r="D3899" s="71">
        <v>0</v>
      </c>
      <c r="E3899" s="71">
        <v>0</v>
      </c>
      <c r="F3899" s="71">
        <v>0</v>
      </c>
      <c r="G3899" s="71">
        <v>0</v>
      </c>
      <c r="H3899" s="71">
        <v>0</v>
      </c>
      <c r="I3899" s="71">
        <v>0</v>
      </c>
      <c r="J3899" s="71">
        <v>0</v>
      </c>
    </row>
    <row r="3900" spans="1:10">
      <c r="A3900" s="85" t="s">
        <v>108</v>
      </c>
      <c r="B3900" s="85" t="s">
        <v>36</v>
      </c>
      <c r="C3900" s="156">
        <v>0.74861111111111101</v>
      </c>
      <c r="D3900" s="71">
        <v>0</v>
      </c>
      <c r="E3900" s="71">
        <v>0</v>
      </c>
      <c r="F3900" s="71">
        <v>0</v>
      </c>
      <c r="G3900" s="71">
        <v>0</v>
      </c>
      <c r="H3900" s="71">
        <v>0</v>
      </c>
      <c r="I3900" s="71">
        <v>0</v>
      </c>
      <c r="J3900" s="71">
        <v>0</v>
      </c>
    </row>
    <row r="3901" spans="1:10" s="78" customFormat="1">
      <c r="A3901" s="88" t="s">
        <v>108</v>
      </c>
      <c r="B3901" s="88" t="s">
        <v>36</v>
      </c>
      <c r="C3901" s="158">
        <v>0.749305555555555</v>
      </c>
      <c r="D3901" s="160">
        <v>0</v>
      </c>
      <c r="E3901" s="160">
        <v>0</v>
      </c>
      <c r="F3901" s="160">
        <v>0</v>
      </c>
      <c r="G3901" s="160">
        <v>0</v>
      </c>
      <c r="H3901" s="160">
        <v>0</v>
      </c>
      <c r="I3901" s="160">
        <v>0</v>
      </c>
      <c r="J3901" s="160">
        <v>0</v>
      </c>
    </row>
    <row r="3902" spans="1:10">
      <c r="A3902" s="85" t="s">
        <v>108</v>
      </c>
      <c r="B3902" s="85" t="s">
        <v>36</v>
      </c>
      <c r="C3902" s="156">
        <v>0.75</v>
      </c>
      <c r="D3902" s="161">
        <v>0</v>
      </c>
      <c r="E3902" s="161">
        <v>0</v>
      </c>
      <c r="F3902" s="161">
        <v>0</v>
      </c>
      <c r="G3902" s="161">
        <v>0</v>
      </c>
      <c r="H3902" s="161">
        <v>0</v>
      </c>
      <c r="I3902" s="161">
        <v>0</v>
      </c>
      <c r="J3902" s="161">
        <v>0</v>
      </c>
    </row>
    <row r="3903" spans="1:10">
      <c r="A3903" s="85" t="s">
        <v>108</v>
      </c>
      <c r="B3903" s="85" t="s">
        <v>36</v>
      </c>
      <c r="C3903" s="156">
        <v>0.750694444444444</v>
      </c>
      <c r="D3903" s="71">
        <v>0</v>
      </c>
      <c r="E3903" s="71">
        <v>0</v>
      </c>
      <c r="F3903" s="71">
        <v>0</v>
      </c>
      <c r="G3903" s="71">
        <v>0</v>
      </c>
      <c r="H3903" s="71">
        <v>0</v>
      </c>
      <c r="I3903" s="71">
        <v>0</v>
      </c>
      <c r="J3903" s="71">
        <v>0</v>
      </c>
    </row>
    <row r="3904" spans="1:10">
      <c r="A3904" s="85" t="s">
        <v>108</v>
      </c>
      <c r="B3904" s="85" t="s">
        <v>36</v>
      </c>
      <c r="C3904" s="156">
        <v>0.75138888888888899</v>
      </c>
      <c r="D3904" s="71">
        <v>0</v>
      </c>
      <c r="E3904" s="71">
        <v>0</v>
      </c>
      <c r="F3904" s="71">
        <v>0</v>
      </c>
      <c r="G3904" s="71">
        <v>0</v>
      </c>
      <c r="H3904" s="71">
        <v>0</v>
      </c>
      <c r="I3904" s="71">
        <v>0</v>
      </c>
      <c r="J3904" s="71">
        <v>0</v>
      </c>
    </row>
    <row r="3905" spans="1:10">
      <c r="A3905" s="85" t="s">
        <v>108</v>
      </c>
      <c r="B3905" s="85" t="s">
        <v>36</v>
      </c>
      <c r="C3905" s="156">
        <v>0.75208333333333299</v>
      </c>
      <c r="D3905" s="71">
        <v>0</v>
      </c>
      <c r="E3905" s="71">
        <v>0</v>
      </c>
      <c r="F3905" s="71">
        <v>0</v>
      </c>
      <c r="G3905" s="71">
        <v>0</v>
      </c>
      <c r="H3905" s="71">
        <v>0</v>
      </c>
      <c r="I3905" s="71">
        <v>0</v>
      </c>
      <c r="J3905" s="71">
        <v>0</v>
      </c>
    </row>
    <row r="3906" spans="1:10">
      <c r="A3906" s="85" t="s">
        <v>108</v>
      </c>
      <c r="B3906" s="85" t="s">
        <v>36</v>
      </c>
      <c r="C3906" s="156">
        <v>0.75277777777777799</v>
      </c>
      <c r="D3906" s="71">
        <v>0</v>
      </c>
      <c r="E3906" s="71">
        <v>0</v>
      </c>
      <c r="F3906" s="71">
        <v>0</v>
      </c>
      <c r="G3906" s="71">
        <v>0</v>
      </c>
      <c r="H3906" s="71">
        <v>0</v>
      </c>
      <c r="I3906" s="71">
        <v>0</v>
      </c>
      <c r="J3906" s="71">
        <v>0</v>
      </c>
    </row>
    <row r="3907" spans="1:10">
      <c r="A3907" s="85" t="s">
        <v>108</v>
      </c>
      <c r="B3907" s="85" t="s">
        <v>36</v>
      </c>
      <c r="C3907" s="156">
        <v>0.75347222222222199</v>
      </c>
      <c r="D3907" s="71">
        <v>0</v>
      </c>
      <c r="E3907" s="71">
        <v>0</v>
      </c>
      <c r="F3907" s="71">
        <v>0</v>
      </c>
      <c r="G3907" s="71">
        <v>0</v>
      </c>
      <c r="H3907" s="71">
        <v>0</v>
      </c>
      <c r="I3907" s="71">
        <v>0</v>
      </c>
      <c r="J3907" s="71">
        <v>0</v>
      </c>
    </row>
    <row r="3908" spans="1:10">
      <c r="A3908" s="85" t="s">
        <v>108</v>
      </c>
      <c r="B3908" s="85" t="s">
        <v>36</v>
      </c>
      <c r="C3908" s="156">
        <v>0.75416666666666698</v>
      </c>
      <c r="D3908" s="71">
        <v>0</v>
      </c>
      <c r="E3908" s="71">
        <v>0</v>
      </c>
      <c r="F3908" s="71">
        <v>0</v>
      </c>
      <c r="G3908" s="71">
        <v>0</v>
      </c>
      <c r="H3908" s="71">
        <v>0</v>
      </c>
      <c r="I3908" s="71">
        <v>0</v>
      </c>
      <c r="J3908" s="71">
        <v>0</v>
      </c>
    </row>
    <row r="3909" spans="1:10">
      <c r="A3909" s="85" t="s">
        <v>108</v>
      </c>
      <c r="B3909" s="85" t="s">
        <v>36</v>
      </c>
      <c r="C3909" s="156">
        <v>0.75486111111111098</v>
      </c>
      <c r="D3909" s="71">
        <v>0</v>
      </c>
      <c r="E3909" s="71">
        <v>0</v>
      </c>
      <c r="F3909" s="71">
        <v>0</v>
      </c>
      <c r="G3909" s="71">
        <v>0</v>
      </c>
      <c r="H3909" s="71">
        <v>0</v>
      </c>
      <c r="I3909" s="71">
        <v>0</v>
      </c>
      <c r="J3909" s="71">
        <v>0</v>
      </c>
    </row>
    <row r="3910" spans="1:10">
      <c r="A3910" s="85" t="s">
        <v>108</v>
      </c>
      <c r="B3910" s="85" t="s">
        <v>36</v>
      </c>
      <c r="C3910" s="156">
        <v>0.75555555555555498</v>
      </c>
      <c r="D3910" s="71">
        <v>0</v>
      </c>
      <c r="E3910" s="71">
        <v>0</v>
      </c>
      <c r="F3910" s="71">
        <v>0</v>
      </c>
      <c r="G3910" s="71">
        <v>0</v>
      </c>
      <c r="H3910" s="71">
        <v>0</v>
      </c>
      <c r="I3910" s="71">
        <v>0</v>
      </c>
      <c r="J3910" s="71">
        <v>0</v>
      </c>
    </row>
    <row r="3911" spans="1:10">
      <c r="A3911" s="85" t="s">
        <v>108</v>
      </c>
      <c r="B3911" s="85" t="s">
        <v>36</v>
      </c>
      <c r="C3911" s="156">
        <v>0.75624999999999998</v>
      </c>
      <c r="D3911" s="71">
        <v>0</v>
      </c>
      <c r="E3911" s="71">
        <v>0</v>
      </c>
      <c r="F3911" s="71">
        <v>0</v>
      </c>
      <c r="G3911" s="71">
        <v>0</v>
      </c>
      <c r="H3911" s="71">
        <v>0</v>
      </c>
      <c r="I3911" s="71">
        <v>0</v>
      </c>
      <c r="J3911" s="71">
        <v>0</v>
      </c>
    </row>
    <row r="3912" spans="1:10">
      <c r="A3912" s="85" t="s">
        <v>108</v>
      </c>
      <c r="B3912" s="85" t="s">
        <v>36</v>
      </c>
      <c r="C3912" s="156">
        <v>0.75694444444444398</v>
      </c>
      <c r="D3912" s="71">
        <v>0</v>
      </c>
      <c r="E3912" s="71">
        <v>0</v>
      </c>
      <c r="F3912" s="71">
        <v>0</v>
      </c>
      <c r="G3912" s="71">
        <v>0</v>
      </c>
      <c r="H3912" s="71">
        <v>0</v>
      </c>
      <c r="I3912" s="71">
        <v>0</v>
      </c>
      <c r="J3912" s="71">
        <v>0</v>
      </c>
    </row>
    <row r="3913" spans="1:10">
      <c r="A3913" s="85" t="s">
        <v>108</v>
      </c>
      <c r="B3913" s="85" t="s">
        <v>36</v>
      </c>
      <c r="C3913" s="156">
        <v>0.75763888888888897</v>
      </c>
      <c r="D3913" s="71">
        <v>0</v>
      </c>
      <c r="E3913" s="71">
        <v>0</v>
      </c>
      <c r="F3913" s="71">
        <v>0</v>
      </c>
      <c r="G3913" s="71">
        <v>0</v>
      </c>
      <c r="H3913" s="71">
        <v>0</v>
      </c>
      <c r="I3913" s="71">
        <v>0</v>
      </c>
      <c r="J3913" s="71">
        <v>0</v>
      </c>
    </row>
    <row r="3914" spans="1:10">
      <c r="A3914" s="85" t="s">
        <v>108</v>
      </c>
      <c r="B3914" s="85" t="s">
        <v>36</v>
      </c>
      <c r="C3914" s="156">
        <v>0.75833333333333297</v>
      </c>
      <c r="D3914" s="71">
        <v>0</v>
      </c>
      <c r="E3914" s="71">
        <v>0</v>
      </c>
      <c r="F3914" s="71">
        <v>0</v>
      </c>
      <c r="G3914" s="71">
        <v>0</v>
      </c>
      <c r="H3914" s="71">
        <v>0</v>
      </c>
      <c r="I3914" s="71">
        <v>0</v>
      </c>
      <c r="J3914" s="71">
        <v>0</v>
      </c>
    </row>
    <row r="3915" spans="1:10">
      <c r="A3915" s="85" t="s">
        <v>108</v>
      </c>
      <c r="B3915" s="85" t="s">
        <v>36</v>
      </c>
      <c r="C3915" s="156">
        <v>0.75902777777777797</v>
      </c>
      <c r="D3915" s="71">
        <v>0</v>
      </c>
      <c r="E3915" s="71">
        <v>0</v>
      </c>
      <c r="F3915" s="71">
        <v>0</v>
      </c>
      <c r="G3915" s="71">
        <v>0</v>
      </c>
      <c r="H3915" s="71">
        <v>0</v>
      </c>
      <c r="I3915" s="71">
        <v>0</v>
      </c>
      <c r="J3915" s="71">
        <v>0</v>
      </c>
    </row>
    <row r="3916" spans="1:10" s="78" customFormat="1">
      <c r="A3916" s="88" t="s">
        <v>108</v>
      </c>
      <c r="B3916" s="88" t="s">
        <v>36</v>
      </c>
      <c r="C3916" s="158">
        <v>0.75972222222222197</v>
      </c>
      <c r="D3916" s="160">
        <v>0</v>
      </c>
      <c r="E3916" s="160">
        <v>0</v>
      </c>
      <c r="F3916" s="160">
        <v>0</v>
      </c>
      <c r="G3916" s="160">
        <v>0</v>
      </c>
      <c r="H3916" s="160">
        <v>0</v>
      </c>
      <c r="I3916" s="160">
        <v>0</v>
      </c>
      <c r="J3916" s="160">
        <v>0</v>
      </c>
    </row>
    <row r="3917" spans="1:10">
      <c r="A3917" s="85" t="s">
        <v>108</v>
      </c>
      <c r="B3917" s="85" t="s">
        <v>36</v>
      </c>
      <c r="C3917" s="156">
        <v>0.76041666666666696</v>
      </c>
      <c r="D3917" s="161">
        <v>0</v>
      </c>
      <c r="E3917" s="161">
        <v>0</v>
      </c>
      <c r="F3917" s="161">
        <v>0</v>
      </c>
      <c r="G3917" s="161">
        <v>0</v>
      </c>
      <c r="H3917" s="161">
        <v>0</v>
      </c>
      <c r="I3917" s="161">
        <v>0</v>
      </c>
      <c r="J3917" s="161">
        <v>0</v>
      </c>
    </row>
    <row r="3918" spans="1:10">
      <c r="A3918" s="85" t="s">
        <v>108</v>
      </c>
      <c r="B3918" s="85" t="s">
        <v>36</v>
      </c>
      <c r="C3918" s="156">
        <v>0.76111111111111096</v>
      </c>
      <c r="D3918" s="71">
        <v>0</v>
      </c>
      <c r="E3918" s="71">
        <v>0</v>
      </c>
      <c r="F3918" s="71">
        <v>0</v>
      </c>
      <c r="G3918" s="71">
        <v>0</v>
      </c>
      <c r="H3918" s="71">
        <v>0</v>
      </c>
      <c r="I3918" s="71">
        <v>0</v>
      </c>
      <c r="J3918" s="71">
        <v>0</v>
      </c>
    </row>
    <row r="3919" spans="1:10">
      <c r="A3919" s="85" t="s">
        <v>108</v>
      </c>
      <c r="B3919" s="85" t="s">
        <v>36</v>
      </c>
      <c r="C3919" s="156">
        <v>0.76180555555555496</v>
      </c>
      <c r="D3919" s="71">
        <v>0</v>
      </c>
      <c r="E3919" s="71">
        <v>0</v>
      </c>
      <c r="F3919" s="71">
        <v>0</v>
      </c>
      <c r="G3919" s="71">
        <v>0</v>
      </c>
      <c r="H3919" s="71">
        <v>0</v>
      </c>
      <c r="I3919" s="71">
        <v>0</v>
      </c>
      <c r="J3919" s="71">
        <v>0</v>
      </c>
    </row>
    <row r="3920" spans="1:10">
      <c r="A3920" s="85" t="s">
        <v>108</v>
      </c>
      <c r="B3920" s="85" t="s">
        <v>36</v>
      </c>
      <c r="C3920" s="156">
        <v>0.76249999999999996</v>
      </c>
      <c r="D3920" s="71">
        <v>0</v>
      </c>
      <c r="E3920" s="71">
        <v>0</v>
      </c>
      <c r="F3920" s="71">
        <v>0</v>
      </c>
      <c r="G3920" s="71">
        <v>0</v>
      </c>
      <c r="H3920" s="71">
        <v>0</v>
      </c>
      <c r="I3920" s="71">
        <v>0</v>
      </c>
      <c r="J3920" s="71">
        <v>0</v>
      </c>
    </row>
    <row r="3921" spans="1:10">
      <c r="A3921" s="85" t="s">
        <v>108</v>
      </c>
      <c r="B3921" s="85" t="s">
        <v>36</v>
      </c>
      <c r="C3921" s="156">
        <v>0.76319444444444395</v>
      </c>
      <c r="D3921" s="71">
        <v>0</v>
      </c>
      <c r="E3921" s="71">
        <v>0</v>
      </c>
      <c r="F3921" s="71">
        <v>0</v>
      </c>
      <c r="G3921" s="71">
        <v>0</v>
      </c>
      <c r="H3921" s="71">
        <v>0</v>
      </c>
      <c r="I3921" s="71">
        <v>0</v>
      </c>
      <c r="J3921" s="71">
        <v>0</v>
      </c>
    </row>
    <row r="3922" spans="1:10">
      <c r="A3922" s="85" t="s">
        <v>108</v>
      </c>
      <c r="B3922" s="85" t="s">
        <v>36</v>
      </c>
      <c r="C3922" s="156">
        <v>0.76388888888888895</v>
      </c>
      <c r="D3922" s="71">
        <v>0</v>
      </c>
      <c r="E3922" s="71">
        <v>0</v>
      </c>
      <c r="F3922" s="71">
        <v>0</v>
      </c>
      <c r="G3922" s="71">
        <v>0</v>
      </c>
      <c r="H3922" s="71">
        <v>0</v>
      </c>
      <c r="I3922" s="71">
        <v>0</v>
      </c>
      <c r="J3922" s="71">
        <v>0</v>
      </c>
    </row>
    <row r="3923" spans="1:10">
      <c r="A3923" s="85" t="s">
        <v>108</v>
      </c>
      <c r="B3923" s="85" t="s">
        <v>36</v>
      </c>
      <c r="C3923" s="156">
        <v>0.76458333333333295</v>
      </c>
      <c r="D3923" s="71">
        <v>0</v>
      </c>
      <c r="E3923" s="71">
        <v>0</v>
      </c>
      <c r="F3923" s="71">
        <v>0</v>
      </c>
      <c r="G3923" s="71">
        <v>0</v>
      </c>
      <c r="H3923" s="71">
        <v>0</v>
      </c>
      <c r="I3923" s="71">
        <v>0</v>
      </c>
      <c r="J3923" s="71">
        <v>0</v>
      </c>
    </row>
    <row r="3924" spans="1:10">
      <c r="A3924" s="85" t="s">
        <v>108</v>
      </c>
      <c r="B3924" s="85" t="s">
        <v>36</v>
      </c>
      <c r="C3924" s="156">
        <v>0.76527777777777795</v>
      </c>
      <c r="D3924" s="71">
        <v>0</v>
      </c>
      <c r="E3924" s="71">
        <v>0</v>
      </c>
      <c r="F3924" s="71">
        <v>0</v>
      </c>
      <c r="G3924" s="71">
        <v>0</v>
      </c>
      <c r="H3924" s="71">
        <v>0</v>
      </c>
      <c r="I3924" s="71">
        <v>0</v>
      </c>
      <c r="J3924" s="71">
        <v>0</v>
      </c>
    </row>
    <row r="3925" spans="1:10">
      <c r="A3925" s="85" t="s">
        <v>108</v>
      </c>
      <c r="B3925" s="85" t="s">
        <v>36</v>
      </c>
      <c r="C3925" s="156">
        <v>0.76597222222222205</v>
      </c>
      <c r="D3925" s="71">
        <v>0</v>
      </c>
      <c r="E3925" s="71">
        <v>0</v>
      </c>
      <c r="F3925" s="71">
        <v>0</v>
      </c>
      <c r="G3925" s="71">
        <v>0</v>
      </c>
      <c r="H3925" s="71">
        <v>0</v>
      </c>
      <c r="I3925" s="71">
        <v>0</v>
      </c>
      <c r="J3925" s="71">
        <v>0</v>
      </c>
    </row>
    <row r="3926" spans="1:10">
      <c r="A3926" s="85" t="s">
        <v>108</v>
      </c>
      <c r="B3926" s="85" t="s">
        <v>36</v>
      </c>
      <c r="C3926" s="156">
        <v>0.76666666666666605</v>
      </c>
      <c r="D3926" s="71">
        <v>0</v>
      </c>
      <c r="E3926" s="71">
        <v>0</v>
      </c>
      <c r="F3926" s="71">
        <v>0</v>
      </c>
      <c r="G3926" s="71">
        <v>0</v>
      </c>
      <c r="H3926" s="71">
        <v>0</v>
      </c>
      <c r="I3926" s="71">
        <v>0</v>
      </c>
      <c r="J3926" s="71">
        <v>0</v>
      </c>
    </row>
    <row r="3927" spans="1:10">
      <c r="A3927" s="85" t="s">
        <v>108</v>
      </c>
      <c r="B3927" s="85" t="s">
        <v>36</v>
      </c>
      <c r="C3927" s="156">
        <v>0.76736111111111105</v>
      </c>
      <c r="D3927" s="71">
        <v>0</v>
      </c>
      <c r="E3927" s="71">
        <v>0</v>
      </c>
      <c r="F3927" s="71">
        <v>0</v>
      </c>
      <c r="G3927" s="71">
        <v>0</v>
      </c>
      <c r="H3927" s="71">
        <v>0</v>
      </c>
      <c r="I3927" s="71">
        <v>0</v>
      </c>
      <c r="J3927" s="71">
        <v>0</v>
      </c>
    </row>
    <row r="3928" spans="1:10">
      <c r="A3928" s="85" t="s">
        <v>108</v>
      </c>
      <c r="B3928" s="85" t="s">
        <v>36</v>
      </c>
      <c r="C3928" s="156">
        <v>0.76805555555555505</v>
      </c>
      <c r="D3928" s="71">
        <v>0</v>
      </c>
      <c r="E3928" s="71">
        <v>0</v>
      </c>
      <c r="F3928" s="71">
        <v>0</v>
      </c>
      <c r="G3928" s="71">
        <v>0</v>
      </c>
      <c r="H3928" s="71">
        <v>0</v>
      </c>
      <c r="I3928" s="71">
        <v>0</v>
      </c>
      <c r="J3928" s="71">
        <v>0</v>
      </c>
    </row>
    <row r="3929" spans="1:10">
      <c r="A3929" s="85" t="s">
        <v>108</v>
      </c>
      <c r="B3929" s="85" t="s">
        <v>36</v>
      </c>
      <c r="C3929" s="156">
        <v>0.76875000000000004</v>
      </c>
      <c r="D3929" s="71">
        <v>0</v>
      </c>
      <c r="E3929" s="71">
        <v>0</v>
      </c>
      <c r="F3929" s="71">
        <v>0</v>
      </c>
      <c r="G3929" s="71">
        <v>0</v>
      </c>
      <c r="H3929" s="71">
        <v>0</v>
      </c>
      <c r="I3929" s="71">
        <v>0</v>
      </c>
      <c r="J3929" s="71">
        <v>0</v>
      </c>
    </row>
    <row r="3930" spans="1:10">
      <c r="A3930" s="85" t="s">
        <v>108</v>
      </c>
      <c r="B3930" s="85" t="s">
        <v>36</v>
      </c>
      <c r="C3930" s="156">
        <v>0.76944444444444404</v>
      </c>
      <c r="D3930" s="71">
        <v>0</v>
      </c>
      <c r="E3930" s="71">
        <v>0</v>
      </c>
      <c r="F3930" s="71">
        <v>0</v>
      </c>
      <c r="G3930" s="71">
        <v>0</v>
      </c>
      <c r="H3930" s="71">
        <v>0</v>
      </c>
      <c r="I3930" s="71">
        <v>0</v>
      </c>
      <c r="J3930" s="71">
        <v>0</v>
      </c>
    </row>
    <row r="3931" spans="1:10" s="78" customFormat="1">
      <c r="A3931" s="88" t="s">
        <v>108</v>
      </c>
      <c r="B3931" s="88" t="s">
        <v>36</v>
      </c>
      <c r="C3931" s="158">
        <v>0.77013888888888904</v>
      </c>
      <c r="D3931" s="160">
        <v>0</v>
      </c>
      <c r="E3931" s="160">
        <v>0</v>
      </c>
      <c r="F3931" s="160">
        <v>0</v>
      </c>
      <c r="G3931" s="160">
        <v>0</v>
      </c>
      <c r="H3931" s="160">
        <v>0</v>
      </c>
      <c r="I3931" s="160">
        <v>0</v>
      </c>
      <c r="J3931" s="160">
        <v>0</v>
      </c>
    </row>
    <row r="3932" spans="1:10">
      <c r="A3932" s="85" t="s">
        <v>108</v>
      </c>
      <c r="B3932" s="85" t="s">
        <v>36</v>
      </c>
      <c r="C3932" s="156">
        <v>0.77083333333333304</v>
      </c>
      <c r="D3932" s="161">
        <v>0</v>
      </c>
      <c r="E3932" s="161">
        <v>0</v>
      </c>
      <c r="F3932" s="161">
        <v>0</v>
      </c>
      <c r="G3932" s="161">
        <v>0</v>
      </c>
      <c r="H3932" s="161">
        <v>0</v>
      </c>
      <c r="I3932" s="161">
        <v>0</v>
      </c>
      <c r="J3932" s="161">
        <v>0</v>
      </c>
    </row>
    <row r="3933" spans="1:10">
      <c r="A3933" s="85" t="s">
        <v>108</v>
      </c>
      <c r="B3933" s="85" t="s">
        <v>36</v>
      </c>
      <c r="C3933" s="156">
        <v>0.77152777777777803</v>
      </c>
      <c r="D3933" s="71">
        <v>0</v>
      </c>
      <c r="E3933" s="71">
        <v>0</v>
      </c>
      <c r="F3933" s="71">
        <v>0</v>
      </c>
      <c r="G3933" s="71">
        <v>0</v>
      </c>
      <c r="H3933" s="71">
        <v>0</v>
      </c>
      <c r="I3933" s="71">
        <v>0</v>
      </c>
      <c r="J3933" s="71">
        <v>0</v>
      </c>
    </row>
    <row r="3934" spans="1:10">
      <c r="A3934" s="85" t="s">
        <v>108</v>
      </c>
      <c r="B3934" s="85" t="s">
        <v>36</v>
      </c>
      <c r="C3934" s="156">
        <v>0.77222222222222203</v>
      </c>
      <c r="D3934" s="71">
        <v>0</v>
      </c>
      <c r="E3934" s="71">
        <v>0</v>
      </c>
      <c r="F3934" s="71">
        <v>0</v>
      </c>
      <c r="G3934" s="71">
        <v>0</v>
      </c>
      <c r="H3934" s="71">
        <v>0</v>
      </c>
      <c r="I3934" s="71">
        <v>0</v>
      </c>
      <c r="J3934" s="71">
        <v>0</v>
      </c>
    </row>
    <row r="3935" spans="1:10">
      <c r="A3935" s="85" t="s">
        <v>108</v>
      </c>
      <c r="B3935" s="85" t="s">
        <v>36</v>
      </c>
      <c r="C3935" s="156">
        <v>0.77291666666666603</v>
      </c>
      <c r="D3935" s="71">
        <v>0</v>
      </c>
      <c r="E3935" s="71">
        <v>0</v>
      </c>
      <c r="F3935" s="71">
        <v>0</v>
      </c>
      <c r="G3935" s="71">
        <v>0</v>
      </c>
      <c r="H3935" s="71">
        <v>0</v>
      </c>
      <c r="I3935" s="71">
        <v>0</v>
      </c>
      <c r="J3935" s="71">
        <v>0</v>
      </c>
    </row>
    <row r="3936" spans="1:10">
      <c r="A3936" s="85" t="s">
        <v>108</v>
      </c>
      <c r="B3936" s="85" t="s">
        <v>36</v>
      </c>
      <c r="C3936" s="156">
        <v>0.77361111111111103</v>
      </c>
      <c r="D3936" s="71">
        <v>0</v>
      </c>
      <c r="E3936" s="71">
        <v>0</v>
      </c>
      <c r="F3936" s="71">
        <v>0</v>
      </c>
      <c r="G3936" s="71">
        <v>0</v>
      </c>
      <c r="H3936" s="71">
        <v>0</v>
      </c>
      <c r="I3936" s="71">
        <v>0</v>
      </c>
      <c r="J3936" s="71">
        <v>0</v>
      </c>
    </row>
    <row r="3937" spans="1:10">
      <c r="A3937" s="85" t="s">
        <v>108</v>
      </c>
      <c r="B3937" s="85" t="s">
        <v>36</v>
      </c>
      <c r="C3937" s="156">
        <v>0.77430555555555503</v>
      </c>
      <c r="D3937" s="71">
        <v>0</v>
      </c>
      <c r="E3937" s="71">
        <v>0</v>
      </c>
      <c r="F3937" s="71">
        <v>0</v>
      </c>
      <c r="G3937" s="71">
        <v>0</v>
      </c>
      <c r="H3937" s="71">
        <v>0</v>
      </c>
      <c r="I3937" s="71">
        <v>0</v>
      </c>
      <c r="J3937" s="71">
        <v>0</v>
      </c>
    </row>
    <row r="3938" spans="1:10">
      <c r="A3938" s="85" t="s">
        <v>108</v>
      </c>
      <c r="B3938" s="85" t="s">
        <v>36</v>
      </c>
      <c r="C3938" s="156">
        <v>0.77500000000000002</v>
      </c>
      <c r="D3938" s="71">
        <v>0</v>
      </c>
      <c r="E3938" s="71">
        <v>0</v>
      </c>
      <c r="F3938" s="71">
        <v>0</v>
      </c>
      <c r="G3938" s="71">
        <v>0</v>
      </c>
      <c r="H3938" s="71">
        <v>0</v>
      </c>
      <c r="I3938" s="71">
        <v>0</v>
      </c>
      <c r="J3938" s="71">
        <v>0</v>
      </c>
    </row>
    <row r="3939" spans="1:10">
      <c r="A3939" s="85" t="s">
        <v>108</v>
      </c>
      <c r="B3939" s="85" t="s">
        <v>36</v>
      </c>
      <c r="C3939" s="156">
        <v>0.77569444444444402</v>
      </c>
      <c r="D3939" s="71">
        <v>0</v>
      </c>
      <c r="E3939" s="71">
        <v>0</v>
      </c>
      <c r="F3939" s="71">
        <v>0</v>
      </c>
      <c r="G3939" s="71">
        <v>0</v>
      </c>
      <c r="H3939" s="71">
        <v>0</v>
      </c>
      <c r="I3939" s="71">
        <v>0</v>
      </c>
      <c r="J3939" s="71">
        <v>0</v>
      </c>
    </row>
    <row r="3940" spans="1:10">
      <c r="A3940" s="85" t="s">
        <v>108</v>
      </c>
      <c r="B3940" s="85" t="s">
        <v>36</v>
      </c>
      <c r="C3940" s="156">
        <v>0.77638888888888902</v>
      </c>
      <c r="D3940" s="71">
        <v>0</v>
      </c>
      <c r="E3940" s="71">
        <v>0</v>
      </c>
      <c r="F3940" s="71">
        <v>0</v>
      </c>
      <c r="G3940" s="71">
        <v>0</v>
      </c>
      <c r="H3940" s="71">
        <v>0</v>
      </c>
      <c r="I3940" s="71">
        <v>0</v>
      </c>
      <c r="J3940" s="71">
        <v>0</v>
      </c>
    </row>
    <row r="3941" spans="1:10">
      <c r="A3941" s="85" t="s">
        <v>108</v>
      </c>
      <c r="B3941" s="85" t="s">
        <v>36</v>
      </c>
      <c r="C3941" s="156">
        <v>0.77708333333333302</v>
      </c>
      <c r="D3941" s="71">
        <v>0</v>
      </c>
      <c r="E3941" s="71">
        <v>0</v>
      </c>
      <c r="F3941" s="71">
        <v>0</v>
      </c>
      <c r="G3941" s="71">
        <v>0</v>
      </c>
      <c r="H3941" s="71">
        <v>0</v>
      </c>
      <c r="I3941" s="71">
        <v>0</v>
      </c>
      <c r="J3941" s="71">
        <v>0</v>
      </c>
    </row>
    <row r="3942" spans="1:10">
      <c r="A3942" s="85" t="s">
        <v>108</v>
      </c>
      <c r="B3942" s="85" t="s">
        <v>36</v>
      </c>
      <c r="C3942" s="156">
        <v>0.77777777777777801</v>
      </c>
      <c r="D3942" s="71">
        <v>0</v>
      </c>
      <c r="E3942" s="71">
        <v>0</v>
      </c>
      <c r="F3942" s="71">
        <v>0</v>
      </c>
      <c r="G3942" s="71">
        <v>0</v>
      </c>
      <c r="H3942" s="71">
        <v>0</v>
      </c>
      <c r="I3942" s="71">
        <v>0</v>
      </c>
      <c r="J3942" s="71">
        <v>0</v>
      </c>
    </row>
    <row r="3943" spans="1:10">
      <c r="A3943" s="85" t="s">
        <v>108</v>
      </c>
      <c r="B3943" s="85" t="s">
        <v>36</v>
      </c>
      <c r="C3943" s="156">
        <v>0.77847222222222201</v>
      </c>
      <c r="D3943" s="71">
        <v>0</v>
      </c>
      <c r="E3943" s="71">
        <v>0</v>
      </c>
      <c r="F3943" s="71">
        <v>0</v>
      </c>
      <c r="G3943" s="71">
        <v>0</v>
      </c>
      <c r="H3943" s="71">
        <v>0</v>
      </c>
      <c r="I3943" s="71">
        <v>0</v>
      </c>
      <c r="J3943" s="71">
        <v>0</v>
      </c>
    </row>
    <row r="3944" spans="1:10">
      <c r="A3944" s="85" t="s">
        <v>108</v>
      </c>
      <c r="B3944" s="85" t="s">
        <v>36</v>
      </c>
      <c r="C3944" s="156">
        <v>0.77916666666666601</v>
      </c>
      <c r="D3944" s="71">
        <v>0</v>
      </c>
      <c r="E3944" s="71">
        <v>0</v>
      </c>
      <c r="F3944" s="71">
        <v>0</v>
      </c>
      <c r="G3944" s="71">
        <v>0</v>
      </c>
      <c r="H3944" s="71">
        <v>0</v>
      </c>
      <c r="I3944" s="71">
        <v>0</v>
      </c>
      <c r="J3944" s="71">
        <v>0</v>
      </c>
    </row>
    <row r="3945" spans="1:10">
      <c r="A3945" s="85" t="s">
        <v>108</v>
      </c>
      <c r="B3945" s="85" t="s">
        <v>36</v>
      </c>
      <c r="C3945" s="156">
        <v>0.77986111111111101</v>
      </c>
      <c r="D3945" s="71">
        <v>0</v>
      </c>
      <c r="E3945" s="71">
        <v>0</v>
      </c>
      <c r="F3945" s="71">
        <v>0</v>
      </c>
      <c r="G3945" s="71">
        <v>0</v>
      </c>
      <c r="H3945" s="71">
        <v>0</v>
      </c>
      <c r="I3945" s="71">
        <v>0</v>
      </c>
      <c r="J3945" s="71">
        <v>0</v>
      </c>
    </row>
    <row r="3946" spans="1:10" s="78" customFormat="1">
      <c r="A3946" s="88" t="s">
        <v>108</v>
      </c>
      <c r="B3946" s="88" t="s">
        <v>36</v>
      </c>
      <c r="C3946" s="158">
        <v>0.780555555555555</v>
      </c>
      <c r="D3946" s="160">
        <v>0</v>
      </c>
      <c r="E3946" s="160">
        <v>0</v>
      </c>
      <c r="F3946" s="160">
        <v>0</v>
      </c>
      <c r="G3946" s="160">
        <v>0</v>
      </c>
      <c r="H3946" s="160">
        <v>0</v>
      </c>
      <c r="I3946" s="160">
        <v>0</v>
      </c>
      <c r="J3946" s="160">
        <v>0</v>
      </c>
    </row>
    <row r="3947" spans="1:10">
      <c r="A3947" s="85" t="s">
        <v>108</v>
      </c>
      <c r="B3947" s="85" t="s">
        <v>36</v>
      </c>
      <c r="C3947" s="156">
        <v>0.78125</v>
      </c>
      <c r="D3947" s="161">
        <v>0</v>
      </c>
      <c r="E3947" s="161">
        <v>0</v>
      </c>
      <c r="F3947" s="161">
        <v>0</v>
      </c>
      <c r="G3947" s="161">
        <v>0</v>
      </c>
      <c r="H3947" s="161">
        <v>0</v>
      </c>
      <c r="I3947" s="161">
        <v>0</v>
      </c>
      <c r="J3947" s="161">
        <v>0</v>
      </c>
    </row>
    <row r="3948" spans="1:10">
      <c r="A3948" s="85" t="s">
        <v>108</v>
      </c>
      <c r="B3948" s="85" t="s">
        <v>36</v>
      </c>
      <c r="C3948" s="156">
        <v>0.781944444444444</v>
      </c>
      <c r="D3948" s="71">
        <v>0</v>
      </c>
      <c r="E3948" s="71">
        <v>0</v>
      </c>
      <c r="F3948" s="71">
        <v>0</v>
      </c>
      <c r="G3948" s="71">
        <v>0</v>
      </c>
      <c r="H3948" s="71">
        <v>0</v>
      </c>
      <c r="I3948" s="71">
        <v>0</v>
      </c>
      <c r="J3948" s="71">
        <v>0</v>
      </c>
    </row>
    <row r="3949" spans="1:10">
      <c r="A3949" s="85" t="s">
        <v>108</v>
      </c>
      <c r="B3949" s="85" t="s">
        <v>36</v>
      </c>
      <c r="C3949" s="156">
        <v>0.78263888888888899</v>
      </c>
      <c r="D3949" s="71">
        <v>0</v>
      </c>
      <c r="E3949" s="71">
        <v>0</v>
      </c>
      <c r="F3949" s="71">
        <v>0</v>
      </c>
      <c r="G3949" s="71">
        <v>0</v>
      </c>
      <c r="H3949" s="71">
        <v>0</v>
      </c>
      <c r="I3949" s="71">
        <v>0</v>
      </c>
      <c r="J3949" s="71">
        <v>0</v>
      </c>
    </row>
    <row r="3950" spans="1:10">
      <c r="A3950" s="85" t="s">
        <v>108</v>
      </c>
      <c r="B3950" s="85" t="s">
        <v>36</v>
      </c>
      <c r="C3950" s="156">
        <v>0.78333333333333299</v>
      </c>
      <c r="D3950" s="71">
        <v>0</v>
      </c>
      <c r="E3950" s="71">
        <v>0</v>
      </c>
      <c r="F3950" s="71">
        <v>0</v>
      </c>
      <c r="G3950" s="71">
        <v>0</v>
      </c>
      <c r="H3950" s="71">
        <v>0</v>
      </c>
      <c r="I3950" s="71">
        <v>0</v>
      </c>
      <c r="J3950" s="71">
        <v>0</v>
      </c>
    </row>
    <row r="3951" spans="1:10">
      <c r="A3951" s="85" t="s">
        <v>108</v>
      </c>
      <c r="B3951" s="85" t="s">
        <v>36</v>
      </c>
      <c r="C3951" s="156">
        <v>0.78402777777777799</v>
      </c>
      <c r="D3951" s="71">
        <v>0</v>
      </c>
      <c r="E3951" s="71">
        <v>0</v>
      </c>
      <c r="F3951" s="71">
        <v>0</v>
      </c>
      <c r="G3951" s="71">
        <v>0</v>
      </c>
      <c r="H3951" s="71">
        <v>0</v>
      </c>
      <c r="I3951" s="71">
        <v>0</v>
      </c>
      <c r="J3951" s="71">
        <v>0</v>
      </c>
    </row>
    <row r="3952" spans="1:10">
      <c r="A3952" s="85" t="s">
        <v>108</v>
      </c>
      <c r="B3952" s="85" t="s">
        <v>36</v>
      </c>
      <c r="C3952" s="156">
        <v>0.78472222222222199</v>
      </c>
      <c r="D3952" s="71">
        <v>0</v>
      </c>
      <c r="E3952" s="71">
        <v>0</v>
      </c>
      <c r="F3952" s="71">
        <v>0</v>
      </c>
      <c r="G3952" s="71">
        <v>0</v>
      </c>
      <c r="H3952" s="71">
        <v>0</v>
      </c>
      <c r="I3952" s="71">
        <v>0</v>
      </c>
      <c r="J3952" s="71">
        <v>0</v>
      </c>
    </row>
    <row r="3953" spans="1:10">
      <c r="A3953" s="85" t="s">
        <v>108</v>
      </c>
      <c r="B3953" s="85" t="s">
        <v>36</v>
      </c>
      <c r="C3953" s="156">
        <v>0.78541666666666599</v>
      </c>
      <c r="D3953" s="71">
        <v>0</v>
      </c>
      <c r="E3953" s="71">
        <v>0</v>
      </c>
      <c r="F3953" s="71">
        <v>0</v>
      </c>
      <c r="G3953" s="71">
        <v>0</v>
      </c>
      <c r="H3953" s="71">
        <v>0</v>
      </c>
      <c r="I3953" s="71">
        <v>0</v>
      </c>
      <c r="J3953" s="71">
        <v>0</v>
      </c>
    </row>
    <row r="3954" spans="1:10">
      <c r="A3954" s="85" t="s">
        <v>108</v>
      </c>
      <c r="B3954" s="85" t="s">
        <v>36</v>
      </c>
      <c r="C3954" s="156">
        <v>0.78611111111111098</v>
      </c>
      <c r="D3954" s="71">
        <v>0</v>
      </c>
      <c r="E3954" s="71">
        <v>0</v>
      </c>
      <c r="F3954" s="71">
        <v>0</v>
      </c>
      <c r="G3954" s="71">
        <v>0</v>
      </c>
      <c r="H3954" s="71">
        <v>0</v>
      </c>
      <c r="I3954" s="71">
        <v>0</v>
      </c>
      <c r="J3954" s="71">
        <v>0</v>
      </c>
    </row>
    <row r="3955" spans="1:10">
      <c r="A3955" s="85" t="s">
        <v>108</v>
      </c>
      <c r="B3955" s="85" t="s">
        <v>36</v>
      </c>
      <c r="C3955" s="156">
        <v>0.78680555555555498</v>
      </c>
      <c r="D3955" s="71">
        <v>0</v>
      </c>
      <c r="E3955" s="71">
        <v>0</v>
      </c>
      <c r="F3955" s="71">
        <v>0</v>
      </c>
      <c r="G3955" s="71">
        <v>0</v>
      </c>
      <c r="H3955" s="71">
        <v>0</v>
      </c>
      <c r="I3955" s="71">
        <v>0</v>
      </c>
      <c r="J3955" s="71">
        <v>0</v>
      </c>
    </row>
    <row r="3956" spans="1:10">
      <c r="A3956" s="85" t="s">
        <v>108</v>
      </c>
      <c r="B3956" s="85" t="s">
        <v>36</v>
      </c>
      <c r="C3956" s="156">
        <v>0.78749999999999998</v>
      </c>
      <c r="D3956" s="71">
        <v>0</v>
      </c>
      <c r="E3956" s="71">
        <v>0</v>
      </c>
      <c r="F3956" s="71">
        <v>0</v>
      </c>
      <c r="G3956" s="71">
        <v>0</v>
      </c>
      <c r="H3956" s="71">
        <v>0</v>
      </c>
      <c r="I3956" s="71">
        <v>0</v>
      </c>
      <c r="J3956" s="71">
        <v>0</v>
      </c>
    </row>
    <row r="3957" spans="1:10">
      <c r="A3957" s="85" t="s">
        <v>108</v>
      </c>
      <c r="B3957" s="85" t="s">
        <v>36</v>
      </c>
      <c r="C3957" s="156">
        <v>0.78819444444444398</v>
      </c>
      <c r="D3957" s="71">
        <v>0</v>
      </c>
      <c r="E3957" s="71">
        <v>0</v>
      </c>
      <c r="F3957" s="71">
        <v>0</v>
      </c>
      <c r="G3957" s="71">
        <v>0</v>
      </c>
      <c r="H3957" s="71">
        <v>0</v>
      </c>
      <c r="I3957" s="71">
        <v>0</v>
      </c>
      <c r="J3957" s="71">
        <v>0</v>
      </c>
    </row>
    <row r="3958" spans="1:10">
      <c r="A3958" s="85" t="s">
        <v>108</v>
      </c>
      <c r="B3958" s="85" t="s">
        <v>36</v>
      </c>
      <c r="C3958" s="156">
        <v>0.78888888888888897</v>
      </c>
      <c r="D3958" s="71">
        <v>0</v>
      </c>
      <c r="E3958" s="71">
        <v>0</v>
      </c>
      <c r="F3958" s="71">
        <v>0</v>
      </c>
      <c r="G3958" s="71">
        <v>0</v>
      </c>
      <c r="H3958" s="71">
        <v>0</v>
      </c>
      <c r="I3958" s="71">
        <v>0</v>
      </c>
      <c r="J3958" s="71">
        <v>0</v>
      </c>
    </row>
    <row r="3959" spans="1:10">
      <c r="A3959" s="85" t="s">
        <v>108</v>
      </c>
      <c r="B3959" s="85" t="s">
        <v>36</v>
      </c>
      <c r="C3959" s="156">
        <v>0.78958333333333297</v>
      </c>
      <c r="D3959" s="71">
        <v>0</v>
      </c>
      <c r="E3959" s="71">
        <v>0</v>
      </c>
      <c r="F3959" s="71">
        <v>0</v>
      </c>
      <c r="G3959" s="71">
        <v>0</v>
      </c>
      <c r="H3959" s="71">
        <v>0</v>
      </c>
      <c r="I3959" s="71">
        <v>0</v>
      </c>
      <c r="J3959" s="71">
        <v>0</v>
      </c>
    </row>
    <row r="3960" spans="1:10">
      <c r="A3960" s="85" t="s">
        <v>108</v>
      </c>
      <c r="B3960" s="85" t="s">
        <v>36</v>
      </c>
      <c r="C3960" s="156">
        <v>0.79027777777777797</v>
      </c>
      <c r="D3960" s="71">
        <v>0</v>
      </c>
      <c r="E3960" s="71">
        <v>0</v>
      </c>
      <c r="F3960" s="71">
        <v>0</v>
      </c>
      <c r="G3960" s="71">
        <v>0</v>
      </c>
      <c r="H3960" s="71">
        <v>0</v>
      </c>
      <c r="I3960" s="71">
        <v>0</v>
      </c>
      <c r="J3960" s="71">
        <v>0</v>
      </c>
    </row>
    <row r="3961" spans="1:10" s="28" customFormat="1" ht="17.5" thickBot="1">
      <c r="A3961" s="100" t="s">
        <v>108</v>
      </c>
      <c r="B3961" s="100" t="s">
        <v>36</v>
      </c>
      <c r="C3961" s="157">
        <v>0.83194444444444504</v>
      </c>
      <c r="D3961" s="162">
        <v>0</v>
      </c>
      <c r="E3961" s="162">
        <v>0</v>
      </c>
      <c r="F3961" s="162">
        <v>0</v>
      </c>
      <c r="G3961" s="162">
        <v>0</v>
      </c>
      <c r="H3961" s="162">
        <v>0</v>
      </c>
      <c r="I3961" s="162">
        <v>0</v>
      </c>
      <c r="J3961" s="162">
        <v>0</v>
      </c>
    </row>
    <row r="3962" spans="1:10">
      <c r="A3962" s="85" t="s">
        <v>108</v>
      </c>
      <c r="B3962" s="85" t="s">
        <v>37</v>
      </c>
      <c r="C3962" s="156">
        <v>0.70833333333333337</v>
      </c>
      <c r="D3962" s="159">
        <v>0</v>
      </c>
      <c r="E3962" s="159">
        <v>0</v>
      </c>
      <c r="F3962" s="159">
        <v>0</v>
      </c>
      <c r="G3962" s="159">
        <v>0</v>
      </c>
      <c r="H3962" s="159">
        <v>0</v>
      </c>
      <c r="I3962" s="159">
        <v>0</v>
      </c>
      <c r="J3962" s="159">
        <v>0</v>
      </c>
    </row>
    <row r="3963" spans="1:10">
      <c r="A3963" s="85" t="s">
        <v>108</v>
      </c>
      <c r="B3963" s="85" t="s">
        <v>37</v>
      </c>
      <c r="C3963" s="156">
        <v>0.70902777777777781</v>
      </c>
      <c r="D3963" s="71">
        <v>0</v>
      </c>
      <c r="E3963" s="71">
        <v>0</v>
      </c>
      <c r="F3963" s="71">
        <v>0</v>
      </c>
      <c r="G3963" s="71">
        <v>0</v>
      </c>
      <c r="H3963" s="71">
        <v>0</v>
      </c>
      <c r="I3963" s="71">
        <v>0</v>
      </c>
      <c r="J3963" s="71">
        <v>0</v>
      </c>
    </row>
    <row r="3964" spans="1:10">
      <c r="A3964" s="85" t="s">
        <v>108</v>
      </c>
      <c r="B3964" s="85" t="s">
        <v>37</v>
      </c>
      <c r="C3964" s="156">
        <v>0.70972222222222203</v>
      </c>
      <c r="D3964" s="71">
        <v>0</v>
      </c>
      <c r="E3964" s="71">
        <v>0</v>
      </c>
      <c r="F3964" s="71">
        <v>0</v>
      </c>
      <c r="G3964" s="71">
        <v>0</v>
      </c>
      <c r="H3964" s="71">
        <v>0</v>
      </c>
      <c r="I3964" s="71">
        <v>0</v>
      </c>
      <c r="J3964" s="71">
        <v>0</v>
      </c>
    </row>
    <row r="3965" spans="1:10">
      <c r="A3965" s="85" t="s">
        <v>108</v>
      </c>
      <c r="B3965" s="85" t="s">
        <v>37</v>
      </c>
      <c r="C3965" s="156">
        <v>0.71041666666666703</v>
      </c>
      <c r="D3965" s="71">
        <v>0</v>
      </c>
      <c r="E3965" s="71">
        <v>0</v>
      </c>
      <c r="F3965" s="71">
        <v>0</v>
      </c>
      <c r="G3965" s="71">
        <v>0</v>
      </c>
      <c r="H3965" s="71">
        <v>0</v>
      </c>
      <c r="I3965" s="71">
        <v>0</v>
      </c>
      <c r="J3965" s="71">
        <v>0</v>
      </c>
    </row>
    <row r="3966" spans="1:10">
      <c r="A3966" s="85" t="s">
        <v>108</v>
      </c>
      <c r="B3966" s="85" t="s">
        <v>37</v>
      </c>
      <c r="C3966" s="156">
        <v>0.71111111111111103</v>
      </c>
      <c r="D3966" s="71">
        <v>0</v>
      </c>
      <c r="E3966" s="71">
        <v>0</v>
      </c>
      <c r="F3966" s="71">
        <v>0</v>
      </c>
      <c r="G3966" s="71">
        <v>0</v>
      </c>
      <c r="H3966" s="71">
        <v>0</v>
      </c>
      <c r="I3966" s="71">
        <v>0</v>
      </c>
      <c r="J3966" s="71">
        <v>0</v>
      </c>
    </row>
    <row r="3967" spans="1:10">
      <c r="A3967" s="85" t="s">
        <v>108</v>
      </c>
      <c r="B3967" s="85" t="s">
        <v>37</v>
      </c>
      <c r="C3967" s="156">
        <v>0.71180555555555602</v>
      </c>
      <c r="D3967" s="71">
        <v>0</v>
      </c>
      <c r="E3967" s="71">
        <v>0</v>
      </c>
      <c r="F3967" s="71">
        <v>0</v>
      </c>
      <c r="G3967" s="71">
        <v>0</v>
      </c>
      <c r="H3967" s="71">
        <v>0</v>
      </c>
      <c r="I3967" s="71">
        <v>0</v>
      </c>
      <c r="J3967" s="71">
        <v>0</v>
      </c>
    </row>
    <row r="3968" spans="1:10">
      <c r="A3968" s="85" t="s">
        <v>108</v>
      </c>
      <c r="B3968" s="85" t="s">
        <v>37</v>
      </c>
      <c r="C3968" s="156">
        <v>0.71250000000000002</v>
      </c>
      <c r="D3968" s="71">
        <v>0</v>
      </c>
      <c r="E3968" s="71">
        <v>0</v>
      </c>
      <c r="F3968" s="71">
        <v>0</v>
      </c>
      <c r="G3968" s="71">
        <v>0</v>
      </c>
      <c r="H3968" s="71">
        <v>0</v>
      </c>
      <c r="I3968" s="71">
        <v>0</v>
      </c>
      <c r="J3968" s="71">
        <v>0</v>
      </c>
    </row>
    <row r="3969" spans="1:10">
      <c r="A3969" s="85" t="s">
        <v>108</v>
      </c>
      <c r="B3969" s="85" t="s">
        <v>37</v>
      </c>
      <c r="C3969" s="156">
        <v>0.71319444444444402</v>
      </c>
      <c r="D3969" s="71">
        <v>0</v>
      </c>
      <c r="E3969" s="71">
        <v>0</v>
      </c>
      <c r="F3969" s="71">
        <v>0</v>
      </c>
      <c r="G3969" s="71">
        <v>0</v>
      </c>
      <c r="H3969" s="71">
        <v>0</v>
      </c>
      <c r="I3969" s="71">
        <v>0</v>
      </c>
      <c r="J3969" s="71">
        <v>0</v>
      </c>
    </row>
    <row r="3970" spans="1:10">
      <c r="A3970" s="85" t="s">
        <v>108</v>
      </c>
      <c r="B3970" s="85" t="s">
        <v>37</v>
      </c>
      <c r="C3970" s="156">
        <v>0.71388888888888902</v>
      </c>
      <c r="D3970" s="71">
        <v>0</v>
      </c>
      <c r="E3970" s="71">
        <v>0</v>
      </c>
      <c r="F3970" s="71">
        <v>0</v>
      </c>
      <c r="G3970" s="71">
        <v>0</v>
      </c>
      <c r="H3970" s="71">
        <v>0</v>
      </c>
      <c r="I3970" s="71">
        <v>0</v>
      </c>
      <c r="J3970" s="71">
        <v>0</v>
      </c>
    </row>
    <row r="3971" spans="1:10">
      <c r="A3971" s="85" t="s">
        <v>108</v>
      </c>
      <c r="B3971" s="85" t="s">
        <v>37</v>
      </c>
      <c r="C3971" s="156">
        <v>0.71458333333333302</v>
      </c>
      <c r="D3971" s="71">
        <v>0</v>
      </c>
      <c r="E3971" s="71">
        <v>0</v>
      </c>
      <c r="F3971" s="71">
        <v>0</v>
      </c>
      <c r="G3971" s="71">
        <v>0</v>
      </c>
      <c r="H3971" s="71">
        <v>0</v>
      </c>
      <c r="I3971" s="71">
        <v>0</v>
      </c>
      <c r="J3971" s="71">
        <v>0</v>
      </c>
    </row>
    <row r="3972" spans="1:10">
      <c r="A3972" s="85" t="s">
        <v>108</v>
      </c>
      <c r="B3972" s="85" t="s">
        <v>37</v>
      </c>
      <c r="C3972" s="156">
        <v>0.71527777777777801</v>
      </c>
      <c r="D3972" s="71">
        <v>0</v>
      </c>
      <c r="E3972" s="71">
        <v>0</v>
      </c>
      <c r="F3972" s="71">
        <v>0</v>
      </c>
      <c r="G3972" s="71">
        <v>0</v>
      </c>
      <c r="H3972" s="71">
        <v>0</v>
      </c>
      <c r="I3972" s="71">
        <v>0</v>
      </c>
      <c r="J3972" s="71">
        <v>0</v>
      </c>
    </row>
    <row r="3973" spans="1:10">
      <c r="A3973" s="85" t="s">
        <v>108</v>
      </c>
      <c r="B3973" s="85" t="s">
        <v>37</v>
      </c>
      <c r="C3973" s="156">
        <v>0.71597222222222201</v>
      </c>
      <c r="D3973" s="71">
        <v>0</v>
      </c>
      <c r="E3973" s="71">
        <v>0</v>
      </c>
      <c r="F3973" s="71">
        <v>0</v>
      </c>
      <c r="G3973" s="71">
        <v>0</v>
      </c>
      <c r="H3973" s="71">
        <v>0</v>
      </c>
      <c r="I3973" s="71">
        <v>0</v>
      </c>
      <c r="J3973" s="71">
        <v>0</v>
      </c>
    </row>
    <row r="3974" spans="1:10">
      <c r="A3974" s="85" t="s">
        <v>108</v>
      </c>
      <c r="B3974" s="85" t="s">
        <v>37</v>
      </c>
      <c r="C3974" s="156">
        <v>0.71666666666666701</v>
      </c>
      <c r="D3974" s="71">
        <v>0</v>
      </c>
      <c r="E3974" s="71">
        <v>0</v>
      </c>
      <c r="F3974" s="71">
        <v>0</v>
      </c>
      <c r="G3974" s="71">
        <v>0</v>
      </c>
      <c r="H3974" s="71">
        <v>0</v>
      </c>
      <c r="I3974" s="71">
        <v>0</v>
      </c>
      <c r="J3974" s="71">
        <v>0</v>
      </c>
    </row>
    <row r="3975" spans="1:10">
      <c r="A3975" s="85" t="s">
        <v>108</v>
      </c>
      <c r="B3975" s="85" t="s">
        <v>37</v>
      </c>
      <c r="C3975" s="156">
        <v>0.71736111111111101</v>
      </c>
      <c r="D3975" s="71">
        <v>0</v>
      </c>
      <c r="E3975" s="71">
        <v>0</v>
      </c>
      <c r="F3975" s="71">
        <v>0</v>
      </c>
      <c r="G3975" s="71">
        <v>0</v>
      </c>
      <c r="H3975" s="71">
        <v>0</v>
      </c>
      <c r="I3975" s="71">
        <v>0</v>
      </c>
      <c r="J3975" s="71">
        <v>0</v>
      </c>
    </row>
    <row r="3976" spans="1:10" s="78" customFormat="1">
      <c r="A3976" s="88" t="s">
        <v>108</v>
      </c>
      <c r="B3976" s="88" t="s">
        <v>37</v>
      </c>
      <c r="C3976" s="158">
        <v>0.718055555555556</v>
      </c>
      <c r="D3976" s="160">
        <v>0</v>
      </c>
      <c r="E3976" s="160">
        <v>0</v>
      </c>
      <c r="F3976" s="160">
        <v>0</v>
      </c>
      <c r="G3976" s="160">
        <v>0</v>
      </c>
      <c r="H3976" s="160">
        <v>0</v>
      </c>
      <c r="I3976" s="160">
        <v>0</v>
      </c>
      <c r="J3976" s="160">
        <v>0</v>
      </c>
    </row>
    <row r="3977" spans="1:10">
      <c r="A3977" s="85" t="s">
        <v>108</v>
      </c>
      <c r="B3977" s="85" t="s">
        <v>37</v>
      </c>
      <c r="C3977" s="156">
        <v>0.71875</v>
      </c>
      <c r="D3977" s="161">
        <v>0</v>
      </c>
      <c r="E3977" s="161">
        <v>0</v>
      </c>
      <c r="F3977" s="161">
        <v>0</v>
      </c>
      <c r="G3977" s="161">
        <v>0</v>
      </c>
      <c r="H3977" s="161">
        <v>0</v>
      </c>
      <c r="I3977" s="161">
        <v>0</v>
      </c>
      <c r="J3977" s="161">
        <v>0</v>
      </c>
    </row>
    <row r="3978" spans="1:10">
      <c r="A3978" s="85" t="s">
        <v>108</v>
      </c>
      <c r="B3978" s="85" t="s">
        <v>37</v>
      </c>
      <c r="C3978" s="156">
        <v>0.719444444444444</v>
      </c>
      <c r="D3978" s="71">
        <v>0</v>
      </c>
      <c r="E3978" s="71">
        <v>0</v>
      </c>
      <c r="F3978" s="71">
        <v>0</v>
      </c>
      <c r="G3978" s="71">
        <v>0</v>
      </c>
      <c r="H3978" s="71">
        <v>0</v>
      </c>
      <c r="I3978" s="71">
        <v>0</v>
      </c>
      <c r="J3978" s="71">
        <v>0</v>
      </c>
    </row>
    <row r="3979" spans="1:10">
      <c r="A3979" s="85" t="s">
        <v>108</v>
      </c>
      <c r="B3979" s="85" t="s">
        <v>37</v>
      </c>
      <c r="C3979" s="156">
        <v>0.72013888888888899</v>
      </c>
      <c r="D3979" s="71">
        <v>0</v>
      </c>
      <c r="E3979" s="71">
        <v>0</v>
      </c>
      <c r="F3979" s="71">
        <v>0</v>
      </c>
      <c r="G3979" s="71">
        <v>0</v>
      </c>
      <c r="H3979" s="71">
        <v>0</v>
      </c>
      <c r="I3979" s="71">
        <v>0</v>
      </c>
      <c r="J3979" s="71">
        <v>0</v>
      </c>
    </row>
    <row r="3980" spans="1:10">
      <c r="A3980" s="85" t="s">
        <v>108</v>
      </c>
      <c r="B3980" s="85" t="s">
        <v>37</v>
      </c>
      <c r="C3980" s="156">
        <v>0.72083333333333299</v>
      </c>
      <c r="D3980" s="71">
        <v>0</v>
      </c>
      <c r="E3980" s="71">
        <v>0</v>
      </c>
      <c r="F3980" s="71">
        <v>0</v>
      </c>
      <c r="G3980" s="71">
        <v>0</v>
      </c>
      <c r="H3980" s="71">
        <v>0</v>
      </c>
      <c r="I3980" s="71">
        <v>0</v>
      </c>
      <c r="J3980" s="71">
        <v>0</v>
      </c>
    </row>
    <row r="3981" spans="1:10">
      <c r="A3981" s="85" t="s">
        <v>108</v>
      </c>
      <c r="B3981" s="85" t="s">
        <v>37</v>
      </c>
      <c r="C3981" s="156">
        <v>0.72152777777777799</v>
      </c>
      <c r="D3981" s="71">
        <v>0</v>
      </c>
      <c r="E3981" s="71">
        <v>0</v>
      </c>
      <c r="F3981" s="71">
        <v>0</v>
      </c>
      <c r="G3981" s="71">
        <v>0</v>
      </c>
      <c r="H3981" s="71">
        <v>0</v>
      </c>
      <c r="I3981" s="71">
        <v>0</v>
      </c>
      <c r="J3981" s="71">
        <v>0</v>
      </c>
    </row>
    <row r="3982" spans="1:10">
      <c r="A3982" s="85" t="s">
        <v>108</v>
      </c>
      <c r="B3982" s="85" t="s">
        <v>37</v>
      </c>
      <c r="C3982" s="156">
        <v>0.72222222222222199</v>
      </c>
      <c r="D3982" s="71">
        <v>0</v>
      </c>
      <c r="E3982" s="71">
        <v>0</v>
      </c>
      <c r="F3982" s="71">
        <v>0</v>
      </c>
      <c r="G3982" s="71">
        <v>0</v>
      </c>
      <c r="H3982" s="71">
        <v>0</v>
      </c>
      <c r="I3982" s="71">
        <v>0</v>
      </c>
      <c r="J3982" s="71">
        <v>0</v>
      </c>
    </row>
    <row r="3983" spans="1:10">
      <c r="A3983" s="85" t="s">
        <v>108</v>
      </c>
      <c r="B3983" s="85" t="s">
        <v>37</v>
      </c>
      <c r="C3983" s="156">
        <v>0.72291666666666698</v>
      </c>
      <c r="D3983" s="71">
        <v>0</v>
      </c>
      <c r="E3983" s="71">
        <v>0</v>
      </c>
      <c r="F3983" s="71">
        <v>0</v>
      </c>
      <c r="G3983" s="71">
        <v>0</v>
      </c>
      <c r="H3983" s="71">
        <v>0</v>
      </c>
      <c r="I3983" s="71">
        <v>0</v>
      </c>
      <c r="J3983" s="71">
        <v>0</v>
      </c>
    </row>
    <row r="3984" spans="1:10">
      <c r="A3984" s="85" t="s">
        <v>108</v>
      </c>
      <c r="B3984" s="85" t="s">
        <v>37</v>
      </c>
      <c r="C3984" s="156">
        <v>0.72361111111111098</v>
      </c>
      <c r="D3984" s="71">
        <v>0</v>
      </c>
      <c r="E3984" s="71">
        <v>0</v>
      </c>
      <c r="F3984" s="71">
        <v>0</v>
      </c>
      <c r="G3984" s="71">
        <v>0</v>
      </c>
      <c r="H3984" s="71">
        <v>0</v>
      </c>
      <c r="I3984" s="71">
        <v>0</v>
      </c>
      <c r="J3984" s="71">
        <v>0</v>
      </c>
    </row>
    <row r="3985" spans="1:10">
      <c r="A3985" s="85" t="s">
        <v>108</v>
      </c>
      <c r="B3985" s="85" t="s">
        <v>37</v>
      </c>
      <c r="C3985" s="156">
        <v>0.72430555555555598</v>
      </c>
      <c r="D3985" s="71">
        <v>0</v>
      </c>
      <c r="E3985" s="71">
        <v>0</v>
      </c>
      <c r="F3985" s="71">
        <v>0</v>
      </c>
      <c r="G3985" s="71">
        <v>0</v>
      </c>
      <c r="H3985" s="71">
        <v>0</v>
      </c>
      <c r="I3985" s="71">
        <v>0</v>
      </c>
      <c r="J3985" s="71">
        <v>0</v>
      </c>
    </row>
    <row r="3986" spans="1:10">
      <c r="A3986" s="85" t="s">
        <v>108</v>
      </c>
      <c r="B3986" s="85" t="s">
        <v>37</v>
      </c>
      <c r="C3986" s="156">
        <v>0.72499999999999998</v>
      </c>
      <c r="D3986" s="71">
        <v>0</v>
      </c>
      <c r="E3986" s="71">
        <v>0</v>
      </c>
      <c r="F3986" s="71">
        <v>0</v>
      </c>
      <c r="G3986" s="71">
        <v>0</v>
      </c>
      <c r="H3986" s="71">
        <v>0</v>
      </c>
      <c r="I3986" s="71">
        <v>0</v>
      </c>
      <c r="J3986" s="71">
        <v>0</v>
      </c>
    </row>
    <row r="3987" spans="1:10">
      <c r="A3987" s="85" t="s">
        <v>108</v>
      </c>
      <c r="B3987" s="85" t="s">
        <v>37</v>
      </c>
      <c r="C3987" s="156">
        <v>0.72569444444444398</v>
      </c>
      <c r="D3987" s="71">
        <v>0</v>
      </c>
      <c r="E3987" s="71">
        <v>0</v>
      </c>
      <c r="F3987" s="71">
        <v>0</v>
      </c>
      <c r="G3987" s="71">
        <v>0</v>
      </c>
      <c r="H3987" s="71">
        <v>0</v>
      </c>
      <c r="I3987" s="71">
        <v>0</v>
      </c>
      <c r="J3987" s="71">
        <v>0</v>
      </c>
    </row>
    <row r="3988" spans="1:10">
      <c r="A3988" s="85" t="s">
        <v>108</v>
      </c>
      <c r="B3988" s="85" t="s">
        <v>37</v>
      </c>
      <c r="C3988" s="156">
        <v>0.72638888888888897</v>
      </c>
      <c r="D3988" s="71">
        <v>0</v>
      </c>
      <c r="E3988" s="71">
        <v>0</v>
      </c>
      <c r="F3988" s="71">
        <v>0</v>
      </c>
      <c r="G3988" s="71">
        <v>0</v>
      </c>
      <c r="H3988" s="71">
        <v>0</v>
      </c>
      <c r="I3988" s="71">
        <v>0</v>
      </c>
      <c r="J3988" s="71">
        <v>0</v>
      </c>
    </row>
    <row r="3989" spans="1:10">
      <c r="A3989" s="85" t="s">
        <v>108</v>
      </c>
      <c r="B3989" s="85" t="s">
        <v>37</v>
      </c>
      <c r="C3989" s="156">
        <v>0.72708333333333297</v>
      </c>
      <c r="D3989" s="71">
        <v>0</v>
      </c>
      <c r="E3989" s="71">
        <v>0</v>
      </c>
      <c r="F3989" s="71">
        <v>0</v>
      </c>
      <c r="G3989" s="71">
        <v>0</v>
      </c>
      <c r="H3989" s="71">
        <v>0</v>
      </c>
      <c r="I3989" s="71">
        <v>0</v>
      </c>
      <c r="J3989" s="71">
        <v>0</v>
      </c>
    </row>
    <row r="3990" spans="1:10">
      <c r="A3990" s="85" t="s">
        <v>108</v>
      </c>
      <c r="B3990" s="85" t="s">
        <v>37</v>
      </c>
      <c r="C3990" s="156">
        <v>0.72777777777777797</v>
      </c>
      <c r="D3990" s="71">
        <v>0</v>
      </c>
      <c r="E3990" s="71">
        <v>0</v>
      </c>
      <c r="F3990" s="71">
        <v>0</v>
      </c>
      <c r="G3990" s="71">
        <v>0</v>
      </c>
      <c r="H3990" s="71">
        <v>0</v>
      </c>
      <c r="I3990" s="71">
        <v>0</v>
      </c>
      <c r="J3990" s="71">
        <v>0</v>
      </c>
    </row>
    <row r="3991" spans="1:10" s="78" customFormat="1">
      <c r="A3991" s="88" t="s">
        <v>108</v>
      </c>
      <c r="B3991" s="88" t="s">
        <v>37</v>
      </c>
      <c r="C3991" s="158">
        <v>0.72847222222222197</v>
      </c>
      <c r="D3991" s="160">
        <v>0</v>
      </c>
      <c r="E3991" s="160">
        <v>0</v>
      </c>
      <c r="F3991" s="160">
        <v>0</v>
      </c>
      <c r="G3991" s="160">
        <v>0</v>
      </c>
      <c r="H3991" s="160">
        <v>0</v>
      </c>
      <c r="I3991" s="160">
        <v>0</v>
      </c>
      <c r="J3991" s="160">
        <v>0</v>
      </c>
    </row>
    <row r="3992" spans="1:10">
      <c r="A3992" s="85" t="s">
        <v>108</v>
      </c>
      <c r="B3992" s="85" t="s">
        <v>37</v>
      </c>
      <c r="C3992" s="156">
        <v>0.72916666666666696</v>
      </c>
      <c r="D3992" s="161">
        <v>0</v>
      </c>
      <c r="E3992" s="161">
        <v>0</v>
      </c>
      <c r="F3992" s="161">
        <v>0</v>
      </c>
      <c r="G3992" s="161">
        <v>0</v>
      </c>
      <c r="H3992" s="161">
        <v>0</v>
      </c>
      <c r="I3992" s="161">
        <v>0</v>
      </c>
      <c r="J3992" s="161">
        <v>0</v>
      </c>
    </row>
    <row r="3993" spans="1:10">
      <c r="A3993" s="85" t="s">
        <v>108</v>
      </c>
      <c r="B3993" s="85" t="s">
        <v>37</v>
      </c>
      <c r="C3993" s="156">
        <v>0.72986111111111096</v>
      </c>
      <c r="D3993" s="71">
        <v>0</v>
      </c>
      <c r="E3993" s="71">
        <v>0</v>
      </c>
      <c r="F3993" s="71">
        <v>0</v>
      </c>
      <c r="G3993" s="71">
        <v>0</v>
      </c>
      <c r="H3993" s="71">
        <v>0</v>
      </c>
      <c r="I3993" s="71">
        <v>0</v>
      </c>
      <c r="J3993" s="71">
        <v>0</v>
      </c>
    </row>
    <row r="3994" spans="1:10">
      <c r="A3994" s="85" t="s">
        <v>108</v>
      </c>
      <c r="B3994" s="85" t="s">
        <v>37</v>
      </c>
      <c r="C3994" s="156">
        <v>0.73055555555555596</v>
      </c>
      <c r="D3994" s="71">
        <v>0</v>
      </c>
      <c r="E3994" s="71">
        <v>0</v>
      </c>
      <c r="F3994" s="71">
        <v>0</v>
      </c>
      <c r="G3994" s="71">
        <v>0</v>
      </c>
      <c r="H3994" s="71">
        <v>0</v>
      </c>
      <c r="I3994" s="71">
        <v>0</v>
      </c>
      <c r="J3994" s="71">
        <v>0</v>
      </c>
    </row>
    <row r="3995" spans="1:10">
      <c r="A3995" s="85" t="s">
        <v>108</v>
      </c>
      <c r="B3995" s="85" t="s">
        <v>37</v>
      </c>
      <c r="C3995" s="156">
        <v>0.73124999999999996</v>
      </c>
      <c r="D3995" s="71">
        <v>0</v>
      </c>
      <c r="E3995" s="71">
        <v>0</v>
      </c>
      <c r="F3995" s="71">
        <v>0</v>
      </c>
      <c r="G3995" s="71">
        <v>0</v>
      </c>
      <c r="H3995" s="71">
        <v>0</v>
      </c>
      <c r="I3995" s="71">
        <v>0</v>
      </c>
      <c r="J3995" s="71">
        <v>0</v>
      </c>
    </row>
    <row r="3996" spans="1:10">
      <c r="A3996" s="85" t="s">
        <v>108</v>
      </c>
      <c r="B3996" s="85" t="s">
        <v>37</v>
      </c>
      <c r="C3996" s="156">
        <v>0.73194444444444395</v>
      </c>
      <c r="D3996" s="71">
        <v>0</v>
      </c>
      <c r="E3996" s="71">
        <v>0</v>
      </c>
      <c r="F3996" s="71">
        <v>0</v>
      </c>
      <c r="G3996" s="71">
        <v>0</v>
      </c>
      <c r="H3996" s="71">
        <v>0</v>
      </c>
      <c r="I3996" s="71">
        <v>0</v>
      </c>
      <c r="J3996" s="71">
        <v>0</v>
      </c>
    </row>
    <row r="3997" spans="1:10">
      <c r="A3997" s="85" t="s">
        <v>108</v>
      </c>
      <c r="B3997" s="85" t="s">
        <v>37</v>
      </c>
      <c r="C3997" s="156">
        <v>0.73263888888888895</v>
      </c>
      <c r="D3997" s="71">
        <v>0</v>
      </c>
      <c r="E3997" s="71">
        <v>0</v>
      </c>
      <c r="F3997" s="71">
        <v>0</v>
      </c>
      <c r="G3997" s="71">
        <v>0</v>
      </c>
      <c r="H3997" s="71">
        <v>0</v>
      </c>
      <c r="I3997" s="71">
        <v>0</v>
      </c>
      <c r="J3997" s="71">
        <v>0</v>
      </c>
    </row>
    <row r="3998" spans="1:10">
      <c r="A3998" s="85" t="s">
        <v>108</v>
      </c>
      <c r="B3998" s="85" t="s">
        <v>37</v>
      </c>
      <c r="C3998" s="156">
        <v>0.73333333333333295</v>
      </c>
      <c r="D3998" s="71">
        <v>0</v>
      </c>
      <c r="E3998" s="71">
        <v>0</v>
      </c>
      <c r="F3998" s="71">
        <v>0</v>
      </c>
      <c r="G3998" s="71">
        <v>0</v>
      </c>
      <c r="H3998" s="71">
        <v>0</v>
      </c>
      <c r="I3998" s="71">
        <v>0</v>
      </c>
      <c r="J3998" s="71">
        <v>0</v>
      </c>
    </row>
    <row r="3999" spans="1:10">
      <c r="A3999" s="85" t="s">
        <v>108</v>
      </c>
      <c r="B3999" s="85" t="s">
        <v>37</v>
      </c>
      <c r="C3999" s="156">
        <v>0.73402777777777795</v>
      </c>
      <c r="D3999" s="71">
        <v>0</v>
      </c>
      <c r="E3999" s="71">
        <v>0</v>
      </c>
      <c r="F3999" s="71">
        <v>0</v>
      </c>
      <c r="G3999" s="71">
        <v>0</v>
      </c>
      <c r="H3999" s="71">
        <v>0</v>
      </c>
      <c r="I3999" s="71">
        <v>0</v>
      </c>
      <c r="J3999" s="71">
        <v>0</v>
      </c>
    </row>
    <row r="4000" spans="1:10">
      <c r="A4000" s="85" t="s">
        <v>108</v>
      </c>
      <c r="B4000" s="85" t="s">
        <v>37</v>
      </c>
      <c r="C4000" s="156">
        <v>0.73472222222222205</v>
      </c>
      <c r="D4000" s="71">
        <v>0</v>
      </c>
      <c r="E4000" s="71">
        <v>0</v>
      </c>
      <c r="F4000" s="71">
        <v>0</v>
      </c>
      <c r="G4000" s="71">
        <v>0</v>
      </c>
      <c r="H4000" s="71">
        <v>0</v>
      </c>
      <c r="I4000" s="71">
        <v>0</v>
      </c>
      <c r="J4000" s="71">
        <v>0</v>
      </c>
    </row>
    <row r="4001" spans="1:10">
      <c r="A4001" s="85" t="s">
        <v>108</v>
      </c>
      <c r="B4001" s="85" t="s">
        <v>37</v>
      </c>
      <c r="C4001" s="156">
        <v>0.73541666666666705</v>
      </c>
      <c r="D4001" s="71">
        <v>0</v>
      </c>
      <c r="E4001" s="71">
        <v>0</v>
      </c>
      <c r="F4001" s="71">
        <v>0</v>
      </c>
      <c r="G4001" s="71">
        <v>0</v>
      </c>
      <c r="H4001" s="71">
        <v>0</v>
      </c>
      <c r="I4001" s="71">
        <v>0</v>
      </c>
      <c r="J4001" s="71">
        <v>0</v>
      </c>
    </row>
    <row r="4002" spans="1:10">
      <c r="A4002" s="85" t="s">
        <v>108</v>
      </c>
      <c r="B4002" s="85" t="s">
        <v>37</v>
      </c>
      <c r="C4002" s="156">
        <v>0.73611111111111105</v>
      </c>
      <c r="D4002" s="71">
        <v>0</v>
      </c>
      <c r="E4002" s="71">
        <v>0</v>
      </c>
      <c r="F4002" s="71">
        <v>0</v>
      </c>
      <c r="G4002" s="71">
        <v>0</v>
      </c>
      <c r="H4002" s="71">
        <v>0</v>
      </c>
      <c r="I4002" s="71">
        <v>0</v>
      </c>
      <c r="J4002" s="71">
        <v>0</v>
      </c>
    </row>
    <row r="4003" spans="1:10">
      <c r="A4003" s="85" t="s">
        <v>108</v>
      </c>
      <c r="B4003" s="85" t="s">
        <v>37</v>
      </c>
      <c r="C4003" s="156">
        <v>0.73680555555555505</v>
      </c>
      <c r="D4003" s="71">
        <v>0</v>
      </c>
      <c r="E4003" s="71">
        <v>0</v>
      </c>
      <c r="F4003" s="71">
        <v>0</v>
      </c>
      <c r="G4003" s="71">
        <v>0</v>
      </c>
      <c r="H4003" s="71">
        <v>0</v>
      </c>
      <c r="I4003" s="71">
        <v>0</v>
      </c>
      <c r="J4003" s="71">
        <v>0</v>
      </c>
    </row>
    <row r="4004" spans="1:10">
      <c r="A4004" s="85" t="s">
        <v>108</v>
      </c>
      <c r="B4004" s="85" t="s">
        <v>37</v>
      </c>
      <c r="C4004" s="156">
        <v>0.73750000000000004</v>
      </c>
      <c r="D4004" s="71">
        <v>0</v>
      </c>
      <c r="E4004" s="71">
        <v>0</v>
      </c>
      <c r="F4004" s="71">
        <v>0</v>
      </c>
      <c r="G4004" s="71">
        <v>0</v>
      </c>
      <c r="H4004" s="71">
        <v>0</v>
      </c>
      <c r="I4004" s="71">
        <v>0</v>
      </c>
      <c r="J4004" s="71">
        <v>0</v>
      </c>
    </row>
    <row r="4005" spans="1:10">
      <c r="A4005" s="85" t="s">
        <v>108</v>
      </c>
      <c r="B4005" s="85" t="s">
        <v>37</v>
      </c>
      <c r="C4005" s="156">
        <v>0.73819444444444404</v>
      </c>
      <c r="D4005" s="71">
        <v>0</v>
      </c>
      <c r="E4005" s="71">
        <v>0</v>
      </c>
      <c r="F4005" s="71">
        <v>0</v>
      </c>
      <c r="G4005" s="71">
        <v>0</v>
      </c>
      <c r="H4005" s="71">
        <v>0</v>
      </c>
      <c r="I4005" s="71">
        <v>0</v>
      </c>
      <c r="J4005" s="71">
        <v>0</v>
      </c>
    </row>
    <row r="4006" spans="1:10" s="78" customFormat="1">
      <c r="A4006" s="88" t="s">
        <v>108</v>
      </c>
      <c r="B4006" s="88" t="s">
        <v>37</v>
      </c>
      <c r="C4006" s="158">
        <v>0.73888888888888904</v>
      </c>
      <c r="D4006" s="160">
        <v>0</v>
      </c>
      <c r="E4006" s="160">
        <v>0</v>
      </c>
      <c r="F4006" s="160">
        <v>0</v>
      </c>
      <c r="G4006" s="160">
        <v>0</v>
      </c>
      <c r="H4006" s="160">
        <v>0</v>
      </c>
      <c r="I4006" s="160">
        <v>0</v>
      </c>
      <c r="J4006" s="160">
        <v>0</v>
      </c>
    </row>
    <row r="4007" spans="1:10">
      <c r="A4007" s="85" t="s">
        <v>108</v>
      </c>
      <c r="B4007" s="85" t="s">
        <v>37</v>
      </c>
      <c r="C4007" s="156">
        <v>0.73958333333333304</v>
      </c>
      <c r="D4007" s="161">
        <v>0</v>
      </c>
      <c r="E4007" s="161">
        <v>0</v>
      </c>
      <c r="F4007" s="161">
        <v>0</v>
      </c>
      <c r="G4007" s="161">
        <v>0</v>
      </c>
      <c r="H4007" s="161">
        <v>0</v>
      </c>
      <c r="I4007" s="161">
        <v>0</v>
      </c>
      <c r="J4007" s="161">
        <v>0</v>
      </c>
    </row>
    <row r="4008" spans="1:10">
      <c r="A4008" s="85" t="s">
        <v>108</v>
      </c>
      <c r="B4008" s="85" t="s">
        <v>37</v>
      </c>
      <c r="C4008" s="156">
        <v>0.74027777777777803</v>
      </c>
      <c r="D4008" s="71">
        <v>0</v>
      </c>
      <c r="E4008" s="71">
        <v>0</v>
      </c>
      <c r="F4008" s="71">
        <v>0</v>
      </c>
      <c r="G4008" s="71">
        <v>0</v>
      </c>
      <c r="H4008" s="71">
        <v>0</v>
      </c>
      <c r="I4008" s="71">
        <v>0</v>
      </c>
      <c r="J4008" s="71">
        <v>0</v>
      </c>
    </row>
    <row r="4009" spans="1:10">
      <c r="A4009" s="85" t="s">
        <v>108</v>
      </c>
      <c r="B4009" s="85" t="s">
        <v>37</v>
      </c>
      <c r="C4009" s="156">
        <v>0.74097222222222203</v>
      </c>
      <c r="D4009" s="71">
        <v>0</v>
      </c>
      <c r="E4009" s="71">
        <v>0</v>
      </c>
      <c r="F4009" s="71">
        <v>0</v>
      </c>
      <c r="G4009" s="71">
        <v>0</v>
      </c>
      <c r="H4009" s="71">
        <v>0</v>
      </c>
      <c r="I4009" s="71">
        <v>0</v>
      </c>
      <c r="J4009" s="71">
        <v>0</v>
      </c>
    </row>
    <row r="4010" spans="1:10">
      <c r="A4010" s="85" t="s">
        <v>108</v>
      </c>
      <c r="B4010" s="85" t="s">
        <v>37</v>
      </c>
      <c r="C4010" s="156">
        <v>0.74166666666666703</v>
      </c>
      <c r="D4010" s="71">
        <v>0</v>
      </c>
      <c r="E4010" s="71">
        <v>0</v>
      </c>
      <c r="F4010" s="71">
        <v>0</v>
      </c>
      <c r="G4010" s="71">
        <v>0</v>
      </c>
      <c r="H4010" s="71">
        <v>0</v>
      </c>
      <c r="I4010" s="71">
        <v>0</v>
      </c>
      <c r="J4010" s="71">
        <v>0</v>
      </c>
    </row>
    <row r="4011" spans="1:10">
      <c r="A4011" s="85" t="s">
        <v>108</v>
      </c>
      <c r="B4011" s="85" t="s">
        <v>37</v>
      </c>
      <c r="C4011" s="156">
        <v>0.74236111111111103</v>
      </c>
      <c r="D4011" s="71">
        <v>0</v>
      </c>
      <c r="E4011" s="71">
        <v>0</v>
      </c>
      <c r="F4011" s="71">
        <v>0</v>
      </c>
      <c r="G4011" s="71">
        <v>0</v>
      </c>
      <c r="H4011" s="71">
        <v>0</v>
      </c>
      <c r="I4011" s="71">
        <v>0</v>
      </c>
      <c r="J4011" s="71">
        <v>0</v>
      </c>
    </row>
    <row r="4012" spans="1:10">
      <c r="A4012" s="85" t="s">
        <v>108</v>
      </c>
      <c r="B4012" s="85" t="s">
        <v>37</v>
      </c>
      <c r="C4012" s="156">
        <v>0.74305555555555503</v>
      </c>
      <c r="D4012" s="71">
        <v>0</v>
      </c>
      <c r="E4012" s="71">
        <v>0</v>
      </c>
      <c r="F4012" s="71">
        <v>0</v>
      </c>
      <c r="G4012" s="71">
        <v>0</v>
      </c>
      <c r="H4012" s="71">
        <v>0</v>
      </c>
      <c r="I4012" s="71">
        <v>0</v>
      </c>
      <c r="J4012" s="71">
        <v>0</v>
      </c>
    </row>
    <row r="4013" spans="1:10">
      <c r="A4013" s="85" t="s">
        <v>108</v>
      </c>
      <c r="B4013" s="85" t="s">
        <v>37</v>
      </c>
      <c r="C4013" s="156">
        <v>0.74375000000000002</v>
      </c>
      <c r="D4013" s="71">
        <v>0</v>
      </c>
      <c r="E4013" s="71">
        <v>0</v>
      </c>
      <c r="F4013" s="71">
        <v>0</v>
      </c>
      <c r="G4013" s="71">
        <v>0</v>
      </c>
      <c r="H4013" s="71">
        <v>0</v>
      </c>
      <c r="I4013" s="71">
        <v>0</v>
      </c>
      <c r="J4013" s="71">
        <v>0</v>
      </c>
    </row>
    <row r="4014" spans="1:10">
      <c r="A4014" s="85" t="s">
        <v>108</v>
      </c>
      <c r="B4014" s="85" t="s">
        <v>37</v>
      </c>
      <c r="C4014" s="156">
        <v>0.74444444444444402</v>
      </c>
      <c r="D4014" s="71">
        <v>0</v>
      </c>
      <c r="E4014" s="71">
        <v>0</v>
      </c>
      <c r="F4014" s="71">
        <v>0</v>
      </c>
      <c r="G4014" s="71">
        <v>0</v>
      </c>
      <c r="H4014" s="71">
        <v>0</v>
      </c>
      <c r="I4014" s="71">
        <v>0</v>
      </c>
      <c r="J4014" s="71">
        <v>0</v>
      </c>
    </row>
    <row r="4015" spans="1:10">
      <c r="A4015" s="85" t="s">
        <v>108</v>
      </c>
      <c r="B4015" s="85" t="s">
        <v>37</v>
      </c>
      <c r="C4015" s="156">
        <v>0.74513888888888902</v>
      </c>
      <c r="D4015" s="71">
        <v>0</v>
      </c>
      <c r="E4015" s="71">
        <v>0</v>
      </c>
      <c r="F4015" s="71">
        <v>0</v>
      </c>
      <c r="G4015" s="71">
        <v>0</v>
      </c>
      <c r="H4015" s="71">
        <v>0</v>
      </c>
      <c r="I4015" s="71">
        <v>0</v>
      </c>
      <c r="J4015" s="71">
        <v>0</v>
      </c>
    </row>
    <row r="4016" spans="1:10">
      <c r="A4016" s="85" t="s">
        <v>108</v>
      </c>
      <c r="B4016" s="85" t="s">
        <v>37</v>
      </c>
      <c r="C4016" s="156">
        <v>0.74583333333333302</v>
      </c>
      <c r="D4016" s="71">
        <v>0</v>
      </c>
      <c r="E4016" s="71">
        <v>0</v>
      </c>
      <c r="F4016" s="71">
        <v>0</v>
      </c>
      <c r="G4016" s="71">
        <v>0</v>
      </c>
      <c r="H4016" s="71">
        <v>0</v>
      </c>
      <c r="I4016" s="71">
        <v>0</v>
      </c>
      <c r="J4016" s="71">
        <v>0</v>
      </c>
    </row>
    <row r="4017" spans="1:10">
      <c r="A4017" s="85" t="s">
        <v>108</v>
      </c>
      <c r="B4017" s="85" t="s">
        <v>37</v>
      </c>
      <c r="C4017" s="156">
        <v>0.74652777777777801</v>
      </c>
      <c r="D4017" s="71">
        <v>0</v>
      </c>
      <c r="E4017" s="71">
        <v>0</v>
      </c>
      <c r="F4017" s="71">
        <v>0</v>
      </c>
      <c r="G4017" s="71">
        <v>0</v>
      </c>
      <c r="H4017" s="71">
        <v>0</v>
      </c>
      <c r="I4017" s="71">
        <v>0</v>
      </c>
      <c r="J4017" s="71">
        <v>0</v>
      </c>
    </row>
    <row r="4018" spans="1:10">
      <c r="A4018" s="85" t="s">
        <v>108</v>
      </c>
      <c r="B4018" s="85" t="s">
        <v>37</v>
      </c>
      <c r="C4018" s="156">
        <v>0.74722222222222201</v>
      </c>
      <c r="D4018" s="71">
        <v>0</v>
      </c>
      <c r="E4018" s="71">
        <v>0</v>
      </c>
      <c r="F4018" s="71">
        <v>0</v>
      </c>
      <c r="G4018" s="71">
        <v>0</v>
      </c>
      <c r="H4018" s="71">
        <v>0</v>
      </c>
      <c r="I4018" s="71">
        <v>0</v>
      </c>
      <c r="J4018" s="71">
        <v>0</v>
      </c>
    </row>
    <row r="4019" spans="1:10">
      <c r="A4019" s="85" t="s">
        <v>108</v>
      </c>
      <c r="B4019" s="85" t="s">
        <v>37</v>
      </c>
      <c r="C4019" s="156">
        <v>0.74791666666666701</v>
      </c>
      <c r="D4019" s="71">
        <v>0</v>
      </c>
      <c r="E4019" s="71">
        <v>0</v>
      </c>
      <c r="F4019" s="71">
        <v>0</v>
      </c>
      <c r="G4019" s="71">
        <v>0</v>
      </c>
      <c r="H4019" s="71">
        <v>0</v>
      </c>
      <c r="I4019" s="71">
        <v>0</v>
      </c>
      <c r="J4019" s="71">
        <v>0</v>
      </c>
    </row>
    <row r="4020" spans="1:10">
      <c r="A4020" s="85" t="s">
        <v>108</v>
      </c>
      <c r="B4020" s="85" t="s">
        <v>37</v>
      </c>
      <c r="C4020" s="156">
        <v>0.74861111111111101</v>
      </c>
      <c r="D4020" s="71">
        <v>0</v>
      </c>
      <c r="E4020" s="71">
        <v>0</v>
      </c>
      <c r="F4020" s="71">
        <v>0</v>
      </c>
      <c r="G4020" s="71">
        <v>0</v>
      </c>
      <c r="H4020" s="71">
        <v>0</v>
      </c>
      <c r="I4020" s="71">
        <v>0</v>
      </c>
      <c r="J4020" s="71">
        <v>0</v>
      </c>
    </row>
    <row r="4021" spans="1:10" s="78" customFormat="1">
      <c r="A4021" s="88" t="s">
        <v>108</v>
      </c>
      <c r="B4021" s="88" t="s">
        <v>37</v>
      </c>
      <c r="C4021" s="158">
        <v>0.749305555555555</v>
      </c>
      <c r="D4021" s="160">
        <v>0</v>
      </c>
      <c r="E4021" s="160">
        <v>0</v>
      </c>
      <c r="F4021" s="160">
        <v>0</v>
      </c>
      <c r="G4021" s="160">
        <v>0</v>
      </c>
      <c r="H4021" s="160">
        <v>0</v>
      </c>
      <c r="I4021" s="160">
        <v>0</v>
      </c>
      <c r="J4021" s="160">
        <v>0</v>
      </c>
    </row>
    <row r="4022" spans="1:10">
      <c r="A4022" s="85" t="s">
        <v>108</v>
      </c>
      <c r="B4022" s="85" t="s">
        <v>37</v>
      </c>
      <c r="C4022" s="156">
        <v>0.75</v>
      </c>
      <c r="D4022" s="161">
        <v>0</v>
      </c>
      <c r="E4022" s="161">
        <v>0</v>
      </c>
      <c r="F4022" s="161">
        <v>0</v>
      </c>
      <c r="G4022" s="161">
        <v>0</v>
      </c>
      <c r="H4022" s="161">
        <v>0</v>
      </c>
      <c r="I4022" s="161">
        <v>0</v>
      </c>
      <c r="J4022" s="161">
        <v>0</v>
      </c>
    </row>
    <row r="4023" spans="1:10">
      <c r="A4023" s="85" t="s">
        <v>108</v>
      </c>
      <c r="B4023" s="85" t="s">
        <v>37</v>
      </c>
      <c r="C4023" s="156">
        <v>0.750694444444444</v>
      </c>
      <c r="D4023" s="71">
        <v>0</v>
      </c>
      <c r="E4023" s="71">
        <v>0</v>
      </c>
      <c r="F4023" s="71">
        <v>0</v>
      </c>
      <c r="G4023" s="71">
        <v>0</v>
      </c>
      <c r="H4023" s="71">
        <v>0</v>
      </c>
      <c r="I4023" s="71">
        <v>0</v>
      </c>
      <c r="J4023" s="71">
        <v>0</v>
      </c>
    </row>
    <row r="4024" spans="1:10">
      <c r="A4024" s="85" t="s">
        <v>108</v>
      </c>
      <c r="B4024" s="85" t="s">
        <v>37</v>
      </c>
      <c r="C4024" s="156">
        <v>0.75138888888888899</v>
      </c>
      <c r="D4024" s="71">
        <v>0</v>
      </c>
      <c r="E4024" s="71">
        <v>0</v>
      </c>
      <c r="F4024" s="71">
        <v>0</v>
      </c>
      <c r="G4024" s="71">
        <v>0</v>
      </c>
      <c r="H4024" s="71">
        <v>0</v>
      </c>
      <c r="I4024" s="71">
        <v>0</v>
      </c>
      <c r="J4024" s="71">
        <v>0</v>
      </c>
    </row>
    <row r="4025" spans="1:10">
      <c r="A4025" s="85" t="s">
        <v>108</v>
      </c>
      <c r="B4025" s="85" t="s">
        <v>37</v>
      </c>
      <c r="C4025" s="156">
        <v>0.75208333333333299</v>
      </c>
      <c r="D4025" s="71">
        <v>0</v>
      </c>
      <c r="E4025" s="71">
        <v>0</v>
      </c>
      <c r="F4025" s="71">
        <v>0</v>
      </c>
      <c r="G4025" s="71">
        <v>0</v>
      </c>
      <c r="H4025" s="71">
        <v>0</v>
      </c>
      <c r="I4025" s="71">
        <v>0</v>
      </c>
      <c r="J4025" s="71">
        <v>0</v>
      </c>
    </row>
    <row r="4026" spans="1:10">
      <c r="A4026" s="85" t="s">
        <v>108</v>
      </c>
      <c r="B4026" s="85" t="s">
        <v>37</v>
      </c>
      <c r="C4026" s="156">
        <v>0.75277777777777799</v>
      </c>
      <c r="D4026" s="71">
        <v>0</v>
      </c>
      <c r="E4026" s="71">
        <v>0</v>
      </c>
      <c r="F4026" s="71">
        <v>0</v>
      </c>
      <c r="G4026" s="71">
        <v>0</v>
      </c>
      <c r="H4026" s="71">
        <v>0</v>
      </c>
      <c r="I4026" s="71">
        <v>0</v>
      </c>
      <c r="J4026" s="71">
        <v>0</v>
      </c>
    </row>
    <row r="4027" spans="1:10">
      <c r="A4027" s="85" t="s">
        <v>108</v>
      </c>
      <c r="B4027" s="85" t="s">
        <v>37</v>
      </c>
      <c r="C4027" s="156">
        <v>0.75347222222222199</v>
      </c>
      <c r="D4027" s="71">
        <v>0</v>
      </c>
      <c r="E4027" s="71">
        <v>0</v>
      </c>
      <c r="F4027" s="71">
        <v>0</v>
      </c>
      <c r="G4027" s="71">
        <v>0</v>
      </c>
      <c r="H4027" s="71">
        <v>0</v>
      </c>
      <c r="I4027" s="71">
        <v>0</v>
      </c>
      <c r="J4027" s="71">
        <v>0</v>
      </c>
    </row>
    <row r="4028" spans="1:10">
      <c r="A4028" s="85" t="s">
        <v>108</v>
      </c>
      <c r="B4028" s="85" t="s">
        <v>37</v>
      </c>
      <c r="C4028" s="156">
        <v>0.75416666666666698</v>
      </c>
      <c r="D4028" s="71">
        <v>0</v>
      </c>
      <c r="E4028" s="71">
        <v>0</v>
      </c>
      <c r="F4028" s="71">
        <v>0</v>
      </c>
      <c r="G4028" s="71">
        <v>0</v>
      </c>
      <c r="H4028" s="71">
        <v>0</v>
      </c>
      <c r="I4028" s="71">
        <v>0</v>
      </c>
      <c r="J4028" s="71">
        <v>0</v>
      </c>
    </row>
    <row r="4029" spans="1:10">
      <c r="A4029" s="85" t="s">
        <v>108</v>
      </c>
      <c r="B4029" s="85" t="s">
        <v>37</v>
      </c>
      <c r="C4029" s="156">
        <v>0.75486111111111098</v>
      </c>
      <c r="D4029" s="71">
        <v>0</v>
      </c>
      <c r="E4029" s="71">
        <v>0</v>
      </c>
      <c r="F4029" s="71">
        <v>0</v>
      </c>
      <c r="G4029" s="71">
        <v>0</v>
      </c>
      <c r="H4029" s="71">
        <v>0</v>
      </c>
      <c r="I4029" s="71">
        <v>0</v>
      </c>
      <c r="J4029" s="71">
        <v>0</v>
      </c>
    </row>
    <row r="4030" spans="1:10">
      <c r="A4030" s="85" t="s">
        <v>108</v>
      </c>
      <c r="B4030" s="85" t="s">
        <v>37</v>
      </c>
      <c r="C4030" s="156">
        <v>0.75555555555555498</v>
      </c>
      <c r="D4030" s="71">
        <v>0</v>
      </c>
      <c r="E4030" s="71">
        <v>0</v>
      </c>
      <c r="F4030" s="71">
        <v>0</v>
      </c>
      <c r="G4030" s="71">
        <v>0</v>
      </c>
      <c r="H4030" s="71">
        <v>0</v>
      </c>
      <c r="I4030" s="71">
        <v>0</v>
      </c>
      <c r="J4030" s="71">
        <v>0</v>
      </c>
    </row>
    <row r="4031" spans="1:10">
      <c r="A4031" s="85" t="s">
        <v>108</v>
      </c>
      <c r="B4031" s="85" t="s">
        <v>37</v>
      </c>
      <c r="C4031" s="156">
        <v>0.75624999999999998</v>
      </c>
      <c r="D4031" s="71">
        <v>0</v>
      </c>
      <c r="E4031" s="71">
        <v>0</v>
      </c>
      <c r="F4031" s="71">
        <v>0</v>
      </c>
      <c r="G4031" s="71">
        <v>0</v>
      </c>
      <c r="H4031" s="71">
        <v>0</v>
      </c>
      <c r="I4031" s="71">
        <v>0</v>
      </c>
      <c r="J4031" s="71">
        <v>0</v>
      </c>
    </row>
    <row r="4032" spans="1:10">
      <c r="A4032" s="85" t="s">
        <v>108</v>
      </c>
      <c r="B4032" s="85" t="s">
        <v>37</v>
      </c>
      <c r="C4032" s="156">
        <v>0.75694444444444398</v>
      </c>
      <c r="D4032" s="71">
        <v>0</v>
      </c>
      <c r="E4032" s="71">
        <v>0</v>
      </c>
      <c r="F4032" s="71">
        <v>0</v>
      </c>
      <c r="G4032" s="71">
        <v>0</v>
      </c>
      <c r="H4032" s="71">
        <v>0</v>
      </c>
      <c r="I4032" s="71">
        <v>0</v>
      </c>
      <c r="J4032" s="71">
        <v>0</v>
      </c>
    </row>
    <row r="4033" spans="1:10">
      <c r="A4033" s="85" t="s">
        <v>108</v>
      </c>
      <c r="B4033" s="85" t="s">
        <v>37</v>
      </c>
      <c r="C4033" s="156">
        <v>0.75763888888888897</v>
      </c>
      <c r="D4033" s="71">
        <v>0</v>
      </c>
      <c r="E4033" s="71">
        <v>0</v>
      </c>
      <c r="F4033" s="71">
        <v>0</v>
      </c>
      <c r="G4033" s="71">
        <v>0</v>
      </c>
      <c r="H4033" s="71">
        <v>0</v>
      </c>
      <c r="I4033" s="71">
        <v>0</v>
      </c>
      <c r="J4033" s="71">
        <v>0</v>
      </c>
    </row>
    <row r="4034" spans="1:10">
      <c r="A4034" s="85" t="s">
        <v>108</v>
      </c>
      <c r="B4034" s="85" t="s">
        <v>37</v>
      </c>
      <c r="C4034" s="156">
        <v>0.75833333333333297</v>
      </c>
      <c r="D4034" s="71">
        <v>0</v>
      </c>
      <c r="E4034" s="71">
        <v>0</v>
      </c>
      <c r="F4034" s="71">
        <v>0</v>
      </c>
      <c r="G4034" s="71">
        <v>0</v>
      </c>
      <c r="H4034" s="71">
        <v>0</v>
      </c>
      <c r="I4034" s="71">
        <v>0</v>
      </c>
      <c r="J4034" s="71">
        <v>0</v>
      </c>
    </row>
    <row r="4035" spans="1:10">
      <c r="A4035" s="85" t="s">
        <v>108</v>
      </c>
      <c r="B4035" s="85" t="s">
        <v>37</v>
      </c>
      <c r="C4035" s="156">
        <v>0.75902777777777797</v>
      </c>
      <c r="D4035" s="71">
        <v>0</v>
      </c>
      <c r="E4035" s="71">
        <v>0</v>
      </c>
      <c r="F4035" s="71">
        <v>0</v>
      </c>
      <c r="G4035" s="71">
        <v>0</v>
      </c>
      <c r="H4035" s="71">
        <v>0</v>
      </c>
      <c r="I4035" s="71">
        <v>0</v>
      </c>
      <c r="J4035" s="71">
        <v>0</v>
      </c>
    </row>
    <row r="4036" spans="1:10" s="78" customFormat="1">
      <c r="A4036" s="88" t="s">
        <v>108</v>
      </c>
      <c r="B4036" s="88" t="s">
        <v>37</v>
      </c>
      <c r="C4036" s="158">
        <v>0.75972222222222197</v>
      </c>
      <c r="D4036" s="160">
        <v>0</v>
      </c>
      <c r="E4036" s="160">
        <v>0</v>
      </c>
      <c r="F4036" s="160">
        <v>0</v>
      </c>
      <c r="G4036" s="160">
        <v>0</v>
      </c>
      <c r="H4036" s="160">
        <v>0</v>
      </c>
      <c r="I4036" s="160">
        <v>0</v>
      </c>
      <c r="J4036" s="160">
        <v>0</v>
      </c>
    </row>
    <row r="4037" spans="1:10">
      <c r="A4037" s="85" t="s">
        <v>108</v>
      </c>
      <c r="B4037" s="85" t="s">
        <v>37</v>
      </c>
      <c r="C4037" s="156">
        <v>0.76041666666666696</v>
      </c>
      <c r="D4037" s="161">
        <v>0</v>
      </c>
      <c r="E4037" s="161">
        <v>0</v>
      </c>
      <c r="F4037" s="161">
        <v>0</v>
      </c>
      <c r="G4037" s="161">
        <v>0</v>
      </c>
      <c r="H4037" s="161">
        <v>0</v>
      </c>
      <c r="I4037" s="161">
        <v>0</v>
      </c>
      <c r="J4037" s="161">
        <v>0</v>
      </c>
    </row>
    <row r="4038" spans="1:10">
      <c r="A4038" s="85" t="s">
        <v>108</v>
      </c>
      <c r="B4038" s="85" t="s">
        <v>37</v>
      </c>
      <c r="C4038" s="156">
        <v>0.76111111111111096</v>
      </c>
      <c r="D4038" s="71">
        <v>0</v>
      </c>
      <c r="E4038" s="71">
        <v>0</v>
      </c>
      <c r="F4038" s="71">
        <v>0</v>
      </c>
      <c r="G4038" s="71">
        <v>0</v>
      </c>
      <c r="H4038" s="71">
        <v>0</v>
      </c>
      <c r="I4038" s="71">
        <v>0</v>
      </c>
      <c r="J4038" s="71">
        <v>0</v>
      </c>
    </row>
    <row r="4039" spans="1:10">
      <c r="A4039" s="85" t="s">
        <v>108</v>
      </c>
      <c r="B4039" s="85" t="s">
        <v>37</v>
      </c>
      <c r="C4039" s="156">
        <v>0.76180555555555496</v>
      </c>
      <c r="D4039" s="71">
        <v>0</v>
      </c>
      <c r="E4039" s="71">
        <v>0</v>
      </c>
      <c r="F4039" s="71">
        <v>0</v>
      </c>
      <c r="G4039" s="71">
        <v>0</v>
      </c>
      <c r="H4039" s="71">
        <v>0</v>
      </c>
      <c r="I4039" s="71">
        <v>0</v>
      </c>
      <c r="J4039" s="71">
        <v>0</v>
      </c>
    </row>
    <row r="4040" spans="1:10">
      <c r="A4040" s="85" t="s">
        <v>108</v>
      </c>
      <c r="B4040" s="85" t="s">
        <v>37</v>
      </c>
      <c r="C4040" s="156">
        <v>0.76249999999999996</v>
      </c>
      <c r="D4040" s="71">
        <v>0</v>
      </c>
      <c r="E4040" s="71">
        <v>0</v>
      </c>
      <c r="F4040" s="71">
        <v>0</v>
      </c>
      <c r="G4040" s="71">
        <v>0</v>
      </c>
      <c r="H4040" s="71">
        <v>0</v>
      </c>
      <c r="I4040" s="71">
        <v>0</v>
      </c>
      <c r="J4040" s="71">
        <v>0</v>
      </c>
    </row>
    <row r="4041" spans="1:10">
      <c r="A4041" s="85" t="s">
        <v>108</v>
      </c>
      <c r="B4041" s="85" t="s">
        <v>37</v>
      </c>
      <c r="C4041" s="156">
        <v>0.76319444444444395</v>
      </c>
      <c r="D4041" s="71">
        <v>0</v>
      </c>
      <c r="E4041" s="71">
        <v>0</v>
      </c>
      <c r="F4041" s="71">
        <v>0</v>
      </c>
      <c r="G4041" s="71">
        <v>0</v>
      </c>
      <c r="H4041" s="71">
        <v>0</v>
      </c>
      <c r="I4041" s="71">
        <v>0</v>
      </c>
      <c r="J4041" s="71">
        <v>0</v>
      </c>
    </row>
    <row r="4042" spans="1:10">
      <c r="A4042" s="85" t="s">
        <v>108</v>
      </c>
      <c r="B4042" s="85" t="s">
        <v>37</v>
      </c>
      <c r="C4042" s="156">
        <v>0.76388888888888895</v>
      </c>
      <c r="D4042" s="71">
        <v>0</v>
      </c>
      <c r="E4042" s="71">
        <v>0</v>
      </c>
      <c r="F4042" s="71">
        <v>0</v>
      </c>
      <c r="G4042" s="71">
        <v>0</v>
      </c>
      <c r="H4042" s="71">
        <v>0</v>
      </c>
      <c r="I4042" s="71">
        <v>0</v>
      </c>
      <c r="J4042" s="71">
        <v>0</v>
      </c>
    </row>
    <row r="4043" spans="1:10">
      <c r="A4043" s="85" t="s">
        <v>108</v>
      </c>
      <c r="B4043" s="85" t="s">
        <v>37</v>
      </c>
      <c r="C4043" s="156">
        <v>0.76458333333333295</v>
      </c>
      <c r="D4043" s="71">
        <v>0</v>
      </c>
      <c r="E4043" s="71">
        <v>0</v>
      </c>
      <c r="F4043" s="71">
        <v>0</v>
      </c>
      <c r="G4043" s="71">
        <v>0</v>
      </c>
      <c r="H4043" s="71">
        <v>0</v>
      </c>
      <c r="I4043" s="71">
        <v>0</v>
      </c>
      <c r="J4043" s="71">
        <v>0</v>
      </c>
    </row>
    <row r="4044" spans="1:10">
      <c r="A4044" s="85" t="s">
        <v>108</v>
      </c>
      <c r="B4044" s="85" t="s">
        <v>37</v>
      </c>
      <c r="C4044" s="156">
        <v>0.76527777777777795</v>
      </c>
      <c r="D4044" s="71">
        <v>0</v>
      </c>
      <c r="E4044" s="71">
        <v>0</v>
      </c>
      <c r="F4044" s="71">
        <v>0</v>
      </c>
      <c r="G4044" s="71">
        <v>0</v>
      </c>
      <c r="H4044" s="71">
        <v>0</v>
      </c>
      <c r="I4044" s="71">
        <v>0</v>
      </c>
      <c r="J4044" s="71">
        <v>0</v>
      </c>
    </row>
    <row r="4045" spans="1:10">
      <c r="A4045" s="85" t="s">
        <v>108</v>
      </c>
      <c r="B4045" s="85" t="s">
        <v>37</v>
      </c>
      <c r="C4045" s="156">
        <v>0.76597222222222205</v>
      </c>
      <c r="D4045" s="71">
        <v>0</v>
      </c>
      <c r="E4045" s="71">
        <v>0</v>
      </c>
      <c r="F4045" s="71">
        <v>0</v>
      </c>
      <c r="G4045" s="71">
        <v>0</v>
      </c>
      <c r="H4045" s="71">
        <v>0</v>
      </c>
      <c r="I4045" s="71">
        <v>0</v>
      </c>
      <c r="J4045" s="71">
        <v>0</v>
      </c>
    </row>
    <row r="4046" spans="1:10">
      <c r="A4046" s="85" t="s">
        <v>108</v>
      </c>
      <c r="B4046" s="85" t="s">
        <v>37</v>
      </c>
      <c r="C4046" s="156">
        <v>0.76666666666666605</v>
      </c>
      <c r="D4046" s="71">
        <v>0</v>
      </c>
      <c r="E4046" s="71">
        <v>0</v>
      </c>
      <c r="F4046" s="71">
        <v>0</v>
      </c>
      <c r="G4046" s="71">
        <v>0</v>
      </c>
      <c r="H4046" s="71">
        <v>0</v>
      </c>
      <c r="I4046" s="71">
        <v>0</v>
      </c>
      <c r="J4046" s="71">
        <v>0</v>
      </c>
    </row>
    <row r="4047" spans="1:10">
      <c r="A4047" s="85" t="s">
        <v>108</v>
      </c>
      <c r="B4047" s="85" t="s">
        <v>37</v>
      </c>
      <c r="C4047" s="156">
        <v>0.76736111111111105</v>
      </c>
      <c r="D4047" s="71">
        <v>0</v>
      </c>
      <c r="E4047" s="71">
        <v>0</v>
      </c>
      <c r="F4047" s="71">
        <v>0</v>
      </c>
      <c r="G4047" s="71">
        <v>0</v>
      </c>
      <c r="H4047" s="71">
        <v>0</v>
      </c>
      <c r="I4047" s="71">
        <v>0</v>
      </c>
      <c r="J4047" s="71">
        <v>0</v>
      </c>
    </row>
    <row r="4048" spans="1:10">
      <c r="A4048" s="85" t="s">
        <v>108</v>
      </c>
      <c r="B4048" s="85" t="s">
        <v>37</v>
      </c>
      <c r="C4048" s="156">
        <v>0.76805555555555505</v>
      </c>
      <c r="D4048" s="71">
        <v>0</v>
      </c>
      <c r="E4048" s="71">
        <v>0</v>
      </c>
      <c r="F4048" s="71">
        <v>0</v>
      </c>
      <c r="G4048" s="71">
        <v>0</v>
      </c>
      <c r="H4048" s="71">
        <v>0</v>
      </c>
      <c r="I4048" s="71">
        <v>0</v>
      </c>
      <c r="J4048" s="71">
        <v>0</v>
      </c>
    </row>
    <row r="4049" spans="1:10">
      <c r="A4049" s="85" t="s">
        <v>108</v>
      </c>
      <c r="B4049" s="85" t="s">
        <v>37</v>
      </c>
      <c r="C4049" s="156">
        <v>0.76875000000000004</v>
      </c>
      <c r="D4049" s="71">
        <v>0</v>
      </c>
      <c r="E4049" s="71">
        <v>0</v>
      </c>
      <c r="F4049" s="71">
        <v>0</v>
      </c>
      <c r="G4049" s="71">
        <v>0</v>
      </c>
      <c r="H4049" s="71">
        <v>0</v>
      </c>
      <c r="I4049" s="71">
        <v>0</v>
      </c>
      <c r="J4049" s="71">
        <v>0</v>
      </c>
    </row>
    <row r="4050" spans="1:10">
      <c r="A4050" s="85" t="s">
        <v>108</v>
      </c>
      <c r="B4050" s="85" t="s">
        <v>37</v>
      </c>
      <c r="C4050" s="156">
        <v>0.76944444444444404</v>
      </c>
      <c r="D4050" s="71">
        <v>0</v>
      </c>
      <c r="E4050" s="71">
        <v>0</v>
      </c>
      <c r="F4050" s="71">
        <v>0</v>
      </c>
      <c r="G4050" s="71">
        <v>0</v>
      </c>
      <c r="H4050" s="71">
        <v>0</v>
      </c>
      <c r="I4050" s="71">
        <v>0</v>
      </c>
      <c r="J4050" s="71">
        <v>0</v>
      </c>
    </row>
    <row r="4051" spans="1:10" s="78" customFormat="1">
      <c r="A4051" s="88" t="s">
        <v>108</v>
      </c>
      <c r="B4051" s="88" t="s">
        <v>37</v>
      </c>
      <c r="C4051" s="158">
        <v>0.77013888888888904</v>
      </c>
      <c r="D4051" s="160">
        <v>0</v>
      </c>
      <c r="E4051" s="160">
        <v>0</v>
      </c>
      <c r="F4051" s="160">
        <v>0</v>
      </c>
      <c r="G4051" s="160">
        <v>0</v>
      </c>
      <c r="H4051" s="160">
        <v>0</v>
      </c>
      <c r="I4051" s="160">
        <v>0</v>
      </c>
      <c r="J4051" s="160">
        <v>0</v>
      </c>
    </row>
    <row r="4052" spans="1:10">
      <c r="A4052" s="85" t="s">
        <v>108</v>
      </c>
      <c r="B4052" s="85" t="s">
        <v>37</v>
      </c>
      <c r="C4052" s="156">
        <v>0.77083333333333304</v>
      </c>
      <c r="D4052" s="161">
        <v>0</v>
      </c>
      <c r="E4052" s="161">
        <v>0</v>
      </c>
      <c r="F4052" s="161">
        <v>0</v>
      </c>
      <c r="G4052" s="161">
        <v>0</v>
      </c>
      <c r="H4052" s="161">
        <v>0</v>
      </c>
      <c r="I4052" s="161">
        <v>0</v>
      </c>
      <c r="J4052" s="161">
        <v>0</v>
      </c>
    </row>
    <row r="4053" spans="1:10">
      <c r="A4053" s="85" t="s">
        <v>108</v>
      </c>
      <c r="B4053" s="85" t="s">
        <v>37</v>
      </c>
      <c r="C4053" s="156">
        <v>0.77152777777777803</v>
      </c>
      <c r="D4053" s="71">
        <v>0</v>
      </c>
      <c r="E4053" s="71">
        <v>0</v>
      </c>
      <c r="F4053" s="71">
        <v>0</v>
      </c>
      <c r="G4053" s="71">
        <v>0</v>
      </c>
      <c r="H4053" s="71">
        <v>0</v>
      </c>
      <c r="I4053" s="71">
        <v>0</v>
      </c>
      <c r="J4053" s="71">
        <v>0</v>
      </c>
    </row>
    <row r="4054" spans="1:10">
      <c r="A4054" s="85" t="s">
        <v>108</v>
      </c>
      <c r="B4054" s="85" t="s">
        <v>37</v>
      </c>
      <c r="C4054" s="156">
        <v>0.77222222222222203</v>
      </c>
      <c r="D4054" s="71">
        <v>0</v>
      </c>
      <c r="E4054" s="71">
        <v>0</v>
      </c>
      <c r="F4054" s="71">
        <v>0</v>
      </c>
      <c r="G4054" s="71">
        <v>0</v>
      </c>
      <c r="H4054" s="71">
        <v>0</v>
      </c>
      <c r="I4054" s="71">
        <v>0</v>
      </c>
      <c r="J4054" s="71">
        <v>0</v>
      </c>
    </row>
    <row r="4055" spans="1:10">
      <c r="A4055" s="85" t="s">
        <v>108</v>
      </c>
      <c r="B4055" s="85" t="s">
        <v>37</v>
      </c>
      <c r="C4055" s="156">
        <v>0.77291666666666603</v>
      </c>
      <c r="D4055" s="71">
        <v>0</v>
      </c>
      <c r="E4055" s="71">
        <v>0</v>
      </c>
      <c r="F4055" s="71">
        <v>0</v>
      </c>
      <c r="G4055" s="71">
        <v>0</v>
      </c>
      <c r="H4055" s="71">
        <v>0</v>
      </c>
      <c r="I4055" s="71">
        <v>0</v>
      </c>
      <c r="J4055" s="71">
        <v>0</v>
      </c>
    </row>
    <row r="4056" spans="1:10">
      <c r="A4056" s="85" t="s">
        <v>108</v>
      </c>
      <c r="B4056" s="85" t="s">
        <v>37</v>
      </c>
      <c r="C4056" s="156">
        <v>0.77361111111111103</v>
      </c>
      <c r="D4056" s="71">
        <v>0</v>
      </c>
      <c r="E4056" s="71">
        <v>0</v>
      </c>
      <c r="F4056" s="71">
        <v>0</v>
      </c>
      <c r="G4056" s="71">
        <v>0</v>
      </c>
      <c r="H4056" s="71">
        <v>0</v>
      </c>
      <c r="I4056" s="71">
        <v>0</v>
      </c>
      <c r="J4056" s="71">
        <v>0</v>
      </c>
    </row>
    <row r="4057" spans="1:10">
      <c r="A4057" s="85" t="s">
        <v>108</v>
      </c>
      <c r="B4057" s="85" t="s">
        <v>37</v>
      </c>
      <c r="C4057" s="156">
        <v>0.77430555555555503</v>
      </c>
      <c r="D4057" s="71">
        <v>0</v>
      </c>
      <c r="E4057" s="71">
        <v>0</v>
      </c>
      <c r="F4057" s="71">
        <v>0</v>
      </c>
      <c r="G4057" s="71">
        <v>0</v>
      </c>
      <c r="H4057" s="71">
        <v>0</v>
      </c>
      <c r="I4057" s="71">
        <v>0</v>
      </c>
      <c r="J4057" s="71">
        <v>0</v>
      </c>
    </row>
    <row r="4058" spans="1:10">
      <c r="A4058" s="85" t="s">
        <v>108</v>
      </c>
      <c r="B4058" s="85" t="s">
        <v>37</v>
      </c>
      <c r="C4058" s="156">
        <v>0.77500000000000002</v>
      </c>
      <c r="D4058" s="71">
        <v>0</v>
      </c>
      <c r="E4058" s="71">
        <v>0</v>
      </c>
      <c r="F4058" s="71">
        <v>0</v>
      </c>
      <c r="G4058" s="71">
        <v>0</v>
      </c>
      <c r="H4058" s="71">
        <v>0</v>
      </c>
      <c r="I4058" s="71">
        <v>0</v>
      </c>
      <c r="J4058" s="71">
        <v>0</v>
      </c>
    </row>
    <row r="4059" spans="1:10">
      <c r="A4059" s="85" t="s">
        <v>108</v>
      </c>
      <c r="B4059" s="85" t="s">
        <v>37</v>
      </c>
      <c r="C4059" s="156">
        <v>0.77569444444444402</v>
      </c>
      <c r="D4059" s="71">
        <v>0</v>
      </c>
      <c r="E4059" s="71">
        <v>0</v>
      </c>
      <c r="F4059" s="71">
        <v>0</v>
      </c>
      <c r="G4059" s="71">
        <v>0</v>
      </c>
      <c r="H4059" s="71">
        <v>0</v>
      </c>
      <c r="I4059" s="71">
        <v>0</v>
      </c>
      <c r="J4059" s="71">
        <v>0</v>
      </c>
    </row>
    <row r="4060" spans="1:10">
      <c r="A4060" s="85" t="s">
        <v>108</v>
      </c>
      <c r="B4060" s="85" t="s">
        <v>37</v>
      </c>
      <c r="C4060" s="156">
        <v>0.77638888888888902</v>
      </c>
      <c r="D4060" s="71">
        <v>0</v>
      </c>
      <c r="E4060" s="71">
        <v>0</v>
      </c>
      <c r="F4060" s="71">
        <v>0</v>
      </c>
      <c r="G4060" s="71">
        <v>0</v>
      </c>
      <c r="H4060" s="71">
        <v>0</v>
      </c>
      <c r="I4060" s="71">
        <v>0</v>
      </c>
      <c r="J4060" s="71">
        <v>0</v>
      </c>
    </row>
    <row r="4061" spans="1:10">
      <c r="A4061" s="85" t="s">
        <v>108</v>
      </c>
      <c r="B4061" s="85" t="s">
        <v>37</v>
      </c>
      <c r="C4061" s="156">
        <v>0.77708333333333302</v>
      </c>
      <c r="D4061" s="71">
        <v>0</v>
      </c>
      <c r="E4061" s="71">
        <v>0</v>
      </c>
      <c r="F4061" s="71">
        <v>0</v>
      </c>
      <c r="G4061" s="71">
        <v>0</v>
      </c>
      <c r="H4061" s="71">
        <v>0</v>
      </c>
      <c r="I4061" s="71">
        <v>0</v>
      </c>
      <c r="J4061" s="71">
        <v>0</v>
      </c>
    </row>
    <row r="4062" spans="1:10">
      <c r="A4062" s="85" t="s">
        <v>108</v>
      </c>
      <c r="B4062" s="85" t="s">
        <v>37</v>
      </c>
      <c r="C4062" s="156">
        <v>0.77777777777777801</v>
      </c>
      <c r="D4062" s="71">
        <v>0</v>
      </c>
      <c r="E4062" s="71">
        <v>0</v>
      </c>
      <c r="F4062" s="71">
        <v>0</v>
      </c>
      <c r="G4062" s="71">
        <v>0</v>
      </c>
      <c r="H4062" s="71">
        <v>0</v>
      </c>
      <c r="I4062" s="71">
        <v>0</v>
      </c>
      <c r="J4062" s="71">
        <v>0</v>
      </c>
    </row>
    <row r="4063" spans="1:10">
      <c r="A4063" s="85" t="s">
        <v>108</v>
      </c>
      <c r="B4063" s="85" t="s">
        <v>37</v>
      </c>
      <c r="C4063" s="156">
        <v>0.77847222222222201</v>
      </c>
      <c r="D4063" s="71">
        <v>0</v>
      </c>
      <c r="E4063" s="71">
        <v>0</v>
      </c>
      <c r="F4063" s="71">
        <v>0</v>
      </c>
      <c r="G4063" s="71">
        <v>0</v>
      </c>
      <c r="H4063" s="71">
        <v>0</v>
      </c>
      <c r="I4063" s="71">
        <v>0</v>
      </c>
      <c r="J4063" s="71">
        <v>0</v>
      </c>
    </row>
    <row r="4064" spans="1:10">
      <c r="A4064" s="85" t="s">
        <v>108</v>
      </c>
      <c r="B4064" s="85" t="s">
        <v>37</v>
      </c>
      <c r="C4064" s="156">
        <v>0.77916666666666601</v>
      </c>
      <c r="D4064" s="71">
        <v>0</v>
      </c>
      <c r="E4064" s="71">
        <v>0</v>
      </c>
      <c r="F4064" s="71">
        <v>0</v>
      </c>
      <c r="G4064" s="71">
        <v>0</v>
      </c>
      <c r="H4064" s="71">
        <v>0</v>
      </c>
      <c r="I4064" s="71">
        <v>0</v>
      </c>
      <c r="J4064" s="71">
        <v>0</v>
      </c>
    </row>
    <row r="4065" spans="1:10">
      <c r="A4065" s="85" t="s">
        <v>108</v>
      </c>
      <c r="B4065" s="85" t="s">
        <v>37</v>
      </c>
      <c r="C4065" s="156">
        <v>0.77986111111111101</v>
      </c>
      <c r="D4065" s="71">
        <v>0</v>
      </c>
      <c r="E4065" s="71">
        <v>0</v>
      </c>
      <c r="F4065" s="71">
        <v>0</v>
      </c>
      <c r="G4065" s="71">
        <v>0</v>
      </c>
      <c r="H4065" s="71">
        <v>0</v>
      </c>
      <c r="I4065" s="71">
        <v>0</v>
      </c>
      <c r="J4065" s="71">
        <v>0</v>
      </c>
    </row>
    <row r="4066" spans="1:10" s="78" customFormat="1">
      <c r="A4066" s="88" t="s">
        <v>108</v>
      </c>
      <c r="B4066" s="88" t="s">
        <v>37</v>
      </c>
      <c r="C4066" s="158">
        <v>0.780555555555555</v>
      </c>
      <c r="D4066" s="160">
        <v>0</v>
      </c>
      <c r="E4066" s="160">
        <v>0</v>
      </c>
      <c r="F4066" s="160">
        <v>0</v>
      </c>
      <c r="G4066" s="160">
        <v>0</v>
      </c>
      <c r="H4066" s="160">
        <v>0</v>
      </c>
      <c r="I4066" s="160">
        <v>0</v>
      </c>
      <c r="J4066" s="160">
        <v>0</v>
      </c>
    </row>
    <row r="4067" spans="1:10">
      <c r="A4067" s="85" t="s">
        <v>108</v>
      </c>
      <c r="B4067" s="85" t="s">
        <v>37</v>
      </c>
      <c r="C4067" s="156">
        <v>0.78125</v>
      </c>
      <c r="D4067" s="161">
        <v>0</v>
      </c>
      <c r="E4067" s="161">
        <v>0</v>
      </c>
      <c r="F4067" s="161">
        <v>0</v>
      </c>
      <c r="G4067" s="161">
        <v>0</v>
      </c>
      <c r="H4067" s="161">
        <v>0</v>
      </c>
      <c r="I4067" s="161">
        <v>0</v>
      </c>
      <c r="J4067" s="161">
        <v>0</v>
      </c>
    </row>
    <row r="4068" spans="1:10">
      <c r="A4068" s="85" t="s">
        <v>108</v>
      </c>
      <c r="B4068" s="85" t="s">
        <v>37</v>
      </c>
      <c r="C4068" s="156">
        <v>0.781944444444444</v>
      </c>
      <c r="D4068" s="71">
        <v>0</v>
      </c>
      <c r="E4068" s="71">
        <v>0</v>
      </c>
      <c r="F4068" s="71">
        <v>0</v>
      </c>
      <c r="G4068" s="71">
        <v>0</v>
      </c>
      <c r="H4068" s="71">
        <v>0</v>
      </c>
      <c r="I4068" s="71">
        <v>0</v>
      </c>
      <c r="J4068" s="71">
        <v>0</v>
      </c>
    </row>
    <row r="4069" spans="1:10">
      <c r="A4069" s="85" t="s">
        <v>108</v>
      </c>
      <c r="B4069" s="85" t="s">
        <v>37</v>
      </c>
      <c r="C4069" s="156">
        <v>0.78263888888888899</v>
      </c>
      <c r="D4069" s="71">
        <v>0</v>
      </c>
      <c r="E4069" s="71">
        <v>0</v>
      </c>
      <c r="F4069" s="71">
        <v>0</v>
      </c>
      <c r="G4069" s="71">
        <v>0</v>
      </c>
      <c r="H4069" s="71">
        <v>0</v>
      </c>
      <c r="I4069" s="71">
        <v>0</v>
      </c>
      <c r="J4069" s="71">
        <v>0</v>
      </c>
    </row>
    <row r="4070" spans="1:10">
      <c r="A4070" s="85" t="s">
        <v>108</v>
      </c>
      <c r="B4070" s="85" t="s">
        <v>37</v>
      </c>
      <c r="C4070" s="156">
        <v>0.78333333333333299</v>
      </c>
      <c r="D4070" s="71">
        <v>0</v>
      </c>
      <c r="E4070" s="71">
        <v>0</v>
      </c>
      <c r="F4070" s="71">
        <v>0</v>
      </c>
      <c r="G4070" s="71">
        <v>0</v>
      </c>
      <c r="H4070" s="71">
        <v>0</v>
      </c>
      <c r="I4070" s="71">
        <v>0</v>
      </c>
      <c r="J4070" s="71">
        <v>0</v>
      </c>
    </row>
    <row r="4071" spans="1:10">
      <c r="A4071" s="85" t="s">
        <v>108</v>
      </c>
      <c r="B4071" s="85" t="s">
        <v>37</v>
      </c>
      <c r="C4071" s="156">
        <v>0.78402777777777799</v>
      </c>
      <c r="D4071" s="71">
        <v>0</v>
      </c>
      <c r="E4071" s="71">
        <v>0</v>
      </c>
      <c r="F4071" s="71">
        <v>0</v>
      </c>
      <c r="G4071" s="71">
        <v>0</v>
      </c>
      <c r="H4071" s="71">
        <v>0</v>
      </c>
      <c r="I4071" s="71">
        <v>0</v>
      </c>
      <c r="J4071" s="71">
        <v>0</v>
      </c>
    </row>
    <row r="4072" spans="1:10">
      <c r="A4072" s="85" t="s">
        <v>108</v>
      </c>
      <c r="B4072" s="85" t="s">
        <v>37</v>
      </c>
      <c r="C4072" s="156">
        <v>0.78472222222222199</v>
      </c>
      <c r="D4072" s="71">
        <v>0</v>
      </c>
      <c r="E4072" s="71">
        <v>0</v>
      </c>
      <c r="F4072" s="71">
        <v>0</v>
      </c>
      <c r="G4072" s="71">
        <v>0</v>
      </c>
      <c r="H4072" s="71">
        <v>0</v>
      </c>
      <c r="I4072" s="71">
        <v>0</v>
      </c>
      <c r="J4072" s="71">
        <v>0</v>
      </c>
    </row>
    <row r="4073" spans="1:10">
      <c r="A4073" s="85" t="s">
        <v>108</v>
      </c>
      <c r="B4073" s="85" t="s">
        <v>37</v>
      </c>
      <c r="C4073" s="156">
        <v>0.78541666666666599</v>
      </c>
      <c r="D4073" s="71">
        <v>0</v>
      </c>
      <c r="E4073" s="71">
        <v>0</v>
      </c>
      <c r="F4073" s="71">
        <v>0</v>
      </c>
      <c r="G4073" s="71">
        <v>0</v>
      </c>
      <c r="H4073" s="71">
        <v>0</v>
      </c>
      <c r="I4073" s="71">
        <v>0</v>
      </c>
      <c r="J4073" s="71">
        <v>0</v>
      </c>
    </row>
    <row r="4074" spans="1:10">
      <c r="A4074" s="85" t="s">
        <v>108</v>
      </c>
      <c r="B4074" s="85" t="s">
        <v>37</v>
      </c>
      <c r="C4074" s="156">
        <v>0.78611111111111098</v>
      </c>
      <c r="D4074" s="71">
        <v>0</v>
      </c>
      <c r="E4074" s="71">
        <v>0</v>
      </c>
      <c r="F4074" s="71">
        <v>0</v>
      </c>
      <c r="G4074" s="71">
        <v>0</v>
      </c>
      <c r="H4074" s="71">
        <v>0</v>
      </c>
      <c r="I4074" s="71">
        <v>0</v>
      </c>
      <c r="J4074" s="71">
        <v>0</v>
      </c>
    </row>
    <row r="4075" spans="1:10">
      <c r="A4075" s="85" t="s">
        <v>108</v>
      </c>
      <c r="B4075" s="85" t="s">
        <v>37</v>
      </c>
      <c r="C4075" s="156">
        <v>0.78680555555555498</v>
      </c>
      <c r="D4075" s="71">
        <v>0</v>
      </c>
      <c r="E4075" s="71">
        <v>0</v>
      </c>
      <c r="F4075" s="71">
        <v>0</v>
      </c>
      <c r="G4075" s="71">
        <v>0</v>
      </c>
      <c r="H4075" s="71">
        <v>0</v>
      </c>
      <c r="I4075" s="71">
        <v>0</v>
      </c>
      <c r="J4075" s="71">
        <v>0</v>
      </c>
    </row>
    <row r="4076" spans="1:10">
      <c r="A4076" s="85" t="s">
        <v>108</v>
      </c>
      <c r="B4076" s="85" t="s">
        <v>37</v>
      </c>
      <c r="C4076" s="156">
        <v>0.78749999999999998</v>
      </c>
      <c r="D4076" s="71">
        <v>0</v>
      </c>
      <c r="E4076" s="71">
        <v>0</v>
      </c>
      <c r="F4076" s="71">
        <v>0</v>
      </c>
      <c r="G4076" s="71">
        <v>0</v>
      </c>
      <c r="H4076" s="71">
        <v>0</v>
      </c>
      <c r="I4076" s="71">
        <v>0</v>
      </c>
      <c r="J4076" s="71">
        <v>0</v>
      </c>
    </row>
    <row r="4077" spans="1:10">
      <c r="A4077" s="85" t="s">
        <v>108</v>
      </c>
      <c r="B4077" s="85" t="s">
        <v>37</v>
      </c>
      <c r="C4077" s="156">
        <v>0.78819444444444398</v>
      </c>
      <c r="D4077" s="71">
        <v>0</v>
      </c>
      <c r="E4077" s="71">
        <v>0</v>
      </c>
      <c r="F4077" s="71">
        <v>0</v>
      </c>
      <c r="G4077" s="71">
        <v>0</v>
      </c>
      <c r="H4077" s="71">
        <v>0</v>
      </c>
      <c r="I4077" s="71">
        <v>0</v>
      </c>
      <c r="J4077" s="71">
        <v>0</v>
      </c>
    </row>
    <row r="4078" spans="1:10">
      <c r="A4078" s="85" t="s">
        <v>108</v>
      </c>
      <c r="B4078" s="85" t="s">
        <v>37</v>
      </c>
      <c r="C4078" s="156">
        <v>0.78888888888888897</v>
      </c>
      <c r="D4078" s="71">
        <v>0</v>
      </c>
      <c r="E4078" s="71">
        <v>0</v>
      </c>
      <c r="F4078" s="71">
        <v>0</v>
      </c>
      <c r="G4078" s="71">
        <v>0</v>
      </c>
      <c r="H4078" s="71">
        <v>0</v>
      </c>
      <c r="I4078" s="71">
        <v>0</v>
      </c>
      <c r="J4078" s="71">
        <v>0</v>
      </c>
    </row>
    <row r="4079" spans="1:10">
      <c r="A4079" s="85" t="s">
        <v>108</v>
      </c>
      <c r="B4079" s="85" t="s">
        <v>37</v>
      </c>
      <c r="C4079" s="156">
        <v>0.78958333333333297</v>
      </c>
      <c r="D4079" s="71">
        <v>0</v>
      </c>
      <c r="E4079" s="71">
        <v>0</v>
      </c>
      <c r="F4079" s="71">
        <v>0</v>
      </c>
      <c r="G4079" s="71">
        <v>0</v>
      </c>
      <c r="H4079" s="71">
        <v>0</v>
      </c>
      <c r="I4079" s="71">
        <v>0</v>
      </c>
      <c r="J4079" s="71">
        <v>0</v>
      </c>
    </row>
    <row r="4080" spans="1:10">
      <c r="A4080" s="85" t="s">
        <v>108</v>
      </c>
      <c r="B4080" s="85" t="s">
        <v>37</v>
      </c>
      <c r="C4080" s="156">
        <v>0.79027777777777797</v>
      </c>
      <c r="D4080" s="71">
        <v>0</v>
      </c>
      <c r="E4080" s="71">
        <v>0</v>
      </c>
      <c r="F4080" s="71">
        <v>0</v>
      </c>
      <c r="G4080" s="71">
        <v>0</v>
      </c>
      <c r="H4080" s="71">
        <v>0</v>
      </c>
      <c r="I4080" s="71">
        <v>0</v>
      </c>
      <c r="J4080" s="71">
        <v>0</v>
      </c>
    </row>
    <row r="4081" spans="1:10" s="28" customFormat="1" ht="17.5" thickBot="1">
      <c r="A4081" s="100" t="s">
        <v>108</v>
      </c>
      <c r="B4081" s="100" t="s">
        <v>37</v>
      </c>
      <c r="C4081" s="157">
        <v>0.83194444444444504</v>
      </c>
      <c r="D4081" s="162">
        <v>0</v>
      </c>
      <c r="E4081" s="162">
        <v>0</v>
      </c>
      <c r="F4081" s="162">
        <v>0</v>
      </c>
      <c r="G4081" s="162">
        <v>0</v>
      </c>
      <c r="H4081" s="162">
        <v>0</v>
      </c>
      <c r="I4081" s="162">
        <v>0</v>
      </c>
      <c r="J4081" s="162">
        <v>0</v>
      </c>
    </row>
    <row r="4082" spans="1:10" s="217" customFormat="1">
      <c r="A4082" s="214" t="s">
        <v>175</v>
      </c>
      <c r="B4082" s="214" t="s">
        <v>34</v>
      </c>
      <c r="C4082" s="228">
        <v>0.66666666666666663</v>
      </c>
      <c r="D4082" s="229">
        <v>0</v>
      </c>
      <c r="E4082" s="229">
        <v>0</v>
      </c>
      <c r="F4082" s="229">
        <v>0</v>
      </c>
      <c r="G4082" s="229">
        <v>0</v>
      </c>
      <c r="H4082" s="229">
        <v>0</v>
      </c>
      <c r="I4082" s="229">
        <v>0</v>
      </c>
      <c r="J4082" s="229">
        <v>0</v>
      </c>
    </row>
    <row r="4083" spans="1:10" s="217" customFormat="1">
      <c r="A4083" s="214" t="s">
        <v>175</v>
      </c>
      <c r="B4083" s="214" t="s">
        <v>34</v>
      </c>
      <c r="C4083" s="228">
        <v>0.66736111111111107</v>
      </c>
      <c r="D4083" s="229">
        <v>0</v>
      </c>
      <c r="E4083" s="229">
        <v>0</v>
      </c>
      <c r="F4083" s="229">
        <v>0</v>
      </c>
      <c r="G4083" s="229">
        <v>0</v>
      </c>
      <c r="H4083" s="229">
        <v>0</v>
      </c>
      <c r="I4083" s="229">
        <v>0</v>
      </c>
      <c r="J4083" s="229">
        <v>0</v>
      </c>
    </row>
    <row r="4084" spans="1:10" s="217" customFormat="1">
      <c r="A4084" s="214" t="s">
        <v>175</v>
      </c>
      <c r="B4084" s="214" t="s">
        <v>34</v>
      </c>
      <c r="C4084" s="228">
        <v>0.66805555555555596</v>
      </c>
      <c r="D4084" s="229">
        <v>0</v>
      </c>
      <c r="E4084" s="229">
        <v>0</v>
      </c>
      <c r="F4084" s="229">
        <v>0</v>
      </c>
      <c r="G4084" s="229">
        <v>0</v>
      </c>
      <c r="H4084" s="229">
        <v>0</v>
      </c>
      <c r="I4084" s="229">
        <v>0</v>
      </c>
      <c r="J4084" s="229">
        <v>0</v>
      </c>
    </row>
    <row r="4085" spans="1:10" s="217" customFormat="1">
      <c r="A4085" s="214" t="s">
        <v>175</v>
      </c>
      <c r="B4085" s="214" t="s">
        <v>34</v>
      </c>
      <c r="C4085" s="228">
        <v>0.66874999999999996</v>
      </c>
      <c r="D4085" s="229">
        <v>0</v>
      </c>
      <c r="E4085" s="229">
        <v>0</v>
      </c>
      <c r="F4085" s="229">
        <v>0</v>
      </c>
      <c r="G4085" s="229">
        <v>0</v>
      </c>
      <c r="H4085" s="229">
        <v>0</v>
      </c>
      <c r="I4085" s="229">
        <v>0</v>
      </c>
      <c r="J4085" s="229">
        <v>0</v>
      </c>
    </row>
    <row r="4086" spans="1:10" s="217" customFormat="1">
      <c r="A4086" s="214" t="s">
        <v>175</v>
      </c>
      <c r="B4086" s="214" t="s">
        <v>34</v>
      </c>
      <c r="C4086" s="228">
        <v>0.66944444444444395</v>
      </c>
      <c r="D4086" s="229">
        <v>0</v>
      </c>
      <c r="E4086" s="229">
        <v>0</v>
      </c>
      <c r="F4086" s="229">
        <v>0</v>
      </c>
      <c r="G4086" s="229">
        <v>0</v>
      </c>
      <c r="H4086" s="229">
        <v>0</v>
      </c>
      <c r="I4086" s="229">
        <v>0</v>
      </c>
      <c r="J4086" s="229">
        <v>0</v>
      </c>
    </row>
    <row r="4087" spans="1:10" s="217" customFormat="1">
      <c r="A4087" s="214" t="s">
        <v>175</v>
      </c>
      <c r="B4087" s="214" t="s">
        <v>34</v>
      </c>
      <c r="C4087" s="228">
        <v>0.67013888888888895</v>
      </c>
      <c r="D4087" s="229">
        <v>0</v>
      </c>
      <c r="E4087" s="229">
        <v>0</v>
      </c>
      <c r="F4087" s="229">
        <v>0</v>
      </c>
      <c r="G4087" s="229">
        <v>0</v>
      </c>
      <c r="H4087" s="229">
        <v>0</v>
      </c>
      <c r="I4087" s="229">
        <v>0</v>
      </c>
      <c r="J4087" s="229">
        <v>0</v>
      </c>
    </row>
    <row r="4088" spans="1:10" s="217" customFormat="1">
      <c r="A4088" s="214" t="s">
        <v>175</v>
      </c>
      <c r="B4088" s="214" t="s">
        <v>34</v>
      </c>
      <c r="C4088" s="228">
        <v>0.67083333333333295</v>
      </c>
      <c r="D4088" s="229">
        <v>0</v>
      </c>
      <c r="E4088" s="229">
        <v>0</v>
      </c>
      <c r="F4088" s="229">
        <v>0</v>
      </c>
      <c r="G4088" s="229">
        <v>0</v>
      </c>
      <c r="H4088" s="229">
        <v>0</v>
      </c>
      <c r="I4088" s="229">
        <v>0</v>
      </c>
      <c r="J4088" s="229">
        <v>0</v>
      </c>
    </row>
    <row r="4089" spans="1:10" s="217" customFormat="1">
      <c r="A4089" s="214" t="s">
        <v>175</v>
      </c>
      <c r="B4089" s="214" t="s">
        <v>34</v>
      </c>
      <c r="C4089" s="228">
        <v>0.67152777777777795</v>
      </c>
      <c r="D4089" s="229">
        <v>0</v>
      </c>
      <c r="E4089" s="229">
        <v>0</v>
      </c>
      <c r="F4089" s="229">
        <v>0</v>
      </c>
      <c r="G4089" s="229">
        <v>0</v>
      </c>
      <c r="H4089" s="229">
        <v>0</v>
      </c>
      <c r="I4089" s="229">
        <v>0</v>
      </c>
      <c r="J4089" s="229">
        <v>0</v>
      </c>
    </row>
    <row r="4090" spans="1:10" s="217" customFormat="1">
      <c r="A4090" s="214" t="s">
        <v>175</v>
      </c>
      <c r="B4090" s="214" t="s">
        <v>34</v>
      </c>
      <c r="C4090" s="228">
        <v>0.67222222222222205</v>
      </c>
      <c r="D4090" s="229">
        <v>0</v>
      </c>
      <c r="E4090" s="229">
        <v>0</v>
      </c>
      <c r="F4090" s="229">
        <v>0</v>
      </c>
      <c r="G4090" s="229">
        <v>0</v>
      </c>
      <c r="H4090" s="229">
        <v>0</v>
      </c>
      <c r="I4090" s="229">
        <v>0</v>
      </c>
      <c r="J4090" s="229">
        <v>0</v>
      </c>
    </row>
    <row r="4091" spans="1:10" s="217" customFormat="1">
      <c r="A4091" s="214" t="s">
        <v>175</v>
      </c>
      <c r="B4091" s="214" t="s">
        <v>34</v>
      </c>
      <c r="C4091" s="228">
        <v>0.67291666666666705</v>
      </c>
      <c r="D4091" s="229">
        <v>0</v>
      </c>
      <c r="E4091" s="229">
        <v>0</v>
      </c>
      <c r="F4091" s="229">
        <v>0</v>
      </c>
      <c r="G4091" s="229">
        <v>0</v>
      </c>
      <c r="H4091" s="229">
        <v>0</v>
      </c>
      <c r="I4091" s="229">
        <v>0</v>
      </c>
      <c r="J4091" s="229">
        <v>0</v>
      </c>
    </row>
    <row r="4092" spans="1:10" s="217" customFormat="1">
      <c r="A4092" s="214" t="s">
        <v>175</v>
      </c>
      <c r="B4092" s="214" t="s">
        <v>34</v>
      </c>
      <c r="C4092" s="228">
        <v>0.67361111111111105</v>
      </c>
      <c r="D4092" s="229">
        <v>0</v>
      </c>
      <c r="E4092" s="229">
        <v>0</v>
      </c>
      <c r="F4092" s="229">
        <v>0</v>
      </c>
      <c r="G4092" s="229">
        <v>0</v>
      </c>
      <c r="H4092" s="229">
        <v>0</v>
      </c>
      <c r="I4092" s="229">
        <v>0</v>
      </c>
      <c r="J4092" s="229">
        <v>0</v>
      </c>
    </row>
    <row r="4093" spans="1:10" s="217" customFormat="1">
      <c r="A4093" s="214" t="s">
        <v>175</v>
      </c>
      <c r="B4093" s="214" t="s">
        <v>34</v>
      </c>
      <c r="C4093" s="228">
        <v>0.67430555555555505</v>
      </c>
      <c r="D4093" s="229">
        <v>0</v>
      </c>
      <c r="E4093" s="229">
        <v>0</v>
      </c>
      <c r="F4093" s="229">
        <v>0</v>
      </c>
      <c r="G4093" s="229">
        <v>0</v>
      </c>
      <c r="H4093" s="229">
        <v>0</v>
      </c>
      <c r="I4093" s="229">
        <v>0</v>
      </c>
      <c r="J4093" s="229">
        <v>0</v>
      </c>
    </row>
    <row r="4094" spans="1:10" s="217" customFormat="1">
      <c r="A4094" s="214" t="s">
        <v>175</v>
      </c>
      <c r="B4094" s="214" t="s">
        <v>34</v>
      </c>
      <c r="C4094" s="228">
        <v>0.67500000000000004</v>
      </c>
      <c r="D4094" s="229">
        <v>0</v>
      </c>
      <c r="E4094" s="229">
        <v>0</v>
      </c>
      <c r="F4094" s="229">
        <v>0</v>
      </c>
      <c r="G4094" s="229">
        <v>0</v>
      </c>
      <c r="H4094" s="229">
        <v>0</v>
      </c>
      <c r="I4094" s="229">
        <v>0</v>
      </c>
      <c r="J4094" s="229">
        <v>0</v>
      </c>
    </row>
    <row r="4095" spans="1:10" s="217" customFormat="1">
      <c r="A4095" s="214" t="s">
        <v>175</v>
      </c>
      <c r="B4095" s="214" t="s">
        <v>34</v>
      </c>
      <c r="C4095" s="228">
        <v>0.67569444444444404</v>
      </c>
      <c r="D4095" s="229">
        <v>0</v>
      </c>
      <c r="E4095" s="229">
        <v>0</v>
      </c>
      <c r="F4095" s="229">
        <v>0</v>
      </c>
      <c r="G4095" s="229">
        <v>0</v>
      </c>
      <c r="H4095" s="229">
        <v>0</v>
      </c>
      <c r="I4095" s="229">
        <v>0</v>
      </c>
      <c r="J4095" s="229">
        <v>0</v>
      </c>
    </row>
    <row r="4096" spans="1:10" s="221" customFormat="1">
      <c r="A4096" s="218" t="s">
        <v>175</v>
      </c>
      <c r="B4096" s="218" t="s">
        <v>34</v>
      </c>
      <c r="C4096" s="230">
        <v>0.67638888888888904</v>
      </c>
      <c r="D4096" s="231">
        <v>0</v>
      </c>
      <c r="E4096" s="231">
        <v>0</v>
      </c>
      <c r="F4096" s="231">
        <v>0</v>
      </c>
      <c r="G4096" s="231">
        <v>0</v>
      </c>
      <c r="H4096" s="231">
        <v>0</v>
      </c>
      <c r="I4096" s="231">
        <v>0</v>
      </c>
      <c r="J4096" s="231">
        <v>0</v>
      </c>
    </row>
    <row r="4097" spans="1:10" s="217" customFormat="1">
      <c r="A4097" s="214" t="s">
        <v>175</v>
      </c>
      <c r="B4097" s="214" t="s">
        <v>34</v>
      </c>
      <c r="C4097" s="228">
        <v>0.67708333333333304</v>
      </c>
      <c r="D4097" s="229">
        <v>0</v>
      </c>
      <c r="E4097" s="229">
        <v>0</v>
      </c>
      <c r="F4097" s="229">
        <v>0</v>
      </c>
      <c r="G4097" s="229">
        <v>0</v>
      </c>
      <c r="H4097" s="229">
        <v>0</v>
      </c>
      <c r="I4097" s="229">
        <v>0</v>
      </c>
      <c r="J4097" s="229">
        <v>0</v>
      </c>
    </row>
    <row r="4098" spans="1:10" s="217" customFormat="1">
      <c r="A4098" s="214" t="s">
        <v>175</v>
      </c>
      <c r="B4098" s="214" t="s">
        <v>34</v>
      </c>
      <c r="C4098" s="228">
        <v>0.67777777777777803</v>
      </c>
      <c r="D4098" s="229">
        <v>0</v>
      </c>
      <c r="E4098" s="229">
        <v>0</v>
      </c>
      <c r="F4098" s="229">
        <v>0</v>
      </c>
      <c r="G4098" s="229">
        <v>0</v>
      </c>
      <c r="H4098" s="229">
        <v>0</v>
      </c>
      <c r="I4098" s="229">
        <v>0</v>
      </c>
      <c r="J4098" s="229">
        <v>0</v>
      </c>
    </row>
    <row r="4099" spans="1:10" s="217" customFormat="1">
      <c r="A4099" s="214" t="s">
        <v>175</v>
      </c>
      <c r="B4099" s="214" t="s">
        <v>34</v>
      </c>
      <c r="C4099" s="228">
        <v>0.67847222222222203</v>
      </c>
      <c r="D4099" s="229">
        <v>0</v>
      </c>
      <c r="E4099" s="229">
        <v>0</v>
      </c>
      <c r="F4099" s="229">
        <v>0</v>
      </c>
      <c r="G4099" s="229">
        <v>0</v>
      </c>
      <c r="H4099" s="229">
        <v>0</v>
      </c>
      <c r="I4099" s="229">
        <v>0</v>
      </c>
      <c r="J4099" s="229">
        <v>0</v>
      </c>
    </row>
    <row r="4100" spans="1:10" s="217" customFormat="1">
      <c r="A4100" s="214" t="s">
        <v>175</v>
      </c>
      <c r="B4100" s="214" t="s">
        <v>34</v>
      </c>
      <c r="C4100" s="228">
        <v>0.67916666666666703</v>
      </c>
      <c r="D4100" s="229">
        <v>0</v>
      </c>
      <c r="E4100" s="229">
        <v>0</v>
      </c>
      <c r="F4100" s="229">
        <v>0</v>
      </c>
      <c r="G4100" s="229">
        <v>0</v>
      </c>
      <c r="H4100" s="229">
        <v>0</v>
      </c>
      <c r="I4100" s="229">
        <v>0</v>
      </c>
      <c r="J4100" s="229">
        <v>0</v>
      </c>
    </row>
    <row r="4101" spans="1:10" s="217" customFormat="1">
      <c r="A4101" s="214" t="s">
        <v>175</v>
      </c>
      <c r="B4101" s="214" t="s">
        <v>34</v>
      </c>
      <c r="C4101" s="228">
        <v>0.67986111111111103</v>
      </c>
      <c r="D4101" s="229">
        <v>0</v>
      </c>
      <c r="E4101" s="229">
        <v>0</v>
      </c>
      <c r="F4101" s="229">
        <v>0</v>
      </c>
      <c r="G4101" s="229">
        <v>0</v>
      </c>
      <c r="H4101" s="229">
        <v>0</v>
      </c>
      <c r="I4101" s="229">
        <v>0</v>
      </c>
      <c r="J4101" s="229">
        <v>0</v>
      </c>
    </row>
    <row r="4102" spans="1:10" s="217" customFormat="1">
      <c r="A4102" s="214" t="s">
        <v>175</v>
      </c>
      <c r="B4102" s="214" t="s">
        <v>34</v>
      </c>
      <c r="C4102" s="228">
        <v>0.68055555555555503</v>
      </c>
      <c r="D4102" s="229">
        <v>0</v>
      </c>
      <c r="E4102" s="229">
        <v>0</v>
      </c>
      <c r="F4102" s="229">
        <v>0</v>
      </c>
      <c r="G4102" s="229">
        <v>0</v>
      </c>
      <c r="H4102" s="229">
        <v>0</v>
      </c>
      <c r="I4102" s="229">
        <v>0</v>
      </c>
      <c r="J4102" s="229">
        <v>0</v>
      </c>
    </row>
    <row r="4103" spans="1:10" s="217" customFormat="1">
      <c r="A4103" s="214" t="s">
        <v>175</v>
      </c>
      <c r="B4103" s="214" t="s">
        <v>34</v>
      </c>
      <c r="C4103" s="228">
        <v>0.68125000000000002</v>
      </c>
      <c r="D4103" s="229">
        <v>0</v>
      </c>
      <c r="E4103" s="229">
        <v>0</v>
      </c>
      <c r="F4103" s="229">
        <v>0</v>
      </c>
      <c r="G4103" s="229">
        <v>0</v>
      </c>
      <c r="H4103" s="229">
        <v>0</v>
      </c>
      <c r="I4103" s="229">
        <v>0</v>
      </c>
      <c r="J4103" s="229">
        <v>0</v>
      </c>
    </row>
    <row r="4104" spans="1:10" s="217" customFormat="1">
      <c r="A4104" s="214" t="s">
        <v>175</v>
      </c>
      <c r="B4104" s="214" t="s">
        <v>34</v>
      </c>
      <c r="C4104" s="228">
        <v>0.68194444444444402</v>
      </c>
      <c r="D4104" s="229">
        <v>0</v>
      </c>
      <c r="E4104" s="229">
        <v>0</v>
      </c>
      <c r="F4104" s="229">
        <v>0</v>
      </c>
      <c r="G4104" s="229">
        <v>0</v>
      </c>
      <c r="H4104" s="229">
        <v>0</v>
      </c>
      <c r="I4104" s="229">
        <v>0</v>
      </c>
      <c r="J4104" s="229">
        <v>0</v>
      </c>
    </row>
    <row r="4105" spans="1:10" s="217" customFormat="1">
      <c r="A4105" s="214" t="s">
        <v>175</v>
      </c>
      <c r="B4105" s="214" t="s">
        <v>34</v>
      </c>
      <c r="C4105" s="228">
        <v>0.68263888888888902</v>
      </c>
      <c r="D4105" s="229">
        <v>0</v>
      </c>
      <c r="E4105" s="229">
        <v>0</v>
      </c>
      <c r="F4105" s="229">
        <v>0</v>
      </c>
      <c r="G4105" s="229">
        <v>0</v>
      </c>
      <c r="H4105" s="229">
        <v>0</v>
      </c>
      <c r="I4105" s="229">
        <v>0</v>
      </c>
      <c r="J4105" s="229">
        <v>0</v>
      </c>
    </row>
    <row r="4106" spans="1:10" s="217" customFormat="1">
      <c r="A4106" s="214" t="s">
        <v>175</v>
      </c>
      <c r="B4106" s="214" t="s">
        <v>34</v>
      </c>
      <c r="C4106" s="228">
        <v>0.68333333333333302</v>
      </c>
      <c r="D4106" s="229">
        <v>0</v>
      </c>
      <c r="E4106" s="229">
        <v>0</v>
      </c>
      <c r="F4106" s="229">
        <v>0</v>
      </c>
      <c r="G4106" s="229">
        <v>0</v>
      </c>
      <c r="H4106" s="229">
        <v>0</v>
      </c>
      <c r="I4106" s="229">
        <v>0</v>
      </c>
      <c r="J4106" s="229">
        <v>0</v>
      </c>
    </row>
    <row r="4107" spans="1:10" s="217" customFormat="1">
      <c r="A4107" s="214" t="s">
        <v>175</v>
      </c>
      <c r="B4107" s="214" t="s">
        <v>34</v>
      </c>
      <c r="C4107" s="228">
        <v>0.68402777777777801</v>
      </c>
      <c r="D4107" s="229">
        <v>0</v>
      </c>
      <c r="E4107" s="229">
        <v>0</v>
      </c>
      <c r="F4107" s="229">
        <v>0</v>
      </c>
      <c r="G4107" s="229">
        <v>0</v>
      </c>
      <c r="H4107" s="229">
        <v>0</v>
      </c>
      <c r="I4107" s="229">
        <v>0</v>
      </c>
      <c r="J4107" s="229">
        <v>0</v>
      </c>
    </row>
    <row r="4108" spans="1:10" s="217" customFormat="1">
      <c r="A4108" s="214" t="s">
        <v>175</v>
      </c>
      <c r="B4108" s="214" t="s">
        <v>34</v>
      </c>
      <c r="C4108" s="228">
        <v>0.68472222222222201</v>
      </c>
      <c r="D4108" s="229">
        <v>0</v>
      </c>
      <c r="E4108" s="229">
        <v>0</v>
      </c>
      <c r="F4108" s="229">
        <v>0</v>
      </c>
      <c r="G4108" s="229">
        <v>0</v>
      </c>
      <c r="H4108" s="229">
        <v>0</v>
      </c>
      <c r="I4108" s="229">
        <v>0</v>
      </c>
      <c r="J4108" s="229">
        <v>0</v>
      </c>
    </row>
    <row r="4109" spans="1:10" s="217" customFormat="1">
      <c r="A4109" s="214" t="s">
        <v>175</v>
      </c>
      <c r="B4109" s="214" t="s">
        <v>34</v>
      </c>
      <c r="C4109" s="228">
        <v>0.68541666666666701</v>
      </c>
      <c r="D4109" s="229">
        <v>0</v>
      </c>
      <c r="E4109" s="229">
        <v>0</v>
      </c>
      <c r="F4109" s="229">
        <v>0</v>
      </c>
      <c r="G4109" s="229">
        <v>0</v>
      </c>
      <c r="H4109" s="229">
        <v>0</v>
      </c>
      <c r="I4109" s="229">
        <v>0</v>
      </c>
      <c r="J4109" s="229">
        <v>0</v>
      </c>
    </row>
    <row r="4110" spans="1:10" s="217" customFormat="1">
      <c r="A4110" s="214" t="s">
        <v>175</v>
      </c>
      <c r="B4110" s="214" t="s">
        <v>34</v>
      </c>
      <c r="C4110" s="228">
        <v>0.68611111111111101</v>
      </c>
      <c r="D4110" s="229">
        <v>0</v>
      </c>
      <c r="E4110" s="229">
        <v>0</v>
      </c>
      <c r="F4110" s="229">
        <v>0</v>
      </c>
      <c r="G4110" s="229">
        <v>0</v>
      </c>
      <c r="H4110" s="229">
        <v>0</v>
      </c>
      <c r="I4110" s="229">
        <v>0</v>
      </c>
      <c r="J4110" s="229">
        <v>0</v>
      </c>
    </row>
    <row r="4111" spans="1:10" s="221" customFormat="1">
      <c r="A4111" s="218" t="s">
        <v>175</v>
      </c>
      <c r="B4111" s="218" t="s">
        <v>34</v>
      </c>
      <c r="C4111" s="230">
        <v>0.686805555555555</v>
      </c>
      <c r="D4111" s="231">
        <v>0</v>
      </c>
      <c r="E4111" s="231">
        <v>0</v>
      </c>
      <c r="F4111" s="231">
        <v>0</v>
      </c>
      <c r="G4111" s="231">
        <v>0</v>
      </c>
      <c r="H4111" s="231">
        <v>0</v>
      </c>
      <c r="I4111" s="231">
        <v>0</v>
      </c>
      <c r="J4111" s="231">
        <v>0</v>
      </c>
    </row>
    <row r="4112" spans="1:10" s="217" customFormat="1">
      <c r="A4112" s="214" t="s">
        <v>175</v>
      </c>
      <c r="B4112" s="214" t="s">
        <v>34</v>
      </c>
      <c r="C4112" s="228">
        <v>0.6875</v>
      </c>
      <c r="D4112" s="229">
        <v>0</v>
      </c>
      <c r="E4112" s="229">
        <v>0</v>
      </c>
      <c r="F4112" s="229">
        <v>0</v>
      </c>
      <c r="G4112" s="229">
        <v>0</v>
      </c>
      <c r="H4112" s="229">
        <v>0</v>
      </c>
      <c r="I4112" s="229">
        <v>0</v>
      </c>
      <c r="J4112" s="229">
        <v>0</v>
      </c>
    </row>
    <row r="4113" spans="1:10" s="217" customFormat="1">
      <c r="A4113" s="214" t="s">
        <v>175</v>
      </c>
      <c r="B4113" s="214" t="s">
        <v>34</v>
      </c>
      <c r="C4113" s="228">
        <v>0.688194444444444</v>
      </c>
      <c r="D4113" s="229">
        <v>0</v>
      </c>
      <c r="E4113" s="229">
        <v>0</v>
      </c>
      <c r="F4113" s="229">
        <v>0</v>
      </c>
      <c r="G4113" s="229">
        <v>0</v>
      </c>
      <c r="H4113" s="229">
        <v>0</v>
      </c>
      <c r="I4113" s="229">
        <v>0</v>
      </c>
      <c r="J4113" s="229">
        <v>0</v>
      </c>
    </row>
    <row r="4114" spans="1:10" s="217" customFormat="1">
      <c r="A4114" s="214" t="s">
        <v>175</v>
      </c>
      <c r="B4114" s="214" t="s">
        <v>34</v>
      </c>
      <c r="C4114" s="228">
        <v>0.68888888888888899</v>
      </c>
      <c r="D4114" s="229">
        <v>0</v>
      </c>
      <c r="E4114" s="229">
        <v>0</v>
      </c>
      <c r="F4114" s="229">
        <v>0</v>
      </c>
      <c r="G4114" s="229">
        <v>0</v>
      </c>
      <c r="H4114" s="229">
        <v>0</v>
      </c>
      <c r="I4114" s="229">
        <v>0</v>
      </c>
      <c r="J4114" s="229">
        <v>0</v>
      </c>
    </row>
    <row r="4115" spans="1:10" s="217" customFormat="1">
      <c r="A4115" s="214" t="s">
        <v>175</v>
      </c>
      <c r="B4115" s="214" t="s">
        <v>34</v>
      </c>
      <c r="C4115" s="228">
        <v>0.68958333333333299</v>
      </c>
      <c r="D4115" s="229">
        <v>0</v>
      </c>
      <c r="E4115" s="229">
        <v>0</v>
      </c>
      <c r="F4115" s="229">
        <v>0</v>
      </c>
      <c r="G4115" s="229">
        <v>0</v>
      </c>
      <c r="H4115" s="229">
        <v>0</v>
      </c>
      <c r="I4115" s="229">
        <v>0</v>
      </c>
      <c r="J4115" s="229">
        <v>0</v>
      </c>
    </row>
    <row r="4116" spans="1:10" s="217" customFormat="1">
      <c r="A4116" s="214" t="s">
        <v>175</v>
      </c>
      <c r="B4116" s="214" t="s">
        <v>34</v>
      </c>
      <c r="C4116" s="228">
        <v>0.69027777777777799</v>
      </c>
      <c r="D4116" s="229">
        <v>0</v>
      </c>
      <c r="E4116" s="229">
        <v>0</v>
      </c>
      <c r="F4116" s="229">
        <v>0</v>
      </c>
      <c r="G4116" s="229">
        <v>0</v>
      </c>
      <c r="H4116" s="229">
        <v>0</v>
      </c>
      <c r="I4116" s="229">
        <v>0</v>
      </c>
      <c r="J4116" s="229">
        <v>0</v>
      </c>
    </row>
    <row r="4117" spans="1:10" s="217" customFormat="1">
      <c r="A4117" s="214" t="s">
        <v>175</v>
      </c>
      <c r="B4117" s="214" t="s">
        <v>34</v>
      </c>
      <c r="C4117" s="228">
        <v>0.69097222222222199</v>
      </c>
      <c r="D4117" s="229">
        <v>0</v>
      </c>
      <c r="E4117" s="229">
        <v>0</v>
      </c>
      <c r="F4117" s="229">
        <v>0</v>
      </c>
      <c r="G4117" s="229">
        <v>0</v>
      </c>
      <c r="H4117" s="229">
        <v>0</v>
      </c>
      <c r="I4117" s="229">
        <v>0</v>
      </c>
      <c r="J4117" s="229">
        <v>0</v>
      </c>
    </row>
    <row r="4118" spans="1:10" s="217" customFormat="1">
      <c r="A4118" s="214" t="s">
        <v>175</v>
      </c>
      <c r="B4118" s="214" t="s">
        <v>34</v>
      </c>
      <c r="C4118" s="228">
        <v>0.69166666666666698</v>
      </c>
      <c r="D4118" s="229">
        <v>0</v>
      </c>
      <c r="E4118" s="229">
        <v>0</v>
      </c>
      <c r="F4118" s="229">
        <v>0</v>
      </c>
      <c r="G4118" s="229">
        <v>0</v>
      </c>
      <c r="H4118" s="229">
        <v>0</v>
      </c>
      <c r="I4118" s="229">
        <v>0</v>
      </c>
      <c r="J4118" s="229">
        <v>0</v>
      </c>
    </row>
    <row r="4119" spans="1:10" s="217" customFormat="1">
      <c r="A4119" s="214" t="s">
        <v>175</v>
      </c>
      <c r="B4119" s="214" t="s">
        <v>34</v>
      </c>
      <c r="C4119" s="228">
        <v>0.69236111111111098</v>
      </c>
      <c r="D4119" s="229">
        <v>0</v>
      </c>
      <c r="E4119" s="229">
        <v>0</v>
      </c>
      <c r="F4119" s="229">
        <v>0</v>
      </c>
      <c r="G4119" s="229">
        <v>0</v>
      </c>
      <c r="H4119" s="229">
        <v>0</v>
      </c>
      <c r="I4119" s="229">
        <v>0</v>
      </c>
      <c r="J4119" s="229">
        <v>0</v>
      </c>
    </row>
    <row r="4120" spans="1:10" s="217" customFormat="1">
      <c r="A4120" s="214" t="s">
        <v>175</v>
      </c>
      <c r="B4120" s="214" t="s">
        <v>34</v>
      </c>
      <c r="C4120" s="228">
        <v>0.69305555555555498</v>
      </c>
      <c r="D4120" s="229">
        <v>0</v>
      </c>
      <c r="E4120" s="229">
        <v>0</v>
      </c>
      <c r="F4120" s="229">
        <v>0</v>
      </c>
      <c r="G4120" s="229">
        <v>0</v>
      </c>
      <c r="H4120" s="229">
        <v>0</v>
      </c>
      <c r="I4120" s="229">
        <v>0</v>
      </c>
      <c r="J4120" s="229">
        <v>0</v>
      </c>
    </row>
    <row r="4121" spans="1:10" s="217" customFormat="1">
      <c r="A4121" s="214" t="s">
        <v>175</v>
      </c>
      <c r="B4121" s="214" t="s">
        <v>34</v>
      </c>
      <c r="C4121" s="228">
        <v>0.69374999999999998</v>
      </c>
      <c r="D4121" s="229">
        <v>0</v>
      </c>
      <c r="E4121" s="229">
        <v>0</v>
      </c>
      <c r="F4121" s="229">
        <v>0</v>
      </c>
      <c r="G4121" s="229">
        <v>0</v>
      </c>
      <c r="H4121" s="229">
        <v>0</v>
      </c>
      <c r="I4121" s="229">
        <v>0</v>
      </c>
      <c r="J4121" s="229">
        <v>0</v>
      </c>
    </row>
    <row r="4122" spans="1:10" s="217" customFormat="1">
      <c r="A4122" s="214" t="s">
        <v>175</v>
      </c>
      <c r="B4122" s="214" t="s">
        <v>34</v>
      </c>
      <c r="C4122" s="228">
        <v>0.69444444444444398</v>
      </c>
      <c r="D4122" s="229">
        <v>0</v>
      </c>
      <c r="E4122" s="229">
        <v>0</v>
      </c>
      <c r="F4122" s="229">
        <v>0</v>
      </c>
      <c r="G4122" s="229">
        <v>0</v>
      </c>
      <c r="H4122" s="229">
        <v>0</v>
      </c>
      <c r="I4122" s="229">
        <v>0</v>
      </c>
      <c r="J4122" s="229">
        <v>0</v>
      </c>
    </row>
    <row r="4123" spans="1:10" s="217" customFormat="1">
      <c r="A4123" s="214" t="s">
        <v>175</v>
      </c>
      <c r="B4123" s="214" t="s">
        <v>34</v>
      </c>
      <c r="C4123" s="228">
        <v>0.69513888888888897</v>
      </c>
      <c r="D4123" s="229">
        <v>0</v>
      </c>
      <c r="E4123" s="229">
        <v>0</v>
      </c>
      <c r="F4123" s="229">
        <v>0</v>
      </c>
      <c r="G4123" s="229">
        <v>0</v>
      </c>
      <c r="H4123" s="229">
        <v>0</v>
      </c>
      <c r="I4123" s="229">
        <v>0</v>
      </c>
      <c r="J4123" s="229">
        <v>0</v>
      </c>
    </row>
    <row r="4124" spans="1:10" s="217" customFormat="1">
      <c r="A4124" s="214" t="s">
        <v>175</v>
      </c>
      <c r="B4124" s="214" t="s">
        <v>34</v>
      </c>
      <c r="C4124" s="228">
        <v>0.69583333333333297</v>
      </c>
      <c r="D4124" s="229">
        <v>0</v>
      </c>
      <c r="E4124" s="229">
        <v>0</v>
      </c>
      <c r="F4124" s="229">
        <v>0</v>
      </c>
      <c r="G4124" s="229">
        <v>0</v>
      </c>
      <c r="H4124" s="229">
        <v>0</v>
      </c>
      <c r="I4124" s="229">
        <v>0</v>
      </c>
      <c r="J4124" s="229">
        <v>0</v>
      </c>
    </row>
    <row r="4125" spans="1:10" s="217" customFormat="1">
      <c r="A4125" s="214" t="s">
        <v>175</v>
      </c>
      <c r="B4125" s="214" t="s">
        <v>34</v>
      </c>
      <c r="C4125" s="228">
        <v>0.69652777777777797</v>
      </c>
      <c r="D4125" s="229">
        <v>0</v>
      </c>
      <c r="E4125" s="229">
        <v>0</v>
      </c>
      <c r="F4125" s="229">
        <v>0</v>
      </c>
      <c r="G4125" s="229">
        <v>0</v>
      </c>
      <c r="H4125" s="229">
        <v>0</v>
      </c>
      <c r="I4125" s="229">
        <v>0</v>
      </c>
      <c r="J4125" s="229">
        <v>0</v>
      </c>
    </row>
    <row r="4126" spans="1:10" s="221" customFormat="1">
      <c r="A4126" s="218" t="s">
        <v>175</v>
      </c>
      <c r="B4126" s="218" t="s">
        <v>34</v>
      </c>
      <c r="C4126" s="230">
        <v>0.69722222222222197</v>
      </c>
      <c r="D4126" s="231">
        <v>0</v>
      </c>
      <c r="E4126" s="231">
        <v>0</v>
      </c>
      <c r="F4126" s="231">
        <v>0</v>
      </c>
      <c r="G4126" s="231">
        <v>0</v>
      </c>
      <c r="H4126" s="231">
        <v>0</v>
      </c>
      <c r="I4126" s="231">
        <v>0</v>
      </c>
      <c r="J4126" s="231">
        <v>0</v>
      </c>
    </row>
    <row r="4127" spans="1:10" s="217" customFormat="1">
      <c r="A4127" s="214" t="s">
        <v>175</v>
      </c>
      <c r="B4127" s="214" t="s">
        <v>34</v>
      </c>
      <c r="C4127" s="228">
        <v>0.69791666666666696</v>
      </c>
      <c r="D4127" s="229">
        <v>0</v>
      </c>
      <c r="E4127" s="229">
        <v>0</v>
      </c>
      <c r="F4127" s="229">
        <v>0</v>
      </c>
      <c r="G4127" s="229">
        <v>0</v>
      </c>
      <c r="H4127" s="229">
        <v>0</v>
      </c>
      <c r="I4127" s="229">
        <v>0</v>
      </c>
      <c r="J4127" s="229">
        <v>0</v>
      </c>
    </row>
    <row r="4128" spans="1:10" s="217" customFormat="1">
      <c r="A4128" s="214" t="s">
        <v>175</v>
      </c>
      <c r="B4128" s="214" t="s">
        <v>34</v>
      </c>
      <c r="C4128" s="228">
        <v>0.69861111111111096</v>
      </c>
      <c r="D4128" s="229">
        <v>0</v>
      </c>
      <c r="E4128" s="229">
        <v>0</v>
      </c>
      <c r="F4128" s="229">
        <v>0</v>
      </c>
      <c r="G4128" s="229">
        <v>0</v>
      </c>
      <c r="H4128" s="229">
        <v>0</v>
      </c>
      <c r="I4128" s="229">
        <v>0</v>
      </c>
      <c r="J4128" s="229">
        <v>0</v>
      </c>
    </row>
    <row r="4129" spans="1:10" s="217" customFormat="1">
      <c r="A4129" s="214" t="s">
        <v>175</v>
      </c>
      <c r="B4129" s="214" t="s">
        <v>34</v>
      </c>
      <c r="C4129" s="228">
        <v>0.69930555555555496</v>
      </c>
      <c r="D4129" s="229">
        <v>0</v>
      </c>
      <c r="E4129" s="229">
        <v>0</v>
      </c>
      <c r="F4129" s="229">
        <v>0</v>
      </c>
      <c r="G4129" s="229">
        <v>0</v>
      </c>
      <c r="H4129" s="229">
        <v>0</v>
      </c>
      <c r="I4129" s="229">
        <v>0</v>
      </c>
      <c r="J4129" s="229">
        <v>0</v>
      </c>
    </row>
    <row r="4130" spans="1:10" s="217" customFormat="1">
      <c r="A4130" s="214" t="s">
        <v>175</v>
      </c>
      <c r="B4130" s="214" t="s">
        <v>34</v>
      </c>
      <c r="C4130" s="228">
        <v>0.7</v>
      </c>
      <c r="D4130" s="229">
        <v>0</v>
      </c>
      <c r="E4130" s="229">
        <v>0</v>
      </c>
      <c r="F4130" s="229">
        <v>0</v>
      </c>
      <c r="G4130" s="229">
        <v>0</v>
      </c>
      <c r="H4130" s="229">
        <v>0</v>
      </c>
      <c r="I4130" s="229">
        <v>0</v>
      </c>
      <c r="J4130" s="229">
        <v>0</v>
      </c>
    </row>
    <row r="4131" spans="1:10" s="217" customFormat="1">
      <c r="A4131" s="214" t="s">
        <v>175</v>
      </c>
      <c r="B4131" s="214" t="s">
        <v>34</v>
      </c>
      <c r="C4131" s="228">
        <v>0.70069444444444395</v>
      </c>
      <c r="D4131" s="229">
        <v>0</v>
      </c>
      <c r="E4131" s="229">
        <v>0</v>
      </c>
      <c r="F4131" s="229">
        <v>0</v>
      </c>
      <c r="G4131" s="229">
        <v>0</v>
      </c>
      <c r="H4131" s="229">
        <v>0</v>
      </c>
      <c r="I4131" s="229">
        <v>0</v>
      </c>
      <c r="J4131" s="229">
        <v>0</v>
      </c>
    </row>
    <row r="4132" spans="1:10" s="217" customFormat="1">
      <c r="A4132" s="214" t="s">
        <v>175</v>
      </c>
      <c r="B4132" s="214" t="s">
        <v>34</v>
      </c>
      <c r="C4132" s="228">
        <v>0.70138888888888895</v>
      </c>
      <c r="D4132" s="229">
        <v>0</v>
      </c>
      <c r="E4132" s="229">
        <v>0</v>
      </c>
      <c r="F4132" s="229">
        <v>0</v>
      </c>
      <c r="G4132" s="229">
        <v>0</v>
      </c>
      <c r="H4132" s="229">
        <v>0</v>
      </c>
      <c r="I4132" s="229">
        <v>0</v>
      </c>
      <c r="J4132" s="229">
        <v>0</v>
      </c>
    </row>
    <row r="4133" spans="1:10" s="217" customFormat="1">
      <c r="A4133" s="214" t="s">
        <v>175</v>
      </c>
      <c r="B4133" s="214" t="s">
        <v>34</v>
      </c>
      <c r="C4133" s="228">
        <v>0.70208333333333295</v>
      </c>
      <c r="D4133" s="229">
        <v>0</v>
      </c>
      <c r="E4133" s="229">
        <v>0</v>
      </c>
      <c r="F4133" s="229">
        <v>0</v>
      </c>
      <c r="G4133" s="229">
        <v>0</v>
      </c>
      <c r="H4133" s="229">
        <v>0</v>
      </c>
      <c r="I4133" s="229">
        <v>0</v>
      </c>
      <c r="J4133" s="229">
        <v>0</v>
      </c>
    </row>
    <row r="4134" spans="1:10" s="217" customFormat="1">
      <c r="A4134" s="214" t="s">
        <v>175</v>
      </c>
      <c r="B4134" s="214" t="s">
        <v>34</v>
      </c>
      <c r="C4134" s="228">
        <v>0.70277777777777795</v>
      </c>
      <c r="D4134" s="229">
        <v>0</v>
      </c>
      <c r="E4134" s="229">
        <v>0</v>
      </c>
      <c r="F4134" s="229">
        <v>0</v>
      </c>
      <c r="G4134" s="229">
        <v>0</v>
      </c>
      <c r="H4134" s="229">
        <v>0</v>
      </c>
      <c r="I4134" s="229">
        <v>0</v>
      </c>
      <c r="J4134" s="229">
        <v>0</v>
      </c>
    </row>
    <row r="4135" spans="1:10" s="217" customFormat="1">
      <c r="A4135" s="214" t="s">
        <v>175</v>
      </c>
      <c r="B4135" s="214" t="s">
        <v>34</v>
      </c>
      <c r="C4135" s="228">
        <v>0.70347222222222205</v>
      </c>
      <c r="D4135" s="229">
        <v>0</v>
      </c>
      <c r="E4135" s="229">
        <v>0</v>
      </c>
      <c r="F4135" s="229">
        <v>0</v>
      </c>
      <c r="G4135" s="229">
        <v>0</v>
      </c>
      <c r="H4135" s="229">
        <v>0</v>
      </c>
      <c r="I4135" s="229">
        <v>0</v>
      </c>
      <c r="J4135" s="229">
        <v>0</v>
      </c>
    </row>
    <row r="4136" spans="1:10" s="217" customFormat="1">
      <c r="A4136" s="214" t="s">
        <v>175</v>
      </c>
      <c r="B4136" s="214" t="s">
        <v>34</v>
      </c>
      <c r="C4136" s="228">
        <v>0.70416666666666605</v>
      </c>
      <c r="D4136" s="229">
        <v>0</v>
      </c>
      <c r="E4136" s="229">
        <v>0</v>
      </c>
      <c r="F4136" s="229">
        <v>0</v>
      </c>
      <c r="G4136" s="229">
        <v>0</v>
      </c>
      <c r="H4136" s="229">
        <v>0</v>
      </c>
      <c r="I4136" s="229">
        <v>0</v>
      </c>
      <c r="J4136" s="229">
        <v>0</v>
      </c>
    </row>
    <row r="4137" spans="1:10" s="217" customFormat="1">
      <c r="A4137" s="214" t="s">
        <v>175</v>
      </c>
      <c r="B4137" s="214" t="s">
        <v>34</v>
      </c>
      <c r="C4137" s="228">
        <v>0.70486111111111105</v>
      </c>
      <c r="D4137" s="229">
        <v>0</v>
      </c>
      <c r="E4137" s="229">
        <v>0</v>
      </c>
      <c r="F4137" s="229">
        <v>0</v>
      </c>
      <c r="G4137" s="229">
        <v>0</v>
      </c>
      <c r="H4137" s="229">
        <v>0</v>
      </c>
      <c r="I4137" s="229">
        <v>0</v>
      </c>
      <c r="J4137" s="229">
        <v>0</v>
      </c>
    </row>
    <row r="4138" spans="1:10" s="217" customFormat="1">
      <c r="A4138" s="214" t="s">
        <v>175</v>
      </c>
      <c r="B4138" s="214" t="s">
        <v>34</v>
      </c>
      <c r="C4138" s="228">
        <v>0.70555555555555505</v>
      </c>
      <c r="D4138" s="229">
        <v>0</v>
      </c>
      <c r="E4138" s="229">
        <v>0</v>
      </c>
      <c r="F4138" s="229">
        <v>0</v>
      </c>
      <c r="G4138" s="229">
        <v>0</v>
      </c>
      <c r="H4138" s="229">
        <v>0</v>
      </c>
      <c r="I4138" s="229">
        <v>0</v>
      </c>
      <c r="J4138" s="229">
        <v>0</v>
      </c>
    </row>
    <row r="4139" spans="1:10" s="217" customFormat="1">
      <c r="A4139" s="214" t="s">
        <v>175</v>
      </c>
      <c r="B4139" s="214" t="s">
        <v>34</v>
      </c>
      <c r="C4139" s="228">
        <v>0.70625000000000004</v>
      </c>
      <c r="D4139" s="229">
        <v>0</v>
      </c>
      <c r="E4139" s="229">
        <v>0</v>
      </c>
      <c r="F4139" s="229">
        <v>0</v>
      </c>
      <c r="G4139" s="229">
        <v>0</v>
      </c>
      <c r="H4139" s="229">
        <v>0</v>
      </c>
      <c r="I4139" s="229">
        <v>0</v>
      </c>
      <c r="J4139" s="229">
        <v>0</v>
      </c>
    </row>
    <row r="4140" spans="1:10" s="217" customFormat="1">
      <c r="A4140" s="214" t="s">
        <v>175</v>
      </c>
      <c r="B4140" s="214" t="s">
        <v>34</v>
      </c>
      <c r="C4140" s="228">
        <v>0.70694444444444404</v>
      </c>
      <c r="D4140" s="229">
        <v>0</v>
      </c>
      <c r="E4140" s="229">
        <v>0</v>
      </c>
      <c r="F4140" s="229">
        <v>0</v>
      </c>
      <c r="G4140" s="229">
        <v>0</v>
      </c>
      <c r="H4140" s="229">
        <v>0</v>
      </c>
      <c r="I4140" s="229">
        <v>0</v>
      </c>
      <c r="J4140" s="229">
        <v>0</v>
      </c>
    </row>
    <row r="4141" spans="1:10" s="221" customFormat="1">
      <c r="A4141" s="218" t="s">
        <v>175</v>
      </c>
      <c r="B4141" s="218" t="s">
        <v>34</v>
      </c>
      <c r="C4141" s="230">
        <v>0.70763888888888904</v>
      </c>
      <c r="D4141" s="231">
        <v>0</v>
      </c>
      <c r="E4141" s="231">
        <v>0</v>
      </c>
      <c r="F4141" s="231">
        <v>0</v>
      </c>
      <c r="G4141" s="231">
        <v>0</v>
      </c>
      <c r="H4141" s="231">
        <v>0</v>
      </c>
      <c r="I4141" s="231">
        <v>0</v>
      </c>
      <c r="J4141" s="231">
        <v>0</v>
      </c>
    </row>
    <row r="4142" spans="1:10" s="217" customFormat="1">
      <c r="A4142" s="214" t="s">
        <v>175</v>
      </c>
      <c r="B4142" s="214" t="s">
        <v>34</v>
      </c>
      <c r="C4142" s="228">
        <v>0.70833333333333304</v>
      </c>
      <c r="D4142" s="229">
        <v>0</v>
      </c>
      <c r="E4142" s="229">
        <v>0</v>
      </c>
      <c r="F4142" s="229">
        <v>0</v>
      </c>
      <c r="G4142" s="229">
        <v>0</v>
      </c>
      <c r="H4142" s="229">
        <v>0</v>
      </c>
      <c r="I4142" s="229">
        <v>0</v>
      </c>
      <c r="J4142" s="229">
        <v>0</v>
      </c>
    </row>
    <row r="4143" spans="1:10" s="217" customFormat="1">
      <c r="A4143" s="214" t="s">
        <v>175</v>
      </c>
      <c r="B4143" s="214" t="s">
        <v>34</v>
      </c>
      <c r="C4143" s="228">
        <v>0.70902777777777803</v>
      </c>
      <c r="D4143" s="229">
        <v>0</v>
      </c>
      <c r="E4143" s="229">
        <v>0</v>
      </c>
      <c r="F4143" s="229">
        <v>0</v>
      </c>
      <c r="G4143" s="229">
        <v>0</v>
      </c>
      <c r="H4143" s="229">
        <v>0</v>
      </c>
      <c r="I4143" s="229">
        <v>0</v>
      </c>
      <c r="J4143" s="229">
        <v>0</v>
      </c>
    </row>
    <row r="4144" spans="1:10" s="217" customFormat="1">
      <c r="A4144" s="214" t="s">
        <v>175</v>
      </c>
      <c r="B4144" s="214" t="s">
        <v>34</v>
      </c>
      <c r="C4144" s="228">
        <v>0.70972222222222203</v>
      </c>
      <c r="D4144" s="229">
        <v>0</v>
      </c>
      <c r="E4144" s="229">
        <v>0</v>
      </c>
      <c r="F4144" s="229">
        <v>0</v>
      </c>
      <c r="G4144" s="229">
        <v>0</v>
      </c>
      <c r="H4144" s="229">
        <v>0</v>
      </c>
      <c r="I4144" s="229">
        <v>0</v>
      </c>
      <c r="J4144" s="229">
        <v>0</v>
      </c>
    </row>
    <row r="4145" spans="1:10" s="217" customFormat="1">
      <c r="A4145" s="214" t="s">
        <v>175</v>
      </c>
      <c r="B4145" s="214" t="s">
        <v>34</v>
      </c>
      <c r="C4145" s="228">
        <v>0.71041666666666603</v>
      </c>
      <c r="D4145" s="229">
        <v>0</v>
      </c>
      <c r="E4145" s="229">
        <v>0</v>
      </c>
      <c r="F4145" s="229">
        <v>0</v>
      </c>
      <c r="G4145" s="229">
        <v>0</v>
      </c>
      <c r="H4145" s="229">
        <v>0</v>
      </c>
      <c r="I4145" s="229">
        <v>0</v>
      </c>
      <c r="J4145" s="229">
        <v>0</v>
      </c>
    </row>
    <row r="4146" spans="1:10" s="217" customFormat="1">
      <c r="A4146" s="214" t="s">
        <v>175</v>
      </c>
      <c r="B4146" s="214" t="s">
        <v>34</v>
      </c>
      <c r="C4146" s="228">
        <v>0.71111111111111103</v>
      </c>
      <c r="D4146" s="229">
        <v>0</v>
      </c>
      <c r="E4146" s="229">
        <v>0</v>
      </c>
      <c r="F4146" s="229">
        <v>0</v>
      </c>
      <c r="G4146" s="229">
        <v>0</v>
      </c>
      <c r="H4146" s="229">
        <v>0</v>
      </c>
      <c r="I4146" s="229">
        <v>0</v>
      </c>
      <c r="J4146" s="229">
        <v>0</v>
      </c>
    </row>
    <row r="4147" spans="1:10" s="217" customFormat="1">
      <c r="A4147" s="214" t="s">
        <v>175</v>
      </c>
      <c r="B4147" s="214" t="s">
        <v>34</v>
      </c>
      <c r="C4147" s="228">
        <v>0.71180555555555503</v>
      </c>
      <c r="D4147" s="229">
        <v>0</v>
      </c>
      <c r="E4147" s="229">
        <v>0</v>
      </c>
      <c r="F4147" s="229">
        <v>0</v>
      </c>
      <c r="G4147" s="229">
        <v>0</v>
      </c>
      <c r="H4147" s="229">
        <v>0</v>
      </c>
      <c r="I4147" s="229">
        <v>0</v>
      </c>
      <c r="J4147" s="229">
        <v>0</v>
      </c>
    </row>
    <row r="4148" spans="1:10" s="217" customFormat="1">
      <c r="A4148" s="214" t="s">
        <v>175</v>
      </c>
      <c r="B4148" s="214" t="s">
        <v>34</v>
      </c>
      <c r="C4148" s="228">
        <v>0.71250000000000002</v>
      </c>
      <c r="D4148" s="229">
        <v>0</v>
      </c>
      <c r="E4148" s="229">
        <v>0</v>
      </c>
      <c r="F4148" s="229">
        <v>0</v>
      </c>
      <c r="G4148" s="229">
        <v>0</v>
      </c>
      <c r="H4148" s="229">
        <v>0</v>
      </c>
      <c r="I4148" s="229">
        <v>0</v>
      </c>
      <c r="J4148" s="229">
        <v>0</v>
      </c>
    </row>
    <row r="4149" spans="1:10" s="217" customFormat="1">
      <c r="A4149" s="214" t="s">
        <v>175</v>
      </c>
      <c r="B4149" s="214" t="s">
        <v>34</v>
      </c>
      <c r="C4149" s="228">
        <v>0.71319444444444402</v>
      </c>
      <c r="D4149" s="229">
        <v>0</v>
      </c>
      <c r="E4149" s="229">
        <v>0</v>
      </c>
      <c r="F4149" s="229">
        <v>0</v>
      </c>
      <c r="G4149" s="229">
        <v>0</v>
      </c>
      <c r="H4149" s="229">
        <v>0</v>
      </c>
      <c r="I4149" s="229">
        <v>0</v>
      </c>
      <c r="J4149" s="229">
        <v>0</v>
      </c>
    </row>
    <row r="4150" spans="1:10" s="217" customFormat="1">
      <c r="A4150" s="214" t="s">
        <v>175</v>
      </c>
      <c r="B4150" s="214" t="s">
        <v>34</v>
      </c>
      <c r="C4150" s="228">
        <v>0.71388888888888902</v>
      </c>
      <c r="D4150" s="229">
        <v>0</v>
      </c>
      <c r="E4150" s="229">
        <v>0</v>
      </c>
      <c r="F4150" s="229">
        <v>0</v>
      </c>
      <c r="G4150" s="229">
        <v>0</v>
      </c>
      <c r="H4150" s="229">
        <v>0</v>
      </c>
      <c r="I4150" s="229">
        <v>0</v>
      </c>
      <c r="J4150" s="229">
        <v>0</v>
      </c>
    </row>
    <row r="4151" spans="1:10" s="217" customFormat="1">
      <c r="A4151" s="214" t="s">
        <v>175</v>
      </c>
      <c r="B4151" s="214" t="s">
        <v>34</v>
      </c>
      <c r="C4151" s="228">
        <v>0.71458333333333302</v>
      </c>
      <c r="D4151" s="229">
        <v>0</v>
      </c>
      <c r="E4151" s="229">
        <v>0</v>
      </c>
      <c r="F4151" s="229">
        <v>0</v>
      </c>
      <c r="G4151" s="229">
        <v>0</v>
      </c>
      <c r="H4151" s="229">
        <v>0</v>
      </c>
      <c r="I4151" s="229">
        <v>0</v>
      </c>
      <c r="J4151" s="229">
        <v>0</v>
      </c>
    </row>
    <row r="4152" spans="1:10" s="217" customFormat="1">
      <c r="A4152" s="214" t="s">
        <v>175</v>
      </c>
      <c r="B4152" s="214" t="s">
        <v>34</v>
      </c>
      <c r="C4152" s="228">
        <v>0.71527777777777801</v>
      </c>
      <c r="D4152" s="229">
        <v>0</v>
      </c>
      <c r="E4152" s="229">
        <v>0</v>
      </c>
      <c r="F4152" s="229">
        <v>0</v>
      </c>
      <c r="G4152" s="229">
        <v>0</v>
      </c>
      <c r="H4152" s="229">
        <v>0</v>
      </c>
      <c r="I4152" s="229">
        <v>0</v>
      </c>
      <c r="J4152" s="229">
        <v>0</v>
      </c>
    </row>
    <row r="4153" spans="1:10" s="217" customFormat="1">
      <c r="A4153" s="214" t="s">
        <v>175</v>
      </c>
      <c r="B4153" s="214" t="s">
        <v>34</v>
      </c>
      <c r="C4153" s="228">
        <v>0.71597222222222201</v>
      </c>
      <c r="D4153" s="229">
        <v>0</v>
      </c>
      <c r="E4153" s="229">
        <v>0</v>
      </c>
      <c r="F4153" s="229">
        <v>0</v>
      </c>
      <c r="G4153" s="229">
        <v>0</v>
      </c>
      <c r="H4153" s="229">
        <v>0</v>
      </c>
      <c r="I4153" s="229">
        <v>0</v>
      </c>
      <c r="J4153" s="229">
        <v>0</v>
      </c>
    </row>
    <row r="4154" spans="1:10" s="217" customFormat="1">
      <c r="A4154" s="214" t="s">
        <v>175</v>
      </c>
      <c r="B4154" s="214" t="s">
        <v>34</v>
      </c>
      <c r="C4154" s="228">
        <v>0.71666666666666601</v>
      </c>
      <c r="D4154" s="229">
        <v>0</v>
      </c>
      <c r="E4154" s="229">
        <v>0</v>
      </c>
      <c r="F4154" s="229">
        <v>0</v>
      </c>
      <c r="G4154" s="229">
        <v>0</v>
      </c>
      <c r="H4154" s="229">
        <v>0</v>
      </c>
      <c r="I4154" s="229">
        <v>0</v>
      </c>
      <c r="J4154" s="229">
        <v>0</v>
      </c>
    </row>
    <row r="4155" spans="1:10" s="217" customFormat="1">
      <c r="A4155" s="214" t="s">
        <v>175</v>
      </c>
      <c r="B4155" s="214" t="s">
        <v>34</v>
      </c>
      <c r="C4155" s="228">
        <v>0.71736111111111101</v>
      </c>
      <c r="D4155" s="229">
        <v>0</v>
      </c>
      <c r="E4155" s="229">
        <v>0</v>
      </c>
      <c r="F4155" s="229">
        <v>0</v>
      </c>
      <c r="G4155" s="229">
        <v>0</v>
      </c>
      <c r="H4155" s="229">
        <v>0</v>
      </c>
      <c r="I4155" s="229">
        <v>0</v>
      </c>
      <c r="J4155" s="229">
        <v>0</v>
      </c>
    </row>
    <row r="4156" spans="1:10" s="221" customFormat="1">
      <c r="A4156" s="218" t="s">
        <v>175</v>
      </c>
      <c r="B4156" s="218" t="s">
        <v>34</v>
      </c>
      <c r="C4156" s="230">
        <v>0.718055555555555</v>
      </c>
      <c r="D4156" s="231">
        <v>0</v>
      </c>
      <c r="E4156" s="231">
        <v>0</v>
      </c>
      <c r="F4156" s="231">
        <v>0</v>
      </c>
      <c r="G4156" s="231">
        <v>0</v>
      </c>
      <c r="H4156" s="231">
        <v>0</v>
      </c>
      <c r="I4156" s="231">
        <v>0</v>
      </c>
      <c r="J4156" s="231">
        <v>0</v>
      </c>
    </row>
    <row r="4157" spans="1:10" s="217" customFormat="1">
      <c r="A4157" s="214" t="s">
        <v>175</v>
      </c>
      <c r="B4157" s="214" t="s">
        <v>34</v>
      </c>
      <c r="C4157" s="228">
        <v>0.71875</v>
      </c>
      <c r="D4157" s="229">
        <v>0</v>
      </c>
      <c r="E4157" s="229">
        <v>0</v>
      </c>
      <c r="F4157" s="229">
        <v>0</v>
      </c>
      <c r="G4157" s="229">
        <v>0</v>
      </c>
      <c r="H4157" s="229">
        <v>0</v>
      </c>
      <c r="I4157" s="229">
        <v>0</v>
      </c>
      <c r="J4157" s="229">
        <v>0</v>
      </c>
    </row>
    <row r="4158" spans="1:10" s="217" customFormat="1">
      <c r="A4158" s="214" t="s">
        <v>175</v>
      </c>
      <c r="B4158" s="214" t="s">
        <v>34</v>
      </c>
      <c r="C4158" s="228">
        <v>0.719444444444444</v>
      </c>
      <c r="D4158" s="229">
        <v>0</v>
      </c>
      <c r="E4158" s="229">
        <v>0</v>
      </c>
      <c r="F4158" s="229">
        <v>0</v>
      </c>
      <c r="G4158" s="229">
        <v>0</v>
      </c>
      <c r="H4158" s="229">
        <v>0</v>
      </c>
      <c r="I4158" s="229">
        <v>0</v>
      </c>
      <c r="J4158" s="229">
        <v>0</v>
      </c>
    </row>
    <row r="4159" spans="1:10" s="217" customFormat="1">
      <c r="A4159" s="214" t="s">
        <v>175</v>
      </c>
      <c r="B4159" s="214" t="s">
        <v>34</v>
      </c>
      <c r="C4159" s="228">
        <v>0.72013888888888899</v>
      </c>
      <c r="D4159" s="229">
        <v>0</v>
      </c>
      <c r="E4159" s="229">
        <v>0</v>
      </c>
      <c r="F4159" s="229">
        <v>0</v>
      </c>
      <c r="G4159" s="229">
        <v>0</v>
      </c>
      <c r="H4159" s="229">
        <v>0</v>
      </c>
      <c r="I4159" s="229">
        <v>0</v>
      </c>
      <c r="J4159" s="229">
        <v>0</v>
      </c>
    </row>
    <row r="4160" spans="1:10" s="217" customFormat="1">
      <c r="A4160" s="214" t="s">
        <v>175</v>
      </c>
      <c r="B4160" s="214" t="s">
        <v>34</v>
      </c>
      <c r="C4160" s="228">
        <v>0.72083333333333299</v>
      </c>
      <c r="D4160" s="229">
        <v>0</v>
      </c>
      <c r="E4160" s="229">
        <v>0</v>
      </c>
      <c r="F4160" s="229">
        <v>0</v>
      </c>
      <c r="G4160" s="229">
        <v>0</v>
      </c>
      <c r="H4160" s="229">
        <v>0</v>
      </c>
      <c r="I4160" s="229">
        <v>0</v>
      </c>
      <c r="J4160" s="229">
        <v>0</v>
      </c>
    </row>
    <row r="4161" spans="1:10" s="217" customFormat="1">
      <c r="A4161" s="214" t="s">
        <v>175</v>
      </c>
      <c r="B4161" s="214" t="s">
        <v>34</v>
      </c>
      <c r="C4161" s="228">
        <v>0.72152777777777799</v>
      </c>
      <c r="D4161" s="229">
        <v>0</v>
      </c>
      <c r="E4161" s="229">
        <v>0</v>
      </c>
      <c r="F4161" s="229">
        <v>0</v>
      </c>
      <c r="G4161" s="229">
        <v>0</v>
      </c>
      <c r="H4161" s="229">
        <v>0</v>
      </c>
      <c r="I4161" s="229">
        <v>0</v>
      </c>
      <c r="J4161" s="229">
        <v>0</v>
      </c>
    </row>
    <row r="4162" spans="1:10" s="217" customFormat="1">
      <c r="A4162" s="214" t="s">
        <v>175</v>
      </c>
      <c r="B4162" s="214" t="s">
        <v>34</v>
      </c>
      <c r="C4162" s="228">
        <v>0.72222222222222199</v>
      </c>
      <c r="D4162" s="229">
        <v>0</v>
      </c>
      <c r="E4162" s="229">
        <v>0</v>
      </c>
      <c r="F4162" s="229">
        <v>0</v>
      </c>
      <c r="G4162" s="229">
        <v>0</v>
      </c>
      <c r="H4162" s="229">
        <v>0</v>
      </c>
      <c r="I4162" s="229">
        <v>0</v>
      </c>
      <c r="J4162" s="229">
        <v>0</v>
      </c>
    </row>
    <row r="4163" spans="1:10" s="217" customFormat="1">
      <c r="A4163" s="214" t="s">
        <v>175</v>
      </c>
      <c r="B4163" s="214" t="s">
        <v>34</v>
      </c>
      <c r="C4163" s="228">
        <v>0.72291666666666599</v>
      </c>
      <c r="D4163" s="229">
        <v>0</v>
      </c>
      <c r="E4163" s="229">
        <v>0</v>
      </c>
      <c r="F4163" s="229">
        <v>0</v>
      </c>
      <c r="G4163" s="229">
        <v>0</v>
      </c>
      <c r="H4163" s="229">
        <v>0</v>
      </c>
      <c r="I4163" s="229">
        <v>0</v>
      </c>
      <c r="J4163" s="229">
        <v>0</v>
      </c>
    </row>
    <row r="4164" spans="1:10" s="217" customFormat="1">
      <c r="A4164" s="214" t="s">
        <v>175</v>
      </c>
      <c r="B4164" s="214" t="s">
        <v>34</v>
      </c>
      <c r="C4164" s="228">
        <v>0.72361111111111098</v>
      </c>
      <c r="D4164" s="229">
        <v>0</v>
      </c>
      <c r="E4164" s="229">
        <v>0</v>
      </c>
      <c r="F4164" s="229">
        <v>0</v>
      </c>
      <c r="G4164" s="229">
        <v>0</v>
      </c>
      <c r="H4164" s="229">
        <v>0</v>
      </c>
      <c r="I4164" s="229">
        <v>0</v>
      </c>
      <c r="J4164" s="229">
        <v>0</v>
      </c>
    </row>
    <row r="4165" spans="1:10" s="217" customFormat="1">
      <c r="A4165" s="214" t="s">
        <v>175</v>
      </c>
      <c r="B4165" s="214" t="s">
        <v>34</v>
      </c>
      <c r="C4165" s="228">
        <v>0.72430555555555498</v>
      </c>
      <c r="D4165" s="229">
        <v>0</v>
      </c>
      <c r="E4165" s="229">
        <v>0</v>
      </c>
      <c r="F4165" s="229">
        <v>0</v>
      </c>
      <c r="G4165" s="229">
        <v>0</v>
      </c>
      <c r="H4165" s="229">
        <v>0</v>
      </c>
      <c r="I4165" s="229">
        <v>0</v>
      </c>
      <c r="J4165" s="229">
        <v>0</v>
      </c>
    </row>
    <row r="4166" spans="1:10" s="217" customFormat="1">
      <c r="A4166" s="214" t="s">
        <v>175</v>
      </c>
      <c r="B4166" s="214" t="s">
        <v>34</v>
      </c>
      <c r="C4166" s="228">
        <v>0.72499999999999998</v>
      </c>
      <c r="D4166" s="229">
        <v>0</v>
      </c>
      <c r="E4166" s="229">
        <v>0</v>
      </c>
      <c r="F4166" s="229">
        <v>0</v>
      </c>
      <c r="G4166" s="229">
        <v>0</v>
      </c>
      <c r="H4166" s="229">
        <v>0</v>
      </c>
      <c r="I4166" s="229">
        <v>0</v>
      </c>
      <c r="J4166" s="229">
        <v>0</v>
      </c>
    </row>
    <row r="4167" spans="1:10" s="217" customFormat="1">
      <c r="A4167" s="214" t="s">
        <v>175</v>
      </c>
      <c r="B4167" s="214" t="s">
        <v>34</v>
      </c>
      <c r="C4167" s="228">
        <v>0.72569444444444398</v>
      </c>
      <c r="D4167" s="229">
        <v>0</v>
      </c>
      <c r="E4167" s="229">
        <v>0</v>
      </c>
      <c r="F4167" s="229">
        <v>0</v>
      </c>
      <c r="G4167" s="229">
        <v>0</v>
      </c>
      <c r="H4167" s="229">
        <v>0</v>
      </c>
      <c r="I4167" s="229">
        <v>0</v>
      </c>
      <c r="J4167" s="229">
        <v>0</v>
      </c>
    </row>
    <row r="4168" spans="1:10" s="217" customFormat="1">
      <c r="A4168" s="214" t="s">
        <v>175</v>
      </c>
      <c r="B4168" s="214" t="s">
        <v>34</v>
      </c>
      <c r="C4168" s="228">
        <v>0.72638888888888897</v>
      </c>
      <c r="D4168" s="229">
        <v>0</v>
      </c>
      <c r="E4168" s="229">
        <v>0</v>
      </c>
      <c r="F4168" s="229">
        <v>0</v>
      </c>
      <c r="G4168" s="229">
        <v>0</v>
      </c>
      <c r="H4168" s="229">
        <v>0</v>
      </c>
      <c r="I4168" s="229">
        <v>0</v>
      </c>
      <c r="J4168" s="229">
        <v>0</v>
      </c>
    </row>
    <row r="4169" spans="1:10" s="217" customFormat="1">
      <c r="A4169" s="214" t="s">
        <v>175</v>
      </c>
      <c r="B4169" s="214" t="s">
        <v>34</v>
      </c>
      <c r="C4169" s="228">
        <v>0.72708333333333297</v>
      </c>
      <c r="D4169" s="229">
        <v>0</v>
      </c>
      <c r="E4169" s="229">
        <v>0</v>
      </c>
      <c r="F4169" s="229">
        <v>0</v>
      </c>
      <c r="G4169" s="229">
        <v>0</v>
      </c>
      <c r="H4169" s="229">
        <v>0</v>
      </c>
      <c r="I4169" s="229">
        <v>0</v>
      </c>
      <c r="J4169" s="229">
        <v>0</v>
      </c>
    </row>
    <row r="4170" spans="1:10" s="217" customFormat="1">
      <c r="A4170" s="214" t="s">
        <v>175</v>
      </c>
      <c r="B4170" s="214" t="s">
        <v>34</v>
      </c>
      <c r="C4170" s="228">
        <v>0.72777777777777797</v>
      </c>
      <c r="D4170" s="229">
        <v>0</v>
      </c>
      <c r="E4170" s="229">
        <v>0</v>
      </c>
      <c r="F4170" s="229">
        <v>0</v>
      </c>
      <c r="G4170" s="229">
        <v>0</v>
      </c>
      <c r="H4170" s="229">
        <v>0</v>
      </c>
      <c r="I4170" s="229">
        <v>0</v>
      </c>
      <c r="J4170" s="229">
        <v>0</v>
      </c>
    </row>
    <row r="4171" spans="1:10" s="221" customFormat="1">
      <c r="A4171" s="218" t="s">
        <v>175</v>
      </c>
      <c r="B4171" s="218" t="s">
        <v>34</v>
      </c>
      <c r="C4171" s="230">
        <v>0.72847222222222197</v>
      </c>
      <c r="D4171" s="231">
        <v>0</v>
      </c>
      <c r="E4171" s="231">
        <v>0</v>
      </c>
      <c r="F4171" s="231">
        <v>0</v>
      </c>
      <c r="G4171" s="231">
        <v>0</v>
      </c>
      <c r="H4171" s="231">
        <v>0</v>
      </c>
      <c r="I4171" s="231">
        <v>0</v>
      </c>
      <c r="J4171" s="231">
        <v>0</v>
      </c>
    </row>
    <row r="4172" spans="1:10" s="217" customFormat="1">
      <c r="A4172" s="214" t="s">
        <v>175</v>
      </c>
      <c r="B4172" s="214" t="s">
        <v>34</v>
      </c>
      <c r="C4172" s="228">
        <v>0.72916666666666596</v>
      </c>
      <c r="D4172" s="229">
        <v>0</v>
      </c>
      <c r="E4172" s="229">
        <v>0</v>
      </c>
      <c r="F4172" s="229">
        <v>0</v>
      </c>
      <c r="G4172" s="229">
        <v>0</v>
      </c>
      <c r="H4172" s="229">
        <v>0</v>
      </c>
      <c r="I4172" s="229">
        <v>0</v>
      </c>
      <c r="J4172" s="229">
        <v>0</v>
      </c>
    </row>
    <row r="4173" spans="1:10" s="217" customFormat="1">
      <c r="A4173" s="214" t="s">
        <v>175</v>
      </c>
      <c r="B4173" s="214" t="s">
        <v>34</v>
      </c>
      <c r="C4173" s="228">
        <v>0.72986111111111096</v>
      </c>
      <c r="D4173" s="229">
        <v>0</v>
      </c>
      <c r="E4173" s="229">
        <v>0</v>
      </c>
      <c r="F4173" s="229">
        <v>0</v>
      </c>
      <c r="G4173" s="229">
        <v>0</v>
      </c>
      <c r="H4173" s="229">
        <v>0</v>
      </c>
      <c r="I4173" s="229">
        <v>0</v>
      </c>
      <c r="J4173" s="229">
        <v>0</v>
      </c>
    </row>
    <row r="4174" spans="1:10" s="217" customFormat="1">
      <c r="A4174" s="214" t="s">
        <v>175</v>
      </c>
      <c r="B4174" s="214" t="s">
        <v>34</v>
      </c>
      <c r="C4174" s="228">
        <v>0.73055555555555496</v>
      </c>
      <c r="D4174" s="229">
        <v>0</v>
      </c>
      <c r="E4174" s="229">
        <v>0</v>
      </c>
      <c r="F4174" s="229">
        <v>0</v>
      </c>
      <c r="G4174" s="229">
        <v>0</v>
      </c>
      <c r="H4174" s="229">
        <v>0</v>
      </c>
      <c r="I4174" s="229">
        <v>0</v>
      </c>
      <c r="J4174" s="229">
        <v>0</v>
      </c>
    </row>
    <row r="4175" spans="1:10" s="217" customFormat="1">
      <c r="A4175" s="214" t="s">
        <v>175</v>
      </c>
      <c r="B4175" s="214" t="s">
        <v>34</v>
      </c>
      <c r="C4175" s="228">
        <v>0.73124999999999996</v>
      </c>
      <c r="D4175" s="229">
        <v>0</v>
      </c>
      <c r="E4175" s="229">
        <v>0</v>
      </c>
      <c r="F4175" s="229">
        <v>0</v>
      </c>
      <c r="G4175" s="229">
        <v>0</v>
      </c>
      <c r="H4175" s="229">
        <v>0</v>
      </c>
      <c r="I4175" s="229">
        <v>0</v>
      </c>
      <c r="J4175" s="229">
        <v>0</v>
      </c>
    </row>
    <row r="4176" spans="1:10" s="217" customFormat="1">
      <c r="A4176" s="214" t="s">
        <v>175</v>
      </c>
      <c r="B4176" s="214" t="s">
        <v>34</v>
      </c>
      <c r="C4176" s="228">
        <v>0.73194444444444395</v>
      </c>
      <c r="D4176" s="229">
        <v>0</v>
      </c>
      <c r="E4176" s="229">
        <v>0</v>
      </c>
      <c r="F4176" s="229">
        <v>0</v>
      </c>
      <c r="G4176" s="229">
        <v>0</v>
      </c>
      <c r="H4176" s="229">
        <v>0</v>
      </c>
      <c r="I4176" s="229">
        <v>0</v>
      </c>
      <c r="J4176" s="229">
        <v>0</v>
      </c>
    </row>
    <row r="4177" spans="1:10" s="217" customFormat="1">
      <c r="A4177" s="214" t="s">
        <v>175</v>
      </c>
      <c r="B4177" s="214" t="s">
        <v>34</v>
      </c>
      <c r="C4177" s="228">
        <v>0.73263888888888895</v>
      </c>
      <c r="D4177" s="229">
        <v>0</v>
      </c>
      <c r="E4177" s="229">
        <v>0</v>
      </c>
      <c r="F4177" s="229">
        <v>0</v>
      </c>
      <c r="G4177" s="229">
        <v>0</v>
      </c>
      <c r="H4177" s="229">
        <v>0</v>
      </c>
      <c r="I4177" s="229">
        <v>0</v>
      </c>
      <c r="J4177" s="229">
        <v>0</v>
      </c>
    </row>
    <row r="4178" spans="1:10" s="217" customFormat="1">
      <c r="A4178" s="214" t="s">
        <v>175</v>
      </c>
      <c r="B4178" s="214" t="s">
        <v>34</v>
      </c>
      <c r="C4178" s="228">
        <v>0.73333333333333295</v>
      </c>
      <c r="D4178" s="229">
        <v>0</v>
      </c>
      <c r="E4178" s="229">
        <v>0</v>
      </c>
      <c r="F4178" s="229">
        <v>0</v>
      </c>
      <c r="G4178" s="229">
        <v>0</v>
      </c>
      <c r="H4178" s="229">
        <v>0</v>
      </c>
      <c r="I4178" s="229">
        <v>0</v>
      </c>
      <c r="J4178" s="229">
        <v>0</v>
      </c>
    </row>
    <row r="4179" spans="1:10" s="217" customFormat="1">
      <c r="A4179" s="214" t="s">
        <v>175</v>
      </c>
      <c r="B4179" s="214" t="s">
        <v>34</v>
      </c>
      <c r="C4179" s="228">
        <v>0.73402777777777795</v>
      </c>
      <c r="D4179" s="229">
        <v>0</v>
      </c>
      <c r="E4179" s="229">
        <v>0</v>
      </c>
      <c r="F4179" s="229">
        <v>0</v>
      </c>
      <c r="G4179" s="229">
        <v>0</v>
      </c>
      <c r="H4179" s="229">
        <v>0</v>
      </c>
      <c r="I4179" s="229">
        <v>0</v>
      </c>
      <c r="J4179" s="229">
        <v>0</v>
      </c>
    </row>
    <row r="4180" spans="1:10" s="217" customFormat="1">
      <c r="A4180" s="214" t="s">
        <v>175</v>
      </c>
      <c r="B4180" s="214" t="s">
        <v>34</v>
      </c>
      <c r="C4180" s="228">
        <v>0.73472222222222205</v>
      </c>
      <c r="D4180" s="229">
        <v>0</v>
      </c>
      <c r="E4180" s="229">
        <v>0</v>
      </c>
      <c r="F4180" s="229">
        <v>0</v>
      </c>
      <c r="G4180" s="229">
        <v>0</v>
      </c>
      <c r="H4180" s="229">
        <v>0</v>
      </c>
      <c r="I4180" s="229">
        <v>0</v>
      </c>
      <c r="J4180" s="229">
        <v>0</v>
      </c>
    </row>
    <row r="4181" spans="1:10" s="217" customFormat="1">
      <c r="A4181" s="214" t="s">
        <v>175</v>
      </c>
      <c r="B4181" s="214" t="s">
        <v>34</v>
      </c>
      <c r="C4181" s="228">
        <v>0.73541666666666605</v>
      </c>
      <c r="D4181" s="229">
        <v>0</v>
      </c>
      <c r="E4181" s="229">
        <v>0</v>
      </c>
      <c r="F4181" s="229">
        <v>0</v>
      </c>
      <c r="G4181" s="229">
        <v>0</v>
      </c>
      <c r="H4181" s="229">
        <v>0</v>
      </c>
      <c r="I4181" s="229">
        <v>0</v>
      </c>
      <c r="J4181" s="229">
        <v>0</v>
      </c>
    </row>
    <row r="4182" spans="1:10" s="217" customFormat="1">
      <c r="A4182" s="214" t="s">
        <v>175</v>
      </c>
      <c r="B4182" s="214" t="s">
        <v>34</v>
      </c>
      <c r="C4182" s="228">
        <v>0.73611111111111105</v>
      </c>
      <c r="D4182" s="229">
        <v>0</v>
      </c>
      <c r="E4182" s="229">
        <v>0</v>
      </c>
      <c r="F4182" s="229">
        <v>0</v>
      </c>
      <c r="G4182" s="229">
        <v>0</v>
      </c>
      <c r="H4182" s="229">
        <v>0</v>
      </c>
      <c r="I4182" s="229">
        <v>0</v>
      </c>
      <c r="J4182" s="229">
        <v>0</v>
      </c>
    </row>
    <row r="4183" spans="1:10" s="217" customFormat="1">
      <c r="A4183" s="214" t="s">
        <v>175</v>
      </c>
      <c r="B4183" s="214" t="s">
        <v>34</v>
      </c>
      <c r="C4183" s="228">
        <v>0.73680555555555505</v>
      </c>
      <c r="D4183" s="229">
        <v>0</v>
      </c>
      <c r="E4183" s="229">
        <v>0</v>
      </c>
      <c r="F4183" s="229">
        <v>0</v>
      </c>
      <c r="G4183" s="229">
        <v>0</v>
      </c>
      <c r="H4183" s="229">
        <v>0</v>
      </c>
      <c r="I4183" s="229">
        <v>0</v>
      </c>
      <c r="J4183" s="229">
        <v>0</v>
      </c>
    </row>
    <row r="4184" spans="1:10" s="217" customFormat="1">
      <c r="A4184" s="214" t="s">
        <v>175</v>
      </c>
      <c r="B4184" s="214" t="s">
        <v>34</v>
      </c>
      <c r="C4184" s="228">
        <v>0.73750000000000004</v>
      </c>
      <c r="D4184" s="229">
        <v>0</v>
      </c>
      <c r="E4184" s="229">
        <v>0</v>
      </c>
      <c r="F4184" s="229">
        <v>0</v>
      </c>
      <c r="G4184" s="229">
        <v>0</v>
      </c>
      <c r="H4184" s="229">
        <v>0</v>
      </c>
      <c r="I4184" s="229">
        <v>0</v>
      </c>
      <c r="J4184" s="229">
        <v>0</v>
      </c>
    </row>
    <row r="4185" spans="1:10" s="217" customFormat="1">
      <c r="A4185" s="214" t="s">
        <v>175</v>
      </c>
      <c r="B4185" s="214" t="s">
        <v>34</v>
      </c>
      <c r="C4185" s="228">
        <v>0.73819444444444404</v>
      </c>
      <c r="D4185" s="229">
        <v>0</v>
      </c>
      <c r="E4185" s="229">
        <v>0</v>
      </c>
      <c r="F4185" s="229">
        <v>0</v>
      </c>
      <c r="G4185" s="229">
        <v>0</v>
      </c>
      <c r="H4185" s="229">
        <v>0</v>
      </c>
      <c r="I4185" s="229">
        <v>0</v>
      </c>
      <c r="J4185" s="229">
        <v>0</v>
      </c>
    </row>
    <row r="4186" spans="1:10" s="221" customFormat="1">
      <c r="A4186" s="218" t="s">
        <v>175</v>
      </c>
      <c r="B4186" s="218" t="s">
        <v>34</v>
      </c>
      <c r="C4186" s="230">
        <v>0.73888888888888904</v>
      </c>
      <c r="D4186" s="231">
        <v>0</v>
      </c>
      <c r="E4186" s="231">
        <v>0</v>
      </c>
      <c r="F4186" s="231">
        <v>0</v>
      </c>
      <c r="G4186" s="231">
        <v>0</v>
      </c>
      <c r="H4186" s="231">
        <v>0</v>
      </c>
      <c r="I4186" s="231">
        <v>0</v>
      </c>
      <c r="J4186" s="231">
        <v>0</v>
      </c>
    </row>
    <row r="4187" spans="1:10" s="217" customFormat="1">
      <c r="A4187" s="214" t="s">
        <v>175</v>
      </c>
      <c r="B4187" s="214" t="s">
        <v>34</v>
      </c>
      <c r="C4187" s="228">
        <v>0.73958333333333304</v>
      </c>
      <c r="D4187" s="229">
        <v>0</v>
      </c>
      <c r="E4187" s="229">
        <v>0</v>
      </c>
      <c r="F4187" s="229">
        <v>0</v>
      </c>
      <c r="G4187" s="229">
        <v>0</v>
      </c>
      <c r="H4187" s="229">
        <v>0</v>
      </c>
      <c r="I4187" s="229">
        <v>0</v>
      </c>
      <c r="J4187" s="229">
        <v>0</v>
      </c>
    </row>
    <row r="4188" spans="1:10" s="217" customFormat="1">
      <c r="A4188" s="214" t="s">
        <v>175</v>
      </c>
      <c r="B4188" s="214" t="s">
        <v>34</v>
      </c>
      <c r="C4188" s="228">
        <v>0.74027777777777704</v>
      </c>
      <c r="D4188" s="229">
        <v>0</v>
      </c>
      <c r="E4188" s="229">
        <v>0</v>
      </c>
      <c r="F4188" s="229">
        <v>0</v>
      </c>
      <c r="G4188" s="229">
        <v>0</v>
      </c>
      <c r="H4188" s="229">
        <v>0</v>
      </c>
      <c r="I4188" s="229">
        <v>0</v>
      </c>
      <c r="J4188" s="229">
        <v>0</v>
      </c>
    </row>
    <row r="4189" spans="1:10" s="217" customFormat="1">
      <c r="A4189" s="214" t="s">
        <v>175</v>
      </c>
      <c r="B4189" s="214" t="s">
        <v>34</v>
      </c>
      <c r="C4189" s="228">
        <v>0.74097222222222203</v>
      </c>
      <c r="D4189" s="229">
        <v>0</v>
      </c>
      <c r="E4189" s="229">
        <v>0</v>
      </c>
      <c r="F4189" s="229">
        <v>0</v>
      </c>
      <c r="G4189" s="229">
        <v>0</v>
      </c>
      <c r="H4189" s="229">
        <v>0</v>
      </c>
      <c r="I4189" s="229">
        <v>0</v>
      </c>
      <c r="J4189" s="229">
        <v>0</v>
      </c>
    </row>
    <row r="4190" spans="1:10" s="217" customFormat="1">
      <c r="A4190" s="214" t="s">
        <v>175</v>
      </c>
      <c r="B4190" s="214" t="s">
        <v>34</v>
      </c>
      <c r="C4190" s="228">
        <v>0.74166666666666603</v>
      </c>
      <c r="D4190" s="229">
        <v>0</v>
      </c>
      <c r="E4190" s="229">
        <v>0</v>
      </c>
      <c r="F4190" s="229">
        <v>0</v>
      </c>
      <c r="G4190" s="229">
        <v>0</v>
      </c>
      <c r="H4190" s="229">
        <v>0</v>
      </c>
      <c r="I4190" s="229">
        <v>0</v>
      </c>
      <c r="J4190" s="229">
        <v>0</v>
      </c>
    </row>
    <row r="4191" spans="1:10" s="217" customFormat="1">
      <c r="A4191" s="214" t="s">
        <v>175</v>
      </c>
      <c r="B4191" s="214" t="s">
        <v>34</v>
      </c>
      <c r="C4191" s="228">
        <v>0.74236111111111103</v>
      </c>
      <c r="D4191" s="229">
        <v>0</v>
      </c>
      <c r="E4191" s="229">
        <v>0</v>
      </c>
      <c r="F4191" s="229">
        <v>0</v>
      </c>
      <c r="G4191" s="229">
        <v>0</v>
      </c>
      <c r="H4191" s="229">
        <v>0</v>
      </c>
      <c r="I4191" s="229">
        <v>0</v>
      </c>
      <c r="J4191" s="229">
        <v>0</v>
      </c>
    </row>
    <row r="4192" spans="1:10" s="217" customFormat="1">
      <c r="A4192" s="214" t="s">
        <v>175</v>
      </c>
      <c r="B4192" s="214" t="s">
        <v>34</v>
      </c>
      <c r="C4192" s="228">
        <v>0.74305555555555503</v>
      </c>
      <c r="D4192" s="229">
        <v>0</v>
      </c>
      <c r="E4192" s="229">
        <v>0</v>
      </c>
      <c r="F4192" s="229">
        <v>0</v>
      </c>
      <c r="G4192" s="229">
        <v>0</v>
      </c>
      <c r="H4192" s="229">
        <v>0</v>
      </c>
      <c r="I4192" s="229">
        <v>0</v>
      </c>
      <c r="J4192" s="229">
        <v>0</v>
      </c>
    </row>
    <row r="4193" spans="1:10" s="217" customFormat="1">
      <c r="A4193" s="214" t="s">
        <v>175</v>
      </c>
      <c r="B4193" s="214" t="s">
        <v>34</v>
      </c>
      <c r="C4193" s="228">
        <v>0.74375000000000002</v>
      </c>
      <c r="D4193" s="229">
        <v>0</v>
      </c>
      <c r="E4193" s="229">
        <v>0</v>
      </c>
      <c r="F4193" s="229">
        <v>0</v>
      </c>
      <c r="G4193" s="229">
        <v>0</v>
      </c>
      <c r="H4193" s="229">
        <v>0</v>
      </c>
      <c r="I4193" s="229">
        <v>0</v>
      </c>
      <c r="J4193" s="229">
        <v>0</v>
      </c>
    </row>
    <row r="4194" spans="1:10" s="217" customFormat="1">
      <c r="A4194" s="214" t="s">
        <v>175</v>
      </c>
      <c r="B4194" s="214" t="s">
        <v>34</v>
      </c>
      <c r="C4194" s="228">
        <v>0.74444444444444402</v>
      </c>
      <c r="D4194" s="229">
        <v>0</v>
      </c>
      <c r="E4194" s="229">
        <v>0</v>
      </c>
      <c r="F4194" s="229">
        <v>0</v>
      </c>
      <c r="G4194" s="229">
        <v>0</v>
      </c>
      <c r="H4194" s="229">
        <v>0</v>
      </c>
      <c r="I4194" s="229">
        <v>0</v>
      </c>
      <c r="J4194" s="229">
        <v>0</v>
      </c>
    </row>
    <row r="4195" spans="1:10" s="217" customFormat="1">
      <c r="A4195" s="214" t="s">
        <v>175</v>
      </c>
      <c r="B4195" s="214" t="s">
        <v>34</v>
      </c>
      <c r="C4195" s="228">
        <v>0.74513888888888902</v>
      </c>
      <c r="D4195" s="229">
        <v>0</v>
      </c>
      <c r="E4195" s="229">
        <v>0</v>
      </c>
      <c r="F4195" s="229">
        <v>0</v>
      </c>
      <c r="G4195" s="229">
        <v>0</v>
      </c>
      <c r="H4195" s="229">
        <v>0</v>
      </c>
      <c r="I4195" s="229">
        <v>0</v>
      </c>
      <c r="J4195" s="229">
        <v>0</v>
      </c>
    </row>
    <row r="4196" spans="1:10" s="217" customFormat="1">
      <c r="A4196" s="214" t="s">
        <v>175</v>
      </c>
      <c r="B4196" s="214" t="s">
        <v>34</v>
      </c>
      <c r="C4196" s="228">
        <v>0.74583333333333302</v>
      </c>
      <c r="D4196" s="229">
        <v>0</v>
      </c>
      <c r="E4196" s="229">
        <v>0</v>
      </c>
      <c r="F4196" s="229">
        <v>0</v>
      </c>
      <c r="G4196" s="229">
        <v>0</v>
      </c>
      <c r="H4196" s="229">
        <v>0</v>
      </c>
      <c r="I4196" s="229">
        <v>0</v>
      </c>
      <c r="J4196" s="229">
        <v>0</v>
      </c>
    </row>
    <row r="4197" spans="1:10" s="217" customFormat="1">
      <c r="A4197" s="214" t="s">
        <v>175</v>
      </c>
      <c r="B4197" s="214" t="s">
        <v>34</v>
      </c>
      <c r="C4197" s="228">
        <v>0.74652777777777701</v>
      </c>
      <c r="D4197" s="229">
        <v>0</v>
      </c>
      <c r="E4197" s="229">
        <v>0</v>
      </c>
      <c r="F4197" s="229">
        <v>0</v>
      </c>
      <c r="G4197" s="229">
        <v>0</v>
      </c>
      <c r="H4197" s="229">
        <v>0</v>
      </c>
      <c r="I4197" s="229">
        <v>0</v>
      </c>
      <c r="J4197" s="229">
        <v>0</v>
      </c>
    </row>
    <row r="4198" spans="1:10" s="217" customFormat="1">
      <c r="A4198" s="214" t="s">
        <v>175</v>
      </c>
      <c r="B4198" s="214" t="s">
        <v>34</v>
      </c>
      <c r="C4198" s="228">
        <v>0.74722222222222201</v>
      </c>
      <c r="D4198" s="229">
        <v>0</v>
      </c>
      <c r="E4198" s="229">
        <v>0</v>
      </c>
      <c r="F4198" s="229">
        <v>0</v>
      </c>
      <c r="G4198" s="229">
        <v>0</v>
      </c>
      <c r="H4198" s="229">
        <v>0</v>
      </c>
      <c r="I4198" s="229">
        <v>0</v>
      </c>
      <c r="J4198" s="229">
        <v>0</v>
      </c>
    </row>
    <row r="4199" spans="1:10" s="217" customFormat="1">
      <c r="A4199" s="214" t="s">
        <v>175</v>
      </c>
      <c r="B4199" s="214" t="s">
        <v>34</v>
      </c>
      <c r="C4199" s="228">
        <v>0.74791666666666601</v>
      </c>
      <c r="D4199" s="229">
        <v>0</v>
      </c>
      <c r="E4199" s="229">
        <v>0</v>
      </c>
      <c r="F4199" s="229">
        <v>0</v>
      </c>
      <c r="G4199" s="229">
        <v>0</v>
      </c>
      <c r="H4199" s="229">
        <v>0</v>
      </c>
      <c r="I4199" s="229">
        <v>0</v>
      </c>
      <c r="J4199" s="229">
        <v>0</v>
      </c>
    </row>
    <row r="4200" spans="1:10" s="217" customFormat="1">
      <c r="A4200" s="214" t="s">
        <v>175</v>
      </c>
      <c r="B4200" s="214" t="s">
        <v>34</v>
      </c>
      <c r="C4200" s="228">
        <v>0.74861111111111101</v>
      </c>
      <c r="D4200" s="229">
        <v>0</v>
      </c>
      <c r="E4200" s="229">
        <v>0</v>
      </c>
      <c r="F4200" s="229">
        <v>0</v>
      </c>
      <c r="G4200" s="229">
        <v>0</v>
      </c>
      <c r="H4200" s="229">
        <v>0</v>
      </c>
      <c r="I4200" s="229">
        <v>0</v>
      </c>
      <c r="J4200" s="229">
        <v>0</v>
      </c>
    </row>
    <row r="4201" spans="1:10" s="221" customFormat="1">
      <c r="A4201" s="218" t="s">
        <v>175</v>
      </c>
      <c r="B4201" s="218" t="s">
        <v>34</v>
      </c>
      <c r="C4201" s="230">
        <v>0.749305555555555</v>
      </c>
      <c r="D4201" s="231">
        <v>0</v>
      </c>
      <c r="E4201" s="231">
        <v>0</v>
      </c>
      <c r="F4201" s="231">
        <v>0</v>
      </c>
      <c r="G4201" s="231">
        <v>0</v>
      </c>
      <c r="H4201" s="231">
        <v>0</v>
      </c>
      <c r="I4201" s="231">
        <v>0</v>
      </c>
      <c r="J4201" s="231">
        <v>0</v>
      </c>
    </row>
    <row r="4202" spans="1:10" s="217" customFormat="1">
      <c r="A4202" s="214" t="s">
        <v>175</v>
      </c>
      <c r="B4202" s="214" t="s">
        <v>34</v>
      </c>
      <c r="C4202" s="228">
        <v>0.75</v>
      </c>
      <c r="D4202" s="229">
        <v>0</v>
      </c>
      <c r="E4202" s="229">
        <v>0</v>
      </c>
      <c r="F4202" s="229">
        <v>0</v>
      </c>
      <c r="G4202" s="229">
        <v>0</v>
      </c>
      <c r="H4202" s="229">
        <v>0</v>
      </c>
      <c r="I4202" s="229">
        <v>0</v>
      </c>
      <c r="J4202" s="229">
        <v>0</v>
      </c>
    </row>
    <row r="4203" spans="1:10" s="217" customFormat="1">
      <c r="A4203" s="214" t="s">
        <v>175</v>
      </c>
      <c r="B4203" s="214" t="s">
        <v>34</v>
      </c>
      <c r="C4203" s="228">
        <v>0.75069444444444444</v>
      </c>
      <c r="D4203" s="229">
        <v>0</v>
      </c>
      <c r="E4203" s="229">
        <v>0</v>
      </c>
      <c r="F4203" s="229">
        <v>0</v>
      </c>
      <c r="G4203" s="229">
        <v>0</v>
      </c>
      <c r="H4203" s="229">
        <v>0</v>
      </c>
      <c r="I4203" s="229">
        <v>0</v>
      </c>
      <c r="J4203" s="229">
        <v>0</v>
      </c>
    </row>
    <row r="4204" spans="1:10" s="217" customFormat="1">
      <c r="A4204" s="214" t="s">
        <v>175</v>
      </c>
      <c r="B4204" s="214" t="s">
        <v>34</v>
      </c>
      <c r="C4204" s="228">
        <v>0.75138888888888899</v>
      </c>
      <c r="D4204" s="229">
        <v>0</v>
      </c>
      <c r="E4204" s="229">
        <v>0</v>
      </c>
      <c r="F4204" s="229">
        <v>0</v>
      </c>
      <c r="G4204" s="229">
        <v>0</v>
      </c>
      <c r="H4204" s="229">
        <v>0</v>
      </c>
      <c r="I4204" s="229">
        <v>0</v>
      </c>
      <c r="J4204" s="229">
        <v>0</v>
      </c>
    </row>
    <row r="4205" spans="1:10" s="217" customFormat="1">
      <c r="A4205" s="214" t="s">
        <v>175</v>
      </c>
      <c r="B4205" s="214" t="s">
        <v>34</v>
      </c>
      <c r="C4205" s="228">
        <v>0.75208333333333299</v>
      </c>
      <c r="D4205" s="229">
        <v>0</v>
      </c>
      <c r="E4205" s="229">
        <v>0</v>
      </c>
      <c r="F4205" s="229">
        <v>0</v>
      </c>
      <c r="G4205" s="229">
        <v>0</v>
      </c>
      <c r="H4205" s="229">
        <v>0</v>
      </c>
      <c r="I4205" s="229">
        <v>0</v>
      </c>
      <c r="J4205" s="229">
        <v>0</v>
      </c>
    </row>
    <row r="4206" spans="1:10" s="217" customFormat="1">
      <c r="A4206" s="214" t="s">
        <v>175</v>
      </c>
      <c r="B4206" s="214" t="s">
        <v>34</v>
      </c>
      <c r="C4206" s="228">
        <v>0.75277777777777799</v>
      </c>
      <c r="D4206" s="229">
        <v>0</v>
      </c>
      <c r="E4206" s="229">
        <v>0</v>
      </c>
      <c r="F4206" s="229">
        <v>0</v>
      </c>
      <c r="G4206" s="229">
        <v>0</v>
      </c>
      <c r="H4206" s="229">
        <v>0</v>
      </c>
      <c r="I4206" s="229">
        <v>0</v>
      </c>
      <c r="J4206" s="229">
        <v>0</v>
      </c>
    </row>
    <row r="4207" spans="1:10" s="217" customFormat="1">
      <c r="A4207" s="214" t="s">
        <v>175</v>
      </c>
      <c r="B4207" s="214" t="s">
        <v>34</v>
      </c>
      <c r="C4207" s="228">
        <v>0.75347222222222199</v>
      </c>
      <c r="D4207" s="229">
        <v>0</v>
      </c>
      <c r="E4207" s="229">
        <v>0</v>
      </c>
      <c r="F4207" s="229">
        <v>0</v>
      </c>
      <c r="G4207" s="229">
        <v>0</v>
      </c>
      <c r="H4207" s="229">
        <v>0</v>
      </c>
      <c r="I4207" s="229">
        <v>0</v>
      </c>
      <c r="J4207" s="229">
        <v>0</v>
      </c>
    </row>
    <row r="4208" spans="1:10" s="217" customFormat="1">
      <c r="A4208" s="214" t="s">
        <v>175</v>
      </c>
      <c r="B4208" s="214" t="s">
        <v>34</v>
      </c>
      <c r="C4208" s="228">
        <v>0.75416666666666698</v>
      </c>
      <c r="D4208" s="229">
        <v>0</v>
      </c>
      <c r="E4208" s="229">
        <v>0</v>
      </c>
      <c r="F4208" s="229">
        <v>0</v>
      </c>
      <c r="G4208" s="229">
        <v>0</v>
      </c>
      <c r="H4208" s="229">
        <v>0</v>
      </c>
      <c r="I4208" s="229">
        <v>0</v>
      </c>
      <c r="J4208" s="229">
        <v>0</v>
      </c>
    </row>
    <row r="4209" spans="1:10" s="217" customFormat="1">
      <c r="A4209" s="214" t="s">
        <v>175</v>
      </c>
      <c r="B4209" s="214" t="s">
        <v>34</v>
      </c>
      <c r="C4209" s="228">
        <v>0.75486111111111098</v>
      </c>
      <c r="D4209" s="229">
        <v>0</v>
      </c>
      <c r="E4209" s="229">
        <v>0</v>
      </c>
      <c r="F4209" s="229">
        <v>0</v>
      </c>
      <c r="G4209" s="229">
        <v>0</v>
      </c>
      <c r="H4209" s="229">
        <v>0</v>
      </c>
      <c r="I4209" s="229">
        <v>0</v>
      </c>
      <c r="J4209" s="229">
        <v>0</v>
      </c>
    </row>
    <row r="4210" spans="1:10" s="217" customFormat="1">
      <c r="A4210" s="214" t="s">
        <v>175</v>
      </c>
      <c r="B4210" s="214" t="s">
        <v>34</v>
      </c>
      <c r="C4210" s="228">
        <v>0.75555555555555598</v>
      </c>
      <c r="D4210" s="229">
        <v>0</v>
      </c>
      <c r="E4210" s="229">
        <v>0</v>
      </c>
      <c r="F4210" s="229">
        <v>0</v>
      </c>
      <c r="G4210" s="229">
        <v>0</v>
      </c>
      <c r="H4210" s="229">
        <v>0</v>
      </c>
      <c r="I4210" s="229">
        <v>0</v>
      </c>
      <c r="J4210" s="229">
        <v>0</v>
      </c>
    </row>
    <row r="4211" spans="1:10" s="217" customFormat="1">
      <c r="A4211" s="214" t="s">
        <v>175</v>
      </c>
      <c r="B4211" s="214" t="s">
        <v>34</v>
      </c>
      <c r="C4211" s="228">
        <v>0.75624999999999998</v>
      </c>
      <c r="D4211" s="229">
        <v>0</v>
      </c>
      <c r="E4211" s="229">
        <v>0</v>
      </c>
      <c r="F4211" s="229">
        <v>0</v>
      </c>
      <c r="G4211" s="229">
        <v>0</v>
      </c>
      <c r="H4211" s="229">
        <v>0</v>
      </c>
      <c r="I4211" s="229">
        <v>0</v>
      </c>
      <c r="J4211" s="229">
        <v>0</v>
      </c>
    </row>
    <row r="4212" spans="1:10" s="217" customFormat="1">
      <c r="A4212" s="214" t="s">
        <v>175</v>
      </c>
      <c r="B4212" s="214" t="s">
        <v>34</v>
      </c>
      <c r="C4212" s="228">
        <v>0.75694444444444398</v>
      </c>
      <c r="D4212" s="229">
        <v>0</v>
      </c>
      <c r="E4212" s="229">
        <v>0</v>
      </c>
      <c r="F4212" s="229">
        <v>0</v>
      </c>
      <c r="G4212" s="229">
        <v>0</v>
      </c>
      <c r="H4212" s="229">
        <v>0</v>
      </c>
      <c r="I4212" s="229">
        <v>0</v>
      </c>
      <c r="J4212" s="229">
        <v>0</v>
      </c>
    </row>
    <row r="4213" spans="1:10" s="217" customFormat="1">
      <c r="A4213" s="214" t="s">
        <v>175</v>
      </c>
      <c r="B4213" s="214" t="s">
        <v>34</v>
      </c>
      <c r="C4213" s="228">
        <v>0.75763888888888897</v>
      </c>
      <c r="D4213" s="229">
        <v>0</v>
      </c>
      <c r="E4213" s="229">
        <v>0</v>
      </c>
      <c r="F4213" s="229">
        <v>0</v>
      </c>
      <c r="G4213" s="229">
        <v>0</v>
      </c>
      <c r="H4213" s="229">
        <v>0</v>
      </c>
      <c r="I4213" s="229">
        <v>0</v>
      </c>
      <c r="J4213" s="229">
        <v>0</v>
      </c>
    </row>
    <row r="4214" spans="1:10" s="217" customFormat="1">
      <c r="A4214" s="214" t="s">
        <v>175</v>
      </c>
      <c r="B4214" s="214" t="s">
        <v>34</v>
      </c>
      <c r="C4214" s="228">
        <v>0.75833333333333297</v>
      </c>
      <c r="D4214" s="229">
        <v>0</v>
      </c>
      <c r="E4214" s="229">
        <v>0</v>
      </c>
      <c r="F4214" s="229">
        <v>0</v>
      </c>
      <c r="G4214" s="229">
        <v>0</v>
      </c>
      <c r="H4214" s="229">
        <v>0</v>
      </c>
      <c r="I4214" s="229">
        <v>0</v>
      </c>
      <c r="J4214" s="229">
        <v>0</v>
      </c>
    </row>
    <row r="4215" spans="1:10" s="217" customFormat="1">
      <c r="A4215" s="214" t="s">
        <v>175</v>
      </c>
      <c r="B4215" s="214" t="s">
        <v>34</v>
      </c>
      <c r="C4215" s="228">
        <v>0.75902777777777797</v>
      </c>
      <c r="D4215" s="229">
        <v>0</v>
      </c>
      <c r="E4215" s="229">
        <v>0</v>
      </c>
      <c r="F4215" s="229">
        <v>0</v>
      </c>
      <c r="G4215" s="229">
        <v>0</v>
      </c>
      <c r="H4215" s="229">
        <v>0</v>
      </c>
      <c r="I4215" s="229">
        <v>0</v>
      </c>
      <c r="J4215" s="229">
        <v>0</v>
      </c>
    </row>
    <row r="4216" spans="1:10" s="221" customFormat="1">
      <c r="A4216" s="218" t="s">
        <v>175</v>
      </c>
      <c r="B4216" s="218" t="s">
        <v>34</v>
      </c>
      <c r="C4216" s="230">
        <v>0.75972222222222197</v>
      </c>
      <c r="D4216" s="231">
        <v>0</v>
      </c>
      <c r="E4216" s="231">
        <v>0</v>
      </c>
      <c r="F4216" s="231">
        <v>0</v>
      </c>
      <c r="G4216" s="231">
        <v>0</v>
      </c>
      <c r="H4216" s="231">
        <v>0</v>
      </c>
      <c r="I4216" s="231">
        <v>0</v>
      </c>
      <c r="J4216" s="231">
        <v>0</v>
      </c>
    </row>
    <row r="4217" spans="1:10" s="217" customFormat="1">
      <c r="A4217" s="214" t="s">
        <v>175</v>
      </c>
      <c r="B4217" s="214" t="s">
        <v>34</v>
      </c>
      <c r="C4217" s="228">
        <v>0.76041666666666696</v>
      </c>
      <c r="D4217" s="229">
        <v>0</v>
      </c>
      <c r="E4217" s="229">
        <v>0</v>
      </c>
      <c r="F4217" s="229">
        <v>0</v>
      </c>
      <c r="G4217" s="229">
        <v>0</v>
      </c>
      <c r="H4217" s="229">
        <v>0</v>
      </c>
      <c r="I4217" s="229">
        <v>0</v>
      </c>
      <c r="J4217" s="229">
        <v>0</v>
      </c>
    </row>
    <row r="4218" spans="1:10" s="217" customFormat="1">
      <c r="A4218" s="214" t="s">
        <v>175</v>
      </c>
      <c r="B4218" s="214" t="s">
        <v>34</v>
      </c>
      <c r="C4218" s="228">
        <v>0.76111111111111096</v>
      </c>
      <c r="D4218" s="229">
        <v>0</v>
      </c>
      <c r="E4218" s="229">
        <v>0</v>
      </c>
      <c r="F4218" s="229">
        <v>0</v>
      </c>
      <c r="G4218" s="229">
        <v>0</v>
      </c>
      <c r="H4218" s="229">
        <v>0</v>
      </c>
      <c r="I4218" s="229">
        <v>0</v>
      </c>
      <c r="J4218" s="229">
        <v>0</v>
      </c>
    </row>
    <row r="4219" spans="1:10" s="217" customFormat="1">
      <c r="A4219" s="214" t="s">
        <v>175</v>
      </c>
      <c r="B4219" s="214" t="s">
        <v>34</v>
      </c>
      <c r="C4219" s="228">
        <v>0.76180555555555596</v>
      </c>
      <c r="D4219" s="229">
        <v>0</v>
      </c>
      <c r="E4219" s="229">
        <v>0</v>
      </c>
      <c r="F4219" s="229">
        <v>0</v>
      </c>
      <c r="G4219" s="229">
        <v>0</v>
      </c>
      <c r="H4219" s="229">
        <v>0</v>
      </c>
      <c r="I4219" s="229">
        <v>0</v>
      </c>
      <c r="J4219" s="229">
        <v>0</v>
      </c>
    </row>
    <row r="4220" spans="1:10" s="217" customFormat="1">
      <c r="A4220" s="214" t="s">
        <v>175</v>
      </c>
      <c r="B4220" s="214" t="s">
        <v>34</v>
      </c>
      <c r="C4220" s="228">
        <v>0.76249999999999996</v>
      </c>
      <c r="D4220" s="229">
        <v>0</v>
      </c>
      <c r="E4220" s="229">
        <v>0</v>
      </c>
      <c r="F4220" s="229">
        <v>0</v>
      </c>
      <c r="G4220" s="229">
        <v>0</v>
      </c>
      <c r="H4220" s="229">
        <v>0</v>
      </c>
      <c r="I4220" s="229">
        <v>0</v>
      </c>
      <c r="J4220" s="229">
        <v>0</v>
      </c>
    </row>
    <row r="4221" spans="1:10" s="217" customFormat="1">
      <c r="A4221" s="214" t="s">
        <v>175</v>
      </c>
      <c r="B4221" s="214" t="s">
        <v>34</v>
      </c>
      <c r="C4221" s="228">
        <v>0.76319444444444395</v>
      </c>
      <c r="D4221" s="229">
        <v>0</v>
      </c>
      <c r="E4221" s="229">
        <v>0</v>
      </c>
      <c r="F4221" s="229">
        <v>0</v>
      </c>
      <c r="G4221" s="229">
        <v>0</v>
      </c>
      <c r="H4221" s="229">
        <v>0</v>
      </c>
      <c r="I4221" s="229">
        <v>0</v>
      </c>
      <c r="J4221" s="229">
        <v>0</v>
      </c>
    </row>
    <row r="4222" spans="1:10" s="217" customFormat="1">
      <c r="A4222" s="214" t="s">
        <v>175</v>
      </c>
      <c r="B4222" s="214" t="s">
        <v>34</v>
      </c>
      <c r="C4222" s="228">
        <v>0.76388888888888895</v>
      </c>
      <c r="D4222" s="229">
        <v>0</v>
      </c>
      <c r="E4222" s="229">
        <v>0</v>
      </c>
      <c r="F4222" s="229">
        <v>0</v>
      </c>
      <c r="G4222" s="229">
        <v>0</v>
      </c>
      <c r="H4222" s="229">
        <v>0</v>
      </c>
      <c r="I4222" s="229">
        <v>0</v>
      </c>
      <c r="J4222" s="229">
        <v>0</v>
      </c>
    </row>
    <row r="4223" spans="1:10" s="217" customFormat="1">
      <c r="A4223" s="214" t="s">
        <v>175</v>
      </c>
      <c r="B4223" s="214" t="s">
        <v>34</v>
      </c>
      <c r="C4223" s="228">
        <v>0.76458333333333295</v>
      </c>
      <c r="D4223" s="229">
        <v>0</v>
      </c>
      <c r="E4223" s="229">
        <v>0</v>
      </c>
      <c r="F4223" s="229">
        <v>0</v>
      </c>
      <c r="G4223" s="229">
        <v>0</v>
      </c>
      <c r="H4223" s="229">
        <v>0</v>
      </c>
      <c r="I4223" s="229">
        <v>0</v>
      </c>
      <c r="J4223" s="229">
        <v>0</v>
      </c>
    </row>
    <row r="4224" spans="1:10" s="217" customFormat="1">
      <c r="A4224" s="214" t="s">
        <v>175</v>
      </c>
      <c r="B4224" s="214" t="s">
        <v>34</v>
      </c>
      <c r="C4224" s="228">
        <v>0.76527777777777795</v>
      </c>
      <c r="D4224" s="229">
        <v>0</v>
      </c>
      <c r="E4224" s="229">
        <v>0</v>
      </c>
      <c r="F4224" s="229">
        <v>0</v>
      </c>
      <c r="G4224" s="229">
        <v>0</v>
      </c>
      <c r="H4224" s="229">
        <v>0</v>
      </c>
      <c r="I4224" s="229">
        <v>0</v>
      </c>
      <c r="J4224" s="229">
        <v>0</v>
      </c>
    </row>
    <row r="4225" spans="1:10" s="217" customFormat="1">
      <c r="A4225" s="214" t="s">
        <v>175</v>
      </c>
      <c r="B4225" s="214" t="s">
        <v>34</v>
      </c>
      <c r="C4225" s="228">
        <v>0.76597222222222205</v>
      </c>
      <c r="D4225" s="229">
        <v>0</v>
      </c>
      <c r="E4225" s="229">
        <v>0</v>
      </c>
      <c r="F4225" s="229">
        <v>0</v>
      </c>
      <c r="G4225" s="229">
        <v>0</v>
      </c>
      <c r="H4225" s="229">
        <v>0</v>
      </c>
      <c r="I4225" s="229">
        <v>0</v>
      </c>
      <c r="J4225" s="229">
        <v>0</v>
      </c>
    </row>
    <row r="4226" spans="1:10" s="217" customFormat="1">
      <c r="A4226" s="214" t="s">
        <v>175</v>
      </c>
      <c r="B4226" s="214" t="s">
        <v>34</v>
      </c>
      <c r="C4226" s="228">
        <v>0.76666666666666705</v>
      </c>
      <c r="D4226" s="229">
        <v>0</v>
      </c>
      <c r="E4226" s="229">
        <v>0</v>
      </c>
      <c r="F4226" s="229">
        <v>0</v>
      </c>
      <c r="G4226" s="229">
        <v>0</v>
      </c>
      <c r="H4226" s="229">
        <v>0</v>
      </c>
      <c r="I4226" s="229">
        <v>0</v>
      </c>
      <c r="J4226" s="229">
        <v>0</v>
      </c>
    </row>
    <row r="4227" spans="1:10" s="217" customFormat="1">
      <c r="A4227" s="214" t="s">
        <v>175</v>
      </c>
      <c r="B4227" s="214" t="s">
        <v>34</v>
      </c>
      <c r="C4227" s="228">
        <v>0.76736111111111105</v>
      </c>
      <c r="D4227" s="229">
        <v>0</v>
      </c>
      <c r="E4227" s="229">
        <v>0</v>
      </c>
      <c r="F4227" s="229">
        <v>0</v>
      </c>
      <c r="G4227" s="229">
        <v>0</v>
      </c>
      <c r="H4227" s="229">
        <v>0</v>
      </c>
      <c r="I4227" s="229">
        <v>0</v>
      </c>
      <c r="J4227" s="229">
        <v>0</v>
      </c>
    </row>
    <row r="4228" spans="1:10" s="217" customFormat="1">
      <c r="A4228" s="214" t="s">
        <v>175</v>
      </c>
      <c r="B4228" s="214" t="s">
        <v>34</v>
      </c>
      <c r="C4228" s="228">
        <v>0.76805555555555505</v>
      </c>
      <c r="D4228" s="229">
        <v>0</v>
      </c>
      <c r="E4228" s="229">
        <v>0</v>
      </c>
      <c r="F4228" s="229">
        <v>0</v>
      </c>
      <c r="G4228" s="229">
        <v>0</v>
      </c>
      <c r="H4228" s="229">
        <v>0</v>
      </c>
      <c r="I4228" s="229">
        <v>0</v>
      </c>
      <c r="J4228" s="229">
        <v>0</v>
      </c>
    </row>
    <row r="4229" spans="1:10" s="217" customFormat="1">
      <c r="A4229" s="214" t="s">
        <v>175</v>
      </c>
      <c r="B4229" s="214" t="s">
        <v>34</v>
      </c>
      <c r="C4229" s="228">
        <v>0.76875000000000004</v>
      </c>
      <c r="D4229" s="229">
        <v>0</v>
      </c>
      <c r="E4229" s="229">
        <v>0</v>
      </c>
      <c r="F4229" s="229">
        <v>0</v>
      </c>
      <c r="G4229" s="229">
        <v>0</v>
      </c>
      <c r="H4229" s="229">
        <v>0</v>
      </c>
      <c r="I4229" s="229">
        <v>0</v>
      </c>
      <c r="J4229" s="229">
        <v>0</v>
      </c>
    </row>
    <row r="4230" spans="1:10" s="217" customFormat="1">
      <c r="A4230" s="214" t="s">
        <v>175</v>
      </c>
      <c r="B4230" s="214" t="s">
        <v>34</v>
      </c>
      <c r="C4230" s="228">
        <v>0.76944444444444404</v>
      </c>
      <c r="D4230" s="229">
        <v>0</v>
      </c>
      <c r="E4230" s="229">
        <v>0</v>
      </c>
      <c r="F4230" s="229">
        <v>0</v>
      </c>
      <c r="G4230" s="229">
        <v>0</v>
      </c>
      <c r="H4230" s="229">
        <v>0</v>
      </c>
      <c r="I4230" s="229">
        <v>0</v>
      </c>
      <c r="J4230" s="229">
        <v>0</v>
      </c>
    </row>
    <row r="4231" spans="1:10" s="221" customFormat="1">
      <c r="A4231" s="218" t="s">
        <v>175</v>
      </c>
      <c r="B4231" s="218" t="s">
        <v>34</v>
      </c>
      <c r="C4231" s="230">
        <v>0.77013888888888904</v>
      </c>
      <c r="D4231" s="231">
        <v>0</v>
      </c>
      <c r="E4231" s="231">
        <v>0</v>
      </c>
      <c r="F4231" s="231">
        <v>0</v>
      </c>
      <c r="G4231" s="231">
        <v>0</v>
      </c>
      <c r="H4231" s="231">
        <v>0</v>
      </c>
      <c r="I4231" s="231">
        <v>0</v>
      </c>
      <c r="J4231" s="231">
        <v>0</v>
      </c>
    </row>
    <row r="4232" spans="1:10" s="217" customFormat="1">
      <c r="A4232" s="214" t="s">
        <v>175</v>
      </c>
      <c r="B4232" s="214" t="s">
        <v>34</v>
      </c>
      <c r="C4232" s="228">
        <v>0.77083333333333304</v>
      </c>
      <c r="D4232" s="229">
        <v>0</v>
      </c>
      <c r="E4232" s="229">
        <v>0</v>
      </c>
      <c r="F4232" s="229">
        <v>0</v>
      </c>
      <c r="G4232" s="229">
        <v>0</v>
      </c>
      <c r="H4232" s="229">
        <v>0</v>
      </c>
      <c r="I4232" s="229">
        <v>0</v>
      </c>
      <c r="J4232" s="229">
        <v>0</v>
      </c>
    </row>
    <row r="4233" spans="1:10" s="217" customFormat="1">
      <c r="A4233" s="214" t="s">
        <v>175</v>
      </c>
      <c r="B4233" s="214" t="s">
        <v>34</v>
      </c>
      <c r="C4233" s="228">
        <v>0.77152777777777803</v>
      </c>
      <c r="D4233" s="229">
        <v>0</v>
      </c>
      <c r="E4233" s="229">
        <v>0</v>
      </c>
      <c r="F4233" s="229">
        <v>0</v>
      </c>
      <c r="G4233" s="229">
        <v>0</v>
      </c>
      <c r="H4233" s="229">
        <v>0</v>
      </c>
      <c r="I4233" s="229">
        <v>0</v>
      </c>
      <c r="J4233" s="229">
        <v>0</v>
      </c>
    </row>
    <row r="4234" spans="1:10" s="217" customFormat="1">
      <c r="A4234" s="214" t="s">
        <v>175</v>
      </c>
      <c r="B4234" s="214" t="s">
        <v>34</v>
      </c>
      <c r="C4234" s="228">
        <v>0.77222222222222203</v>
      </c>
      <c r="D4234" s="229">
        <v>0</v>
      </c>
      <c r="E4234" s="229">
        <v>0</v>
      </c>
      <c r="F4234" s="229">
        <v>0</v>
      </c>
      <c r="G4234" s="229">
        <v>0</v>
      </c>
      <c r="H4234" s="229">
        <v>0</v>
      </c>
      <c r="I4234" s="229">
        <v>0</v>
      </c>
      <c r="J4234" s="229">
        <v>0</v>
      </c>
    </row>
    <row r="4235" spans="1:10" s="217" customFormat="1">
      <c r="A4235" s="214" t="s">
        <v>175</v>
      </c>
      <c r="B4235" s="214" t="s">
        <v>34</v>
      </c>
      <c r="C4235" s="228">
        <v>0.77291666666666703</v>
      </c>
      <c r="D4235" s="229">
        <v>0</v>
      </c>
      <c r="E4235" s="229">
        <v>0</v>
      </c>
      <c r="F4235" s="229">
        <v>0</v>
      </c>
      <c r="G4235" s="229">
        <v>0</v>
      </c>
      <c r="H4235" s="229">
        <v>0</v>
      </c>
      <c r="I4235" s="229">
        <v>0</v>
      </c>
      <c r="J4235" s="229">
        <v>0</v>
      </c>
    </row>
    <row r="4236" spans="1:10" s="217" customFormat="1">
      <c r="A4236" s="214" t="s">
        <v>175</v>
      </c>
      <c r="B4236" s="214" t="s">
        <v>34</v>
      </c>
      <c r="C4236" s="228">
        <v>0.77361111111111103</v>
      </c>
      <c r="D4236" s="229">
        <v>0</v>
      </c>
      <c r="E4236" s="229">
        <v>0</v>
      </c>
      <c r="F4236" s="229">
        <v>0</v>
      </c>
      <c r="G4236" s="229">
        <v>0</v>
      </c>
      <c r="H4236" s="229">
        <v>0</v>
      </c>
      <c r="I4236" s="229">
        <v>0</v>
      </c>
      <c r="J4236" s="229">
        <v>0</v>
      </c>
    </row>
    <row r="4237" spans="1:10" s="217" customFormat="1">
      <c r="A4237" s="214" t="s">
        <v>175</v>
      </c>
      <c r="B4237" s="214" t="s">
        <v>34</v>
      </c>
      <c r="C4237" s="228">
        <v>0.77430555555555503</v>
      </c>
      <c r="D4237" s="229">
        <v>0</v>
      </c>
      <c r="E4237" s="229">
        <v>0</v>
      </c>
      <c r="F4237" s="229">
        <v>0</v>
      </c>
      <c r="G4237" s="229">
        <v>0</v>
      </c>
      <c r="H4237" s="229">
        <v>0</v>
      </c>
      <c r="I4237" s="229">
        <v>0</v>
      </c>
      <c r="J4237" s="229">
        <v>0</v>
      </c>
    </row>
    <row r="4238" spans="1:10" s="217" customFormat="1">
      <c r="A4238" s="214" t="s">
        <v>175</v>
      </c>
      <c r="B4238" s="214" t="s">
        <v>34</v>
      </c>
      <c r="C4238" s="228">
        <v>0.77500000000000002</v>
      </c>
      <c r="D4238" s="229">
        <v>0</v>
      </c>
      <c r="E4238" s="229">
        <v>0</v>
      </c>
      <c r="F4238" s="229">
        <v>0</v>
      </c>
      <c r="G4238" s="229">
        <v>0</v>
      </c>
      <c r="H4238" s="229">
        <v>0</v>
      </c>
      <c r="I4238" s="229">
        <v>0</v>
      </c>
      <c r="J4238" s="229">
        <v>0</v>
      </c>
    </row>
    <row r="4239" spans="1:10" s="217" customFormat="1">
      <c r="A4239" s="214" t="s">
        <v>175</v>
      </c>
      <c r="B4239" s="214" t="s">
        <v>34</v>
      </c>
      <c r="C4239" s="228">
        <v>0.77569444444444402</v>
      </c>
      <c r="D4239" s="229">
        <v>0</v>
      </c>
      <c r="E4239" s="229">
        <v>0</v>
      </c>
      <c r="F4239" s="229">
        <v>0</v>
      </c>
      <c r="G4239" s="229">
        <v>0</v>
      </c>
      <c r="H4239" s="229">
        <v>0</v>
      </c>
      <c r="I4239" s="229">
        <v>0</v>
      </c>
      <c r="J4239" s="229">
        <v>0</v>
      </c>
    </row>
    <row r="4240" spans="1:10" s="217" customFormat="1">
      <c r="A4240" s="214" t="s">
        <v>175</v>
      </c>
      <c r="B4240" s="214" t="s">
        <v>34</v>
      </c>
      <c r="C4240" s="228">
        <v>0.77638888888888902</v>
      </c>
      <c r="D4240" s="229">
        <v>0</v>
      </c>
      <c r="E4240" s="229">
        <v>0</v>
      </c>
      <c r="F4240" s="229">
        <v>0</v>
      </c>
      <c r="G4240" s="229">
        <v>0</v>
      </c>
      <c r="H4240" s="229">
        <v>0</v>
      </c>
      <c r="I4240" s="229">
        <v>0</v>
      </c>
      <c r="J4240" s="229">
        <v>0</v>
      </c>
    </row>
    <row r="4241" spans="1:10" s="217" customFormat="1">
      <c r="A4241" s="214" t="s">
        <v>175</v>
      </c>
      <c r="B4241" s="214" t="s">
        <v>34</v>
      </c>
      <c r="C4241" s="228">
        <v>0.77708333333333302</v>
      </c>
      <c r="D4241" s="229">
        <v>0</v>
      </c>
      <c r="E4241" s="229">
        <v>0</v>
      </c>
      <c r="F4241" s="229">
        <v>0</v>
      </c>
      <c r="G4241" s="229">
        <v>0</v>
      </c>
      <c r="H4241" s="229">
        <v>0</v>
      </c>
      <c r="I4241" s="229">
        <v>0</v>
      </c>
      <c r="J4241" s="229">
        <v>0</v>
      </c>
    </row>
    <row r="4242" spans="1:10" s="217" customFormat="1">
      <c r="A4242" s="214" t="s">
        <v>175</v>
      </c>
      <c r="B4242" s="214" t="s">
        <v>34</v>
      </c>
      <c r="C4242" s="228">
        <v>0.77777777777777801</v>
      </c>
      <c r="D4242" s="229">
        <v>0</v>
      </c>
      <c r="E4242" s="229">
        <v>0</v>
      </c>
      <c r="F4242" s="229">
        <v>0</v>
      </c>
      <c r="G4242" s="229">
        <v>0</v>
      </c>
      <c r="H4242" s="229">
        <v>0</v>
      </c>
      <c r="I4242" s="229">
        <v>0</v>
      </c>
      <c r="J4242" s="229">
        <v>0</v>
      </c>
    </row>
    <row r="4243" spans="1:10" s="217" customFormat="1">
      <c r="A4243" s="214" t="s">
        <v>175</v>
      </c>
      <c r="B4243" s="214" t="s">
        <v>34</v>
      </c>
      <c r="C4243" s="228">
        <v>0.77847222222222201</v>
      </c>
      <c r="D4243" s="229">
        <v>0</v>
      </c>
      <c r="E4243" s="229">
        <v>0</v>
      </c>
      <c r="F4243" s="229">
        <v>0</v>
      </c>
      <c r="G4243" s="229">
        <v>0</v>
      </c>
      <c r="H4243" s="229">
        <v>0</v>
      </c>
      <c r="I4243" s="229">
        <v>0</v>
      </c>
      <c r="J4243" s="229">
        <v>0</v>
      </c>
    </row>
    <row r="4244" spans="1:10" s="217" customFormat="1">
      <c r="A4244" s="214" t="s">
        <v>175</v>
      </c>
      <c r="B4244" s="214" t="s">
        <v>34</v>
      </c>
      <c r="C4244" s="228">
        <v>0.77916666666666701</v>
      </c>
      <c r="D4244" s="229">
        <v>0</v>
      </c>
      <c r="E4244" s="229">
        <v>0</v>
      </c>
      <c r="F4244" s="229">
        <v>0</v>
      </c>
      <c r="G4244" s="229">
        <v>0</v>
      </c>
      <c r="H4244" s="229">
        <v>0</v>
      </c>
      <c r="I4244" s="229">
        <v>0</v>
      </c>
      <c r="J4244" s="229">
        <v>0</v>
      </c>
    </row>
    <row r="4245" spans="1:10" s="217" customFormat="1">
      <c r="A4245" s="214" t="s">
        <v>175</v>
      </c>
      <c r="B4245" s="214" t="s">
        <v>34</v>
      </c>
      <c r="C4245" s="228">
        <v>0.77986111111111101</v>
      </c>
      <c r="D4245" s="229">
        <v>0</v>
      </c>
      <c r="E4245" s="229">
        <v>0</v>
      </c>
      <c r="F4245" s="229">
        <v>0</v>
      </c>
      <c r="G4245" s="229">
        <v>0</v>
      </c>
      <c r="H4245" s="229">
        <v>0</v>
      </c>
      <c r="I4245" s="229">
        <v>0</v>
      </c>
      <c r="J4245" s="229">
        <v>0</v>
      </c>
    </row>
    <row r="4246" spans="1:10" s="221" customFormat="1">
      <c r="A4246" s="218" t="s">
        <v>175</v>
      </c>
      <c r="B4246" s="218" t="s">
        <v>34</v>
      </c>
      <c r="C4246" s="230">
        <v>0.780555555555555</v>
      </c>
      <c r="D4246" s="231">
        <v>0</v>
      </c>
      <c r="E4246" s="231">
        <v>0</v>
      </c>
      <c r="F4246" s="231">
        <v>0</v>
      </c>
      <c r="G4246" s="231">
        <v>0</v>
      </c>
      <c r="H4246" s="231">
        <v>0</v>
      </c>
      <c r="I4246" s="231">
        <v>0</v>
      </c>
      <c r="J4246" s="231">
        <v>0</v>
      </c>
    </row>
    <row r="4247" spans="1:10" s="217" customFormat="1">
      <c r="A4247" s="214" t="s">
        <v>175</v>
      </c>
      <c r="B4247" s="214" t="s">
        <v>34</v>
      </c>
      <c r="C4247" s="228">
        <v>0.78125</v>
      </c>
      <c r="D4247" s="229">
        <v>0</v>
      </c>
      <c r="E4247" s="229">
        <v>0</v>
      </c>
      <c r="F4247" s="229">
        <v>0</v>
      </c>
      <c r="G4247" s="229">
        <v>0</v>
      </c>
      <c r="H4247" s="229">
        <v>0</v>
      </c>
      <c r="I4247" s="229">
        <v>0</v>
      </c>
      <c r="J4247" s="229">
        <v>0</v>
      </c>
    </row>
    <row r="4248" spans="1:10" s="217" customFormat="1">
      <c r="A4248" s="214" t="s">
        <v>175</v>
      </c>
      <c r="B4248" s="214" t="s">
        <v>34</v>
      </c>
      <c r="C4248" s="228">
        <v>0.781944444444444</v>
      </c>
      <c r="D4248" s="229">
        <v>0</v>
      </c>
      <c r="E4248" s="229">
        <v>0</v>
      </c>
      <c r="F4248" s="229">
        <v>0</v>
      </c>
      <c r="G4248" s="229">
        <v>0</v>
      </c>
      <c r="H4248" s="229">
        <v>0</v>
      </c>
      <c r="I4248" s="229">
        <v>0</v>
      </c>
      <c r="J4248" s="229">
        <v>0</v>
      </c>
    </row>
    <row r="4249" spans="1:10" s="217" customFormat="1">
      <c r="A4249" s="214" t="s">
        <v>175</v>
      </c>
      <c r="B4249" s="214" t="s">
        <v>34</v>
      </c>
      <c r="C4249" s="228">
        <v>0.78263888888888899</v>
      </c>
      <c r="D4249" s="229">
        <v>0</v>
      </c>
      <c r="E4249" s="229">
        <v>0</v>
      </c>
      <c r="F4249" s="229">
        <v>0</v>
      </c>
      <c r="G4249" s="229">
        <v>0</v>
      </c>
      <c r="H4249" s="229">
        <v>0</v>
      </c>
      <c r="I4249" s="229">
        <v>0</v>
      </c>
      <c r="J4249" s="229">
        <v>0</v>
      </c>
    </row>
    <row r="4250" spans="1:10" s="217" customFormat="1">
      <c r="A4250" s="214" t="s">
        <v>175</v>
      </c>
      <c r="B4250" s="214" t="s">
        <v>34</v>
      </c>
      <c r="C4250" s="228">
        <v>0.78333333333333299</v>
      </c>
      <c r="D4250" s="229">
        <v>0</v>
      </c>
      <c r="E4250" s="229">
        <v>0</v>
      </c>
      <c r="F4250" s="229">
        <v>0</v>
      </c>
      <c r="G4250" s="229">
        <v>0</v>
      </c>
      <c r="H4250" s="229">
        <v>0</v>
      </c>
      <c r="I4250" s="229">
        <v>0</v>
      </c>
      <c r="J4250" s="229">
        <v>0</v>
      </c>
    </row>
    <row r="4251" spans="1:10" s="217" customFormat="1">
      <c r="A4251" s="214" t="s">
        <v>175</v>
      </c>
      <c r="B4251" s="214" t="s">
        <v>34</v>
      </c>
      <c r="C4251" s="228">
        <v>0.78402777777777799</v>
      </c>
      <c r="D4251" s="229">
        <v>0</v>
      </c>
      <c r="E4251" s="229">
        <v>0</v>
      </c>
      <c r="F4251" s="229">
        <v>0</v>
      </c>
      <c r="G4251" s="229">
        <v>0</v>
      </c>
      <c r="H4251" s="229">
        <v>0</v>
      </c>
      <c r="I4251" s="229">
        <v>0</v>
      </c>
      <c r="J4251" s="229">
        <v>0</v>
      </c>
    </row>
    <row r="4252" spans="1:10" s="217" customFormat="1">
      <c r="A4252" s="214" t="s">
        <v>175</v>
      </c>
      <c r="B4252" s="214" t="s">
        <v>34</v>
      </c>
      <c r="C4252" s="228">
        <v>0.78472222222222199</v>
      </c>
      <c r="D4252" s="229">
        <v>0</v>
      </c>
      <c r="E4252" s="229">
        <v>0</v>
      </c>
      <c r="F4252" s="229">
        <v>0</v>
      </c>
      <c r="G4252" s="229">
        <v>0</v>
      </c>
      <c r="H4252" s="229">
        <v>0</v>
      </c>
      <c r="I4252" s="229">
        <v>0</v>
      </c>
      <c r="J4252" s="229">
        <v>0</v>
      </c>
    </row>
    <row r="4253" spans="1:10" s="217" customFormat="1">
      <c r="A4253" s="214" t="s">
        <v>175</v>
      </c>
      <c r="B4253" s="214" t="s">
        <v>34</v>
      </c>
      <c r="C4253" s="228">
        <v>0.78541666666666698</v>
      </c>
      <c r="D4253" s="229">
        <v>0</v>
      </c>
      <c r="E4253" s="229">
        <v>0</v>
      </c>
      <c r="F4253" s="229">
        <v>0</v>
      </c>
      <c r="G4253" s="229">
        <v>0</v>
      </c>
      <c r="H4253" s="229">
        <v>0</v>
      </c>
      <c r="I4253" s="229">
        <v>0</v>
      </c>
      <c r="J4253" s="229">
        <v>0</v>
      </c>
    </row>
    <row r="4254" spans="1:10" s="217" customFormat="1">
      <c r="A4254" s="214" t="s">
        <v>175</v>
      </c>
      <c r="B4254" s="214" t="s">
        <v>34</v>
      </c>
      <c r="C4254" s="228">
        <v>0.78611111111111098</v>
      </c>
      <c r="D4254" s="229">
        <v>0</v>
      </c>
      <c r="E4254" s="229">
        <v>0</v>
      </c>
      <c r="F4254" s="229">
        <v>0</v>
      </c>
      <c r="G4254" s="229">
        <v>0</v>
      </c>
      <c r="H4254" s="229">
        <v>0</v>
      </c>
      <c r="I4254" s="229">
        <v>0</v>
      </c>
      <c r="J4254" s="229">
        <v>0</v>
      </c>
    </row>
    <row r="4255" spans="1:10" s="217" customFormat="1">
      <c r="A4255" s="214" t="s">
        <v>175</v>
      </c>
      <c r="B4255" s="214" t="s">
        <v>34</v>
      </c>
      <c r="C4255" s="228">
        <v>0.78680555555555498</v>
      </c>
      <c r="D4255" s="229">
        <v>0</v>
      </c>
      <c r="E4255" s="229">
        <v>0</v>
      </c>
      <c r="F4255" s="229">
        <v>0</v>
      </c>
      <c r="G4255" s="229">
        <v>0</v>
      </c>
      <c r="H4255" s="229">
        <v>0</v>
      </c>
      <c r="I4255" s="229">
        <v>0</v>
      </c>
      <c r="J4255" s="229">
        <v>0</v>
      </c>
    </row>
    <row r="4256" spans="1:10" s="217" customFormat="1">
      <c r="A4256" s="214" t="s">
        <v>175</v>
      </c>
      <c r="B4256" s="214" t="s">
        <v>34</v>
      </c>
      <c r="C4256" s="228">
        <v>0.78749999999999998</v>
      </c>
      <c r="D4256" s="229">
        <v>0</v>
      </c>
      <c r="E4256" s="229">
        <v>0</v>
      </c>
      <c r="F4256" s="229">
        <v>0</v>
      </c>
      <c r="G4256" s="229">
        <v>0</v>
      </c>
      <c r="H4256" s="229">
        <v>0</v>
      </c>
      <c r="I4256" s="229">
        <v>0</v>
      </c>
      <c r="J4256" s="229">
        <v>0</v>
      </c>
    </row>
    <row r="4257" spans="1:10" s="217" customFormat="1">
      <c r="A4257" s="214" t="s">
        <v>175</v>
      </c>
      <c r="B4257" s="214" t="s">
        <v>34</v>
      </c>
      <c r="C4257" s="228">
        <v>0.78819444444444398</v>
      </c>
      <c r="D4257" s="229">
        <v>0</v>
      </c>
      <c r="E4257" s="229">
        <v>0</v>
      </c>
      <c r="F4257" s="229">
        <v>0</v>
      </c>
      <c r="G4257" s="229">
        <v>0</v>
      </c>
      <c r="H4257" s="229">
        <v>0</v>
      </c>
      <c r="I4257" s="229">
        <v>0</v>
      </c>
      <c r="J4257" s="229">
        <v>0</v>
      </c>
    </row>
    <row r="4258" spans="1:10" s="217" customFormat="1">
      <c r="A4258" s="214" t="s">
        <v>175</v>
      </c>
      <c r="B4258" s="214" t="s">
        <v>34</v>
      </c>
      <c r="C4258" s="228">
        <v>0.78888888888888897</v>
      </c>
      <c r="D4258" s="229">
        <v>0</v>
      </c>
      <c r="E4258" s="229">
        <v>0</v>
      </c>
      <c r="F4258" s="229">
        <v>0</v>
      </c>
      <c r="G4258" s="229">
        <v>0</v>
      </c>
      <c r="H4258" s="229">
        <v>0</v>
      </c>
      <c r="I4258" s="229">
        <v>0</v>
      </c>
      <c r="J4258" s="229">
        <v>0</v>
      </c>
    </row>
    <row r="4259" spans="1:10" s="217" customFormat="1">
      <c r="A4259" s="214" t="s">
        <v>175</v>
      </c>
      <c r="B4259" s="214" t="s">
        <v>34</v>
      </c>
      <c r="C4259" s="228">
        <v>0.78958333333333297</v>
      </c>
      <c r="D4259" s="229">
        <v>0</v>
      </c>
      <c r="E4259" s="229">
        <v>0</v>
      </c>
      <c r="F4259" s="229">
        <v>0</v>
      </c>
      <c r="G4259" s="229">
        <v>0</v>
      </c>
      <c r="H4259" s="229">
        <v>0</v>
      </c>
      <c r="I4259" s="229">
        <v>0</v>
      </c>
      <c r="J4259" s="229">
        <v>0</v>
      </c>
    </row>
    <row r="4260" spans="1:10" s="217" customFormat="1">
      <c r="A4260" s="214" t="s">
        <v>175</v>
      </c>
      <c r="B4260" s="214" t="s">
        <v>34</v>
      </c>
      <c r="C4260" s="228">
        <v>0.79027777777777797</v>
      </c>
      <c r="D4260" s="229">
        <v>0</v>
      </c>
      <c r="E4260" s="229">
        <v>0</v>
      </c>
      <c r="F4260" s="229">
        <v>0</v>
      </c>
      <c r="G4260" s="229">
        <v>0</v>
      </c>
      <c r="H4260" s="229">
        <v>0</v>
      </c>
      <c r="I4260" s="229">
        <v>0</v>
      </c>
      <c r="J4260" s="229">
        <v>0</v>
      </c>
    </row>
    <row r="4261" spans="1:10" s="221" customFormat="1">
      <c r="A4261" s="218" t="s">
        <v>175</v>
      </c>
      <c r="B4261" s="218" t="s">
        <v>34</v>
      </c>
      <c r="C4261" s="230">
        <v>0.79097222222222197</v>
      </c>
      <c r="D4261" s="231">
        <v>0</v>
      </c>
      <c r="E4261" s="231">
        <v>0</v>
      </c>
      <c r="F4261" s="231">
        <v>0</v>
      </c>
      <c r="G4261" s="231">
        <v>0</v>
      </c>
      <c r="H4261" s="231">
        <v>0</v>
      </c>
      <c r="I4261" s="231">
        <v>0</v>
      </c>
      <c r="J4261" s="231">
        <v>0</v>
      </c>
    </row>
    <row r="4262" spans="1:10" s="217" customFormat="1">
      <c r="A4262" s="214" t="s">
        <v>175</v>
      </c>
      <c r="B4262" s="214" t="s">
        <v>34</v>
      </c>
      <c r="C4262" s="228">
        <v>0.79166666666666696</v>
      </c>
      <c r="D4262" s="229">
        <v>0</v>
      </c>
      <c r="E4262" s="229">
        <v>0</v>
      </c>
      <c r="F4262" s="229">
        <v>0</v>
      </c>
      <c r="G4262" s="229">
        <v>0</v>
      </c>
      <c r="H4262" s="229">
        <v>0</v>
      </c>
      <c r="I4262" s="229">
        <v>0</v>
      </c>
      <c r="J4262" s="229">
        <v>0</v>
      </c>
    </row>
    <row r="4263" spans="1:10" s="217" customFormat="1">
      <c r="A4263" s="214" t="s">
        <v>175</v>
      </c>
      <c r="B4263" s="214" t="s">
        <v>34</v>
      </c>
      <c r="C4263" s="228">
        <v>0.79236111111111096</v>
      </c>
      <c r="D4263" s="229">
        <v>0</v>
      </c>
      <c r="E4263" s="229">
        <v>0</v>
      </c>
      <c r="F4263" s="229">
        <v>0</v>
      </c>
      <c r="G4263" s="229">
        <v>0</v>
      </c>
      <c r="H4263" s="229">
        <v>0</v>
      </c>
      <c r="I4263" s="229">
        <v>0</v>
      </c>
      <c r="J4263" s="229">
        <v>0</v>
      </c>
    </row>
    <row r="4264" spans="1:10" s="217" customFormat="1">
      <c r="A4264" s="214" t="s">
        <v>175</v>
      </c>
      <c r="B4264" s="214" t="s">
        <v>34</v>
      </c>
      <c r="C4264" s="228">
        <v>0.79305555555555496</v>
      </c>
      <c r="D4264" s="229">
        <v>0</v>
      </c>
      <c r="E4264" s="229">
        <v>0</v>
      </c>
      <c r="F4264" s="229">
        <v>0</v>
      </c>
      <c r="G4264" s="229">
        <v>0</v>
      </c>
      <c r="H4264" s="229">
        <v>0</v>
      </c>
      <c r="I4264" s="229">
        <v>0</v>
      </c>
      <c r="J4264" s="229">
        <v>0</v>
      </c>
    </row>
    <row r="4265" spans="1:10" s="217" customFormat="1">
      <c r="A4265" s="214" t="s">
        <v>175</v>
      </c>
      <c r="B4265" s="214" t="s">
        <v>34</v>
      </c>
      <c r="C4265" s="228">
        <v>0.79374999999999996</v>
      </c>
      <c r="D4265" s="229">
        <v>0</v>
      </c>
      <c r="E4265" s="229">
        <v>0</v>
      </c>
      <c r="F4265" s="229">
        <v>0</v>
      </c>
      <c r="G4265" s="229">
        <v>0</v>
      </c>
      <c r="H4265" s="229">
        <v>0</v>
      </c>
      <c r="I4265" s="229">
        <v>0</v>
      </c>
      <c r="J4265" s="229">
        <v>0</v>
      </c>
    </row>
    <row r="4266" spans="1:10" s="217" customFormat="1">
      <c r="A4266" s="214" t="s">
        <v>175</v>
      </c>
      <c r="B4266" s="214" t="s">
        <v>34</v>
      </c>
      <c r="C4266" s="228">
        <v>0.79444444444444395</v>
      </c>
      <c r="D4266" s="229">
        <v>0</v>
      </c>
      <c r="E4266" s="229">
        <v>0</v>
      </c>
      <c r="F4266" s="229">
        <v>0</v>
      </c>
      <c r="G4266" s="229">
        <v>0</v>
      </c>
      <c r="H4266" s="229">
        <v>0</v>
      </c>
      <c r="I4266" s="229">
        <v>0</v>
      </c>
      <c r="J4266" s="229">
        <v>0</v>
      </c>
    </row>
    <row r="4267" spans="1:10" s="217" customFormat="1">
      <c r="A4267" s="214" t="s">
        <v>175</v>
      </c>
      <c r="B4267" s="214" t="s">
        <v>34</v>
      </c>
      <c r="C4267" s="228">
        <v>0.79513888888888895</v>
      </c>
      <c r="D4267" s="229">
        <v>0</v>
      </c>
      <c r="E4267" s="229">
        <v>0</v>
      </c>
      <c r="F4267" s="229">
        <v>0</v>
      </c>
      <c r="G4267" s="229">
        <v>0</v>
      </c>
      <c r="H4267" s="229">
        <v>0</v>
      </c>
      <c r="I4267" s="229">
        <v>0</v>
      </c>
      <c r="J4267" s="229">
        <v>0</v>
      </c>
    </row>
    <row r="4268" spans="1:10" s="217" customFormat="1">
      <c r="A4268" s="214" t="s">
        <v>175</v>
      </c>
      <c r="B4268" s="214" t="s">
        <v>34</v>
      </c>
      <c r="C4268" s="228">
        <v>0.79583333333333295</v>
      </c>
      <c r="D4268" s="229">
        <v>0</v>
      </c>
      <c r="E4268" s="229">
        <v>0</v>
      </c>
      <c r="F4268" s="229">
        <v>0</v>
      </c>
      <c r="G4268" s="229">
        <v>0</v>
      </c>
      <c r="H4268" s="229">
        <v>0</v>
      </c>
      <c r="I4268" s="229">
        <v>0</v>
      </c>
      <c r="J4268" s="229">
        <v>0</v>
      </c>
    </row>
    <row r="4269" spans="1:10" s="217" customFormat="1">
      <c r="A4269" s="214" t="s">
        <v>175</v>
      </c>
      <c r="B4269" s="214" t="s">
        <v>34</v>
      </c>
      <c r="C4269" s="228">
        <v>0.79652777777777795</v>
      </c>
      <c r="D4269" s="229">
        <v>0</v>
      </c>
      <c r="E4269" s="229">
        <v>0</v>
      </c>
      <c r="F4269" s="229">
        <v>0</v>
      </c>
      <c r="G4269" s="229">
        <v>0</v>
      </c>
      <c r="H4269" s="229">
        <v>0</v>
      </c>
      <c r="I4269" s="229">
        <v>0</v>
      </c>
      <c r="J4269" s="229">
        <v>0</v>
      </c>
    </row>
    <row r="4270" spans="1:10" s="217" customFormat="1">
      <c r="A4270" s="214" t="s">
        <v>175</v>
      </c>
      <c r="B4270" s="214" t="s">
        <v>34</v>
      </c>
      <c r="C4270" s="228">
        <v>0.79722222222222205</v>
      </c>
      <c r="D4270" s="229">
        <v>0</v>
      </c>
      <c r="E4270" s="229">
        <v>0</v>
      </c>
      <c r="F4270" s="229">
        <v>0</v>
      </c>
      <c r="G4270" s="229">
        <v>0</v>
      </c>
      <c r="H4270" s="229">
        <v>0</v>
      </c>
      <c r="I4270" s="229">
        <v>0</v>
      </c>
      <c r="J4270" s="229">
        <v>0</v>
      </c>
    </row>
    <row r="4271" spans="1:10" s="217" customFormat="1">
      <c r="A4271" s="214" t="s">
        <v>175</v>
      </c>
      <c r="B4271" s="214" t="s">
        <v>34</v>
      </c>
      <c r="C4271" s="228">
        <v>0.79791666666666605</v>
      </c>
      <c r="D4271" s="229">
        <v>0</v>
      </c>
      <c r="E4271" s="229">
        <v>0</v>
      </c>
      <c r="F4271" s="229">
        <v>0</v>
      </c>
      <c r="G4271" s="229">
        <v>0</v>
      </c>
      <c r="H4271" s="229">
        <v>0</v>
      </c>
      <c r="I4271" s="229">
        <v>0</v>
      </c>
      <c r="J4271" s="229">
        <v>0</v>
      </c>
    </row>
    <row r="4272" spans="1:10" s="217" customFormat="1">
      <c r="A4272" s="214" t="s">
        <v>175</v>
      </c>
      <c r="B4272" s="214" t="s">
        <v>34</v>
      </c>
      <c r="C4272" s="228">
        <v>0.79861111111111105</v>
      </c>
      <c r="D4272" s="229">
        <v>0</v>
      </c>
      <c r="E4272" s="229">
        <v>0</v>
      </c>
      <c r="F4272" s="229">
        <v>0</v>
      </c>
      <c r="G4272" s="229">
        <v>0</v>
      </c>
      <c r="H4272" s="229">
        <v>0</v>
      </c>
      <c r="I4272" s="229">
        <v>0</v>
      </c>
      <c r="J4272" s="229">
        <v>0</v>
      </c>
    </row>
    <row r="4273" spans="1:10" s="217" customFormat="1">
      <c r="A4273" s="214" t="s">
        <v>175</v>
      </c>
      <c r="B4273" s="214" t="s">
        <v>34</v>
      </c>
      <c r="C4273" s="228">
        <v>0.79930555555555505</v>
      </c>
      <c r="D4273" s="229">
        <v>0</v>
      </c>
      <c r="E4273" s="229">
        <v>0</v>
      </c>
      <c r="F4273" s="229">
        <v>0</v>
      </c>
      <c r="G4273" s="229">
        <v>0</v>
      </c>
      <c r="H4273" s="229">
        <v>0</v>
      </c>
      <c r="I4273" s="229">
        <v>0</v>
      </c>
      <c r="J4273" s="229">
        <v>0</v>
      </c>
    </row>
    <row r="4274" spans="1:10" s="217" customFormat="1">
      <c r="A4274" s="214" t="s">
        <v>175</v>
      </c>
      <c r="B4274" s="214" t="s">
        <v>34</v>
      </c>
      <c r="C4274" s="228">
        <v>0.8</v>
      </c>
      <c r="D4274" s="229">
        <v>0</v>
      </c>
      <c r="E4274" s="229">
        <v>0</v>
      </c>
      <c r="F4274" s="229">
        <v>0</v>
      </c>
      <c r="G4274" s="229">
        <v>0</v>
      </c>
      <c r="H4274" s="229">
        <v>0</v>
      </c>
      <c r="I4274" s="229">
        <v>0</v>
      </c>
      <c r="J4274" s="229">
        <v>0</v>
      </c>
    </row>
    <row r="4275" spans="1:10" s="217" customFormat="1">
      <c r="A4275" s="214" t="s">
        <v>175</v>
      </c>
      <c r="B4275" s="214" t="s">
        <v>34</v>
      </c>
      <c r="C4275" s="228">
        <v>0.80069444444444404</v>
      </c>
      <c r="D4275" s="229">
        <v>0</v>
      </c>
      <c r="E4275" s="229">
        <v>0</v>
      </c>
      <c r="F4275" s="229">
        <v>0</v>
      </c>
      <c r="G4275" s="229">
        <v>0</v>
      </c>
      <c r="H4275" s="229">
        <v>0</v>
      </c>
      <c r="I4275" s="229">
        <v>0</v>
      </c>
      <c r="J4275" s="229">
        <v>0</v>
      </c>
    </row>
    <row r="4276" spans="1:10" s="221" customFormat="1">
      <c r="A4276" s="218" t="s">
        <v>175</v>
      </c>
      <c r="B4276" s="218" t="s">
        <v>34</v>
      </c>
      <c r="C4276" s="230">
        <v>0.80138888888888904</v>
      </c>
      <c r="D4276" s="231">
        <v>0</v>
      </c>
      <c r="E4276" s="231">
        <v>0</v>
      </c>
      <c r="F4276" s="231">
        <v>0</v>
      </c>
      <c r="G4276" s="231">
        <v>0</v>
      </c>
      <c r="H4276" s="231">
        <v>0</v>
      </c>
      <c r="I4276" s="231">
        <v>0</v>
      </c>
      <c r="J4276" s="231">
        <v>0</v>
      </c>
    </row>
    <row r="4277" spans="1:10" s="217" customFormat="1">
      <c r="A4277" s="214" t="s">
        <v>175</v>
      </c>
      <c r="B4277" s="214" t="s">
        <v>34</v>
      </c>
      <c r="C4277" s="228">
        <v>0.80208333333333304</v>
      </c>
      <c r="D4277" s="229">
        <v>0</v>
      </c>
      <c r="E4277" s="229">
        <v>0</v>
      </c>
      <c r="F4277" s="229">
        <v>0</v>
      </c>
      <c r="G4277" s="229">
        <v>0</v>
      </c>
      <c r="H4277" s="229">
        <v>0</v>
      </c>
      <c r="I4277" s="229">
        <v>0</v>
      </c>
      <c r="J4277" s="229">
        <v>0</v>
      </c>
    </row>
    <row r="4278" spans="1:10" s="217" customFormat="1">
      <c r="A4278" s="214" t="s">
        <v>175</v>
      </c>
      <c r="B4278" s="214" t="s">
        <v>34</v>
      </c>
      <c r="C4278" s="228">
        <v>0.80277777777777803</v>
      </c>
      <c r="D4278" s="229">
        <v>0</v>
      </c>
      <c r="E4278" s="229">
        <v>0</v>
      </c>
      <c r="F4278" s="229">
        <v>0</v>
      </c>
      <c r="G4278" s="229">
        <v>0</v>
      </c>
      <c r="H4278" s="229">
        <v>0</v>
      </c>
      <c r="I4278" s="229">
        <v>0</v>
      </c>
      <c r="J4278" s="229">
        <v>0</v>
      </c>
    </row>
    <row r="4279" spans="1:10" s="217" customFormat="1">
      <c r="A4279" s="214" t="s">
        <v>175</v>
      </c>
      <c r="B4279" s="214" t="s">
        <v>34</v>
      </c>
      <c r="C4279" s="228">
        <v>0.80347222222222203</v>
      </c>
      <c r="D4279" s="229">
        <v>0</v>
      </c>
      <c r="E4279" s="229">
        <v>0</v>
      </c>
      <c r="F4279" s="229">
        <v>0</v>
      </c>
      <c r="G4279" s="229">
        <v>0</v>
      </c>
      <c r="H4279" s="229">
        <v>0</v>
      </c>
      <c r="I4279" s="229">
        <v>0</v>
      </c>
      <c r="J4279" s="229">
        <v>0</v>
      </c>
    </row>
    <row r="4280" spans="1:10" s="217" customFormat="1">
      <c r="A4280" s="214" t="s">
        <v>175</v>
      </c>
      <c r="B4280" s="214" t="s">
        <v>34</v>
      </c>
      <c r="C4280" s="228">
        <v>0.80416666666666603</v>
      </c>
      <c r="D4280" s="229">
        <v>0</v>
      </c>
      <c r="E4280" s="229">
        <v>0</v>
      </c>
      <c r="F4280" s="229">
        <v>0</v>
      </c>
      <c r="G4280" s="229">
        <v>0</v>
      </c>
      <c r="H4280" s="229">
        <v>0</v>
      </c>
      <c r="I4280" s="229">
        <v>0</v>
      </c>
      <c r="J4280" s="229">
        <v>0</v>
      </c>
    </row>
    <row r="4281" spans="1:10" s="217" customFormat="1">
      <c r="A4281" s="214" t="s">
        <v>175</v>
      </c>
      <c r="B4281" s="214" t="s">
        <v>34</v>
      </c>
      <c r="C4281" s="228">
        <v>0.80486111111111103</v>
      </c>
      <c r="D4281" s="229">
        <v>0</v>
      </c>
      <c r="E4281" s="229">
        <v>0</v>
      </c>
      <c r="F4281" s="229">
        <v>0</v>
      </c>
      <c r="G4281" s="229">
        <v>0</v>
      </c>
      <c r="H4281" s="229">
        <v>0</v>
      </c>
      <c r="I4281" s="229">
        <v>0</v>
      </c>
      <c r="J4281" s="229">
        <v>0</v>
      </c>
    </row>
    <row r="4282" spans="1:10" s="217" customFormat="1">
      <c r="A4282" s="214" t="s">
        <v>175</v>
      </c>
      <c r="B4282" s="214" t="s">
        <v>34</v>
      </c>
      <c r="C4282" s="228">
        <v>0.80555555555555503</v>
      </c>
      <c r="D4282" s="229">
        <v>0</v>
      </c>
      <c r="E4282" s="229">
        <v>0</v>
      </c>
      <c r="F4282" s="229">
        <v>0</v>
      </c>
      <c r="G4282" s="229">
        <v>0</v>
      </c>
      <c r="H4282" s="229">
        <v>0</v>
      </c>
      <c r="I4282" s="229">
        <v>0</v>
      </c>
      <c r="J4282" s="229">
        <v>0</v>
      </c>
    </row>
    <row r="4283" spans="1:10" s="217" customFormat="1">
      <c r="A4283" s="214" t="s">
        <v>175</v>
      </c>
      <c r="B4283" s="214" t="s">
        <v>34</v>
      </c>
      <c r="C4283" s="228">
        <v>0.80625000000000002</v>
      </c>
      <c r="D4283" s="229">
        <v>0</v>
      </c>
      <c r="E4283" s="229">
        <v>0</v>
      </c>
      <c r="F4283" s="229">
        <v>0</v>
      </c>
      <c r="G4283" s="229">
        <v>0</v>
      </c>
      <c r="H4283" s="229">
        <v>0</v>
      </c>
      <c r="I4283" s="229">
        <v>0</v>
      </c>
      <c r="J4283" s="229">
        <v>0</v>
      </c>
    </row>
    <row r="4284" spans="1:10" s="217" customFormat="1">
      <c r="A4284" s="214" t="s">
        <v>175</v>
      </c>
      <c r="B4284" s="214" t="s">
        <v>34</v>
      </c>
      <c r="C4284" s="228">
        <v>0.80694444444444402</v>
      </c>
      <c r="D4284" s="229">
        <v>0</v>
      </c>
      <c r="E4284" s="229">
        <v>0</v>
      </c>
      <c r="F4284" s="229">
        <v>0</v>
      </c>
      <c r="G4284" s="229">
        <v>0</v>
      </c>
      <c r="H4284" s="229">
        <v>0</v>
      </c>
      <c r="I4284" s="229">
        <v>0</v>
      </c>
      <c r="J4284" s="229">
        <v>0</v>
      </c>
    </row>
    <row r="4285" spans="1:10" s="217" customFormat="1">
      <c r="A4285" s="214" t="s">
        <v>175</v>
      </c>
      <c r="B4285" s="214" t="s">
        <v>34</v>
      </c>
      <c r="C4285" s="228">
        <v>0.80763888888888902</v>
      </c>
      <c r="D4285" s="229">
        <v>0</v>
      </c>
      <c r="E4285" s="229">
        <v>0</v>
      </c>
      <c r="F4285" s="229">
        <v>0</v>
      </c>
      <c r="G4285" s="229">
        <v>0</v>
      </c>
      <c r="H4285" s="229">
        <v>0</v>
      </c>
      <c r="I4285" s="229">
        <v>0</v>
      </c>
      <c r="J4285" s="229">
        <v>0</v>
      </c>
    </row>
    <row r="4286" spans="1:10" s="217" customFormat="1">
      <c r="A4286" s="214" t="s">
        <v>175</v>
      </c>
      <c r="B4286" s="214" t="s">
        <v>34</v>
      </c>
      <c r="C4286" s="228">
        <v>0.80833333333333302</v>
      </c>
      <c r="D4286" s="229">
        <v>0</v>
      </c>
      <c r="E4286" s="229">
        <v>0</v>
      </c>
      <c r="F4286" s="229">
        <v>0</v>
      </c>
      <c r="G4286" s="229">
        <v>0</v>
      </c>
      <c r="H4286" s="229">
        <v>0</v>
      </c>
      <c r="I4286" s="229">
        <v>0</v>
      </c>
      <c r="J4286" s="229">
        <v>0</v>
      </c>
    </row>
    <row r="4287" spans="1:10" s="217" customFormat="1">
      <c r="A4287" s="214" t="s">
        <v>175</v>
      </c>
      <c r="B4287" s="214" t="s">
        <v>34</v>
      </c>
      <c r="C4287" s="228">
        <v>0.80902777777777801</v>
      </c>
      <c r="D4287" s="229">
        <v>0</v>
      </c>
      <c r="E4287" s="229">
        <v>0</v>
      </c>
      <c r="F4287" s="229">
        <v>0</v>
      </c>
      <c r="G4287" s="229">
        <v>0</v>
      </c>
      <c r="H4287" s="229">
        <v>0</v>
      </c>
      <c r="I4287" s="229">
        <v>0</v>
      </c>
      <c r="J4287" s="229">
        <v>0</v>
      </c>
    </row>
    <row r="4288" spans="1:10" s="217" customFormat="1">
      <c r="A4288" s="214" t="s">
        <v>175</v>
      </c>
      <c r="B4288" s="214" t="s">
        <v>34</v>
      </c>
      <c r="C4288" s="228">
        <v>0.80972222222222201</v>
      </c>
      <c r="D4288" s="229">
        <v>0</v>
      </c>
      <c r="E4288" s="229">
        <v>0</v>
      </c>
      <c r="F4288" s="229">
        <v>0</v>
      </c>
      <c r="G4288" s="229">
        <v>0</v>
      </c>
      <c r="H4288" s="229">
        <v>0</v>
      </c>
      <c r="I4288" s="229">
        <v>0</v>
      </c>
      <c r="J4288" s="229">
        <v>0</v>
      </c>
    </row>
    <row r="4289" spans="1:10" s="217" customFormat="1">
      <c r="A4289" s="214" t="s">
        <v>175</v>
      </c>
      <c r="B4289" s="214" t="s">
        <v>34</v>
      </c>
      <c r="C4289" s="228">
        <v>0.81041666666666601</v>
      </c>
      <c r="D4289" s="229">
        <v>0</v>
      </c>
      <c r="E4289" s="229">
        <v>0</v>
      </c>
      <c r="F4289" s="229">
        <v>0</v>
      </c>
      <c r="G4289" s="229">
        <v>0</v>
      </c>
      <c r="H4289" s="229">
        <v>0</v>
      </c>
      <c r="I4289" s="229">
        <v>0</v>
      </c>
      <c r="J4289" s="229">
        <v>0</v>
      </c>
    </row>
    <row r="4290" spans="1:10" s="217" customFormat="1">
      <c r="A4290" s="214" t="s">
        <v>175</v>
      </c>
      <c r="B4290" s="214" t="s">
        <v>34</v>
      </c>
      <c r="C4290" s="228">
        <v>0.81111111111111101</v>
      </c>
      <c r="D4290" s="229">
        <v>0</v>
      </c>
      <c r="E4290" s="229">
        <v>0</v>
      </c>
      <c r="F4290" s="229">
        <v>0</v>
      </c>
      <c r="G4290" s="229">
        <v>0</v>
      </c>
      <c r="H4290" s="229">
        <v>0</v>
      </c>
      <c r="I4290" s="229">
        <v>0</v>
      </c>
      <c r="J4290" s="229">
        <v>0</v>
      </c>
    </row>
    <row r="4291" spans="1:10" s="221" customFormat="1">
      <c r="A4291" s="218" t="s">
        <v>175</v>
      </c>
      <c r="B4291" s="218" t="s">
        <v>34</v>
      </c>
      <c r="C4291" s="230">
        <v>0.811805555555555</v>
      </c>
      <c r="D4291" s="231">
        <v>0</v>
      </c>
      <c r="E4291" s="231">
        <v>0</v>
      </c>
      <c r="F4291" s="231">
        <v>0</v>
      </c>
      <c r="G4291" s="231">
        <v>0</v>
      </c>
      <c r="H4291" s="231">
        <v>0</v>
      </c>
      <c r="I4291" s="231">
        <v>0</v>
      </c>
      <c r="J4291" s="231">
        <v>0</v>
      </c>
    </row>
    <row r="4292" spans="1:10" s="217" customFormat="1">
      <c r="A4292" s="214" t="s">
        <v>175</v>
      </c>
      <c r="B4292" s="214" t="s">
        <v>34</v>
      </c>
      <c r="C4292" s="228">
        <v>0.8125</v>
      </c>
      <c r="D4292" s="229">
        <v>0</v>
      </c>
      <c r="E4292" s="229">
        <v>0</v>
      </c>
      <c r="F4292" s="229">
        <v>0</v>
      </c>
      <c r="G4292" s="229">
        <v>0</v>
      </c>
      <c r="H4292" s="229">
        <v>0</v>
      </c>
      <c r="I4292" s="229">
        <v>0</v>
      </c>
      <c r="J4292" s="229">
        <v>0</v>
      </c>
    </row>
    <row r="4293" spans="1:10" s="217" customFormat="1">
      <c r="A4293" s="214" t="s">
        <v>175</v>
      </c>
      <c r="B4293" s="214" t="s">
        <v>34</v>
      </c>
      <c r="C4293" s="228">
        <v>0.813194444444444</v>
      </c>
      <c r="D4293" s="229">
        <v>0</v>
      </c>
      <c r="E4293" s="229">
        <v>0</v>
      </c>
      <c r="F4293" s="229">
        <v>0</v>
      </c>
      <c r="G4293" s="229">
        <v>0</v>
      </c>
      <c r="H4293" s="229">
        <v>0</v>
      </c>
      <c r="I4293" s="229">
        <v>0</v>
      </c>
      <c r="J4293" s="229">
        <v>0</v>
      </c>
    </row>
    <row r="4294" spans="1:10" s="217" customFormat="1">
      <c r="A4294" s="214" t="s">
        <v>175</v>
      </c>
      <c r="B4294" s="214" t="s">
        <v>34</v>
      </c>
      <c r="C4294" s="228">
        <v>0.81388888888888899</v>
      </c>
      <c r="D4294" s="229">
        <v>0</v>
      </c>
      <c r="E4294" s="229">
        <v>0</v>
      </c>
      <c r="F4294" s="229">
        <v>0</v>
      </c>
      <c r="G4294" s="229">
        <v>0</v>
      </c>
      <c r="H4294" s="229">
        <v>0</v>
      </c>
      <c r="I4294" s="229">
        <v>0</v>
      </c>
      <c r="J4294" s="229">
        <v>0</v>
      </c>
    </row>
    <row r="4295" spans="1:10" s="217" customFormat="1">
      <c r="A4295" s="214" t="s">
        <v>175</v>
      </c>
      <c r="B4295" s="214" t="s">
        <v>34</v>
      </c>
      <c r="C4295" s="228">
        <v>0.81458333333333299</v>
      </c>
      <c r="D4295" s="229">
        <v>0</v>
      </c>
      <c r="E4295" s="229">
        <v>0</v>
      </c>
      <c r="F4295" s="229">
        <v>0</v>
      </c>
      <c r="G4295" s="229">
        <v>0</v>
      </c>
      <c r="H4295" s="229">
        <v>0</v>
      </c>
      <c r="I4295" s="229">
        <v>0</v>
      </c>
      <c r="J4295" s="229">
        <v>0</v>
      </c>
    </row>
    <row r="4296" spans="1:10" s="217" customFormat="1">
      <c r="A4296" s="214" t="s">
        <v>175</v>
      </c>
      <c r="B4296" s="214" t="s">
        <v>34</v>
      </c>
      <c r="C4296" s="228">
        <v>0.81527777777777799</v>
      </c>
      <c r="D4296" s="229">
        <v>0</v>
      </c>
      <c r="E4296" s="229">
        <v>0</v>
      </c>
      <c r="F4296" s="229">
        <v>0</v>
      </c>
      <c r="G4296" s="229">
        <v>0</v>
      </c>
      <c r="H4296" s="229">
        <v>0</v>
      </c>
      <c r="I4296" s="229">
        <v>0</v>
      </c>
      <c r="J4296" s="229">
        <v>0</v>
      </c>
    </row>
    <row r="4297" spans="1:10" s="217" customFormat="1">
      <c r="A4297" s="214" t="s">
        <v>175</v>
      </c>
      <c r="B4297" s="214" t="s">
        <v>34</v>
      </c>
      <c r="C4297" s="228">
        <v>0.81597222222222199</v>
      </c>
      <c r="D4297" s="229">
        <v>0</v>
      </c>
      <c r="E4297" s="229">
        <v>0</v>
      </c>
      <c r="F4297" s="229">
        <v>0</v>
      </c>
      <c r="G4297" s="229">
        <v>0</v>
      </c>
      <c r="H4297" s="229">
        <v>0</v>
      </c>
      <c r="I4297" s="229">
        <v>0</v>
      </c>
      <c r="J4297" s="229">
        <v>0</v>
      </c>
    </row>
    <row r="4298" spans="1:10" s="217" customFormat="1">
      <c r="A4298" s="214" t="s">
        <v>175</v>
      </c>
      <c r="B4298" s="214" t="s">
        <v>34</v>
      </c>
      <c r="C4298" s="228">
        <v>0.81666666666666599</v>
      </c>
      <c r="D4298" s="229">
        <v>0</v>
      </c>
      <c r="E4298" s="229">
        <v>0</v>
      </c>
      <c r="F4298" s="229">
        <v>0</v>
      </c>
      <c r="G4298" s="229">
        <v>0</v>
      </c>
      <c r="H4298" s="229">
        <v>0</v>
      </c>
      <c r="I4298" s="229">
        <v>0</v>
      </c>
      <c r="J4298" s="229">
        <v>0</v>
      </c>
    </row>
    <row r="4299" spans="1:10" s="217" customFormat="1">
      <c r="A4299" s="214" t="s">
        <v>175</v>
      </c>
      <c r="B4299" s="214" t="s">
        <v>34</v>
      </c>
      <c r="C4299" s="228">
        <v>0.81736111111111098</v>
      </c>
      <c r="D4299" s="229">
        <v>0</v>
      </c>
      <c r="E4299" s="229">
        <v>0</v>
      </c>
      <c r="F4299" s="229">
        <v>0</v>
      </c>
      <c r="G4299" s="229">
        <v>0</v>
      </c>
      <c r="H4299" s="229">
        <v>0</v>
      </c>
      <c r="I4299" s="229">
        <v>0</v>
      </c>
      <c r="J4299" s="229">
        <v>0</v>
      </c>
    </row>
    <row r="4300" spans="1:10" s="217" customFormat="1">
      <c r="A4300" s="214" t="s">
        <v>175</v>
      </c>
      <c r="B4300" s="214" t="s">
        <v>34</v>
      </c>
      <c r="C4300" s="228">
        <v>0.81805555555555498</v>
      </c>
      <c r="D4300" s="229">
        <v>0</v>
      </c>
      <c r="E4300" s="229">
        <v>0</v>
      </c>
      <c r="F4300" s="229">
        <v>0</v>
      </c>
      <c r="G4300" s="229">
        <v>0</v>
      </c>
      <c r="H4300" s="229">
        <v>0</v>
      </c>
      <c r="I4300" s="229">
        <v>0</v>
      </c>
      <c r="J4300" s="229">
        <v>0</v>
      </c>
    </row>
    <row r="4301" spans="1:10" s="217" customFormat="1">
      <c r="A4301" s="214" t="s">
        <v>175</v>
      </c>
      <c r="B4301" s="214" t="s">
        <v>34</v>
      </c>
      <c r="C4301" s="228">
        <v>0.81874999999999998</v>
      </c>
      <c r="D4301" s="229">
        <v>0</v>
      </c>
      <c r="E4301" s="229">
        <v>0</v>
      </c>
      <c r="F4301" s="229">
        <v>0</v>
      </c>
      <c r="G4301" s="229">
        <v>0</v>
      </c>
      <c r="H4301" s="229">
        <v>0</v>
      </c>
      <c r="I4301" s="229">
        <v>0</v>
      </c>
      <c r="J4301" s="229">
        <v>0</v>
      </c>
    </row>
    <row r="4302" spans="1:10" s="217" customFormat="1">
      <c r="A4302" s="214" t="s">
        <v>175</v>
      </c>
      <c r="B4302" s="214" t="s">
        <v>34</v>
      </c>
      <c r="C4302" s="228">
        <v>0.81944444444444398</v>
      </c>
      <c r="D4302" s="229">
        <v>0</v>
      </c>
      <c r="E4302" s="229">
        <v>0</v>
      </c>
      <c r="F4302" s="229">
        <v>0</v>
      </c>
      <c r="G4302" s="229">
        <v>0</v>
      </c>
      <c r="H4302" s="229">
        <v>0</v>
      </c>
      <c r="I4302" s="229">
        <v>0</v>
      </c>
      <c r="J4302" s="229">
        <v>0</v>
      </c>
    </row>
    <row r="4303" spans="1:10" s="217" customFormat="1">
      <c r="A4303" s="214" t="s">
        <v>175</v>
      </c>
      <c r="B4303" s="214" t="s">
        <v>34</v>
      </c>
      <c r="C4303" s="228">
        <v>0.82013888888888897</v>
      </c>
      <c r="D4303" s="229">
        <v>0</v>
      </c>
      <c r="E4303" s="229">
        <v>0</v>
      </c>
      <c r="F4303" s="229">
        <v>0</v>
      </c>
      <c r="G4303" s="229">
        <v>0</v>
      </c>
      <c r="H4303" s="229">
        <v>0</v>
      </c>
      <c r="I4303" s="229">
        <v>0</v>
      </c>
      <c r="J4303" s="229">
        <v>0</v>
      </c>
    </row>
    <row r="4304" spans="1:10" s="217" customFormat="1">
      <c r="A4304" s="214" t="s">
        <v>175</v>
      </c>
      <c r="B4304" s="214" t="s">
        <v>34</v>
      </c>
      <c r="C4304" s="228">
        <v>0.82083333333333297</v>
      </c>
      <c r="D4304" s="229">
        <v>0</v>
      </c>
      <c r="E4304" s="229">
        <v>0</v>
      </c>
      <c r="F4304" s="229">
        <v>0</v>
      </c>
      <c r="G4304" s="229">
        <v>0</v>
      </c>
      <c r="H4304" s="229">
        <v>0</v>
      </c>
      <c r="I4304" s="229">
        <v>0</v>
      </c>
      <c r="J4304" s="229">
        <v>0</v>
      </c>
    </row>
    <row r="4305" spans="1:10" s="217" customFormat="1">
      <c r="A4305" s="214" t="s">
        <v>175</v>
      </c>
      <c r="B4305" s="214" t="s">
        <v>34</v>
      </c>
      <c r="C4305" s="228">
        <v>0.82152777777777797</v>
      </c>
      <c r="D4305" s="229">
        <v>0</v>
      </c>
      <c r="E4305" s="229">
        <v>0</v>
      </c>
      <c r="F4305" s="229">
        <v>0</v>
      </c>
      <c r="G4305" s="229">
        <v>0</v>
      </c>
      <c r="H4305" s="229">
        <v>0</v>
      </c>
      <c r="I4305" s="229">
        <v>0</v>
      </c>
      <c r="J4305" s="229">
        <v>0</v>
      </c>
    </row>
    <row r="4306" spans="1:10" s="221" customFormat="1">
      <c r="A4306" s="218" t="s">
        <v>175</v>
      </c>
      <c r="B4306" s="218" t="s">
        <v>34</v>
      </c>
      <c r="C4306" s="230">
        <v>0.82222222222222197</v>
      </c>
      <c r="D4306" s="231">
        <v>0</v>
      </c>
      <c r="E4306" s="231">
        <v>0</v>
      </c>
      <c r="F4306" s="231">
        <v>0</v>
      </c>
      <c r="G4306" s="231">
        <v>0</v>
      </c>
      <c r="H4306" s="231">
        <v>0</v>
      </c>
      <c r="I4306" s="231">
        <v>0</v>
      </c>
      <c r="J4306" s="231">
        <v>0</v>
      </c>
    </row>
    <row r="4307" spans="1:10" s="217" customFormat="1">
      <c r="A4307" s="214" t="s">
        <v>175</v>
      </c>
      <c r="B4307" s="214" t="s">
        <v>34</v>
      </c>
      <c r="C4307" s="228">
        <v>0.82291666666666596</v>
      </c>
      <c r="D4307" s="229">
        <v>0</v>
      </c>
      <c r="E4307" s="229">
        <v>0</v>
      </c>
      <c r="F4307" s="229">
        <v>0</v>
      </c>
      <c r="G4307" s="229">
        <v>0</v>
      </c>
      <c r="H4307" s="229">
        <v>0</v>
      </c>
      <c r="I4307" s="229">
        <v>0</v>
      </c>
      <c r="J4307" s="229">
        <v>0</v>
      </c>
    </row>
    <row r="4308" spans="1:10" s="217" customFormat="1">
      <c r="A4308" s="214" t="s">
        <v>175</v>
      </c>
      <c r="B4308" s="214" t="s">
        <v>34</v>
      </c>
      <c r="C4308" s="228">
        <v>0.82361111111111096</v>
      </c>
      <c r="D4308" s="229">
        <v>0</v>
      </c>
      <c r="E4308" s="229">
        <v>0</v>
      </c>
      <c r="F4308" s="229">
        <v>0</v>
      </c>
      <c r="G4308" s="229">
        <v>0</v>
      </c>
      <c r="H4308" s="229">
        <v>0</v>
      </c>
      <c r="I4308" s="229">
        <v>0</v>
      </c>
      <c r="J4308" s="229">
        <v>0</v>
      </c>
    </row>
    <row r="4309" spans="1:10" s="217" customFormat="1">
      <c r="A4309" s="214" t="s">
        <v>175</v>
      </c>
      <c r="B4309" s="214" t="s">
        <v>34</v>
      </c>
      <c r="C4309" s="228">
        <v>0.82430555555555496</v>
      </c>
      <c r="D4309" s="229">
        <v>0</v>
      </c>
      <c r="E4309" s="229">
        <v>0</v>
      </c>
      <c r="F4309" s="229">
        <v>0</v>
      </c>
      <c r="G4309" s="229">
        <v>0</v>
      </c>
      <c r="H4309" s="229">
        <v>0</v>
      </c>
      <c r="I4309" s="229">
        <v>0</v>
      </c>
      <c r="J4309" s="229">
        <v>0</v>
      </c>
    </row>
    <row r="4310" spans="1:10" s="217" customFormat="1">
      <c r="A4310" s="214" t="s">
        <v>175</v>
      </c>
      <c r="B4310" s="214" t="s">
        <v>34</v>
      </c>
      <c r="C4310" s="228">
        <v>0.82499999999999996</v>
      </c>
      <c r="D4310" s="229">
        <v>0</v>
      </c>
      <c r="E4310" s="229">
        <v>0</v>
      </c>
      <c r="F4310" s="229">
        <v>0</v>
      </c>
      <c r="G4310" s="229">
        <v>0</v>
      </c>
      <c r="H4310" s="229">
        <v>0</v>
      </c>
      <c r="I4310" s="229">
        <v>0</v>
      </c>
      <c r="J4310" s="229">
        <v>0</v>
      </c>
    </row>
    <row r="4311" spans="1:10" s="217" customFormat="1">
      <c r="A4311" s="214" t="s">
        <v>175</v>
      </c>
      <c r="B4311" s="214" t="s">
        <v>34</v>
      </c>
      <c r="C4311" s="228">
        <v>0.82569444444444395</v>
      </c>
      <c r="D4311" s="229">
        <v>0</v>
      </c>
      <c r="E4311" s="229">
        <v>0</v>
      </c>
      <c r="F4311" s="229">
        <v>0</v>
      </c>
      <c r="G4311" s="229">
        <v>0</v>
      </c>
      <c r="H4311" s="229">
        <v>0</v>
      </c>
      <c r="I4311" s="229">
        <v>0</v>
      </c>
      <c r="J4311" s="229">
        <v>0</v>
      </c>
    </row>
    <row r="4312" spans="1:10" s="217" customFormat="1">
      <c r="A4312" s="214" t="s">
        <v>175</v>
      </c>
      <c r="B4312" s="214" t="s">
        <v>34</v>
      </c>
      <c r="C4312" s="228">
        <v>0.82638888888888895</v>
      </c>
      <c r="D4312" s="229">
        <v>0</v>
      </c>
      <c r="E4312" s="229">
        <v>0</v>
      </c>
      <c r="F4312" s="229">
        <v>0</v>
      </c>
      <c r="G4312" s="229">
        <v>0</v>
      </c>
      <c r="H4312" s="229">
        <v>0</v>
      </c>
      <c r="I4312" s="229">
        <v>0</v>
      </c>
      <c r="J4312" s="229">
        <v>0</v>
      </c>
    </row>
    <row r="4313" spans="1:10" s="217" customFormat="1">
      <c r="A4313" s="214" t="s">
        <v>175</v>
      </c>
      <c r="B4313" s="214" t="s">
        <v>34</v>
      </c>
      <c r="C4313" s="228">
        <v>0.82708333333333295</v>
      </c>
      <c r="D4313" s="229">
        <v>0</v>
      </c>
      <c r="E4313" s="229">
        <v>0</v>
      </c>
      <c r="F4313" s="229">
        <v>0</v>
      </c>
      <c r="G4313" s="229">
        <v>0</v>
      </c>
      <c r="H4313" s="229">
        <v>0</v>
      </c>
      <c r="I4313" s="229">
        <v>0</v>
      </c>
      <c r="J4313" s="229">
        <v>0</v>
      </c>
    </row>
    <row r="4314" spans="1:10" s="217" customFormat="1">
      <c r="A4314" s="214" t="s">
        <v>175</v>
      </c>
      <c r="B4314" s="214" t="s">
        <v>34</v>
      </c>
      <c r="C4314" s="228">
        <v>0.82777777777777795</v>
      </c>
      <c r="D4314" s="229">
        <v>0</v>
      </c>
      <c r="E4314" s="229">
        <v>0</v>
      </c>
      <c r="F4314" s="229">
        <v>0</v>
      </c>
      <c r="G4314" s="229">
        <v>0</v>
      </c>
      <c r="H4314" s="229">
        <v>0</v>
      </c>
      <c r="I4314" s="229">
        <v>0</v>
      </c>
      <c r="J4314" s="229">
        <v>0</v>
      </c>
    </row>
    <row r="4315" spans="1:10" s="217" customFormat="1">
      <c r="A4315" s="214" t="s">
        <v>175</v>
      </c>
      <c r="B4315" s="214" t="s">
        <v>34</v>
      </c>
      <c r="C4315" s="228">
        <v>0.82847222222222205</v>
      </c>
      <c r="D4315" s="229">
        <v>0</v>
      </c>
      <c r="E4315" s="229">
        <v>0</v>
      </c>
      <c r="F4315" s="229">
        <v>0</v>
      </c>
      <c r="G4315" s="229">
        <v>0</v>
      </c>
      <c r="H4315" s="229">
        <v>0</v>
      </c>
      <c r="I4315" s="229">
        <v>0</v>
      </c>
      <c r="J4315" s="229">
        <v>0</v>
      </c>
    </row>
    <row r="4316" spans="1:10" s="217" customFormat="1">
      <c r="A4316" s="214" t="s">
        <v>175</v>
      </c>
      <c r="B4316" s="214" t="s">
        <v>34</v>
      </c>
      <c r="C4316" s="228">
        <v>0.82916666666666605</v>
      </c>
      <c r="D4316" s="229">
        <v>0</v>
      </c>
      <c r="E4316" s="229">
        <v>0</v>
      </c>
      <c r="F4316" s="229">
        <v>0</v>
      </c>
      <c r="G4316" s="229">
        <v>0</v>
      </c>
      <c r="H4316" s="229">
        <v>0</v>
      </c>
      <c r="I4316" s="229">
        <v>0</v>
      </c>
      <c r="J4316" s="229">
        <v>0</v>
      </c>
    </row>
    <row r="4317" spans="1:10" s="217" customFormat="1">
      <c r="A4317" s="214" t="s">
        <v>175</v>
      </c>
      <c r="B4317" s="214" t="s">
        <v>34</v>
      </c>
      <c r="C4317" s="228">
        <v>0.82986111111111105</v>
      </c>
      <c r="D4317" s="229">
        <v>0</v>
      </c>
      <c r="E4317" s="229">
        <v>0</v>
      </c>
      <c r="F4317" s="229">
        <v>0</v>
      </c>
      <c r="G4317" s="229">
        <v>0</v>
      </c>
      <c r="H4317" s="229">
        <v>0</v>
      </c>
      <c r="I4317" s="229">
        <v>0</v>
      </c>
      <c r="J4317" s="229">
        <v>0</v>
      </c>
    </row>
    <row r="4318" spans="1:10" s="217" customFormat="1">
      <c r="A4318" s="214" t="s">
        <v>175</v>
      </c>
      <c r="B4318" s="214" t="s">
        <v>34</v>
      </c>
      <c r="C4318" s="228">
        <v>0.83055555555555505</v>
      </c>
      <c r="D4318" s="229">
        <v>0</v>
      </c>
      <c r="E4318" s="229">
        <v>0</v>
      </c>
      <c r="F4318" s="229">
        <v>0</v>
      </c>
      <c r="G4318" s="229">
        <v>0</v>
      </c>
      <c r="H4318" s="229">
        <v>0</v>
      </c>
      <c r="I4318" s="229">
        <v>0</v>
      </c>
      <c r="J4318" s="229">
        <v>0</v>
      </c>
    </row>
    <row r="4319" spans="1:10" s="217" customFormat="1">
      <c r="A4319" s="214" t="s">
        <v>175</v>
      </c>
      <c r="B4319" s="214" t="s">
        <v>34</v>
      </c>
      <c r="C4319" s="228">
        <v>0.83125000000000004</v>
      </c>
      <c r="D4319" s="229">
        <v>0</v>
      </c>
      <c r="E4319" s="229">
        <v>0</v>
      </c>
      <c r="F4319" s="229">
        <v>0</v>
      </c>
      <c r="G4319" s="229">
        <v>0</v>
      </c>
      <c r="H4319" s="229">
        <v>0</v>
      </c>
      <c r="I4319" s="229">
        <v>0</v>
      </c>
      <c r="J4319" s="229">
        <v>0</v>
      </c>
    </row>
    <row r="4320" spans="1:10" s="217" customFormat="1">
      <c r="A4320" s="214" t="s">
        <v>175</v>
      </c>
      <c r="B4320" s="214" t="s">
        <v>34</v>
      </c>
      <c r="C4320" s="228">
        <v>0.83194444444444404</v>
      </c>
      <c r="D4320" s="229">
        <v>0</v>
      </c>
      <c r="E4320" s="229">
        <v>0</v>
      </c>
      <c r="F4320" s="229">
        <v>0</v>
      </c>
      <c r="G4320" s="229">
        <v>0</v>
      </c>
      <c r="H4320" s="229">
        <v>0</v>
      </c>
      <c r="I4320" s="229">
        <v>0</v>
      </c>
      <c r="J4320" s="229">
        <v>0</v>
      </c>
    </row>
    <row r="4321" spans="1:10" s="227" customFormat="1" ht="17.5" thickBot="1">
      <c r="A4321" s="224" t="s">
        <v>175</v>
      </c>
      <c r="B4321" s="224" t="s">
        <v>34</v>
      </c>
      <c r="C4321" s="232">
        <v>0.83263888888888904</v>
      </c>
      <c r="D4321" s="233">
        <v>0</v>
      </c>
      <c r="E4321" s="233">
        <v>0</v>
      </c>
      <c r="F4321" s="233">
        <v>0</v>
      </c>
      <c r="G4321" s="233">
        <v>0</v>
      </c>
      <c r="H4321" s="233">
        <v>0</v>
      </c>
      <c r="I4321" s="233">
        <v>0</v>
      </c>
      <c r="J4321" s="233">
        <v>0</v>
      </c>
    </row>
    <row r="4322" spans="1:10" s="217" customFormat="1">
      <c r="A4322" s="214" t="s">
        <v>175</v>
      </c>
      <c r="B4322" s="214" t="s">
        <v>35</v>
      </c>
      <c r="C4322" s="228">
        <v>0.66666666666666663</v>
      </c>
      <c r="D4322" s="229">
        <v>0</v>
      </c>
      <c r="E4322" s="229">
        <v>0</v>
      </c>
      <c r="F4322" s="229">
        <v>0</v>
      </c>
      <c r="G4322" s="229">
        <v>0</v>
      </c>
      <c r="H4322" s="229">
        <v>0</v>
      </c>
      <c r="I4322" s="229">
        <v>0</v>
      </c>
      <c r="J4322" s="229">
        <v>0</v>
      </c>
    </row>
    <row r="4323" spans="1:10" s="217" customFormat="1">
      <c r="A4323" s="214" t="s">
        <v>175</v>
      </c>
      <c r="B4323" s="214" t="s">
        <v>35</v>
      </c>
      <c r="C4323" s="228">
        <v>0.66736111111111107</v>
      </c>
      <c r="D4323" s="229">
        <v>0</v>
      </c>
      <c r="E4323" s="229">
        <v>0</v>
      </c>
      <c r="F4323" s="229">
        <v>0</v>
      </c>
      <c r="G4323" s="229">
        <v>0</v>
      </c>
      <c r="H4323" s="229">
        <v>0</v>
      </c>
      <c r="I4323" s="229">
        <v>0</v>
      </c>
      <c r="J4323" s="229">
        <v>0</v>
      </c>
    </row>
    <row r="4324" spans="1:10" s="217" customFormat="1">
      <c r="A4324" s="214" t="s">
        <v>175</v>
      </c>
      <c r="B4324" s="214" t="s">
        <v>35</v>
      </c>
      <c r="C4324" s="228">
        <v>0.66805555555555596</v>
      </c>
      <c r="D4324" s="229">
        <v>0</v>
      </c>
      <c r="E4324" s="229">
        <v>0</v>
      </c>
      <c r="F4324" s="229">
        <v>0</v>
      </c>
      <c r="G4324" s="229">
        <v>0</v>
      </c>
      <c r="H4324" s="229">
        <v>0</v>
      </c>
      <c r="I4324" s="229">
        <v>0</v>
      </c>
      <c r="J4324" s="229">
        <v>0</v>
      </c>
    </row>
    <row r="4325" spans="1:10" s="217" customFormat="1">
      <c r="A4325" s="214" t="s">
        <v>175</v>
      </c>
      <c r="B4325" s="214" t="s">
        <v>35</v>
      </c>
      <c r="C4325" s="228">
        <v>0.66874999999999996</v>
      </c>
      <c r="D4325" s="229">
        <v>0</v>
      </c>
      <c r="E4325" s="229">
        <v>0</v>
      </c>
      <c r="F4325" s="229">
        <v>0</v>
      </c>
      <c r="G4325" s="229">
        <v>0</v>
      </c>
      <c r="H4325" s="229">
        <v>0</v>
      </c>
      <c r="I4325" s="229">
        <v>0</v>
      </c>
      <c r="J4325" s="229">
        <v>0</v>
      </c>
    </row>
    <row r="4326" spans="1:10" s="217" customFormat="1">
      <c r="A4326" s="214" t="s">
        <v>175</v>
      </c>
      <c r="B4326" s="214" t="s">
        <v>35</v>
      </c>
      <c r="C4326" s="228">
        <v>0.66944444444444395</v>
      </c>
      <c r="D4326" s="229">
        <v>0</v>
      </c>
      <c r="E4326" s="229">
        <v>0</v>
      </c>
      <c r="F4326" s="229">
        <v>0</v>
      </c>
      <c r="G4326" s="229">
        <v>0</v>
      </c>
      <c r="H4326" s="229">
        <v>0</v>
      </c>
      <c r="I4326" s="229">
        <v>0</v>
      </c>
      <c r="J4326" s="229">
        <v>0</v>
      </c>
    </row>
    <row r="4327" spans="1:10" s="217" customFormat="1">
      <c r="A4327" s="214" t="s">
        <v>175</v>
      </c>
      <c r="B4327" s="214" t="s">
        <v>35</v>
      </c>
      <c r="C4327" s="228">
        <v>0.67013888888888895</v>
      </c>
      <c r="D4327" s="229">
        <v>0</v>
      </c>
      <c r="E4327" s="229">
        <v>0</v>
      </c>
      <c r="F4327" s="229">
        <v>0</v>
      </c>
      <c r="G4327" s="229">
        <v>0</v>
      </c>
      <c r="H4327" s="229">
        <v>0</v>
      </c>
      <c r="I4327" s="229">
        <v>0</v>
      </c>
      <c r="J4327" s="229">
        <v>0</v>
      </c>
    </row>
    <row r="4328" spans="1:10" s="217" customFormat="1">
      <c r="A4328" s="214" t="s">
        <v>175</v>
      </c>
      <c r="B4328" s="214" t="s">
        <v>35</v>
      </c>
      <c r="C4328" s="228">
        <v>0.67083333333333295</v>
      </c>
      <c r="D4328" s="229">
        <v>0</v>
      </c>
      <c r="E4328" s="229">
        <v>0</v>
      </c>
      <c r="F4328" s="229">
        <v>0</v>
      </c>
      <c r="G4328" s="229">
        <v>0</v>
      </c>
      <c r="H4328" s="229">
        <v>0</v>
      </c>
      <c r="I4328" s="229">
        <v>0</v>
      </c>
      <c r="J4328" s="229">
        <v>0</v>
      </c>
    </row>
    <row r="4329" spans="1:10" s="217" customFormat="1">
      <c r="A4329" s="214" t="s">
        <v>175</v>
      </c>
      <c r="B4329" s="214" t="s">
        <v>35</v>
      </c>
      <c r="C4329" s="228">
        <v>0.67152777777777795</v>
      </c>
      <c r="D4329" s="229">
        <v>0</v>
      </c>
      <c r="E4329" s="229">
        <v>0</v>
      </c>
      <c r="F4329" s="229">
        <v>0</v>
      </c>
      <c r="G4329" s="229">
        <v>0</v>
      </c>
      <c r="H4329" s="229">
        <v>0</v>
      </c>
      <c r="I4329" s="229">
        <v>0</v>
      </c>
      <c r="J4329" s="229">
        <v>0</v>
      </c>
    </row>
    <row r="4330" spans="1:10" s="217" customFormat="1">
      <c r="A4330" s="214" t="s">
        <v>175</v>
      </c>
      <c r="B4330" s="214" t="s">
        <v>35</v>
      </c>
      <c r="C4330" s="228">
        <v>0.67222222222222205</v>
      </c>
      <c r="D4330" s="229">
        <v>0</v>
      </c>
      <c r="E4330" s="229">
        <v>0</v>
      </c>
      <c r="F4330" s="229">
        <v>0</v>
      </c>
      <c r="G4330" s="229">
        <v>0</v>
      </c>
      <c r="H4330" s="229">
        <v>0</v>
      </c>
      <c r="I4330" s="229">
        <v>0</v>
      </c>
      <c r="J4330" s="229">
        <v>0</v>
      </c>
    </row>
    <row r="4331" spans="1:10" s="217" customFormat="1">
      <c r="A4331" s="214" t="s">
        <v>175</v>
      </c>
      <c r="B4331" s="214" t="s">
        <v>35</v>
      </c>
      <c r="C4331" s="228">
        <v>0.67291666666666705</v>
      </c>
      <c r="D4331" s="229">
        <v>0</v>
      </c>
      <c r="E4331" s="229">
        <v>0</v>
      </c>
      <c r="F4331" s="229">
        <v>0</v>
      </c>
      <c r="G4331" s="229">
        <v>0</v>
      </c>
      <c r="H4331" s="229">
        <v>0</v>
      </c>
      <c r="I4331" s="229">
        <v>0</v>
      </c>
      <c r="J4331" s="229">
        <v>0</v>
      </c>
    </row>
    <row r="4332" spans="1:10" s="217" customFormat="1">
      <c r="A4332" s="214" t="s">
        <v>175</v>
      </c>
      <c r="B4332" s="214" t="s">
        <v>35</v>
      </c>
      <c r="C4332" s="228">
        <v>0.67361111111111105</v>
      </c>
      <c r="D4332" s="229">
        <v>0</v>
      </c>
      <c r="E4332" s="229">
        <v>0</v>
      </c>
      <c r="F4332" s="229">
        <v>0</v>
      </c>
      <c r="G4332" s="229">
        <v>0</v>
      </c>
      <c r="H4332" s="229">
        <v>0</v>
      </c>
      <c r="I4332" s="229">
        <v>0</v>
      </c>
      <c r="J4332" s="229">
        <v>0</v>
      </c>
    </row>
    <row r="4333" spans="1:10" s="217" customFormat="1">
      <c r="A4333" s="214" t="s">
        <v>175</v>
      </c>
      <c r="B4333" s="214" t="s">
        <v>35</v>
      </c>
      <c r="C4333" s="228">
        <v>0.67430555555555505</v>
      </c>
      <c r="D4333" s="229">
        <v>0</v>
      </c>
      <c r="E4333" s="229">
        <v>0</v>
      </c>
      <c r="F4333" s="229">
        <v>0</v>
      </c>
      <c r="G4333" s="229">
        <v>0</v>
      </c>
      <c r="H4333" s="229">
        <v>0</v>
      </c>
      <c r="I4333" s="229">
        <v>0</v>
      </c>
      <c r="J4333" s="229">
        <v>0</v>
      </c>
    </row>
    <row r="4334" spans="1:10" s="217" customFormat="1">
      <c r="A4334" s="214" t="s">
        <v>175</v>
      </c>
      <c r="B4334" s="214" t="s">
        <v>35</v>
      </c>
      <c r="C4334" s="228">
        <v>0.67500000000000004</v>
      </c>
      <c r="D4334" s="229">
        <v>0</v>
      </c>
      <c r="E4334" s="229">
        <v>0</v>
      </c>
      <c r="F4334" s="229">
        <v>0</v>
      </c>
      <c r="G4334" s="229">
        <v>0</v>
      </c>
      <c r="H4334" s="229">
        <v>0</v>
      </c>
      <c r="I4334" s="229">
        <v>0</v>
      </c>
      <c r="J4334" s="229">
        <v>0</v>
      </c>
    </row>
    <row r="4335" spans="1:10" s="217" customFormat="1">
      <c r="A4335" s="214" t="s">
        <v>175</v>
      </c>
      <c r="B4335" s="214" t="s">
        <v>35</v>
      </c>
      <c r="C4335" s="228">
        <v>0.67569444444444404</v>
      </c>
      <c r="D4335" s="229">
        <v>0</v>
      </c>
      <c r="E4335" s="229">
        <v>0</v>
      </c>
      <c r="F4335" s="229">
        <v>0</v>
      </c>
      <c r="G4335" s="229">
        <v>0</v>
      </c>
      <c r="H4335" s="229">
        <v>0</v>
      </c>
      <c r="I4335" s="229">
        <v>0</v>
      </c>
      <c r="J4335" s="229">
        <v>0</v>
      </c>
    </row>
    <row r="4336" spans="1:10" s="221" customFormat="1">
      <c r="A4336" s="218" t="s">
        <v>175</v>
      </c>
      <c r="B4336" s="218" t="s">
        <v>35</v>
      </c>
      <c r="C4336" s="230">
        <v>0.67638888888888904</v>
      </c>
      <c r="D4336" s="231">
        <v>0</v>
      </c>
      <c r="E4336" s="231">
        <v>0</v>
      </c>
      <c r="F4336" s="231">
        <v>0</v>
      </c>
      <c r="G4336" s="231">
        <v>0</v>
      </c>
      <c r="H4336" s="231">
        <v>0</v>
      </c>
      <c r="I4336" s="231">
        <v>0</v>
      </c>
      <c r="J4336" s="231">
        <v>0</v>
      </c>
    </row>
    <row r="4337" spans="1:10" s="217" customFormat="1">
      <c r="A4337" s="214" t="s">
        <v>175</v>
      </c>
      <c r="B4337" s="214" t="s">
        <v>35</v>
      </c>
      <c r="C4337" s="228">
        <v>0.67708333333333304</v>
      </c>
      <c r="D4337" s="229">
        <v>0</v>
      </c>
      <c r="E4337" s="229">
        <v>0</v>
      </c>
      <c r="F4337" s="229">
        <v>0</v>
      </c>
      <c r="G4337" s="229">
        <v>0</v>
      </c>
      <c r="H4337" s="229">
        <v>0</v>
      </c>
      <c r="I4337" s="229">
        <v>0</v>
      </c>
      <c r="J4337" s="229">
        <v>0</v>
      </c>
    </row>
    <row r="4338" spans="1:10" s="217" customFormat="1">
      <c r="A4338" s="214" t="s">
        <v>175</v>
      </c>
      <c r="B4338" s="214" t="s">
        <v>35</v>
      </c>
      <c r="C4338" s="228">
        <v>0.67777777777777803</v>
      </c>
      <c r="D4338" s="229">
        <v>0</v>
      </c>
      <c r="E4338" s="229">
        <v>0</v>
      </c>
      <c r="F4338" s="229">
        <v>0</v>
      </c>
      <c r="G4338" s="229">
        <v>0</v>
      </c>
      <c r="H4338" s="229">
        <v>0</v>
      </c>
      <c r="I4338" s="229">
        <v>0</v>
      </c>
      <c r="J4338" s="229">
        <v>0</v>
      </c>
    </row>
    <row r="4339" spans="1:10" s="217" customFormat="1">
      <c r="A4339" s="214" t="s">
        <v>175</v>
      </c>
      <c r="B4339" s="214" t="s">
        <v>35</v>
      </c>
      <c r="C4339" s="228">
        <v>0.67847222222222203</v>
      </c>
      <c r="D4339" s="229">
        <v>0</v>
      </c>
      <c r="E4339" s="229">
        <v>0</v>
      </c>
      <c r="F4339" s="229">
        <v>0</v>
      </c>
      <c r="G4339" s="229">
        <v>0</v>
      </c>
      <c r="H4339" s="229">
        <v>0</v>
      </c>
      <c r="I4339" s="229">
        <v>0</v>
      </c>
      <c r="J4339" s="229">
        <v>0</v>
      </c>
    </row>
    <row r="4340" spans="1:10" s="217" customFormat="1">
      <c r="A4340" s="214" t="s">
        <v>175</v>
      </c>
      <c r="B4340" s="214" t="s">
        <v>35</v>
      </c>
      <c r="C4340" s="228">
        <v>0.67916666666666703</v>
      </c>
      <c r="D4340" s="229">
        <v>0</v>
      </c>
      <c r="E4340" s="229">
        <v>0</v>
      </c>
      <c r="F4340" s="229">
        <v>0</v>
      </c>
      <c r="G4340" s="229">
        <v>0</v>
      </c>
      <c r="H4340" s="229">
        <v>0</v>
      </c>
      <c r="I4340" s="229">
        <v>0</v>
      </c>
      <c r="J4340" s="229">
        <v>0</v>
      </c>
    </row>
    <row r="4341" spans="1:10" s="217" customFormat="1">
      <c r="A4341" s="214" t="s">
        <v>175</v>
      </c>
      <c r="B4341" s="214" t="s">
        <v>35</v>
      </c>
      <c r="C4341" s="228">
        <v>0.67986111111111103</v>
      </c>
      <c r="D4341" s="229">
        <v>0</v>
      </c>
      <c r="E4341" s="229">
        <v>0</v>
      </c>
      <c r="F4341" s="229">
        <v>0</v>
      </c>
      <c r="G4341" s="229">
        <v>0</v>
      </c>
      <c r="H4341" s="229">
        <v>0</v>
      </c>
      <c r="I4341" s="229">
        <v>0</v>
      </c>
      <c r="J4341" s="229">
        <v>0</v>
      </c>
    </row>
    <row r="4342" spans="1:10" s="217" customFormat="1">
      <c r="A4342" s="214" t="s">
        <v>175</v>
      </c>
      <c r="B4342" s="214" t="s">
        <v>35</v>
      </c>
      <c r="C4342" s="228">
        <v>0.68055555555555503</v>
      </c>
      <c r="D4342" s="229">
        <v>0</v>
      </c>
      <c r="E4342" s="229">
        <v>0</v>
      </c>
      <c r="F4342" s="229">
        <v>0</v>
      </c>
      <c r="G4342" s="229">
        <v>0</v>
      </c>
      <c r="H4342" s="229">
        <v>0</v>
      </c>
      <c r="I4342" s="229">
        <v>0</v>
      </c>
      <c r="J4342" s="229">
        <v>0</v>
      </c>
    </row>
    <row r="4343" spans="1:10" s="217" customFormat="1">
      <c r="A4343" s="214" t="s">
        <v>175</v>
      </c>
      <c r="B4343" s="214" t="s">
        <v>35</v>
      </c>
      <c r="C4343" s="228">
        <v>0.68125000000000002</v>
      </c>
      <c r="D4343" s="229">
        <v>0</v>
      </c>
      <c r="E4343" s="229">
        <v>0</v>
      </c>
      <c r="F4343" s="229">
        <v>0</v>
      </c>
      <c r="G4343" s="229">
        <v>0</v>
      </c>
      <c r="H4343" s="229">
        <v>0</v>
      </c>
      <c r="I4343" s="229">
        <v>0</v>
      </c>
      <c r="J4343" s="229">
        <v>0</v>
      </c>
    </row>
    <row r="4344" spans="1:10" s="217" customFormat="1">
      <c r="A4344" s="214" t="s">
        <v>175</v>
      </c>
      <c r="B4344" s="214" t="s">
        <v>35</v>
      </c>
      <c r="C4344" s="228">
        <v>0.68194444444444402</v>
      </c>
      <c r="D4344" s="229">
        <v>0</v>
      </c>
      <c r="E4344" s="229">
        <v>0</v>
      </c>
      <c r="F4344" s="229">
        <v>0</v>
      </c>
      <c r="G4344" s="229">
        <v>0</v>
      </c>
      <c r="H4344" s="229">
        <v>0</v>
      </c>
      <c r="I4344" s="229">
        <v>0</v>
      </c>
      <c r="J4344" s="229">
        <v>0</v>
      </c>
    </row>
    <row r="4345" spans="1:10" s="217" customFormat="1">
      <c r="A4345" s="214" t="s">
        <v>175</v>
      </c>
      <c r="B4345" s="214" t="s">
        <v>35</v>
      </c>
      <c r="C4345" s="228">
        <v>0.68263888888888902</v>
      </c>
      <c r="D4345" s="229">
        <v>0</v>
      </c>
      <c r="E4345" s="229">
        <v>0</v>
      </c>
      <c r="F4345" s="229">
        <v>0</v>
      </c>
      <c r="G4345" s="229">
        <v>0</v>
      </c>
      <c r="H4345" s="229">
        <v>0</v>
      </c>
      <c r="I4345" s="229">
        <v>0</v>
      </c>
      <c r="J4345" s="229">
        <v>0</v>
      </c>
    </row>
    <row r="4346" spans="1:10" s="217" customFormat="1">
      <c r="A4346" s="214" t="s">
        <v>175</v>
      </c>
      <c r="B4346" s="214" t="s">
        <v>35</v>
      </c>
      <c r="C4346" s="228">
        <v>0.68333333333333302</v>
      </c>
      <c r="D4346" s="229">
        <v>0</v>
      </c>
      <c r="E4346" s="229">
        <v>0</v>
      </c>
      <c r="F4346" s="229">
        <v>0</v>
      </c>
      <c r="G4346" s="229">
        <v>0</v>
      </c>
      <c r="H4346" s="229">
        <v>0</v>
      </c>
      <c r="I4346" s="229">
        <v>0</v>
      </c>
      <c r="J4346" s="229">
        <v>0</v>
      </c>
    </row>
    <row r="4347" spans="1:10" s="217" customFormat="1">
      <c r="A4347" s="214" t="s">
        <v>175</v>
      </c>
      <c r="B4347" s="214" t="s">
        <v>35</v>
      </c>
      <c r="C4347" s="228">
        <v>0.68402777777777801</v>
      </c>
      <c r="D4347" s="229">
        <v>0</v>
      </c>
      <c r="E4347" s="229">
        <v>0</v>
      </c>
      <c r="F4347" s="229">
        <v>0</v>
      </c>
      <c r="G4347" s="229">
        <v>0</v>
      </c>
      <c r="H4347" s="229">
        <v>0</v>
      </c>
      <c r="I4347" s="229">
        <v>0</v>
      </c>
      <c r="J4347" s="229">
        <v>0</v>
      </c>
    </row>
    <row r="4348" spans="1:10" s="217" customFormat="1">
      <c r="A4348" s="214" t="s">
        <v>175</v>
      </c>
      <c r="B4348" s="214" t="s">
        <v>35</v>
      </c>
      <c r="C4348" s="228">
        <v>0.68472222222222201</v>
      </c>
      <c r="D4348" s="229">
        <v>0</v>
      </c>
      <c r="E4348" s="229">
        <v>0</v>
      </c>
      <c r="F4348" s="229">
        <v>0</v>
      </c>
      <c r="G4348" s="229">
        <v>0</v>
      </c>
      <c r="H4348" s="229">
        <v>0</v>
      </c>
      <c r="I4348" s="229">
        <v>0</v>
      </c>
      <c r="J4348" s="229">
        <v>0</v>
      </c>
    </row>
    <row r="4349" spans="1:10" s="217" customFormat="1">
      <c r="A4349" s="214" t="s">
        <v>175</v>
      </c>
      <c r="B4349" s="214" t="s">
        <v>35</v>
      </c>
      <c r="C4349" s="228">
        <v>0.68541666666666701</v>
      </c>
      <c r="D4349" s="229">
        <v>0</v>
      </c>
      <c r="E4349" s="229">
        <v>0</v>
      </c>
      <c r="F4349" s="229">
        <v>0</v>
      </c>
      <c r="G4349" s="229">
        <v>0</v>
      </c>
      <c r="H4349" s="229">
        <v>0</v>
      </c>
      <c r="I4349" s="229">
        <v>0</v>
      </c>
      <c r="J4349" s="229">
        <v>0</v>
      </c>
    </row>
    <row r="4350" spans="1:10" s="217" customFormat="1">
      <c r="A4350" s="214" t="s">
        <v>175</v>
      </c>
      <c r="B4350" s="214" t="s">
        <v>35</v>
      </c>
      <c r="C4350" s="228">
        <v>0.68611111111111101</v>
      </c>
      <c r="D4350" s="229">
        <v>0</v>
      </c>
      <c r="E4350" s="229">
        <v>0</v>
      </c>
      <c r="F4350" s="229">
        <v>0</v>
      </c>
      <c r="G4350" s="229">
        <v>0</v>
      </c>
      <c r="H4350" s="229">
        <v>0</v>
      </c>
      <c r="I4350" s="229">
        <v>0</v>
      </c>
      <c r="J4350" s="229">
        <v>0</v>
      </c>
    </row>
    <row r="4351" spans="1:10" s="221" customFormat="1">
      <c r="A4351" s="218" t="s">
        <v>175</v>
      </c>
      <c r="B4351" s="218" t="s">
        <v>35</v>
      </c>
      <c r="C4351" s="230">
        <v>0.686805555555555</v>
      </c>
      <c r="D4351" s="231">
        <v>0</v>
      </c>
      <c r="E4351" s="231">
        <v>0</v>
      </c>
      <c r="F4351" s="231">
        <v>0</v>
      </c>
      <c r="G4351" s="231">
        <v>0</v>
      </c>
      <c r="H4351" s="231">
        <v>0</v>
      </c>
      <c r="I4351" s="231">
        <v>0</v>
      </c>
      <c r="J4351" s="231">
        <v>0</v>
      </c>
    </row>
    <row r="4352" spans="1:10" s="217" customFormat="1">
      <c r="A4352" s="214" t="s">
        <v>175</v>
      </c>
      <c r="B4352" s="214" t="s">
        <v>35</v>
      </c>
      <c r="C4352" s="228">
        <v>0.6875</v>
      </c>
      <c r="D4352" s="229">
        <v>0</v>
      </c>
      <c r="E4352" s="229">
        <v>0</v>
      </c>
      <c r="F4352" s="229">
        <v>0</v>
      </c>
      <c r="G4352" s="229">
        <v>0</v>
      </c>
      <c r="H4352" s="229">
        <v>0</v>
      </c>
      <c r="I4352" s="229">
        <v>0</v>
      </c>
      <c r="J4352" s="229">
        <v>0</v>
      </c>
    </row>
    <row r="4353" spans="1:10" s="217" customFormat="1">
      <c r="A4353" s="214" t="s">
        <v>175</v>
      </c>
      <c r="B4353" s="214" t="s">
        <v>35</v>
      </c>
      <c r="C4353" s="228">
        <v>0.688194444444444</v>
      </c>
      <c r="D4353" s="229">
        <v>0</v>
      </c>
      <c r="E4353" s="229">
        <v>0</v>
      </c>
      <c r="F4353" s="229">
        <v>0</v>
      </c>
      <c r="G4353" s="229">
        <v>0</v>
      </c>
      <c r="H4353" s="229">
        <v>0</v>
      </c>
      <c r="I4353" s="229">
        <v>0</v>
      </c>
      <c r="J4353" s="229">
        <v>0</v>
      </c>
    </row>
    <row r="4354" spans="1:10" s="217" customFormat="1">
      <c r="A4354" s="214" t="s">
        <v>175</v>
      </c>
      <c r="B4354" s="214" t="s">
        <v>35</v>
      </c>
      <c r="C4354" s="228">
        <v>0.68888888888888899</v>
      </c>
      <c r="D4354" s="229">
        <v>0</v>
      </c>
      <c r="E4354" s="229">
        <v>0</v>
      </c>
      <c r="F4354" s="229">
        <v>0</v>
      </c>
      <c r="G4354" s="229">
        <v>0</v>
      </c>
      <c r="H4354" s="229">
        <v>0</v>
      </c>
      <c r="I4354" s="229">
        <v>0</v>
      </c>
      <c r="J4354" s="229">
        <v>0</v>
      </c>
    </row>
    <row r="4355" spans="1:10" s="217" customFormat="1">
      <c r="A4355" s="214" t="s">
        <v>175</v>
      </c>
      <c r="B4355" s="214" t="s">
        <v>35</v>
      </c>
      <c r="C4355" s="228">
        <v>0.68958333333333299</v>
      </c>
      <c r="D4355" s="229">
        <v>0</v>
      </c>
      <c r="E4355" s="229">
        <v>0</v>
      </c>
      <c r="F4355" s="229">
        <v>0</v>
      </c>
      <c r="G4355" s="229">
        <v>0</v>
      </c>
      <c r="H4355" s="229">
        <v>0</v>
      </c>
      <c r="I4355" s="229">
        <v>0</v>
      </c>
      <c r="J4355" s="229">
        <v>0</v>
      </c>
    </row>
    <row r="4356" spans="1:10" s="217" customFormat="1">
      <c r="A4356" s="214" t="s">
        <v>175</v>
      </c>
      <c r="B4356" s="214" t="s">
        <v>35</v>
      </c>
      <c r="C4356" s="228">
        <v>0.69027777777777799</v>
      </c>
      <c r="D4356" s="229">
        <v>0</v>
      </c>
      <c r="E4356" s="229">
        <v>0</v>
      </c>
      <c r="F4356" s="229">
        <v>0</v>
      </c>
      <c r="G4356" s="229">
        <v>0</v>
      </c>
      <c r="H4356" s="229">
        <v>0</v>
      </c>
      <c r="I4356" s="229">
        <v>0</v>
      </c>
      <c r="J4356" s="229">
        <v>0</v>
      </c>
    </row>
    <row r="4357" spans="1:10" s="217" customFormat="1">
      <c r="A4357" s="214" t="s">
        <v>175</v>
      </c>
      <c r="B4357" s="214" t="s">
        <v>35</v>
      </c>
      <c r="C4357" s="228">
        <v>0.69097222222222199</v>
      </c>
      <c r="D4357" s="229">
        <v>0</v>
      </c>
      <c r="E4357" s="229">
        <v>0</v>
      </c>
      <c r="F4357" s="229">
        <v>0</v>
      </c>
      <c r="G4357" s="229">
        <v>0</v>
      </c>
      <c r="H4357" s="229">
        <v>0</v>
      </c>
      <c r="I4357" s="229">
        <v>0</v>
      </c>
      <c r="J4357" s="229">
        <v>0</v>
      </c>
    </row>
    <row r="4358" spans="1:10" s="217" customFormat="1">
      <c r="A4358" s="214" t="s">
        <v>175</v>
      </c>
      <c r="B4358" s="214" t="s">
        <v>35</v>
      </c>
      <c r="C4358" s="228">
        <v>0.69166666666666698</v>
      </c>
      <c r="D4358" s="229">
        <v>0</v>
      </c>
      <c r="E4358" s="229">
        <v>0</v>
      </c>
      <c r="F4358" s="229">
        <v>0</v>
      </c>
      <c r="G4358" s="229">
        <v>0</v>
      </c>
      <c r="H4358" s="229">
        <v>0</v>
      </c>
      <c r="I4358" s="229">
        <v>0</v>
      </c>
      <c r="J4358" s="229">
        <v>0</v>
      </c>
    </row>
    <row r="4359" spans="1:10" s="217" customFormat="1">
      <c r="A4359" s="214" t="s">
        <v>175</v>
      </c>
      <c r="B4359" s="214" t="s">
        <v>35</v>
      </c>
      <c r="C4359" s="228">
        <v>0.69236111111111098</v>
      </c>
      <c r="D4359" s="229">
        <v>0</v>
      </c>
      <c r="E4359" s="229">
        <v>0</v>
      </c>
      <c r="F4359" s="229">
        <v>0</v>
      </c>
      <c r="G4359" s="229">
        <v>0</v>
      </c>
      <c r="H4359" s="229">
        <v>0</v>
      </c>
      <c r="I4359" s="229">
        <v>0</v>
      </c>
      <c r="J4359" s="229">
        <v>0</v>
      </c>
    </row>
    <row r="4360" spans="1:10" s="217" customFormat="1">
      <c r="A4360" s="214" t="s">
        <v>175</v>
      </c>
      <c r="B4360" s="214" t="s">
        <v>35</v>
      </c>
      <c r="C4360" s="228">
        <v>0.69305555555555498</v>
      </c>
      <c r="D4360" s="229">
        <v>0</v>
      </c>
      <c r="E4360" s="229">
        <v>0</v>
      </c>
      <c r="F4360" s="229">
        <v>0</v>
      </c>
      <c r="G4360" s="229">
        <v>0</v>
      </c>
      <c r="H4360" s="229">
        <v>0</v>
      </c>
      <c r="I4360" s="229">
        <v>0</v>
      </c>
      <c r="J4360" s="229">
        <v>0</v>
      </c>
    </row>
    <row r="4361" spans="1:10" s="217" customFormat="1">
      <c r="A4361" s="214" t="s">
        <v>175</v>
      </c>
      <c r="B4361" s="214" t="s">
        <v>35</v>
      </c>
      <c r="C4361" s="228">
        <v>0.69374999999999998</v>
      </c>
      <c r="D4361" s="229">
        <v>0</v>
      </c>
      <c r="E4361" s="229">
        <v>0</v>
      </c>
      <c r="F4361" s="229">
        <v>0</v>
      </c>
      <c r="G4361" s="229">
        <v>0</v>
      </c>
      <c r="H4361" s="229">
        <v>0</v>
      </c>
      <c r="I4361" s="229">
        <v>0</v>
      </c>
      <c r="J4361" s="229">
        <v>0</v>
      </c>
    </row>
    <row r="4362" spans="1:10" s="217" customFormat="1">
      <c r="A4362" s="214" t="s">
        <v>175</v>
      </c>
      <c r="B4362" s="214" t="s">
        <v>35</v>
      </c>
      <c r="C4362" s="228">
        <v>0.69444444444444398</v>
      </c>
      <c r="D4362" s="229">
        <v>0</v>
      </c>
      <c r="E4362" s="229">
        <v>0</v>
      </c>
      <c r="F4362" s="229">
        <v>0</v>
      </c>
      <c r="G4362" s="229">
        <v>0</v>
      </c>
      <c r="H4362" s="229">
        <v>0</v>
      </c>
      <c r="I4362" s="229">
        <v>0</v>
      </c>
      <c r="J4362" s="229">
        <v>0</v>
      </c>
    </row>
    <row r="4363" spans="1:10" s="217" customFormat="1">
      <c r="A4363" s="214" t="s">
        <v>175</v>
      </c>
      <c r="B4363" s="214" t="s">
        <v>35</v>
      </c>
      <c r="C4363" s="228">
        <v>0.69513888888888897</v>
      </c>
      <c r="D4363" s="229">
        <v>0</v>
      </c>
      <c r="E4363" s="229">
        <v>0</v>
      </c>
      <c r="F4363" s="229">
        <v>0</v>
      </c>
      <c r="G4363" s="229">
        <v>0</v>
      </c>
      <c r="H4363" s="229">
        <v>0</v>
      </c>
      <c r="I4363" s="229">
        <v>0</v>
      </c>
      <c r="J4363" s="229">
        <v>0</v>
      </c>
    </row>
    <row r="4364" spans="1:10" s="217" customFormat="1">
      <c r="A4364" s="214" t="s">
        <v>175</v>
      </c>
      <c r="B4364" s="214" t="s">
        <v>35</v>
      </c>
      <c r="C4364" s="228">
        <v>0.69583333333333297</v>
      </c>
      <c r="D4364" s="229">
        <v>0</v>
      </c>
      <c r="E4364" s="229">
        <v>0</v>
      </c>
      <c r="F4364" s="229">
        <v>0</v>
      </c>
      <c r="G4364" s="229">
        <v>0</v>
      </c>
      <c r="H4364" s="229">
        <v>0</v>
      </c>
      <c r="I4364" s="229">
        <v>0</v>
      </c>
      <c r="J4364" s="229">
        <v>0</v>
      </c>
    </row>
    <row r="4365" spans="1:10" s="217" customFormat="1">
      <c r="A4365" s="214" t="s">
        <v>175</v>
      </c>
      <c r="B4365" s="214" t="s">
        <v>35</v>
      </c>
      <c r="C4365" s="228">
        <v>0.69652777777777797</v>
      </c>
      <c r="D4365" s="229">
        <v>0</v>
      </c>
      <c r="E4365" s="229">
        <v>0</v>
      </c>
      <c r="F4365" s="229">
        <v>0</v>
      </c>
      <c r="G4365" s="229">
        <v>0</v>
      </c>
      <c r="H4365" s="229">
        <v>0</v>
      </c>
      <c r="I4365" s="229">
        <v>0</v>
      </c>
      <c r="J4365" s="229">
        <v>0</v>
      </c>
    </row>
    <row r="4366" spans="1:10" s="221" customFormat="1">
      <c r="A4366" s="218" t="s">
        <v>175</v>
      </c>
      <c r="B4366" s="218" t="s">
        <v>35</v>
      </c>
      <c r="C4366" s="230">
        <v>0.69722222222222197</v>
      </c>
      <c r="D4366" s="231">
        <v>0</v>
      </c>
      <c r="E4366" s="231">
        <v>0</v>
      </c>
      <c r="F4366" s="231">
        <v>0</v>
      </c>
      <c r="G4366" s="231">
        <v>0</v>
      </c>
      <c r="H4366" s="231">
        <v>0</v>
      </c>
      <c r="I4366" s="231">
        <v>0</v>
      </c>
      <c r="J4366" s="231">
        <v>0</v>
      </c>
    </row>
    <row r="4367" spans="1:10" s="217" customFormat="1">
      <c r="A4367" s="214" t="s">
        <v>175</v>
      </c>
      <c r="B4367" s="214" t="s">
        <v>35</v>
      </c>
      <c r="C4367" s="228">
        <v>0.69791666666666696</v>
      </c>
      <c r="D4367" s="229">
        <v>0</v>
      </c>
      <c r="E4367" s="229">
        <v>0</v>
      </c>
      <c r="F4367" s="229">
        <v>0</v>
      </c>
      <c r="G4367" s="229">
        <v>0</v>
      </c>
      <c r="H4367" s="229">
        <v>0</v>
      </c>
      <c r="I4367" s="229">
        <v>0</v>
      </c>
      <c r="J4367" s="229">
        <v>0</v>
      </c>
    </row>
    <row r="4368" spans="1:10" s="217" customFormat="1">
      <c r="A4368" s="214" t="s">
        <v>175</v>
      </c>
      <c r="B4368" s="214" t="s">
        <v>35</v>
      </c>
      <c r="C4368" s="228">
        <v>0.69861111111111096</v>
      </c>
      <c r="D4368" s="229">
        <v>0</v>
      </c>
      <c r="E4368" s="229">
        <v>0</v>
      </c>
      <c r="F4368" s="229">
        <v>0</v>
      </c>
      <c r="G4368" s="229">
        <v>0</v>
      </c>
      <c r="H4368" s="229">
        <v>0</v>
      </c>
      <c r="I4368" s="229">
        <v>0</v>
      </c>
      <c r="J4368" s="229">
        <v>0</v>
      </c>
    </row>
    <row r="4369" spans="1:10" s="217" customFormat="1">
      <c r="A4369" s="214" t="s">
        <v>175</v>
      </c>
      <c r="B4369" s="214" t="s">
        <v>35</v>
      </c>
      <c r="C4369" s="228">
        <v>0.69930555555555496</v>
      </c>
      <c r="D4369" s="229">
        <v>0</v>
      </c>
      <c r="E4369" s="229">
        <v>0</v>
      </c>
      <c r="F4369" s="229">
        <v>0</v>
      </c>
      <c r="G4369" s="229">
        <v>0</v>
      </c>
      <c r="H4369" s="229">
        <v>0</v>
      </c>
      <c r="I4369" s="229">
        <v>0</v>
      </c>
      <c r="J4369" s="229">
        <v>0</v>
      </c>
    </row>
    <row r="4370" spans="1:10" s="217" customFormat="1">
      <c r="A4370" s="214" t="s">
        <v>175</v>
      </c>
      <c r="B4370" s="214" t="s">
        <v>35</v>
      </c>
      <c r="C4370" s="228">
        <v>0.7</v>
      </c>
      <c r="D4370" s="229">
        <v>0</v>
      </c>
      <c r="E4370" s="229">
        <v>0</v>
      </c>
      <c r="F4370" s="229">
        <v>0</v>
      </c>
      <c r="G4370" s="229">
        <v>0</v>
      </c>
      <c r="H4370" s="229">
        <v>0</v>
      </c>
      <c r="I4370" s="229">
        <v>0</v>
      </c>
      <c r="J4370" s="229">
        <v>0</v>
      </c>
    </row>
    <row r="4371" spans="1:10" s="217" customFormat="1">
      <c r="A4371" s="214" t="s">
        <v>175</v>
      </c>
      <c r="B4371" s="214" t="s">
        <v>35</v>
      </c>
      <c r="C4371" s="228">
        <v>0.70069444444444395</v>
      </c>
      <c r="D4371" s="229">
        <v>0</v>
      </c>
      <c r="E4371" s="229">
        <v>0</v>
      </c>
      <c r="F4371" s="229">
        <v>0</v>
      </c>
      <c r="G4371" s="229">
        <v>0</v>
      </c>
      <c r="H4371" s="229">
        <v>0</v>
      </c>
      <c r="I4371" s="229">
        <v>0</v>
      </c>
      <c r="J4371" s="229">
        <v>0</v>
      </c>
    </row>
    <row r="4372" spans="1:10" s="217" customFormat="1">
      <c r="A4372" s="214" t="s">
        <v>175</v>
      </c>
      <c r="B4372" s="214" t="s">
        <v>35</v>
      </c>
      <c r="C4372" s="228">
        <v>0.70138888888888895</v>
      </c>
      <c r="D4372" s="229">
        <v>0</v>
      </c>
      <c r="E4372" s="229">
        <v>0</v>
      </c>
      <c r="F4372" s="229">
        <v>0</v>
      </c>
      <c r="G4372" s="229">
        <v>0</v>
      </c>
      <c r="H4372" s="229">
        <v>0</v>
      </c>
      <c r="I4372" s="229">
        <v>0</v>
      </c>
      <c r="J4372" s="229">
        <v>0</v>
      </c>
    </row>
    <row r="4373" spans="1:10" s="217" customFormat="1">
      <c r="A4373" s="214" t="s">
        <v>175</v>
      </c>
      <c r="B4373" s="214" t="s">
        <v>35</v>
      </c>
      <c r="C4373" s="228">
        <v>0.70208333333333295</v>
      </c>
      <c r="D4373" s="229">
        <v>0</v>
      </c>
      <c r="E4373" s="229">
        <v>0</v>
      </c>
      <c r="F4373" s="229">
        <v>0</v>
      </c>
      <c r="G4373" s="229">
        <v>0</v>
      </c>
      <c r="H4373" s="229">
        <v>0</v>
      </c>
      <c r="I4373" s="229">
        <v>0</v>
      </c>
      <c r="J4373" s="229">
        <v>0</v>
      </c>
    </row>
    <row r="4374" spans="1:10" s="217" customFormat="1">
      <c r="A4374" s="214" t="s">
        <v>175</v>
      </c>
      <c r="B4374" s="214" t="s">
        <v>35</v>
      </c>
      <c r="C4374" s="228">
        <v>0.70277777777777795</v>
      </c>
      <c r="D4374" s="229">
        <v>0</v>
      </c>
      <c r="E4374" s="229">
        <v>0</v>
      </c>
      <c r="F4374" s="229">
        <v>0</v>
      </c>
      <c r="G4374" s="229">
        <v>0</v>
      </c>
      <c r="H4374" s="229">
        <v>0</v>
      </c>
      <c r="I4374" s="229">
        <v>0</v>
      </c>
      <c r="J4374" s="229">
        <v>0</v>
      </c>
    </row>
    <row r="4375" spans="1:10" s="217" customFormat="1">
      <c r="A4375" s="214" t="s">
        <v>175</v>
      </c>
      <c r="B4375" s="214" t="s">
        <v>35</v>
      </c>
      <c r="C4375" s="228">
        <v>0.70347222222222205</v>
      </c>
      <c r="D4375" s="229">
        <v>0</v>
      </c>
      <c r="E4375" s="229">
        <v>0</v>
      </c>
      <c r="F4375" s="229">
        <v>0</v>
      </c>
      <c r="G4375" s="229">
        <v>0</v>
      </c>
      <c r="H4375" s="229">
        <v>0</v>
      </c>
      <c r="I4375" s="229">
        <v>0</v>
      </c>
      <c r="J4375" s="229">
        <v>0</v>
      </c>
    </row>
    <row r="4376" spans="1:10" s="217" customFormat="1">
      <c r="A4376" s="214" t="s">
        <v>175</v>
      </c>
      <c r="B4376" s="214" t="s">
        <v>35</v>
      </c>
      <c r="C4376" s="228">
        <v>0.70416666666666605</v>
      </c>
      <c r="D4376" s="229">
        <v>0</v>
      </c>
      <c r="E4376" s="229">
        <v>0</v>
      </c>
      <c r="F4376" s="229">
        <v>0</v>
      </c>
      <c r="G4376" s="229">
        <v>0</v>
      </c>
      <c r="H4376" s="229">
        <v>0</v>
      </c>
      <c r="I4376" s="229">
        <v>0</v>
      </c>
      <c r="J4376" s="229">
        <v>0</v>
      </c>
    </row>
    <row r="4377" spans="1:10" s="217" customFormat="1">
      <c r="A4377" s="214" t="s">
        <v>175</v>
      </c>
      <c r="B4377" s="214" t="s">
        <v>35</v>
      </c>
      <c r="C4377" s="228">
        <v>0.70486111111111105</v>
      </c>
      <c r="D4377" s="229">
        <v>0</v>
      </c>
      <c r="E4377" s="229">
        <v>0</v>
      </c>
      <c r="F4377" s="229">
        <v>0</v>
      </c>
      <c r="G4377" s="229">
        <v>0</v>
      </c>
      <c r="H4377" s="229">
        <v>0</v>
      </c>
      <c r="I4377" s="229">
        <v>0</v>
      </c>
      <c r="J4377" s="229">
        <v>0</v>
      </c>
    </row>
    <row r="4378" spans="1:10" s="217" customFormat="1">
      <c r="A4378" s="214" t="s">
        <v>175</v>
      </c>
      <c r="B4378" s="214" t="s">
        <v>35</v>
      </c>
      <c r="C4378" s="228">
        <v>0.70555555555555505</v>
      </c>
      <c r="D4378" s="229">
        <v>0</v>
      </c>
      <c r="E4378" s="229">
        <v>0</v>
      </c>
      <c r="F4378" s="229">
        <v>0</v>
      </c>
      <c r="G4378" s="229">
        <v>0</v>
      </c>
      <c r="H4378" s="229">
        <v>0</v>
      </c>
      <c r="I4378" s="229">
        <v>0</v>
      </c>
      <c r="J4378" s="229">
        <v>0</v>
      </c>
    </row>
    <row r="4379" spans="1:10" s="217" customFormat="1">
      <c r="A4379" s="214" t="s">
        <v>175</v>
      </c>
      <c r="B4379" s="214" t="s">
        <v>35</v>
      </c>
      <c r="C4379" s="228">
        <v>0.70625000000000004</v>
      </c>
      <c r="D4379" s="229">
        <v>0</v>
      </c>
      <c r="E4379" s="229">
        <v>0</v>
      </c>
      <c r="F4379" s="229">
        <v>0</v>
      </c>
      <c r="G4379" s="229">
        <v>0</v>
      </c>
      <c r="H4379" s="229">
        <v>0</v>
      </c>
      <c r="I4379" s="229">
        <v>0</v>
      </c>
      <c r="J4379" s="229">
        <v>0</v>
      </c>
    </row>
    <row r="4380" spans="1:10" s="217" customFormat="1">
      <c r="A4380" s="214" t="s">
        <v>175</v>
      </c>
      <c r="B4380" s="214" t="s">
        <v>35</v>
      </c>
      <c r="C4380" s="228">
        <v>0.70694444444444404</v>
      </c>
      <c r="D4380" s="229">
        <v>0</v>
      </c>
      <c r="E4380" s="229">
        <v>0</v>
      </c>
      <c r="F4380" s="229">
        <v>0</v>
      </c>
      <c r="G4380" s="229">
        <v>0</v>
      </c>
      <c r="H4380" s="229">
        <v>0</v>
      </c>
      <c r="I4380" s="229">
        <v>0</v>
      </c>
      <c r="J4380" s="229">
        <v>0</v>
      </c>
    </row>
    <row r="4381" spans="1:10" s="221" customFormat="1">
      <c r="A4381" s="218" t="s">
        <v>175</v>
      </c>
      <c r="B4381" s="218" t="s">
        <v>35</v>
      </c>
      <c r="C4381" s="230">
        <v>0.70763888888888904</v>
      </c>
      <c r="D4381" s="231">
        <v>0</v>
      </c>
      <c r="E4381" s="231">
        <v>0</v>
      </c>
      <c r="F4381" s="231">
        <v>0</v>
      </c>
      <c r="G4381" s="231">
        <v>0</v>
      </c>
      <c r="H4381" s="231">
        <v>0</v>
      </c>
      <c r="I4381" s="231">
        <v>0</v>
      </c>
      <c r="J4381" s="231">
        <v>0</v>
      </c>
    </row>
    <row r="4382" spans="1:10" s="217" customFormat="1">
      <c r="A4382" s="214" t="s">
        <v>175</v>
      </c>
      <c r="B4382" s="214" t="s">
        <v>35</v>
      </c>
      <c r="C4382" s="228">
        <v>0.70833333333333304</v>
      </c>
      <c r="D4382" s="229">
        <v>0</v>
      </c>
      <c r="E4382" s="229">
        <v>0</v>
      </c>
      <c r="F4382" s="229">
        <v>0</v>
      </c>
      <c r="G4382" s="229">
        <v>0</v>
      </c>
      <c r="H4382" s="229">
        <v>0</v>
      </c>
      <c r="I4382" s="229">
        <v>0</v>
      </c>
      <c r="J4382" s="229">
        <v>0</v>
      </c>
    </row>
    <row r="4383" spans="1:10" s="217" customFormat="1">
      <c r="A4383" s="214" t="s">
        <v>175</v>
      </c>
      <c r="B4383" s="214" t="s">
        <v>35</v>
      </c>
      <c r="C4383" s="228">
        <v>0.70902777777777803</v>
      </c>
      <c r="D4383" s="229">
        <v>0</v>
      </c>
      <c r="E4383" s="229">
        <v>0</v>
      </c>
      <c r="F4383" s="229">
        <v>0</v>
      </c>
      <c r="G4383" s="229">
        <v>0</v>
      </c>
      <c r="H4383" s="229">
        <v>0</v>
      </c>
      <c r="I4383" s="229">
        <v>0</v>
      </c>
      <c r="J4383" s="229">
        <v>0</v>
      </c>
    </row>
    <row r="4384" spans="1:10" s="217" customFormat="1">
      <c r="A4384" s="214" t="s">
        <v>175</v>
      </c>
      <c r="B4384" s="214" t="s">
        <v>35</v>
      </c>
      <c r="C4384" s="228">
        <v>0.70972222222222203</v>
      </c>
      <c r="D4384" s="229">
        <v>0</v>
      </c>
      <c r="E4384" s="229">
        <v>0</v>
      </c>
      <c r="F4384" s="229">
        <v>0</v>
      </c>
      <c r="G4384" s="229">
        <v>0</v>
      </c>
      <c r="H4384" s="229">
        <v>0</v>
      </c>
      <c r="I4384" s="229">
        <v>0</v>
      </c>
      <c r="J4384" s="229">
        <v>0</v>
      </c>
    </row>
    <row r="4385" spans="1:10" s="217" customFormat="1">
      <c r="A4385" s="214" t="s">
        <v>175</v>
      </c>
      <c r="B4385" s="214" t="s">
        <v>35</v>
      </c>
      <c r="C4385" s="228">
        <v>0.71041666666666603</v>
      </c>
      <c r="D4385" s="229">
        <v>0</v>
      </c>
      <c r="E4385" s="229">
        <v>0</v>
      </c>
      <c r="F4385" s="229">
        <v>0</v>
      </c>
      <c r="G4385" s="229">
        <v>0</v>
      </c>
      <c r="H4385" s="229">
        <v>0</v>
      </c>
      <c r="I4385" s="229">
        <v>0</v>
      </c>
      <c r="J4385" s="229">
        <v>0</v>
      </c>
    </row>
    <row r="4386" spans="1:10" s="217" customFormat="1">
      <c r="A4386" s="214" t="s">
        <v>175</v>
      </c>
      <c r="B4386" s="214" t="s">
        <v>35</v>
      </c>
      <c r="C4386" s="228">
        <v>0.71111111111111103</v>
      </c>
      <c r="D4386" s="229">
        <v>0</v>
      </c>
      <c r="E4386" s="229">
        <v>0</v>
      </c>
      <c r="F4386" s="229">
        <v>0</v>
      </c>
      <c r="G4386" s="229">
        <v>0</v>
      </c>
      <c r="H4386" s="229">
        <v>0</v>
      </c>
      <c r="I4386" s="229">
        <v>0</v>
      </c>
      <c r="J4386" s="229">
        <v>0</v>
      </c>
    </row>
    <row r="4387" spans="1:10" s="217" customFormat="1">
      <c r="A4387" s="214" t="s">
        <v>175</v>
      </c>
      <c r="B4387" s="214" t="s">
        <v>35</v>
      </c>
      <c r="C4387" s="228">
        <v>0.71180555555555503</v>
      </c>
      <c r="D4387" s="229">
        <v>0</v>
      </c>
      <c r="E4387" s="229">
        <v>0</v>
      </c>
      <c r="F4387" s="229">
        <v>0</v>
      </c>
      <c r="G4387" s="229">
        <v>0</v>
      </c>
      <c r="H4387" s="229">
        <v>0</v>
      </c>
      <c r="I4387" s="229">
        <v>0</v>
      </c>
      <c r="J4387" s="229">
        <v>0</v>
      </c>
    </row>
    <row r="4388" spans="1:10" s="217" customFormat="1">
      <c r="A4388" s="214" t="s">
        <v>175</v>
      </c>
      <c r="B4388" s="214" t="s">
        <v>35</v>
      </c>
      <c r="C4388" s="228">
        <v>0.71250000000000002</v>
      </c>
      <c r="D4388" s="229">
        <v>0</v>
      </c>
      <c r="E4388" s="229">
        <v>0</v>
      </c>
      <c r="F4388" s="229">
        <v>0</v>
      </c>
      <c r="G4388" s="229">
        <v>0</v>
      </c>
      <c r="H4388" s="229">
        <v>0</v>
      </c>
      <c r="I4388" s="229">
        <v>0</v>
      </c>
      <c r="J4388" s="229">
        <v>0</v>
      </c>
    </row>
    <row r="4389" spans="1:10" s="217" customFormat="1">
      <c r="A4389" s="214" t="s">
        <v>175</v>
      </c>
      <c r="B4389" s="214" t="s">
        <v>35</v>
      </c>
      <c r="C4389" s="228">
        <v>0.71319444444444402</v>
      </c>
      <c r="D4389" s="229">
        <v>0</v>
      </c>
      <c r="E4389" s="229">
        <v>0</v>
      </c>
      <c r="F4389" s="229">
        <v>0</v>
      </c>
      <c r="G4389" s="229">
        <v>0</v>
      </c>
      <c r="H4389" s="229">
        <v>0</v>
      </c>
      <c r="I4389" s="229">
        <v>0</v>
      </c>
      <c r="J4389" s="229">
        <v>0</v>
      </c>
    </row>
    <row r="4390" spans="1:10" s="217" customFormat="1">
      <c r="A4390" s="214" t="s">
        <v>175</v>
      </c>
      <c r="B4390" s="214" t="s">
        <v>35</v>
      </c>
      <c r="C4390" s="228">
        <v>0.71388888888888902</v>
      </c>
      <c r="D4390" s="229">
        <v>0</v>
      </c>
      <c r="E4390" s="229">
        <v>0</v>
      </c>
      <c r="F4390" s="229">
        <v>0</v>
      </c>
      <c r="G4390" s="229">
        <v>0</v>
      </c>
      <c r="H4390" s="229">
        <v>0</v>
      </c>
      <c r="I4390" s="229">
        <v>0</v>
      </c>
      <c r="J4390" s="229">
        <v>0</v>
      </c>
    </row>
    <row r="4391" spans="1:10" s="217" customFormat="1">
      <c r="A4391" s="214" t="s">
        <v>175</v>
      </c>
      <c r="B4391" s="214" t="s">
        <v>35</v>
      </c>
      <c r="C4391" s="228">
        <v>0.71458333333333302</v>
      </c>
      <c r="D4391" s="229">
        <v>0</v>
      </c>
      <c r="E4391" s="229">
        <v>0</v>
      </c>
      <c r="F4391" s="229">
        <v>0</v>
      </c>
      <c r="G4391" s="229">
        <v>0</v>
      </c>
      <c r="H4391" s="229">
        <v>0</v>
      </c>
      <c r="I4391" s="229">
        <v>0</v>
      </c>
      <c r="J4391" s="229">
        <v>0</v>
      </c>
    </row>
    <row r="4392" spans="1:10" s="217" customFormat="1">
      <c r="A4392" s="214" t="s">
        <v>175</v>
      </c>
      <c r="B4392" s="214" t="s">
        <v>35</v>
      </c>
      <c r="C4392" s="228">
        <v>0.71527777777777801</v>
      </c>
      <c r="D4392" s="229">
        <v>0</v>
      </c>
      <c r="E4392" s="229">
        <v>0</v>
      </c>
      <c r="F4392" s="229">
        <v>0</v>
      </c>
      <c r="G4392" s="229">
        <v>0</v>
      </c>
      <c r="H4392" s="229">
        <v>0</v>
      </c>
      <c r="I4392" s="229">
        <v>0</v>
      </c>
      <c r="J4392" s="229">
        <v>0</v>
      </c>
    </row>
    <row r="4393" spans="1:10" s="217" customFormat="1">
      <c r="A4393" s="214" t="s">
        <v>175</v>
      </c>
      <c r="B4393" s="214" t="s">
        <v>35</v>
      </c>
      <c r="C4393" s="228">
        <v>0.71597222222222201</v>
      </c>
      <c r="D4393" s="229">
        <v>0</v>
      </c>
      <c r="E4393" s="229">
        <v>0</v>
      </c>
      <c r="F4393" s="229">
        <v>0</v>
      </c>
      <c r="G4393" s="229">
        <v>0</v>
      </c>
      <c r="H4393" s="229">
        <v>0</v>
      </c>
      <c r="I4393" s="229">
        <v>0</v>
      </c>
      <c r="J4393" s="229">
        <v>0</v>
      </c>
    </row>
    <row r="4394" spans="1:10" s="217" customFormat="1">
      <c r="A4394" s="214" t="s">
        <v>175</v>
      </c>
      <c r="B4394" s="214" t="s">
        <v>35</v>
      </c>
      <c r="C4394" s="228">
        <v>0.71666666666666601</v>
      </c>
      <c r="D4394" s="229">
        <v>0</v>
      </c>
      <c r="E4394" s="229">
        <v>0</v>
      </c>
      <c r="F4394" s="229">
        <v>0</v>
      </c>
      <c r="G4394" s="229">
        <v>0</v>
      </c>
      <c r="H4394" s="229">
        <v>0</v>
      </c>
      <c r="I4394" s="229">
        <v>0</v>
      </c>
      <c r="J4394" s="229">
        <v>0</v>
      </c>
    </row>
    <row r="4395" spans="1:10" s="217" customFormat="1">
      <c r="A4395" s="214" t="s">
        <v>175</v>
      </c>
      <c r="B4395" s="214" t="s">
        <v>35</v>
      </c>
      <c r="C4395" s="228">
        <v>0.71736111111111101</v>
      </c>
      <c r="D4395" s="229">
        <v>0</v>
      </c>
      <c r="E4395" s="229">
        <v>0</v>
      </c>
      <c r="F4395" s="229">
        <v>0</v>
      </c>
      <c r="G4395" s="229">
        <v>0</v>
      </c>
      <c r="H4395" s="229">
        <v>0</v>
      </c>
      <c r="I4395" s="229">
        <v>0</v>
      </c>
      <c r="J4395" s="229">
        <v>0</v>
      </c>
    </row>
    <row r="4396" spans="1:10" s="221" customFormat="1">
      <c r="A4396" s="218" t="s">
        <v>175</v>
      </c>
      <c r="B4396" s="218" t="s">
        <v>35</v>
      </c>
      <c r="C4396" s="230">
        <v>0.718055555555555</v>
      </c>
      <c r="D4396" s="231">
        <v>0</v>
      </c>
      <c r="E4396" s="231">
        <v>0</v>
      </c>
      <c r="F4396" s="231">
        <v>0</v>
      </c>
      <c r="G4396" s="231">
        <v>0</v>
      </c>
      <c r="H4396" s="231">
        <v>0</v>
      </c>
      <c r="I4396" s="231">
        <v>0</v>
      </c>
      <c r="J4396" s="231">
        <v>0</v>
      </c>
    </row>
    <row r="4397" spans="1:10" s="217" customFormat="1">
      <c r="A4397" s="214" t="s">
        <v>175</v>
      </c>
      <c r="B4397" s="214" t="s">
        <v>35</v>
      </c>
      <c r="C4397" s="228">
        <v>0.71875</v>
      </c>
      <c r="D4397" s="229">
        <v>0</v>
      </c>
      <c r="E4397" s="229">
        <v>0</v>
      </c>
      <c r="F4397" s="229">
        <v>0</v>
      </c>
      <c r="G4397" s="229">
        <v>0</v>
      </c>
      <c r="H4397" s="229">
        <v>0</v>
      </c>
      <c r="I4397" s="229">
        <v>0</v>
      </c>
      <c r="J4397" s="229">
        <v>0</v>
      </c>
    </row>
    <row r="4398" spans="1:10" s="217" customFormat="1">
      <c r="A4398" s="214" t="s">
        <v>175</v>
      </c>
      <c r="B4398" s="214" t="s">
        <v>35</v>
      </c>
      <c r="C4398" s="228">
        <v>0.719444444444444</v>
      </c>
      <c r="D4398" s="229">
        <v>0</v>
      </c>
      <c r="E4398" s="229">
        <v>0</v>
      </c>
      <c r="F4398" s="229">
        <v>0</v>
      </c>
      <c r="G4398" s="229">
        <v>0</v>
      </c>
      <c r="H4398" s="229">
        <v>0</v>
      </c>
      <c r="I4398" s="229">
        <v>0</v>
      </c>
      <c r="J4398" s="229">
        <v>0</v>
      </c>
    </row>
    <row r="4399" spans="1:10" s="217" customFormat="1">
      <c r="A4399" s="214" t="s">
        <v>175</v>
      </c>
      <c r="B4399" s="214" t="s">
        <v>35</v>
      </c>
      <c r="C4399" s="228">
        <v>0.72013888888888899</v>
      </c>
      <c r="D4399" s="229">
        <v>0</v>
      </c>
      <c r="E4399" s="229">
        <v>0</v>
      </c>
      <c r="F4399" s="229">
        <v>0</v>
      </c>
      <c r="G4399" s="229">
        <v>0</v>
      </c>
      <c r="H4399" s="229">
        <v>0</v>
      </c>
      <c r="I4399" s="229">
        <v>0</v>
      </c>
      <c r="J4399" s="229">
        <v>0</v>
      </c>
    </row>
    <row r="4400" spans="1:10" s="217" customFormat="1">
      <c r="A4400" s="214" t="s">
        <v>175</v>
      </c>
      <c r="B4400" s="214" t="s">
        <v>35</v>
      </c>
      <c r="C4400" s="228">
        <v>0.72083333333333299</v>
      </c>
      <c r="D4400" s="229">
        <v>0</v>
      </c>
      <c r="E4400" s="229">
        <v>0</v>
      </c>
      <c r="F4400" s="229">
        <v>0</v>
      </c>
      <c r="G4400" s="229">
        <v>0</v>
      </c>
      <c r="H4400" s="229">
        <v>0</v>
      </c>
      <c r="I4400" s="229">
        <v>0</v>
      </c>
      <c r="J4400" s="229">
        <v>0</v>
      </c>
    </row>
    <row r="4401" spans="1:10" s="217" customFormat="1">
      <c r="A4401" s="214" t="s">
        <v>175</v>
      </c>
      <c r="B4401" s="214" t="s">
        <v>35</v>
      </c>
      <c r="C4401" s="228">
        <v>0.72152777777777799</v>
      </c>
      <c r="D4401" s="229">
        <v>0</v>
      </c>
      <c r="E4401" s="229">
        <v>0</v>
      </c>
      <c r="F4401" s="229">
        <v>0</v>
      </c>
      <c r="G4401" s="229">
        <v>0</v>
      </c>
      <c r="H4401" s="229">
        <v>0</v>
      </c>
      <c r="I4401" s="229">
        <v>0</v>
      </c>
      <c r="J4401" s="229">
        <v>0</v>
      </c>
    </row>
    <row r="4402" spans="1:10" s="217" customFormat="1">
      <c r="A4402" s="214" t="s">
        <v>175</v>
      </c>
      <c r="B4402" s="214" t="s">
        <v>35</v>
      </c>
      <c r="C4402" s="228">
        <v>0.72222222222222199</v>
      </c>
      <c r="D4402" s="229">
        <v>0</v>
      </c>
      <c r="E4402" s="229">
        <v>0</v>
      </c>
      <c r="F4402" s="229">
        <v>0</v>
      </c>
      <c r="G4402" s="229">
        <v>0</v>
      </c>
      <c r="H4402" s="229">
        <v>0</v>
      </c>
      <c r="I4402" s="229">
        <v>0</v>
      </c>
      <c r="J4402" s="229">
        <v>0</v>
      </c>
    </row>
    <row r="4403" spans="1:10" s="217" customFormat="1">
      <c r="A4403" s="214" t="s">
        <v>175</v>
      </c>
      <c r="B4403" s="214" t="s">
        <v>35</v>
      </c>
      <c r="C4403" s="228">
        <v>0.72291666666666599</v>
      </c>
      <c r="D4403" s="229">
        <v>0</v>
      </c>
      <c r="E4403" s="229">
        <v>0</v>
      </c>
      <c r="F4403" s="229">
        <v>0</v>
      </c>
      <c r="G4403" s="229">
        <v>0</v>
      </c>
      <c r="H4403" s="229">
        <v>0</v>
      </c>
      <c r="I4403" s="229">
        <v>0</v>
      </c>
      <c r="J4403" s="229">
        <v>0</v>
      </c>
    </row>
    <row r="4404" spans="1:10" s="217" customFormat="1">
      <c r="A4404" s="214" t="s">
        <v>175</v>
      </c>
      <c r="B4404" s="214" t="s">
        <v>35</v>
      </c>
      <c r="C4404" s="228">
        <v>0.72361111111111098</v>
      </c>
      <c r="D4404" s="229">
        <v>0</v>
      </c>
      <c r="E4404" s="229">
        <v>0</v>
      </c>
      <c r="F4404" s="229">
        <v>0</v>
      </c>
      <c r="G4404" s="229">
        <v>0</v>
      </c>
      <c r="H4404" s="229">
        <v>0</v>
      </c>
      <c r="I4404" s="229">
        <v>0</v>
      </c>
      <c r="J4404" s="229">
        <v>0</v>
      </c>
    </row>
    <row r="4405" spans="1:10" s="217" customFormat="1">
      <c r="A4405" s="214" t="s">
        <v>175</v>
      </c>
      <c r="B4405" s="214" t="s">
        <v>35</v>
      </c>
      <c r="C4405" s="228">
        <v>0.72430555555555498</v>
      </c>
      <c r="D4405" s="229">
        <v>0</v>
      </c>
      <c r="E4405" s="229">
        <v>0</v>
      </c>
      <c r="F4405" s="229">
        <v>0</v>
      </c>
      <c r="G4405" s="229">
        <v>0</v>
      </c>
      <c r="H4405" s="229">
        <v>0</v>
      </c>
      <c r="I4405" s="229">
        <v>0</v>
      </c>
      <c r="J4405" s="229">
        <v>0</v>
      </c>
    </row>
    <row r="4406" spans="1:10" s="217" customFormat="1">
      <c r="A4406" s="214" t="s">
        <v>175</v>
      </c>
      <c r="B4406" s="214" t="s">
        <v>35</v>
      </c>
      <c r="C4406" s="228">
        <v>0.72499999999999998</v>
      </c>
      <c r="D4406" s="229">
        <v>0</v>
      </c>
      <c r="E4406" s="229">
        <v>0</v>
      </c>
      <c r="F4406" s="229">
        <v>0</v>
      </c>
      <c r="G4406" s="229">
        <v>0</v>
      </c>
      <c r="H4406" s="229">
        <v>0</v>
      </c>
      <c r="I4406" s="229">
        <v>0</v>
      </c>
      <c r="J4406" s="229">
        <v>0</v>
      </c>
    </row>
    <row r="4407" spans="1:10" s="217" customFormat="1">
      <c r="A4407" s="214" t="s">
        <v>175</v>
      </c>
      <c r="B4407" s="214" t="s">
        <v>35</v>
      </c>
      <c r="C4407" s="228">
        <v>0.72569444444444398</v>
      </c>
      <c r="D4407" s="229">
        <v>0</v>
      </c>
      <c r="E4407" s="229">
        <v>0</v>
      </c>
      <c r="F4407" s="229">
        <v>0</v>
      </c>
      <c r="G4407" s="229">
        <v>0</v>
      </c>
      <c r="H4407" s="229">
        <v>0</v>
      </c>
      <c r="I4407" s="229">
        <v>0</v>
      </c>
      <c r="J4407" s="229">
        <v>0</v>
      </c>
    </row>
    <row r="4408" spans="1:10" s="217" customFormat="1">
      <c r="A4408" s="214" t="s">
        <v>175</v>
      </c>
      <c r="B4408" s="214" t="s">
        <v>35</v>
      </c>
      <c r="C4408" s="228">
        <v>0.72638888888888897</v>
      </c>
      <c r="D4408" s="229">
        <v>0</v>
      </c>
      <c r="E4408" s="229">
        <v>0</v>
      </c>
      <c r="F4408" s="229">
        <v>0</v>
      </c>
      <c r="G4408" s="229">
        <v>0</v>
      </c>
      <c r="H4408" s="229">
        <v>0</v>
      </c>
      <c r="I4408" s="229">
        <v>0</v>
      </c>
      <c r="J4408" s="229">
        <v>0</v>
      </c>
    </row>
    <row r="4409" spans="1:10" s="217" customFormat="1">
      <c r="A4409" s="214" t="s">
        <v>175</v>
      </c>
      <c r="B4409" s="214" t="s">
        <v>35</v>
      </c>
      <c r="C4409" s="228">
        <v>0.72708333333333297</v>
      </c>
      <c r="D4409" s="229">
        <v>0</v>
      </c>
      <c r="E4409" s="229">
        <v>0</v>
      </c>
      <c r="F4409" s="229">
        <v>0</v>
      </c>
      <c r="G4409" s="229">
        <v>0</v>
      </c>
      <c r="H4409" s="229">
        <v>0</v>
      </c>
      <c r="I4409" s="229">
        <v>0</v>
      </c>
      <c r="J4409" s="229">
        <v>0</v>
      </c>
    </row>
    <row r="4410" spans="1:10" s="217" customFormat="1">
      <c r="A4410" s="214" t="s">
        <v>175</v>
      </c>
      <c r="B4410" s="214" t="s">
        <v>35</v>
      </c>
      <c r="C4410" s="228">
        <v>0.72777777777777797</v>
      </c>
      <c r="D4410" s="229">
        <v>0</v>
      </c>
      <c r="E4410" s="229">
        <v>0</v>
      </c>
      <c r="F4410" s="229">
        <v>0</v>
      </c>
      <c r="G4410" s="229">
        <v>0</v>
      </c>
      <c r="H4410" s="229">
        <v>0</v>
      </c>
      <c r="I4410" s="229">
        <v>0</v>
      </c>
      <c r="J4410" s="229">
        <v>0</v>
      </c>
    </row>
    <row r="4411" spans="1:10" s="221" customFormat="1">
      <c r="A4411" s="218" t="s">
        <v>175</v>
      </c>
      <c r="B4411" s="218" t="s">
        <v>35</v>
      </c>
      <c r="C4411" s="230">
        <v>0.72847222222222197</v>
      </c>
      <c r="D4411" s="231">
        <v>0</v>
      </c>
      <c r="E4411" s="231">
        <v>0</v>
      </c>
      <c r="F4411" s="231">
        <v>0</v>
      </c>
      <c r="G4411" s="231">
        <v>0</v>
      </c>
      <c r="H4411" s="231">
        <v>0</v>
      </c>
      <c r="I4411" s="231">
        <v>0</v>
      </c>
      <c r="J4411" s="231">
        <v>0</v>
      </c>
    </row>
    <row r="4412" spans="1:10" s="217" customFormat="1">
      <c r="A4412" s="214" t="s">
        <v>175</v>
      </c>
      <c r="B4412" s="214" t="s">
        <v>35</v>
      </c>
      <c r="C4412" s="228">
        <v>0.72916666666666596</v>
      </c>
      <c r="D4412" s="229">
        <v>0</v>
      </c>
      <c r="E4412" s="229">
        <v>0</v>
      </c>
      <c r="F4412" s="229">
        <v>0</v>
      </c>
      <c r="G4412" s="229">
        <v>0</v>
      </c>
      <c r="H4412" s="229">
        <v>0</v>
      </c>
      <c r="I4412" s="229">
        <v>0</v>
      </c>
      <c r="J4412" s="229">
        <v>0</v>
      </c>
    </row>
    <row r="4413" spans="1:10" s="217" customFormat="1">
      <c r="A4413" s="214" t="s">
        <v>175</v>
      </c>
      <c r="B4413" s="214" t="s">
        <v>35</v>
      </c>
      <c r="C4413" s="228">
        <v>0.72986111111111096</v>
      </c>
      <c r="D4413" s="229">
        <v>0</v>
      </c>
      <c r="E4413" s="229">
        <v>0</v>
      </c>
      <c r="F4413" s="229">
        <v>0</v>
      </c>
      <c r="G4413" s="229">
        <v>0</v>
      </c>
      <c r="H4413" s="229">
        <v>0</v>
      </c>
      <c r="I4413" s="229">
        <v>0</v>
      </c>
      <c r="J4413" s="229">
        <v>0</v>
      </c>
    </row>
    <row r="4414" spans="1:10" s="217" customFormat="1">
      <c r="A4414" s="214" t="s">
        <v>175</v>
      </c>
      <c r="B4414" s="214" t="s">
        <v>35</v>
      </c>
      <c r="C4414" s="228">
        <v>0.73055555555555496</v>
      </c>
      <c r="D4414" s="229">
        <v>0</v>
      </c>
      <c r="E4414" s="229">
        <v>0</v>
      </c>
      <c r="F4414" s="229">
        <v>0</v>
      </c>
      <c r="G4414" s="229">
        <v>0</v>
      </c>
      <c r="H4414" s="229">
        <v>0</v>
      </c>
      <c r="I4414" s="229">
        <v>0</v>
      </c>
      <c r="J4414" s="229">
        <v>0</v>
      </c>
    </row>
    <row r="4415" spans="1:10" s="217" customFormat="1">
      <c r="A4415" s="214" t="s">
        <v>175</v>
      </c>
      <c r="B4415" s="214" t="s">
        <v>35</v>
      </c>
      <c r="C4415" s="228">
        <v>0.73124999999999996</v>
      </c>
      <c r="D4415" s="229">
        <v>0</v>
      </c>
      <c r="E4415" s="229">
        <v>0</v>
      </c>
      <c r="F4415" s="229">
        <v>0</v>
      </c>
      <c r="G4415" s="229">
        <v>0</v>
      </c>
      <c r="H4415" s="229">
        <v>0</v>
      </c>
      <c r="I4415" s="229">
        <v>0</v>
      </c>
      <c r="J4415" s="229">
        <v>0</v>
      </c>
    </row>
    <row r="4416" spans="1:10" s="217" customFormat="1">
      <c r="A4416" s="214" t="s">
        <v>175</v>
      </c>
      <c r="B4416" s="214" t="s">
        <v>35</v>
      </c>
      <c r="C4416" s="228">
        <v>0.73194444444444395</v>
      </c>
      <c r="D4416" s="229">
        <v>0</v>
      </c>
      <c r="E4416" s="229">
        <v>0</v>
      </c>
      <c r="F4416" s="229">
        <v>0</v>
      </c>
      <c r="G4416" s="229">
        <v>0</v>
      </c>
      <c r="H4416" s="229">
        <v>0</v>
      </c>
      <c r="I4416" s="229">
        <v>0</v>
      </c>
      <c r="J4416" s="229">
        <v>0</v>
      </c>
    </row>
    <row r="4417" spans="1:10" s="217" customFormat="1">
      <c r="A4417" s="214" t="s">
        <v>175</v>
      </c>
      <c r="B4417" s="214" t="s">
        <v>35</v>
      </c>
      <c r="C4417" s="228">
        <v>0.73263888888888895</v>
      </c>
      <c r="D4417" s="229">
        <v>0</v>
      </c>
      <c r="E4417" s="229">
        <v>0</v>
      </c>
      <c r="F4417" s="229">
        <v>0</v>
      </c>
      <c r="G4417" s="229">
        <v>0</v>
      </c>
      <c r="H4417" s="229">
        <v>0</v>
      </c>
      <c r="I4417" s="229">
        <v>0</v>
      </c>
      <c r="J4417" s="229">
        <v>0</v>
      </c>
    </row>
    <row r="4418" spans="1:10" s="217" customFormat="1">
      <c r="A4418" s="214" t="s">
        <v>175</v>
      </c>
      <c r="B4418" s="214" t="s">
        <v>35</v>
      </c>
      <c r="C4418" s="228">
        <v>0.73333333333333295</v>
      </c>
      <c r="D4418" s="229">
        <v>0</v>
      </c>
      <c r="E4418" s="229">
        <v>0</v>
      </c>
      <c r="F4418" s="229">
        <v>0</v>
      </c>
      <c r="G4418" s="229">
        <v>0</v>
      </c>
      <c r="H4418" s="229">
        <v>0</v>
      </c>
      <c r="I4418" s="229">
        <v>0</v>
      </c>
      <c r="J4418" s="229">
        <v>0</v>
      </c>
    </row>
    <row r="4419" spans="1:10" s="217" customFormat="1">
      <c r="A4419" s="214" t="s">
        <v>175</v>
      </c>
      <c r="B4419" s="214" t="s">
        <v>35</v>
      </c>
      <c r="C4419" s="228">
        <v>0.73402777777777795</v>
      </c>
      <c r="D4419" s="229">
        <v>0</v>
      </c>
      <c r="E4419" s="229">
        <v>0</v>
      </c>
      <c r="F4419" s="229">
        <v>0</v>
      </c>
      <c r="G4419" s="229">
        <v>0</v>
      </c>
      <c r="H4419" s="229">
        <v>0</v>
      </c>
      <c r="I4419" s="229">
        <v>0</v>
      </c>
      <c r="J4419" s="229">
        <v>0</v>
      </c>
    </row>
    <row r="4420" spans="1:10" s="217" customFormat="1">
      <c r="A4420" s="214" t="s">
        <v>175</v>
      </c>
      <c r="B4420" s="214" t="s">
        <v>35</v>
      </c>
      <c r="C4420" s="228">
        <v>0.73472222222222205</v>
      </c>
      <c r="D4420" s="229">
        <v>0</v>
      </c>
      <c r="E4420" s="229">
        <v>0</v>
      </c>
      <c r="F4420" s="229">
        <v>0</v>
      </c>
      <c r="G4420" s="229">
        <v>0</v>
      </c>
      <c r="H4420" s="229">
        <v>0</v>
      </c>
      <c r="I4420" s="229">
        <v>0</v>
      </c>
      <c r="J4420" s="229">
        <v>0</v>
      </c>
    </row>
    <row r="4421" spans="1:10" s="217" customFormat="1">
      <c r="A4421" s="214" t="s">
        <v>175</v>
      </c>
      <c r="B4421" s="214" t="s">
        <v>35</v>
      </c>
      <c r="C4421" s="228">
        <v>0.73541666666666605</v>
      </c>
      <c r="D4421" s="229">
        <v>0</v>
      </c>
      <c r="E4421" s="229">
        <v>0</v>
      </c>
      <c r="F4421" s="229">
        <v>0</v>
      </c>
      <c r="G4421" s="229">
        <v>0</v>
      </c>
      <c r="H4421" s="229">
        <v>0</v>
      </c>
      <c r="I4421" s="229">
        <v>0</v>
      </c>
      <c r="J4421" s="229">
        <v>0</v>
      </c>
    </row>
    <row r="4422" spans="1:10" s="217" customFormat="1">
      <c r="A4422" s="214" t="s">
        <v>175</v>
      </c>
      <c r="B4422" s="214" t="s">
        <v>35</v>
      </c>
      <c r="C4422" s="228">
        <v>0.73611111111111105</v>
      </c>
      <c r="D4422" s="229">
        <v>0</v>
      </c>
      <c r="E4422" s="229">
        <v>0</v>
      </c>
      <c r="F4422" s="229">
        <v>0</v>
      </c>
      <c r="G4422" s="229">
        <v>0</v>
      </c>
      <c r="H4422" s="229">
        <v>0</v>
      </c>
      <c r="I4422" s="229">
        <v>0</v>
      </c>
      <c r="J4422" s="229">
        <v>0</v>
      </c>
    </row>
    <row r="4423" spans="1:10" s="217" customFormat="1">
      <c r="A4423" s="214" t="s">
        <v>175</v>
      </c>
      <c r="B4423" s="214" t="s">
        <v>35</v>
      </c>
      <c r="C4423" s="228">
        <v>0.73680555555555505</v>
      </c>
      <c r="D4423" s="229">
        <v>0</v>
      </c>
      <c r="E4423" s="229">
        <v>0</v>
      </c>
      <c r="F4423" s="229">
        <v>0</v>
      </c>
      <c r="G4423" s="229">
        <v>0</v>
      </c>
      <c r="H4423" s="229">
        <v>0</v>
      </c>
      <c r="I4423" s="229">
        <v>0</v>
      </c>
      <c r="J4423" s="229">
        <v>0</v>
      </c>
    </row>
    <row r="4424" spans="1:10" s="217" customFormat="1">
      <c r="A4424" s="214" t="s">
        <v>175</v>
      </c>
      <c r="B4424" s="214" t="s">
        <v>35</v>
      </c>
      <c r="C4424" s="228">
        <v>0.73750000000000004</v>
      </c>
      <c r="D4424" s="229">
        <v>0</v>
      </c>
      <c r="E4424" s="229">
        <v>0</v>
      </c>
      <c r="F4424" s="229">
        <v>0</v>
      </c>
      <c r="G4424" s="229">
        <v>0</v>
      </c>
      <c r="H4424" s="229">
        <v>0</v>
      </c>
      <c r="I4424" s="229">
        <v>0</v>
      </c>
      <c r="J4424" s="229">
        <v>0</v>
      </c>
    </row>
    <row r="4425" spans="1:10" s="217" customFormat="1">
      <c r="A4425" s="214" t="s">
        <v>175</v>
      </c>
      <c r="B4425" s="214" t="s">
        <v>35</v>
      </c>
      <c r="C4425" s="228">
        <v>0.73819444444444404</v>
      </c>
      <c r="D4425" s="229">
        <v>0</v>
      </c>
      <c r="E4425" s="229">
        <v>0</v>
      </c>
      <c r="F4425" s="229">
        <v>0</v>
      </c>
      <c r="G4425" s="229">
        <v>0</v>
      </c>
      <c r="H4425" s="229">
        <v>0</v>
      </c>
      <c r="I4425" s="229">
        <v>0</v>
      </c>
      <c r="J4425" s="229">
        <v>0</v>
      </c>
    </row>
    <row r="4426" spans="1:10" s="221" customFormat="1">
      <c r="A4426" s="218" t="s">
        <v>175</v>
      </c>
      <c r="B4426" s="218" t="s">
        <v>35</v>
      </c>
      <c r="C4426" s="230">
        <v>0.73888888888888904</v>
      </c>
      <c r="D4426" s="231">
        <v>0</v>
      </c>
      <c r="E4426" s="231">
        <v>0</v>
      </c>
      <c r="F4426" s="231">
        <v>0</v>
      </c>
      <c r="G4426" s="231">
        <v>0</v>
      </c>
      <c r="H4426" s="231">
        <v>0</v>
      </c>
      <c r="I4426" s="231">
        <v>0</v>
      </c>
      <c r="J4426" s="231">
        <v>0</v>
      </c>
    </row>
    <row r="4427" spans="1:10" s="217" customFormat="1">
      <c r="A4427" s="214" t="s">
        <v>175</v>
      </c>
      <c r="B4427" s="214" t="s">
        <v>35</v>
      </c>
      <c r="C4427" s="228">
        <v>0.73958333333333304</v>
      </c>
      <c r="D4427" s="229">
        <v>0</v>
      </c>
      <c r="E4427" s="229">
        <v>0</v>
      </c>
      <c r="F4427" s="229">
        <v>0</v>
      </c>
      <c r="G4427" s="229">
        <v>0</v>
      </c>
      <c r="H4427" s="229">
        <v>0</v>
      </c>
      <c r="I4427" s="229">
        <v>0</v>
      </c>
      <c r="J4427" s="229">
        <v>0</v>
      </c>
    </row>
    <row r="4428" spans="1:10" s="217" customFormat="1">
      <c r="A4428" s="214" t="s">
        <v>175</v>
      </c>
      <c r="B4428" s="214" t="s">
        <v>35</v>
      </c>
      <c r="C4428" s="228">
        <v>0.74027777777777704</v>
      </c>
      <c r="D4428" s="229">
        <v>0</v>
      </c>
      <c r="E4428" s="229">
        <v>0</v>
      </c>
      <c r="F4428" s="229">
        <v>0</v>
      </c>
      <c r="G4428" s="229">
        <v>0</v>
      </c>
      <c r="H4428" s="229">
        <v>0</v>
      </c>
      <c r="I4428" s="229">
        <v>0</v>
      </c>
      <c r="J4428" s="229">
        <v>0</v>
      </c>
    </row>
    <row r="4429" spans="1:10" s="217" customFormat="1">
      <c r="A4429" s="214" t="s">
        <v>175</v>
      </c>
      <c r="B4429" s="214" t="s">
        <v>35</v>
      </c>
      <c r="C4429" s="228">
        <v>0.74097222222222203</v>
      </c>
      <c r="D4429" s="229">
        <v>0</v>
      </c>
      <c r="E4429" s="229">
        <v>0</v>
      </c>
      <c r="F4429" s="229">
        <v>0</v>
      </c>
      <c r="G4429" s="229">
        <v>0</v>
      </c>
      <c r="H4429" s="229">
        <v>0</v>
      </c>
      <c r="I4429" s="229">
        <v>0</v>
      </c>
      <c r="J4429" s="229">
        <v>0</v>
      </c>
    </row>
    <row r="4430" spans="1:10" s="217" customFormat="1">
      <c r="A4430" s="214" t="s">
        <v>175</v>
      </c>
      <c r="B4430" s="214" t="s">
        <v>35</v>
      </c>
      <c r="C4430" s="228">
        <v>0.74166666666666603</v>
      </c>
      <c r="D4430" s="229">
        <v>0</v>
      </c>
      <c r="E4430" s="229">
        <v>0</v>
      </c>
      <c r="F4430" s="229">
        <v>0</v>
      </c>
      <c r="G4430" s="229">
        <v>0</v>
      </c>
      <c r="H4430" s="229">
        <v>0</v>
      </c>
      <c r="I4430" s="229">
        <v>0</v>
      </c>
      <c r="J4430" s="229">
        <v>0</v>
      </c>
    </row>
    <row r="4431" spans="1:10" s="217" customFormat="1">
      <c r="A4431" s="214" t="s">
        <v>175</v>
      </c>
      <c r="B4431" s="214" t="s">
        <v>35</v>
      </c>
      <c r="C4431" s="228">
        <v>0.74236111111111103</v>
      </c>
      <c r="D4431" s="229">
        <v>0</v>
      </c>
      <c r="E4431" s="229">
        <v>0</v>
      </c>
      <c r="F4431" s="229">
        <v>0</v>
      </c>
      <c r="G4431" s="229">
        <v>0</v>
      </c>
      <c r="H4431" s="229">
        <v>0</v>
      </c>
      <c r="I4431" s="229">
        <v>0</v>
      </c>
      <c r="J4431" s="229">
        <v>0</v>
      </c>
    </row>
    <row r="4432" spans="1:10" s="217" customFormat="1">
      <c r="A4432" s="214" t="s">
        <v>175</v>
      </c>
      <c r="B4432" s="214" t="s">
        <v>35</v>
      </c>
      <c r="C4432" s="228">
        <v>0.74305555555555503</v>
      </c>
      <c r="D4432" s="229">
        <v>0</v>
      </c>
      <c r="E4432" s="229">
        <v>0</v>
      </c>
      <c r="F4432" s="229">
        <v>0</v>
      </c>
      <c r="G4432" s="229">
        <v>0</v>
      </c>
      <c r="H4432" s="229">
        <v>0</v>
      </c>
      <c r="I4432" s="229">
        <v>0</v>
      </c>
      <c r="J4432" s="229">
        <v>0</v>
      </c>
    </row>
    <row r="4433" spans="1:10" s="217" customFormat="1">
      <c r="A4433" s="214" t="s">
        <v>175</v>
      </c>
      <c r="B4433" s="214" t="s">
        <v>35</v>
      </c>
      <c r="C4433" s="228">
        <v>0.74375000000000002</v>
      </c>
      <c r="D4433" s="229">
        <v>0</v>
      </c>
      <c r="E4433" s="229">
        <v>0</v>
      </c>
      <c r="F4433" s="229">
        <v>0</v>
      </c>
      <c r="G4433" s="229">
        <v>0</v>
      </c>
      <c r="H4433" s="229">
        <v>0</v>
      </c>
      <c r="I4433" s="229">
        <v>0</v>
      </c>
      <c r="J4433" s="229">
        <v>0</v>
      </c>
    </row>
    <row r="4434" spans="1:10" s="217" customFormat="1">
      <c r="A4434" s="214" t="s">
        <v>175</v>
      </c>
      <c r="B4434" s="214" t="s">
        <v>35</v>
      </c>
      <c r="C4434" s="228">
        <v>0.74444444444444402</v>
      </c>
      <c r="D4434" s="229">
        <v>0</v>
      </c>
      <c r="E4434" s="229">
        <v>0</v>
      </c>
      <c r="F4434" s="229">
        <v>0</v>
      </c>
      <c r="G4434" s="229">
        <v>0</v>
      </c>
      <c r="H4434" s="229">
        <v>0</v>
      </c>
      <c r="I4434" s="229">
        <v>0</v>
      </c>
      <c r="J4434" s="229">
        <v>0</v>
      </c>
    </row>
    <row r="4435" spans="1:10" s="217" customFormat="1">
      <c r="A4435" s="214" t="s">
        <v>175</v>
      </c>
      <c r="B4435" s="214" t="s">
        <v>35</v>
      </c>
      <c r="C4435" s="228">
        <v>0.74513888888888902</v>
      </c>
      <c r="D4435" s="229">
        <v>0</v>
      </c>
      <c r="E4435" s="229">
        <v>0</v>
      </c>
      <c r="F4435" s="229">
        <v>0</v>
      </c>
      <c r="G4435" s="229">
        <v>0</v>
      </c>
      <c r="H4435" s="229">
        <v>0</v>
      </c>
      <c r="I4435" s="229">
        <v>0</v>
      </c>
      <c r="J4435" s="229">
        <v>0</v>
      </c>
    </row>
    <row r="4436" spans="1:10" s="217" customFormat="1">
      <c r="A4436" s="214" t="s">
        <v>175</v>
      </c>
      <c r="B4436" s="214" t="s">
        <v>35</v>
      </c>
      <c r="C4436" s="228">
        <v>0.74583333333333302</v>
      </c>
      <c r="D4436" s="229">
        <v>0</v>
      </c>
      <c r="E4436" s="229">
        <v>0</v>
      </c>
      <c r="F4436" s="229">
        <v>0</v>
      </c>
      <c r="G4436" s="229">
        <v>0</v>
      </c>
      <c r="H4436" s="229">
        <v>0</v>
      </c>
      <c r="I4436" s="229">
        <v>0</v>
      </c>
      <c r="J4436" s="229">
        <v>0</v>
      </c>
    </row>
    <row r="4437" spans="1:10" s="217" customFormat="1">
      <c r="A4437" s="214" t="s">
        <v>175</v>
      </c>
      <c r="B4437" s="214" t="s">
        <v>35</v>
      </c>
      <c r="C4437" s="228">
        <v>0.74652777777777701</v>
      </c>
      <c r="D4437" s="229">
        <v>0</v>
      </c>
      <c r="E4437" s="229">
        <v>0</v>
      </c>
      <c r="F4437" s="229">
        <v>0</v>
      </c>
      <c r="G4437" s="229">
        <v>0</v>
      </c>
      <c r="H4437" s="229">
        <v>0</v>
      </c>
      <c r="I4437" s="229">
        <v>0</v>
      </c>
      <c r="J4437" s="229">
        <v>0</v>
      </c>
    </row>
    <row r="4438" spans="1:10" s="217" customFormat="1">
      <c r="A4438" s="214" t="s">
        <v>175</v>
      </c>
      <c r="B4438" s="214" t="s">
        <v>35</v>
      </c>
      <c r="C4438" s="228">
        <v>0.74722222222222201</v>
      </c>
      <c r="D4438" s="229">
        <v>0</v>
      </c>
      <c r="E4438" s="229">
        <v>0</v>
      </c>
      <c r="F4438" s="229">
        <v>0</v>
      </c>
      <c r="G4438" s="229">
        <v>0</v>
      </c>
      <c r="H4438" s="229">
        <v>0</v>
      </c>
      <c r="I4438" s="229">
        <v>0</v>
      </c>
      <c r="J4438" s="229">
        <v>0</v>
      </c>
    </row>
    <row r="4439" spans="1:10" s="217" customFormat="1">
      <c r="A4439" s="214" t="s">
        <v>175</v>
      </c>
      <c r="B4439" s="214" t="s">
        <v>35</v>
      </c>
      <c r="C4439" s="228">
        <v>0.74791666666666601</v>
      </c>
      <c r="D4439" s="229">
        <v>0</v>
      </c>
      <c r="E4439" s="229">
        <v>0</v>
      </c>
      <c r="F4439" s="229">
        <v>0</v>
      </c>
      <c r="G4439" s="229">
        <v>0</v>
      </c>
      <c r="H4439" s="229">
        <v>0</v>
      </c>
      <c r="I4439" s="229">
        <v>0</v>
      </c>
      <c r="J4439" s="229">
        <v>0</v>
      </c>
    </row>
    <row r="4440" spans="1:10" s="217" customFormat="1">
      <c r="A4440" s="214" t="s">
        <v>175</v>
      </c>
      <c r="B4440" s="214" t="s">
        <v>35</v>
      </c>
      <c r="C4440" s="228">
        <v>0.74861111111111101</v>
      </c>
      <c r="D4440" s="229">
        <v>0</v>
      </c>
      <c r="E4440" s="229">
        <v>0</v>
      </c>
      <c r="F4440" s="229">
        <v>0</v>
      </c>
      <c r="G4440" s="229">
        <v>0</v>
      </c>
      <c r="H4440" s="229">
        <v>0</v>
      </c>
      <c r="I4440" s="229">
        <v>0</v>
      </c>
      <c r="J4440" s="229">
        <v>0</v>
      </c>
    </row>
    <row r="4441" spans="1:10" s="221" customFormat="1">
      <c r="A4441" s="218" t="s">
        <v>175</v>
      </c>
      <c r="B4441" s="218" t="s">
        <v>35</v>
      </c>
      <c r="C4441" s="230">
        <v>0.749305555555555</v>
      </c>
      <c r="D4441" s="231">
        <v>0</v>
      </c>
      <c r="E4441" s="231">
        <v>0</v>
      </c>
      <c r="F4441" s="231">
        <v>0</v>
      </c>
      <c r="G4441" s="231">
        <v>0</v>
      </c>
      <c r="H4441" s="231">
        <v>0</v>
      </c>
      <c r="I4441" s="231">
        <v>0</v>
      </c>
      <c r="J4441" s="231">
        <v>0</v>
      </c>
    </row>
    <row r="4442" spans="1:10" s="217" customFormat="1">
      <c r="A4442" s="214" t="s">
        <v>175</v>
      </c>
      <c r="B4442" s="214" t="s">
        <v>12</v>
      </c>
      <c r="C4442" s="228">
        <v>0.75</v>
      </c>
      <c r="D4442" s="229">
        <v>0</v>
      </c>
      <c r="E4442" s="229">
        <v>0</v>
      </c>
      <c r="F4442" s="229">
        <v>0</v>
      </c>
      <c r="G4442" s="229">
        <v>0</v>
      </c>
      <c r="H4442" s="229">
        <v>0</v>
      </c>
      <c r="I4442" s="229">
        <v>0</v>
      </c>
      <c r="J4442" s="229">
        <v>0</v>
      </c>
    </row>
    <row r="4443" spans="1:10" s="217" customFormat="1">
      <c r="A4443" s="214" t="s">
        <v>175</v>
      </c>
      <c r="B4443" s="214" t="s">
        <v>12</v>
      </c>
      <c r="C4443" s="228">
        <v>0.75069444444444444</v>
      </c>
      <c r="D4443" s="229">
        <v>0</v>
      </c>
      <c r="E4443" s="229">
        <v>0</v>
      </c>
      <c r="F4443" s="229">
        <v>0</v>
      </c>
      <c r="G4443" s="229">
        <v>0</v>
      </c>
      <c r="H4443" s="229">
        <v>0</v>
      </c>
      <c r="I4443" s="229">
        <v>0</v>
      </c>
      <c r="J4443" s="229">
        <v>0</v>
      </c>
    </row>
    <row r="4444" spans="1:10" s="217" customFormat="1">
      <c r="A4444" s="214" t="s">
        <v>175</v>
      </c>
      <c r="B4444" s="214" t="s">
        <v>12</v>
      </c>
      <c r="C4444" s="228">
        <v>0.75138888888888899</v>
      </c>
      <c r="D4444" s="229">
        <v>0</v>
      </c>
      <c r="E4444" s="229">
        <v>0</v>
      </c>
      <c r="F4444" s="229">
        <v>0</v>
      </c>
      <c r="G4444" s="229">
        <v>0</v>
      </c>
      <c r="H4444" s="229">
        <v>0</v>
      </c>
      <c r="I4444" s="229">
        <v>0</v>
      </c>
      <c r="J4444" s="229">
        <v>0</v>
      </c>
    </row>
    <row r="4445" spans="1:10" s="217" customFormat="1">
      <c r="A4445" s="214" t="s">
        <v>175</v>
      </c>
      <c r="B4445" s="214" t="s">
        <v>12</v>
      </c>
      <c r="C4445" s="228">
        <v>0.75208333333333299</v>
      </c>
      <c r="D4445" s="229">
        <v>0</v>
      </c>
      <c r="E4445" s="229">
        <v>0</v>
      </c>
      <c r="F4445" s="229">
        <v>0</v>
      </c>
      <c r="G4445" s="229">
        <v>0</v>
      </c>
      <c r="H4445" s="229">
        <v>0</v>
      </c>
      <c r="I4445" s="229">
        <v>0</v>
      </c>
      <c r="J4445" s="229">
        <v>0</v>
      </c>
    </row>
    <row r="4446" spans="1:10" s="217" customFormat="1">
      <c r="A4446" s="214" t="s">
        <v>175</v>
      </c>
      <c r="B4446" s="214" t="s">
        <v>12</v>
      </c>
      <c r="C4446" s="228">
        <v>0.75277777777777799</v>
      </c>
      <c r="D4446" s="229">
        <v>0</v>
      </c>
      <c r="E4446" s="229">
        <v>0</v>
      </c>
      <c r="F4446" s="229">
        <v>0</v>
      </c>
      <c r="G4446" s="229">
        <v>0</v>
      </c>
      <c r="H4446" s="229">
        <v>0</v>
      </c>
      <c r="I4446" s="229">
        <v>0</v>
      </c>
      <c r="J4446" s="229">
        <v>0</v>
      </c>
    </row>
    <row r="4447" spans="1:10" s="217" customFormat="1">
      <c r="A4447" s="214" t="s">
        <v>175</v>
      </c>
      <c r="B4447" s="214" t="s">
        <v>12</v>
      </c>
      <c r="C4447" s="228">
        <v>0.75347222222222199</v>
      </c>
      <c r="D4447" s="229">
        <v>0</v>
      </c>
      <c r="E4447" s="229">
        <v>0</v>
      </c>
      <c r="F4447" s="229">
        <v>0</v>
      </c>
      <c r="G4447" s="229">
        <v>0</v>
      </c>
      <c r="H4447" s="229">
        <v>0</v>
      </c>
      <c r="I4447" s="229">
        <v>0</v>
      </c>
      <c r="J4447" s="229">
        <v>0</v>
      </c>
    </row>
    <row r="4448" spans="1:10" s="217" customFormat="1">
      <c r="A4448" s="214" t="s">
        <v>175</v>
      </c>
      <c r="B4448" s="214" t="s">
        <v>12</v>
      </c>
      <c r="C4448" s="228">
        <v>0.75416666666666698</v>
      </c>
      <c r="D4448" s="229">
        <v>0</v>
      </c>
      <c r="E4448" s="229">
        <v>0</v>
      </c>
      <c r="F4448" s="229">
        <v>0</v>
      </c>
      <c r="G4448" s="229">
        <v>0</v>
      </c>
      <c r="H4448" s="229">
        <v>0</v>
      </c>
      <c r="I4448" s="229">
        <v>0</v>
      </c>
      <c r="J4448" s="229">
        <v>0</v>
      </c>
    </row>
    <row r="4449" spans="1:10" s="217" customFormat="1">
      <c r="A4449" s="214" t="s">
        <v>175</v>
      </c>
      <c r="B4449" s="214" t="s">
        <v>12</v>
      </c>
      <c r="C4449" s="228">
        <v>0.75486111111111098</v>
      </c>
      <c r="D4449" s="229">
        <v>0</v>
      </c>
      <c r="E4449" s="229">
        <v>0</v>
      </c>
      <c r="F4449" s="229">
        <v>0</v>
      </c>
      <c r="G4449" s="229">
        <v>0</v>
      </c>
      <c r="H4449" s="229">
        <v>0</v>
      </c>
      <c r="I4449" s="229">
        <v>0</v>
      </c>
      <c r="J4449" s="229">
        <v>0</v>
      </c>
    </row>
    <row r="4450" spans="1:10" s="217" customFormat="1">
      <c r="A4450" s="214" t="s">
        <v>175</v>
      </c>
      <c r="B4450" s="214" t="s">
        <v>12</v>
      </c>
      <c r="C4450" s="228">
        <v>0.75555555555555598</v>
      </c>
      <c r="D4450" s="229">
        <v>0</v>
      </c>
      <c r="E4450" s="229">
        <v>0</v>
      </c>
      <c r="F4450" s="229">
        <v>0</v>
      </c>
      <c r="G4450" s="229">
        <v>0</v>
      </c>
      <c r="H4450" s="229">
        <v>0</v>
      </c>
      <c r="I4450" s="229">
        <v>0</v>
      </c>
      <c r="J4450" s="229">
        <v>0</v>
      </c>
    </row>
    <row r="4451" spans="1:10" s="217" customFormat="1">
      <c r="A4451" s="214" t="s">
        <v>175</v>
      </c>
      <c r="B4451" s="214" t="s">
        <v>12</v>
      </c>
      <c r="C4451" s="228">
        <v>0.75624999999999998</v>
      </c>
      <c r="D4451" s="229">
        <v>0</v>
      </c>
      <c r="E4451" s="229">
        <v>0</v>
      </c>
      <c r="F4451" s="229">
        <v>0</v>
      </c>
      <c r="G4451" s="229">
        <v>0</v>
      </c>
      <c r="H4451" s="229">
        <v>0</v>
      </c>
      <c r="I4451" s="229">
        <v>0</v>
      </c>
      <c r="J4451" s="229">
        <v>0</v>
      </c>
    </row>
    <row r="4452" spans="1:10" s="217" customFormat="1">
      <c r="A4452" s="214" t="s">
        <v>175</v>
      </c>
      <c r="B4452" s="214" t="s">
        <v>12</v>
      </c>
      <c r="C4452" s="228">
        <v>0.75694444444444398</v>
      </c>
      <c r="D4452" s="229">
        <v>0</v>
      </c>
      <c r="E4452" s="229">
        <v>0</v>
      </c>
      <c r="F4452" s="229">
        <v>0</v>
      </c>
      <c r="G4452" s="229">
        <v>0</v>
      </c>
      <c r="H4452" s="229">
        <v>0</v>
      </c>
      <c r="I4452" s="229">
        <v>0</v>
      </c>
      <c r="J4452" s="229">
        <v>0</v>
      </c>
    </row>
    <row r="4453" spans="1:10" s="217" customFormat="1">
      <c r="A4453" s="214" t="s">
        <v>175</v>
      </c>
      <c r="B4453" s="214" t="s">
        <v>12</v>
      </c>
      <c r="C4453" s="228">
        <v>0.75763888888888897</v>
      </c>
      <c r="D4453" s="229">
        <v>0</v>
      </c>
      <c r="E4453" s="229">
        <v>0</v>
      </c>
      <c r="F4453" s="229">
        <v>0</v>
      </c>
      <c r="G4453" s="229">
        <v>0</v>
      </c>
      <c r="H4453" s="229">
        <v>0</v>
      </c>
      <c r="I4453" s="229">
        <v>0</v>
      </c>
      <c r="J4453" s="229">
        <v>0</v>
      </c>
    </row>
    <row r="4454" spans="1:10" s="217" customFormat="1">
      <c r="A4454" s="214" t="s">
        <v>175</v>
      </c>
      <c r="B4454" s="214" t="s">
        <v>12</v>
      </c>
      <c r="C4454" s="228">
        <v>0.75833333333333297</v>
      </c>
      <c r="D4454" s="229">
        <v>0</v>
      </c>
      <c r="E4454" s="229">
        <v>0</v>
      </c>
      <c r="F4454" s="229">
        <v>0</v>
      </c>
      <c r="G4454" s="229">
        <v>0</v>
      </c>
      <c r="H4454" s="229">
        <v>0</v>
      </c>
      <c r="I4454" s="229">
        <v>0</v>
      </c>
      <c r="J4454" s="229">
        <v>0</v>
      </c>
    </row>
    <row r="4455" spans="1:10" s="217" customFormat="1">
      <c r="A4455" s="214" t="s">
        <v>175</v>
      </c>
      <c r="B4455" s="214" t="s">
        <v>12</v>
      </c>
      <c r="C4455" s="228">
        <v>0.75902777777777797</v>
      </c>
      <c r="D4455" s="229">
        <v>0</v>
      </c>
      <c r="E4455" s="229">
        <v>0</v>
      </c>
      <c r="F4455" s="229">
        <v>0</v>
      </c>
      <c r="G4455" s="229">
        <v>0</v>
      </c>
      <c r="H4455" s="229">
        <v>0</v>
      </c>
      <c r="I4455" s="229">
        <v>0</v>
      </c>
      <c r="J4455" s="229">
        <v>0</v>
      </c>
    </row>
    <row r="4456" spans="1:10" s="221" customFormat="1">
      <c r="A4456" s="218" t="s">
        <v>175</v>
      </c>
      <c r="B4456" s="218" t="s">
        <v>12</v>
      </c>
      <c r="C4456" s="230">
        <v>0.75972222222222197</v>
      </c>
      <c r="D4456" s="231">
        <v>0</v>
      </c>
      <c r="E4456" s="231">
        <v>0</v>
      </c>
      <c r="F4456" s="231">
        <v>0</v>
      </c>
      <c r="G4456" s="231">
        <v>0</v>
      </c>
      <c r="H4456" s="231">
        <v>0</v>
      </c>
      <c r="I4456" s="231">
        <v>0</v>
      </c>
      <c r="J4456" s="231">
        <v>0</v>
      </c>
    </row>
    <row r="4457" spans="1:10" s="217" customFormat="1">
      <c r="A4457" s="214" t="s">
        <v>175</v>
      </c>
      <c r="B4457" s="214" t="s">
        <v>12</v>
      </c>
      <c r="C4457" s="228">
        <v>0.76041666666666696</v>
      </c>
      <c r="D4457" s="229">
        <v>0</v>
      </c>
      <c r="E4457" s="229">
        <v>0</v>
      </c>
      <c r="F4457" s="229">
        <v>0</v>
      </c>
      <c r="G4457" s="229">
        <v>0</v>
      </c>
      <c r="H4457" s="229">
        <v>0</v>
      </c>
      <c r="I4457" s="229">
        <v>0</v>
      </c>
      <c r="J4457" s="229">
        <v>0</v>
      </c>
    </row>
    <row r="4458" spans="1:10" s="217" customFormat="1">
      <c r="A4458" s="214" t="s">
        <v>175</v>
      </c>
      <c r="B4458" s="214" t="s">
        <v>12</v>
      </c>
      <c r="C4458" s="228">
        <v>0.76111111111111096</v>
      </c>
      <c r="D4458" s="229">
        <v>0</v>
      </c>
      <c r="E4458" s="229">
        <v>0</v>
      </c>
      <c r="F4458" s="229">
        <v>0</v>
      </c>
      <c r="G4458" s="229">
        <v>0</v>
      </c>
      <c r="H4458" s="229">
        <v>0</v>
      </c>
      <c r="I4458" s="229">
        <v>0</v>
      </c>
      <c r="J4458" s="229">
        <v>0</v>
      </c>
    </row>
    <row r="4459" spans="1:10" s="217" customFormat="1">
      <c r="A4459" s="214" t="s">
        <v>175</v>
      </c>
      <c r="B4459" s="214" t="s">
        <v>12</v>
      </c>
      <c r="C4459" s="228">
        <v>0.76180555555555596</v>
      </c>
      <c r="D4459" s="229">
        <v>0</v>
      </c>
      <c r="E4459" s="229">
        <v>0</v>
      </c>
      <c r="F4459" s="229">
        <v>0</v>
      </c>
      <c r="G4459" s="229">
        <v>0</v>
      </c>
      <c r="H4459" s="229">
        <v>0</v>
      </c>
      <c r="I4459" s="229">
        <v>0</v>
      </c>
      <c r="J4459" s="229">
        <v>0</v>
      </c>
    </row>
    <row r="4460" spans="1:10" s="217" customFormat="1">
      <c r="A4460" s="214" t="s">
        <v>175</v>
      </c>
      <c r="B4460" s="214" t="s">
        <v>12</v>
      </c>
      <c r="C4460" s="228">
        <v>0.76249999999999996</v>
      </c>
      <c r="D4460" s="229">
        <v>0</v>
      </c>
      <c r="E4460" s="229">
        <v>0</v>
      </c>
      <c r="F4460" s="229">
        <v>0</v>
      </c>
      <c r="G4460" s="229">
        <v>0</v>
      </c>
      <c r="H4460" s="229">
        <v>0</v>
      </c>
      <c r="I4460" s="229">
        <v>0</v>
      </c>
      <c r="J4460" s="229">
        <v>0</v>
      </c>
    </row>
    <row r="4461" spans="1:10" s="217" customFormat="1">
      <c r="A4461" s="214" t="s">
        <v>175</v>
      </c>
      <c r="B4461" s="214" t="s">
        <v>12</v>
      </c>
      <c r="C4461" s="228">
        <v>0.76319444444444395</v>
      </c>
      <c r="D4461" s="229">
        <v>0</v>
      </c>
      <c r="E4461" s="229">
        <v>0</v>
      </c>
      <c r="F4461" s="229">
        <v>0</v>
      </c>
      <c r="G4461" s="229">
        <v>0</v>
      </c>
      <c r="H4461" s="229">
        <v>0</v>
      </c>
      <c r="I4461" s="229">
        <v>0</v>
      </c>
      <c r="J4461" s="229">
        <v>0</v>
      </c>
    </row>
    <row r="4462" spans="1:10" s="217" customFormat="1">
      <c r="A4462" s="214" t="s">
        <v>175</v>
      </c>
      <c r="B4462" s="214" t="s">
        <v>12</v>
      </c>
      <c r="C4462" s="228">
        <v>0.76388888888888895</v>
      </c>
      <c r="D4462" s="229">
        <v>0</v>
      </c>
      <c r="E4462" s="229">
        <v>0</v>
      </c>
      <c r="F4462" s="229">
        <v>0</v>
      </c>
      <c r="G4462" s="229">
        <v>0</v>
      </c>
      <c r="H4462" s="229">
        <v>0</v>
      </c>
      <c r="I4462" s="229">
        <v>0</v>
      </c>
      <c r="J4462" s="229">
        <v>0</v>
      </c>
    </row>
    <row r="4463" spans="1:10" s="217" customFormat="1">
      <c r="A4463" s="214" t="s">
        <v>175</v>
      </c>
      <c r="B4463" s="214" t="s">
        <v>12</v>
      </c>
      <c r="C4463" s="228">
        <v>0.76458333333333295</v>
      </c>
      <c r="D4463" s="229">
        <v>0</v>
      </c>
      <c r="E4463" s="229">
        <v>0</v>
      </c>
      <c r="F4463" s="229">
        <v>0</v>
      </c>
      <c r="G4463" s="229">
        <v>0</v>
      </c>
      <c r="H4463" s="229">
        <v>0</v>
      </c>
      <c r="I4463" s="229">
        <v>0</v>
      </c>
      <c r="J4463" s="229">
        <v>0</v>
      </c>
    </row>
    <row r="4464" spans="1:10" s="217" customFormat="1">
      <c r="A4464" s="214" t="s">
        <v>175</v>
      </c>
      <c r="B4464" s="214" t="s">
        <v>12</v>
      </c>
      <c r="C4464" s="228">
        <v>0.76527777777777795</v>
      </c>
      <c r="D4464" s="229">
        <v>0</v>
      </c>
      <c r="E4464" s="229">
        <v>0</v>
      </c>
      <c r="F4464" s="229">
        <v>0</v>
      </c>
      <c r="G4464" s="229">
        <v>0</v>
      </c>
      <c r="H4464" s="229">
        <v>0</v>
      </c>
      <c r="I4464" s="229">
        <v>0</v>
      </c>
      <c r="J4464" s="229">
        <v>0</v>
      </c>
    </row>
    <row r="4465" spans="1:10" s="217" customFormat="1">
      <c r="A4465" s="214" t="s">
        <v>175</v>
      </c>
      <c r="B4465" s="214" t="s">
        <v>12</v>
      </c>
      <c r="C4465" s="228">
        <v>0.76597222222222205</v>
      </c>
      <c r="D4465" s="229">
        <v>0</v>
      </c>
      <c r="E4465" s="229">
        <v>0</v>
      </c>
      <c r="F4465" s="229">
        <v>0</v>
      </c>
      <c r="G4465" s="229">
        <v>0</v>
      </c>
      <c r="H4465" s="229">
        <v>0</v>
      </c>
      <c r="I4465" s="229">
        <v>0</v>
      </c>
      <c r="J4465" s="229">
        <v>0</v>
      </c>
    </row>
    <row r="4466" spans="1:10" s="217" customFormat="1">
      <c r="A4466" s="214" t="s">
        <v>175</v>
      </c>
      <c r="B4466" s="214" t="s">
        <v>12</v>
      </c>
      <c r="C4466" s="228">
        <v>0.76666666666666705</v>
      </c>
      <c r="D4466" s="229">
        <v>0</v>
      </c>
      <c r="E4466" s="229">
        <v>0</v>
      </c>
      <c r="F4466" s="229">
        <v>0</v>
      </c>
      <c r="G4466" s="229">
        <v>0</v>
      </c>
      <c r="H4466" s="229">
        <v>0</v>
      </c>
      <c r="I4466" s="229">
        <v>0</v>
      </c>
      <c r="J4466" s="229">
        <v>0</v>
      </c>
    </row>
    <row r="4467" spans="1:10" s="217" customFormat="1">
      <c r="A4467" s="214" t="s">
        <v>175</v>
      </c>
      <c r="B4467" s="214" t="s">
        <v>12</v>
      </c>
      <c r="C4467" s="228">
        <v>0.76736111111111105</v>
      </c>
      <c r="D4467" s="229">
        <v>0</v>
      </c>
      <c r="E4467" s="229">
        <v>0</v>
      </c>
      <c r="F4467" s="229">
        <v>0</v>
      </c>
      <c r="G4467" s="229">
        <v>0</v>
      </c>
      <c r="H4467" s="229">
        <v>0</v>
      </c>
      <c r="I4467" s="229">
        <v>0</v>
      </c>
      <c r="J4467" s="229">
        <v>0</v>
      </c>
    </row>
    <row r="4468" spans="1:10" s="217" customFormat="1">
      <c r="A4468" s="214" t="s">
        <v>175</v>
      </c>
      <c r="B4468" s="214" t="s">
        <v>12</v>
      </c>
      <c r="C4468" s="228">
        <v>0.76805555555555505</v>
      </c>
      <c r="D4468" s="229">
        <v>0</v>
      </c>
      <c r="E4468" s="229">
        <v>0</v>
      </c>
      <c r="F4468" s="229">
        <v>0</v>
      </c>
      <c r="G4468" s="229">
        <v>0</v>
      </c>
      <c r="H4468" s="229">
        <v>0</v>
      </c>
      <c r="I4468" s="229">
        <v>0</v>
      </c>
      <c r="J4468" s="229">
        <v>0</v>
      </c>
    </row>
    <row r="4469" spans="1:10" s="217" customFormat="1">
      <c r="A4469" s="214" t="s">
        <v>175</v>
      </c>
      <c r="B4469" s="214" t="s">
        <v>12</v>
      </c>
      <c r="C4469" s="228">
        <v>0.76875000000000004</v>
      </c>
      <c r="D4469" s="229">
        <v>0</v>
      </c>
      <c r="E4469" s="229">
        <v>0</v>
      </c>
      <c r="F4469" s="229">
        <v>0</v>
      </c>
      <c r="G4469" s="229">
        <v>0</v>
      </c>
      <c r="H4469" s="229">
        <v>0</v>
      </c>
      <c r="I4469" s="229">
        <v>0</v>
      </c>
      <c r="J4469" s="229">
        <v>0</v>
      </c>
    </row>
    <row r="4470" spans="1:10" s="217" customFormat="1">
      <c r="A4470" s="214" t="s">
        <v>175</v>
      </c>
      <c r="B4470" s="214" t="s">
        <v>12</v>
      </c>
      <c r="C4470" s="228">
        <v>0.76944444444444404</v>
      </c>
      <c r="D4470" s="229">
        <v>0</v>
      </c>
      <c r="E4470" s="229">
        <v>0</v>
      </c>
      <c r="F4470" s="229">
        <v>0</v>
      </c>
      <c r="G4470" s="229">
        <v>0</v>
      </c>
      <c r="H4470" s="229">
        <v>0</v>
      </c>
      <c r="I4470" s="229">
        <v>0</v>
      </c>
      <c r="J4470" s="229">
        <v>0</v>
      </c>
    </row>
    <row r="4471" spans="1:10" s="221" customFormat="1">
      <c r="A4471" s="218" t="s">
        <v>175</v>
      </c>
      <c r="B4471" s="218" t="s">
        <v>12</v>
      </c>
      <c r="C4471" s="230">
        <v>0.77013888888888904</v>
      </c>
      <c r="D4471" s="231">
        <v>0</v>
      </c>
      <c r="E4471" s="231">
        <v>0</v>
      </c>
      <c r="F4471" s="231">
        <v>0</v>
      </c>
      <c r="G4471" s="231">
        <v>0</v>
      </c>
      <c r="H4471" s="231">
        <v>0</v>
      </c>
      <c r="I4471" s="231">
        <v>0</v>
      </c>
      <c r="J4471" s="231">
        <v>0</v>
      </c>
    </row>
    <row r="4472" spans="1:10" s="217" customFormat="1">
      <c r="A4472" s="214" t="s">
        <v>175</v>
      </c>
      <c r="B4472" s="214" t="s">
        <v>12</v>
      </c>
      <c r="C4472" s="228">
        <v>0.77083333333333304</v>
      </c>
      <c r="D4472" s="229">
        <v>0</v>
      </c>
      <c r="E4472" s="229">
        <v>0</v>
      </c>
      <c r="F4472" s="229">
        <v>0</v>
      </c>
      <c r="G4472" s="229">
        <v>0</v>
      </c>
      <c r="H4472" s="229">
        <v>0</v>
      </c>
      <c r="I4472" s="229">
        <v>0</v>
      </c>
      <c r="J4472" s="229">
        <v>0</v>
      </c>
    </row>
    <row r="4473" spans="1:10" s="217" customFormat="1">
      <c r="A4473" s="214" t="s">
        <v>175</v>
      </c>
      <c r="B4473" s="214" t="s">
        <v>12</v>
      </c>
      <c r="C4473" s="228">
        <v>0.77152777777777803</v>
      </c>
      <c r="D4473" s="229">
        <v>0</v>
      </c>
      <c r="E4473" s="229">
        <v>0</v>
      </c>
      <c r="F4473" s="229">
        <v>0</v>
      </c>
      <c r="G4473" s="229">
        <v>0</v>
      </c>
      <c r="H4473" s="229">
        <v>0</v>
      </c>
      <c r="I4473" s="229">
        <v>0</v>
      </c>
      <c r="J4473" s="229">
        <v>0</v>
      </c>
    </row>
    <row r="4474" spans="1:10" s="217" customFormat="1">
      <c r="A4474" s="214" t="s">
        <v>175</v>
      </c>
      <c r="B4474" s="214" t="s">
        <v>12</v>
      </c>
      <c r="C4474" s="228">
        <v>0.77222222222222203</v>
      </c>
      <c r="D4474" s="229">
        <v>0</v>
      </c>
      <c r="E4474" s="229">
        <v>0</v>
      </c>
      <c r="F4474" s="229">
        <v>0</v>
      </c>
      <c r="G4474" s="229">
        <v>0</v>
      </c>
      <c r="H4474" s="229">
        <v>0</v>
      </c>
      <c r="I4474" s="229">
        <v>0</v>
      </c>
      <c r="J4474" s="229">
        <v>0</v>
      </c>
    </row>
    <row r="4475" spans="1:10" s="217" customFormat="1">
      <c r="A4475" s="214" t="s">
        <v>175</v>
      </c>
      <c r="B4475" s="214" t="s">
        <v>12</v>
      </c>
      <c r="C4475" s="228">
        <v>0.77291666666666703</v>
      </c>
      <c r="D4475" s="229">
        <v>0</v>
      </c>
      <c r="E4475" s="229">
        <v>0</v>
      </c>
      <c r="F4475" s="229">
        <v>0</v>
      </c>
      <c r="G4475" s="229">
        <v>0</v>
      </c>
      <c r="H4475" s="229">
        <v>0</v>
      </c>
      <c r="I4475" s="229">
        <v>0</v>
      </c>
      <c r="J4475" s="229">
        <v>0</v>
      </c>
    </row>
    <row r="4476" spans="1:10" s="217" customFormat="1">
      <c r="A4476" s="214" t="s">
        <v>175</v>
      </c>
      <c r="B4476" s="214" t="s">
        <v>12</v>
      </c>
      <c r="C4476" s="228">
        <v>0.77361111111111103</v>
      </c>
      <c r="D4476" s="229">
        <v>0</v>
      </c>
      <c r="E4476" s="229">
        <v>0</v>
      </c>
      <c r="F4476" s="229">
        <v>0</v>
      </c>
      <c r="G4476" s="229">
        <v>0</v>
      </c>
      <c r="H4476" s="229">
        <v>0</v>
      </c>
      <c r="I4476" s="229">
        <v>0</v>
      </c>
      <c r="J4476" s="229">
        <v>0</v>
      </c>
    </row>
    <row r="4477" spans="1:10" s="217" customFormat="1">
      <c r="A4477" s="214" t="s">
        <v>175</v>
      </c>
      <c r="B4477" s="214" t="s">
        <v>12</v>
      </c>
      <c r="C4477" s="228">
        <v>0.77430555555555503</v>
      </c>
      <c r="D4477" s="229">
        <v>0</v>
      </c>
      <c r="E4477" s="229">
        <v>0</v>
      </c>
      <c r="F4477" s="229">
        <v>0</v>
      </c>
      <c r="G4477" s="229">
        <v>0</v>
      </c>
      <c r="H4477" s="229">
        <v>0</v>
      </c>
      <c r="I4477" s="229">
        <v>0</v>
      </c>
      <c r="J4477" s="229">
        <v>0</v>
      </c>
    </row>
    <row r="4478" spans="1:10" s="217" customFormat="1">
      <c r="A4478" s="214" t="s">
        <v>175</v>
      </c>
      <c r="B4478" s="214" t="s">
        <v>12</v>
      </c>
      <c r="C4478" s="228">
        <v>0.77500000000000002</v>
      </c>
      <c r="D4478" s="229">
        <v>0</v>
      </c>
      <c r="E4478" s="229">
        <v>0</v>
      </c>
      <c r="F4478" s="229">
        <v>0</v>
      </c>
      <c r="G4478" s="229">
        <v>0</v>
      </c>
      <c r="H4478" s="229">
        <v>0</v>
      </c>
      <c r="I4478" s="229">
        <v>0</v>
      </c>
      <c r="J4478" s="229">
        <v>0</v>
      </c>
    </row>
    <row r="4479" spans="1:10" s="217" customFormat="1">
      <c r="A4479" s="214" t="s">
        <v>175</v>
      </c>
      <c r="B4479" s="214" t="s">
        <v>12</v>
      </c>
      <c r="C4479" s="228">
        <v>0.77569444444444402</v>
      </c>
      <c r="D4479" s="229">
        <v>0</v>
      </c>
      <c r="E4479" s="229">
        <v>0</v>
      </c>
      <c r="F4479" s="229">
        <v>0</v>
      </c>
      <c r="G4479" s="229">
        <v>0</v>
      </c>
      <c r="H4479" s="229">
        <v>0</v>
      </c>
      <c r="I4479" s="229">
        <v>0</v>
      </c>
      <c r="J4479" s="229">
        <v>0</v>
      </c>
    </row>
    <row r="4480" spans="1:10" s="217" customFormat="1">
      <c r="A4480" s="214" t="s">
        <v>175</v>
      </c>
      <c r="B4480" s="214" t="s">
        <v>12</v>
      </c>
      <c r="C4480" s="228">
        <v>0.77638888888888902</v>
      </c>
      <c r="D4480" s="229">
        <v>0</v>
      </c>
      <c r="E4480" s="229">
        <v>0</v>
      </c>
      <c r="F4480" s="229">
        <v>0</v>
      </c>
      <c r="G4480" s="229">
        <v>0</v>
      </c>
      <c r="H4480" s="229">
        <v>0</v>
      </c>
      <c r="I4480" s="229">
        <v>0</v>
      </c>
      <c r="J4480" s="229">
        <v>0</v>
      </c>
    </row>
    <row r="4481" spans="1:10" s="217" customFormat="1">
      <c r="A4481" s="214" t="s">
        <v>175</v>
      </c>
      <c r="B4481" s="214" t="s">
        <v>12</v>
      </c>
      <c r="C4481" s="228">
        <v>0.77708333333333302</v>
      </c>
      <c r="D4481" s="229">
        <v>0</v>
      </c>
      <c r="E4481" s="229">
        <v>0</v>
      </c>
      <c r="F4481" s="229">
        <v>0</v>
      </c>
      <c r="G4481" s="229">
        <v>0</v>
      </c>
      <c r="H4481" s="229">
        <v>0</v>
      </c>
      <c r="I4481" s="229">
        <v>0</v>
      </c>
      <c r="J4481" s="229">
        <v>0</v>
      </c>
    </row>
    <row r="4482" spans="1:10" s="217" customFormat="1">
      <c r="A4482" s="214" t="s">
        <v>175</v>
      </c>
      <c r="B4482" s="214" t="s">
        <v>12</v>
      </c>
      <c r="C4482" s="228">
        <v>0.77777777777777801</v>
      </c>
      <c r="D4482" s="229">
        <v>0</v>
      </c>
      <c r="E4482" s="229">
        <v>0</v>
      </c>
      <c r="F4482" s="229">
        <v>0</v>
      </c>
      <c r="G4482" s="229">
        <v>0</v>
      </c>
      <c r="H4482" s="229">
        <v>0</v>
      </c>
      <c r="I4482" s="229">
        <v>0</v>
      </c>
      <c r="J4482" s="229">
        <v>0</v>
      </c>
    </row>
    <row r="4483" spans="1:10" s="217" customFormat="1">
      <c r="A4483" s="214" t="s">
        <v>175</v>
      </c>
      <c r="B4483" s="214" t="s">
        <v>12</v>
      </c>
      <c r="C4483" s="228">
        <v>0.77847222222222201</v>
      </c>
      <c r="D4483" s="229">
        <v>0</v>
      </c>
      <c r="E4483" s="229">
        <v>0</v>
      </c>
      <c r="F4483" s="229">
        <v>0</v>
      </c>
      <c r="G4483" s="229">
        <v>0</v>
      </c>
      <c r="H4483" s="229">
        <v>0</v>
      </c>
      <c r="I4483" s="229">
        <v>0</v>
      </c>
      <c r="J4483" s="229">
        <v>0</v>
      </c>
    </row>
    <row r="4484" spans="1:10" s="217" customFormat="1">
      <c r="A4484" s="214" t="s">
        <v>175</v>
      </c>
      <c r="B4484" s="214" t="s">
        <v>12</v>
      </c>
      <c r="C4484" s="228">
        <v>0.77916666666666701</v>
      </c>
      <c r="D4484" s="229">
        <v>0</v>
      </c>
      <c r="E4484" s="229">
        <v>0</v>
      </c>
      <c r="F4484" s="229">
        <v>0</v>
      </c>
      <c r="G4484" s="229">
        <v>0</v>
      </c>
      <c r="H4484" s="229">
        <v>0</v>
      </c>
      <c r="I4484" s="229">
        <v>0</v>
      </c>
      <c r="J4484" s="229">
        <v>0</v>
      </c>
    </row>
    <row r="4485" spans="1:10" s="217" customFormat="1">
      <c r="A4485" s="214" t="s">
        <v>175</v>
      </c>
      <c r="B4485" s="214" t="s">
        <v>12</v>
      </c>
      <c r="C4485" s="228">
        <v>0.77986111111111101</v>
      </c>
      <c r="D4485" s="229">
        <v>0</v>
      </c>
      <c r="E4485" s="229">
        <v>0</v>
      </c>
      <c r="F4485" s="229">
        <v>0</v>
      </c>
      <c r="G4485" s="229">
        <v>0</v>
      </c>
      <c r="H4485" s="229">
        <v>0</v>
      </c>
      <c r="I4485" s="229">
        <v>0</v>
      </c>
      <c r="J4485" s="229">
        <v>0</v>
      </c>
    </row>
    <row r="4486" spans="1:10" s="221" customFormat="1">
      <c r="A4486" s="218" t="s">
        <v>175</v>
      </c>
      <c r="B4486" s="218" t="s">
        <v>12</v>
      </c>
      <c r="C4486" s="230">
        <v>0.780555555555555</v>
      </c>
      <c r="D4486" s="231">
        <v>0</v>
      </c>
      <c r="E4486" s="231">
        <v>0</v>
      </c>
      <c r="F4486" s="231">
        <v>0</v>
      </c>
      <c r="G4486" s="231">
        <v>0</v>
      </c>
      <c r="H4486" s="231">
        <v>0</v>
      </c>
      <c r="I4486" s="231">
        <v>0</v>
      </c>
      <c r="J4486" s="231">
        <v>0</v>
      </c>
    </row>
    <row r="4487" spans="1:10" s="217" customFormat="1">
      <c r="A4487" s="214" t="s">
        <v>175</v>
      </c>
      <c r="B4487" s="214" t="s">
        <v>12</v>
      </c>
      <c r="C4487" s="228">
        <v>0.78125</v>
      </c>
      <c r="D4487" s="229">
        <v>0</v>
      </c>
      <c r="E4487" s="229">
        <v>0</v>
      </c>
      <c r="F4487" s="229">
        <v>0</v>
      </c>
      <c r="G4487" s="229">
        <v>0</v>
      </c>
      <c r="H4487" s="229">
        <v>0</v>
      </c>
      <c r="I4487" s="229">
        <v>0</v>
      </c>
      <c r="J4487" s="229">
        <v>0</v>
      </c>
    </row>
    <row r="4488" spans="1:10" s="217" customFormat="1">
      <c r="A4488" s="214" t="s">
        <v>175</v>
      </c>
      <c r="B4488" s="214" t="s">
        <v>12</v>
      </c>
      <c r="C4488" s="228">
        <v>0.781944444444444</v>
      </c>
      <c r="D4488" s="229">
        <v>0</v>
      </c>
      <c r="E4488" s="229">
        <v>0</v>
      </c>
      <c r="F4488" s="229">
        <v>0</v>
      </c>
      <c r="G4488" s="229">
        <v>0</v>
      </c>
      <c r="H4488" s="229">
        <v>0</v>
      </c>
      <c r="I4488" s="229">
        <v>0</v>
      </c>
      <c r="J4488" s="229">
        <v>0</v>
      </c>
    </row>
    <row r="4489" spans="1:10" s="217" customFormat="1">
      <c r="A4489" s="214" t="s">
        <v>175</v>
      </c>
      <c r="B4489" s="214" t="s">
        <v>12</v>
      </c>
      <c r="C4489" s="228">
        <v>0.78263888888888899</v>
      </c>
      <c r="D4489" s="229">
        <v>0</v>
      </c>
      <c r="E4489" s="229">
        <v>0</v>
      </c>
      <c r="F4489" s="229">
        <v>0</v>
      </c>
      <c r="G4489" s="229">
        <v>0</v>
      </c>
      <c r="H4489" s="229">
        <v>0</v>
      </c>
      <c r="I4489" s="229">
        <v>0</v>
      </c>
      <c r="J4489" s="229">
        <v>0</v>
      </c>
    </row>
    <row r="4490" spans="1:10" s="217" customFormat="1">
      <c r="A4490" s="214" t="s">
        <v>175</v>
      </c>
      <c r="B4490" s="214" t="s">
        <v>12</v>
      </c>
      <c r="C4490" s="228">
        <v>0.78333333333333299</v>
      </c>
      <c r="D4490" s="229">
        <v>0</v>
      </c>
      <c r="E4490" s="229">
        <v>0</v>
      </c>
      <c r="F4490" s="229">
        <v>0</v>
      </c>
      <c r="G4490" s="229">
        <v>0</v>
      </c>
      <c r="H4490" s="229">
        <v>0</v>
      </c>
      <c r="I4490" s="229">
        <v>0</v>
      </c>
      <c r="J4490" s="229">
        <v>0</v>
      </c>
    </row>
    <row r="4491" spans="1:10" s="217" customFormat="1">
      <c r="A4491" s="214" t="s">
        <v>175</v>
      </c>
      <c r="B4491" s="214" t="s">
        <v>12</v>
      </c>
      <c r="C4491" s="228">
        <v>0.78402777777777799</v>
      </c>
      <c r="D4491" s="229">
        <v>0</v>
      </c>
      <c r="E4491" s="229">
        <v>0</v>
      </c>
      <c r="F4491" s="229">
        <v>0</v>
      </c>
      <c r="G4491" s="229">
        <v>0</v>
      </c>
      <c r="H4491" s="229">
        <v>0</v>
      </c>
      <c r="I4491" s="229">
        <v>0</v>
      </c>
      <c r="J4491" s="229">
        <v>0</v>
      </c>
    </row>
    <row r="4492" spans="1:10" s="217" customFormat="1">
      <c r="A4492" s="214" t="s">
        <v>175</v>
      </c>
      <c r="B4492" s="214" t="s">
        <v>12</v>
      </c>
      <c r="C4492" s="228">
        <v>0.78472222222222199</v>
      </c>
      <c r="D4492" s="229">
        <v>0</v>
      </c>
      <c r="E4492" s="229">
        <v>0</v>
      </c>
      <c r="F4492" s="229">
        <v>0</v>
      </c>
      <c r="G4492" s="229">
        <v>0</v>
      </c>
      <c r="H4492" s="229">
        <v>0</v>
      </c>
      <c r="I4492" s="229">
        <v>0</v>
      </c>
      <c r="J4492" s="229">
        <v>0</v>
      </c>
    </row>
    <row r="4493" spans="1:10" s="217" customFormat="1">
      <c r="A4493" s="214" t="s">
        <v>175</v>
      </c>
      <c r="B4493" s="214" t="s">
        <v>12</v>
      </c>
      <c r="C4493" s="228">
        <v>0.78541666666666698</v>
      </c>
      <c r="D4493" s="229">
        <v>0</v>
      </c>
      <c r="E4493" s="229">
        <v>0</v>
      </c>
      <c r="F4493" s="229">
        <v>0</v>
      </c>
      <c r="G4493" s="229">
        <v>0</v>
      </c>
      <c r="H4493" s="229">
        <v>0</v>
      </c>
      <c r="I4493" s="229">
        <v>0</v>
      </c>
      <c r="J4493" s="229">
        <v>0</v>
      </c>
    </row>
    <row r="4494" spans="1:10" s="217" customFormat="1">
      <c r="A4494" s="214" t="s">
        <v>175</v>
      </c>
      <c r="B4494" s="214" t="s">
        <v>12</v>
      </c>
      <c r="C4494" s="228">
        <v>0.78611111111111098</v>
      </c>
      <c r="D4494" s="229">
        <v>0</v>
      </c>
      <c r="E4494" s="229">
        <v>0</v>
      </c>
      <c r="F4494" s="229">
        <v>0</v>
      </c>
      <c r="G4494" s="229">
        <v>0</v>
      </c>
      <c r="H4494" s="229">
        <v>0</v>
      </c>
      <c r="I4494" s="229">
        <v>0</v>
      </c>
      <c r="J4494" s="229">
        <v>0</v>
      </c>
    </row>
    <row r="4495" spans="1:10" s="217" customFormat="1">
      <c r="A4495" s="214" t="s">
        <v>175</v>
      </c>
      <c r="B4495" s="214" t="s">
        <v>12</v>
      </c>
      <c r="C4495" s="228">
        <v>0.78680555555555498</v>
      </c>
      <c r="D4495" s="229">
        <v>0</v>
      </c>
      <c r="E4495" s="229">
        <v>0</v>
      </c>
      <c r="F4495" s="229">
        <v>0</v>
      </c>
      <c r="G4495" s="229">
        <v>0</v>
      </c>
      <c r="H4495" s="229">
        <v>0</v>
      </c>
      <c r="I4495" s="229">
        <v>0</v>
      </c>
      <c r="J4495" s="229">
        <v>0</v>
      </c>
    </row>
    <row r="4496" spans="1:10" s="217" customFormat="1">
      <c r="A4496" s="214" t="s">
        <v>175</v>
      </c>
      <c r="B4496" s="214" t="s">
        <v>12</v>
      </c>
      <c r="C4496" s="228">
        <v>0.78749999999999998</v>
      </c>
      <c r="D4496" s="229">
        <v>0</v>
      </c>
      <c r="E4496" s="229">
        <v>0</v>
      </c>
      <c r="F4496" s="229">
        <v>0</v>
      </c>
      <c r="G4496" s="229">
        <v>0</v>
      </c>
      <c r="H4496" s="229">
        <v>0</v>
      </c>
      <c r="I4496" s="229">
        <v>0</v>
      </c>
      <c r="J4496" s="229">
        <v>0</v>
      </c>
    </row>
    <row r="4497" spans="1:10" s="217" customFormat="1">
      <c r="A4497" s="214" t="s">
        <v>175</v>
      </c>
      <c r="B4497" s="214" t="s">
        <v>12</v>
      </c>
      <c r="C4497" s="228">
        <v>0.78819444444444398</v>
      </c>
      <c r="D4497" s="229">
        <v>0</v>
      </c>
      <c r="E4497" s="229">
        <v>0</v>
      </c>
      <c r="F4497" s="229">
        <v>0</v>
      </c>
      <c r="G4497" s="229">
        <v>0</v>
      </c>
      <c r="H4497" s="229">
        <v>0</v>
      </c>
      <c r="I4497" s="229">
        <v>0</v>
      </c>
      <c r="J4497" s="229">
        <v>0</v>
      </c>
    </row>
    <row r="4498" spans="1:10" s="217" customFormat="1">
      <c r="A4498" s="214" t="s">
        <v>175</v>
      </c>
      <c r="B4498" s="214" t="s">
        <v>12</v>
      </c>
      <c r="C4498" s="228">
        <v>0.78888888888888897</v>
      </c>
      <c r="D4498" s="229">
        <v>0</v>
      </c>
      <c r="E4498" s="229">
        <v>0</v>
      </c>
      <c r="F4498" s="229">
        <v>0</v>
      </c>
      <c r="G4498" s="229">
        <v>0</v>
      </c>
      <c r="H4498" s="229">
        <v>0</v>
      </c>
      <c r="I4498" s="229">
        <v>0</v>
      </c>
      <c r="J4498" s="229">
        <v>0</v>
      </c>
    </row>
    <row r="4499" spans="1:10" s="217" customFormat="1">
      <c r="A4499" s="214" t="s">
        <v>175</v>
      </c>
      <c r="B4499" s="214" t="s">
        <v>12</v>
      </c>
      <c r="C4499" s="228">
        <v>0.78958333333333297</v>
      </c>
      <c r="D4499" s="229">
        <v>0</v>
      </c>
      <c r="E4499" s="229">
        <v>0</v>
      </c>
      <c r="F4499" s="229">
        <v>0</v>
      </c>
      <c r="G4499" s="229">
        <v>0</v>
      </c>
      <c r="H4499" s="229">
        <v>0</v>
      </c>
      <c r="I4499" s="229">
        <v>0</v>
      </c>
      <c r="J4499" s="229">
        <v>0</v>
      </c>
    </row>
    <row r="4500" spans="1:10" s="217" customFormat="1">
      <c r="A4500" s="214" t="s">
        <v>175</v>
      </c>
      <c r="B4500" s="214" t="s">
        <v>12</v>
      </c>
      <c r="C4500" s="228">
        <v>0.79027777777777797</v>
      </c>
      <c r="D4500" s="229">
        <v>0</v>
      </c>
      <c r="E4500" s="229">
        <v>0</v>
      </c>
      <c r="F4500" s="229">
        <v>0</v>
      </c>
      <c r="G4500" s="229">
        <v>0</v>
      </c>
      <c r="H4500" s="229">
        <v>0</v>
      </c>
      <c r="I4500" s="229">
        <v>0</v>
      </c>
      <c r="J4500" s="229">
        <v>0</v>
      </c>
    </row>
    <row r="4501" spans="1:10" s="221" customFormat="1">
      <c r="A4501" s="218" t="s">
        <v>175</v>
      </c>
      <c r="B4501" s="218" t="s">
        <v>12</v>
      </c>
      <c r="C4501" s="230">
        <v>0.79097222222222197</v>
      </c>
      <c r="D4501" s="231">
        <v>0</v>
      </c>
      <c r="E4501" s="231">
        <v>0</v>
      </c>
      <c r="F4501" s="231">
        <v>0</v>
      </c>
      <c r="G4501" s="231">
        <v>0</v>
      </c>
      <c r="H4501" s="231">
        <v>0</v>
      </c>
      <c r="I4501" s="231">
        <v>0</v>
      </c>
      <c r="J4501" s="231">
        <v>0</v>
      </c>
    </row>
    <row r="4502" spans="1:10" s="217" customFormat="1">
      <c r="A4502" s="214" t="s">
        <v>175</v>
      </c>
      <c r="B4502" s="214" t="s">
        <v>12</v>
      </c>
      <c r="C4502" s="228">
        <v>0.79166666666666696</v>
      </c>
      <c r="D4502" s="229">
        <v>0</v>
      </c>
      <c r="E4502" s="229">
        <v>0</v>
      </c>
      <c r="F4502" s="229">
        <v>0</v>
      </c>
      <c r="G4502" s="229">
        <v>0</v>
      </c>
      <c r="H4502" s="229">
        <v>0</v>
      </c>
      <c r="I4502" s="229">
        <v>0</v>
      </c>
      <c r="J4502" s="229">
        <v>0</v>
      </c>
    </row>
    <row r="4503" spans="1:10" s="217" customFormat="1">
      <c r="A4503" s="214" t="s">
        <v>175</v>
      </c>
      <c r="B4503" s="214" t="s">
        <v>12</v>
      </c>
      <c r="C4503" s="228">
        <v>0.79236111111111096</v>
      </c>
      <c r="D4503" s="229">
        <v>0</v>
      </c>
      <c r="E4503" s="229">
        <v>0</v>
      </c>
      <c r="F4503" s="229">
        <v>0</v>
      </c>
      <c r="G4503" s="229">
        <v>0</v>
      </c>
      <c r="H4503" s="229">
        <v>0</v>
      </c>
      <c r="I4503" s="229">
        <v>0</v>
      </c>
      <c r="J4503" s="229">
        <v>0</v>
      </c>
    </row>
    <row r="4504" spans="1:10" s="217" customFormat="1">
      <c r="A4504" s="214" t="s">
        <v>175</v>
      </c>
      <c r="B4504" s="214" t="s">
        <v>12</v>
      </c>
      <c r="C4504" s="228">
        <v>0.79305555555555496</v>
      </c>
      <c r="D4504" s="229">
        <v>0</v>
      </c>
      <c r="E4504" s="229">
        <v>0</v>
      </c>
      <c r="F4504" s="229">
        <v>0</v>
      </c>
      <c r="G4504" s="229">
        <v>0</v>
      </c>
      <c r="H4504" s="229">
        <v>0</v>
      </c>
      <c r="I4504" s="229">
        <v>0</v>
      </c>
      <c r="J4504" s="229">
        <v>0</v>
      </c>
    </row>
    <row r="4505" spans="1:10" s="217" customFormat="1">
      <c r="A4505" s="214" t="s">
        <v>175</v>
      </c>
      <c r="B4505" s="214" t="s">
        <v>12</v>
      </c>
      <c r="C4505" s="228">
        <v>0.79374999999999996</v>
      </c>
      <c r="D4505" s="229">
        <v>0</v>
      </c>
      <c r="E4505" s="229">
        <v>0</v>
      </c>
      <c r="F4505" s="229">
        <v>0</v>
      </c>
      <c r="G4505" s="229">
        <v>0</v>
      </c>
      <c r="H4505" s="229">
        <v>0</v>
      </c>
      <c r="I4505" s="229">
        <v>0</v>
      </c>
      <c r="J4505" s="229">
        <v>0</v>
      </c>
    </row>
    <row r="4506" spans="1:10" s="217" customFormat="1">
      <c r="A4506" s="214" t="s">
        <v>175</v>
      </c>
      <c r="B4506" s="214" t="s">
        <v>12</v>
      </c>
      <c r="C4506" s="228">
        <v>0.79444444444444395</v>
      </c>
      <c r="D4506" s="229">
        <v>0</v>
      </c>
      <c r="E4506" s="229">
        <v>0</v>
      </c>
      <c r="F4506" s="229">
        <v>0</v>
      </c>
      <c r="G4506" s="229">
        <v>0</v>
      </c>
      <c r="H4506" s="229">
        <v>0</v>
      </c>
      <c r="I4506" s="229">
        <v>0</v>
      </c>
      <c r="J4506" s="229">
        <v>0</v>
      </c>
    </row>
    <row r="4507" spans="1:10" s="217" customFormat="1">
      <c r="A4507" s="214" t="s">
        <v>175</v>
      </c>
      <c r="B4507" s="214" t="s">
        <v>12</v>
      </c>
      <c r="C4507" s="228">
        <v>0.79513888888888895</v>
      </c>
      <c r="D4507" s="229">
        <v>0</v>
      </c>
      <c r="E4507" s="229">
        <v>0</v>
      </c>
      <c r="F4507" s="229">
        <v>0</v>
      </c>
      <c r="G4507" s="229">
        <v>0</v>
      </c>
      <c r="H4507" s="229">
        <v>0</v>
      </c>
      <c r="I4507" s="229">
        <v>0</v>
      </c>
      <c r="J4507" s="229">
        <v>0</v>
      </c>
    </row>
    <row r="4508" spans="1:10" s="217" customFormat="1">
      <c r="A4508" s="214" t="s">
        <v>175</v>
      </c>
      <c r="B4508" s="214" t="s">
        <v>12</v>
      </c>
      <c r="C4508" s="228">
        <v>0.79583333333333295</v>
      </c>
      <c r="D4508" s="229">
        <v>0</v>
      </c>
      <c r="E4508" s="229">
        <v>0</v>
      </c>
      <c r="F4508" s="229">
        <v>0</v>
      </c>
      <c r="G4508" s="229">
        <v>0</v>
      </c>
      <c r="H4508" s="229">
        <v>0</v>
      </c>
      <c r="I4508" s="229">
        <v>0</v>
      </c>
      <c r="J4508" s="229">
        <v>0</v>
      </c>
    </row>
    <row r="4509" spans="1:10" s="217" customFormat="1">
      <c r="A4509" s="214" t="s">
        <v>175</v>
      </c>
      <c r="B4509" s="214" t="s">
        <v>12</v>
      </c>
      <c r="C4509" s="228">
        <v>0.79652777777777795</v>
      </c>
      <c r="D4509" s="229">
        <v>0</v>
      </c>
      <c r="E4509" s="229">
        <v>0</v>
      </c>
      <c r="F4509" s="229">
        <v>0</v>
      </c>
      <c r="G4509" s="229">
        <v>0</v>
      </c>
      <c r="H4509" s="229">
        <v>0</v>
      </c>
      <c r="I4509" s="229">
        <v>0</v>
      </c>
      <c r="J4509" s="229">
        <v>0</v>
      </c>
    </row>
    <row r="4510" spans="1:10" s="217" customFormat="1">
      <c r="A4510" s="214" t="s">
        <v>175</v>
      </c>
      <c r="B4510" s="214" t="s">
        <v>12</v>
      </c>
      <c r="C4510" s="228">
        <v>0.79722222222222205</v>
      </c>
      <c r="D4510" s="229">
        <v>0</v>
      </c>
      <c r="E4510" s="229">
        <v>0</v>
      </c>
      <c r="F4510" s="229">
        <v>0</v>
      </c>
      <c r="G4510" s="229">
        <v>0</v>
      </c>
      <c r="H4510" s="229">
        <v>0</v>
      </c>
      <c r="I4510" s="229">
        <v>0</v>
      </c>
      <c r="J4510" s="229">
        <v>0</v>
      </c>
    </row>
    <row r="4511" spans="1:10" s="217" customFormat="1">
      <c r="A4511" s="214" t="s">
        <v>175</v>
      </c>
      <c r="B4511" s="214" t="s">
        <v>12</v>
      </c>
      <c r="C4511" s="228">
        <v>0.79791666666666605</v>
      </c>
      <c r="D4511" s="229">
        <v>0</v>
      </c>
      <c r="E4511" s="229">
        <v>0</v>
      </c>
      <c r="F4511" s="229">
        <v>0</v>
      </c>
      <c r="G4511" s="229">
        <v>0</v>
      </c>
      <c r="H4511" s="229">
        <v>0</v>
      </c>
      <c r="I4511" s="229">
        <v>0</v>
      </c>
      <c r="J4511" s="229">
        <v>0</v>
      </c>
    </row>
    <row r="4512" spans="1:10" s="217" customFormat="1">
      <c r="A4512" s="214" t="s">
        <v>175</v>
      </c>
      <c r="B4512" s="214" t="s">
        <v>12</v>
      </c>
      <c r="C4512" s="228">
        <v>0.79861111111111105</v>
      </c>
      <c r="D4512" s="229">
        <v>0</v>
      </c>
      <c r="E4512" s="229">
        <v>0</v>
      </c>
      <c r="F4512" s="229">
        <v>0</v>
      </c>
      <c r="G4512" s="229">
        <v>0</v>
      </c>
      <c r="H4512" s="229">
        <v>0</v>
      </c>
      <c r="I4512" s="229">
        <v>0</v>
      </c>
      <c r="J4512" s="229">
        <v>0</v>
      </c>
    </row>
    <row r="4513" spans="1:10" s="217" customFormat="1">
      <c r="A4513" s="214" t="s">
        <v>175</v>
      </c>
      <c r="B4513" s="214" t="s">
        <v>12</v>
      </c>
      <c r="C4513" s="228">
        <v>0.79930555555555505</v>
      </c>
      <c r="D4513" s="229">
        <v>0</v>
      </c>
      <c r="E4513" s="229">
        <v>0</v>
      </c>
      <c r="F4513" s="229">
        <v>0</v>
      </c>
      <c r="G4513" s="229">
        <v>0</v>
      </c>
      <c r="H4513" s="229">
        <v>0</v>
      </c>
      <c r="I4513" s="229">
        <v>0</v>
      </c>
      <c r="J4513" s="229">
        <v>0</v>
      </c>
    </row>
    <row r="4514" spans="1:10" s="217" customFormat="1">
      <c r="A4514" s="214" t="s">
        <v>175</v>
      </c>
      <c r="B4514" s="214" t="s">
        <v>12</v>
      </c>
      <c r="C4514" s="228">
        <v>0.8</v>
      </c>
      <c r="D4514" s="229">
        <v>0</v>
      </c>
      <c r="E4514" s="229">
        <v>0</v>
      </c>
      <c r="F4514" s="229">
        <v>0</v>
      </c>
      <c r="G4514" s="229">
        <v>0</v>
      </c>
      <c r="H4514" s="229">
        <v>0</v>
      </c>
      <c r="I4514" s="229">
        <v>0</v>
      </c>
      <c r="J4514" s="229">
        <v>0</v>
      </c>
    </row>
    <row r="4515" spans="1:10" s="217" customFormat="1">
      <c r="A4515" s="214" t="s">
        <v>175</v>
      </c>
      <c r="B4515" s="214" t="s">
        <v>12</v>
      </c>
      <c r="C4515" s="228">
        <v>0.80069444444444404</v>
      </c>
      <c r="D4515" s="229">
        <v>0</v>
      </c>
      <c r="E4515" s="229">
        <v>0</v>
      </c>
      <c r="F4515" s="229">
        <v>0</v>
      </c>
      <c r="G4515" s="229">
        <v>0</v>
      </c>
      <c r="H4515" s="229">
        <v>0</v>
      </c>
      <c r="I4515" s="229">
        <v>0</v>
      </c>
      <c r="J4515" s="229">
        <v>0</v>
      </c>
    </row>
    <row r="4516" spans="1:10" s="221" customFormat="1">
      <c r="A4516" s="218" t="s">
        <v>175</v>
      </c>
      <c r="B4516" s="218" t="s">
        <v>12</v>
      </c>
      <c r="C4516" s="230">
        <v>0.80138888888888904</v>
      </c>
      <c r="D4516" s="231">
        <v>0</v>
      </c>
      <c r="E4516" s="231">
        <v>0</v>
      </c>
      <c r="F4516" s="231">
        <v>0</v>
      </c>
      <c r="G4516" s="231">
        <v>0</v>
      </c>
      <c r="H4516" s="231">
        <v>0</v>
      </c>
      <c r="I4516" s="231">
        <v>0</v>
      </c>
      <c r="J4516" s="231">
        <v>0</v>
      </c>
    </row>
    <row r="4517" spans="1:10" s="217" customFormat="1">
      <c r="A4517" s="214" t="s">
        <v>175</v>
      </c>
      <c r="B4517" s="214" t="s">
        <v>12</v>
      </c>
      <c r="C4517" s="228">
        <v>0.80208333333333304</v>
      </c>
      <c r="D4517" s="229">
        <v>0</v>
      </c>
      <c r="E4517" s="229">
        <v>0</v>
      </c>
      <c r="F4517" s="229">
        <v>0</v>
      </c>
      <c r="G4517" s="229">
        <v>0</v>
      </c>
      <c r="H4517" s="229">
        <v>0</v>
      </c>
      <c r="I4517" s="229">
        <v>0</v>
      </c>
      <c r="J4517" s="229">
        <v>0</v>
      </c>
    </row>
    <row r="4518" spans="1:10" s="217" customFormat="1">
      <c r="A4518" s="214" t="s">
        <v>175</v>
      </c>
      <c r="B4518" s="214" t="s">
        <v>12</v>
      </c>
      <c r="C4518" s="228">
        <v>0.80277777777777803</v>
      </c>
      <c r="D4518" s="229">
        <v>0</v>
      </c>
      <c r="E4518" s="229">
        <v>0</v>
      </c>
      <c r="F4518" s="229">
        <v>0</v>
      </c>
      <c r="G4518" s="229">
        <v>0</v>
      </c>
      <c r="H4518" s="229">
        <v>0</v>
      </c>
      <c r="I4518" s="229">
        <v>0</v>
      </c>
      <c r="J4518" s="229">
        <v>0</v>
      </c>
    </row>
    <row r="4519" spans="1:10" s="217" customFormat="1">
      <c r="A4519" s="214" t="s">
        <v>175</v>
      </c>
      <c r="B4519" s="214" t="s">
        <v>12</v>
      </c>
      <c r="C4519" s="228">
        <v>0.80347222222222203</v>
      </c>
      <c r="D4519" s="229">
        <v>0</v>
      </c>
      <c r="E4519" s="229">
        <v>0</v>
      </c>
      <c r="F4519" s="229">
        <v>0</v>
      </c>
      <c r="G4519" s="229">
        <v>0</v>
      </c>
      <c r="H4519" s="229">
        <v>0</v>
      </c>
      <c r="I4519" s="229">
        <v>0</v>
      </c>
      <c r="J4519" s="229">
        <v>0</v>
      </c>
    </row>
    <row r="4520" spans="1:10" s="217" customFormat="1">
      <c r="A4520" s="214" t="s">
        <v>175</v>
      </c>
      <c r="B4520" s="214" t="s">
        <v>12</v>
      </c>
      <c r="C4520" s="228">
        <v>0.80416666666666603</v>
      </c>
      <c r="D4520" s="229">
        <v>0</v>
      </c>
      <c r="E4520" s="229">
        <v>0</v>
      </c>
      <c r="F4520" s="229">
        <v>0</v>
      </c>
      <c r="G4520" s="229">
        <v>0</v>
      </c>
      <c r="H4520" s="229">
        <v>0</v>
      </c>
      <c r="I4520" s="229">
        <v>0</v>
      </c>
      <c r="J4520" s="229">
        <v>0</v>
      </c>
    </row>
    <row r="4521" spans="1:10" s="217" customFormat="1">
      <c r="A4521" s="214" t="s">
        <v>175</v>
      </c>
      <c r="B4521" s="214" t="s">
        <v>12</v>
      </c>
      <c r="C4521" s="228">
        <v>0.80486111111111103</v>
      </c>
      <c r="D4521" s="229">
        <v>0</v>
      </c>
      <c r="E4521" s="229">
        <v>0</v>
      </c>
      <c r="F4521" s="229">
        <v>0</v>
      </c>
      <c r="G4521" s="229">
        <v>0</v>
      </c>
      <c r="H4521" s="229">
        <v>0</v>
      </c>
      <c r="I4521" s="229">
        <v>0</v>
      </c>
      <c r="J4521" s="229">
        <v>0</v>
      </c>
    </row>
    <row r="4522" spans="1:10" s="217" customFormat="1">
      <c r="A4522" s="214" t="s">
        <v>175</v>
      </c>
      <c r="B4522" s="214" t="s">
        <v>12</v>
      </c>
      <c r="C4522" s="228">
        <v>0.80555555555555503</v>
      </c>
      <c r="D4522" s="229">
        <v>0</v>
      </c>
      <c r="E4522" s="229">
        <v>0</v>
      </c>
      <c r="F4522" s="229">
        <v>0</v>
      </c>
      <c r="G4522" s="229">
        <v>0</v>
      </c>
      <c r="H4522" s="229">
        <v>0</v>
      </c>
      <c r="I4522" s="229">
        <v>0</v>
      </c>
      <c r="J4522" s="229">
        <v>0</v>
      </c>
    </row>
    <row r="4523" spans="1:10" s="217" customFormat="1">
      <c r="A4523" s="214" t="s">
        <v>175</v>
      </c>
      <c r="B4523" s="214" t="s">
        <v>12</v>
      </c>
      <c r="C4523" s="228">
        <v>0.80625000000000002</v>
      </c>
      <c r="D4523" s="229">
        <v>0</v>
      </c>
      <c r="E4523" s="229">
        <v>0</v>
      </c>
      <c r="F4523" s="229">
        <v>0</v>
      </c>
      <c r="G4523" s="229">
        <v>0</v>
      </c>
      <c r="H4523" s="229">
        <v>0</v>
      </c>
      <c r="I4523" s="229">
        <v>0</v>
      </c>
      <c r="J4523" s="229">
        <v>0</v>
      </c>
    </row>
    <row r="4524" spans="1:10" s="217" customFormat="1">
      <c r="A4524" s="214" t="s">
        <v>175</v>
      </c>
      <c r="B4524" s="214" t="s">
        <v>12</v>
      </c>
      <c r="C4524" s="228">
        <v>0.80694444444444402</v>
      </c>
      <c r="D4524" s="229">
        <v>0</v>
      </c>
      <c r="E4524" s="229">
        <v>0</v>
      </c>
      <c r="F4524" s="229">
        <v>0</v>
      </c>
      <c r="G4524" s="229">
        <v>0</v>
      </c>
      <c r="H4524" s="229">
        <v>0</v>
      </c>
      <c r="I4524" s="229">
        <v>0</v>
      </c>
      <c r="J4524" s="229">
        <v>0</v>
      </c>
    </row>
    <row r="4525" spans="1:10" s="217" customFormat="1">
      <c r="A4525" s="214" t="s">
        <v>175</v>
      </c>
      <c r="B4525" s="214" t="s">
        <v>12</v>
      </c>
      <c r="C4525" s="228">
        <v>0.80763888888888902</v>
      </c>
      <c r="D4525" s="229">
        <v>0</v>
      </c>
      <c r="E4525" s="229">
        <v>0</v>
      </c>
      <c r="F4525" s="229">
        <v>0</v>
      </c>
      <c r="G4525" s="229">
        <v>0</v>
      </c>
      <c r="H4525" s="229">
        <v>0</v>
      </c>
      <c r="I4525" s="229">
        <v>0</v>
      </c>
      <c r="J4525" s="229">
        <v>0</v>
      </c>
    </row>
    <row r="4526" spans="1:10" s="217" customFormat="1">
      <c r="A4526" s="214" t="s">
        <v>175</v>
      </c>
      <c r="B4526" s="214" t="s">
        <v>12</v>
      </c>
      <c r="C4526" s="228">
        <v>0.80833333333333302</v>
      </c>
      <c r="D4526" s="229">
        <v>0</v>
      </c>
      <c r="E4526" s="229">
        <v>0</v>
      </c>
      <c r="F4526" s="229">
        <v>0</v>
      </c>
      <c r="G4526" s="229">
        <v>0</v>
      </c>
      <c r="H4526" s="229">
        <v>0</v>
      </c>
      <c r="I4526" s="229">
        <v>0</v>
      </c>
      <c r="J4526" s="229">
        <v>0</v>
      </c>
    </row>
    <row r="4527" spans="1:10" s="217" customFormat="1">
      <c r="A4527" s="214" t="s">
        <v>175</v>
      </c>
      <c r="B4527" s="214" t="s">
        <v>12</v>
      </c>
      <c r="C4527" s="228">
        <v>0.80902777777777801</v>
      </c>
      <c r="D4527" s="229">
        <v>0</v>
      </c>
      <c r="E4527" s="229">
        <v>0</v>
      </c>
      <c r="F4527" s="229">
        <v>0</v>
      </c>
      <c r="G4527" s="229">
        <v>0</v>
      </c>
      <c r="H4527" s="229">
        <v>0</v>
      </c>
      <c r="I4527" s="229">
        <v>0</v>
      </c>
      <c r="J4527" s="229">
        <v>0</v>
      </c>
    </row>
    <row r="4528" spans="1:10" s="217" customFormat="1">
      <c r="A4528" s="214" t="s">
        <v>175</v>
      </c>
      <c r="B4528" s="214" t="s">
        <v>12</v>
      </c>
      <c r="C4528" s="228">
        <v>0.80972222222222201</v>
      </c>
      <c r="D4528" s="229">
        <v>0</v>
      </c>
      <c r="E4528" s="229">
        <v>0</v>
      </c>
      <c r="F4528" s="229">
        <v>0</v>
      </c>
      <c r="G4528" s="229">
        <v>0</v>
      </c>
      <c r="H4528" s="229">
        <v>0</v>
      </c>
      <c r="I4528" s="229">
        <v>0</v>
      </c>
      <c r="J4528" s="229">
        <v>0</v>
      </c>
    </row>
    <row r="4529" spans="1:10" s="217" customFormat="1">
      <c r="A4529" s="214" t="s">
        <v>175</v>
      </c>
      <c r="B4529" s="214" t="s">
        <v>12</v>
      </c>
      <c r="C4529" s="228">
        <v>0.81041666666666601</v>
      </c>
      <c r="D4529" s="229">
        <v>0</v>
      </c>
      <c r="E4529" s="229">
        <v>0</v>
      </c>
      <c r="F4529" s="229">
        <v>0</v>
      </c>
      <c r="G4529" s="229">
        <v>0</v>
      </c>
      <c r="H4529" s="229">
        <v>0</v>
      </c>
      <c r="I4529" s="229">
        <v>0</v>
      </c>
      <c r="J4529" s="229">
        <v>0</v>
      </c>
    </row>
    <row r="4530" spans="1:10" s="217" customFormat="1">
      <c r="A4530" s="214" t="s">
        <v>175</v>
      </c>
      <c r="B4530" s="214" t="s">
        <v>12</v>
      </c>
      <c r="C4530" s="228">
        <v>0.81111111111111101</v>
      </c>
      <c r="D4530" s="229">
        <v>0</v>
      </c>
      <c r="E4530" s="229">
        <v>0</v>
      </c>
      <c r="F4530" s="229">
        <v>0</v>
      </c>
      <c r="G4530" s="229">
        <v>0</v>
      </c>
      <c r="H4530" s="229">
        <v>0</v>
      </c>
      <c r="I4530" s="229">
        <v>0</v>
      </c>
      <c r="J4530" s="229">
        <v>0</v>
      </c>
    </row>
    <row r="4531" spans="1:10" s="221" customFormat="1">
      <c r="A4531" s="218" t="s">
        <v>175</v>
      </c>
      <c r="B4531" s="218" t="s">
        <v>12</v>
      </c>
      <c r="C4531" s="230">
        <v>0.811805555555555</v>
      </c>
      <c r="D4531" s="231">
        <v>0</v>
      </c>
      <c r="E4531" s="231">
        <v>0</v>
      </c>
      <c r="F4531" s="231">
        <v>0</v>
      </c>
      <c r="G4531" s="231">
        <v>0</v>
      </c>
      <c r="H4531" s="231">
        <v>0</v>
      </c>
      <c r="I4531" s="231">
        <v>0</v>
      </c>
      <c r="J4531" s="231">
        <v>0</v>
      </c>
    </row>
    <row r="4532" spans="1:10" s="217" customFormat="1">
      <c r="A4532" s="214" t="s">
        <v>175</v>
      </c>
      <c r="B4532" s="214" t="s">
        <v>12</v>
      </c>
      <c r="C4532" s="228">
        <v>0.8125</v>
      </c>
      <c r="D4532" s="229">
        <v>0</v>
      </c>
      <c r="E4532" s="229">
        <v>0</v>
      </c>
      <c r="F4532" s="229">
        <v>0</v>
      </c>
      <c r="G4532" s="229">
        <v>0</v>
      </c>
      <c r="H4532" s="229">
        <v>0</v>
      </c>
      <c r="I4532" s="229">
        <v>0</v>
      </c>
      <c r="J4532" s="229">
        <v>0</v>
      </c>
    </row>
    <row r="4533" spans="1:10" s="217" customFormat="1">
      <c r="A4533" s="214" t="s">
        <v>175</v>
      </c>
      <c r="B4533" s="214" t="s">
        <v>12</v>
      </c>
      <c r="C4533" s="228">
        <v>0.813194444444444</v>
      </c>
      <c r="D4533" s="229">
        <v>0</v>
      </c>
      <c r="E4533" s="229">
        <v>0</v>
      </c>
      <c r="F4533" s="229">
        <v>0</v>
      </c>
      <c r="G4533" s="229">
        <v>0</v>
      </c>
      <c r="H4533" s="229">
        <v>0</v>
      </c>
      <c r="I4533" s="229">
        <v>0</v>
      </c>
      <c r="J4533" s="229">
        <v>0</v>
      </c>
    </row>
    <row r="4534" spans="1:10" s="217" customFormat="1">
      <c r="A4534" s="214" t="s">
        <v>175</v>
      </c>
      <c r="B4534" s="214" t="s">
        <v>12</v>
      </c>
      <c r="C4534" s="228">
        <v>0.81388888888888899</v>
      </c>
      <c r="D4534" s="229">
        <v>0</v>
      </c>
      <c r="E4534" s="229">
        <v>0</v>
      </c>
      <c r="F4534" s="229">
        <v>0</v>
      </c>
      <c r="G4534" s="229">
        <v>0</v>
      </c>
      <c r="H4534" s="229">
        <v>0</v>
      </c>
      <c r="I4534" s="229">
        <v>0</v>
      </c>
      <c r="J4534" s="229">
        <v>0</v>
      </c>
    </row>
    <row r="4535" spans="1:10" s="217" customFormat="1">
      <c r="A4535" s="214" t="s">
        <v>175</v>
      </c>
      <c r="B4535" s="214" t="s">
        <v>12</v>
      </c>
      <c r="C4535" s="228">
        <v>0.81458333333333299</v>
      </c>
      <c r="D4535" s="229">
        <v>0</v>
      </c>
      <c r="E4535" s="229">
        <v>0</v>
      </c>
      <c r="F4535" s="229">
        <v>0</v>
      </c>
      <c r="G4535" s="229">
        <v>0</v>
      </c>
      <c r="H4535" s="229">
        <v>0</v>
      </c>
      <c r="I4535" s="229">
        <v>0</v>
      </c>
      <c r="J4535" s="229">
        <v>0</v>
      </c>
    </row>
    <row r="4536" spans="1:10" s="217" customFormat="1">
      <c r="A4536" s="214" t="s">
        <v>175</v>
      </c>
      <c r="B4536" s="214" t="s">
        <v>12</v>
      </c>
      <c r="C4536" s="228">
        <v>0.81527777777777799</v>
      </c>
      <c r="D4536" s="229">
        <v>0</v>
      </c>
      <c r="E4536" s="229">
        <v>0</v>
      </c>
      <c r="F4536" s="229">
        <v>0</v>
      </c>
      <c r="G4536" s="229">
        <v>0</v>
      </c>
      <c r="H4536" s="229">
        <v>0</v>
      </c>
      <c r="I4536" s="229">
        <v>0</v>
      </c>
      <c r="J4536" s="229">
        <v>0</v>
      </c>
    </row>
    <row r="4537" spans="1:10" s="217" customFormat="1">
      <c r="A4537" s="214" t="s">
        <v>175</v>
      </c>
      <c r="B4537" s="214" t="s">
        <v>12</v>
      </c>
      <c r="C4537" s="228">
        <v>0.81597222222222199</v>
      </c>
      <c r="D4537" s="229">
        <v>0</v>
      </c>
      <c r="E4537" s="229">
        <v>0</v>
      </c>
      <c r="F4537" s="229">
        <v>0</v>
      </c>
      <c r="G4537" s="229">
        <v>0</v>
      </c>
      <c r="H4537" s="229">
        <v>0</v>
      </c>
      <c r="I4537" s="229">
        <v>0</v>
      </c>
      <c r="J4537" s="229">
        <v>0</v>
      </c>
    </row>
    <row r="4538" spans="1:10" s="217" customFormat="1">
      <c r="A4538" s="214" t="s">
        <v>175</v>
      </c>
      <c r="B4538" s="214" t="s">
        <v>12</v>
      </c>
      <c r="C4538" s="228">
        <v>0.81666666666666599</v>
      </c>
      <c r="D4538" s="229">
        <v>0</v>
      </c>
      <c r="E4538" s="229">
        <v>0</v>
      </c>
      <c r="F4538" s="229">
        <v>0</v>
      </c>
      <c r="G4538" s="229">
        <v>0</v>
      </c>
      <c r="H4538" s="229">
        <v>0</v>
      </c>
      <c r="I4538" s="229">
        <v>0</v>
      </c>
      <c r="J4538" s="229">
        <v>0</v>
      </c>
    </row>
    <row r="4539" spans="1:10" s="217" customFormat="1">
      <c r="A4539" s="214" t="s">
        <v>175</v>
      </c>
      <c r="B4539" s="214" t="s">
        <v>12</v>
      </c>
      <c r="C4539" s="228">
        <v>0.81736111111111098</v>
      </c>
      <c r="D4539" s="229">
        <v>0</v>
      </c>
      <c r="E4539" s="229">
        <v>0</v>
      </c>
      <c r="F4539" s="229">
        <v>0</v>
      </c>
      <c r="G4539" s="229">
        <v>0</v>
      </c>
      <c r="H4539" s="229">
        <v>0</v>
      </c>
      <c r="I4539" s="229">
        <v>0</v>
      </c>
      <c r="J4539" s="229">
        <v>0</v>
      </c>
    </row>
    <row r="4540" spans="1:10" s="217" customFormat="1">
      <c r="A4540" s="214" t="s">
        <v>175</v>
      </c>
      <c r="B4540" s="214" t="s">
        <v>12</v>
      </c>
      <c r="C4540" s="228">
        <v>0.81805555555555498</v>
      </c>
      <c r="D4540" s="229">
        <v>0</v>
      </c>
      <c r="E4540" s="229">
        <v>0</v>
      </c>
      <c r="F4540" s="229">
        <v>0</v>
      </c>
      <c r="G4540" s="229">
        <v>0</v>
      </c>
      <c r="H4540" s="229">
        <v>0</v>
      </c>
      <c r="I4540" s="229">
        <v>0</v>
      </c>
      <c r="J4540" s="229">
        <v>0</v>
      </c>
    </row>
    <row r="4541" spans="1:10" s="217" customFormat="1">
      <c r="A4541" s="214" t="s">
        <v>175</v>
      </c>
      <c r="B4541" s="214" t="s">
        <v>12</v>
      </c>
      <c r="C4541" s="228">
        <v>0.81874999999999998</v>
      </c>
      <c r="D4541" s="229">
        <v>0</v>
      </c>
      <c r="E4541" s="229">
        <v>0</v>
      </c>
      <c r="F4541" s="229">
        <v>0</v>
      </c>
      <c r="G4541" s="229">
        <v>0</v>
      </c>
      <c r="H4541" s="229">
        <v>0</v>
      </c>
      <c r="I4541" s="229">
        <v>0</v>
      </c>
      <c r="J4541" s="229">
        <v>0</v>
      </c>
    </row>
    <row r="4542" spans="1:10" s="217" customFormat="1">
      <c r="A4542" s="214" t="s">
        <v>175</v>
      </c>
      <c r="B4542" s="214" t="s">
        <v>12</v>
      </c>
      <c r="C4542" s="228">
        <v>0.81944444444444398</v>
      </c>
      <c r="D4542" s="229">
        <v>0</v>
      </c>
      <c r="E4542" s="229">
        <v>0</v>
      </c>
      <c r="F4542" s="229">
        <v>0</v>
      </c>
      <c r="G4542" s="229">
        <v>0</v>
      </c>
      <c r="H4542" s="229">
        <v>0</v>
      </c>
      <c r="I4542" s="229">
        <v>0</v>
      </c>
      <c r="J4542" s="229">
        <v>0</v>
      </c>
    </row>
    <row r="4543" spans="1:10" s="217" customFormat="1">
      <c r="A4543" s="214" t="s">
        <v>175</v>
      </c>
      <c r="B4543" s="214" t="s">
        <v>12</v>
      </c>
      <c r="C4543" s="228">
        <v>0.82013888888888897</v>
      </c>
      <c r="D4543" s="229">
        <v>0</v>
      </c>
      <c r="E4543" s="229">
        <v>0</v>
      </c>
      <c r="F4543" s="229">
        <v>0</v>
      </c>
      <c r="G4543" s="229">
        <v>0</v>
      </c>
      <c r="H4543" s="229">
        <v>0</v>
      </c>
      <c r="I4543" s="229">
        <v>0</v>
      </c>
      <c r="J4543" s="229">
        <v>0</v>
      </c>
    </row>
    <row r="4544" spans="1:10" s="217" customFormat="1">
      <c r="A4544" s="214" t="s">
        <v>175</v>
      </c>
      <c r="B4544" s="214" t="s">
        <v>12</v>
      </c>
      <c r="C4544" s="228">
        <v>0.82083333333333297</v>
      </c>
      <c r="D4544" s="229">
        <v>0</v>
      </c>
      <c r="E4544" s="229">
        <v>0</v>
      </c>
      <c r="F4544" s="229">
        <v>0</v>
      </c>
      <c r="G4544" s="229">
        <v>0</v>
      </c>
      <c r="H4544" s="229">
        <v>0</v>
      </c>
      <c r="I4544" s="229">
        <v>0</v>
      </c>
      <c r="J4544" s="229">
        <v>0</v>
      </c>
    </row>
    <row r="4545" spans="1:10" s="217" customFormat="1">
      <c r="A4545" s="214" t="s">
        <v>175</v>
      </c>
      <c r="B4545" s="214" t="s">
        <v>12</v>
      </c>
      <c r="C4545" s="228">
        <v>0.82152777777777797</v>
      </c>
      <c r="D4545" s="229">
        <v>0</v>
      </c>
      <c r="E4545" s="229">
        <v>0</v>
      </c>
      <c r="F4545" s="229">
        <v>0</v>
      </c>
      <c r="G4545" s="229">
        <v>0</v>
      </c>
      <c r="H4545" s="229">
        <v>0</v>
      </c>
      <c r="I4545" s="229">
        <v>0</v>
      </c>
      <c r="J4545" s="229">
        <v>0</v>
      </c>
    </row>
    <row r="4546" spans="1:10" s="221" customFormat="1">
      <c r="A4546" s="218" t="s">
        <v>175</v>
      </c>
      <c r="B4546" s="218" t="s">
        <v>12</v>
      </c>
      <c r="C4546" s="230">
        <v>0.82222222222222197</v>
      </c>
      <c r="D4546" s="231">
        <v>0</v>
      </c>
      <c r="E4546" s="231">
        <v>0</v>
      </c>
      <c r="F4546" s="231">
        <v>0</v>
      </c>
      <c r="G4546" s="231">
        <v>0</v>
      </c>
      <c r="H4546" s="231">
        <v>0</v>
      </c>
      <c r="I4546" s="231">
        <v>0</v>
      </c>
      <c r="J4546" s="231">
        <v>0</v>
      </c>
    </row>
    <row r="4547" spans="1:10" s="217" customFormat="1">
      <c r="A4547" s="214" t="s">
        <v>175</v>
      </c>
      <c r="B4547" s="214" t="s">
        <v>12</v>
      </c>
      <c r="C4547" s="228">
        <v>0.82291666666666596</v>
      </c>
      <c r="D4547" s="229">
        <v>0</v>
      </c>
      <c r="E4547" s="229">
        <v>0</v>
      </c>
      <c r="F4547" s="229">
        <v>0</v>
      </c>
      <c r="G4547" s="229">
        <v>0</v>
      </c>
      <c r="H4547" s="229">
        <v>0</v>
      </c>
      <c r="I4547" s="229">
        <v>0</v>
      </c>
      <c r="J4547" s="229">
        <v>0</v>
      </c>
    </row>
    <row r="4548" spans="1:10" s="217" customFormat="1">
      <c r="A4548" s="214" t="s">
        <v>175</v>
      </c>
      <c r="B4548" s="214" t="s">
        <v>12</v>
      </c>
      <c r="C4548" s="228">
        <v>0.82361111111111096</v>
      </c>
      <c r="D4548" s="229">
        <v>0</v>
      </c>
      <c r="E4548" s="229">
        <v>0</v>
      </c>
      <c r="F4548" s="229">
        <v>0</v>
      </c>
      <c r="G4548" s="229">
        <v>0</v>
      </c>
      <c r="H4548" s="229">
        <v>0</v>
      </c>
      <c r="I4548" s="229">
        <v>0</v>
      </c>
      <c r="J4548" s="229">
        <v>0</v>
      </c>
    </row>
    <row r="4549" spans="1:10" s="217" customFormat="1">
      <c r="A4549" s="214" t="s">
        <v>175</v>
      </c>
      <c r="B4549" s="214" t="s">
        <v>12</v>
      </c>
      <c r="C4549" s="228">
        <v>0.82430555555555496</v>
      </c>
      <c r="D4549" s="229">
        <v>0</v>
      </c>
      <c r="E4549" s="229">
        <v>0</v>
      </c>
      <c r="F4549" s="229">
        <v>0</v>
      </c>
      <c r="G4549" s="229">
        <v>0</v>
      </c>
      <c r="H4549" s="229">
        <v>0</v>
      </c>
      <c r="I4549" s="229">
        <v>0</v>
      </c>
      <c r="J4549" s="229">
        <v>0</v>
      </c>
    </row>
    <row r="4550" spans="1:10" s="217" customFormat="1">
      <c r="A4550" s="214" t="s">
        <v>175</v>
      </c>
      <c r="B4550" s="214" t="s">
        <v>12</v>
      </c>
      <c r="C4550" s="228">
        <v>0.82499999999999996</v>
      </c>
      <c r="D4550" s="229">
        <v>0</v>
      </c>
      <c r="E4550" s="229">
        <v>0</v>
      </c>
      <c r="F4550" s="229">
        <v>0</v>
      </c>
      <c r="G4550" s="229">
        <v>0</v>
      </c>
      <c r="H4550" s="229">
        <v>0</v>
      </c>
      <c r="I4550" s="229">
        <v>0</v>
      </c>
      <c r="J4550" s="229">
        <v>0</v>
      </c>
    </row>
    <row r="4551" spans="1:10" s="217" customFormat="1">
      <c r="A4551" s="214" t="s">
        <v>175</v>
      </c>
      <c r="B4551" s="214" t="s">
        <v>12</v>
      </c>
      <c r="C4551" s="228">
        <v>0.82569444444444395</v>
      </c>
      <c r="D4551" s="229">
        <v>0</v>
      </c>
      <c r="E4551" s="229">
        <v>0</v>
      </c>
      <c r="F4551" s="229">
        <v>0</v>
      </c>
      <c r="G4551" s="229">
        <v>0</v>
      </c>
      <c r="H4551" s="229">
        <v>0</v>
      </c>
      <c r="I4551" s="229">
        <v>0</v>
      </c>
      <c r="J4551" s="229">
        <v>0</v>
      </c>
    </row>
    <row r="4552" spans="1:10" s="217" customFormat="1">
      <c r="A4552" s="214" t="s">
        <v>175</v>
      </c>
      <c r="B4552" s="214" t="s">
        <v>12</v>
      </c>
      <c r="C4552" s="228">
        <v>0.82638888888888895</v>
      </c>
      <c r="D4552" s="229">
        <v>0</v>
      </c>
      <c r="E4552" s="229">
        <v>0</v>
      </c>
      <c r="F4552" s="229">
        <v>0</v>
      </c>
      <c r="G4552" s="229">
        <v>0</v>
      </c>
      <c r="H4552" s="229">
        <v>0</v>
      </c>
      <c r="I4552" s="229">
        <v>0</v>
      </c>
      <c r="J4552" s="229">
        <v>0</v>
      </c>
    </row>
    <row r="4553" spans="1:10" s="217" customFormat="1">
      <c r="A4553" s="214" t="s">
        <v>175</v>
      </c>
      <c r="B4553" s="214" t="s">
        <v>12</v>
      </c>
      <c r="C4553" s="228">
        <v>0.82708333333333295</v>
      </c>
      <c r="D4553" s="229">
        <v>0</v>
      </c>
      <c r="E4553" s="229">
        <v>0</v>
      </c>
      <c r="F4553" s="229">
        <v>0</v>
      </c>
      <c r="G4553" s="229">
        <v>0</v>
      </c>
      <c r="H4553" s="229">
        <v>0</v>
      </c>
      <c r="I4553" s="229">
        <v>0</v>
      </c>
      <c r="J4553" s="229">
        <v>0</v>
      </c>
    </row>
    <row r="4554" spans="1:10" s="217" customFormat="1">
      <c r="A4554" s="214" t="s">
        <v>175</v>
      </c>
      <c r="B4554" s="214" t="s">
        <v>12</v>
      </c>
      <c r="C4554" s="228">
        <v>0.82777777777777795</v>
      </c>
      <c r="D4554" s="229">
        <v>0</v>
      </c>
      <c r="E4554" s="229">
        <v>0</v>
      </c>
      <c r="F4554" s="229">
        <v>0</v>
      </c>
      <c r="G4554" s="229">
        <v>0</v>
      </c>
      <c r="H4554" s="229">
        <v>0</v>
      </c>
      <c r="I4554" s="229">
        <v>0</v>
      </c>
      <c r="J4554" s="229">
        <v>0</v>
      </c>
    </row>
    <row r="4555" spans="1:10" s="217" customFormat="1">
      <c r="A4555" s="214" t="s">
        <v>175</v>
      </c>
      <c r="B4555" s="214" t="s">
        <v>12</v>
      </c>
      <c r="C4555" s="228">
        <v>0.82847222222222205</v>
      </c>
      <c r="D4555" s="229">
        <v>0</v>
      </c>
      <c r="E4555" s="229">
        <v>0</v>
      </c>
      <c r="F4555" s="229">
        <v>0</v>
      </c>
      <c r="G4555" s="229">
        <v>0</v>
      </c>
      <c r="H4555" s="229">
        <v>0</v>
      </c>
      <c r="I4555" s="229">
        <v>0</v>
      </c>
      <c r="J4555" s="229">
        <v>0</v>
      </c>
    </row>
    <row r="4556" spans="1:10" s="217" customFormat="1">
      <c r="A4556" s="214" t="s">
        <v>175</v>
      </c>
      <c r="B4556" s="214" t="s">
        <v>12</v>
      </c>
      <c r="C4556" s="228">
        <v>0.82916666666666605</v>
      </c>
      <c r="D4556" s="229">
        <v>0</v>
      </c>
      <c r="E4556" s="229">
        <v>0</v>
      </c>
      <c r="F4556" s="229">
        <v>0</v>
      </c>
      <c r="G4556" s="229">
        <v>0</v>
      </c>
      <c r="H4556" s="229">
        <v>0</v>
      </c>
      <c r="I4556" s="229">
        <v>0</v>
      </c>
      <c r="J4556" s="229">
        <v>0</v>
      </c>
    </row>
    <row r="4557" spans="1:10" s="217" customFormat="1">
      <c r="A4557" s="214" t="s">
        <v>175</v>
      </c>
      <c r="B4557" s="214" t="s">
        <v>12</v>
      </c>
      <c r="C4557" s="228">
        <v>0.82986111111111105</v>
      </c>
      <c r="D4557" s="229">
        <v>0</v>
      </c>
      <c r="E4557" s="229">
        <v>0</v>
      </c>
      <c r="F4557" s="229">
        <v>0</v>
      </c>
      <c r="G4557" s="229">
        <v>0</v>
      </c>
      <c r="H4557" s="229">
        <v>0</v>
      </c>
      <c r="I4557" s="229">
        <v>0</v>
      </c>
      <c r="J4557" s="229">
        <v>0</v>
      </c>
    </row>
    <row r="4558" spans="1:10" s="217" customFormat="1">
      <c r="A4558" s="214" t="s">
        <v>175</v>
      </c>
      <c r="B4558" s="214" t="s">
        <v>12</v>
      </c>
      <c r="C4558" s="228">
        <v>0.83055555555555505</v>
      </c>
      <c r="D4558" s="229">
        <v>0</v>
      </c>
      <c r="E4558" s="229">
        <v>0</v>
      </c>
      <c r="F4558" s="229">
        <v>0</v>
      </c>
      <c r="G4558" s="229">
        <v>0</v>
      </c>
      <c r="H4558" s="229">
        <v>0</v>
      </c>
      <c r="I4558" s="229">
        <v>0</v>
      </c>
      <c r="J4558" s="229">
        <v>0</v>
      </c>
    </row>
    <row r="4559" spans="1:10" s="217" customFormat="1">
      <c r="A4559" s="214" t="s">
        <v>175</v>
      </c>
      <c r="B4559" s="214" t="s">
        <v>12</v>
      </c>
      <c r="C4559" s="228">
        <v>0.83125000000000004</v>
      </c>
      <c r="D4559" s="229">
        <v>0</v>
      </c>
      <c r="E4559" s="229">
        <v>0</v>
      </c>
      <c r="F4559" s="229">
        <v>0</v>
      </c>
      <c r="G4559" s="229">
        <v>0</v>
      </c>
      <c r="H4559" s="229">
        <v>0</v>
      </c>
      <c r="I4559" s="229">
        <v>0</v>
      </c>
      <c r="J4559" s="229">
        <v>0</v>
      </c>
    </row>
    <row r="4560" spans="1:10" s="217" customFormat="1">
      <c r="A4560" s="214" t="s">
        <v>175</v>
      </c>
      <c r="B4560" s="214" t="s">
        <v>12</v>
      </c>
      <c r="C4560" s="228">
        <v>0.83194444444444404</v>
      </c>
      <c r="D4560" s="229">
        <v>0</v>
      </c>
      <c r="E4560" s="229">
        <v>0</v>
      </c>
      <c r="F4560" s="229">
        <v>0</v>
      </c>
      <c r="G4560" s="229">
        <v>0</v>
      </c>
      <c r="H4560" s="229">
        <v>0</v>
      </c>
      <c r="I4560" s="229">
        <v>0</v>
      </c>
      <c r="J4560" s="229">
        <v>0</v>
      </c>
    </row>
    <row r="4561" spans="1:10" s="227" customFormat="1" ht="17.5" thickBot="1">
      <c r="A4561" s="224" t="s">
        <v>175</v>
      </c>
      <c r="B4561" s="224" t="s">
        <v>12</v>
      </c>
      <c r="C4561" s="232">
        <v>0.83263888888888904</v>
      </c>
      <c r="D4561" s="233">
        <v>0</v>
      </c>
      <c r="E4561" s="233">
        <v>0</v>
      </c>
      <c r="F4561" s="233">
        <v>0</v>
      </c>
      <c r="G4561" s="233">
        <v>0</v>
      </c>
      <c r="H4561" s="233">
        <v>0</v>
      </c>
      <c r="I4561" s="233">
        <v>0</v>
      </c>
      <c r="J4561" s="233">
        <v>0</v>
      </c>
    </row>
    <row r="4562" spans="1:10" s="217" customFormat="1">
      <c r="A4562" s="214" t="s">
        <v>175</v>
      </c>
      <c r="B4562" s="214" t="s">
        <v>36</v>
      </c>
      <c r="C4562" s="228">
        <v>0.66666666666666663</v>
      </c>
      <c r="D4562" s="229">
        <v>0</v>
      </c>
      <c r="E4562" s="229">
        <v>0</v>
      </c>
      <c r="F4562" s="229">
        <v>0</v>
      </c>
      <c r="G4562" s="229">
        <v>0</v>
      </c>
      <c r="H4562" s="229">
        <v>0</v>
      </c>
      <c r="I4562" s="229">
        <v>0</v>
      </c>
      <c r="J4562" s="229">
        <v>0</v>
      </c>
    </row>
    <row r="4563" spans="1:10" s="217" customFormat="1">
      <c r="A4563" s="214" t="s">
        <v>175</v>
      </c>
      <c r="B4563" s="214" t="s">
        <v>36</v>
      </c>
      <c r="C4563" s="228">
        <v>0.66736111111111107</v>
      </c>
      <c r="D4563" s="229">
        <v>0</v>
      </c>
      <c r="E4563" s="229">
        <v>0</v>
      </c>
      <c r="F4563" s="229">
        <v>0</v>
      </c>
      <c r="G4563" s="229">
        <v>0</v>
      </c>
      <c r="H4563" s="229">
        <v>0</v>
      </c>
      <c r="I4563" s="229">
        <v>0</v>
      </c>
      <c r="J4563" s="229">
        <v>0</v>
      </c>
    </row>
    <row r="4564" spans="1:10" s="217" customFormat="1">
      <c r="A4564" s="214" t="s">
        <v>175</v>
      </c>
      <c r="B4564" s="214" t="s">
        <v>36</v>
      </c>
      <c r="C4564" s="228">
        <v>0.66805555555555596</v>
      </c>
      <c r="D4564" s="229">
        <v>0</v>
      </c>
      <c r="E4564" s="229">
        <v>0</v>
      </c>
      <c r="F4564" s="229">
        <v>0</v>
      </c>
      <c r="G4564" s="229">
        <v>0</v>
      </c>
      <c r="H4564" s="229">
        <v>0</v>
      </c>
      <c r="I4564" s="229">
        <v>0</v>
      </c>
      <c r="J4564" s="229">
        <v>0</v>
      </c>
    </row>
    <row r="4565" spans="1:10" s="217" customFormat="1">
      <c r="A4565" s="214" t="s">
        <v>175</v>
      </c>
      <c r="B4565" s="214" t="s">
        <v>36</v>
      </c>
      <c r="C4565" s="228">
        <v>0.66874999999999996</v>
      </c>
      <c r="D4565" s="229">
        <v>0</v>
      </c>
      <c r="E4565" s="229">
        <v>0</v>
      </c>
      <c r="F4565" s="229">
        <v>0</v>
      </c>
      <c r="G4565" s="229">
        <v>0</v>
      </c>
      <c r="H4565" s="229">
        <v>0</v>
      </c>
      <c r="I4565" s="229">
        <v>0</v>
      </c>
      <c r="J4565" s="229">
        <v>0</v>
      </c>
    </row>
    <row r="4566" spans="1:10" s="217" customFormat="1">
      <c r="A4566" s="214" t="s">
        <v>175</v>
      </c>
      <c r="B4566" s="214" t="s">
        <v>36</v>
      </c>
      <c r="C4566" s="228">
        <v>0.66944444444444395</v>
      </c>
      <c r="D4566" s="229">
        <v>0</v>
      </c>
      <c r="E4566" s="229">
        <v>0</v>
      </c>
      <c r="F4566" s="229">
        <v>0</v>
      </c>
      <c r="G4566" s="229">
        <v>0</v>
      </c>
      <c r="H4566" s="229">
        <v>0</v>
      </c>
      <c r="I4566" s="229">
        <v>0</v>
      </c>
      <c r="J4566" s="229">
        <v>0</v>
      </c>
    </row>
    <row r="4567" spans="1:10" s="217" customFormat="1">
      <c r="A4567" s="214" t="s">
        <v>175</v>
      </c>
      <c r="B4567" s="214" t="s">
        <v>36</v>
      </c>
      <c r="C4567" s="228">
        <v>0.67013888888888895</v>
      </c>
      <c r="D4567" s="229">
        <v>0</v>
      </c>
      <c r="E4567" s="229">
        <v>0</v>
      </c>
      <c r="F4567" s="229">
        <v>0</v>
      </c>
      <c r="G4567" s="229">
        <v>0</v>
      </c>
      <c r="H4567" s="229">
        <v>0</v>
      </c>
      <c r="I4567" s="229">
        <v>0</v>
      </c>
      <c r="J4567" s="229">
        <v>0</v>
      </c>
    </row>
    <row r="4568" spans="1:10" s="217" customFormat="1">
      <c r="A4568" s="214" t="s">
        <v>175</v>
      </c>
      <c r="B4568" s="214" t="s">
        <v>36</v>
      </c>
      <c r="C4568" s="228">
        <v>0.67083333333333295</v>
      </c>
      <c r="D4568" s="229">
        <v>0</v>
      </c>
      <c r="E4568" s="229">
        <v>0</v>
      </c>
      <c r="F4568" s="229">
        <v>0</v>
      </c>
      <c r="G4568" s="229">
        <v>0</v>
      </c>
      <c r="H4568" s="229">
        <v>0</v>
      </c>
      <c r="I4568" s="229">
        <v>0</v>
      </c>
      <c r="J4568" s="229">
        <v>0</v>
      </c>
    </row>
    <row r="4569" spans="1:10" s="217" customFormat="1">
      <c r="A4569" s="214" t="s">
        <v>175</v>
      </c>
      <c r="B4569" s="214" t="s">
        <v>36</v>
      </c>
      <c r="C4569" s="228">
        <v>0.67152777777777795</v>
      </c>
      <c r="D4569" s="229">
        <v>0</v>
      </c>
      <c r="E4569" s="229">
        <v>0</v>
      </c>
      <c r="F4569" s="229">
        <v>0</v>
      </c>
      <c r="G4569" s="229">
        <v>0</v>
      </c>
      <c r="H4569" s="229">
        <v>0</v>
      </c>
      <c r="I4569" s="229">
        <v>0</v>
      </c>
      <c r="J4569" s="229">
        <v>0</v>
      </c>
    </row>
    <row r="4570" spans="1:10" s="217" customFormat="1">
      <c r="A4570" s="214" t="s">
        <v>175</v>
      </c>
      <c r="B4570" s="214" t="s">
        <v>36</v>
      </c>
      <c r="C4570" s="228">
        <v>0.67222222222222205</v>
      </c>
      <c r="D4570" s="229">
        <v>0</v>
      </c>
      <c r="E4570" s="229">
        <v>0</v>
      </c>
      <c r="F4570" s="229">
        <v>0</v>
      </c>
      <c r="G4570" s="229">
        <v>0</v>
      </c>
      <c r="H4570" s="229">
        <v>0</v>
      </c>
      <c r="I4570" s="229">
        <v>0</v>
      </c>
      <c r="J4570" s="229">
        <v>0</v>
      </c>
    </row>
    <row r="4571" spans="1:10" s="217" customFormat="1">
      <c r="A4571" s="214" t="s">
        <v>175</v>
      </c>
      <c r="B4571" s="214" t="s">
        <v>36</v>
      </c>
      <c r="C4571" s="228">
        <v>0.67291666666666705</v>
      </c>
      <c r="D4571" s="229">
        <v>0</v>
      </c>
      <c r="E4571" s="229">
        <v>0</v>
      </c>
      <c r="F4571" s="229">
        <v>0</v>
      </c>
      <c r="G4571" s="229">
        <v>0</v>
      </c>
      <c r="H4571" s="229">
        <v>0</v>
      </c>
      <c r="I4571" s="229">
        <v>0</v>
      </c>
      <c r="J4571" s="229">
        <v>0</v>
      </c>
    </row>
    <row r="4572" spans="1:10" s="217" customFormat="1">
      <c r="A4572" s="214" t="s">
        <v>175</v>
      </c>
      <c r="B4572" s="214" t="s">
        <v>36</v>
      </c>
      <c r="C4572" s="228">
        <v>0.67361111111111105</v>
      </c>
      <c r="D4572" s="229">
        <v>0</v>
      </c>
      <c r="E4572" s="229">
        <v>0</v>
      </c>
      <c r="F4572" s="229">
        <v>0</v>
      </c>
      <c r="G4572" s="229">
        <v>0</v>
      </c>
      <c r="H4572" s="229">
        <v>0</v>
      </c>
      <c r="I4572" s="229">
        <v>0</v>
      </c>
      <c r="J4572" s="229">
        <v>0</v>
      </c>
    </row>
    <row r="4573" spans="1:10" s="217" customFormat="1">
      <c r="A4573" s="214" t="s">
        <v>175</v>
      </c>
      <c r="B4573" s="214" t="s">
        <v>36</v>
      </c>
      <c r="C4573" s="228">
        <v>0.67430555555555505</v>
      </c>
      <c r="D4573" s="229">
        <v>0</v>
      </c>
      <c r="E4573" s="229">
        <v>0</v>
      </c>
      <c r="F4573" s="229">
        <v>0</v>
      </c>
      <c r="G4573" s="229">
        <v>0</v>
      </c>
      <c r="H4573" s="229">
        <v>0</v>
      </c>
      <c r="I4573" s="229">
        <v>0</v>
      </c>
      <c r="J4573" s="229">
        <v>0</v>
      </c>
    </row>
    <row r="4574" spans="1:10" s="217" customFormat="1">
      <c r="A4574" s="214" t="s">
        <v>175</v>
      </c>
      <c r="B4574" s="214" t="s">
        <v>36</v>
      </c>
      <c r="C4574" s="228">
        <v>0.67500000000000004</v>
      </c>
      <c r="D4574" s="229">
        <v>0</v>
      </c>
      <c r="E4574" s="229">
        <v>0</v>
      </c>
      <c r="F4574" s="229">
        <v>0</v>
      </c>
      <c r="G4574" s="229">
        <v>0</v>
      </c>
      <c r="H4574" s="229">
        <v>0</v>
      </c>
      <c r="I4574" s="229">
        <v>0</v>
      </c>
      <c r="J4574" s="229">
        <v>0</v>
      </c>
    </row>
    <row r="4575" spans="1:10" s="217" customFormat="1">
      <c r="A4575" s="214" t="s">
        <v>175</v>
      </c>
      <c r="B4575" s="214" t="s">
        <v>36</v>
      </c>
      <c r="C4575" s="228">
        <v>0.67569444444444404</v>
      </c>
      <c r="D4575" s="229">
        <v>0</v>
      </c>
      <c r="E4575" s="229">
        <v>0</v>
      </c>
      <c r="F4575" s="229">
        <v>0</v>
      </c>
      <c r="G4575" s="229">
        <v>0</v>
      </c>
      <c r="H4575" s="229">
        <v>0</v>
      </c>
      <c r="I4575" s="229">
        <v>0</v>
      </c>
      <c r="J4575" s="229">
        <v>0</v>
      </c>
    </row>
    <row r="4576" spans="1:10" s="221" customFormat="1">
      <c r="A4576" s="218" t="s">
        <v>175</v>
      </c>
      <c r="B4576" s="218" t="s">
        <v>36</v>
      </c>
      <c r="C4576" s="230">
        <v>0.67638888888888904</v>
      </c>
      <c r="D4576" s="231">
        <v>0</v>
      </c>
      <c r="E4576" s="231">
        <v>0</v>
      </c>
      <c r="F4576" s="231">
        <v>0</v>
      </c>
      <c r="G4576" s="231">
        <v>0</v>
      </c>
      <c r="H4576" s="231">
        <v>0</v>
      </c>
      <c r="I4576" s="231">
        <v>0</v>
      </c>
      <c r="J4576" s="231">
        <v>0</v>
      </c>
    </row>
    <row r="4577" spans="1:10" s="217" customFormat="1">
      <c r="A4577" s="214" t="s">
        <v>175</v>
      </c>
      <c r="B4577" s="214" t="s">
        <v>36</v>
      </c>
      <c r="C4577" s="228">
        <v>0.67708333333333304</v>
      </c>
      <c r="D4577" s="229">
        <v>0</v>
      </c>
      <c r="E4577" s="229">
        <v>0</v>
      </c>
      <c r="F4577" s="229">
        <v>0</v>
      </c>
      <c r="G4577" s="229">
        <v>0</v>
      </c>
      <c r="H4577" s="229">
        <v>0</v>
      </c>
      <c r="I4577" s="229">
        <v>0</v>
      </c>
      <c r="J4577" s="229">
        <v>0</v>
      </c>
    </row>
    <row r="4578" spans="1:10" s="217" customFormat="1">
      <c r="A4578" s="214" t="s">
        <v>175</v>
      </c>
      <c r="B4578" s="214" t="s">
        <v>36</v>
      </c>
      <c r="C4578" s="228">
        <v>0.67777777777777803</v>
      </c>
      <c r="D4578" s="229">
        <v>0</v>
      </c>
      <c r="E4578" s="229">
        <v>0</v>
      </c>
      <c r="F4578" s="229">
        <v>0</v>
      </c>
      <c r="G4578" s="229">
        <v>0</v>
      </c>
      <c r="H4578" s="229">
        <v>0</v>
      </c>
      <c r="I4578" s="229">
        <v>0</v>
      </c>
      <c r="J4578" s="229">
        <v>0</v>
      </c>
    </row>
    <row r="4579" spans="1:10" s="217" customFormat="1">
      <c r="A4579" s="214" t="s">
        <v>175</v>
      </c>
      <c r="B4579" s="214" t="s">
        <v>36</v>
      </c>
      <c r="C4579" s="228">
        <v>0.67847222222222203</v>
      </c>
      <c r="D4579" s="229">
        <v>0</v>
      </c>
      <c r="E4579" s="229">
        <v>0</v>
      </c>
      <c r="F4579" s="229">
        <v>0</v>
      </c>
      <c r="G4579" s="229">
        <v>0</v>
      </c>
      <c r="H4579" s="229">
        <v>0</v>
      </c>
      <c r="I4579" s="229">
        <v>0</v>
      </c>
      <c r="J4579" s="229">
        <v>0</v>
      </c>
    </row>
    <row r="4580" spans="1:10" s="217" customFormat="1">
      <c r="A4580" s="214" t="s">
        <v>175</v>
      </c>
      <c r="B4580" s="214" t="s">
        <v>36</v>
      </c>
      <c r="C4580" s="228">
        <v>0.67916666666666703</v>
      </c>
      <c r="D4580" s="229">
        <v>0</v>
      </c>
      <c r="E4580" s="229">
        <v>0</v>
      </c>
      <c r="F4580" s="229">
        <v>0</v>
      </c>
      <c r="G4580" s="229">
        <v>0</v>
      </c>
      <c r="H4580" s="229">
        <v>0</v>
      </c>
      <c r="I4580" s="229">
        <v>0</v>
      </c>
      <c r="J4580" s="229">
        <v>0</v>
      </c>
    </row>
    <row r="4581" spans="1:10" s="217" customFormat="1">
      <c r="A4581" s="214" t="s">
        <v>175</v>
      </c>
      <c r="B4581" s="214" t="s">
        <v>36</v>
      </c>
      <c r="C4581" s="228">
        <v>0.67986111111111103</v>
      </c>
      <c r="D4581" s="229">
        <v>0</v>
      </c>
      <c r="E4581" s="229">
        <v>0</v>
      </c>
      <c r="F4581" s="229">
        <v>0</v>
      </c>
      <c r="G4581" s="229">
        <v>0</v>
      </c>
      <c r="H4581" s="229">
        <v>0</v>
      </c>
      <c r="I4581" s="229">
        <v>0</v>
      </c>
      <c r="J4581" s="229">
        <v>0</v>
      </c>
    </row>
    <row r="4582" spans="1:10" s="217" customFormat="1">
      <c r="A4582" s="214" t="s">
        <v>175</v>
      </c>
      <c r="B4582" s="214" t="s">
        <v>36</v>
      </c>
      <c r="C4582" s="228">
        <v>0.68055555555555503</v>
      </c>
      <c r="D4582" s="229">
        <v>0</v>
      </c>
      <c r="E4582" s="229">
        <v>0</v>
      </c>
      <c r="F4582" s="229">
        <v>0</v>
      </c>
      <c r="G4582" s="229">
        <v>0</v>
      </c>
      <c r="H4582" s="229">
        <v>0</v>
      </c>
      <c r="I4582" s="229">
        <v>0</v>
      </c>
      <c r="J4582" s="229">
        <v>0</v>
      </c>
    </row>
    <row r="4583" spans="1:10" s="217" customFormat="1">
      <c r="A4583" s="214" t="s">
        <v>175</v>
      </c>
      <c r="B4583" s="214" t="s">
        <v>36</v>
      </c>
      <c r="C4583" s="228">
        <v>0.68125000000000002</v>
      </c>
      <c r="D4583" s="229">
        <v>0</v>
      </c>
      <c r="E4583" s="229">
        <v>0</v>
      </c>
      <c r="F4583" s="229">
        <v>0</v>
      </c>
      <c r="G4583" s="229">
        <v>0</v>
      </c>
      <c r="H4583" s="229">
        <v>0</v>
      </c>
      <c r="I4583" s="229">
        <v>0</v>
      </c>
      <c r="J4583" s="229">
        <v>0</v>
      </c>
    </row>
    <row r="4584" spans="1:10" s="217" customFormat="1">
      <c r="A4584" s="214" t="s">
        <v>175</v>
      </c>
      <c r="B4584" s="214" t="s">
        <v>36</v>
      </c>
      <c r="C4584" s="228">
        <v>0.68194444444444402</v>
      </c>
      <c r="D4584" s="229">
        <v>0</v>
      </c>
      <c r="E4584" s="229">
        <v>0</v>
      </c>
      <c r="F4584" s="229">
        <v>0</v>
      </c>
      <c r="G4584" s="229">
        <v>0</v>
      </c>
      <c r="H4584" s="229">
        <v>0</v>
      </c>
      <c r="I4584" s="229">
        <v>0</v>
      </c>
      <c r="J4584" s="229">
        <v>0</v>
      </c>
    </row>
    <row r="4585" spans="1:10" s="217" customFormat="1">
      <c r="A4585" s="214" t="s">
        <v>175</v>
      </c>
      <c r="B4585" s="214" t="s">
        <v>36</v>
      </c>
      <c r="C4585" s="228">
        <v>0.68263888888888902</v>
      </c>
      <c r="D4585" s="229">
        <v>0</v>
      </c>
      <c r="E4585" s="229">
        <v>0</v>
      </c>
      <c r="F4585" s="229">
        <v>0</v>
      </c>
      <c r="G4585" s="229">
        <v>0</v>
      </c>
      <c r="H4585" s="229">
        <v>0</v>
      </c>
      <c r="I4585" s="229">
        <v>0</v>
      </c>
      <c r="J4585" s="229">
        <v>0</v>
      </c>
    </row>
    <row r="4586" spans="1:10" s="217" customFormat="1">
      <c r="A4586" s="214" t="s">
        <v>175</v>
      </c>
      <c r="B4586" s="214" t="s">
        <v>36</v>
      </c>
      <c r="C4586" s="228">
        <v>0.68333333333333302</v>
      </c>
      <c r="D4586" s="229">
        <v>0</v>
      </c>
      <c r="E4586" s="229">
        <v>0</v>
      </c>
      <c r="F4586" s="229">
        <v>0</v>
      </c>
      <c r="G4586" s="229">
        <v>0</v>
      </c>
      <c r="H4586" s="229">
        <v>0</v>
      </c>
      <c r="I4586" s="229">
        <v>0</v>
      </c>
      <c r="J4586" s="229">
        <v>0</v>
      </c>
    </row>
    <row r="4587" spans="1:10" s="217" customFormat="1">
      <c r="A4587" s="214" t="s">
        <v>175</v>
      </c>
      <c r="B4587" s="214" t="s">
        <v>36</v>
      </c>
      <c r="C4587" s="228">
        <v>0.68402777777777801</v>
      </c>
      <c r="D4587" s="229">
        <v>0</v>
      </c>
      <c r="E4587" s="229">
        <v>0</v>
      </c>
      <c r="F4587" s="229">
        <v>0</v>
      </c>
      <c r="G4587" s="229">
        <v>0</v>
      </c>
      <c r="H4587" s="229">
        <v>0</v>
      </c>
      <c r="I4587" s="229">
        <v>0</v>
      </c>
      <c r="J4587" s="229">
        <v>0</v>
      </c>
    </row>
    <row r="4588" spans="1:10" s="217" customFormat="1">
      <c r="A4588" s="214" t="s">
        <v>175</v>
      </c>
      <c r="B4588" s="214" t="s">
        <v>36</v>
      </c>
      <c r="C4588" s="228">
        <v>0.68472222222222201</v>
      </c>
      <c r="D4588" s="229">
        <v>0</v>
      </c>
      <c r="E4588" s="229">
        <v>0</v>
      </c>
      <c r="F4588" s="229">
        <v>0</v>
      </c>
      <c r="G4588" s="229">
        <v>0</v>
      </c>
      <c r="H4588" s="229">
        <v>0</v>
      </c>
      <c r="I4588" s="229">
        <v>0</v>
      </c>
      <c r="J4588" s="229">
        <v>0</v>
      </c>
    </row>
    <row r="4589" spans="1:10" s="217" customFormat="1">
      <c r="A4589" s="214" t="s">
        <v>175</v>
      </c>
      <c r="B4589" s="214" t="s">
        <v>36</v>
      </c>
      <c r="C4589" s="228">
        <v>0.68541666666666701</v>
      </c>
      <c r="D4589" s="229">
        <v>0</v>
      </c>
      <c r="E4589" s="229">
        <v>0</v>
      </c>
      <c r="F4589" s="229">
        <v>0</v>
      </c>
      <c r="G4589" s="229">
        <v>0</v>
      </c>
      <c r="H4589" s="229">
        <v>0</v>
      </c>
      <c r="I4589" s="229">
        <v>0</v>
      </c>
      <c r="J4589" s="229">
        <v>0</v>
      </c>
    </row>
    <row r="4590" spans="1:10" s="217" customFormat="1">
      <c r="A4590" s="214" t="s">
        <v>175</v>
      </c>
      <c r="B4590" s="214" t="s">
        <v>36</v>
      </c>
      <c r="C4590" s="228">
        <v>0.68611111111111101</v>
      </c>
      <c r="D4590" s="229">
        <v>0</v>
      </c>
      <c r="E4590" s="229">
        <v>0</v>
      </c>
      <c r="F4590" s="229">
        <v>0</v>
      </c>
      <c r="G4590" s="229">
        <v>0</v>
      </c>
      <c r="H4590" s="229">
        <v>0</v>
      </c>
      <c r="I4590" s="229">
        <v>0</v>
      </c>
      <c r="J4590" s="229">
        <v>0</v>
      </c>
    </row>
    <row r="4591" spans="1:10" s="221" customFormat="1">
      <c r="A4591" s="218" t="s">
        <v>175</v>
      </c>
      <c r="B4591" s="218" t="s">
        <v>36</v>
      </c>
      <c r="C4591" s="230">
        <v>0.686805555555555</v>
      </c>
      <c r="D4591" s="231">
        <v>0</v>
      </c>
      <c r="E4591" s="231">
        <v>0</v>
      </c>
      <c r="F4591" s="231">
        <v>0</v>
      </c>
      <c r="G4591" s="231">
        <v>0</v>
      </c>
      <c r="H4591" s="231">
        <v>0</v>
      </c>
      <c r="I4591" s="231">
        <v>0</v>
      </c>
      <c r="J4591" s="231">
        <v>0</v>
      </c>
    </row>
    <row r="4592" spans="1:10" s="217" customFormat="1">
      <c r="A4592" s="214" t="s">
        <v>175</v>
      </c>
      <c r="B4592" s="214" t="s">
        <v>36</v>
      </c>
      <c r="C4592" s="228">
        <v>0.6875</v>
      </c>
      <c r="D4592" s="229">
        <v>0</v>
      </c>
      <c r="E4592" s="229">
        <v>0</v>
      </c>
      <c r="F4592" s="229">
        <v>0</v>
      </c>
      <c r="G4592" s="229">
        <v>0</v>
      </c>
      <c r="H4592" s="229">
        <v>0</v>
      </c>
      <c r="I4592" s="229">
        <v>0</v>
      </c>
      <c r="J4592" s="229">
        <v>0</v>
      </c>
    </row>
    <row r="4593" spans="1:10" s="217" customFormat="1">
      <c r="A4593" s="214" t="s">
        <v>175</v>
      </c>
      <c r="B4593" s="214" t="s">
        <v>36</v>
      </c>
      <c r="C4593" s="228">
        <v>0.688194444444444</v>
      </c>
      <c r="D4593" s="229">
        <v>0</v>
      </c>
      <c r="E4593" s="229">
        <v>0</v>
      </c>
      <c r="F4593" s="229">
        <v>0</v>
      </c>
      <c r="G4593" s="229">
        <v>0</v>
      </c>
      <c r="H4593" s="229">
        <v>0</v>
      </c>
      <c r="I4593" s="229">
        <v>0</v>
      </c>
      <c r="J4593" s="229">
        <v>0</v>
      </c>
    </row>
    <row r="4594" spans="1:10" s="217" customFormat="1">
      <c r="A4594" s="214" t="s">
        <v>175</v>
      </c>
      <c r="B4594" s="214" t="s">
        <v>36</v>
      </c>
      <c r="C4594" s="228">
        <v>0.68888888888888899</v>
      </c>
      <c r="D4594" s="229">
        <v>0</v>
      </c>
      <c r="E4594" s="229">
        <v>0</v>
      </c>
      <c r="F4594" s="229">
        <v>0</v>
      </c>
      <c r="G4594" s="229">
        <v>0</v>
      </c>
      <c r="H4594" s="229">
        <v>0</v>
      </c>
      <c r="I4594" s="229">
        <v>0</v>
      </c>
      <c r="J4594" s="229">
        <v>0</v>
      </c>
    </row>
    <row r="4595" spans="1:10" s="217" customFormat="1">
      <c r="A4595" s="214" t="s">
        <v>175</v>
      </c>
      <c r="B4595" s="214" t="s">
        <v>36</v>
      </c>
      <c r="C4595" s="228">
        <v>0.68958333333333299</v>
      </c>
      <c r="D4595" s="229">
        <v>0</v>
      </c>
      <c r="E4595" s="229">
        <v>0</v>
      </c>
      <c r="F4595" s="229">
        <v>0</v>
      </c>
      <c r="G4595" s="229">
        <v>0</v>
      </c>
      <c r="H4595" s="229">
        <v>0</v>
      </c>
      <c r="I4595" s="229">
        <v>0</v>
      </c>
      <c r="J4595" s="229">
        <v>0</v>
      </c>
    </row>
    <row r="4596" spans="1:10" s="217" customFormat="1">
      <c r="A4596" s="214" t="s">
        <v>175</v>
      </c>
      <c r="B4596" s="214" t="s">
        <v>36</v>
      </c>
      <c r="C4596" s="228">
        <v>0.69027777777777799</v>
      </c>
      <c r="D4596" s="229">
        <v>0</v>
      </c>
      <c r="E4596" s="229">
        <v>0</v>
      </c>
      <c r="F4596" s="229">
        <v>0</v>
      </c>
      <c r="G4596" s="229">
        <v>0</v>
      </c>
      <c r="H4596" s="229">
        <v>0</v>
      </c>
      <c r="I4596" s="229">
        <v>0</v>
      </c>
      <c r="J4596" s="229">
        <v>0</v>
      </c>
    </row>
    <row r="4597" spans="1:10" s="217" customFormat="1">
      <c r="A4597" s="214" t="s">
        <v>175</v>
      </c>
      <c r="B4597" s="214" t="s">
        <v>36</v>
      </c>
      <c r="C4597" s="228">
        <v>0.69097222222222199</v>
      </c>
      <c r="D4597" s="229">
        <v>0</v>
      </c>
      <c r="E4597" s="229">
        <v>0</v>
      </c>
      <c r="F4597" s="229">
        <v>0</v>
      </c>
      <c r="G4597" s="229">
        <v>0</v>
      </c>
      <c r="H4597" s="229">
        <v>0</v>
      </c>
      <c r="I4597" s="229">
        <v>0</v>
      </c>
      <c r="J4597" s="229">
        <v>0</v>
      </c>
    </row>
    <row r="4598" spans="1:10" s="217" customFormat="1">
      <c r="A4598" s="214" t="s">
        <v>175</v>
      </c>
      <c r="B4598" s="214" t="s">
        <v>36</v>
      </c>
      <c r="C4598" s="228">
        <v>0.69166666666666698</v>
      </c>
      <c r="D4598" s="229">
        <v>0</v>
      </c>
      <c r="E4598" s="229">
        <v>0</v>
      </c>
      <c r="F4598" s="229">
        <v>0</v>
      </c>
      <c r="G4598" s="229">
        <v>0</v>
      </c>
      <c r="H4598" s="229">
        <v>0</v>
      </c>
      <c r="I4598" s="229">
        <v>0</v>
      </c>
      <c r="J4598" s="229">
        <v>0</v>
      </c>
    </row>
    <row r="4599" spans="1:10" s="217" customFormat="1">
      <c r="A4599" s="214" t="s">
        <v>175</v>
      </c>
      <c r="B4599" s="214" t="s">
        <v>36</v>
      </c>
      <c r="C4599" s="228">
        <v>0.69236111111111098</v>
      </c>
      <c r="D4599" s="229">
        <v>0</v>
      </c>
      <c r="E4599" s="229">
        <v>0</v>
      </c>
      <c r="F4599" s="229">
        <v>0</v>
      </c>
      <c r="G4599" s="229">
        <v>0</v>
      </c>
      <c r="H4599" s="229">
        <v>0</v>
      </c>
      <c r="I4599" s="229">
        <v>0</v>
      </c>
      <c r="J4599" s="229">
        <v>0</v>
      </c>
    </row>
    <row r="4600" spans="1:10" s="217" customFormat="1">
      <c r="A4600" s="214" t="s">
        <v>175</v>
      </c>
      <c r="B4600" s="214" t="s">
        <v>36</v>
      </c>
      <c r="C4600" s="228">
        <v>0.69305555555555498</v>
      </c>
      <c r="D4600" s="229">
        <v>0</v>
      </c>
      <c r="E4600" s="229">
        <v>0</v>
      </c>
      <c r="F4600" s="229">
        <v>0</v>
      </c>
      <c r="G4600" s="229">
        <v>0</v>
      </c>
      <c r="H4600" s="229">
        <v>0</v>
      </c>
      <c r="I4600" s="229">
        <v>0</v>
      </c>
      <c r="J4600" s="229">
        <v>0</v>
      </c>
    </row>
    <row r="4601" spans="1:10" s="217" customFormat="1">
      <c r="A4601" s="214" t="s">
        <v>175</v>
      </c>
      <c r="B4601" s="214" t="s">
        <v>36</v>
      </c>
      <c r="C4601" s="228">
        <v>0.69374999999999998</v>
      </c>
      <c r="D4601" s="229">
        <v>0</v>
      </c>
      <c r="E4601" s="229">
        <v>0</v>
      </c>
      <c r="F4601" s="229">
        <v>0</v>
      </c>
      <c r="G4601" s="229">
        <v>0</v>
      </c>
      <c r="H4601" s="229">
        <v>0</v>
      </c>
      <c r="I4601" s="229">
        <v>0</v>
      </c>
      <c r="J4601" s="229">
        <v>0</v>
      </c>
    </row>
    <row r="4602" spans="1:10" s="217" customFormat="1">
      <c r="A4602" s="214" t="s">
        <v>175</v>
      </c>
      <c r="B4602" s="214" t="s">
        <v>36</v>
      </c>
      <c r="C4602" s="228">
        <v>0.69444444444444398</v>
      </c>
      <c r="D4602" s="229">
        <v>0</v>
      </c>
      <c r="E4602" s="229">
        <v>0</v>
      </c>
      <c r="F4602" s="229">
        <v>0</v>
      </c>
      <c r="G4602" s="229">
        <v>0</v>
      </c>
      <c r="H4602" s="229">
        <v>0</v>
      </c>
      <c r="I4602" s="229">
        <v>0</v>
      </c>
      <c r="J4602" s="229">
        <v>0</v>
      </c>
    </row>
    <row r="4603" spans="1:10" s="217" customFormat="1">
      <c r="A4603" s="214" t="s">
        <v>175</v>
      </c>
      <c r="B4603" s="214" t="s">
        <v>36</v>
      </c>
      <c r="C4603" s="228">
        <v>0.69513888888888897</v>
      </c>
      <c r="D4603" s="229">
        <v>0</v>
      </c>
      <c r="E4603" s="229">
        <v>0</v>
      </c>
      <c r="F4603" s="229">
        <v>0</v>
      </c>
      <c r="G4603" s="229">
        <v>0</v>
      </c>
      <c r="H4603" s="229">
        <v>0</v>
      </c>
      <c r="I4603" s="229">
        <v>0</v>
      </c>
      <c r="J4603" s="229">
        <v>0</v>
      </c>
    </row>
    <row r="4604" spans="1:10" s="217" customFormat="1">
      <c r="A4604" s="214" t="s">
        <v>175</v>
      </c>
      <c r="B4604" s="214" t="s">
        <v>36</v>
      </c>
      <c r="C4604" s="228">
        <v>0.69583333333333297</v>
      </c>
      <c r="D4604" s="229">
        <v>0</v>
      </c>
      <c r="E4604" s="229">
        <v>0</v>
      </c>
      <c r="F4604" s="229">
        <v>0</v>
      </c>
      <c r="G4604" s="229">
        <v>0</v>
      </c>
      <c r="H4604" s="229">
        <v>0</v>
      </c>
      <c r="I4604" s="229">
        <v>0</v>
      </c>
      <c r="J4604" s="229">
        <v>0</v>
      </c>
    </row>
    <row r="4605" spans="1:10" s="217" customFormat="1">
      <c r="A4605" s="214" t="s">
        <v>175</v>
      </c>
      <c r="B4605" s="214" t="s">
        <v>36</v>
      </c>
      <c r="C4605" s="228">
        <v>0.69652777777777797</v>
      </c>
      <c r="D4605" s="229">
        <v>0</v>
      </c>
      <c r="E4605" s="229">
        <v>0</v>
      </c>
      <c r="F4605" s="229">
        <v>0</v>
      </c>
      <c r="G4605" s="229">
        <v>0</v>
      </c>
      <c r="H4605" s="229">
        <v>0</v>
      </c>
      <c r="I4605" s="229">
        <v>0</v>
      </c>
      <c r="J4605" s="229">
        <v>0</v>
      </c>
    </row>
    <row r="4606" spans="1:10" s="221" customFormat="1">
      <c r="A4606" s="218" t="s">
        <v>175</v>
      </c>
      <c r="B4606" s="218" t="s">
        <v>36</v>
      </c>
      <c r="C4606" s="230">
        <v>0.69722222222222197</v>
      </c>
      <c r="D4606" s="231">
        <v>0</v>
      </c>
      <c r="E4606" s="231">
        <v>0</v>
      </c>
      <c r="F4606" s="231">
        <v>0</v>
      </c>
      <c r="G4606" s="231">
        <v>0</v>
      </c>
      <c r="H4606" s="231">
        <v>0</v>
      </c>
      <c r="I4606" s="231">
        <v>0</v>
      </c>
      <c r="J4606" s="231">
        <v>0</v>
      </c>
    </row>
    <row r="4607" spans="1:10" s="217" customFormat="1">
      <c r="A4607" s="214" t="s">
        <v>175</v>
      </c>
      <c r="B4607" s="214" t="s">
        <v>36</v>
      </c>
      <c r="C4607" s="228">
        <v>0.69791666666666696</v>
      </c>
      <c r="D4607" s="229">
        <v>0</v>
      </c>
      <c r="E4607" s="229">
        <v>0</v>
      </c>
      <c r="F4607" s="229">
        <v>0</v>
      </c>
      <c r="G4607" s="229">
        <v>0</v>
      </c>
      <c r="H4607" s="229">
        <v>0</v>
      </c>
      <c r="I4607" s="229">
        <v>0</v>
      </c>
      <c r="J4607" s="229">
        <v>0</v>
      </c>
    </row>
    <row r="4608" spans="1:10" s="217" customFormat="1">
      <c r="A4608" s="214" t="s">
        <v>175</v>
      </c>
      <c r="B4608" s="214" t="s">
        <v>36</v>
      </c>
      <c r="C4608" s="228">
        <v>0.69861111111111096</v>
      </c>
      <c r="D4608" s="229">
        <v>0</v>
      </c>
      <c r="E4608" s="229">
        <v>0</v>
      </c>
      <c r="F4608" s="229">
        <v>0</v>
      </c>
      <c r="G4608" s="229">
        <v>0</v>
      </c>
      <c r="H4608" s="229">
        <v>0</v>
      </c>
      <c r="I4608" s="229">
        <v>0</v>
      </c>
      <c r="J4608" s="229">
        <v>0</v>
      </c>
    </row>
    <row r="4609" spans="1:10" s="217" customFormat="1">
      <c r="A4609" s="214" t="s">
        <v>175</v>
      </c>
      <c r="B4609" s="214" t="s">
        <v>36</v>
      </c>
      <c r="C4609" s="228">
        <v>0.69930555555555496</v>
      </c>
      <c r="D4609" s="229">
        <v>0</v>
      </c>
      <c r="E4609" s="229">
        <v>0</v>
      </c>
      <c r="F4609" s="229">
        <v>0</v>
      </c>
      <c r="G4609" s="229">
        <v>0</v>
      </c>
      <c r="H4609" s="229">
        <v>0</v>
      </c>
      <c r="I4609" s="229">
        <v>0</v>
      </c>
      <c r="J4609" s="229">
        <v>0</v>
      </c>
    </row>
    <row r="4610" spans="1:10" s="217" customFormat="1">
      <c r="A4610" s="214" t="s">
        <v>175</v>
      </c>
      <c r="B4610" s="214" t="s">
        <v>36</v>
      </c>
      <c r="C4610" s="228">
        <v>0.7</v>
      </c>
      <c r="D4610" s="229">
        <v>0</v>
      </c>
      <c r="E4610" s="229">
        <v>0</v>
      </c>
      <c r="F4610" s="229">
        <v>0</v>
      </c>
      <c r="G4610" s="229">
        <v>0</v>
      </c>
      <c r="H4610" s="229">
        <v>0</v>
      </c>
      <c r="I4610" s="229">
        <v>0</v>
      </c>
      <c r="J4610" s="229">
        <v>0</v>
      </c>
    </row>
    <row r="4611" spans="1:10" s="217" customFormat="1">
      <c r="A4611" s="214" t="s">
        <v>175</v>
      </c>
      <c r="B4611" s="214" t="s">
        <v>36</v>
      </c>
      <c r="C4611" s="228">
        <v>0.70069444444444395</v>
      </c>
      <c r="D4611" s="229">
        <v>0</v>
      </c>
      <c r="E4611" s="229">
        <v>0</v>
      </c>
      <c r="F4611" s="229">
        <v>0</v>
      </c>
      <c r="G4611" s="229">
        <v>0</v>
      </c>
      <c r="H4611" s="229">
        <v>0</v>
      </c>
      <c r="I4611" s="229">
        <v>0</v>
      </c>
      <c r="J4611" s="229">
        <v>0</v>
      </c>
    </row>
    <row r="4612" spans="1:10" s="217" customFormat="1">
      <c r="A4612" s="214" t="s">
        <v>175</v>
      </c>
      <c r="B4612" s="214" t="s">
        <v>36</v>
      </c>
      <c r="C4612" s="228">
        <v>0.70138888888888895</v>
      </c>
      <c r="D4612" s="229">
        <v>0</v>
      </c>
      <c r="E4612" s="229">
        <v>0</v>
      </c>
      <c r="F4612" s="229">
        <v>0</v>
      </c>
      <c r="G4612" s="229">
        <v>0</v>
      </c>
      <c r="H4612" s="229">
        <v>0</v>
      </c>
      <c r="I4612" s="229">
        <v>0</v>
      </c>
      <c r="J4612" s="229">
        <v>0</v>
      </c>
    </row>
    <row r="4613" spans="1:10" s="217" customFormat="1">
      <c r="A4613" s="214" t="s">
        <v>175</v>
      </c>
      <c r="B4613" s="214" t="s">
        <v>36</v>
      </c>
      <c r="C4613" s="228">
        <v>0.70208333333333295</v>
      </c>
      <c r="D4613" s="229">
        <v>0</v>
      </c>
      <c r="E4613" s="229">
        <v>0</v>
      </c>
      <c r="F4613" s="229">
        <v>0</v>
      </c>
      <c r="G4613" s="229">
        <v>0</v>
      </c>
      <c r="H4613" s="229">
        <v>0</v>
      </c>
      <c r="I4613" s="229">
        <v>0</v>
      </c>
      <c r="J4613" s="229">
        <v>0</v>
      </c>
    </row>
    <row r="4614" spans="1:10" s="217" customFormat="1">
      <c r="A4614" s="214" t="s">
        <v>175</v>
      </c>
      <c r="B4614" s="214" t="s">
        <v>36</v>
      </c>
      <c r="C4614" s="228">
        <v>0.70277777777777795</v>
      </c>
      <c r="D4614" s="229">
        <v>0</v>
      </c>
      <c r="E4614" s="229">
        <v>0</v>
      </c>
      <c r="F4614" s="229">
        <v>0</v>
      </c>
      <c r="G4614" s="229">
        <v>0</v>
      </c>
      <c r="H4614" s="229">
        <v>0</v>
      </c>
      <c r="I4614" s="229">
        <v>0</v>
      </c>
      <c r="J4614" s="229">
        <v>0</v>
      </c>
    </row>
    <row r="4615" spans="1:10" s="217" customFormat="1">
      <c r="A4615" s="214" t="s">
        <v>175</v>
      </c>
      <c r="B4615" s="214" t="s">
        <v>36</v>
      </c>
      <c r="C4615" s="228">
        <v>0.70347222222222205</v>
      </c>
      <c r="D4615" s="229">
        <v>0</v>
      </c>
      <c r="E4615" s="229">
        <v>0</v>
      </c>
      <c r="F4615" s="229">
        <v>0</v>
      </c>
      <c r="G4615" s="229">
        <v>0</v>
      </c>
      <c r="H4615" s="229">
        <v>0</v>
      </c>
      <c r="I4615" s="229">
        <v>0</v>
      </c>
      <c r="J4615" s="229">
        <v>0</v>
      </c>
    </row>
    <row r="4616" spans="1:10" s="217" customFormat="1">
      <c r="A4616" s="214" t="s">
        <v>175</v>
      </c>
      <c r="B4616" s="214" t="s">
        <v>36</v>
      </c>
      <c r="C4616" s="228">
        <v>0.70416666666666605</v>
      </c>
      <c r="D4616" s="229">
        <v>0</v>
      </c>
      <c r="E4616" s="229">
        <v>0</v>
      </c>
      <c r="F4616" s="229">
        <v>0</v>
      </c>
      <c r="G4616" s="229">
        <v>0</v>
      </c>
      <c r="H4616" s="229">
        <v>0</v>
      </c>
      <c r="I4616" s="229">
        <v>0</v>
      </c>
      <c r="J4616" s="229">
        <v>0</v>
      </c>
    </row>
    <row r="4617" spans="1:10" s="217" customFormat="1">
      <c r="A4617" s="214" t="s">
        <v>175</v>
      </c>
      <c r="B4617" s="214" t="s">
        <v>36</v>
      </c>
      <c r="C4617" s="228">
        <v>0.70486111111111105</v>
      </c>
      <c r="D4617" s="229">
        <v>0</v>
      </c>
      <c r="E4617" s="229">
        <v>0</v>
      </c>
      <c r="F4617" s="229">
        <v>0</v>
      </c>
      <c r="G4617" s="229">
        <v>0</v>
      </c>
      <c r="H4617" s="229">
        <v>0</v>
      </c>
      <c r="I4617" s="229">
        <v>0</v>
      </c>
      <c r="J4617" s="229">
        <v>0</v>
      </c>
    </row>
    <row r="4618" spans="1:10" s="217" customFormat="1">
      <c r="A4618" s="214" t="s">
        <v>175</v>
      </c>
      <c r="B4618" s="214" t="s">
        <v>36</v>
      </c>
      <c r="C4618" s="228">
        <v>0.70555555555555505</v>
      </c>
      <c r="D4618" s="229">
        <v>0</v>
      </c>
      <c r="E4618" s="229">
        <v>0</v>
      </c>
      <c r="F4618" s="229">
        <v>0</v>
      </c>
      <c r="G4618" s="229">
        <v>0</v>
      </c>
      <c r="H4618" s="229">
        <v>0</v>
      </c>
      <c r="I4618" s="229">
        <v>0</v>
      </c>
      <c r="J4618" s="229">
        <v>0</v>
      </c>
    </row>
    <row r="4619" spans="1:10" s="217" customFormat="1">
      <c r="A4619" s="214" t="s">
        <v>175</v>
      </c>
      <c r="B4619" s="214" t="s">
        <v>36</v>
      </c>
      <c r="C4619" s="228">
        <v>0.70625000000000004</v>
      </c>
      <c r="D4619" s="229">
        <v>0</v>
      </c>
      <c r="E4619" s="229">
        <v>0</v>
      </c>
      <c r="F4619" s="229">
        <v>0</v>
      </c>
      <c r="G4619" s="229">
        <v>0</v>
      </c>
      <c r="H4619" s="229">
        <v>0</v>
      </c>
      <c r="I4619" s="229">
        <v>0</v>
      </c>
      <c r="J4619" s="229">
        <v>0</v>
      </c>
    </row>
    <row r="4620" spans="1:10" s="217" customFormat="1">
      <c r="A4620" s="214" t="s">
        <v>175</v>
      </c>
      <c r="B4620" s="214" t="s">
        <v>36</v>
      </c>
      <c r="C4620" s="228">
        <v>0.70694444444444404</v>
      </c>
      <c r="D4620" s="229">
        <v>0</v>
      </c>
      <c r="E4620" s="229">
        <v>0</v>
      </c>
      <c r="F4620" s="229">
        <v>0</v>
      </c>
      <c r="G4620" s="229">
        <v>0</v>
      </c>
      <c r="H4620" s="229">
        <v>0</v>
      </c>
      <c r="I4620" s="229">
        <v>0</v>
      </c>
      <c r="J4620" s="229">
        <v>0</v>
      </c>
    </row>
    <row r="4621" spans="1:10" s="221" customFormat="1">
      <c r="A4621" s="218" t="s">
        <v>175</v>
      </c>
      <c r="B4621" s="218" t="s">
        <v>36</v>
      </c>
      <c r="C4621" s="230">
        <v>0.70763888888888904</v>
      </c>
      <c r="D4621" s="231">
        <v>0</v>
      </c>
      <c r="E4621" s="231">
        <v>0</v>
      </c>
      <c r="F4621" s="231">
        <v>0</v>
      </c>
      <c r="G4621" s="231">
        <v>0</v>
      </c>
      <c r="H4621" s="231">
        <v>0</v>
      </c>
      <c r="I4621" s="231">
        <v>0</v>
      </c>
      <c r="J4621" s="231">
        <v>0</v>
      </c>
    </row>
    <row r="4622" spans="1:10" s="217" customFormat="1">
      <c r="A4622" s="214" t="s">
        <v>175</v>
      </c>
      <c r="B4622" s="214" t="s">
        <v>36</v>
      </c>
      <c r="C4622" s="228">
        <v>0.70833333333333304</v>
      </c>
      <c r="D4622" s="229">
        <v>0</v>
      </c>
      <c r="E4622" s="229">
        <v>0</v>
      </c>
      <c r="F4622" s="229">
        <v>0</v>
      </c>
      <c r="G4622" s="229">
        <v>0</v>
      </c>
      <c r="H4622" s="229">
        <v>0</v>
      </c>
      <c r="I4622" s="229">
        <v>0</v>
      </c>
      <c r="J4622" s="229">
        <v>0</v>
      </c>
    </row>
    <row r="4623" spans="1:10" s="217" customFormat="1">
      <c r="A4623" s="214" t="s">
        <v>175</v>
      </c>
      <c r="B4623" s="214" t="s">
        <v>36</v>
      </c>
      <c r="C4623" s="228">
        <v>0.70902777777777803</v>
      </c>
      <c r="D4623" s="229">
        <v>0</v>
      </c>
      <c r="E4623" s="229">
        <v>0</v>
      </c>
      <c r="F4623" s="229">
        <v>0</v>
      </c>
      <c r="G4623" s="229">
        <v>0</v>
      </c>
      <c r="H4623" s="229">
        <v>0</v>
      </c>
      <c r="I4623" s="229">
        <v>0</v>
      </c>
      <c r="J4623" s="229">
        <v>0</v>
      </c>
    </row>
    <row r="4624" spans="1:10" s="217" customFormat="1">
      <c r="A4624" s="214" t="s">
        <v>175</v>
      </c>
      <c r="B4624" s="214" t="s">
        <v>36</v>
      </c>
      <c r="C4624" s="228">
        <v>0.70972222222222203</v>
      </c>
      <c r="D4624" s="229">
        <v>0</v>
      </c>
      <c r="E4624" s="229">
        <v>0</v>
      </c>
      <c r="F4624" s="229">
        <v>0</v>
      </c>
      <c r="G4624" s="229">
        <v>0</v>
      </c>
      <c r="H4624" s="229">
        <v>0</v>
      </c>
      <c r="I4624" s="229">
        <v>0</v>
      </c>
      <c r="J4624" s="229">
        <v>0</v>
      </c>
    </row>
    <row r="4625" spans="1:10" s="217" customFormat="1">
      <c r="A4625" s="214" t="s">
        <v>175</v>
      </c>
      <c r="B4625" s="214" t="s">
        <v>36</v>
      </c>
      <c r="C4625" s="228">
        <v>0.71041666666666603</v>
      </c>
      <c r="D4625" s="229">
        <v>0</v>
      </c>
      <c r="E4625" s="229">
        <v>0</v>
      </c>
      <c r="F4625" s="229">
        <v>0</v>
      </c>
      <c r="G4625" s="229">
        <v>0</v>
      </c>
      <c r="H4625" s="229">
        <v>0</v>
      </c>
      <c r="I4625" s="229">
        <v>0</v>
      </c>
      <c r="J4625" s="229">
        <v>0</v>
      </c>
    </row>
    <row r="4626" spans="1:10" s="217" customFormat="1">
      <c r="A4626" s="214" t="s">
        <v>175</v>
      </c>
      <c r="B4626" s="214" t="s">
        <v>36</v>
      </c>
      <c r="C4626" s="228">
        <v>0.71111111111111103</v>
      </c>
      <c r="D4626" s="229">
        <v>0</v>
      </c>
      <c r="E4626" s="229">
        <v>0</v>
      </c>
      <c r="F4626" s="229">
        <v>0</v>
      </c>
      <c r="G4626" s="229">
        <v>0</v>
      </c>
      <c r="H4626" s="229">
        <v>0</v>
      </c>
      <c r="I4626" s="229">
        <v>0</v>
      </c>
      <c r="J4626" s="229">
        <v>0</v>
      </c>
    </row>
    <row r="4627" spans="1:10" s="217" customFormat="1">
      <c r="A4627" s="214" t="s">
        <v>175</v>
      </c>
      <c r="B4627" s="214" t="s">
        <v>36</v>
      </c>
      <c r="C4627" s="228">
        <v>0.71180555555555503</v>
      </c>
      <c r="D4627" s="229">
        <v>0</v>
      </c>
      <c r="E4627" s="229">
        <v>0</v>
      </c>
      <c r="F4627" s="229">
        <v>0</v>
      </c>
      <c r="G4627" s="229">
        <v>0</v>
      </c>
      <c r="H4627" s="229">
        <v>0</v>
      </c>
      <c r="I4627" s="229">
        <v>0</v>
      </c>
      <c r="J4627" s="229">
        <v>0</v>
      </c>
    </row>
    <row r="4628" spans="1:10" s="217" customFormat="1">
      <c r="A4628" s="214" t="s">
        <v>175</v>
      </c>
      <c r="B4628" s="214" t="s">
        <v>36</v>
      </c>
      <c r="C4628" s="228">
        <v>0.71250000000000002</v>
      </c>
      <c r="D4628" s="229">
        <v>0</v>
      </c>
      <c r="E4628" s="229">
        <v>0</v>
      </c>
      <c r="F4628" s="229">
        <v>0</v>
      </c>
      <c r="G4628" s="229">
        <v>0</v>
      </c>
      <c r="H4628" s="229">
        <v>0</v>
      </c>
      <c r="I4628" s="229">
        <v>0</v>
      </c>
      <c r="J4628" s="229">
        <v>0</v>
      </c>
    </row>
    <row r="4629" spans="1:10" s="217" customFormat="1">
      <c r="A4629" s="214" t="s">
        <v>175</v>
      </c>
      <c r="B4629" s="214" t="s">
        <v>36</v>
      </c>
      <c r="C4629" s="228">
        <v>0.71319444444444402</v>
      </c>
      <c r="D4629" s="229">
        <v>0</v>
      </c>
      <c r="E4629" s="229">
        <v>0</v>
      </c>
      <c r="F4629" s="229">
        <v>0</v>
      </c>
      <c r="G4629" s="229">
        <v>0</v>
      </c>
      <c r="H4629" s="229">
        <v>0</v>
      </c>
      <c r="I4629" s="229">
        <v>0</v>
      </c>
      <c r="J4629" s="229">
        <v>0</v>
      </c>
    </row>
    <row r="4630" spans="1:10" s="217" customFormat="1">
      <c r="A4630" s="214" t="s">
        <v>175</v>
      </c>
      <c r="B4630" s="214" t="s">
        <v>36</v>
      </c>
      <c r="C4630" s="228">
        <v>0.71388888888888902</v>
      </c>
      <c r="D4630" s="229">
        <v>0</v>
      </c>
      <c r="E4630" s="229">
        <v>0</v>
      </c>
      <c r="F4630" s="229">
        <v>0</v>
      </c>
      <c r="G4630" s="229">
        <v>0</v>
      </c>
      <c r="H4630" s="229">
        <v>0</v>
      </c>
      <c r="I4630" s="229">
        <v>0</v>
      </c>
      <c r="J4630" s="229">
        <v>0</v>
      </c>
    </row>
    <row r="4631" spans="1:10" s="217" customFormat="1">
      <c r="A4631" s="214" t="s">
        <v>175</v>
      </c>
      <c r="B4631" s="214" t="s">
        <v>36</v>
      </c>
      <c r="C4631" s="228">
        <v>0.71458333333333302</v>
      </c>
      <c r="D4631" s="229">
        <v>0</v>
      </c>
      <c r="E4631" s="229">
        <v>0</v>
      </c>
      <c r="F4631" s="229">
        <v>0</v>
      </c>
      <c r="G4631" s="229">
        <v>0</v>
      </c>
      <c r="H4631" s="229">
        <v>0</v>
      </c>
      <c r="I4631" s="229">
        <v>0</v>
      </c>
      <c r="J4631" s="229">
        <v>0</v>
      </c>
    </row>
    <row r="4632" spans="1:10" s="217" customFormat="1">
      <c r="A4632" s="214" t="s">
        <v>175</v>
      </c>
      <c r="B4632" s="214" t="s">
        <v>36</v>
      </c>
      <c r="C4632" s="228">
        <v>0.71527777777777801</v>
      </c>
      <c r="D4632" s="229">
        <v>0</v>
      </c>
      <c r="E4632" s="229">
        <v>0</v>
      </c>
      <c r="F4632" s="229">
        <v>0</v>
      </c>
      <c r="G4632" s="229">
        <v>0</v>
      </c>
      <c r="H4632" s="229">
        <v>0</v>
      </c>
      <c r="I4632" s="229">
        <v>0</v>
      </c>
      <c r="J4632" s="229">
        <v>0</v>
      </c>
    </row>
    <row r="4633" spans="1:10" s="217" customFormat="1">
      <c r="A4633" s="214" t="s">
        <v>175</v>
      </c>
      <c r="B4633" s="214" t="s">
        <v>36</v>
      </c>
      <c r="C4633" s="228">
        <v>0.71597222222222201</v>
      </c>
      <c r="D4633" s="229">
        <v>0</v>
      </c>
      <c r="E4633" s="229">
        <v>0</v>
      </c>
      <c r="F4633" s="229">
        <v>0</v>
      </c>
      <c r="G4633" s="229">
        <v>0</v>
      </c>
      <c r="H4633" s="229">
        <v>0</v>
      </c>
      <c r="I4633" s="229">
        <v>0</v>
      </c>
      <c r="J4633" s="229">
        <v>0</v>
      </c>
    </row>
    <row r="4634" spans="1:10" s="217" customFormat="1">
      <c r="A4634" s="214" t="s">
        <v>175</v>
      </c>
      <c r="B4634" s="214" t="s">
        <v>36</v>
      </c>
      <c r="C4634" s="228">
        <v>0.71666666666666601</v>
      </c>
      <c r="D4634" s="229">
        <v>0</v>
      </c>
      <c r="E4634" s="229">
        <v>0</v>
      </c>
      <c r="F4634" s="229">
        <v>0</v>
      </c>
      <c r="G4634" s="229">
        <v>0</v>
      </c>
      <c r="H4634" s="229">
        <v>0</v>
      </c>
      <c r="I4634" s="229">
        <v>0</v>
      </c>
      <c r="J4634" s="229">
        <v>0</v>
      </c>
    </row>
    <row r="4635" spans="1:10" s="217" customFormat="1">
      <c r="A4635" s="214" t="s">
        <v>175</v>
      </c>
      <c r="B4635" s="214" t="s">
        <v>36</v>
      </c>
      <c r="C4635" s="228">
        <v>0.71736111111111101</v>
      </c>
      <c r="D4635" s="229">
        <v>0</v>
      </c>
      <c r="E4635" s="229">
        <v>0</v>
      </c>
      <c r="F4635" s="229">
        <v>0</v>
      </c>
      <c r="G4635" s="229">
        <v>0</v>
      </c>
      <c r="H4635" s="229">
        <v>0</v>
      </c>
      <c r="I4635" s="229">
        <v>0</v>
      </c>
      <c r="J4635" s="229">
        <v>0</v>
      </c>
    </row>
    <row r="4636" spans="1:10" s="221" customFormat="1">
      <c r="A4636" s="218" t="s">
        <v>175</v>
      </c>
      <c r="B4636" s="218" t="s">
        <v>36</v>
      </c>
      <c r="C4636" s="230">
        <v>0.718055555555555</v>
      </c>
      <c r="D4636" s="231">
        <v>0</v>
      </c>
      <c r="E4636" s="231">
        <v>0</v>
      </c>
      <c r="F4636" s="231">
        <v>0</v>
      </c>
      <c r="G4636" s="231">
        <v>0</v>
      </c>
      <c r="H4636" s="231">
        <v>0</v>
      </c>
      <c r="I4636" s="231">
        <v>0</v>
      </c>
      <c r="J4636" s="231">
        <v>0</v>
      </c>
    </row>
    <row r="4637" spans="1:10" s="217" customFormat="1">
      <c r="A4637" s="214" t="s">
        <v>175</v>
      </c>
      <c r="B4637" s="214" t="s">
        <v>36</v>
      </c>
      <c r="C4637" s="228">
        <v>0.71875</v>
      </c>
      <c r="D4637" s="229">
        <v>0</v>
      </c>
      <c r="E4637" s="229">
        <v>0</v>
      </c>
      <c r="F4637" s="229">
        <v>0</v>
      </c>
      <c r="G4637" s="229">
        <v>0</v>
      </c>
      <c r="H4637" s="229">
        <v>0</v>
      </c>
      <c r="I4637" s="229">
        <v>0</v>
      </c>
      <c r="J4637" s="229">
        <v>0</v>
      </c>
    </row>
    <row r="4638" spans="1:10" s="217" customFormat="1">
      <c r="A4638" s="214" t="s">
        <v>175</v>
      </c>
      <c r="B4638" s="214" t="s">
        <v>36</v>
      </c>
      <c r="C4638" s="228">
        <v>0.719444444444444</v>
      </c>
      <c r="D4638" s="229">
        <v>0</v>
      </c>
      <c r="E4638" s="229">
        <v>0</v>
      </c>
      <c r="F4638" s="229">
        <v>0</v>
      </c>
      <c r="G4638" s="229">
        <v>0</v>
      </c>
      <c r="H4638" s="229">
        <v>0</v>
      </c>
      <c r="I4638" s="229">
        <v>0</v>
      </c>
      <c r="J4638" s="229">
        <v>0</v>
      </c>
    </row>
    <row r="4639" spans="1:10" s="217" customFormat="1">
      <c r="A4639" s="214" t="s">
        <v>175</v>
      </c>
      <c r="B4639" s="214" t="s">
        <v>36</v>
      </c>
      <c r="C4639" s="228">
        <v>0.72013888888888899</v>
      </c>
      <c r="D4639" s="229">
        <v>0</v>
      </c>
      <c r="E4639" s="229">
        <v>0</v>
      </c>
      <c r="F4639" s="229">
        <v>0</v>
      </c>
      <c r="G4639" s="229">
        <v>0</v>
      </c>
      <c r="H4639" s="229">
        <v>0</v>
      </c>
      <c r="I4639" s="229">
        <v>0</v>
      </c>
      <c r="J4639" s="229">
        <v>0</v>
      </c>
    </row>
    <row r="4640" spans="1:10" s="217" customFormat="1">
      <c r="A4640" s="214" t="s">
        <v>175</v>
      </c>
      <c r="B4640" s="214" t="s">
        <v>36</v>
      </c>
      <c r="C4640" s="228">
        <v>0.72083333333333299</v>
      </c>
      <c r="D4640" s="229">
        <v>0</v>
      </c>
      <c r="E4640" s="229">
        <v>0</v>
      </c>
      <c r="F4640" s="229">
        <v>0</v>
      </c>
      <c r="G4640" s="229">
        <v>0</v>
      </c>
      <c r="H4640" s="229">
        <v>0</v>
      </c>
      <c r="I4640" s="229">
        <v>0</v>
      </c>
      <c r="J4640" s="229">
        <v>0</v>
      </c>
    </row>
    <row r="4641" spans="1:10" s="217" customFormat="1">
      <c r="A4641" s="214" t="s">
        <v>175</v>
      </c>
      <c r="B4641" s="214" t="s">
        <v>36</v>
      </c>
      <c r="C4641" s="228">
        <v>0.72152777777777799</v>
      </c>
      <c r="D4641" s="229">
        <v>0</v>
      </c>
      <c r="E4641" s="229">
        <v>0</v>
      </c>
      <c r="F4641" s="229">
        <v>0</v>
      </c>
      <c r="G4641" s="229">
        <v>0</v>
      </c>
      <c r="H4641" s="229">
        <v>0</v>
      </c>
      <c r="I4641" s="229">
        <v>0</v>
      </c>
      <c r="J4641" s="229">
        <v>0</v>
      </c>
    </row>
    <row r="4642" spans="1:10" s="217" customFormat="1">
      <c r="A4642" s="214" t="s">
        <v>175</v>
      </c>
      <c r="B4642" s="214" t="s">
        <v>36</v>
      </c>
      <c r="C4642" s="228">
        <v>0.72222222222222199</v>
      </c>
      <c r="D4642" s="229">
        <v>0</v>
      </c>
      <c r="E4642" s="229">
        <v>0</v>
      </c>
      <c r="F4642" s="229">
        <v>0</v>
      </c>
      <c r="G4642" s="229">
        <v>0</v>
      </c>
      <c r="H4642" s="229">
        <v>0</v>
      </c>
      <c r="I4642" s="229">
        <v>0</v>
      </c>
      <c r="J4642" s="229">
        <v>0</v>
      </c>
    </row>
    <row r="4643" spans="1:10" s="217" customFormat="1">
      <c r="A4643" s="214" t="s">
        <v>175</v>
      </c>
      <c r="B4643" s="214" t="s">
        <v>36</v>
      </c>
      <c r="C4643" s="228">
        <v>0.72291666666666599</v>
      </c>
      <c r="D4643" s="229">
        <v>0</v>
      </c>
      <c r="E4643" s="229">
        <v>0</v>
      </c>
      <c r="F4643" s="229">
        <v>0</v>
      </c>
      <c r="G4643" s="229">
        <v>0</v>
      </c>
      <c r="H4643" s="229">
        <v>0</v>
      </c>
      <c r="I4643" s="229">
        <v>0</v>
      </c>
      <c r="J4643" s="229">
        <v>0</v>
      </c>
    </row>
    <row r="4644" spans="1:10" s="217" customFormat="1">
      <c r="A4644" s="214" t="s">
        <v>175</v>
      </c>
      <c r="B4644" s="214" t="s">
        <v>36</v>
      </c>
      <c r="C4644" s="228">
        <v>0.72361111111111098</v>
      </c>
      <c r="D4644" s="229">
        <v>0</v>
      </c>
      <c r="E4644" s="229">
        <v>0</v>
      </c>
      <c r="F4644" s="229">
        <v>0</v>
      </c>
      <c r="G4644" s="229">
        <v>0</v>
      </c>
      <c r="H4644" s="229">
        <v>0</v>
      </c>
      <c r="I4644" s="229">
        <v>0</v>
      </c>
      <c r="J4644" s="229">
        <v>0</v>
      </c>
    </row>
    <row r="4645" spans="1:10" s="217" customFormat="1">
      <c r="A4645" s="214" t="s">
        <v>175</v>
      </c>
      <c r="B4645" s="214" t="s">
        <v>36</v>
      </c>
      <c r="C4645" s="228">
        <v>0.72430555555555498</v>
      </c>
      <c r="D4645" s="229">
        <v>0</v>
      </c>
      <c r="E4645" s="229">
        <v>0</v>
      </c>
      <c r="F4645" s="229">
        <v>0</v>
      </c>
      <c r="G4645" s="229">
        <v>0</v>
      </c>
      <c r="H4645" s="229">
        <v>0</v>
      </c>
      <c r="I4645" s="229">
        <v>0</v>
      </c>
      <c r="J4645" s="229">
        <v>0</v>
      </c>
    </row>
    <row r="4646" spans="1:10" s="217" customFormat="1">
      <c r="A4646" s="214" t="s">
        <v>175</v>
      </c>
      <c r="B4646" s="214" t="s">
        <v>36</v>
      </c>
      <c r="C4646" s="228">
        <v>0.72499999999999998</v>
      </c>
      <c r="D4646" s="229">
        <v>0</v>
      </c>
      <c r="E4646" s="229">
        <v>0</v>
      </c>
      <c r="F4646" s="229">
        <v>0</v>
      </c>
      <c r="G4646" s="229">
        <v>0</v>
      </c>
      <c r="H4646" s="229">
        <v>0</v>
      </c>
      <c r="I4646" s="229">
        <v>0</v>
      </c>
      <c r="J4646" s="229">
        <v>0</v>
      </c>
    </row>
    <row r="4647" spans="1:10" s="217" customFormat="1">
      <c r="A4647" s="214" t="s">
        <v>175</v>
      </c>
      <c r="B4647" s="214" t="s">
        <v>36</v>
      </c>
      <c r="C4647" s="228">
        <v>0.72569444444444398</v>
      </c>
      <c r="D4647" s="229">
        <v>0</v>
      </c>
      <c r="E4647" s="229">
        <v>0</v>
      </c>
      <c r="F4647" s="229">
        <v>0</v>
      </c>
      <c r="G4647" s="229">
        <v>0</v>
      </c>
      <c r="H4647" s="229">
        <v>0</v>
      </c>
      <c r="I4647" s="229">
        <v>0</v>
      </c>
      <c r="J4647" s="229">
        <v>0</v>
      </c>
    </row>
    <row r="4648" spans="1:10" s="217" customFormat="1">
      <c r="A4648" s="214" t="s">
        <v>175</v>
      </c>
      <c r="B4648" s="214" t="s">
        <v>36</v>
      </c>
      <c r="C4648" s="228">
        <v>0.72638888888888897</v>
      </c>
      <c r="D4648" s="229">
        <v>0</v>
      </c>
      <c r="E4648" s="229">
        <v>0</v>
      </c>
      <c r="F4648" s="229">
        <v>0</v>
      </c>
      <c r="G4648" s="229">
        <v>0</v>
      </c>
      <c r="H4648" s="229">
        <v>0</v>
      </c>
      <c r="I4648" s="229">
        <v>0</v>
      </c>
      <c r="J4648" s="229">
        <v>0</v>
      </c>
    </row>
    <row r="4649" spans="1:10" s="217" customFormat="1">
      <c r="A4649" s="214" t="s">
        <v>175</v>
      </c>
      <c r="B4649" s="214" t="s">
        <v>36</v>
      </c>
      <c r="C4649" s="228">
        <v>0.72708333333333297</v>
      </c>
      <c r="D4649" s="229">
        <v>0</v>
      </c>
      <c r="E4649" s="229">
        <v>0</v>
      </c>
      <c r="F4649" s="229">
        <v>0</v>
      </c>
      <c r="G4649" s="229">
        <v>0</v>
      </c>
      <c r="H4649" s="229">
        <v>0</v>
      </c>
      <c r="I4649" s="229">
        <v>0</v>
      </c>
      <c r="J4649" s="229">
        <v>0</v>
      </c>
    </row>
    <row r="4650" spans="1:10" s="217" customFormat="1">
      <c r="A4650" s="214" t="s">
        <v>175</v>
      </c>
      <c r="B4650" s="214" t="s">
        <v>36</v>
      </c>
      <c r="C4650" s="228">
        <v>0.72777777777777797</v>
      </c>
      <c r="D4650" s="229">
        <v>0</v>
      </c>
      <c r="E4650" s="229">
        <v>0</v>
      </c>
      <c r="F4650" s="229">
        <v>0</v>
      </c>
      <c r="G4650" s="229">
        <v>0</v>
      </c>
      <c r="H4650" s="229">
        <v>0</v>
      </c>
      <c r="I4650" s="229">
        <v>0</v>
      </c>
      <c r="J4650" s="229">
        <v>0</v>
      </c>
    </row>
    <row r="4651" spans="1:10" s="221" customFormat="1">
      <c r="A4651" s="218" t="s">
        <v>175</v>
      </c>
      <c r="B4651" s="218" t="s">
        <v>36</v>
      </c>
      <c r="C4651" s="230">
        <v>0.72847222222222197</v>
      </c>
      <c r="D4651" s="231">
        <v>0</v>
      </c>
      <c r="E4651" s="231">
        <v>0</v>
      </c>
      <c r="F4651" s="231">
        <v>0</v>
      </c>
      <c r="G4651" s="231">
        <v>0</v>
      </c>
      <c r="H4651" s="231">
        <v>0</v>
      </c>
      <c r="I4651" s="231">
        <v>0</v>
      </c>
      <c r="J4651" s="231">
        <v>0</v>
      </c>
    </row>
    <row r="4652" spans="1:10" s="217" customFormat="1">
      <c r="A4652" s="214" t="s">
        <v>175</v>
      </c>
      <c r="B4652" s="214" t="s">
        <v>36</v>
      </c>
      <c r="C4652" s="228">
        <v>0.72916666666666596</v>
      </c>
      <c r="D4652" s="229">
        <v>0</v>
      </c>
      <c r="E4652" s="229">
        <v>0</v>
      </c>
      <c r="F4652" s="229">
        <v>0</v>
      </c>
      <c r="G4652" s="229">
        <v>0</v>
      </c>
      <c r="H4652" s="229">
        <v>0</v>
      </c>
      <c r="I4652" s="229">
        <v>0</v>
      </c>
      <c r="J4652" s="229">
        <v>0</v>
      </c>
    </row>
    <row r="4653" spans="1:10" s="217" customFormat="1">
      <c r="A4653" s="214" t="s">
        <v>175</v>
      </c>
      <c r="B4653" s="214" t="s">
        <v>36</v>
      </c>
      <c r="C4653" s="228">
        <v>0.72986111111111096</v>
      </c>
      <c r="D4653" s="229">
        <v>0</v>
      </c>
      <c r="E4653" s="229">
        <v>0</v>
      </c>
      <c r="F4653" s="229">
        <v>0</v>
      </c>
      <c r="G4653" s="229">
        <v>0</v>
      </c>
      <c r="H4653" s="229">
        <v>0</v>
      </c>
      <c r="I4653" s="229">
        <v>0</v>
      </c>
      <c r="J4653" s="229">
        <v>0</v>
      </c>
    </row>
    <row r="4654" spans="1:10" s="217" customFormat="1">
      <c r="A4654" s="214" t="s">
        <v>175</v>
      </c>
      <c r="B4654" s="214" t="s">
        <v>36</v>
      </c>
      <c r="C4654" s="228">
        <v>0.73055555555555496</v>
      </c>
      <c r="D4654" s="229">
        <v>0</v>
      </c>
      <c r="E4654" s="229">
        <v>0</v>
      </c>
      <c r="F4654" s="229">
        <v>0</v>
      </c>
      <c r="G4654" s="229">
        <v>0</v>
      </c>
      <c r="H4654" s="229">
        <v>0</v>
      </c>
      <c r="I4654" s="229">
        <v>0</v>
      </c>
      <c r="J4654" s="229">
        <v>0</v>
      </c>
    </row>
    <row r="4655" spans="1:10" s="217" customFormat="1">
      <c r="A4655" s="214" t="s">
        <v>175</v>
      </c>
      <c r="B4655" s="214" t="s">
        <v>36</v>
      </c>
      <c r="C4655" s="228">
        <v>0.73124999999999996</v>
      </c>
      <c r="D4655" s="229">
        <v>0</v>
      </c>
      <c r="E4655" s="229">
        <v>0</v>
      </c>
      <c r="F4655" s="229">
        <v>0</v>
      </c>
      <c r="G4655" s="229">
        <v>0</v>
      </c>
      <c r="H4655" s="229">
        <v>0</v>
      </c>
      <c r="I4655" s="229">
        <v>0</v>
      </c>
      <c r="J4655" s="229">
        <v>0</v>
      </c>
    </row>
    <row r="4656" spans="1:10" s="217" customFormat="1">
      <c r="A4656" s="214" t="s">
        <v>175</v>
      </c>
      <c r="B4656" s="214" t="s">
        <v>36</v>
      </c>
      <c r="C4656" s="228">
        <v>0.73194444444444395</v>
      </c>
      <c r="D4656" s="229">
        <v>0</v>
      </c>
      <c r="E4656" s="229">
        <v>0</v>
      </c>
      <c r="F4656" s="229">
        <v>0</v>
      </c>
      <c r="G4656" s="229">
        <v>0</v>
      </c>
      <c r="H4656" s="229">
        <v>0</v>
      </c>
      <c r="I4656" s="229">
        <v>0</v>
      </c>
      <c r="J4656" s="229">
        <v>0</v>
      </c>
    </row>
    <row r="4657" spans="1:10" s="217" customFormat="1">
      <c r="A4657" s="214" t="s">
        <v>175</v>
      </c>
      <c r="B4657" s="214" t="s">
        <v>36</v>
      </c>
      <c r="C4657" s="228">
        <v>0.73263888888888895</v>
      </c>
      <c r="D4657" s="229">
        <v>0</v>
      </c>
      <c r="E4657" s="229">
        <v>0</v>
      </c>
      <c r="F4657" s="229">
        <v>0</v>
      </c>
      <c r="G4657" s="229">
        <v>0</v>
      </c>
      <c r="H4657" s="229">
        <v>0</v>
      </c>
      <c r="I4657" s="229">
        <v>0</v>
      </c>
      <c r="J4657" s="229">
        <v>0</v>
      </c>
    </row>
    <row r="4658" spans="1:10" s="217" customFormat="1">
      <c r="A4658" s="214" t="s">
        <v>175</v>
      </c>
      <c r="B4658" s="214" t="s">
        <v>36</v>
      </c>
      <c r="C4658" s="228">
        <v>0.73333333333333295</v>
      </c>
      <c r="D4658" s="229">
        <v>0</v>
      </c>
      <c r="E4658" s="229">
        <v>0</v>
      </c>
      <c r="F4658" s="229">
        <v>0</v>
      </c>
      <c r="G4658" s="229">
        <v>0</v>
      </c>
      <c r="H4658" s="229">
        <v>0</v>
      </c>
      <c r="I4658" s="229">
        <v>0</v>
      </c>
      <c r="J4658" s="229">
        <v>0</v>
      </c>
    </row>
    <row r="4659" spans="1:10" s="217" customFormat="1">
      <c r="A4659" s="214" t="s">
        <v>175</v>
      </c>
      <c r="B4659" s="214" t="s">
        <v>36</v>
      </c>
      <c r="C4659" s="228">
        <v>0.73402777777777795</v>
      </c>
      <c r="D4659" s="229">
        <v>0</v>
      </c>
      <c r="E4659" s="229">
        <v>0</v>
      </c>
      <c r="F4659" s="229">
        <v>0</v>
      </c>
      <c r="G4659" s="229">
        <v>0</v>
      </c>
      <c r="H4659" s="229">
        <v>0</v>
      </c>
      <c r="I4659" s="229">
        <v>0</v>
      </c>
      <c r="J4659" s="229">
        <v>0</v>
      </c>
    </row>
    <row r="4660" spans="1:10" s="217" customFormat="1">
      <c r="A4660" s="214" t="s">
        <v>175</v>
      </c>
      <c r="B4660" s="214" t="s">
        <v>36</v>
      </c>
      <c r="C4660" s="228">
        <v>0.73472222222222205</v>
      </c>
      <c r="D4660" s="229">
        <v>0</v>
      </c>
      <c r="E4660" s="229">
        <v>0</v>
      </c>
      <c r="F4660" s="229">
        <v>0</v>
      </c>
      <c r="G4660" s="229">
        <v>0</v>
      </c>
      <c r="H4660" s="229">
        <v>0</v>
      </c>
      <c r="I4660" s="229">
        <v>0</v>
      </c>
      <c r="J4660" s="229">
        <v>0</v>
      </c>
    </row>
    <row r="4661" spans="1:10" s="217" customFormat="1">
      <c r="A4661" s="214" t="s">
        <v>175</v>
      </c>
      <c r="B4661" s="214" t="s">
        <v>36</v>
      </c>
      <c r="C4661" s="228">
        <v>0.73541666666666605</v>
      </c>
      <c r="D4661" s="229">
        <v>0</v>
      </c>
      <c r="E4661" s="229">
        <v>0</v>
      </c>
      <c r="F4661" s="229">
        <v>0</v>
      </c>
      <c r="G4661" s="229">
        <v>0</v>
      </c>
      <c r="H4661" s="229">
        <v>0</v>
      </c>
      <c r="I4661" s="229">
        <v>0</v>
      </c>
      <c r="J4661" s="229">
        <v>0</v>
      </c>
    </row>
    <row r="4662" spans="1:10" s="217" customFormat="1">
      <c r="A4662" s="214" t="s">
        <v>175</v>
      </c>
      <c r="B4662" s="214" t="s">
        <v>36</v>
      </c>
      <c r="C4662" s="228">
        <v>0.73611111111111105</v>
      </c>
      <c r="D4662" s="229">
        <v>0</v>
      </c>
      <c r="E4662" s="229">
        <v>0</v>
      </c>
      <c r="F4662" s="229">
        <v>0</v>
      </c>
      <c r="G4662" s="229">
        <v>0</v>
      </c>
      <c r="H4662" s="229">
        <v>0</v>
      </c>
      <c r="I4662" s="229">
        <v>0</v>
      </c>
      <c r="J4662" s="229">
        <v>0</v>
      </c>
    </row>
    <row r="4663" spans="1:10" s="217" customFormat="1">
      <c r="A4663" s="214" t="s">
        <v>175</v>
      </c>
      <c r="B4663" s="214" t="s">
        <v>36</v>
      </c>
      <c r="C4663" s="228">
        <v>0.73680555555555505</v>
      </c>
      <c r="D4663" s="229">
        <v>0</v>
      </c>
      <c r="E4663" s="229">
        <v>0</v>
      </c>
      <c r="F4663" s="229">
        <v>0</v>
      </c>
      <c r="G4663" s="229">
        <v>0</v>
      </c>
      <c r="H4663" s="229">
        <v>0</v>
      </c>
      <c r="I4663" s="229">
        <v>0</v>
      </c>
      <c r="J4663" s="229">
        <v>0</v>
      </c>
    </row>
    <row r="4664" spans="1:10" s="217" customFormat="1">
      <c r="A4664" s="214" t="s">
        <v>175</v>
      </c>
      <c r="B4664" s="214" t="s">
        <v>36</v>
      </c>
      <c r="C4664" s="228">
        <v>0.73750000000000004</v>
      </c>
      <c r="D4664" s="229">
        <v>0</v>
      </c>
      <c r="E4664" s="229">
        <v>0</v>
      </c>
      <c r="F4664" s="229">
        <v>0</v>
      </c>
      <c r="G4664" s="229">
        <v>0</v>
      </c>
      <c r="H4664" s="229">
        <v>0</v>
      </c>
      <c r="I4664" s="229">
        <v>0</v>
      </c>
      <c r="J4664" s="229">
        <v>0</v>
      </c>
    </row>
    <row r="4665" spans="1:10" s="217" customFormat="1">
      <c r="A4665" s="214" t="s">
        <v>175</v>
      </c>
      <c r="B4665" s="214" t="s">
        <v>36</v>
      </c>
      <c r="C4665" s="228">
        <v>0.73819444444444404</v>
      </c>
      <c r="D4665" s="229">
        <v>0</v>
      </c>
      <c r="E4665" s="229">
        <v>0</v>
      </c>
      <c r="F4665" s="229">
        <v>0</v>
      </c>
      <c r="G4665" s="229">
        <v>0</v>
      </c>
      <c r="H4665" s="229">
        <v>0</v>
      </c>
      <c r="I4665" s="229">
        <v>0</v>
      </c>
      <c r="J4665" s="229">
        <v>0</v>
      </c>
    </row>
    <row r="4666" spans="1:10" s="221" customFormat="1">
      <c r="A4666" s="218" t="s">
        <v>175</v>
      </c>
      <c r="B4666" s="218" t="s">
        <v>36</v>
      </c>
      <c r="C4666" s="230">
        <v>0.73888888888888904</v>
      </c>
      <c r="D4666" s="231">
        <v>0</v>
      </c>
      <c r="E4666" s="231">
        <v>0</v>
      </c>
      <c r="F4666" s="231">
        <v>0</v>
      </c>
      <c r="G4666" s="231">
        <v>0</v>
      </c>
      <c r="H4666" s="231">
        <v>0</v>
      </c>
      <c r="I4666" s="231">
        <v>0</v>
      </c>
      <c r="J4666" s="231">
        <v>0</v>
      </c>
    </row>
    <row r="4667" spans="1:10" s="217" customFormat="1">
      <c r="A4667" s="214" t="s">
        <v>175</v>
      </c>
      <c r="B4667" s="214" t="s">
        <v>36</v>
      </c>
      <c r="C4667" s="228">
        <v>0.73958333333333304</v>
      </c>
      <c r="D4667" s="229">
        <v>0</v>
      </c>
      <c r="E4667" s="229">
        <v>0</v>
      </c>
      <c r="F4667" s="229">
        <v>0</v>
      </c>
      <c r="G4667" s="229">
        <v>0</v>
      </c>
      <c r="H4667" s="229">
        <v>0</v>
      </c>
      <c r="I4667" s="229">
        <v>0</v>
      </c>
      <c r="J4667" s="229">
        <v>0</v>
      </c>
    </row>
    <row r="4668" spans="1:10" s="217" customFormat="1">
      <c r="A4668" s="214" t="s">
        <v>175</v>
      </c>
      <c r="B4668" s="214" t="s">
        <v>36</v>
      </c>
      <c r="C4668" s="228">
        <v>0.74027777777777704</v>
      </c>
      <c r="D4668" s="229">
        <v>0</v>
      </c>
      <c r="E4668" s="229">
        <v>0</v>
      </c>
      <c r="F4668" s="229">
        <v>0</v>
      </c>
      <c r="G4668" s="229">
        <v>0</v>
      </c>
      <c r="H4668" s="229">
        <v>0</v>
      </c>
      <c r="I4668" s="229">
        <v>0</v>
      </c>
      <c r="J4668" s="229">
        <v>0</v>
      </c>
    </row>
    <row r="4669" spans="1:10" s="217" customFormat="1">
      <c r="A4669" s="214" t="s">
        <v>175</v>
      </c>
      <c r="B4669" s="214" t="s">
        <v>36</v>
      </c>
      <c r="C4669" s="228">
        <v>0.74097222222222203</v>
      </c>
      <c r="D4669" s="229">
        <v>0</v>
      </c>
      <c r="E4669" s="229">
        <v>0</v>
      </c>
      <c r="F4669" s="229">
        <v>0</v>
      </c>
      <c r="G4669" s="229">
        <v>0</v>
      </c>
      <c r="H4669" s="229">
        <v>0</v>
      </c>
      <c r="I4669" s="229">
        <v>0</v>
      </c>
      <c r="J4669" s="229">
        <v>0</v>
      </c>
    </row>
    <row r="4670" spans="1:10" s="217" customFormat="1">
      <c r="A4670" s="214" t="s">
        <v>175</v>
      </c>
      <c r="B4670" s="214" t="s">
        <v>36</v>
      </c>
      <c r="C4670" s="228">
        <v>0.74166666666666603</v>
      </c>
      <c r="D4670" s="229">
        <v>0</v>
      </c>
      <c r="E4670" s="229">
        <v>0</v>
      </c>
      <c r="F4670" s="229">
        <v>0</v>
      </c>
      <c r="G4670" s="229">
        <v>0</v>
      </c>
      <c r="H4670" s="229">
        <v>0</v>
      </c>
      <c r="I4670" s="229">
        <v>0</v>
      </c>
      <c r="J4670" s="229">
        <v>0</v>
      </c>
    </row>
    <row r="4671" spans="1:10" s="217" customFormat="1">
      <c r="A4671" s="214" t="s">
        <v>175</v>
      </c>
      <c r="B4671" s="214" t="s">
        <v>36</v>
      </c>
      <c r="C4671" s="228">
        <v>0.74236111111111103</v>
      </c>
      <c r="D4671" s="229">
        <v>0</v>
      </c>
      <c r="E4671" s="229">
        <v>0</v>
      </c>
      <c r="F4671" s="229">
        <v>0</v>
      </c>
      <c r="G4671" s="229">
        <v>0</v>
      </c>
      <c r="H4671" s="229">
        <v>0</v>
      </c>
      <c r="I4671" s="229">
        <v>0</v>
      </c>
      <c r="J4671" s="229">
        <v>0</v>
      </c>
    </row>
    <row r="4672" spans="1:10" s="217" customFormat="1">
      <c r="A4672" s="214" t="s">
        <v>175</v>
      </c>
      <c r="B4672" s="214" t="s">
        <v>36</v>
      </c>
      <c r="C4672" s="228">
        <v>0.74305555555555503</v>
      </c>
      <c r="D4672" s="229">
        <v>0</v>
      </c>
      <c r="E4672" s="229">
        <v>0</v>
      </c>
      <c r="F4672" s="229">
        <v>0</v>
      </c>
      <c r="G4672" s="229">
        <v>0</v>
      </c>
      <c r="H4672" s="229">
        <v>0</v>
      </c>
      <c r="I4672" s="229">
        <v>0</v>
      </c>
      <c r="J4672" s="229">
        <v>0</v>
      </c>
    </row>
    <row r="4673" spans="1:10" s="217" customFormat="1">
      <c r="A4673" s="214" t="s">
        <v>175</v>
      </c>
      <c r="B4673" s="214" t="s">
        <v>36</v>
      </c>
      <c r="C4673" s="228">
        <v>0.74375000000000002</v>
      </c>
      <c r="D4673" s="229">
        <v>0</v>
      </c>
      <c r="E4673" s="229">
        <v>0</v>
      </c>
      <c r="F4673" s="229">
        <v>0</v>
      </c>
      <c r="G4673" s="229">
        <v>0</v>
      </c>
      <c r="H4673" s="229">
        <v>0</v>
      </c>
      <c r="I4673" s="229">
        <v>0</v>
      </c>
      <c r="J4673" s="229">
        <v>0</v>
      </c>
    </row>
    <row r="4674" spans="1:10" s="217" customFormat="1">
      <c r="A4674" s="214" t="s">
        <v>175</v>
      </c>
      <c r="B4674" s="214" t="s">
        <v>36</v>
      </c>
      <c r="C4674" s="228">
        <v>0.74444444444444402</v>
      </c>
      <c r="D4674" s="229">
        <v>0</v>
      </c>
      <c r="E4674" s="229">
        <v>0</v>
      </c>
      <c r="F4674" s="229">
        <v>0</v>
      </c>
      <c r="G4674" s="229">
        <v>0</v>
      </c>
      <c r="H4674" s="229">
        <v>0</v>
      </c>
      <c r="I4674" s="229">
        <v>0</v>
      </c>
      <c r="J4674" s="229">
        <v>0</v>
      </c>
    </row>
    <row r="4675" spans="1:10" s="217" customFormat="1">
      <c r="A4675" s="214" t="s">
        <v>175</v>
      </c>
      <c r="B4675" s="214" t="s">
        <v>36</v>
      </c>
      <c r="C4675" s="228">
        <v>0.74513888888888902</v>
      </c>
      <c r="D4675" s="229">
        <v>0</v>
      </c>
      <c r="E4675" s="229">
        <v>0</v>
      </c>
      <c r="F4675" s="229">
        <v>0</v>
      </c>
      <c r="G4675" s="229">
        <v>0</v>
      </c>
      <c r="H4675" s="229">
        <v>0</v>
      </c>
      <c r="I4675" s="229">
        <v>0</v>
      </c>
      <c r="J4675" s="229">
        <v>0</v>
      </c>
    </row>
    <row r="4676" spans="1:10" s="217" customFormat="1">
      <c r="A4676" s="214" t="s">
        <v>175</v>
      </c>
      <c r="B4676" s="214" t="s">
        <v>36</v>
      </c>
      <c r="C4676" s="228">
        <v>0.74583333333333302</v>
      </c>
      <c r="D4676" s="229">
        <v>0</v>
      </c>
      <c r="E4676" s="229">
        <v>0</v>
      </c>
      <c r="F4676" s="229">
        <v>0</v>
      </c>
      <c r="G4676" s="229">
        <v>0</v>
      </c>
      <c r="H4676" s="229">
        <v>0</v>
      </c>
      <c r="I4676" s="229">
        <v>0</v>
      </c>
      <c r="J4676" s="229">
        <v>0</v>
      </c>
    </row>
    <row r="4677" spans="1:10" s="217" customFormat="1">
      <c r="A4677" s="214" t="s">
        <v>175</v>
      </c>
      <c r="B4677" s="214" t="s">
        <v>36</v>
      </c>
      <c r="C4677" s="228">
        <v>0.74652777777777701</v>
      </c>
      <c r="D4677" s="229">
        <v>0</v>
      </c>
      <c r="E4677" s="229">
        <v>0</v>
      </c>
      <c r="F4677" s="229">
        <v>0</v>
      </c>
      <c r="G4677" s="229">
        <v>0</v>
      </c>
      <c r="H4677" s="229">
        <v>0</v>
      </c>
      <c r="I4677" s="229">
        <v>0</v>
      </c>
      <c r="J4677" s="229">
        <v>0</v>
      </c>
    </row>
    <row r="4678" spans="1:10" s="217" customFormat="1">
      <c r="A4678" s="214" t="s">
        <v>175</v>
      </c>
      <c r="B4678" s="214" t="s">
        <v>36</v>
      </c>
      <c r="C4678" s="228">
        <v>0.74722222222222201</v>
      </c>
      <c r="D4678" s="229">
        <v>0</v>
      </c>
      <c r="E4678" s="229">
        <v>0</v>
      </c>
      <c r="F4678" s="229">
        <v>0</v>
      </c>
      <c r="G4678" s="229">
        <v>0</v>
      </c>
      <c r="H4678" s="229">
        <v>0</v>
      </c>
      <c r="I4678" s="229">
        <v>0</v>
      </c>
      <c r="J4678" s="229">
        <v>0</v>
      </c>
    </row>
    <row r="4679" spans="1:10" s="217" customFormat="1">
      <c r="A4679" s="214" t="s">
        <v>175</v>
      </c>
      <c r="B4679" s="214" t="s">
        <v>36</v>
      </c>
      <c r="C4679" s="228">
        <v>0.74791666666666601</v>
      </c>
      <c r="D4679" s="229">
        <v>0</v>
      </c>
      <c r="E4679" s="229">
        <v>0</v>
      </c>
      <c r="F4679" s="229">
        <v>0</v>
      </c>
      <c r="G4679" s="229">
        <v>0</v>
      </c>
      <c r="H4679" s="229">
        <v>0</v>
      </c>
      <c r="I4679" s="229">
        <v>0</v>
      </c>
      <c r="J4679" s="229">
        <v>0</v>
      </c>
    </row>
    <row r="4680" spans="1:10" s="217" customFormat="1">
      <c r="A4680" s="214" t="s">
        <v>175</v>
      </c>
      <c r="B4680" s="214" t="s">
        <v>36</v>
      </c>
      <c r="C4680" s="228">
        <v>0.74861111111111101</v>
      </c>
      <c r="D4680" s="229">
        <v>0</v>
      </c>
      <c r="E4680" s="229">
        <v>0</v>
      </c>
      <c r="F4680" s="229">
        <v>0</v>
      </c>
      <c r="G4680" s="229">
        <v>0</v>
      </c>
      <c r="H4680" s="229">
        <v>0</v>
      </c>
      <c r="I4680" s="229">
        <v>0</v>
      </c>
      <c r="J4680" s="229">
        <v>0</v>
      </c>
    </row>
    <row r="4681" spans="1:10" s="221" customFormat="1">
      <c r="A4681" s="218" t="s">
        <v>175</v>
      </c>
      <c r="B4681" s="218" t="s">
        <v>36</v>
      </c>
      <c r="C4681" s="230">
        <v>0.749305555555555</v>
      </c>
      <c r="D4681" s="231">
        <v>0</v>
      </c>
      <c r="E4681" s="231">
        <v>0</v>
      </c>
      <c r="F4681" s="231">
        <v>0</v>
      </c>
      <c r="G4681" s="231">
        <v>0</v>
      </c>
      <c r="H4681" s="231">
        <v>0</v>
      </c>
      <c r="I4681" s="231">
        <v>0</v>
      </c>
      <c r="J4681" s="231">
        <v>0</v>
      </c>
    </row>
    <row r="4682" spans="1:10" s="217" customFormat="1">
      <c r="A4682" s="214" t="s">
        <v>175</v>
      </c>
      <c r="B4682" s="214" t="s">
        <v>13</v>
      </c>
      <c r="C4682" s="228">
        <v>0.75</v>
      </c>
      <c r="D4682" s="229">
        <v>0</v>
      </c>
      <c r="E4682" s="229">
        <v>0</v>
      </c>
      <c r="F4682" s="229">
        <v>0</v>
      </c>
      <c r="G4682" s="229">
        <v>0</v>
      </c>
      <c r="H4682" s="229">
        <v>0</v>
      </c>
      <c r="I4682" s="229">
        <v>0</v>
      </c>
      <c r="J4682" s="229">
        <v>0</v>
      </c>
    </row>
    <row r="4683" spans="1:10" s="217" customFormat="1">
      <c r="A4683" s="214" t="s">
        <v>175</v>
      </c>
      <c r="B4683" s="214" t="s">
        <v>13</v>
      </c>
      <c r="C4683" s="228">
        <v>0.75069444444444444</v>
      </c>
      <c r="D4683" s="229">
        <v>0</v>
      </c>
      <c r="E4683" s="229">
        <v>0</v>
      </c>
      <c r="F4683" s="229">
        <v>0</v>
      </c>
      <c r="G4683" s="229">
        <v>0</v>
      </c>
      <c r="H4683" s="229">
        <v>0</v>
      </c>
      <c r="I4683" s="229">
        <v>0</v>
      </c>
      <c r="J4683" s="229">
        <v>0</v>
      </c>
    </row>
    <row r="4684" spans="1:10" s="217" customFormat="1">
      <c r="A4684" s="214" t="s">
        <v>175</v>
      </c>
      <c r="B4684" s="214" t="s">
        <v>13</v>
      </c>
      <c r="C4684" s="228">
        <v>0.75138888888888899</v>
      </c>
      <c r="D4684" s="229">
        <v>0</v>
      </c>
      <c r="E4684" s="229">
        <v>0</v>
      </c>
      <c r="F4684" s="229">
        <v>0</v>
      </c>
      <c r="G4684" s="229">
        <v>0</v>
      </c>
      <c r="H4684" s="229">
        <v>0</v>
      </c>
      <c r="I4684" s="229">
        <v>0</v>
      </c>
      <c r="J4684" s="229">
        <v>0</v>
      </c>
    </row>
    <row r="4685" spans="1:10" s="217" customFormat="1">
      <c r="A4685" s="214" t="s">
        <v>175</v>
      </c>
      <c r="B4685" s="214" t="s">
        <v>13</v>
      </c>
      <c r="C4685" s="228">
        <v>0.75208333333333299</v>
      </c>
      <c r="D4685" s="229">
        <v>0</v>
      </c>
      <c r="E4685" s="229">
        <v>0</v>
      </c>
      <c r="F4685" s="229">
        <v>0</v>
      </c>
      <c r="G4685" s="229">
        <v>0</v>
      </c>
      <c r="H4685" s="229">
        <v>0</v>
      </c>
      <c r="I4685" s="229">
        <v>0</v>
      </c>
      <c r="J4685" s="229">
        <v>0</v>
      </c>
    </row>
    <row r="4686" spans="1:10" s="217" customFormat="1">
      <c r="A4686" s="214" t="s">
        <v>175</v>
      </c>
      <c r="B4686" s="214" t="s">
        <v>13</v>
      </c>
      <c r="C4686" s="228">
        <v>0.75277777777777799</v>
      </c>
      <c r="D4686" s="229">
        <v>0</v>
      </c>
      <c r="E4686" s="229">
        <v>0</v>
      </c>
      <c r="F4686" s="229">
        <v>0</v>
      </c>
      <c r="G4686" s="229">
        <v>0</v>
      </c>
      <c r="H4686" s="229">
        <v>0</v>
      </c>
      <c r="I4686" s="229">
        <v>0</v>
      </c>
      <c r="J4686" s="229">
        <v>0</v>
      </c>
    </row>
    <row r="4687" spans="1:10" s="217" customFormat="1">
      <c r="A4687" s="214" t="s">
        <v>175</v>
      </c>
      <c r="B4687" s="214" t="s">
        <v>13</v>
      </c>
      <c r="C4687" s="228">
        <v>0.75347222222222199</v>
      </c>
      <c r="D4687" s="229">
        <v>0</v>
      </c>
      <c r="E4687" s="229">
        <v>0</v>
      </c>
      <c r="F4687" s="229">
        <v>0</v>
      </c>
      <c r="G4687" s="229">
        <v>0</v>
      </c>
      <c r="H4687" s="229">
        <v>0</v>
      </c>
      <c r="I4687" s="229">
        <v>0</v>
      </c>
      <c r="J4687" s="229">
        <v>0</v>
      </c>
    </row>
    <row r="4688" spans="1:10" s="217" customFormat="1">
      <c r="A4688" s="214" t="s">
        <v>175</v>
      </c>
      <c r="B4688" s="214" t="s">
        <v>13</v>
      </c>
      <c r="C4688" s="228">
        <v>0.75416666666666698</v>
      </c>
      <c r="D4688" s="229">
        <v>0</v>
      </c>
      <c r="E4688" s="229">
        <v>0</v>
      </c>
      <c r="F4688" s="229">
        <v>0</v>
      </c>
      <c r="G4688" s="229">
        <v>0</v>
      </c>
      <c r="H4688" s="229">
        <v>0</v>
      </c>
      <c r="I4688" s="229">
        <v>0</v>
      </c>
      <c r="J4688" s="229">
        <v>0</v>
      </c>
    </row>
    <row r="4689" spans="1:10" s="217" customFormat="1">
      <c r="A4689" s="214" t="s">
        <v>175</v>
      </c>
      <c r="B4689" s="214" t="s">
        <v>13</v>
      </c>
      <c r="C4689" s="228">
        <v>0.75486111111111098</v>
      </c>
      <c r="D4689" s="229">
        <v>0</v>
      </c>
      <c r="E4689" s="229">
        <v>0</v>
      </c>
      <c r="F4689" s="229">
        <v>0</v>
      </c>
      <c r="G4689" s="229">
        <v>0</v>
      </c>
      <c r="H4689" s="229">
        <v>0</v>
      </c>
      <c r="I4689" s="229">
        <v>0</v>
      </c>
      <c r="J4689" s="229">
        <v>0</v>
      </c>
    </row>
    <row r="4690" spans="1:10" s="217" customFormat="1">
      <c r="A4690" s="214" t="s">
        <v>175</v>
      </c>
      <c r="B4690" s="214" t="s">
        <v>13</v>
      </c>
      <c r="C4690" s="228">
        <v>0.75555555555555598</v>
      </c>
      <c r="D4690" s="229">
        <v>0</v>
      </c>
      <c r="E4690" s="229">
        <v>0</v>
      </c>
      <c r="F4690" s="229">
        <v>0</v>
      </c>
      <c r="G4690" s="229">
        <v>0</v>
      </c>
      <c r="H4690" s="229">
        <v>0</v>
      </c>
      <c r="I4690" s="229">
        <v>0</v>
      </c>
      <c r="J4690" s="229">
        <v>0</v>
      </c>
    </row>
    <row r="4691" spans="1:10" s="217" customFormat="1">
      <c r="A4691" s="214" t="s">
        <v>175</v>
      </c>
      <c r="B4691" s="214" t="s">
        <v>13</v>
      </c>
      <c r="C4691" s="228">
        <v>0.75624999999999998</v>
      </c>
      <c r="D4691" s="229">
        <v>0</v>
      </c>
      <c r="E4691" s="229">
        <v>0</v>
      </c>
      <c r="F4691" s="229">
        <v>0</v>
      </c>
      <c r="G4691" s="229">
        <v>0</v>
      </c>
      <c r="H4691" s="229">
        <v>0</v>
      </c>
      <c r="I4691" s="229">
        <v>0</v>
      </c>
      <c r="J4691" s="229">
        <v>0</v>
      </c>
    </row>
    <row r="4692" spans="1:10" s="217" customFormat="1">
      <c r="A4692" s="214" t="s">
        <v>175</v>
      </c>
      <c r="B4692" s="214" t="s">
        <v>13</v>
      </c>
      <c r="C4692" s="228">
        <v>0.75694444444444398</v>
      </c>
      <c r="D4692" s="229">
        <v>0</v>
      </c>
      <c r="E4692" s="229">
        <v>0</v>
      </c>
      <c r="F4692" s="229">
        <v>0</v>
      </c>
      <c r="G4692" s="229">
        <v>0</v>
      </c>
      <c r="H4692" s="229">
        <v>0</v>
      </c>
      <c r="I4692" s="229">
        <v>0</v>
      </c>
      <c r="J4692" s="229">
        <v>0</v>
      </c>
    </row>
    <row r="4693" spans="1:10" s="217" customFormat="1">
      <c r="A4693" s="214" t="s">
        <v>175</v>
      </c>
      <c r="B4693" s="214" t="s">
        <v>13</v>
      </c>
      <c r="C4693" s="228">
        <v>0.75763888888888897</v>
      </c>
      <c r="D4693" s="229">
        <v>0</v>
      </c>
      <c r="E4693" s="229">
        <v>0</v>
      </c>
      <c r="F4693" s="229">
        <v>0</v>
      </c>
      <c r="G4693" s="229">
        <v>0</v>
      </c>
      <c r="H4693" s="229">
        <v>0</v>
      </c>
      <c r="I4693" s="229">
        <v>0</v>
      </c>
      <c r="J4693" s="229">
        <v>0</v>
      </c>
    </row>
    <row r="4694" spans="1:10" s="217" customFormat="1">
      <c r="A4694" s="214" t="s">
        <v>175</v>
      </c>
      <c r="B4694" s="214" t="s">
        <v>13</v>
      </c>
      <c r="C4694" s="228">
        <v>0.75833333333333297</v>
      </c>
      <c r="D4694" s="229">
        <v>0</v>
      </c>
      <c r="E4694" s="229">
        <v>0</v>
      </c>
      <c r="F4694" s="229">
        <v>0</v>
      </c>
      <c r="G4694" s="229">
        <v>0</v>
      </c>
      <c r="H4694" s="229">
        <v>0</v>
      </c>
      <c r="I4694" s="229">
        <v>0</v>
      </c>
      <c r="J4694" s="229">
        <v>0</v>
      </c>
    </row>
    <row r="4695" spans="1:10" s="217" customFormat="1">
      <c r="A4695" s="214" t="s">
        <v>175</v>
      </c>
      <c r="B4695" s="214" t="s">
        <v>13</v>
      </c>
      <c r="C4695" s="228">
        <v>0.75902777777777797</v>
      </c>
      <c r="D4695" s="229">
        <v>0</v>
      </c>
      <c r="E4695" s="229">
        <v>0</v>
      </c>
      <c r="F4695" s="229">
        <v>0</v>
      </c>
      <c r="G4695" s="229">
        <v>0</v>
      </c>
      <c r="H4695" s="229">
        <v>0</v>
      </c>
      <c r="I4695" s="229">
        <v>0</v>
      </c>
      <c r="J4695" s="229">
        <v>0</v>
      </c>
    </row>
    <row r="4696" spans="1:10" s="221" customFormat="1">
      <c r="A4696" s="218" t="s">
        <v>175</v>
      </c>
      <c r="B4696" s="218" t="s">
        <v>13</v>
      </c>
      <c r="C4696" s="230">
        <v>0.75972222222222197</v>
      </c>
      <c r="D4696" s="231">
        <v>0</v>
      </c>
      <c r="E4696" s="231">
        <v>0</v>
      </c>
      <c r="F4696" s="231">
        <v>0</v>
      </c>
      <c r="G4696" s="231">
        <v>0</v>
      </c>
      <c r="H4696" s="231">
        <v>0</v>
      </c>
      <c r="I4696" s="231">
        <v>0</v>
      </c>
      <c r="J4696" s="231">
        <v>0</v>
      </c>
    </row>
    <row r="4697" spans="1:10" s="217" customFormat="1">
      <c r="A4697" s="214" t="s">
        <v>175</v>
      </c>
      <c r="B4697" s="214" t="s">
        <v>13</v>
      </c>
      <c r="C4697" s="228">
        <v>0.76041666666666696</v>
      </c>
      <c r="D4697" s="229">
        <v>0</v>
      </c>
      <c r="E4697" s="229">
        <v>0</v>
      </c>
      <c r="F4697" s="229">
        <v>0</v>
      </c>
      <c r="G4697" s="229">
        <v>0</v>
      </c>
      <c r="H4697" s="229">
        <v>0</v>
      </c>
      <c r="I4697" s="229">
        <v>0</v>
      </c>
      <c r="J4697" s="229">
        <v>0</v>
      </c>
    </row>
    <row r="4698" spans="1:10" s="217" customFormat="1">
      <c r="A4698" s="214" t="s">
        <v>175</v>
      </c>
      <c r="B4698" s="214" t="s">
        <v>13</v>
      </c>
      <c r="C4698" s="228">
        <v>0.76111111111111096</v>
      </c>
      <c r="D4698" s="229">
        <v>0</v>
      </c>
      <c r="E4698" s="229">
        <v>0</v>
      </c>
      <c r="F4698" s="229">
        <v>0</v>
      </c>
      <c r="G4698" s="229">
        <v>0</v>
      </c>
      <c r="H4698" s="229">
        <v>0</v>
      </c>
      <c r="I4698" s="229">
        <v>0</v>
      </c>
      <c r="J4698" s="229">
        <v>0</v>
      </c>
    </row>
    <row r="4699" spans="1:10" s="217" customFormat="1">
      <c r="A4699" s="214" t="s">
        <v>175</v>
      </c>
      <c r="B4699" s="214" t="s">
        <v>13</v>
      </c>
      <c r="C4699" s="228">
        <v>0.76180555555555596</v>
      </c>
      <c r="D4699" s="229">
        <v>0</v>
      </c>
      <c r="E4699" s="229">
        <v>0</v>
      </c>
      <c r="F4699" s="229">
        <v>0</v>
      </c>
      <c r="G4699" s="229">
        <v>0</v>
      </c>
      <c r="H4699" s="229">
        <v>0</v>
      </c>
      <c r="I4699" s="229">
        <v>0</v>
      </c>
      <c r="J4699" s="229">
        <v>0</v>
      </c>
    </row>
    <row r="4700" spans="1:10" s="217" customFormat="1">
      <c r="A4700" s="214" t="s">
        <v>175</v>
      </c>
      <c r="B4700" s="214" t="s">
        <v>13</v>
      </c>
      <c r="C4700" s="228">
        <v>0.76249999999999996</v>
      </c>
      <c r="D4700" s="229">
        <v>0</v>
      </c>
      <c r="E4700" s="229">
        <v>0</v>
      </c>
      <c r="F4700" s="229">
        <v>0</v>
      </c>
      <c r="G4700" s="229">
        <v>0</v>
      </c>
      <c r="H4700" s="229">
        <v>0</v>
      </c>
      <c r="I4700" s="229">
        <v>0</v>
      </c>
      <c r="J4700" s="229">
        <v>0</v>
      </c>
    </row>
    <row r="4701" spans="1:10" s="217" customFormat="1">
      <c r="A4701" s="214" t="s">
        <v>175</v>
      </c>
      <c r="B4701" s="214" t="s">
        <v>13</v>
      </c>
      <c r="C4701" s="228">
        <v>0.76319444444444395</v>
      </c>
      <c r="D4701" s="229">
        <v>0</v>
      </c>
      <c r="E4701" s="229">
        <v>0</v>
      </c>
      <c r="F4701" s="229">
        <v>0</v>
      </c>
      <c r="G4701" s="229">
        <v>0</v>
      </c>
      <c r="H4701" s="229">
        <v>0</v>
      </c>
      <c r="I4701" s="229">
        <v>0</v>
      </c>
      <c r="J4701" s="229">
        <v>0</v>
      </c>
    </row>
    <row r="4702" spans="1:10" s="217" customFormat="1">
      <c r="A4702" s="214" t="s">
        <v>175</v>
      </c>
      <c r="B4702" s="214" t="s">
        <v>13</v>
      </c>
      <c r="C4702" s="228">
        <v>0.76388888888888895</v>
      </c>
      <c r="D4702" s="229">
        <v>0</v>
      </c>
      <c r="E4702" s="229">
        <v>0</v>
      </c>
      <c r="F4702" s="229">
        <v>0</v>
      </c>
      <c r="G4702" s="229">
        <v>0</v>
      </c>
      <c r="H4702" s="229">
        <v>0</v>
      </c>
      <c r="I4702" s="229">
        <v>0</v>
      </c>
      <c r="J4702" s="229">
        <v>0</v>
      </c>
    </row>
    <row r="4703" spans="1:10" s="217" customFormat="1">
      <c r="A4703" s="214" t="s">
        <v>175</v>
      </c>
      <c r="B4703" s="214" t="s">
        <v>13</v>
      </c>
      <c r="C4703" s="228">
        <v>0.76458333333333295</v>
      </c>
      <c r="D4703" s="229">
        <v>0</v>
      </c>
      <c r="E4703" s="229">
        <v>0</v>
      </c>
      <c r="F4703" s="229">
        <v>0</v>
      </c>
      <c r="G4703" s="229">
        <v>0</v>
      </c>
      <c r="H4703" s="229">
        <v>0</v>
      </c>
      <c r="I4703" s="229">
        <v>0</v>
      </c>
      <c r="J4703" s="229">
        <v>0</v>
      </c>
    </row>
    <row r="4704" spans="1:10" s="217" customFormat="1">
      <c r="A4704" s="214" t="s">
        <v>175</v>
      </c>
      <c r="B4704" s="214" t="s">
        <v>13</v>
      </c>
      <c r="C4704" s="228">
        <v>0.76527777777777795</v>
      </c>
      <c r="D4704" s="229">
        <v>0</v>
      </c>
      <c r="E4704" s="229">
        <v>0</v>
      </c>
      <c r="F4704" s="229">
        <v>0</v>
      </c>
      <c r="G4704" s="229">
        <v>0</v>
      </c>
      <c r="H4704" s="229">
        <v>0</v>
      </c>
      <c r="I4704" s="229">
        <v>0</v>
      </c>
      <c r="J4704" s="229">
        <v>0</v>
      </c>
    </row>
    <row r="4705" spans="1:10" s="217" customFormat="1">
      <c r="A4705" s="214" t="s">
        <v>175</v>
      </c>
      <c r="B4705" s="214" t="s">
        <v>13</v>
      </c>
      <c r="C4705" s="228">
        <v>0.76597222222222205</v>
      </c>
      <c r="D4705" s="229">
        <v>0</v>
      </c>
      <c r="E4705" s="229">
        <v>0</v>
      </c>
      <c r="F4705" s="229">
        <v>0</v>
      </c>
      <c r="G4705" s="229">
        <v>0</v>
      </c>
      <c r="H4705" s="229">
        <v>0</v>
      </c>
      <c r="I4705" s="229">
        <v>0</v>
      </c>
      <c r="J4705" s="229">
        <v>0</v>
      </c>
    </row>
    <row r="4706" spans="1:10" s="217" customFormat="1">
      <c r="A4706" s="214" t="s">
        <v>175</v>
      </c>
      <c r="B4706" s="214" t="s">
        <v>13</v>
      </c>
      <c r="C4706" s="228">
        <v>0.76666666666666705</v>
      </c>
      <c r="D4706" s="229">
        <v>0</v>
      </c>
      <c r="E4706" s="229">
        <v>0</v>
      </c>
      <c r="F4706" s="229">
        <v>0</v>
      </c>
      <c r="G4706" s="229">
        <v>0</v>
      </c>
      <c r="H4706" s="229">
        <v>0</v>
      </c>
      <c r="I4706" s="229">
        <v>0</v>
      </c>
      <c r="J4706" s="229">
        <v>0</v>
      </c>
    </row>
    <row r="4707" spans="1:10" s="217" customFormat="1">
      <c r="A4707" s="214" t="s">
        <v>175</v>
      </c>
      <c r="B4707" s="214" t="s">
        <v>13</v>
      </c>
      <c r="C4707" s="228">
        <v>0.76736111111111105</v>
      </c>
      <c r="D4707" s="229">
        <v>0</v>
      </c>
      <c r="E4707" s="229">
        <v>0</v>
      </c>
      <c r="F4707" s="229">
        <v>0</v>
      </c>
      <c r="G4707" s="229">
        <v>0</v>
      </c>
      <c r="H4707" s="229">
        <v>0</v>
      </c>
      <c r="I4707" s="229">
        <v>0</v>
      </c>
      <c r="J4707" s="229">
        <v>0</v>
      </c>
    </row>
    <row r="4708" spans="1:10" s="217" customFormat="1">
      <c r="A4708" s="214" t="s">
        <v>175</v>
      </c>
      <c r="B4708" s="214" t="s">
        <v>13</v>
      </c>
      <c r="C4708" s="228">
        <v>0.76805555555555505</v>
      </c>
      <c r="D4708" s="229">
        <v>0</v>
      </c>
      <c r="E4708" s="229">
        <v>0</v>
      </c>
      <c r="F4708" s="229">
        <v>0</v>
      </c>
      <c r="G4708" s="229">
        <v>0</v>
      </c>
      <c r="H4708" s="229">
        <v>0</v>
      </c>
      <c r="I4708" s="229">
        <v>0</v>
      </c>
      <c r="J4708" s="229">
        <v>0</v>
      </c>
    </row>
    <row r="4709" spans="1:10" s="217" customFormat="1">
      <c r="A4709" s="214" t="s">
        <v>175</v>
      </c>
      <c r="B4709" s="214" t="s">
        <v>13</v>
      </c>
      <c r="C4709" s="228">
        <v>0.76875000000000004</v>
      </c>
      <c r="D4709" s="229">
        <v>0</v>
      </c>
      <c r="E4709" s="229">
        <v>0</v>
      </c>
      <c r="F4709" s="229">
        <v>0</v>
      </c>
      <c r="G4709" s="229">
        <v>0</v>
      </c>
      <c r="H4709" s="229">
        <v>0</v>
      </c>
      <c r="I4709" s="229">
        <v>0</v>
      </c>
      <c r="J4709" s="229">
        <v>0</v>
      </c>
    </row>
    <row r="4710" spans="1:10" s="217" customFormat="1">
      <c r="A4710" s="214" t="s">
        <v>175</v>
      </c>
      <c r="B4710" s="214" t="s">
        <v>13</v>
      </c>
      <c r="C4710" s="228">
        <v>0.76944444444444404</v>
      </c>
      <c r="D4710" s="229">
        <v>0</v>
      </c>
      <c r="E4710" s="229">
        <v>0</v>
      </c>
      <c r="F4710" s="229">
        <v>0</v>
      </c>
      <c r="G4710" s="229">
        <v>0</v>
      </c>
      <c r="H4710" s="229">
        <v>0</v>
      </c>
      <c r="I4710" s="229">
        <v>0</v>
      </c>
      <c r="J4710" s="229">
        <v>0</v>
      </c>
    </row>
    <row r="4711" spans="1:10" s="221" customFormat="1">
      <c r="A4711" s="218" t="s">
        <v>175</v>
      </c>
      <c r="B4711" s="218" t="s">
        <v>13</v>
      </c>
      <c r="C4711" s="230">
        <v>0.77013888888888904</v>
      </c>
      <c r="D4711" s="231">
        <v>0</v>
      </c>
      <c r="E4711" s="231">
        <v>0</v>
      </c>
      <c r="F4711" s="231">
        <v>0</v>
      </c>
      <c r="G4711" s="231">
        <v>0</v>
      </c>
      <c r="H4711" s="231">
        <v>0</v>
      </c>
      <c r="I4711" s="231">
        <v>0</v>
      </c>
      <c r="J4711" s="231">
        <v>0</v>
      </c>
    </row>
    <row r="4712" spans="1:10" s="217" customFormat="1">
      <c r="A4712" s="214" t="s">
        <v>175</v>
      </c>
      <c r="B4712" s="214" t="s">
        <v>13</v>
      </c>
      <c r="C4712" s="228">
        <v>0.77083333333333304</v>
      </c>
      <c r="D4712" s="229">
        <v>0</v>
      </c>
      <c r="E4712" s="229">
        <v>0</v>
      </c>
      <c r="F4712" s="229">
        <v>0</v>
      </c>
      <c r="G4712" s="229">
        <v>0</v>
      </c>
      <c r="H4712" s="229">
        <v>0</v>
      </c>
      <c r="I4712" s="229">
        <v>0</v>
      </c>
      <c r="J4712" s="229">
        <v>0</v>
      </c>
    </row>
    <row r="4713" spans="1:10" s="217" customFormat="1">
      <c r="A4713" s="214" t="s">
        <v>175</v>
      </c>
      <c r="B4713" s="214" t="s">
        <v>13</v>
      </c>
      <c r="C4713" s="228">
        <v>0.77152777777777803</v>
      </c>
      <c r="D4713" s="229">
        <v>0</v>
      </c>
      <c r="E4713" s="229">
        <v>0</v>
      </c>
      <c r="F4713" s="229">
        <v>0</v>
      </c>
      <c r="G4713" s="229">
        <v>0</v>
      </c>
      <c r="H4713" s="229">
        <v>0</v>
      </c>
      <c r="I4713" s="229">
        <v>0</v>
      </c>
      <c r="J4713" s="229">
        <v>0</v>
      </c>
    </row>
    <row r="4714" spans="1:10" s="217" customFormat="1">
      <c r="A4714" s="214" t="s">
        <v>175</v>
      </c>
      <c r="B4714" s="214" t="s">
        <v>13</v>
      </c>
      <c r="C4714" s="228">
        <v>0.77222222222222203</v>
      </c>
      <c r="D4714" s="229">
        <v>0</v>
      </c>
      <c r="E4714" s="229">
        <v>0</v>
      </c>
      <c r="F4714" s="229">
        <v>0</v>
      </c>
      <c r="G4714" s="229">
        <v>0</v>
      </c>
      <c r="H4714" s="229">
        <v>0</v>
      </c>
      <c r="I4714" s="229">
        <v>0</v>
      </c>
      <c r="J4714" s="229">
        <v>0</v>
      </c>
    </row>
    <row r="4715" spans="1:10" s="217" customFormat="1">
      <c r="A4715" s="214" t="s">
        <v>175</v>
      </c>
      <c r="B4715" s="214" t="s">
        <v>13</v>
      </c>
      <c r="C4715" s="228">
        <v>0.77291666666666703</v>
      </c>
      <c r="D4715" s="229">
        <v>0</v>
      </c>
      <c r="E4715" s="229">
        <v>0</v>
      </c>
      <c r="F4715" s="229">
        <v>0</v>
      </c>
      <c r="G4715" s="229">
        <v>0</v>
      </c>
      <c r="H4715" s="229">
        <v>0</v>
      </c>
      <c r="I4715" s="229">
        <v>0</v>
      </c>
      <c r="J4715" s="229">
        <v>0</v>
      </c>
    </row>
    <row r="4716" spans="1:10" s="217" customFormat="1">
      <c r="A4716" s="214" t="s">
        <v>175</v>
      </c>
      <c r="B4716" s="214" t="s">
        <v>13</v>
      </c>
      <c r="C4716" s="228">
        <v>0.77361111111111103</v>
      </c>
      <c r="D4716" s="229">
        <v>0</v>
      </c>
      <c r="E4716" s="229">
        <v>0</v>
      </c>
      <c r="F4716" s="229">
        <v>0</v>
      </c>
      <c r="G4716" s="229">
        <v>0</v>
      </c>
      <c r="H4716" s="229">
        <v>0</v>
      </c>
      <c r="I4716" s="229">
        <v>0</v>
      </c>
      <c r="J4716" s="229">
        <v>0</v>
      </c>
    </row>
    <row r="4717" spans="1:10" s="217" customFormat="1">
      <c r="A4717" s="214" t="s">
        <v>175</v>
      </c>
      <c r="B4717" s="214" t="s">
        <v>13</v>
      </c>
      <c r="C4717" s="228">
        <v>0.77430555555555503</v>
      </c>
      <c r="D4717" s="229">
        <v>0</v>
      </c>
      <c r="E4717" s="229">
        <v>0</v>
      </c>
      <c r="F4717" s="229">
        <v>0</v>
      </c>
      <c r="G4717" s="229">
        <v>0</v>
      </c>
      <c r="H4717" s="229">
        <v>0</v>
      </c>
      <c r="I4717" s="229">
        <v>0</v>
      </c>
      <c r="J4717" s="229">
        <v>0</v>
      </c>
    </row>
    <row r="4718" spans="1:10" s="217" customFormat="1">
      <c r="A4718" s="214" t="s">
        <v>175</v>
      </c>
      <c r="B4718" s="214" t="s">
        <v>13</v>
      </c>
      <c r="C4718" s="228">
        <v>0.77500000000000002</v>
      </c>
      <c r="D4718" s="229">
        <v>0</v>
      </c>
      <c r="E4718" s="229">
        <v>0</v>
      </c>
      <c r="F4718" s="229">
        <v>0</v>
      </c>
      <c r="G4718" s="229">
        <v>0</v>
      </c>
      <c r="H4718" s="229">
        <v>0</v>
      </c>
      <c r="I4718" s="229">
        <v>0</v>
      </c>
      <c r="J4718" s="229">
        <v>0</v>
      </c>
    </row>
    <row r="4719" spans="1:10" s="217" customFormat="1">
      <c r="A4719" s="214" t="s">
        <v>175</v>
      </c>
      <c r="B4719" s="214" t="s">
        <v>13</v>
      </c>
      <c r="C4719" s="228">
        <v>0.77569444444444402</v>
      </c>
      <c r="D4719" s="229">
        <v>0</v>
      </c>
      <c r="E4719" s="229">
        <v>0</v>
      </c>
      <c r="F4719" s="229">
        <v>0</v>
      </c>
      <c r="G4719" s="229">
        <v>0</v>
      </c>
      <c r="H4719" s="229">
        <v>0</v>
      </c>
      <c r="I4719" s="229">
        <v>0</v>
      </c>
      <c r="J4719" s="229">
        <v>0</v>
      </c>
    </row>
    <row r="4720" spans="1:10" s="217" customFormat="1">
      <c r="A4720" s="214" t="s">
        <v>175</v>
      </c>
      <c r="B4720" s="214" t="s">
        <v>13</v>
      </c>
      <c r="C4720" s="228">
        <v>0.77638888888888902</v>
      </c>
      <c r="D4720" s="229">
        <v>0</v>
      </c>
      <c r="E4720" s="229">
        <v>0</v>
      </c>
      <c r="F4720" s="229">
        <v>0</v>
      </c>
      <c r="G4720" s="229">
        <v>0</v>
      </c>
      <c r="H4720" s="229">
        <v>0</v>
      </c>
      <c r="I4720" s="229">
        <v>0</v>
      </c>
      <c r="J4720" s="229">
        <v>0</v>
      </c>
    </row>
    <row r="4721" spans="1:10" s="217" customFormat="1">
      <c r="A4721" s="214" t="s">
        <v>175</v>
      </c>
      <c r="B4721" s="214" t="s">
        <v>13</v>
      </c>
      <c r="C4721" s="228">
        <v>0.77708333333333302</v>
      </c>
      <c r="D4721" s="229">
        <v>0</v>
      </c>
      <c r="E4721" s="229">
        <v>0</v>
      </c>
      <c r="F4721" s="229">
        <v>0</v>
      </c>
      <c r="G4721" s="229">
        <v>0</v>
      </c>
      <c r="H4721" s="229">
        <v>0</v>
      </c>
      <c r="I4721" s="229">
        <v>0</v>
      </c>
      <c r="J4721" s="229">
        <v>0</v>
      </c>
    </row>
    <row r="4722" spans="1:10" s="217" customFormat="1">
      <c r="A4722" s="214" t="s">
        <v>175</v>
      </c>
      <c r="B4722" s="214" t="s">
        <v>13</v>
      </c>
      <c r="C4722" s="228">
        <v>0.77777777777777801</v>
      </c>
      <c r="D4722" s="229">
        <v>0</v>
      </c>
      <c r="E4722" s="229">
        <v>0</v>
      </c>
      <c r="F4722" s="229">
        <v>0</v>
      </c>
      <c r="G4722" s="229">
        <v>0</v>
      </c>
      <c r="H4722" s="229">
        <v>0</v>
      </c>
      <c r="I4722" s="229">
        <v>0</v>
      </c>
      <c r="J4722" s="229">
        <v>0</v>
      </c>
    </row>
    <row r="4723" spans="1:10" s="217" customFormat="1">
      <c r="A4723" s="214" t="s">
        <v>175</v>
      </c>
      <c r="B4723" s="214" t="s">
        <v>13</v>
      </c>
      <c r="C4723" s="228">
        <v>0.77847222222222201</v>
      </c>
      <c r="D4723" s="229">
        <v>0</v>
      </c>
      <c r="E4723" s="229">
        <v>0</v>
      </c>
      <c r="F4723" s="229">
        <v>0</v>
      </c>
      <c r="G4723" s="229">
        <v>0</v>
      </c>
      <c r="H4723" s="229">
        <v>0</v>
      </c>
      <c r="I4723" s="229">
        <v>0</v>
      </c>
      <c r="J4723" s="229">
        <v>0</v>
      </c>
    </row>
    <row r="4724" spans="1:10" s="217" customFormat="1">
      <c r="A4724" s="214" t="s">
        <v>175</v>
      </c>
      <c r="B4724" s="214" t="s">
        <v>13</v>
      </c>
      <c r="C4724" s="228">
        <v>0.77916666666666701</v>
      </c>
      <c r="D4724" s="229">
        <v>0</v>
      </c>
      <c r="E4724" s="229">
        <v>0</v>
      </c>
      <c r="F4724" s="229">
        <v>0</v>
      </c>
      <c r="G4724" s="229">
        <v>0</v>
      </c>
      <c r="H4724" s="229">
        <v>0</v>
      </c>
      <c r="I4724" s="229">
        <v>0</v>
      </c>
      <c r="J4724" s="229">
        <v>0</v>
      </c>
    </row>
    <row r="4725" spans="1:10" s="217" customFormat="1">
      <c r="A4725" s="214" t="s">
        <v>175</v>
      </c>
      <c r="B4725" s="214" t="s">
        <v>13</v>
      </c>
      <c r="C4725" s="228">
        <v>0.77986111111111101</v>
      </c>
      <c r="D4725" s="229">
        <v>0</v>
      </c>
      <c r="E4725" s="229">
        <v>0</v>
      </c>
      <c r="F4725" s="229">
        <v>0</v>
      </c>
      <c r="G4725" s="229">
        <v>0</v>
      </c>
      <c r="H4725" s="229">
        <v>0</v>
      </c>
      <c r="I4725" s="229">
        <v>0</v>
      </c>
      <c r="J4725" s="229">
        <v>0</v>
      </c>
    </row>
    <row r="4726" spans="1:10" s="221" customFormat="1">
      <c r="A4726" s="218" t="s">
        <v>175</v>
      </c>
      <c r="B4726" s="218" t="s">
        <v>13</v>
      </c>
      <c r="C4726" s="230">
        <v>0.780555555555555</v>
      </c>
      <c r="D4726" s="231">
        <v>0</v>
      </c>
      <c r="E4726" s="231">
        <v>0</v>
      </c>
      <c r="F4726" s="231">
        <v>0</v>
      </c>
      <c r="G4726" s="231">
        <v>0</v>
      </c>
      <c r="H4726" s="231">
        <v>0</v>
      </c>
      <c r="I4726" s="231">
        <v>0</v>
      </c>
      <c r="J4726" s="231">
        <v>0</v>
      </c>
    </row>
    <row r="4727" spans="1:10" s="217" customFormat="1">
      <c r="A4727" s="214" t="s">
        <v>175</v>
      </c>
      <c r="B4727" s="214" t="s">
        <v>13</v>
      </c>
      <c r="C4727" s="228">
        <v>0.78125</v>
      </c>
      <c r="D4727" s="229">
        <v>0</v>
      </c>
      <c r="E4727" s="229">
        <v>0</v>
      </c>
      <c r="F4727" s="229">
        <v>0</v>
      </c>
      <c r="G4727" s="229">
        <v>0</v>
      </c>
      <c r="H4727" s="229">
        <v>0</v>
      </c>
      <c r="I4727" s="229">
        <v>0</v>
      </c>
      <c r="J4727" s="229">
        <v>0</v>
      </c>
    </row>
    <row r="4728" spans="1:10" s="217" customFormat="1">
      <c r="A4728" s="214" t="s">
        <v>175</v>
      </c>
      <c r="B4728" s="214" t="s">
        <v>13</v>
      </c>
      <c r="C4728" s="228">
        <v>0.781944444444444</v>
      </c>
      <c r="D4728" s="229">
        <v>0</v>
      </c>
      <c r="E4728" s="229">
        <v>0</v>
      </c>
      <c r="F4728" s="229">
        <v>0</v>
      </c>
      <c r="G4728" s="229">
        <v>0</v>
      </c>
      <c r="H4728" s="229">
        <v>0</v>
      </c>
      <c r="I4728" s="229">
        <v>0</v>
      </c>
      <c r="J4728" s="229">
        <v>0</v>
      </c>
    </row>
    <row r="4729" spans="1:10" s="217" customFormat="1">
      <c r="A4729" s="214" t="s">
        <v>175</v>
      </c>
      <c r="B4729" s="214" t="s">
        <v>13</v>
      </c>
      <c r="C4729" s="228">
        <v>0.78263888888888899</v>
      </c>
      <c r="D4729" s="229">
        <v>0</v>
      </c>
      <c r="E4729" s="229">
        <v>0</v>
      </c>
      <c r="F4729" s="229">
        <v>0</v>
      </c>
      <c r="G4729" s="229">
        <v>0</v>
      </c>
      <c r="H4729" s="229">
        <v>0</v>
      </c>
      <c r="I4729" s="229">
        <v>0</v>
      </c>
      <c r="J4729" s="229">
        <v>0</v>
      </c>
    </row>
    <row r="4730" spans="1:10" s="217" customFormat="1">
      <c r="A4730" s="214" t="s">
        <v>175</v>
      </c>
      <c r="B4730" s="214" t="s">
        <v>13</v>
      </c>
      <c r="C4730" s="228">
        <v>0.78333333333333299</v>
      </c>
      <c r="D4730" s="229">
        <v>0</v>
      </c>
      <c r="E4730" s="229">
        <v>0</v>
      </c>
      <c r="F4730" s="229">
        <v>0</v>
      </c>
      <c r="G4730" s="229">
        <v>0</v>
      </c>
      <c r="H4730" s="229">
        <v>0</v>
      </c>
      <c r="I4730" s="229">
        <v>0</v>
      </c>
      <c r="J4730" s="229">
        <v>0</v>
      </c>
    </row>
    <row r="4731" spans="1:10" s="217" customFormat="1">
      <c r="A4731" s="214" t="s">
        <v>175</v>
      </c>
      <c r="B4731" s="214" t="s">
        <v>13</v>
      </c>
      <c r="C4731" s="228">
        <v>0.78402777777777799</v>
      </c>
      <c r="D4731" s="229">
        <v>0</v>
      </c>
      <c r="E4731" s="229">
        <v>0</v>
      </c>
      <c r="F4731" s="229">
        <v>0</v>
      </c>
      <c r="G4731" s="229">
        <v>0</v>
      </c>
      <c r="H4731" s="229">
        <v>0</v>
      </c>
      <c r="I4731" s="229">
        <v>0</v>
      </c>
      <c r="J4731" s="229">
        <v>0</v>
      </c>
    </row>
    <row r="4732" spans="1:10" s="217" customFormat="1">
      <c r="A4732" s="214" t="s">
        <v>175</v>
      </c>
      <c r="B4732" s="214" t="s">
        <v>13</v>
      </c>
      <c r="C4732" s="228">
        <v>0.78472222222222199</v>
      </c>
      <c r="D4732" s="229">
        <v>0</v>
      </c>
      <c r="E4732" s="229">
        <v>0</v>
      </c>
      <c r="F4732" s="229">
        <v>0</v>
      </c>
      <c r="G4732" s="229">
        <v>0</v>
      </c>
      <c r="H4732" s="229">
        <v>0</v>
      </c>
      <c r="I4732" s="229">
        <v>0</v>
      </c>
      <c r="J4732" s="229">
        <v>0</v>
      </c>
    </row>
    <row r="4733" spans="1:10" s="217" customFormat="1">
      <c r="A4733" s="214" t="s">
        <v>175</v>
      </c>
      <c r="B4733" s="214" t="s">
        <v>13</v>
      </c>
      <c r="C4733" s="228">
        <v>0.78541666666666698</v>
      </c>
      <c r="D4733" s="229">
        <v>0</v>
      </c>
      <c r="E4733" s="229">
        <v>0</v>
      </c>
      <c r="F4733" s="229">
        <v>0</v>
      </c>
      <c r="G4733" s="229">
        <v>0</v>
      </c>
      <c r="H4733" s="229">
        <v>0</v>
      </c>
      <c r="I4733" s="229">
        <v>0</v>
      </c>
      <c r="J4733" s="229">
        <v>0</v>
      </c>
    </row>
    <row r="4734" spans="1:10" s="217" customFormat="1">
      <c r="A4734" s="214" t="s">
        <v>175</v>
      </c>
      <c r="B4734" s="214" t="s">
        <v>13</v>
      </c>
      <c r="C4734" s="228">
        <v>0.78611111111111098</v>
      </c>
      <c r="D4734" s="229">
        <v>0</v>
      </c>
      <c r="E4734" s="229">
        <v>0</v>
      </c>
      <c r="F4734" s="229">
        <v>0</v>
      </c>
      <c r="G4734" s="229">
        <v>0</v>
      </c>
      <c r="H4734" s="229">
        <v>0</v>
      </c>
      <c r="I4734" s="229">
        <v>0</v>
      </c>
      <c r="J4734" s="229">
        <v>0</v>
      </c>
    </row>
    <row r="4735" spans="1:10" s="217" customFormat="1">
      <c r="A4735" s="214" t="s">
        <v>175</v>
      </c>
      <c r="B4735" s="214" t="s">
        <v>13</v>
      </c>
      <c r="C4735" s="228">
        <v>0.78680555555555498</v>
      </c>
      <c r="D4735" s="229">
        <v>0</v>
      </c>
      <c r="E4735" s="229">
        <v>0</v>
      </c>
      <c r="F4735" s="229">
        <v>0</v>
      </c>
      <c r="G4735" s="229">
        <v>0</v>
      </c>
      <c r="H4735" s="229">
        <v>0</v>
      </c>
      <c r="I4735" s="229">
        <v>0</v>
      </c>
      <c r="J4735" s="229">
        <v>0</v>
      </c>
    </row>
    <row r="4736" spans="1:10" s="217" customFormat="1">
      <c r="A4736" s="214" t="s">
        <v>175</v>
      </c>
      <c r="B4736" s="214" t="s">
        <v>13</v>
      </c>
      <c r="C4736" s="228">
        <v>0.78749999999999998</v>
      </c>
      <c r="D4736" s="229">
        <v>0</v>
      </c>
      <c r="E4736" s="229">
        <v>0</v>
      </c>
      <c r="F4736" s="229">
        <v>0</v>
      </c>
      <c r="G4736" s="229">
        <v>0</v>
      </c>
      <c r="H4736" s="229">
        <v>0</v>
      </c>
      <c r="I4736" s="229">
        <v>0</v>
      </c>
      <c r="J4736" s="229">
        <v>0</v>
      </c>
    </row>
    <row r="4737" spans="1:10" s="217" customFormat="1">
      <c r="A4737" s="214" t="s">
        <v>175</v>
      </c>
      <c r="B4737" s="214" t="s">
        <v>13</v>
      </c>
      <c r="C4737" s="228">
        <v>0.78819444444444398</v>
      </c>
      <c r="D4737" s="229">
        <v>0</v>
      </c>
      <c r="E4737" s="229">
        <v>0</v>
      </c>
      <c r="F4737" s="229">
        <v>0</v>
      </c>
      <c r="G4737" s="229">
        <v>0</v>
      </c>
      <c r="H4737" s="229">
        <v>0</v>
      </c>
      <c r="I4737" s="229">
        <v>0</v>
      </c>
      <c r="J4737" s="229">
        <v>0</v>
      </c>
    </row>
    <row r="4738" spans="1:10" s="217" customFormat="1">
      <c r="A4738" s="214" t="s">
        <v>175</v>
      </c>
      <c r="B4738" s="214" t="s">
        <v>13</v>
      </c>
      <c r="C4738" s="228">
        <v>0.78888888888888897</v>
      </c>
      <c r="D4738" s="229">
        <v>0</v>
      </c>
      <c r="E4738" s="229">
        <v>0</v>
      </c>
      <c r="F4738" s="229">
        <v>0</v>
      </c>
      <c r="G4738" s="229">
        <v>0</v>
      </c>
      <c r="H4738" s="229">
        <v>0</v>
      </c>
      <c r="I4738" s="229">
        <v>0</v>
      </c>
      <c r="J4738" s="229">
        <v>0</v>
      </c>
    </row>
    <row r="4739" spans="1:10" s="217" customFormat="1">
      <c r="A4739" s="214" t="s">
        <v>175</v>
      </c>
      <c r="B4739" s="214" t="s">
        <v>13</v>
      </c>
      <c r="C4739" s="228">
        <v>0.78958333333333297</v>
      </c>
      <c r="D4739" s="229">
        <v>0</v>
      </c>
      <c r="E4739" s="229">
        <v>0</v>
      </c>
      <c r="F4739" s="229">
        <v>0</v>
      </c>
      <c r="G4739" s="229">
        <v>0</v>
      </c>
      <c r="H4739" s="229">
        <v>0</v>
      </c>
      <c r="I4739" s="229">
        <v>0</v>
      </c>
      <c r="J4739" s="229">
        <v>0</v>
      </c>
    </row>
    <row r="4740" spans="1:10" s="217" customFormat="1">
      <c r="A4740" s="214" t="s">
        <v>175</v>
      </c>
      <c r="B4740" s="214" t="s">
        <v>13</v>
      </c>
      <c r="C4740" s="228">
        <v>0.79027777777777797</v>
      </c>
      <c r="D4740" s="229">
        <v>0</v>
      </c>
      <c r="E4740" s="229">
        <v>0</v>
      </c>
      <c r="F4740" s="229">
        <v>0</v>
      </c>
      <c r="G4740" s="229">
        <v>0</v>
      </c>
      <c r="H4740" s="229">
        <v>0</v>
      </c>
      <c r="I4740" s="229">
        <v>0</v>
      </c>
      <c r="J4740" s="229">
        <v>0</v>
      </c>
    </row>
    <row r="4741" spans="1:10" s="221" customFormat="1">
      <c r="A4741" s="218" t="s">
        <v>175</v>
      </c>
      <c r="B4741" s="218" t="s">
        <v>13</v>
      </c>
      <c r="C4741" s="230">
        <v>0.79097222222222197</v>
      </c>
      <c r="D4741" s="231">
        <v>0</v>
      </c>
      <c r="E4741" s="231">
        <v>0</v>
      </c>
      <c r="F4741" s="231">
        <v>0</v>
      </c>
      <c r="G4741" s="231">
        <v>0</v>
      </c>
      <c r="H4741" s="231">
        <v>0</v>
      </c>
      <c r="I4741" s="231">
        <v>0</v>
      </c>
      <c r="J4741" s="231">
        <v>0</v>
      </c>
    </row>
    <row r="4742" spans="1:10" s="217" customFormat="1">
      <c r="A4742" s="214" t="s">
        <v>175</v>
      </c>
      <c r="B4742" s="214" t="s">
        <v>13</v>
      </c>
      <c r="C4742" s="228">
        <v>0.79166666666666696</v>
      </c>
      <c r="D4742" s="229">
        <v>0</v>
      </c>
      <c r="E4742" s="229">
        <v>0</v>
      </c>
      <c r="F4742" s="229">
        <v>0</v>
      </c>
      <c r="G4742" s="229">
        <v>0</v>
      </c>
      <c r="H4742" s="229">
        <v>0</v>
      </c>
      <c r="I4742" s="229">
        <v>0</v>
      </c>
      <c r="J4742" s="229">
        <v>0</v>
      </c>
    </row>
    <row r="4743" spans="1:10" s="217" customFormat="1">
      <c r="A4743" s="214" t="s">
        <v>175</v>
      </c>
      <c r="B4743" s="214" t="s">
        <v>13</v>
      </c>
      <c r="C4743" s="228">
        <v>0.79236111111111096</v>
      </c>
      <c r="D4743" s="229">
        <v>0</v>
      </c>
      <c r="E4743" s="229">
        <v>0</v>
      </c>
      <c r="F4743" s="229">
        <v>0</v>
      </c>
      <c r="G4743" s="229">
        <v>0</v>
      </c>
      <c r="H4743" s="229">
        <v>0</v>
      </c>
      <c r="I4743" s="229">
        <v>0</v>
      </c>
      <c r="J4743" s="229">
        <v>0</v>
      </c>
    </row>
    <row r="4744" spans="1:10" s="217" customFormat="1">
      <c r="A4744" s="214" t="s">
        <v>175</v>
      </c>
      <c r="B4744" s="214" t="s">
        <v>13</v>
      </c>
      <c r="C4744" s="228">
        <v>0.79305555555555496</v>
      </c>
      <c r="D4744" s="229">
        <v>0</v>
      </c>
      <c r="E4744" s="229">
        <v>0</v>
      </c>
      <c r="F4744" s="229">
        <v>0</v>
      </c>
      <c r="G4744" s="229">
        <v>0</v>
      </c>
      <c r="H4744" s="229">
        <v>0</v>
      </c>
      <c r="I4744" s="229">
        <v>0</v>
      </c>
      <c r="J4744" s="229">
        <v>0</v>
      </c>
    </row>
    <row r="4745" spans="1:10" s="217" customFormat="1">
      <c r="A4745" s="214" t="s">
        <v>175</v>
      </c>
      <c r="B4745" s="214" t="s">
        <v>13</v>
      </c>
      <c r="C4745" s="228">
        <v>0.79374999999999996</v>
      </c>
      <c r="D4745" s="229">
        <v>0</v>
      </c>
      <c r="E4745" s="229">
        <v>0</v>
      </c>
      <c r="F4745" s="229">
        <v>0</v>
      </c>
      <c r="G4745" s="229">
        <v>0</v>
      </c>
      <c r="H4745" s="229">
        <v>0</v>
      </c>
      <c r="I4745" s="229">
        <v>0</v>
      </c>
      <c r="J4745" s="229">
        <v>0</v>
      </c>
    </row>
    <row r="4746" spans="1:10" s="217" customFormat="1">
      <c r="A4746" s="214" t="s">
        <v>175</v>
      </c>
      <c r="B4746" s="214" t="s">
        <v>13</v>
      </c>
      <c r="C4746" s="228">
        <v>0.79444444444444395</v>
      </c>
      <c r="D4746" s="229">
        <v>0</v>
      </c>
      <c r="E4746" s="229">
        <v>0</v>
      </c>
      <c r="F4746" s="229">
        <v>0</v>
      </c>
      <c r="G4746" s="229">
        <v>0</v>
      </c>
      <c r="H4746" s="229">
        <v>0</v>
      </c>
      <c r="I4746" s="229">
        <v>0</v>
      </c>
      <c r="J4746" s="229">
        <v>0</v>
      </c>
    </row>
    <row r="4747" spans="1:10" s="217" customFormat="1">
      <c r="A4747" s="214" t="s">
        <v>175</v>
      </c>
      <c r="B4747" s="214" t="s">
        <v>13</v>
      </c>
      <c r="C4747" s="228">
        <v>0.79513888888888895</v>
      </c>
      <c r="D4747" s="229">
        <v>0</v>
      </c>
      <c r="E4747" s="229">
        <v>0</v>
      </c>
      <c r="F4747" s="229">
        <v>0</v>
      </c>
      <c r="G4747" s="229">
        <v>0</v>
      </c>
      <c r="H4747" s="229">
        <v>0</v>
      </c>
      <c r="I4747" s="229">
        <v>0</v>
      </c>
      <c r="J4747" s="229">
        <v>0</v>
      </c>
    </row>
    <row r="4748" spans="1:10" s="217" customFormat="1">
      <c r="A4748" s="214" t="s">
        <v>175</v>
      </c>
      <c r="B4748" s="214" t="s">
        <v>13</v>
      </c>
      <c r="C4748" s="228">
        <v>0.79583333333333295</v>
      </c>
      <c r="D4748" s="229">
        <v>0</v>
      </c>
      <c r="E4748" s="229">
        <v>0</v>
      </c>
      <c r="F4748" s="229">
        <v>0</v>
      </c>
      <c r="G4748" s="229">
        <v>0</v>
      </c>
      <c r="H4748" s="229">
        <v>0</v>
      </c>
      <c r="I4748" s="229">
        <v>0</v>
      </c>
      <c r="J4748" s="229">
        <v>0</v>
      </c>
    </row>
    <row r="4749" spans="1:10" s="217" customFormat="1">
      <c r="A4749" s="214" t="s">
        <v>175</v>
      </c>
      <c r="B4749" s="214" t="s">
        <v>13</v>
      </c>
      <c r="C4749" s="228">
        <v>0.79652777777777795</v>
      </c>
      <c r="D4749" s="229">
        <v>0</v>
      </c>
      <c r="E4749" s="229">
        <v>0</v>
      </c>
      <c r="F4749" s="229">
        <v>0</v>
      </c>
      <c r="G4749" s="229">
        <v>0</v>
      </c>
      <c r="H4749" s="229">
        <v>0</v>
      </c>
      <c r="I4749" s="229">
        <v>0</v>
      </c>
      <c r="J4749" s="229">
        <v>0</v>
      </c>
    </row>
    <row r="4750" spans="1:10" s="217" customFormat="1">
      <c r="A4750" s="214" t="s">
        <v>175</v>
      </c>
      <c r="B4750" s="214" t="s">
        <v>13</v>
      </c>
      <c r="C4750" s="228">
        <v>0.79722222222222205</v>
      </c>
      <c r="D4750" s="229">
        <v>0</v>
      </c>
      <c r="E4750" s="229">
        <v>0</v>
      </c>
      <c r="F4750" s="229">
        <v>0</v>
      </c>
      <c r="G4750" s="229">
        <v>0</v>
      </c>
      <c r="H4750" s="229">
        <v>0</v>
      </c>
      <c r="I4750" s="229">
        <v>0</v>
      </c>
      <c r="J4750" s="229">
        <v>0</v>
      </c>
    </row>
    <row r="4751" spans="1:10" s="217" customFormat="1">
      <c r="A4751" s="214" t="s">
        <v>175</v>
      </c>
      <c r="B4751" s="214" t="s">
        <v>13</v>
      </c>
      <c r="C4751" s="228">
        <v>0.79791666666666605</v>
      </c>
      <c r="D4751" s="229">
        <v>0</v>
      </c>
      <c r="E4751" s="229">
        <v>0</v>
      </c>
      <c r="F4751" s="229">
        <v>0</v>
      </c>
      <c r="G4751" s="229">
        <v>0</v>
      </c>
      <c r="H4751" s="229">
        <v>0</v>
      </c>
      <c r="I4751" s="229">
        <v>0</v>
      </c>
      <c r="J4751" s="229">
        <v>0</v>
      </c>
    </row>
    <row r="4752" spans="1:10" s="217" customFormat="1">
      <c r="A4752" s="214" t="s">
        <v>175</v>
      </c>
      <c r="B4752" s="214" t="s">
        <v>13</v>
      </c>
      <c r="C4752" s="228">
        <v>0.79861111111111105</v>
      </c>
      <c r="D4752" s="229">
        <v>0</v>
      </c>
      <c r="E4752" s="229">
        <v>0</v>
      </c>
      <c r="F4752" s="229">
        <v>0</v>
      </c>
      <c r="G4752" s="229">
        <v>0</v>
      </c>
      <c r="H4752" s="229">
        <v>0</v>
      </c>
      <c r="I4752" s="229">
        <v>0</v>
      </c>
      <c r="J4752" s="229">
        <v>0</v>
      </c>
    </row>
    <row r="4753" spans="1:10" s="217" customFormat="1">
      <c r="A4753" s="214" t="s">
        <v>175</v>
      </c>
      <c r="B4753" s="214" t="s">
        <v>13</v>
      </c>
      <c r="C4753" s="228">
        <v>0.79930555555555505</v>
      </c>
      <c r="D4753" s="229">
        <v>0</v>
      </c>
      <c r="E4753" s="229">
        <v>0</v>
      </c>
      <c r="F4753" s="229">
        <v>0</v>
      </c>
      <c r="G4753" s="229">
        <v>0</v>
      </c>
      <c r="H4753" s="229">
        <v>0</v>
      </c>
      <c r="I4753" s="229">
        <v>0</v>
      </c>
      <c r="J4753" s="229">
        <v>0</v>
      </c>
    </row>
    <row r="4754" spans="1:10" s="217" customFormat="1">
      <c r="A4754" s="214" t="s">
        <v>175</v>
      </c>
      <c r="B4754" s="214" t="s">
        <v>13</v>
      </c>
      <c r="C4754" s="228">
        <v>0.8</v>
      </c>
      <c r="D4754" s="229">
        <v>0</v>
      </c>
      <c r="E4754" s="229">
        <v>0</v>
      </c>
      <c r="F4754" s="229">
        <v>0</v>
      </c>
      <c r="G4754" s="229">
        <v>0</v>
      </c>
      <c r="H4754" s="229">
        <v>0</v>
      </c>
      <c r="I4754" s="229">
        <v>0</v>
      </c>
      <c r="J4754" s="229">
        <v>0</v>
      </c>
    </row>
    <row r="4755" spans="1:10" s="217" customFormat="1">
      <c r="A4755" s="214" t="s">
        <v>175</v>
      </c>
      <c r="B4755" s="214" t="s">
        <v>13</v>
      </c>
      <c r="C4755" s="228">
        <v>0.80069444444444404</v>
      </c>
      <c r="D4755" s="229">
        <v>0</v>
      </c>
      <c r="E4755" s="229">
        <v>0</v>
      </c>
      <c r="F4755" s="229">
        <v>0</v>
      </c>
      <c r="G4755" s="229">
        <v>0</v>
      </c>
      <c r="H4755" s="229">
        <v>0</v>
      </c>
      <c r="I4755" s="229">
        <v>0</v>
      </c>
      <c r="J4755" s="229">
        <v>0</v>
      </c>
    </row>
    <row r="4756" spans="1:10" s="221" customFormat="1">
      <c r="A4756" s="218" t="s">
        <v>175</v>
      </c>
      <c r="B4756" s="218" t="s">
        <v>13</v>
      </c>
      <c r="C4756" s="230">
        <v>0.80138888888888904</v>
      </c>
      <c r="D4756" s="231">
        <v>0</v>
      </c>
      <c r="E4756" s="231">
        <v>0</v>
      </c>
      <c r="F4756" s="231">
        <v>0</v>
      </c>
      <c r="G4756" s="231">
        <v>0</v>
      </c>
      <c r="H4756" s="231">
        <v>0</v>
      </c>
      <c r="I4756" s="231">
        <v>0</v>
      </c>
      <c r="J4756" s="231">
        <v>0</v>
      </c>
    </row>
    <row r="4757" spans="1:10" s="217" customFormat="1">
      <c r="A4757" s="214" t="s">
        <v>175</v>
      </c>
      <c r="B4757" s="214" t="s">
        <v>13</v>
      </c>
      <c r="C4757" s="228">
        <v>0.80208333333333304</v>
      </c>
      <c r="D4757" s="229">
        <v>0</v>
      </c>
      <c r="E4757" s="229">
        <v>0</v>
      </c>
      <c r="F4757" s="229">
        <v>0</v>
      </c>
      <c r="G4757" s="229">
        <v>0</v>
      </c>
      <c r="H4757" s="229">
        <v>0</v>
      </c>
      <c r="I4757" s="229">
        <v>0</v>
      </c>
      <c r="J4757" s="229">
        <v>0</v>
      </c>
    </row>
    <row r="4758" spans="1:10" s="217" customFormat="1">
      <c r="A4758" s="214" t="s">
        <v>175</v>
      </c>
      <c r="B4758" s="214" t="s">
        <v>13</v>
      </c>
      <c r="C4758" s="228">
        <v>0.80277777777777803</v>
      </c>
      <c r="D4758" s="229">
        <v>0</v>
      </c>
      <c r="E4758" s="229">
        <v>0</v>
      </c>
      <c r="F4758" s="229">
        <v>0</v>
      </c>
      <c r="G4758" s="229">
        <v>0</v>
      </c>
      <c r="H4758" s="229">
        <v>0</v>
      </c>
      <c r="I4758" s="229">
        <v>0</v>
      </c>
      <c r="J4758" s="229">
        <v>0</v>
      </c>
    </row>
    <row r="4759" spans="1:10" s="217" customFormat="1">
      <c r="A4759" s="214" t="s">
        <v>175</v>
      </c>
      <c r="B4759" s="214" t="s">
        <v>13</v>
      </c>
      <c r="C4759" s="228">
        <v>0.80347222222222203</v>
      </c>
      <c r="D4759" s="229">
        <v>0</v>
      </c>
      <c r="E4759" s="229">
        <v>0</v>
      </c>
      <c r="F4759" s="229">
        <v>0</v>
      </c>
      <c r="G4759" s="229">
        <v>0</v>
      </c>
      <c r="H4759" s="229">
        <v>0</v>
      </c>
      <c r="I4759" s="229">
        <v>0</v>
      </c>
      <c r="J4759" s="229">
        <v>0</v>
      </c>
    </row>
    <row r="4760" spans="1:10" s="217" customFormat="1">
      <c r="A4760" s="214" t="s">
        <v>175</v>
      </c>
      <c r="B4760" s="214" t="s">
        <v>13</v>
      </c>
      <c r="C4760" s="228">
        <v>0.80416666666666603</v>
      </c>
      <c r="D4760" s="229">
        <v>0</v>
      </c>
      <c r="E4760" s="229">
        <v>0</v>
      </c>
      <c r="F4760" s="229">
        <v>0</v>
      </c>
      <c r="G4760" s="229">
        <v>0</v>
      </c>
      <c r="H4760" s="229">
        <v>0</v>
      </c>
      <c r="I4760" s="229">
        <v>0</v>
      </c>
      <c r="J4760" s="229">
        <v>0</v>
      </c>
    </row>
    <row r="4761" spans="1:10" s="217" customFormat="1">
      <c r="A4761" s="214" t="s">
        <v>175</v>
      </c>
      <c r="B4761" s="214" t="s">
        <v>13</v>
      </c>
      <c r="C4761" s="228">
        <v>0.80486111111111103</v>
      </c>
      <c r="D4761" s="229">
        <v>0</v>
      </c>
      <c r="E4761" s="229">
        <v>0</v>
      </c>
      <c r="F4761" s="229">
        <v>0</v>
      </c>
      <c r="G4761" s="229">
        <v>0</v>
      </c>
      <c r="H4761" s="229">
        <v>0</v>
      </c>
      <c r="I4761" s="229">
        <v>0</v>
      </c>
      <c r="J4761" s="229">
        <v>0</v>
      </c>
    </row>
    <row r="4762" spans="1:10" s="217" customFormat="1">
      <c r="A4762" s="214" t="s">
        <v>175</v>
      </c>
      <c r="B4762" s="214" t="s">
        <v>13</v>
      </c>
      <c r="C4762" s="228">
        <v>0.80555555555555503</v>
      </c>
      <c r="D4762" s="229">
        <v>0</v>
      </c>
      <c r="E4762" s="229">
        <v>0</v>
      </c>
      <c r="F4762" s="229">
        <v>0</v>
      </c>
      <c r="G4762" s="229">
        <v>0</v>
      </c>
      <c r="H4762" s="229">
        <v>0</v>
      </c>
      <c r="I4762" s="229">
        <v>0</v>
      </c>
      <c r="J4762" s="229">
        <v>0</v>
      </c>
    </row>
    <row r="4763" spans="1:10" s="217" customFormat="1">
      <c r="A4763" s="214" t="s">
        <v>175</v>
      </c>
      <c r="B4763" s="214" t="s">
        <v>13</v>
      </c>
      <c r="C4763" s="228">
        <v>0.80625000000000002</v>
      </c>
      <c r="D4763" s="229">
        <v>0</v>
      </c>
      <c r="E4763" s="229">
        <v>0</v>
      </c>
      <c r="F4763" s="229">
        <v>0</v>
      </c>
      <c r="G4763" s="229">
        <v>0</v>
      </c>
      <c r="H4763" s="229">
        <v>0</v>
      </c>
      <c r="I4763" s="229">
        <v>0</v>
      </c>
      <c r="J4763" s="229">
        <v>0</v>
      </c>
    </row>
    <row r="4764" spans="1:10" s="217" customFormat="1">
      <c r="A4764" s="214" t="s">
        <v>175</v>
      </c>
      <c r="B4764" s="214" t="s">
        <v>13</v>
      </c>
      <c r="C4764" s="228">
        <v>0.80694444444444402</v>
      </c>
      <c r="D4764" s="229">
        <v>0</v>
      </c>
      <c r="E4764" s="229">
        <v>0</v>
      </c>
      <c r="F4764" s="229">
        <v>0</v>
      </c>
      <c r="G4764" s="229">
        <v>0</v>
      </c>
      <c r="H4764" s="229">
        <v>0</v>
      </c>
      <c r="I4764" s="229">
        <v>0</v>
      </c>
      <c r="J4764" s="229">
        <v>0</v>
      </c>
    </row>
    <row r="4765" spans="1:10" s="217" customFormat="1">
      <c r="A4765" s="214" t="s">
        <v>175</v>
      </c>
      <c r="B4765" s="214" t="s">
        <v>13</v>
      </c>
      <c r="C4765" s="228">
        <v>0.80763888888888902</v>
      </c>
      <c r="D4765" s="229">
        <v>0</v>
      </c>
      <c r="E4765" s="229">
        <v>0</v>
      </c>
      <c r="F4765" s="229">
        <v>0</v>
      </c>
      <c r="G4765" s="229">
        <v>0</v>
      </c>
      <c r="H4765" s="229">
        <v>0</v>
      </c>
      <c r="I4765" s="229">
        <v>0</v>
      </c>
      <c r="J4765" s="229">
        <v>0</v>
      </c>
    </row>
    <row r="4766" spans="1:10" s="217" customFormat="1">
      <c r="A4766" s="214" t="s">
        <v>175</v>
      </c>
      <c r="B4766" s="214" t="s">
        <v>13</v>
      </c>
      <c r="C4766" s="228">
        <v>0.80833333333333302</v>
      </c>
      <c r="D4766" s="229">
        <v>0</v>
      </c>
      <c r="E4766" s="229">
        <v>0</v>
      </c>
      <c r="F4766" s="229">
        <v>0</v>
      </c>
      <c r="G4766" s="229">
        <v>0</v>
      </c>
      <c r="H4766" s="229">
        <v>0</v>
      </c>
      <c r="I4766" s="229">
        <v>0</v>
      </c>
      <c r="J4766" s="229">
        <v>0</v>
      </c>
    </row>
    <row r="4767" spans="1:10" s="217" customFormat="1">
      <c r="A4767" s="214" t="s">
        <v>175</v>
      </c>
      <c r="B4767" s="214" t="s">
        <v>13</v>
      </c>
      <c r="C4767" s="228">
        <v>0.80902777777777801</v>
      </c>
      <c r="D4767" s="229">
        <v>0</v>
      </c>
      <c r="E4767" s="229">
        <v>0</v>
      </c>
      <c r="F4767" s="229">
        <v>0</v>
      </c>
      <c r="G4767" s="229">
        <v>0</v>
      </c>
      <c r="H4767" s="229">
        <v>0</v>
      </c>
      <c r="I4767" s="229">
        <v>0</v>
      </c>
      <c r="J4767" s="229">
        <v>0</v>
      </c>
    </row>
    <row r="4768" spans="1:10" s="217" customFormat="1">
      <c r="A4768" s="214" t="s">
        <v>175</v>
      </c>
      <c r="B4768" s="214" t="s">
        <v>13</v>
      </c>
      <c r="C4768" s="228">
        <v>0.80972222222222201</v>
      </c>
      <c r="D4768" s="229">
        <v>0</v>
      </c>
      <c r="E4768" s="229">
        <v>0</v>
      </c>
      <c r="F4768" s="229">
        <v>0</v>
      </c>
      <c r="G4768" s="229">
        <v>0</v>
      </c>
      <c r="H4768" s="229">
        <v>0</v>
      </c>
      <c r="I4768" s="229">
        <v>0</v>
      </c>
      <c r="J4768" s="229">
        <v>0</v>
      </c>
    </row>
    <row r="4769" spans="1:10" s="217" customFormat="1">
      <c r="A4769" s="214" t="s">
        <v>175</v>
      </c>
      <c r="B4769" s="214" t="s">
        <v>13</v>
      </c>
      <c r="C4769" s="228">
        <v>0.81041666666666601</v>
      </c>
      <c r="D4769" s="229">
        <v>0</v>
      </c>
      <c r="E4769" s="229">
        <v>0</v>
      </c>
      <c r="F4769" s="229">
        <v>0</v>
      </c>
      <c r="G4769" s="229">
        <v>0</v>
      </c>
      <c r="H4769" s="229">
        <v>0</v>
      </c>
      <c r="I4769" s="229">
        <v>0</v>
      </c>
      <c r="J4769" s="229">
        <v>0</v>
      </c>
    </row>
    <row r="4770" spans="1:10" s="217" customFormat="1">
      <c r="A4770" s="214" t="s">
        <v>175</v>
      </c>
      <c r="B4770" s="214" t="s">
        <v>13</v>
      </c>
      <c r="C4770" s="228">
        <v>0.81111111111111101</v>
      </c>
      <c r="D4770" s="229">
        <v>0</v>
      </c>
      <c r="E4770" s="229">
        <v>0</v>
      </c>
      <c r="F4770" s="229">
        <v>0</v>
      </c>
      <c r="G4770" s="229">
        <v>0</v>
      </c>
      <c r="H4770" s="229">
        <v>0</v>
      </c>
      <c r="I4770" s="229">
        <v>0</v>
      </c>
      <c r="J4770" s="229">
        <v>0</v>
      </c>
    </row>
    <row r="4771" spans="1:10" s="221" customFormat="1">
      <c r="A4771" s="218" t="s">
        <v>175</v>
      </c>
      <c r="B4771" s="218" t="s">
        <v>13</v>
      </c>
      <c r="C4771" s="230">
        <v>0.811805555555555</v>
      </c>
      <c r="D4771" s="231">
        <v>0</v>
      </c>
      <c r="E4771" s="231">
        <v>0</v>
      </c>
      <c r="F4771" s="231">
        <v>0</v>
      </c>
      <c r="G4771" s="231">
        <v>0</v>
      </c>
      <c r="H4771" s="231">
        <v>0</v>
      </c>
      <c r="I4771" s="231">
        <v>0</v>
      </c>
      <c r="J4771" s="231">
        <v>0</v>
      </c>
    </row>
    <row r="4772" spans="1:10" s="217" customFormat="1">
      <c r="A4772" s="214" t="s">
        <v>175</v>
      </c>
      <c r="B4772" s="214" t="s">
        <v>13</v>
      </c>
      <c r="C4772" s="228">
        <v>0.8125</v>
      </c>
      <c r="D4772" s="229">
        <v>0</v>
      </c>
      <c r="E4772" s="229">
        <v>0</v>
      </c>
      <c r="F4772" s="229">
        <v>0</v>
      </c>
      <c r="G4772" s="229">
        <v>0</v>
      </c>
      <c r="H4772" s="229">
        <v>0</v>
      </c>
      <c r="I4772" s="229">
        <v>0</v>
      </c>
      <c r="J4772" s="229">
        <v>0</v>
      </c>
    </row>
    <row r="4773" spans="1:10" s="217" customFormat="1">
      <c r="A4773" s="214" t="s">
        <v>175</v>
      </c>
      <c r="B4773" s="214" t="s">
        <v>13</v>
      </c>
      <c r="C4773" s="228">
        <v>0.813194444444444</v>
      </c>
      <c r="D4773" s="229">
        <v>0</v>
      </c>
      <c r="E4773" s="229">
        <v>0</v>
      </c>
      <c r="F4773" s="229">
        <v>0</v>
      </c>
      <c r="G4773" s="229">
        <v>0</v>
      </c>
      <c r="H4773" s="229">
        <v>0</v>
      </c>
      <c r="I4773" s="229">
        <v>0</v>
      </c>
      <c r="J4773" s="229">
        <v>0</v>
      </c>
    </row>
    <row r="4774" spans="1:10" s="217" customFormat="1">
      <c r="A4774" s="214" t="s">
        <v>175</v>
      </c>
      <c r="B4774" s="214" t="s">
        <v>13</v>
      </c>
      <c r="C4774" s="228">
        <v>0.81388888888888899</v>
      </c>
      <c r="D4774" s="229">
        <v>0</v>
      </c>
      <c r="E4774" s="229">
        <v>0</v>
      </c>
      <c r="F4774" s="229">
        <v>0</v>
      </c>
      <c r="G4774" s="229">
        <v>0</v>
      </c>
      <c r="H4774" s="229">
        <v>0</v>
      </c>
      <c r="I4774" s="229">
        <v>0</v>
      </c>
      <c r="J4774" s="229">
        <v>0</v>
      </c>
    </row>
    <row r="4775" spans="1:10" s="217" customFormat="1">
      <c r="A4775" s="214" t="s">
        <v>175</v>
      </c>
      <c r="B4775" s="214" t="s">
        <v>13</v>
      </c>
      <c r="C4775" s="228">
        <v>0.81458333333333299</v>
      </c>
      <c r="D4775" s="229">
        <v>0</v>
      </c>
      <c r="E4775" s="229">
        <v>0</v>
      </c>
      <c r="F4775" s="229">
        <v>0</v>
      </c>
      <c r="G4775" s="229">
        <v>0</v>
      </c>
      <c r="H4775" s="229">
        <v>0</v>
      </c>
      <c r="I4775" s="229">
        <v>0</v>
      </c>
      <c r="J4775" s="229">
        <v>0</v>
      </c>
    </row>
    <row r="4776" spans="1:10" s="217" customFormat="1">
      <c r="A4776" s="214" t="s">
        <v>175</v>
      </c>
      <c r="B4776" s="214" t="s">
        <v>13</v>
      </c>
      <c r="C4776" s="228">
        <v>0.81527777777777799</v>
      </c>
      <c r="D4776" s="229">
        <v>0</v>
      </c>
      <c r="E4776" s="229">
        <v>0</v>
      </c>
      <c r="F4776" s="229">
        <v>0</v>
      </c>
      <c r="G4776" s="229">
        <v>0</v>
      </c>
      <c r="H4776" s="229">
        <v>0</v>
      </c>
      <c r="I4776" s="229">
        <v>0</v>
      </c>
      <c r="J4776" s="229">
        <v>0</v>
      </c>
    </row>
    <row r="4777" spans="1:10" s="217" customFormat="1">
      <c r="A4777" s="214" t="s">
        <v>175</v>
      </c>
      <c r="B4777" s="214" t="s">
        <v>13</v>
      </c>
      <c r="C4777" s="228">
        <v>0.81597222222222199</v>
      </c>
      <c r="D4777" s="229">
        <v>0</v>
      </c>
      <c r="E4777" s="229">
        <v>0</v>
      </c>
      <c r="F4777" s="229">
        <v>0</v>
      </c>
      <c r="G4777" s="229">
        <v>0</v>
      </c>
      <c r="H4777" s="229">
        <v>0</v>
      </c>
      <c r="I4777" s="229">
        <v>0</v>
      </c>
      <c r="J4777" s="229">
        <v>0</v>
      </c>
    </row>
    <row r="4778" spans="1:10" s="217" customFormat="1">
      <c r="A4778" s="214" t="s">
        <v>175</v>
      </c>
      <c r="B4778" s="214" t="s">
        <v>13</v>
      </c>
      <c r="C4778" s="228">
        <v>0.81666666666666599</v>
      </c>
      <c r="D4778" s="229">
        <v>0</v>
      </c>
      <c r="E4778" s="229">
        <v>0</v>
      </c>
      <c r="F4778" s="229">
        <v>0</v>
      </c>
      <c r="G4778" s="229">
        <v>0</v>
      </c>
      <c r="H4778" s="229">
        <v>0</v>
      </c>
      <c r="I4778" s="229">
        <v>0</v>
      </c>
      <c r="J4778" s="229">
        <v>0</v>
      </c>
    </row>
    <row r="4779" spans="1:10" s="217" customFormat="1">
      <c r="A4779" s="214" t="s">
        <v>175</v>
      </c>
      <c r="B4779" s="214" t="s">
        <v>13</v>
      </c>
      <c r="C4779" s="228">
        <v>0.81736111111111098</v>
      </c>
      <c r="D4779" s="229">
        <v>0</v>
      </c>
      <c r="E4779" s="229">
        <v>0</v>
      </c>
      <c r="F4779" s="229">
        <v>0</v>
      </c>
      <c r="G4779" s="229">
        <v>0</v>
      </c>
      <c r="H4779" s="229">
        <v>0</v>
      </c>
      <c r="I4779" s="229">
        <v>0</v>
      </c>
      <c r="J4779" s="229">
        <v>0</v>
      </c>
    </row>
    <row r="4780" spans="1:10" s="217" customFormat="1">
      <c r="A4780" s="214" t="s">
        <v>175</v>
      </c>
      <c r="B4780" s="214" t="s">
        <v>13</v>
      </c>
      <c r="C4780" s="228">
        <v>0.81805555555555498</v>
      </c>
      <c r="D4780" s="229">
        <v>0</v>
      </c>
      <c r="E4780" s="229">
        <v>0</v>
      </c>
      <c r="F4780" s="229">
        <v>0</v>
      </c>
      <c r="G4780" s="229">
        <v>0</v>
      </c>
      <c r="H4780" s="229">
        <v>0</v>
      </c>
      <c r="I4780" s="229">
        <v>0</v>
      </c>
      <c r="J4780" s="229">
        <v>0</v>
      </c>
    </row>
    <row r="4781" spans="1:10" s="217" customFormat="1">
      <c r="A4781" s="214" t="s">
        <v>175</v>
      </c>
      <c r="B4781" s="214" t="s">
        <v>13</v>
      </c>
      <c r="C4781" s="228">
        <v>0.81874999999999998</v>
      </c>
      <c r="D4781" s="229">
        <v>0</v>
      </c>
      <c r="E4781" s="229">
        <v>0</v>
      </c>
      <c r="F4781" s="229">
        <v>0</v>
      </c>
      <c r="G4781" s="229">
        <v>0</v>
      </c>
      <c r="H4781" s="229">
        <v>0</v>
      </c>
      <c r="I4781" s="229">
        <v>0</v>
      </c>
      <c r="J4781" s="229">
        <v>0</v>
      </c>
    </row>
    <row r="4782" spans="1:10" s="217" customFormat="1">
      <c r="A4782" s="214" t="s">
        <v>175</v>
      </c>
      <c r="B4782" s="214" t="s">
        <v>13</v>
      </c>
      <c r="C4782" s="228">
        <v>0.81944444444444398</v>
      </c>
      <c r="D4782" s="229">
        <v>0</v>
      </c>
      <c r="E4782" s="229">
        <v>0</v>
      </c>
      <c r="F4782" s="229">
        <v>0</v>
      </c>
      <c r="G4782" s="229">
        <v>0</v>
      </c>
      <c r="H4782" s="229">
        <v>0</v>
      </c>
      <c r="I4782" s="229">
        <v>0</v>
      </c>
      <c r="J4782" s="229">
        <v>0</v>
      </c>
    </row>
    <row r="4783" spans="1:10" s="217" customFormat="1">
      <c r="A4783" s="214" t="s">
        <v>175</v>
      </c>
      <c r="B4783" s="214" t="s">
        <v>13</v>
      </c>
      <c r="C4783" s="228">
        <v>0.82013888888888897</v>
      </c>
      <c r="D4783" s="229">
        <v>0</v>
      </c>
      <c r="E4783" s="229">
        <v>0</v>
      </c>
      <c r="F4783" s="229">
        <v>0</v>
      </c>
      <c r="G4783" s="229">
        <v>0</v>
      </c>
      <c r="H4783" s="229">
        <v>0</v>
      </c>
      <c r="I4783" s="229">
        <v>0</v>
      </c>
      <c r="J4783" s="229">
        <v>0</v>
      </c>
    </row>
    <row r="4784" spans="1:10" s="217" customFormat="1">
      <c r="A4784" s="214" t="s">
        <v>175</v>
      </c>
      <c r="B4784" s="214" t="s">
        <v>13</v>
      </c>
      <c r="C4784" s="228">
        <v>0.82083333333333297</v>
      </c>
      <c r="D4784" s="229">
        <v>0</v>
      </c>
      <c r="E4784" s="229">
        <v>0</v>
      </c>
      <c r="F4784" s="229">
        <v>0</v>
      </c>
      <c r="G4784" s="229">
        <v>0</v>
      </c>
      <c r="H4784" s="229">
        <v>0</v>
      </c>
      <c r="I4784" s="229">
        <v>0</v>
      </c>
      <c r="J4784" s="229">
        <v>0</v>
      </c>
    </row>
    <row r="4785" spans="1:10" s="217" customFormat="1">
      <c r="A4785" s="214" t="s">
        <v>175</v>
      </c>
      <c r="B4785" s="214" t="s">
        <v>13</v>
      </c>
      <c r="C4785" s="228">
        <v>0.82152777777777797</v>
      </c>
      <c r="D4785" s="229">
        <v>0</v>
      </c>
      <c r="E4785" s="229">
        <v>0</v>
      </c>
      <c r="F4785" s="229">
        <v>0</v>
      </c>
      <c r="G4785" s="229">
        <v>0</v>
      </c>
      <c r="H4785" s="229">
        <v>0</v>
      </c>
      <c r="I4785" s="229">
        <v>0</v>
      </c>
      <c r="J4785" s="229">
        <v>0</v>
      </c>
    </row>
    <row r="4786" spans="1:10" s="221" customFormat="1">
      <c r="A4786" s="218" t="s">
        <v>175</v>
      </c>
      <c r="B4786" s="218" t="s">
        <v>13</v>
      </c>
      <c r="C4786" s="230">
        <v>0.82222222222222197</v>
      </c>
      <c r="D4786" s="231">
        <v>0</v>
      </c>
      <c r="E4786" s="231">
        <v>0</v>
      </c>
      <c r="F4786" s="231">
        <v>0</v>
      </c>
      <c r="G4786" s="231">
        <v>0</v>
      </c>
      <c r="H4786" s="231">
        <v>0</v>
      </c>
      <c r="I4786" s="231">
        <v>0</v>
      </c>
      <c r="J4786" s="231">
        <v>0</v>
      </c>
    </row>
    <row r="4787" spans="1:10" s="217" customFormat="1">
      <c r="A4787" s="214" t="s">
        <v>175</v>
      </c>
      <c r="B4787" s="214" t="s">
        <v>13</v>
      </c>
      <c r="C4787" s="228">
        <v>0.82291666666666596</v>
      </c>
      <c r="D4787" s="229">
        <v>0</v>
      </c>
      <c r="E4787" s="229">
        <v>0</v>
      </c>
      <c r="F4787" s="229">
        <v>0</v>
      </c>
      <c r="G4787" s="229">
        <v>0</v>
      </c>
      <c r="H4787" s="229">
        <v>0</v>
      </c>
      <c r="I4787" s="229">
        <v>0</v>
      </c>
      <c r="J4787" s="229">
        <v>0</v>
      </c>
    </row>
    <row r="4788" spans="1:10" s="217" customFormat="1">
      <c r="A4788" s="214" t="s">
        <v>175</v>
      </c>
      <c r="B4788" s="214" t="s">
        <v>13</v>
      </c>
      <c r="C4788" s="228">
        <v>0.82361111111111096</v>
      </c>
      <c r="D4788" s="229">
        <v>0</v>
      </c>
      <c r="E4788" s="229">
        <v>0</v>
      </c>
      <c r="F4788" s="229">
        <v>0</v>
      </c>
      <c r="G4788" s="229">
        <v>0</v>
      </c>
      <c r="H4788" s="229">
        <v>0</v>
      </c>
      <c r="I4788" s="229">
        <v>0</v>
      </c>
      <c r="J4788" s="229">
        <v>0</v>
      </c>
    </row>
    <row r="4789" spans="1:10" s="217" customFormat="1">
      <c r="A4789" s="214" t="s">
        <v>175</v>
      </c>
      <c r="B4789" s="214" t="s">
        <v>13</v>
      </c>
      <c r="C4789" s="228">
        <v>0.82430555555555496</v>
      </c>
      <c r="D4789" s="229">
        <v>0</v>
      </c>
      <c r="E4789" s="229">
        <v>0</v>
      </c>
      <c r="F4789" s="229">
        <v>0</v>
      </c>
      <c r="G4789" s="229">
        <v>0</v>
      </c>
      <c r="H4789" s="229">
        <v>0</v>
      </c>
      <c r="I4789" s="229">
        <v>0</v>
      </c>
      <c r="J4789" s="229">
        <v>0</v>
      </c>
    </row>
    <row r="4790" spans="1:10" s="217" customFormat="1">
      <c r="A4790" s="214" t="s">
        <v>175</v>
      </c>
      <c r="B4790" s="214" t="s">
        <v>13</v>
      </c>
      <c r="C4790" s="228">
        <v>0.82499999999999996</v>
      </c>
      <c r="D4790" s="229">
        <v>0</v>
      </c>
      <c r="E4790" s="229">
        <v>0</v>
      </c>
      <c r="F4790" s="229">
        <v>0</v>
      </c>
      <c r="G4790" s="229">
        <v>0</v>
      </c>
      <c r="H4790" s="229">
        <v>0</v>
      </c>
      <c r="I4790" s="229">
        <v>0</v>
      </c>
      <c r="J4790" s="229">
        <v>0</v>
      </c>
    </row>
    <row r="4791" spans="1:10" s="217" customFormat="1">
      <c r="A4791" s="214" t="s">
        <v>175</v>
      </c>
      <c r="B4791" s="214" t="s">
        <v>13</v>
      </c>
      <c r="C4791" s="228">
        <v>0.82569444444444395</v>
      </c>
      <c r="D4791" s="229">
        <v>0</v>
      </c>
      <c r="E4791" s="229">
        <v>0</v>
      </c>
      <c r="F4791" s="229">
        <v>0</v>
      </c>
      <c r="G4791" s="229">
        <v>0</v>
      </c>
      <c r="H4791" s="229">
        <v>0</v>
      </c>
      <c r="I4791" s="229">
        <v>0</v>
      </c>
      <c r="J4791" s="229">
        <v>0</v>
      </c>
    </row>
    <row r="4792" spans="1:10" s="217" customFormat="1">
      <c r="A4792" s="214" t="s">
        <v>175</v>
      </c>
      <c r="B4792" s="214" t="s">
        <v>13</v>
      </c>
      <c r="C4792" s="228">
        <v>0.82638888888888895</v>
      </c>
      <c r="D4792" s="229">
        <v>0</v>
      </c>
      <c r="E4792" s="229">
        <v>0</v>
      </c>
      <c r="F4792" s="229">
        <v>0</v>
      </c>
      <c r="G4792" s="229">
        <v>0</v>
      </c>
      <c r="H4792" s="229">
        <v>0</v>
      </c>
      <c r="I4792" s="229">
        <v>0</v>
      </c>
      <c r="J4792" s="229">
        <v>0</v>
      </c>
    </row>
    <row r="4793" spans="1:10" s="217" customFormat="1">
      <c r="A4793" s="214" t="s">
        <v>175</v>
      </c>
      <c r="B4793" s="214" t="s">
        <v>13</v>
      </c>
      <c r="C4793" s="228">
        <v>0.82708333333333295</v>
      </c>
      <c r="D4793" s="229">
        <v>0</v>
      </c>
      <c r="E4793" s="229">
        <v>0</v>
      </c>
      <c r="F4793" s="229">
        <v>0</v>
      </c>
      <c r="G4793" s="229">
        <v>0</v>
      </c>
      <c r="H4793" s="229">
        <v>0</v>
      </c>
      <c r="I4793" s="229">
        <v>0</v>
      </c>
      <c r="J4793" s="229">
        <v>0</v>
      </c>
    </row>
    <row r="4794" spans="1:10" s="217" customFormat="1">
      <c r="A4794" s="214" t="s">
        <v>175</v>
      </c>
      <c r="B4794" s="214" t="s">
        <v>13</v>
      </c>
      <c r="C4794" s="228">
        <v>0.82777777777777795</v>
      </c>
      <c r="D4794" s="229">
        <v>0</v>
      </c>
      <c r="E4794" s="229">
        <v>0</v>
      </c>
      <c r="F4794" s="229">
        <v>0</v>
      </c>
      <c r="G4794" s="229">
        <v>0</v>
      </c>
      <c r="H4794" s="229">
        <v>0</v>
      </c>
      <c r="I4794" s="229">
        <v>0</v>
      </c>
      <c r="J4794" s="229">
        <v>0</v>
      </c>
    </row>
    <row r="4795" spans="1:10" s="217" customFormat="1">
      <c r="A4795" s="214" t="s">
        <v>175</v>
      </c>
      <c r="B4795" s="214" t="s">
        <v>13</v>
      </c>
      <c r="C4795" s="228">
        <v>0.82847222222222205</v>
      </c>
      <c r="D4795" s="229">
        <v>0</v>
      </c>
      <c r="E4795" s="229">
        <v>0</v>
      </c>
      <c r="F4795" s="229">
        <v>0</v>
      </c>
      <c r="G4795" s="229">
        <v>0</v>
      </c>
      <c r="H4795" s="229">
        <v>0</v>
      </c>
      <c r="I4795" s="229">
        <v>0</v>
      </c>
      <c r="J4795" s="229">
        <v>0</v>
      </c>
    </row>
    <row r="4796" spans="1:10" s="217" customFormat="1">
      <c r="A4796" s="214" t="s">
        <v>175</v>
      </c>
      <c r="B4796" s="214" t="s">
        <v>13</v>
      </c>
      <c r="C4796" s="228">
        <v>0.82916666666666605</v>
      </c>
      <c r="D4796" s="229">
        <v>0</v>
      </c>
      <c r="E4796" s="229">
        <v>0</v>
      </c>
      <c r="F4796" s="229">
        <v>0</v>
      </c>
      <c r="G4796" s="229">
        <v>0</v>
      </c>
      <c r="H4796" s="229">
        <v>0</v>
      </c>
      <c r="I4796" s="229">
        <v>0</v>
      </c>
      <c r="J4796" s="229">
        <v>0</v>
      </c>
    </row>
    <row r="4797" spans="1:10" s="217" customFormat="1">
      <c r="A4797" s="214" t="s">
        <v>175</v>
      </c>
      <c r="B4797" s="214" t="s">
        <v>13</v>
      </c>
      <c r="C4797" s="228">
        <v>0.82986111111111105</v>
      </c>
      <c r="D4797" s="229">
        <v>0</v>
      </c>
      <c r="E4797" s="229">
        <v>0</v>
      </c>
      <c r="F4797" s="229">
        <v>0</v>
      </c>
      <c r="G4797" s="229">
        <v>0</v>
      </c>
      <c r="H4797" s="229">
        <v>0</v>
      </c>
      <c r="I4797" s="229">
        <v>0</v>
      </c>
      <c r="J4797" s="229">
        <v>0</v>
      </c>
    </row>
    <row r="4798" spans="1:10" s="217" customFormat="1">
      <c r="A4798" s="214" t="s">
        <v>175</v>
      </c>
      <c r="B4798" s="214" t="s">
        <v>13</v>
      </c>
      <c r="C4798" s="228">
        <v>0.83055555555555505</v>
      </c>
      <c r="D4798" s="229">
        <v>0</v>
      </c>
      <c r="E4798" s="229">
        <v>0</v>
      </c>
      <c r="F4798" s="229">
        <v>0</v>
      </c>
      <c r="G4798" s="229">
        <v>0</v>
      </c>
      <c r="H4798" s="229">
        <v>0</v>
      </c>
      <c r="I4798" s="229">
        <v>0</v>
      </c>
      <c r="J4798" s="229">
        <v>0</v>
      </c>
    </row>
    <row r="4799" spans="1:10" s="217" customFormat="1">
      <c r="A4799" s="214" t="s">
        <v>175</v>
      </c>
      <c r="B4799" s="214" t="s">
        <v>13</v>
      </c>
      <c r="C4799" s="228">
        <v>0.83125000000000004</v>
      </c>
      <c r="D4799" s="229">
        <v>0</v>
      </c>
      <c r="E4799" s="229">
        <v>0</v>
      </c>
      <c r="F4799" s="229">
        <v>0</v>
      </c>
      <c r="G4799" s="229">
        <v>0</v>
      </c>
      <c r="H4799" s="229">
        <v>0</v>
      </c>
      <c r="I4799" s="229">
        <v>0</v>
      </c>
      <c r="J4799" s="229">
        <v>0</v>
      </c>
    </row>
    <row r="4800" spans="1:10" s="217" customFormat="1">
      <c r="A4800" s="214" t="s">
        <v>175</v>
      </c>
      <c r="B4800" s="214" t="s">
        <v>13</v>
      </c>
      <c r="C4800" s="228">
        <v>0.83194444444444404</v>
      </c>
      <c r="D4800" s="229">
        <v>0</v>
      </c>
      <c r="E4800" s="229">
        <v>0</v>
      </c>
      <c r="F4800" s="229">
        <v>0</v>
      </c>
      <c r="G4800" s="229">
        <v>0</v>
      </c>
      <c r="H4800" s="229">
        <v>0</v>
      </c>
      <c r="I4800" s="229">
        <v>0</v>
      </c>
      <c r="J4800" s="229">
        <v>0</v>
      </c>
    </row>
    <row r="4801" spans="1:10" s="227" customFormat="1" ht="17.5" thickBot="1">
      <c r="A4801" s="224" t="s">
        <v>175</v>
      </c>
      <c r="B4801" s="224" t="s">
        <v>13</v>
      </c>
      <c r="C4801" s="232">
        <v>0.83263888888888904</v>
      </c>
      <c r="D4801" s="233">
        <v>0</v>
      </c>
      <c r="E4801" s="233">
        <v>0</v>
      </c>
      <c r="F4801" s="233">
        <v>0</v>
      </c>
      <c r="G4801" s="233">
        <v>0</v>
      </c>
      <c r="H4801" s="233">
        <v>0</v>
      </c>
      <c r="I4801" s="233">
        <v>0</v>
      </c>
      <c r="J4801" s="233">
        <v>0</v>
      </c>
    </row>
    <row r="4802" spans="1:10" s="217" customFormat="1">
      <c r="A4802" s="214" t="s">
        <v>175</v>
      </c>
      <c r="B4802" s="214" t="s">
        <v>37</v>
      </c>
      <c r="C4802" s="228">
        <v>0.66666666666666663</v>
      </c>
      <c r="D4802" s="229">
        <v>0</v>
      </c>
      <c r="E4802" s="229">
        <v>0</v>
      </c>
      <c r="F4802" s="229">
        <v>0</v>
      </c>
      <c r="G4802" s="229">
        <v>0</v>
      </c>
      <c r="H4802" s="229">
        <v>0</v>
      </c>
      <c r="I4802" s="229">
        <v>0</v>
      </c>
      <c r="J4802" s="229">
        <v>0</v>
      </c>
    </row>
    <row r="4803" spans="1:10" s="217" customFormat="1">
      <c r="A4803" s="214" t="s">
        <v>175</v>
      </c>
      <c r="B4803" s="214" t="s">
        <v>37</v>
      </c>
      <c r="C4803" s="228">
        <v>0.66736111111111107</v>
      </c>
      <c r="D4803" s="229">
        <v>0</v>
      </c>
      <c r="E4803" s="229">
        <v>0</v>
      </c>
      <c r="F4803" s="229">
        <v>0</v>
      </c>
      <c r="G4803" s="229">
        <v>0</v>
      </c>
      <c r="H4803" s="229">
        <v>0</v>
      </c>
      <c r="I4803" s="229">
        <v>0</v>
      </c>
      <c r="J4803" s="229">
        <v>0</v>
      </c>
    </row>
    <row r="4804" spans="1:10" s="217" customFormat="1">
      <c r="A4804" s="214" t="s">
        <v>175</v>
      </c>
      <c r="B4804" s="214" t="s">
        <v>37</v>
      </c>
      <c r="C4804" s="228">
        <v>0.66805555555555596</v>
      </c>
      <c r="D4804" s="229">
        <v>0</v>
      </c>
      <c r="E4804" s="229">
        <v>0</v>
      </c>
      <c r="F4804" s="229">
        <v>0</v>
      </c>
      <c r="G4804" s="229">
        <v>0</v>
      </c>
      <c r="H4804" s="229">
        <v>0</v>
      </c>
      <c r="I4804" s="229">
        <v>0</v>
      </c>
      <c r="J4804" s="229">
        <v>0</v>
      </c>
    </row>
    <row r="4805" spans="1:10" s="217" customFormat="1">
      <c r="A4805" s="214" t="s">
        <v>175</v>
      </c>
      <c r="B4805" s="214" t="s">
        <v>37</v>
      </c>
      <c r="C4805" s="228">
        <v>0.66874999999999996</v>
      </c>
      <c r="D4805" s="229">
        <v>0</v>
      </c>
      <c r="E4805" s="229">
        <v>0</v>
      </c>
      <c r="F4805" s="229">
        <v>0</v>
      </c>
      <c r="G4805" s="229">
        <v>0</v>
      </c>
      <c r="H4805" s="229">
        <v>0</v>
      </c>
      <c r="I4805" s="229">
        <v>0</v>
      </c>
      <c r="J4805" s="229">
        <v>0</v>
      </c>
    </row>
    <row r="4806" spans="1:10" s="217" customFormat="1">
      <c r="A4806" s="214" t="s">
        <v>175</v>
      </c>
      <c r="B4806" s="214" t="s">
        <v>37</v>
      </c>
      <c r="C4806" s="228">
        <v>0.66944444444444395</v>
      </c>
      <c r="D4806" s="229">
        <v>0</v>
      </c>
      <c r="E4806" s="229">
        <v>0</v>
      </c>
      <c r="F4806" s="229">
        <v>0</v>
      </c>
      <c r="G4806" s="229">
        <v>0</v>
      </c>
      <c r="H4806" s="229">
        <v>0</v>
      </c>
      <c r="I4806" s="229">
        <v>0</v>
      </c>
      <c r="J4806" s="229">
        <v>0</v>
      </c>
    </row>
    <row r="4807" spans="1:10" s="217" customFormat="1">
      <c r="A4807" s="214" t="s">
        <v>175</v>
      </c>
      <c r="B4807" s="214" t="s">
        <v>37</v>
      </c>
      <c r="C4807" s="228">
        <v>0.67013888888888895</v>
      </c>
      <c r="D4807" s="229">
        <v>0</v>
      </c>
      <c r="E4807" s="229">
        <v>0</v>
      </c>
      <c r="F4807" s="229">
        <v>0</v>
      </c>
      <c r="G4807" s="229">
        <v>0</v>
      </c>
      <c r="H4807" s="229">
        <v>0</v>
      </c>
      <c r="I4807" s="229">
        <v>0</v>
      </c>
      <c r="J4807" s="229">
        <v>0</v>
      </c>
    </row>
    <row r="4808" spans="1:10" s="217" customFormat="1">
      <c r="A4808" s="214" t="s">
        <v>175</v>
      </c>
      <c r="B4808" s="214" t="s">
        <v>37</v>
      </c>
      <c r="C4808" s="228">
        <v>0.67083333333333295</v>
      </c>
      <c r="D4808" s="229">
        <v>0</v>
      </c>
      <c r="E4808" s="229">
        <v>0</v>
      </c>
      <c r="F4808" s="229">
        <v>0</v>
      </c>
      <c r="G4808" s="229">
        <v>0</v>
      </c>
      <c r="H4808" s="229">
        <v>0</v>
      </c>
      <c r="I4808" s="229">
        <v>0</v>
      </c>
      <c r="J4808" s="229">
        <v>0</v>
      </c>
    </row>
    <row r="4809" spans="1:10" s="217" customFormat="1">
      <c r="A4809" s="214" t="s">
        <v>175</v>
      </c>
      <c r="B4809" s="214" t="s">
        <v>37</v>
      </c>
      <c r="C4809" s="228">
        <v>0.67152777777777795</v>
      </c>
      <c r="D4809" s="229">
        <v>0</v>
      </c>
      <c r="E4809" s="229">
        <v>0</v>
      </c>
      <c r="F4809" s="229">
        <v>0</v>
      </c>
      <c r="G4809" s="229">
        <v>0</v>
      </c>
      <c r="H4809" s="229">
        <v>0</v>
      </c>
      <c r="I4809" s="229">
        <v>0</v>
      </c>
      <c r="J4809" s="229">
        <v>0</v>
      </c>
    </row>
    <row r="4810" spans="1:10" s="217" customFormat="1">
      <c r="A4810" s="214" t="s">
        <v>175</v>
      </c>
      <c r="B4810" s="214" t="s">
        <v>37</v>
      </c>
      <c r="C4810" s="228">
        <v>0.67222222222222205</v>
      </c>
      <c r="D4810" s="229">
        <v>0</v>
      </c>
      <c r="E4810" s="229">
        <v>0</v>
      </c>
      <c r="F4810" s="229">
        <v>0</v>
      </c>
      <c r="G4810" s="229">
        <v>0</v>
      </c>
      <c r="H4810" s="229">
        <v>0</v>
      </c>
      <c r="I4810" s="229">
        <v>0</v>
      </c>
      <c r="J4810" s="229">
        <v>0</v>
      </c>
    </row>
    <row r="4811" spans="1:10" s="217" customFormat="1">
      <c r="A4811" s="214" t="s">
        <v>175</v>
      </c>
      <c r="B4811" s="214" t="s">
        <v>37</v>
      </c>
      <c r="C4811" s="228">
        <v>0.67291666666666705</v>
      </c>
      <c r="D4811" s="229">
        <v>0</v>
      </c>
      <c r="E4811" s="229">
        <v>0</v>
      </c>
      <c r="F4811" s="229">
        <v>0</v>
      </c>
      <c r="G4811" s="229">
        <v>0</v>
      </c>
      <c r="H4811" s="229">
        <v>0</v>
      </c>
      <c r="I4811" s="229">
        <v>0</v>
      </c>
      <c r="J4811" s="229">
        <v>0</v>
      </c>
    </row>
    <row r="4812" spans="1:10" s="217" customFormat="1">
      <c r="A4812" s="214" t="s">
        <v>175</v>
      </c>
      <c r="B4812" s="214" t="s">
        <v>37</v>
      </c>
      <c r="C4812" s="228">
        <v>0.67361111111111105</v>
      </c>
      <c r="D4812" s="229">
        <v>0</v>
      </c>
      <c r="E4812" s="229">
        <v>0</v>
      </c>
      <c r="F4812" s="229">
        <v>0</v>
      </c>
      <c r="G4812" s="229">
        <v>0</v>
      </c>
      <c r="H4812" s="229">
        <v>0</v>
      </c>
      <c r="I4812" s="229">
        <v>0</v>
      </c>
      <c r="J4812" s="229">
        <v>0</v>
      </c>
    </row>
    <row r="4813" spans="1:10" s="217" customFormat="1">
      <c r="A4813" s="214" t="s">
        <v>175</v>
      </c>
      <c r="B4813" s="214" t="s">
        <v>37</v>
      </c>
      <c r="C4813" s="228">
        <v>0.67430555555555505</v>
      </c>
      <c r="D4813" s="229">
        <v>0</v>
      </c>
      <c r="E4813" s="229">
        <v>0</v>
      </c>
      <c r="F4813" s="229">
        <v>0</v>
      </c>
      <c r="G4813" s="229">
        <v>0</v>
      </c>
      <c r="H4813" s="229">
        <v>0</v>
      </c>
      <c r="I4813" s="229">
        <v>0</v>
      </c>
      <c r="J4813" s="229">
        <v>0</v>
      </c>
    </row>
    <row r="4814" spans="1:10" s="217" customFormat="1">
      <c r="A4814" s="214" t="s">
        <v>175</v>
      </c>
      <c r="B4814" s="214" t="s">
        <v>37</v>
      </c>
      <c r="C4814" s="228">
        <v>0.67500000000000004</v>
      </c>
      <c r="D4814" s="229">
        <v>0</v>
      </c>
      <c r="E4814" s="229">
        <v>0</v>
      </c>
      <c r="F4814" s="229">
        <v>0</v>
      </c>
      <c r="G4814" s="229">
        <v>0</v>
      </c>
      <c r="H4814" s="229">
        <v>0</v>
      </c>
      <c r="I4814" s="229">
        <v>0</v>
      </c>
      <c r="J4814" s="229">
        <v>0</v>
      </c>
    </row>
    <row r="4815" spans="1:10" s="217" customFormat="1">
      <c r="A4815" s="214" t="s">
        <v>175</v>
      </c>
      <c r="B4815" s="214" t="s">
        <v>37</v>
      </c>
      <c r="C4815" s="228">
        <v>0.67569444444444404</v>
      </c>
      <c r="D4815" s="229">
        <v>0</v>
      </c>
      <c r="E4815" s="229">
        <v>0</v>
      </c>
      <c r="F4815" s="229">
        <v>0</v>
      </c>
      <c r="G4815" s="229">
        <v>0</v>
      </c>
      <c r="H4815" s="229">
        <v>0</v>
      </c>
      <c r="I4815" s="229">
        <v>0</v>
      </c>
      <c r="J4815" s="229">
        <v>0</v>
      </c>
    </row>
    <row r="4816" spans="1:10" s="221" customFormat="1">
      <c r="A4816" s="218" t="s">
        <v>175</v>
      </c>
      <c r="B4816" s="218" t="s">
        <v>37</v>
      </c>
      <c r="C4816" s="230">
        <v>0.67638888888888904</v>
      </c>
      <c r="D4816" s="231">
        <v>0</v>
      </c>
      <c r="E4816" s="231">
        <v>0</v>
      </c>
      <c r="F4816" s="231">
        <v>0</v>
      </c>
      <c r="G4816" s="231">
        <v>0</v>
      </c>
      <c r="H4816" s="231">
        <v>0</v>
      </c>
      <c r="I4816" s="231">
        <v>0</v>
      </c>
      <c r="J4816" s="231">
        <v>0</v>
      </c>
    </row>
    <row r="4817" spans="1:10" s="217" customFormat="1">
      <c r="A4817" s="214" t="s">
        <v>175</v>
      </c>
      <c r="B4817" s="214" t="s">
        <v>37</v>
      </c>
      <c r="C4817" s="228">
        <v>0.67708333333333304</v>
      </c>
      <c r="D4817" s="229">
        <v>0</v>
      </c>
      <c r="E4817" s="229">
        <v>0</v>
      </c>
      <c r="F4817" s="229">
        <v>0</v>
      </c>
      <c r="G4817" s="229">
        <v>0</v>
      </c>
      <c r="H4817" s="229">
        <v>0</v>
      </c>
      <c r="I4817" s="229">
        <v>0</v>
      </c>
      <c r="J4817" s="229">
        <v>0</v>
      </c>
    </row>
    <row r="4818" spans="1:10" s="217" customFormat="1">
      <c r="A4818" s="214" t="s">
        <v>175</v>
      </c>
      <c r="B4818" s="214" t="s">
        <v>37</v>
      </c>
      <c r="C4818" s="228">
        <v>0.67777777777777803</v>
      </c>
      <c r="D4818" s="229">
        <v>0</v>
      </c>
      <c r="E4818" s="229">
        <v>0</v>
      </c>
      <c r="F4818" s="229">
        <v>0</v>
      </c>
      <c r="G4818" s="229">
        <v>0</v>
      </c>
      <c r="H4818" s="229">
        <v>0</v>
      </c>
      <c r="I4818" s="229">
        <v>0</v>
      </c>
      <c r="J4818" s="229">
        <v>0</v>
      </c>
    </row>
    <row r="4819" spans="1:10" s="217" customFormat="1">
      <c r="A4819" s="214" t="s">
        <v>175</v>
      </c>
      <c r="B4819" s="214" t="s">
        <v>37</v>
      </c>
      <c r="C4819" s="228">
        <v>0.67847222222222203</v>
      </c>
      <c r="D4819" s="229">
        <v>0</v>
      </c>
      <c r="E4819" s="229">
        <v>0</v>
      </c>
      <c r="F4819" s="229">
        <v>0</v>
      </c>
      <c r="G4819" s="229">
        <v>0</v>
      </c>
      <c r="H4819" s="229">
        <v>0</v>
      </c>
      <c r="I4819" s="229">
        <v>0</v>
      </c>
      <c r="J4819" s="229">
        <v>0</v>
      </c>
    </row>
    <row r="4820" spans="1:10" s="217" customFormat="1">
      <c r="A4820" s="214" t="s">
        <v>175</v>
      </c>
      <c r="B4820" s="214" t="s">
        <v>37</v>
      </c>
      <c r="C4820" s="228">
        <v>0.67916666666666703</v>
      </c>
      <c r="D4820" s="229">
        <v>0</v>
      </c>
      <c r="E4820" s="229">
        <v>0</v>
      </c>
      <c r="F4820" s="229">
        <v>0</v>
      </c>
      <c r="G4820" s="229">
        <v>0</v>
      </c>
      <c r="H4820" s="229">
        <v>0</v>
      </c>
      <c r="I4820" s="229">
        <v>0</v>
      </c>
      <c r="J4820" s="229">
        <v>0</v>
      </c>
    </row>
    <row r="4821" spans="1:10" s="217" customFormat="1">
      <c r="A4821" s="214" t="s">
        <v>175</v>
      </c>
      <c r="B4821" s="214" t="s">
        <v>37</v>
      </c>
      <c r="C4821" s="228">
        <v>0.67986111111111103</v>
      </c>
      <c r="D4821" s="229">
        <v>0</v>
      </c>
      <c r="E4821" s="229">
        <v>0</v>
      </c>
      <c r="F4821" s="229">
        <v>0</v>
      </c>
      <c r="G4821" s="229">
        <v>0</v>
      </c>
      <c r="H4821" s="229">
        <v>0</v>
      </c>
      <c r="I4821" s="229">
        <v>0</v>
      </c>
      <c r="J4821" s="229">
        <v>0</v>
      </c>
    </row>
    <row r="4822" spans="1:10" s="217" customFormat="1">
      <c r="A4822" s="214" t="s">
        <v>175</v>
      </c>
      <c r="B4822" s="214" t="s">
        <v>37</v>
      </c>
      <c r="C4822" s="228">
        <v>0.68055555555555503</v>
      </c>
      <c r="D4822" s="229">
        <v>0</v>
      </c>
      <c r="E4822" s="229">
        <v>0</v>
      </c>
      <c r="F4822" s="229">
        <v>0</v>
      </c>
      <c r="G4822" s="229">
        <v>0</v>
      </c>
      <c r="H4822" s="229">
        <v>0</v>
      </c>
      <c r="I4822" s="229">
        <v>0</v>
      </c>
      <c r="J4822" s="229">
        <v>0</v>
      </c>
    </row>
    <row r="4823" spans="1:10" s="217" customFormat="1">
      <c r="A4823" s="214" t="s">
        <v>175</v>
      </c>
      <c r="B4823" s="214" t="s">
        <v>37</v>
      </c>
      <c r="C4823" s="228">
        <v>0.68125000000000002</v>
      </c>
      <c r="D4823" s="229">
        <v>0</v>
      </c>
      <c r="E4823" s="229">
        <v>0</v>
      </c>
      <c r="F4823" s="229">
        <v>0</v>
      </c>
      <c r="G4823" s="229">
        <v>0</v>
      </c>
      <c r="H4823" s="229">
        <v>0</v>
      </c>
      <c r="I4823" s="229">
        <v>0</v>
      </c>
      <c r="J4823" s="229">
        <v>0</v>
      </c>
    </row>
    <row r="4824" spans="1:10" s="217" customFormat="1">
      <c r="A4824" s="214" t="s">
        <v>175</v>
      </c>
      <c r="B4824" s="214" t="s">
        <v>37</v>
      </c>
      <c r="C4824" s="228">
        <v>0.68194444444444402</v>
      </c>
      <c r="D4824" s="229">
        <v>0</v>
      </c>
      <c r="E4824" s="229">
        <v>0</v>
      </c>
      <c r="F4824" s="229">
        <v>0</v>
      </c>
      <c r="G4824" s="229">
        <v>0</v>
      </c>
      <c r="H4824" s="229">
        <v>0</v>
      </c>
      <c r="I4824" s="229">
        <v>0</v>
      </c>
      <c r="J4824" s="229">
        <v>0</v>
      </c>
    </row>
    <row r="4825" spans="1:10" s="217" customFormat="1">
      <c r="A4825" s="214" t="s">
        <v>175</v>
      </c>
      <c r="B4825" s="214" t="s">
        <v>37</v>
      </c>
      <c r="C4825" s="228">
        <v>0.68263888888888902</v>
      </c>
      <c r="D4825" s="229">
        <v>0</v>
      </c>
      <c r="E4825" s="229">
        <v>0</v>
      </c>
      <c r="F4825" s="229">
        <v>0</v>
      </c>
      <c r="G4825" s="229">
        <v>0</v>
      </c>
      <c r="H4825" s="229">
        <v>0</v>
      </c>
      <c r="I4825" s="229">
        <v>0</v>
      </c>
      <c r="J4825" s="229">
        <v>0</v>
      </c>
    </row>
    <row r="4826" spans="1:10" s="217" customFormat="1">
      <c r="A4826" s="214" t="s">
        <v>175</v>
      </c>
      <c r="B4826" s="214" t="s">
        <v>37</v>
      </c>
      <c r="C4826" s="228">
        <v>0.68333333333333302</v>
      </c>
      <c r="D4826" s="229">
        <v>0</v>
      </c>
      <c r="E4826" s="229">
        <v>0</v>
      </c>
      <c r="F4826" s="229">
        <v>0</v>
      </c>
      <c r="G4826" s="229">
        <v>0</v>
      </c>
      <c r="H4826" s="229">
        <v>0</v>
      </c>
      <c r="I4826" s="229">
        <v>0</v>
      </c>
      <c r="J4826" s="229">
        <v>0</v>
      </c>
    </row>
    <row r="4827" spans="1:10" s="217" customFormat="1">
      <c r="A4827" s="214" t="s">
        <v>175</v>
      </c>
      <c r="B4827" s="214" t="s">
        <v>37</v>
      </c>
      <c r="C4827" s="228">
        <v>0.68402777777777801</v>
      </c>
      <c r="D4827" s="229">
        <v>0</v>
      </c>
      <c r="E4827" s="229">
        <v>0</v>
      </c>
      <c r="F4827" s="229">
        <v>0</v>
      </c>
      <c r="G4827" s="229">
        <v>0</v>
      </c>
      <c r="H4827" s="229">
        <v>0</v>
      </c>
      <c r="I4827" s="229">
        <v>0</v>
      </c>
      <c r="J4827" s="229">
        <v>0</v>
      </c>
    </row>
    <row r="4828" spans="1:10" s="217" customFormat="1">
      <c r="A4828" s="214" t="s">
        <v>175</v>
      </c>
      <c r="B4828" s="214" t="s">
        <v>37</v>
      </c>
      <c r="C4828" s="228">
        <v>0.68472222222222201</v>
      </c>
      <c r="D4828" s="229">
        <v>0</v>
      </c>
      <c r="E4828" s="229">
        <v>0</v>
      </c>
      <c r="F4828" s="229">
        <v>0</v>
      </c>
      <c r="G4828" s="229">
        <v>0</v>
      </c>
      <c r="H4828" s="229">
        <v>0</v>
      </c>
      <c r="I4828" s="229">
        <v>0</v>
      </c>
      <c r="J4828" s="229">
        <v>0</v>
      </c>
    </row>
    <row r="4829" spans="1:10" s="217" customFormat="1">
      <c r="A4829" s="214" t="s">
        <v>175</v>
      </c>
      <c r="B4829" s="214" t="s">
        <v>37</v>
      </c>
      <c r="C4829" s="228">
        <v>0.68541666666666701</v>
      </c>
      <c r="D4829" s="229">
        <v>0</v>
      </c>
      <c r="E4829" s="229">
        <v>0</v>
      </c>
      <c r="F4829" s="229">
        <v>0</v>
      </c>
      <c r="G4829" s="229">
        <v>0</v>
      </c>
      <c r="H4829" s="229">
        <v>0</v>
      </c>
      <c r="I4829" s="229">
        <v>0</v>
      </c>
      <c r="J4829" s="229">
        <v>0</v>
      </c>
    </row>
    <row r="4830" spans="1:10" s="217" customFormat="1">
      <c r="A4830" s="214" t="s">
        <v>175</v>
      </c>
      <c r="B4830" s="214" t="s">
        <v>37</v>
      </c>
      <c r="C4830" s="228">
        <v>0.68611111111111101</v>
      </c>
      <c r="D4830" s="229">
        <v>0</v>
      </c>
      <c r="E4830" s="229">
        <v>0</v>
      </c>
      <c r="F4830" s="229">
        <v>0</v>
      </c>
      <c r="G4830" s="229">
        <v>0</v>
      </c>
      <c r="H4830" s="229">
        <v>0</v>
      </c>
      <c r="I4830" s="229">
        <v>0</v>
      </c>
      <c r="J4830" s="229">
        <v>0</v>
      </c>
    </row>
    <row r="4831" spans="1:10" s="221" customFormat="1">
      <c r="A4831" s="218" t="s">
        <v>175</v>
      </c>
      <c r="B4831" s="218" t="s">
        <v>37</v>
      </c>
      <c r="C4831" s="230">
        <v>0.686805555555555</v>
      </c>
      <c r="D4831" s="231">
        <v>0</v>
      </c>
      <c r="E4831" s="231">
        <v>0</v>
      </c>
      <c r="F4831" s="231">
        <v>0</v>
      </c>
      <c r="G4831" s="231">
        <v>0</v>
      </c>
      <c r="H4831" s="231">
        <v>0</v>
      </c>
      <c r="I4831" s="231">
        <v>0</v>
      </c>
      <c r="J4831" s="231">
        <v>0</v>
      </c>
    </row>
    <row r="4832" spans="1:10" s="217" customFormat="1">
      <c r="A4832" s="214" t="s">
        <v>175</v>
      </c>
      <c r="B4832" s="214" t="s">
        <v>37</v>
      </c>
      <c r="C4832" s="228">
        <v>0.6875</v>
      </c>
      <c r="D4832" s="229">
        <v>0</v>
      </c>
      <c r="E4832" s="229">
        <v>0</v>
      </c>
      <c r="F4832" s="229">
        <v>0</v>
      </c>
      <c r="G4832" s="229">
        <v>0</v>
      </c>
      <c r="H4832" s="229">
        <v>0</v>
      </c>
      <c r="I4832" s="229">
        <v>0</v>
      </c>
      <c r="J4832" s="229">
        <v>0</v>
      </c>
    </row>
    <row r="4833" spans="1:10" s="217" customFormat="1">
      <c r="A4833" s="214" t="s">
        <v>175</v>
      </c>
      <c r="B4833" s="214" t="s">
        <v>37</v>
      </c>
      <c r="C4833" s="228">
        <v>0.688194444444444</v>
      </c>
      <c r="D4833" s="229">
        <v>0</v>
      </c>
      <c r="E4833" s="229">
        <v>0</v>
      </c>
      <c r="F4833" s="229">
        <v>0</v>
      </c>
      <c r="G4833" s="229">
        <v>0</v>
      </c>
      <c r="H4833" s="229">
        <v>0</v>
      </c>
      <c r="I4833" s="229">
        <v>0</v>
      </c>
      <c r="J4833" s="229">
        <v>0</v>
      </c>
    </row>
    <row r="4834" spans="1:10" s="217" customFormat="1">
      <c r="A4834" s="214" t="s">
        <v>175</v>
      </c>
      <c r="B4834" s="214" t="s">
        <v>37</v>
      </c>
      <c r="C4834" s="228">
        <v>0.68888888888888899</v>
      </c>
      <c r="D4834" s="229">
        <v>0</v>
      </c>
      <c r="E4834" s="229">
        <v>0</v>
      </c>
      <c r="F4834" s="229">
        <v>0</v>
      </c>
      <c r="G4834" s="229">
        <v>0</v>
      </c>
      <c r="H4834" s="229">
        <v>0</v>
      </c>
      <c r="I4834" s="229">
        <v>0</v>
      </c>
      <c r="J4834" s="229">
        <v>0</v>
      </c>
    </row>
    <row r="4835" spans="1:10" s="217" customFormat="1">
      <c r="A4835" s="214" t="s">
        <v>175</v>
      </c>
      <c r="B4835" s="214" t="s">
        <v>37</v>
      </c>
      <c r="C4835" s="228">
        <v>0.68958333333333299</v>
      </c>
      <c r="D4835" s="229">
        <v>0</v>
      </c>
      <c r="E4835" s="229">
        <v>0</v>
      </c>
      <c r="F4835" s="229">
        <v>0</v>
      </c>
      <c r="G4835" s="229">
        <v>0</v>
      </c>
      <c r="H4835" s="229">
        <v>0</v>
      </c>
      <c r="I4835" s="229">
        <v>0</v>
      </c>
      <c r="J4835" s="229">
        <v>0</v>
      </c>
    </row>
    <row r="4836" spans="1:10" s="217" customFormat="1">
      <c r="A4836" s="214" t="s">
        <v>175</v>
      </c>
      <c r="B4836" s="214" t="s">
        <v>37</v>
      </c>
      <c r="C4836" s="228">
        <v>0.69027777777777799</v>
      </c>
      <c r="D4836" s="229">
        <v>0</v>
      </c>
      <c r="E4836" s="229">
        <v>0</v>
      </c>
      <c r="F4836" s="229">
        <v>0</v>
      </c>
      <c r="G4836" s="229">
        <v>0</v>
      </c>
      <c r="H4836" s="229">
        <v>0</v>
      </c>
      <c r="I4836" s="229">
        <v>0</v>
      </c>
      <c r="J4836" s="229">
        <v>0</v>
      </c>
    </row>
    <row r="4837" spans="1:10" s="217" customFormat="1">
      <c r="A4837" s="214" t="s">
        <v>175</v>
      </c>
      <c r="B4837" s="214" t="s">
        <v>37</v>
      </c>
      <c r="C4837" s="228">
        <v>0.69097222222222199</v>
      </c>
      <c r="D4837" s="229">
        <v>0</v>
      </c>
      <c r="E4837" s="229">
        <v>0</v>
      </c>
      <c r="F4837" s="229">
        <v>0</v>
      </c>
      <c r="G4837" s="229">
        <v>0</v>
      </c>
      <c r="H4837" s="229">
        <v>0</v>
      </c>
      <c r="I4837" s="229">
        <v>0</v>
      </c>
      <c r="J4837" s="229">
        <v>0</v>
      </c>
    </row>
    <row r="4838" spans="1:10" s="217" customFormat="1">
      <c r="A4838" s="214" t="s">
        <v>175</v>
      </c>
      <c r="B4838" s="214" t="s">
        <v>37</v>
      </c>
      <c r="C4838" s="228">
        <v>0.69166666666666698</v>
      </c>
      <c r="D4838" s="229">
        <v>0</v>
      </c>
      <c r="E4838" s="229">
        <v>0</v>
      </c>
      <c r="F4838" s="229">
        <v>0</v>
      </c>
      <c r="G4838" s="229">
        <v>0</v>
      </c>
      <c r="H4838" s="229">
        <v>0</v>
      </c>
      <c r="I4838" s="229">
        <v>0</v>
      </c>
      <c r="J4838" s="229">
        <v>0</v>
      </c>
    </row>
    <row r="4839" spans="1:10" s="217" customFormat="1">
      <c r="A4839" s="214" t="s">
        <v>175</v>
      </c>
      <c r="B4839" s="214" t="s">
        <v>37</v>
      </c>
      <c r="C4839" s="228">
        <v>0.69236111111111098</v>
      </c>
      <c r="D4839" s="229">
        <v>0</v>
      </c>
      <c r="E4839" s="229">
        <v>0</v>
      </c>
      <c r="F4839" s="229">
        <v>0</v>
      </c>
      <c r="G4839" s="229">
        <v>0</v>
      </c>
      <c r="H4839" s="229">
        <v>0</v>
      </c>
      <c r="I4839" s="229">
        <v>0</v>
      </c>
      <c r="J4839" s="229">
        <v>0</v>
      </c>
    </row>
    <row r="4840" spans="1:10" s="217" customFormat="1">
      <c r="A4840" s="214" t="s">
        <v>175</v>
      </c>
      <c r="B4840" s="214" t="s">
        <v>37</v>
      </c>
      <c r="C4840" s="228">
        <v>0.69305555555555498</v>
      </c>
      <c r="D4840" s="229">
        <v>0</v>
      </c>
      <c r="E4840" s="229">
        <v>0</v>
      </c>
      <c r="F4840" s="229">
        <v>0</v>
      </c>
      <c r="G4840" s="229">
        <v>0</v>
      </c>
      <c r="H4840" s="229">
        <v>0</v>
      </c>
      <c r="I4840" s="229">
        <v>0</v>
      </c>
      <c r="J4840" s="229">
        <v>0</v>
      </c>
    </row>
    <row r="4841" spans="1:10" s="217" customFormat="1">
      <c r="A4841" s="214" t="s">
        <v>175</v>
      </c>
      <c r="B4841" s="214" t="s">
        <v>37</v>
      </c>
      <c r="C4841" s="228">
        <v>0.69374999999999998</v>
      </c>
      <c r="D4841" s="229">
        <v>0</v>
      </c>
      <c r="E4841" s="229">
        <v>0</v>
      </c>
      <c r="F4841" s="229">
        <v>0</v>
      </c>
      <c r="G4841" s="229">
        <v>0</v>
      </c>
      <c r="H4841" s="229">
        <v>0</v>
      </c>
      <c r="I4841" s="229">
        <v>0</v>
      </c>
      <c r="J4841" s="229">
        <v>0</v>
      </c>
    </row>
    <row r="4842" spans="1:10" s="217" customFormat="1">
      <c r="A4842" s="214" t="s">
        <v>175</v>
      </c>
      <c r="B4842" s="214" t="s">
        <v>37</v>
      </c>
      <c r="C4842" s="228">
        <v>0.69444444444444398</v>
      </c>
      <c r="D4842" s="229">
        <v>0</v>
      </c>
      <c r="E4842" s="229">
        <v>0</v>
      </c>
      <c r="F4842" s="229">
        <v>0</v>
      </c>
      <c r="G4842" s="229">
        <v>0</v>
      </c>
      <c r="H4842" s="229">
        <v>0</v>
      </c>
      <c r="I4842" s="229">
        <v>0</v>
      </c>
      <c r="J4842" s="229">
        <v>0</v>
      </c>
    </row>
    <row r="4843" spans="1:10" s="217" customFormat="1">
      <c r="A4843" s="214" t="s">
        <v>175</v>
      </c>
      <c r="B4843" s="214" t="s">
        <v>37</v>
      </c>
      <c r="C4843" s="228">
        <v>0.69513888888888897</v>
      </c>
      <c r="D4843" s="229">
        <v>0</v>
      </c>
      <c r="E4843" s="229">
        <v>0</v>
      </c>
      <c r="F4843" s="229">
        <v>0</v>
      </c>
      <c r="G4843" s="229">
        <v>0</v>
      </c>
      <c r="H4843" s="229">
        <v>0</v>
      </c>
      <c r="I4843" s="229">
        <v>0</v>
      </c>
      <c r="J4843" s="229">
        <v>0</v>
      </c>
    </row>
    <row r="4844" spans="1:10" s="217" customFormat="1">
      <c r="A4844" s="214" t="s">
        <v>175</v>
      </c>
      <c r="B4844" s="214" t="s">
        <v>37</v>
      </c>
      <c r="C4844" s="228">
        <v>0.69583333333333297</v>
      </c>
      <c r="D4844" s="229">
        <v>0</v>
      </c>
      <c r="E4844" s="229">
        <v>0</v>
      </c>
      <c r="F4844" s="229">
        <v>0</v>
      </c>
      <c r="G4844" s="229">
        <v>0</v>
      </c>
      <c r="H4844" s="229">
        <v>0</v>
      </c>
      <c r="I4844" s="229">
        <v>0</v>
      </c>
      <c r="J4844" s="229">
        <v>0</v>
      </c>
    </row>
    <row r="4845" spans="1:10" s="217" customFormat="1">
      <c r="A4845" s="214" t="s">
        <v>175</v>
      </c>
      <c r="B4845" s="214" t="s">
        <v>37</v>
      </c>
      <c r="C4845" s="228">
        <v>0.69652777777777797</v>
      </c>
      <c r="D4845" s="229">
        <v>0</v>
      </c>
      <c r="E4845" s="229">
        <v>0</v>
      </c>
      <c r="F4845" s="229">
        <v>0</v>
      </c>
      <c r="G4845" s="229">
        <v>0</v>
      </c>
      <c r="H4845" s="229">
        <v>0</v>
      </c>
      <c r="I4845" s="229">
        <v>0</v>
      </c>
      <c r="J4845" s="229">
        <v>0</v>
      </c>
    </row>
    <row r="4846" spans="1:10" s="221" customFormat="1">
      <c r="A4846" s="218" t="s">
        <v>175</v>
      </c>
      <c r="B4846" s="218" t="s">
        <v>37</v>
      </c>
      <c r="C4846" s="230">
        <v>0.69722222222222197</v>
      </c>
      <c r="D4846" s="231">
        <v>0</v>
      </c>
      <c r="E4846" s="231">
        <v>0</v>
      </c>
      <c r="F4846" s="231">
        <v>0</v>
      </c>
      <c r="G4846" s="231">
        <v>0</v>
      </c>
      <c r="H4846" s="231">
        <v>0</v>
      </c>
      <c r="I4846" s="231">
        <v>0</v>
      </c>
      <c r="J4846" s="231">
        <v>0</v>
      </c>
    </row>
    <row r="4847" spans="1:10" s="217" customFormat="1">
      <c r="A4847" s="214" t="s">
        <v>175</v>
      </c>
      <c r="B4847" s="214" t="s">
        <v>37</v>
      </c>
      <c r="C4847" s="228">
        <v>0.69791666666666696</v>
      </c>
      <c r="D4847" s="229">
        <v>0</v>
      </c>
      <c r="E4847" s="229">
        <v>0</v>
      </c>
      <c r="F4847" s="229">
        <v>0</v>
      </c>
      <c r="G4847" s="229">
        <v>0</v>
      </c>
      <c r="H4847" s="229">
        <v>0</v>
      </c>
      <c r="I4847" s="229">
        <v>0</v>
      </c>
      <c r="J4847" s="229">
        <v>0</v>
      </c>
    </row>
    <row r="4848" spans="1:10" s="217" customFormat="1">
      <c r="A4848" s="214" t="s">
        <v>175</v>
      </c>
      <c r="B4848" s="214" t="s">
        <v>37</v>
      </c>
      <c r="C4848" s="228">
        <v>0.69861111111111096</v>
      </c>
      <c r="D4848" s="229">
        <v>0</v>
      </c>
      <c r="E4848" s="229">
        <v>0</v>
      </c>
      <c r="F4848" s="229">
        <v>0</v>
      </c>
      <c r="G4848" s="229">
        <v>0</v>
      </c>
      <c r="H4848" s="229">
        <v>0</v>
      </c>
      <c r="I4848" s="229">
        <v>0</v>
      </c>
      <c r="J4848" s="229">
        <v>0</v>
      </c>
    </row>
    <row r="4849" spans="1:10" s="217" customFormat="1">
      <c r="A4849" s="214" t="s">
        <v>175</v>
      </c>
      <c r="B4849" s="214" t="s">
        <v>37</v>
      </c>
      <c r="C4849" s="228">
        <v>0.69930555555555496</v>
      </c>
      <c r="D4849" s="229">
        <v>0</v>
      </c>
      <c r="E4849" s="229">
        <v>0</v>
      </c>
      <c r="F4849" s="229">
        <v>0</v>
      </c>
      <c r="G4849" s="229">
        <v>0</v>
      </c>
      <c r="H4849" s="229">
        <v>0</v>
      </c>
      <c r="I4849" s="229">
        <v>0</v>
      </c>
      <c r="J4849" s="229">
        <v>0</v>
      </c>
    </row>
    <row r="4850" spans="1:10" s="217" customFormat="1">
      <c r="A4850" s="214" t="s">
        <v>175</v>
      </c>
      <c r="B4850" s="214" t="s">
        <v>37</v>
      </c>
      <c r="C4850" s="228">
        <v>0.7</v>
      </c>
      <c r="D4850" s="229">
        <v>0</v>
      </c>
      <c r="E4850" s="229">
        <v>0</v>
      </c>
      <c r="F4850" s="229">
        <v>0</v>
      </c>
      <c r="G4850" s="229">
        <v>0</v>
      </c>
      <c r="H4850" s="229">
        <v>0</v>
      </c>
      <c r="I4850" s="229">
        <v>0</v>
      </c>
      <c r="J4850" s="229">
        <v>0</v>
      </c>
    </row>
    <row r="4851" spans="1:10" s="217" customFormat="1">
      <c r="A4851" s="214" t="s">
        <v>175</v>
      </c>
      <c r="B4851" s="214" t="s">
        <v>37</v>
      </c>
      <c r="C4851" s="228">
        <v>0.70069444444444395</v>
      </c>
      <c r="D4851" s="229">
        <v>0</v>
      </c>
      <c r="E4851" s="229">
        <v>0</v>
      </c>
      <c r="F4851" s="229">
        <v>0</v>
      </c>
      <c r="G4851" s="229">
        <v>0</v>
      </c>
      <c r="H4851" s="229">
        <v>0</v>
      </c>
      <c r="I4851" s="229">
        <v>0</v>
      </c>
      <c r="J4851" s="229">
        <v>0</v>
      </c>
    </row>
    <row r="4852" spans="1:10" s="217" customFormat="1">
      <c r="A4852" s="214" t="s">
        <v>175</v>
      </c>
      <c r="B4852" s="214" t="s">
        <v>37</v>
      </c>
      <c r="C4852" s="228">
        <v>0.70138888888888895</v>
      </c>
      <c r="D4852" s="229">
        <v>0</v>
      </c>
      <c r="E4852" s="229">
        <v>0</v>
      </c>
      <c r="F4852" s="229">
        <v>0</v>
      </c>
      <c r="G4852" s="229">
        <v>0</v>
      </c>
      <c r="H4852" s="229">
        <v>0</v>
      </c>
      <c r="I4852" s="229">
        <v>0</v>
      </c>
      <c r="J4852" s="229">
        <v>0</v>
      </c>
    </row>
    <row r="4853" spans="1:10" s="217" customFormat="1">
      <c r="A4853" s="214" t="s">
        <v>175</v>
      </c>
      <c r="B4853" s="214" t="s">
        <v>37</v>
      </c>
      <c r="C4853" s="228">
        <v>0.70208333333333295</v>
      </c>
      <c r="D4853" s="229">
        <v>0</v>
      </c>
      <c r="E4853" s="229">
        <v>0</v>
      </c>
      <c r="F4853" s="229">
        <v>0</v>
      </c>
      <c r="G4853" s="229">
        <v>0</v>
      </c>
      <c r="H4853" s="229">
        <v>0</v>
      </c>
      <c r="I4853" s="229">
        <v>0</v>
      </c>
      <c r="J4853" s="229">
        <v>0</v>
      </c>
    </row>
    <row r="4854" spans="1:10" s="217" customFormat="1">
      <c r="A4854" s="214" t="s">
        <v>175</v>
      </c>
      <c r="B4854" s="214" t="s">
        <v>37</v>
      </c>
      <c r="C4854" s="228">
        <v>0.70277777777777795</v>
      </c>
      <c r="D4854" s="229">
        <v>0</v>
      </c>
      <c r="E4854" s="229">
        <v>0</v>
      </c>
      <c r="F4854" s="229">
        <v>0</v>
      </c>
      <c r="G4854" s="229">
        <v>0</v>
      </c>
      <c r="H4854" s="229">
        <v>0</v>
      </c>
      <c r="I4854" s="229">
        <v>0</v>
      </c>
      <c r="J4854" s="229">
        <v>0</v>
      </c>
    </row>
    <row r="4855" spans="1:10" s="217" customFormat="1">
      <c r="A4855" s="214" t="s">
        <v>175</v>
      </c>
      <c r="B4855" s="214" t="s">
        <v>37</v>
      </c>
      <c r="C4855" s="228">
        <v>0.70347222222222205</v>
      </c>
      <c r="D4855" s="229">
        <v>0</v>
      </c>
      <c r="E4855" s="229">
        <v>0</v>
      </c>
      <c r="F4855" s="229">
        <v>0</v>
      </c>
      <c r="G4855" s="229">
        <v>0</v>
      </c>
      <c r="H4855" s="229">
        <v>0</v>
      </c>
      <c r="I4855" s="229">
        <v>0</v>
      </c>
      <c r="J4855" s="229">
        <v>0</v>
      </c>
    </row>
    <row r="4856" spans="1:10" s="217" customFormat="1">
      <c r="A4856" s="214" t="s">
        <v>175</v>
      </c>
      <c r="B4856" s="214" t="s">
        <v>37</v>
      </c>
      <c r="C4856" s="228">
        <v>0.70416666666666605</v>
      </c>
      <c r="D4856" s="229">
        <v>0</v>
      </c>
      <c r="E4856" s="229">
        <v>0</v>
      </c>
      <c r="F4856" s="229">
        <v>0</v>
      </c>
      <c r="G4856" s="229">
        <v>0</v>
      </c>
      <c r="H4856" s="229">
        <v>0</v>
      </c>
      <c r="I4856" s="229">
        <v>0</v>
      </c>
      <c r="J4856" s="229">
        <v>0</v>
      </c>
    </row>
    <row r="4857" spans="1:10" s="217" customFormat="1">
      <c r="A4857" s="214" t="s">
        <v>175</v>
      </c>
      <c r="B4857" s="214" t="s">
        <v>37</v>
      </c>
      <c r="C4857" s="228">
        <v>0.70486111111111105</v>
      </c>
      <c r="D4857" s="229">
        <v>0</v>
      </c>
      <c r="E4857" s="229">
        <v>0</v>
      </c>
      <c r="F4857" s="229">
        <v>0</v>
      </c>
      <c r="G4857" s="229">
        <v>0</v>
      </c>
      <c r="H4857" s="229">
        <v>0</v>
      </c>
      <c r="I4857" s="229">
        <v>0</v>
      </c>
      <c r="J4857" s="229">
        <v>0</v>
      </c>
    </row>
    <row r="4858" spans="1:10" s="217" customFormat="1">
      <c r="A4858" s="214" t="s">
        <v>175</v>
      </c>
      <c r="B4858" s="214" t="s">
        <v>37</v>
      </c>
      <c r="C4858" s="228">
        <v>0.70555555555555505</v>
      </c>
      <c r="D4858" s="229">
        <v>0</v>
      </c>
      <c r="E4858" s="229">
        <v>0</v>
      </c>
      <c r="F4858" s="229">
        <v>0</v>
      </c>
      <c r="G4858" s="229">
        <v>0</v>
      </c>
      <c r="H4858" s="229">
        <v>0</v>
      </c>
      <c r="I4858" s="229">
        <v>0</v>
      </c>
      <c r="J4858" s="229">
        <v>0</v>
      </c>
    </row>
    <row r="4859" spans="1:10" s="217" customFormat="1">
      <c r="A4859" s="214" t="s">
        <v>175</v>
      </c>
      <c r="B4859" s="214" t="s">
        <v>37</v>
      </c>
      <c r="C4859" s="228">
        <v>0.70625000000000004</v>
      </c>
      <c r="D4859" s="229">
        <v>0</v>
      </c>
      <c r="E4859" s="229">
        <v>0</v>
      </c>
      <c r="F4859" s="229">
        <v>0</v>
      </c>
      <c r="G4859" s="229">
        <v>0</v>
      </c>
      <c r="H4859" s="229">
        <v>0</v>
      </c>
      <c r="I4859" s="229">
        <v>0</v>
      </c>
      <c r="J4859" s="229">
        <v>0</v>
      </c>
    </row>
    <row r="4860" spans="1:10" s="217" customFormat="1">
      <c r="A4860" s="214" t="s">
        <v>175</v>
      </c>
      <c r="B4860" s="214" t="s">
        <v>37</v>
      </c>
      <c r="C4860" s="228">
        <v>0.70694444444444404</v>
      </c>
      <c r="D4860" s="229">
        <v>0</v>
      </c>
      <c r="E4860" s="229">
        <v>0</v>
      </c>
      <c r="F4860" s="229">
        <v>0</v>
      </c>
      <c r="G4860" s="229">
        <v>0</v>
      </c>
      <c r="H4860" s="229">
        <v>0</v>
      </c>
      <c r="I4860" s="229">
        <v>0</v>
      </c>
      <c r="J4860" s="229">
        <v>0</v>
      </c>
    </row>
    <row r="4861" spans="1:10" s="221" customFormat="1">
      <c r="A4861" s="218" t="s">
        <v>175</v>
      </c>
      <c r="B4861" s="218" t="s">
        <v>37</v>
      </c>
      <c r="C4861" s="230">
        <v>0.70763888888888904</v>
      </c>
      <c r="D4861" s="231">
        <v>0</v>
      </c>
      <c r="E4861" s="231">
        <v>0</v>
      </c>
      <c r="F4861" s="231">
        <v>0</v>
      </c>
      <c r="G4861" s="231">
        <v>0</v>
      </c>
      <c r="H4861" s="231">
        <v>0</v>
      </c>
      <c r="I4861" s="231">
        <v>0</v>
      </c>
      <c r="J4861" s="231">
        <v>0</v>
      </c>
    </row>
    <row r="4862" spans="1:10" s="217" customFormat="1">
      <c r="A4862" s="214" t="s">
        <v>175</v>
      </c>
      <c r="B4862" s="214" t="s">
        <v>37</v>
      </c>
      <c r="C4862" s="228">
        <v>0.70833333333333304</v>
      </c>
      <c r="D4862" s="229">
        <v>0</v>
      </c>
      <c r="E4862" s="229">
        <v>0</v>
      </c>
      <c r="F4862" s="229">
        <v>0</v>
      </c>
      <c r="G4862" s="229">
        <v>0</v>
      </c>
      <c r="H4862" s="229">
        <v>0</v>
      </c>
      <c r="I4862" s="229">
        <v>0</v>
      </c>
      <c r="J4862" s="229">
        <v>0</v>
      </c>
    </row>
    <row r="4863" spans="1:10" s="217" customFormat="1">
      <c r="A4863" s="214" t="s">
        <v>175</v>
      </c>
      <c r="B4863" s="214" t="s">
        <v>37</v>
      </c>
      <c r="C4863" s="228">
        <v>0.70902777777777803</v>
      </c>
      <c r="D4863" s="229">
        <v>0</v>
      </c>
      <c r="E4863" s="229">
        <v>0</v>
      </c>
      <c r="F4863" s="229">
        <v>0</v>
      </c>
      <c r="G4863" s="229">
        <v>0</v>
      </c>
      <c r="H4863" s="229">
        <v>0</v>
      </c>
      <c r="I4863" s="229">
        <v>0</v>
      </c>
      <c r="J4863" s="229">
        <v>0</v>
      </c>
    </row>
    <row r="4864" spans="1:10" s="217" customFormat="1">
      <c r="A4864" s="214" t="s">
        <v>175</v>
      </c>
      <c r="B4864" s="214" t="s">
        <v>37</v>
      </c>
      <c r="C4864" s="228">
        <v>0.70972222222222203</v>
      </c>
      <c r="D4864" s="229">
        <v>0</v>
      </c>
      <c r="E4864" s="229">
        <v>0</v>
      </c>
      <c r="F4864" s="229">
        <v>0</v>
      </c>
      <c r="G4864" s="229">
        <v>0</v>
      </c>
      <c r="H4864" s="229">
        <v>0</v>
      </c>
      <c r="I4864" s="229">
        <v>0</v>
      </c>
      <c r="J4864" s="229">
        <v>0</v>
      </c>
    </row>
    <row r="4865" spans="1:10" s="217" customFormat="1">
      <c r="A4865" s="214" t="s">
        <v>175</v>
      </c>
      <c r="B4865" s="214" t="s">
        <v>37</v>
      </c>
      <c r="C4865" s="228">
        <v>0.71041666666666603</v>
      </c>
      <c r="D4865" s="229">
        <v>0</v>
      </c>
      <c r="E4865" s="229">
        <v>0</v>
      </c>
      <c r="F4865" s="229">
        <v>0</v>
      </c>
      <c r="G4865" s="229">
        <v>0</v>
      </c>
      <c r="H4865" s="229">
        <v>0</v>
      </c>
      <c r="I4865" s="229">
        <v>0</v>
      </c>
      <c r="J4865" s="229">
        <v>0</v>
      </c>
    </row>
    <row r="4866" spans="1:10" s="217" customFormat="1">
      <c r="A4866" s="214" t="s">
        <v>175</v>
      </c>
      <c r="B4866" s="214" t="s">
        <v>37</v>
      </c>
      <c r="C4866" s="228">
        <v>0.71111111111111103</v>
      </c>
      <c r="D4866" s="229">
        <v>0</v>
      </c>
      <c r="E4866" s="229">
        <v>0</v>
      </c>
      <c r="F4866" s="229">
        <v>0</v>
      </c>
      <c r="G4866" s="229">
        <v>0</v>
      </c>
      <c r="H4866" s="229">
        <v>0</v>
      </c>
      <c r="I4866" s="229">
        <v>0</v>
      </c>
      <c r="J4866" s="229">
        <v>0</v>
      </c>
    </row>
    <row r="4867" spans="1:10" s="217" customFormat="1">
      <c r="A4867" s="214" t="s">
        <v>175</v>
      </c>
      <c r="B4867" s="214" t="s">
        <v>37</v>
      </c>
      <c r="C4867" s="228">
        <v>0.71180555555555503</v>
      </c>
      <c r="D4867" s="229">
        <v>0</v>
      </c>
      <c r="E4867" s="229">
        <v>0</v>
      </c>
      <c r="F4867" s="229">
        <v>0</v>
      </c>
      <c r="G4867" s="229">
        <v>0</v>
      </c>
      <c r="H4867" s="229">
        <v>0</v>
      </c>
      <c r="I4867" s="229">
        <v>0</v>
      </c>
      <c r="J4867" s="229">
        <v>0</v>
      </c>
    </row>
    <row r="4868" spans="1:10" s="217" customFormat="1">
      <c r="A4868" s="214" t="s">
        <v>175</v>
      </c>
      <c r="B4868" s="214" t="s">
        <v>37</v>
      </c>
      <c r="C4868" s="228">
        <v>0.71250000000000002</v>
      </c>
      <c r="D4868" s="229">
        <v>0</v>
      </c>
      <c r="E4868" s="229">
        <v>0</v>
      </c>
      <c r="F4868" s="229">
        <v>0</v>
      </c>
      <c r="G4868" s="229">
        <v>0</v>
      </c>
      <c r="H4868" s="229">
        <v>0</v>
      </c>
      <c r="I4868" s="229">
        <v>0</v>
      </c>
      <c r="J4868" s="229">
        <v>0</v>
      </c>
    </row>
    <row r="4869" spans="1:10" s="217" customFormat="1">
      <c r="A4869" s="214" t="s">
        <v>175</v>
      </c>
      <c r="B4869" s="214" t="s">
        <v>37</v>
      </c>
      <c r="C4869" s="228">
        <v>0.71319444444444402</v>
      </c>
      <c r="D4869" s="229">
        <v>0</v>
      </c>
      <c r="E4869" s="229">
        <v>0</v>
      </c>
      <c r="F4869" s="229">
        <v>0</v>
      </c>
      <c r="G4869" s="229">
        <v>0</v>
      </c>
      <c r="H4869" s="229">
        <v>0</v>
      </c>
      <c r="I4869" s="229">
        <v>0</v>
      </c>
      <c r="J4869" s="229">
        <v>0</v>
      </c>
    </row>
    <row r="4870" spans="1:10" s="217" customFormat="1">
      <c r="A4870" s="214" t="s">
        <v>175</v>
      </c>
      <c r="B4870" s="214" t="s">
        <v>37</v>
      </c>
      <c r="C4870" s="228">
        <v>0.71388888888888902</v>
      </c>
      <c r="D4870" s="229">
        <v>0</v>
      </c>
      <c r="E4870" s="229">
        <v>0</v>
      </c>
      <c r="F4870" s="229">
        <v>0</v>
      </c>
      <c r="G4870" s="229">
        <v>0</v>
      </c>
      <c r="H4870" s="229">
        <v>0</v>
      </c>
      <c r="I4870" s="229">
        <v>0</v>
      </c>
      <c r="J4870" s="229">
        <v>0</v>
      </c>
    </row>
    <row r="4871" spans="1:10" s="217" customFormat="1">
      <c r="A4871" s="214" t="s">
        <v>175</v>
      </c>
      <c r="B4871" s="214" t="s">
        <v>37</v>
      </c>
      <c r="C4871" s="228">
        <v>0.71458333333333302</v>
      </c>
      <c r="D4871" s="229">
        <v>0</v>
      </c>
      <c r="E4871" s="229">
        <v>0</v>
      </c>
      <c r="F4871" s="229">
        <v>0</v>
      </c>
      <c r="G4871" s="229">
        <v>0</v>
      </c>
      <c r="H4871" s="229">
        <v>0</v>
      </c>
      <c r="I4871" s="229">
        <v>0</v>
      </c>
      <c r="J4871" s="229">
        <v>0</v>
      </c>
    </row>
    <row r="4872" spans="1:10" s="217" customFormat="1">
      <c r="A4872" s="214" t="s">
        <v>175</v>
      </c>
      <c r="B4872" s="214" t="s">
        <v>37</v>
      </c>
      <c r="C4872" s="228">
        <v>0.71527777777777801</v>
      </c>
      <c r="D4872" s="229">
        <v>0</v>
      </c>
      <c r="E4872" s="229">
        <v>0</v>
      </c>
      <c r="F4872" s="229">
        <v>0</v>
      </c>
      <c r="G4872" s="229">
        <v>0</v>
      </c>
      <c r="H4872" s="229">
        <v>0</v>
      </c>
      <c r="I4872" s="229">
        <v>0</v>
      </c>
      <c r="J4872" s="229">
        <v>0</v>
      </c>
    </row>
    <row r="4873" spans="1:10" s="217" customFormat="1">
      <c r="A4873" s="214" t="s">
        <v>175</v>
      </c>
      <c r="B4873" s="214" t="s">
        <v>37</v>
      </c>
      <c r="C4873" s="228">
        <v>0.71597222222222201</v>
      </c>
      <c r="D4873" s="229">
        <v>0</v>
      </c>
      <c r="E4873" s="229">
        <v>0</v>
      </c>
      <c r="F4873" s="229">
        <v>0</v>
      </c>
      <c r="G4873" s="229">
        <v>0</v>
      </c>
      <c r="H4873" s="229">
        <v>0</v>
      </c>
      <c r="I4873" s="229">
        <v>0</v>
      </c>
      <c r="J4873" s="229">
        <v>0</v>
      </c>
    </row>
    <row r="4874" spans="1:10" s="217" customFormat="1">
      <c r="A4874" s="214" t="s">
        <v>175</v>
      </c>
      <c r="B4874" s="214" t="s">
        <v>37</v>
      </c>
      <c r="C4874" s="228">
        <v>0.71666666666666601</v>
      </c>
      <c r="D4874" s="229">
        <v>0</v>
      </c>
      <c r="E4874" s="229">
        <v>0</v>
      </c>
      <c r="F4874" s="229">
        <v>0</v>
      </c>
      <c r="G4874" s="229">
        <v>0</v>
      </c>
      <c r="H4874" s="229">
        <v>0</v>
      </c>
      <c r="I4874" s="229">
        <v>0</v>
      </c>
      <c r="J4874" s="229">
        <v>0</v>
      </c>
    </row>
    <row r="4875" spans="1:10" s="217" customFormat="1">
      <c r="A4875" s="214" t="s">
        <v>175</v>
      </c>
      <c r="B4875" s="214" t="s">
        <v>37</v>
      </c>
      <c r="C4875" s="228">
        <v>0.71736111111111101</v>
      </c>
      <c r="D4875" s="229">
        <v>0</v>
      </c>
      <c r="E4875" s="229">
        <v>0</v>
      </c>
      <c r="F4875" s="229">
        <v>0</v>
      </c>
      <c r="G4875" s="229">
        <v>0</v>
      </c>
      <c r="H4875" s="229">
        <v>0</v>
      </c>
      <c r="I4875" s="229">
        <v>0</v>
      </c>
      <c r="J4875" s="229">
        <v>0</v>
      </c>
    </row>
    <row r="4876" spans="1:10" s="221" customFormat="1">
      <c r="A4876" s="218" t="s">
        <v>175</v>
      </c>
      <c r="B4876" s="218" t="s">
        <v>37</v>
      </c>
      <c r="C4876" s="230">
        <v>0.718055555555555</v>
      </c>
      <c r="D4876" s="231">
        <v>0</v>
      </c>
      <c r="E4876" s="231">
        <v>0</v>
      </c>
      <c r="F4876" s="231">
        <v>0</v>
      </c>
      <c r="G4876" s="231">
        <v>0</v>
      </c>
      <c r="H4876" s="231">
        <v>0</v>
      </c>
      <c r="I4876" s="231">
        <v>0</v>
      </c>
      <c r="J4876" s="231">
        <v>0</v>
      </c>
    </row>
    <row r="4877" spans="1:10" s="217" customFormat="1">
      <c r="A4877" s="214" t="s">
        <v>175</v>
      </c>
      <c r="B4877" s="214" t="s">
        <v>37</v>
      </c>
      <c r="C4877" s="228">
        <v>0.71875</v>
      </c>
      <c r="D4877" s="229">
        <v>0</v>
      </c>
      <c r="E4877" s="229">
        <v>0</v>
      </c>
      <c r="F4877" s="229">
        <v>0</v>
      </c>
      <c r="G4877" s="229">
        <v>0</v>
      </c>
      <c r="H4877" s="229">
        <v>0</v>
      </c>
      <c r="I4877" s="229">
        <v>0</v>
      </c>
      <c r="J4877" s="229">
        <v>0</v>
      </c>
    </row>
    <row r="4878" spans="1:10" s="217" customFormat="1">
      <c r="A4878" s="214" t="s">
        <v>175</v>
      </c>
      <c r="B4878" s="214" t="s">
        <v>37</v>
      </c>
      <c r="C4878" s="228">
        <v>0.719444444444444</v>
      </c>
      <c r="D4878" s="229">
        <v>0</v>
      </c>
      <c r="E4878" s="229">
        <v>0</v>
      </c>
      <c r="F4878" s="229">
        <v>0</v>
      </c>
      <c r="G4878" s="229">
        <v>0</v>
      </c>
      <c r="H4878" s="229">
        <v>0</v>
      </c>
      <c r="I4878" s="229">
        <v>0</v>
      </c>
      <c r="J4878" s="229">
        <v>0</v>
      </c>
    </row>
    <row r="4879" spans="1:10" s="217" customFormat="1">
      <c r="A4879" s="214" t="s">
        <v>175</v>
      </c>
      <c r="B4879" s="214" t="s">
        <v>37</v>
      </c>
      <c r="C4879" s="228">
        <v>0.72013888888888899</v>
      </c>
      <c r="D4879" s="229">
        <v>0</v>
      </c>
      <c r="E4879" s="229">
        <v>0</v>
      </c>
      <c r="F4879" s="229">
        <v>0</v>
      </c>
      <c r="G4879" s="229">
        <v>0</v>
      </c>
      <c r="H4879" s="229">
        <v>0</v>
      </c>
      <c r="I4879" s="229">
        <v>0</v>
      </c>
      <c r="J4879" s="229">
        <v>0</v>
      </c>
    </row>
    <row r="4880" spans="1:10" s="217" customFormat="1">
      <c r="A4880" s="214" t="s">
        <v>175</v>
      </c>
      <c r="B4880" s="214" t="s">
        <v>37</v>
      </c>
      <c r="C4880" s="228">
        <v>0.72083333333333299</v>
      </c>
      <c r="D4880" s="229">
        <v>0</v>
      </c>
      <c r="E4880" s="229">
        <v>0</v>
      </c>
      <c r="F4880" s="229">
        <v>0</v>
      </c>
      <c r="G4880" s="229">
        <v>0</v>
      </c>
      <c r="H4880" s="229">
        <v>0</v>
      </c>
      <c r="I4880" s="229">
        <v>0</v>
      </c>
      <c r="J4880" s="229">
        <v>0</v>
      </c>
    </row>
    <row r="4881" spans="1:10" s="217" customFormat="1">
      <c r="A4881" s="214" t="s">
        <v>175</v>
      </c>
      <c r="B4881" s="214" t="s">
        <v>37</v>
      </c>
      <c r="C4881" s="228">
        <v>0.72152777777777799</v>
      </c>
      <c r="D4881" s="229">
        <v>0</v>
      </c>
      <c r="E4881" s="229">
        <v>0</v>
      </c>
      <c r="F4881" s="229">
        <v>0</v>
      </c>
      <c r="G4881" s="229">
        <v>0</v>
      </c>
      <c r="H4881" s="229">
        <v>0</v>
      </c>
      <c r="I4881" s="229">
        <v>0</v>
      </c>
      <c r="J4881" s="229">
        <v>0</v>
      </c>
    </row>
    <row r="4882" spans="1:10" s="217" customFormat="1">
      <c r="A4882" s="214" t="s">
        <v>175</v>
      </c>
      <c r="B4882" s="214" t="s">
        <v>37</v>
      </c>
      <c r="C4882" s="228">
        <v>0.72222222222222199</v>
      </c>
      <c r="D4882" s="229">
        <v>0</v>
      </c>
      <c r="E4882" s="229">
        <v>0</v>
      </c>
      <c r="F4882" s="229">
        <v>0</v>
      </c>
      <c r="G4882" s="229">
        <v>0</v>
      </c>
      <c r="H4882" s="229">
        <v>0</v>
      </c>
      <c r="I4882" s="229">
        <v>0</v>
      </c>
      <c r="J4882" s="229">
        <v>0</v>
      </c>
    </row>
    <row r="4883" spans="1:10" s="217" customFormat="1">
      <c r="A4883" s="214" t="s">
        <v>175</v>
      </c>
      <c r="B4883" s="214" t="s">
        <v>37</v>
      </c>
      <c r="C4883" s="228">
        <v>0.72291666666666599</v>
      </c>
      <c r="D4883" s="229">
        <v>0</v>
      </c>
      <c r="E4883" s="229">
        <v>0</v>
      </c>
      <c r="F4883" s="229">
        <v>0</v>
      </c>
      <c r="G4883" s="229">
        <v>0</v>
      </c>
      <c r="H4883" s="229">
        <v>0</v>
      </c>
      <c r="I4883" s="229">
        <v>0</v>
      </c>
      <c r="J4883" s="229">
        <v>0</v>
      </c>
    </row>
    <row r="4884" spans="1:10" s="217" customFormat="1">
      <c r="A4884" s="214" t="s">
        <v>175</v>
      </c>
      <c r="B4884" s="214" t="s">
        <v>37</v>
      </c>
      <c r="C4884" s="228">
        <v>0.72361111111111098</v>
      </c>
      <c r="D4884" s="229">
        <v>0</v>
      </c>
      <c r="E4884" s="229">
        <v>0</v>
      </c>
      <c r="F4884" s="229">
        <v>0</v>
      </c>
      <c r="G4884" s="229">
        <v>0</v>
      </c>
      <c r="H4884" s="229">
        <v>0</v>
      </c>
      <c r="I4884" s="229">
        <v>0</v>
      </c>
      <c r="J4884" s="229">
        <v>0</v>
      </c>
    </row>
    <row r="4885" spans="1:10" s="217" customFormat="1">
      <c r="A4885" s="214" t="s">
        <v>175</v>
      </c>
      <c r="B4885" s="214" t="s">
        <v>37</v>
      </c>
      <c r="C4885" s="228">
        <v>0.72430555555555498</v>
      </c>
      <c r="D4885" s="229">
        <v>0</v>
      </c>
      <c r="E4885" s="229">
        <v>0</v>
      </c>
      <c r="F4885" s="229">
        <v>0</v>
      </c>
      <c r="G4885" s="229">
        <v>0</v>
      </c>
      <c r="H4885" s="229">
        <v>0</v>
      </c>
      <c r="I4885" s="229">
        <v>0</v>
      </c>
      <c r="J4885" s="229">
        <v>0</v>
      </c>
    </row>
    <row r="4886" spans="1:10" s="217" customFormat="1">
      <c r="A4886" s="214" t="s">
        <v>175</v>
      </c>
      <c r="B4886" s="214" t="s">
        <v>37</v>
      </c>
      <c r="C4886" s="228">
        <v>0.72499999999999998</v>
      </c>
      <c r="D4886" s="229">
        <v>0</v>
      </c>
      <c r="E4886" s="229">
        <v>0</v>
      </c>
      <c r="F4886" s="229">
        <v>0</v>
      </c>
      <c r="G4886" s="229">
        <v>0</v>
      </c>
      <c r="H4886" s="229">
        <v>0</v>
      </c>
      <c r="I4886" s="229">
        <v>0</v>
      </c>
      <c r="J4886" s="229">
        <v>0</v>
      </c>
    </row>
    <row r="4887" spans="1:10" s="217" customFormat="1">
      <c r="A4887" s="214" t="s">
        <v>175</v>
      </c>
      <c r="B4887" s="214" t="s">
        <v>37</v>
      </c>
      <c r="C4887" s="228">
        <v>0.72569444444444398</v>
      </c>
      <c r="D4887" s="229">
        <v>0</v>
      </c>
      <c r="E4887" s="229">
        <v>0</v>
      </c>
      <c r="F4887" s="229">
        <v>0</v>
      </c>
      <c r="G4887" s="229">
        <v>0</v>
      </c>
      <c r="H4887" s="229">
        <v>0</v>
      </c>
      <c r="I4887" s="229">
        <v>0</v>
      </c>
      <c r="J4887" s="229">
        <v>0</v>
      </c>
    </row>
    <row r="4888" spans="1:10" s="217" customFormat="1">
      <c r="A4888" s="214" t="s">
        <v>175</v>
      </c>
      <c r="B4888" s="214" t="s">
        <v>37</v>
      </c>
      <c r="C4888" s="228">
        <v>0.72638888888888897</v>
      </c>
      <c r="D4888" s="229">
        <v>0</v>
      </c>
      <c r="E4888" s="229">
        <v>0</v>
      </c>
      <c r="F4888" s="229">
        <v>0</v>
      </c>
      <c r="G4888" s="229">
        <v>0</v>
      </c>
      <c r="H4888" s="229">
        <v>0</v>
      </c>
      <c r="I4888" s="229">
        <v>0</v>
      </c>
      <c r="J4888" s="229">
        <v>0</v>
      </c>
    </row>
    <row r="4889" spans="1:10" s="217" customFormat="1">
      <c r="A4889" s="214" t="s">
        <v>175</v>
      </c>
      <c r="B4889" s="214" t="s">
        <v>37</v>
      </c>
      <c r="C4889" s="228">
        <v>0.72708333333333297</v>
      </c>
      <c r="D4889" s="229">
        <v>0</v>
      </c>
      <c r="E4889" s="229">
        <v>0</v>
      </c>
      <c r="F4889" s="229">
        <v>0</v>
      </c>
      <c r="G4889" s="229">
        <v>0</v>
      </c>
      <c r="H4889" s="229">
        <v>0</v>
      </c>
      <c r="I4889" s="229">
        <v>0</v>
      </c>
      <c r="J4889" s="229">
        <v>0</v>
      </c>
    </row>
    <row r="4890" spans="1:10" s="217" customFormat="1">
      <c r="A4890" s="214" t="s">
        <v>175</v>
      </c>
      <c r="B4890" s="214" t="s">
        <v>37</v>
      </c>
      <c r="C4890" s="228">
        <v>0.72777777777777797</v>
      </c>
      <c r="D4890" s="229">
        <v>0</v>
      </c>
      <c r="E4890" s="229">
        <v>0</v>
      </c>
      <c r="F4890" s="229">
        <v>0</v>
      </c>
      <c r="G4890" s="229">
        <v>0</v>
      </c>
      <c r="H4890" s="229">
        <v>0</v>
      </c>
      <c r="I4890" s="229">
        <v>0</v>
      </c>
      <c r="J4890" s="229">
        <v>0</v>
      </c>
    </row>
    <row r="4891" spans="1:10" s="221" customFormat="1">
      <c r="A4891" s="218" t="s">
        <v>175</v>
      </c>
      <c r="B4891" s="218" t="s">
        <v>37</v>
      </c>
      <c r="C4891" s="230">
        <v>0.72847222222222197</v>
      </c>
      <c r="D4891" s="231">
        <v>0</v>
      </c>
      <c r="E4891" s="231">
        <v>0</v>
      </c>
      <c r="F4891" s="231">
        <v>0</v>
      </c>
      <c r="G4891" s="231">
        <v>0</v>
      </c>
      <c r="H4891" s="231">
        <v>0</v>
      </c>
      <c r="I4891" s="231">
        <v>0</v>
      </c>
      <c r="J4891" s="231">
        <v>0</v>
      </c>
    </row>
    <row r="4892" spans="1:10" s="217" customFormat="1">
      <c r="A4892" s="214" t="s">
        <v>175</v>
      </c>
      <c r="B4892" s="214" t="s">
        <v>37</v>
      </c>
      <c r="C4892" s="228">
        <v>0.72916666666666596</v>
      </c>
      <c r="D4892" s="229">
        <v>0</v>
      </c>
      <c r="E4892" s="229">
        <v>0</v>
      </c>
      <c r="F4892" s="229">
        <v>0</v>
      </c>
      <c r="G4892" s="229">
        <v>0</v>
      </c>
      <c r="H4892" s="229">
        <v>0</v>
      </c>
      <c r="I4892" s="229">
        <v>0</v>
      </c>
      <c r="J4892" s="229">
        <v>0</v>
      </c>
    </row>
    <row r="4893" spans="1:10" s="217" customFormat="1">
      <c r="A4893" s="214" t="s">
        <v>175</v>
      </c>
      <c r="B4893" s="214" t="s">
        <v>37</v>
      </c>
      <c r="C4893" s="228">
        <v>0.72986111111111096</v>
      </c>
      <c r="D4893" s="229">
        <v>0</v>
      </c>
      <c r="E4893" s="229">
        <v>0</v>
      </c>
      <c r="F4893" s="229">
        <v>0</v>
      </c>
      <c r="G4893" s="229">
        <v>0</v>
      </c>
      <c r="H4893" s="229">
        <v>0</v>
      </c>
      <c r="I4893" s="229">
        <v>0</v>
      </c>
      <c r="J4893" s="229">
        <v>0</v>
      </c>
    </row>
    <row r="4894" spans="1:10" s="217" customFormat="1">
      <c r="A4894" s="214" t="s">
        <v>175</v>
      </c>
      <c r="B4894" s="214" t="s">
        <v>37</v>
      </c>
      <c r="C4894" s="228">
        <v>0.73055555555555496</v>
      </c>
      <c r="D4894" s="229">
        <v>0</v>
      </c>
      <c r="E4894" s="229">
        <v>0</v>
      </c>
      <c r="F4894" s="229">
        <v>0</v>
      </c>
      <c r="G4894" s="229">
        <v>0</v>
      </c>
      <c r="H4894" s="229">
        <v>0</v>
      </c>
      <c r="I4894" s="229">
        <v>0</v>
      </c>
      <c r="J4894" s="229">
        <v>0</v>
      </c>
    </row>
    <row r="4895" spans="1:10" s="217" customFormat="1">
      <c r="A4895" s="214" t="s">
        <v>175</v>
      </c>
      <c r="B4895" s="214" t="s">
        <v>37</v>
      </c>
      <c r="C4895" s="228">
        <v>0.73124999999999996</v>
      </c>
      <c r="D4895" s="229">
        <v>0</v>
      </c>
      <c r="E4895" s="229">
        <v>0</v>
      </c>
      <c r="F4895" s="229">
        <v>0</v>
      </c>
      <c r="G4895" s="229">
        <v>0</v>
      </c>
      <c r="H4895" s="229">
        <v>0</v>
      </c>
      <c r="I4895" s="229">
        <v>0</v>
      </c>
      <c r="J4895" s="229">
        <v>0</v>
      </c>
    </row>
    <row r="4896" spans="1:10" s="217" customFormat="1">
      <c r="A4896" s="214" t="s">
        <v>175</v>
      </c>
      <c r="B4896" s="214" t="s">
        <v>37</v>
      </c>
      <c r="C4896" s="228">
        <v>0.73194444444444395</v>
      </c>
      <c r="D4896" s="229">
        <v>0</v>
      </c>
      <c r="E4896" s="229">
        <v>0</v>
      </c>
      <c r="F4896" s="229">
        <v>0</v>
      </c>
      <c r="G4896" s="229">
        <v>0</v>
      </c>
      <c r="H4896" s="229">
        <v>0</v>
      </c>
      <c r="I4896" s="229">
        <v>0</v>
      </c>
      <c r="J4896" s="229">
        <v>0</v>
      </c>
    </row>
    <row r="4897" spans="1:10" s="217" customFormat="1">
      <c r="A4897" s="214" t="s">
        <v>175</v>
      </c>
      <c r="B4897" s="214" t="s">
        <v>37</v>
      </c>
      <c r="C4897" s="228">
        <v>0.73263888888888895</v>
      </c>
      <c r="D4897" s="229">
        <v>0</v>
      </c>
      <c r="E4897" s="229">
        <v>0</v>
      </c>
      <c r="F4897" s="229">
        <v>0</v>
      </c>
      <c r="G4897" s="229">
        <v>0</v>
      </c>
      <c r="H4897" s="229">
        <v>0</v>
      </c>
      <c r="I4897" s="229">
        <v>0</v>
      </c>
      <c r="J4897" s="229">
        <v>0</v>
      </c>
    </row>
    <row r="4898" spans="1:10" s="217" customFormat="1">
      <c r="A4898" s="214" t="s">
        <v>175</v>
      </c>
      <c r="B4898" s="214" t="s">
        <v>37</v>
      </c>
      <c r="C4898" s="228">
        <v>0.73333333333333295</v>
      </c>
      <c r="D4898" s="229">
        <v>0</v>
      </c>
      <c r="E4898" s="229">
        <v>0</v>
      </c>
      <c r="F4898" s="229">
        <v>0</v>
      </c>
      <c r="G4898" s="229">
        <v>0</v>
      </c>
      <c r="H4898" s="229">
        <v>0</v>
      </c>
      <c r="I4898" s="229">
        <v>0</v>
      </c>
      <c r="J4898" s="229">
        <v>0</v>
      </c>
    </row>
    <row r="4899" spans="1:10" s="217" customFormat="1">
      <c r="A4899" s="214" t="s">
        <v>175</v>
      </c>
      <c r="B4899" s="214" t="s">
        <v>37</v>
      </c>
      <c r="C4899" s="228">
        <v>0.73402777777777795</v>
      </c>
      <c r="D4899" s="229">
        <v>0</v>
      </c>
      <c r="E4899" s="229">
        <v>0</v>
      </c>
      <c r="F4899" s="229">
        <v>0</v>
      </c>
      <c r="G4899" s="229">
        <v>0</v>
      </c>
      <c r="H4899" s="229">
        <v>0</v>
      </c>
      <c r="I4899" s="229">
        <v>0</v>
      </c>
      <c r="J4899" s="229">
        <v>0</v>
      </c>
    </row>
    <row r="4900" spans="1:10" s="217" customFormat="1">
      <c r="A4900" s="214" t="s">
        <v>175</v>
      </c>
      <c r="B4900" s="214" t="s">
        <v>37</v>
      </c>
      <c r="C4900" s="228">
        <v>0.73472222222222205</v>
      </c>
      <c r="D4900" s="229">
        <v>0</v>
      </c>
      <c r="E4900" s="229">
        <v>0</v>
      </c>
      <c r="F4900" s="229">
        <v>0</v>
      </c>
      <c r="G4900" s="229">
        <v>0</v>
      </c>
      <c r="H4900" s="229">
        <v>0</v>
      </c>
      <c r="I4900" s="229">
        <v>0</v>
      </c>
      <c r="J4900" s="229">
        <v>0</v>
      </c>
    </row>
    <row r="4901" spans="1:10" s="217" customFormat="1">
      <c r="A4901" s="214" t="s">
        <v>175</v>
      </c>
      <c r="B4901" s="214" t="s">
        <v>37</v>
      </c>
      <c r="C4901" s="228">
        <v>0.73541666666666605</v>
      </c>
      <c r="D4901" s="229">
        <v>0</v>
      </c>
      <c r="E4901" s="229">
        <v>0</v>
      </c>
      <c r="F4901" s="229">
        <v>0</v>
      </c>
      <c r="G4901" s="229">
        <v>0</v>
      </c>
      <c r="H4901" s="229">
        <v>0</v>
      </c>
      <c r="I4901" s="229">
        <v>0</v>
      </c>
      <c r="J4901" s="229">
        <v>0</v>
      </c>
    </row>
    <row r="4902" spans="1:10" s="217" customFormat="1">
      <c r="A4902" s="214" t="s">
        <v>175</v>
      </c>
      <c r="B4902" s="214" t="s">
        <v>37</v>
      </c>
      <c r="C4902" s="228">
        <v>0.73611111111111105</v>
      </c>
      <c r="D4902" s="229">
        <v>0</v>
      </c>
      <c r="E4902" s="229">
        <v>0</v>
      </c>
      <c r="F4902" s="229">
        <v>0</v>
      </c>
      <c r="G4902" s="229">
        <v>0</v>
      </c>
      <c r="H4902" s="229">
        <v>0</v>
      </c>
      <c r="I4902" s="229">
        <v>0</v>
      </c>
      <c r="J4902" s="229">
        <v>0</v>
      </c>
    </row>
    <row r="4903" spans="1:10" s="217" customFormat="1">
      <c r="A4903" s="214" t="s">
        <v>175</v>
      </c>
      <c r="B4903" s="214" t="s">
        <v>37</v>
      </c>
      <c r="C4903" s="228">
        <v>0.73680555555555505</v>
      </c>
      <c r="D4903" s="229">
        <v>0</v>
      </c>
      <c r="E4903" s="229">
        <v>0</v>
      </c>
      <c r="F4903" s="229">
        <v>0</v>
      </c>
      <c r="G4903" s="229">
        <v>0</v>
      </c>
      <c r="H4903" s="229">
        <v>0</v>
      </c>
      <c r="I4903" s="229">
        <v>0</v>
      </c>
      <c r="J4903" s="229">
        <v>0</v>
      </c>
    </row>
    <row r="4904" spans="1:10" s="217" customFormat="1">
      <c r="A4904" s="214" t="s">
        <v>175</v>
      </c>
      <c r="B4904" s="214" t="s">
        <v>37</v>
      </c>
      <c r="C4904" s="228">
        <v>0.73750000000000004</v>
      </c>
      <c r="D4904" s="229">
        <v>0</v>
      </c>
      <c r="E4904" s="229">
        <v>0</v>
      </c>
      <c r="F4904" s="229">
        <v>0</v>
      </c>
      <c r="G4904" s="229">
        <v>0</v>
      </c>
      <c r="H4904" s="229">
        <v>0</v>
      </c>
      <c r="I4904" s="229">
        <v>0</v>
      </c>
      <c r="J4904" s="229">
        <v>0</v>
      </c>
    </row>
    <row r="4905" spans="1:10" s="217" customFormat="1">
      <c r="A4905" s="214" t="s">
        <v>175</v>
      </c>
      <c r="B4905" s="214" t="s">
        <v>37</v>
      </c>
      <c r="C4905" s="228">
        <v>0.73819444444444404</v>
      </c>
      <c r="D4905" s="229">
        <v>0</v>
      </c>
      <c r="E4905" s="229">
        <v>0</v>
      </c>
      <c r="F4905" s="229">
        <v>0</v>
      </c>
      <c r="G4905" s="229">
        <v>0</v>
      </c>
      <c r="H4905" s="229">
        <v>0</v>
      </c>
      <c r="I4905" s="229">
        <v>0</v>
      </c>
      <c r="J4905" s="229">
        <v>0</v>
      </c>
    </row>
    <row r="4906" spans="1:10" s="221" customFormat="1">
      <c r="A4906" s="218" t="s">
        <v>175</v>
      </c>
      <c r="B4906" s="218" t="s">
        <v>37</v>
      </c>
      <c r="C4906" s="230">
        <v>0.73888888888888904</v>
      </c>
      <c r="D4906" s="231">
        <v>0</v>
      </c>
      <c r="E4906" s="231">
        <v>0</v>
      </c>
      <c r="F4906" s="231">
        <v>0</v>
      </c>
      <c r="G4906" s="231">
        <v>0</v>
      </c>
      <c r="H4906" s="231">
        <v>0</v>
      </c>
      <c r="I4906" s="231">
        <v>0</v>
      </c>
      <c r="J4906" s="231">
        <v>0</v>
      </c>
    </row>
    <row r="4907" spans="1:10" s="217" customFormat="1">
      <c r="A4907" s="214" t="s">
        <v>175</v>
      </c>
      <c r="B4907" s="214" t="s">
        <v>37</v>
      </c>
      <c r="C4907" s="228">
        <v>0.73958333333333304</v>
      </c>
      <c r="D4907" s="229">
        <v>0</v>
      </c>
      <c r="E4907" s="229">
        <v>0</v>
      </c>
      <c r="F4907" s="229">
        <v>0</v>
      </c>
      <c r="G4907" s="229">
        <v>0</v>
      </c>
      <c r="H4907" s="229">
        <v>0</v>
      </c>
      <c r="I4907" s="229">
        <v>0</v>
      </c>
      <c r="J4907" s="229">
        <v>0</v>
      </c>
    </row>
    <row r="4908" spans="1:10" s="217" customFormat="1">
      <c r="A4908" s="214" t="s">
        <v>175</v>
      </c>
      <c r="B4908" s="214" t="s">
        <v>37</v>
      </c>
      <c r="C4908" s="228">
        <v>0.74027777777777704</v>
      </c>
      <c r="D4908" s="229">
        <v>0</v>
      </c>
      <c r="E4908" s="229">
        <v>0</v>
      </c>
      <c r="F4908" s="229">
        <v>0</v>
      </c>
      <c r="G4908" s="229">
        <v>0</v>
      </c>
      <c r="H4908" s="229">
        <v>0</v>
      </c>
      <c r="I4908" s="229">
        <v>0</v>
      </c>
      <c r="J4908" s="229">
        <v>0</v>
      </c>
    </row>
    <row r="4909" spans="1:10" s="217" customFormat="1">
      <c r="A4909" s="214" t="s">
        <v>175</v>
      </c>
      <c r="B4909" s="214" t="s">
        <v>37</v>
      </c>
      <c r="C4909" s="228">
        <v>0.74097222222222203</v>
      </c>
      <c r="D4909" s="229">
        <v>0</v>
      </c>
      <c r="E4909" s="229">
        <v>0</v>
      </c>
      <c r="F4909" s="229">
        <v>0</v>
      </c>
      <c r="G4909" s="229">
        <v>0</v>
      </c>
      <c r="H4909" s="229">
        <v>0</v>
      </c>
      <c r="I4909" s="229">
        <v>0</v>
      </c>
      <c r="J4909" s="229">
        <v>0</v>
      </c>
    </row>
    <row r="4910" spans="1:10" s="217" customFormat="1">
      <c r="A4910" s="214" t="s">
        <v>175</v>
      </c>
      <c r="B4910" s="214" t="s">
        <v>37</v>
      </c>
      <c r="C4910" s="228">
        <v>0.74166666666666603</v>
      </c>
      <c r="D4910" s="229">
        <v>0</v>
      </c>
      <c r="E4910" s="229">
        <v>0</v>
      </c>
      <c r="F4910" s="229">
        <v>0</v>
      </c>
      <c r="G4910" s="229">
        <v>0</v>
      </c>
      <c r="H4910" s="229">
        <v>0</v>
      </c>
      <c r="I4910" s="229">
        <v>0</v>
      </c>
      <c r="J4910" s="229">
        <v>0</v>
      </c>
    </row>
    <row r="4911" spans="1:10" s="217" customFormat="1">
      <c r="A4911" s="214" t="s">
        <v>175</v>
      </c>
      <c r="B4911" s="214" t="s">
        <v>37</v>
      </c>
      <c r="C4911" s="228">
        <v>0.74236111111111103</v>
      </c>
      <c r="D4911" s="229">
        <v>0</v>
      </c>
      <c r="E4911" s="229">
        <v>0</v>
      </c>
      <c r="F4911" s="229">
        <v>0</v>
      </c>
      <c r="G4911" s="229">
        <v>0</v>
      </c>
      <c r="H4911" s="229">
        <v>0</v>
      </c>
      <c r="I4911" s="229">
        <v>0</v>
      </c>
      <c r="J4911" s="229">
        <v>0</v>
      </c>
    </row>
    <row r="4912" spans="1:10" s="217" customFormat="1">
      <c r="A4912" s="214" t="s">
        <v>175</v>
      </c>
      <c r="B4912" s="214" t="s">
        <v>37</v>
      </c>
      <c r="C4912" s="228">
        <v>0.74305555555555503</v>
      </c>
      <c r="D4912" s="229">
        <v>0</v>
      </c>
      <c r="E4912" s="229">
        <v>0</v>
      </c>
      <c r="F4912" s="229">
        <v>0</v>
      </c>
      <c r="G4912" s="229">
        <v>0</v>
      </c>
      <c r="H4912" s="229">
        <v>0</v>
      </c>
      <c r="I4912" s="229">
        <v>0</v>
      </c>
      <c r="J4912" s="229">
        <v>0</v>
      </c>
    </row>
    <row r="4913" spans="1:10" s="217" customFormat="1">
      <c r="A4913" s="214" t="s">
        <v>175</v>
      </c>
      <c r="B4913" s="214" t="s">
        <v>37</v>
      </c>
      <c r="C4913" s="228">
        <v>0.74375000000000002</v>
      </c>
      <c r="D4913" s="229">
        <v>0</v>
      </c>
      <c r="E4913" s="229">
        <v>0</v>
      </c>
      <c r="F4913" s="229">
        <v>0</v>
      </c>
      <c r="G4913" s="229">
        <v>0</v>
      </c>
      <c r="H4913" s="229">
        <v>0</v>
      </c>
      <c r="I4913" s="229">
        <v>0</v>
      </c>
      <c r="J4913" s="229">
        <v>0</v>
      </c>
    </row>
    <row r="4914" spans="1:10" s="217" customFormat="1">
      <c r="A4914" s="214" t="s">
        <v>175</v>
      </c>
      <c r="B4914" s="214" t="s">
        <v>37</v>
      </c>
      <c r="C4914" s="228">
        <v>0.74444444444444402</v>
      </c>
      <c r="D4914" s="229">
        <v>0</v>
      </c>
      <c r="E4914" s="229">
        <v>0</v>
      </c>
      <c r="F4914" s="229">
        <v>0</v>
      </c>
      <c r="G4914" s="229">
        <v>0</v>
      </c>
      <c r="H4914" s="229">
        <v>0</v>
      </c>
      <c r="I4914" s="229">
        <v>0</v>
      </c>
      <c r="J4914" s="229">
        <v>0</v>
      </c>
    </row>
    <row r="4915" spans="1:10" s="217" customFormat="1">
      <c r="A4915" s="214" t="s">
        <v>175</v>
      </c>
      <c r="B4915" s="214" t="s">
        <v>37</v>
      </c>
      <c r="C4915" s="228">
        <v>0.74513888888888902</v>
      </c>
      <c r="D4915" s="229">
        <v>0</v>
      </c>
      <c r="E4915" s="229">
        <v>0</v>
      </c>
      <c r="F4915" s="229">
        <v>0</v>
      </c>
      <c r="G4915" s="229">
        <v>0</v>
      </c>
      <c r="H4915" s="229">
        <v>0</v>
      </c>
      <c r="I4915" s="229">
        <v>0</v>
      </c>
      <c r="J4915" s="229">
        <v>0</v>
      </c>
    </row>
    <row r="4916" spans="1:10" s="217" customFormat="1">
      <c r="A4916" s="214" t="s">
        <v>175</v>
      </c>
      <c r="B4916" s="214" t="s">
        <v>37</v>
      </c>
      <c r="C4916" s="228">
        <v>0.74583333333333302</v>
      </c>
      <c r="D4916" s="229">
        <v>0</v>
      </c>
      <c r="E4916" s="229">
        <v>0</v>
      </c>
      <c r="F4916" s="229">
        <v>0</v>
      </c>
      <c r="G4916" s="229">
        <v>0</v>
      </c>
      <c r="H4916" s="229">
        <v>0</v>
      </c>
      <c r="I4916" s="229">
        <v>0</v>
      </c>
      <c r="J4916" s="229">
        <v>0</v>
      </c>
    </row>
    <row r="4917" spans="1:10" s="217" customFormat="1">
      <c r="A4917" s="214" t="s">
        <v>175</v>
      </c>
      <c r="B4917" s="214" t="s">
        <v>37</v>
      </c>
      <c r="C4917" s="228">
        <v>0.74652777777777701</v>
      </c>
      <c r="D4917" s="229">
        <v>0</v>
      </c>
      <c r="E4917" s="229">
        <v>0</v>
      </c>
      <c r="F4917" s="229">
        <v>0</v>
      </c>
      <c r="G4917" s="229">
        <v>0</v>
      </c>
      <c r="H4917" s="229">
        <v>0</v>
      </c>
      <c r="I4917" s="229">
        <v>0</v>
      </c>
      <c r="J4917" s="229">
        <v>0</v>
      </c>
    </row>
    <row r="4918" spans="1:10" s="217" customFormat="1">
      <c r="A4918" s="214" t="s">
        <v>175</v>
      </c>
      <c r="B4918" s="214" t="s">
        <v>37</v>
      </c>
      <c r="C4918" s="228">
        <v>0.74722222222222201</v>
      </c>
      <c r="D4918" s="229">
        <v>0</v>
      </c>
      <c r="E4918" s="229">
        <v>0</v>
      </c>
      <c r="F4918" s="229">
        <v>0</v>
      </c>
      <c r="G4918" s="229">
        <v>0</v>
      </c>
      <c r="H4918" s="229">
        <v>0</v>
      </c>
      <c r="I4918" s="229">
        <v>0</v>
      </c>
      <c r="J4918" s="229">
        <v>0</v>
      </c>
    </row>
    <row r="4919" spans="1:10" s="217" customFormat="1">
      <c r="A4919" s="214" t="s">
        <v>175</v>
      </c>
      <c r="B4919" s="214" t="s">
        <v>37</v>
      </c>
      <c r="C4919" s="228">
        <v>0.74791666666666601</v>
      </c>
      <c r="D4919" s="229">
        <v>0</v>
      </c>
      <c r="E4919" s="229">
        <v>0</v>
      </c>
      <c r="F4919" s="229">
        <v>0</v>
      </c>
      <c r="G4919" s="229">
        <v>0</v>
      </c>
      <c r="H4919" s="229">
        <v>0</v>
      </c>
      <c r="I4919" s="229">
        <v>0</v>
      </c>
      <c r="J4919" s="229">
        <v>0</v>
      </c>
    </row>
    <row r="4920" spans="1:10" s="217" customFormat="1">
      <c r="A4920" s="214" t="s">
        <v>175</v>
      </c>
      <c r="B4920" s="214" t="s">
        <v>37</v>
      </c>
      <c r="C4920" s="228">
        <v>0.74861111111111101</v>
      </c>
      <c r="D4920" s="229">
        <v>0</v>
      </c>
      <c r="E4920" s="229">
        <v>0</v>
      </c>
      <c r="F4920" s="229">
        <v>0</v>
      </c>
      <c r="G4920" s="229">
        <v>0</v>
      </c>
      <c r="H4920" s="229">
        <v>0</v>
      </c>
      <c r="I4920" s="229">
        <v>0</v>
      </c>
      <c r="J4920" s="229">
        <v>0</v>
      </c>
    </row>
    <row r="4921" spans="1:10" s="221" customFormat="1">
      <c r="A4921" s="218" t="s">
        <v>175</v>
      </c>
      <c r="B4921" s="218" t="s">
        <v>37</v>
      </c>
      <c r="C4921" s="230">
        <v>0.749305555555555</v>
      </c>
      <c r="D4921" s="231">
        <v>0</v>
      </c>
      <c r="E4921" s="231">
        <v>0</v>
      </c>
      <c r="F4921" s="231">
        <v>0</v>
      </c>
      <c r="G4921" s="231">
        <v>0</v>
      </c>
      <c r="H4921" s="231">
        <v>0</v>
      </c>
      <c r="I4921" s="231">
        <v>0</v>
      </c>
      <c r="J4921" s="231">
        <v>0</v>
      </c>
    </row>
    <row r="4922" spans="1:10" s="217" customFormat="1">
      <c r="A4922" s="214" t="s">
        <v>175</v>
      </c>
      <c r="B4922" s="214" t="s">
        <v>14</v>
      </c>
      <c r="C4922" s="228">
        <v>0.75</v>
      </c>
      <c r="D4922" s="229">
        <v>0</v>
      </c>
      <c r="E4922" s="229">
        <v>0</v>
      </c>
      <c r="F4922" s="229">
        <v>0</v>
      </c>
      <c r="G4922" s="229">
        <v>0</v>
      </c>
      <c r="H4922" s="229">
        <v>0</v>
      </c>
      <c r="I4922" s="229">
        <v>0</v>
      </c>
      <c r="J4922" s="229">
        <v>0</v>
      </c>
    </row>
    <row r="4923" spans="1:10" s="217" customFormat="1">
      <c r="A4923" s="214" t="s">
        <v>175</v>
      </c>
      <c r="B4923" s="214" t="s">
        <v>14</v>
      </c>
      <c r="C4923" s="228">
        <v>0.75069444444444444</v>
      </c>
      <c r="D4923" s="229">
        <v>0</v>
      </c>
      <c r="E4923" s="229">
        <v>0</v>
      </c>
      <c r="F4923" s="229">
        <v>0</v>
      </c>
      <c r="G4923" s="229">
        <v>0</v>
      </c>
      <c r="H4923" s="229">
        <v>0</v>
      </c>
      <c r="I4923" s="229">
        <v>0</v>
      </c>
      <c r="J4923" s="229">
        <v>0</v>
      </c>
    </row>
    <row r="4924" spans="1:10" s="217" customFormat="1">
      <c r="A4924" s="214" t="s">
        <v>175</v>
      </c>
      <c r="B4924" s="214" t="s">
        <v>14</v>
      </c>
      <c r="C4924" s="228">
        <v>0.75138888888888899</v>
      </c>
      <c r="D4924" s="229">
        <v>0</v>
      </c>
      <c r="E4924" s="229">
        <v>0</v>
      </c>
      <c r="F4924" s="229">
        <v>0</v>
      </c>
      <c r="G4924" s="229">
        <v>0</v>
      </c>
      <c r="H4924" s="229">
        <v>0</v>
      </c>
      <c r="I4924" s="229">
        <v>0</v>
      </c>
      <c r="J4924" s="229">
        <v>0</v>
      </c>
    </row>
    <row r="4925" spans="1:10" s="217" customFormat="1">
      <c r="A4925" s="214" t="s">
        <v>175</v>
      </c>
      <c r="B4925" s="214" t="s">
        <v>14</v>
      </c>
      <c r="C4925" s="228">
        <v>0.75208333333333299</v>
      </c>
      <c r="D4925" s="229">
        <v>0</v>
      </c>
      <c r="E4925" s="229">
        <v>0</v>
      </c>
      <c r="F4925" s="229">
        <v>0</v>
      </c>
      <c r="G4925" s="229">
        <v>0</v>
      </c>
      <c r="H4925" s="229">
        <v>0</v>
      </c>
      <c r="I4925" s="229">
        <v>0</v>
      </c>
      <c r="J4925" s="229">
        <v>0</v>
      </c>
    </row>
    <row r="4926" spans="1:10" s="217" customFormat="1">
      <c r="A4926" s="214" t="s">
        <v>175</v>
      </c>
      <c r="B4926" s="214" t="s">
        <v>14</v>
      </c>
      <c r="C4926" s="228">
        <v>0.75277777777777799</v>
      </c>
      <c r="D4926" s="229">
        <v>0</v>
      </c>
      <c r="E4926" s="229">
        <v>0</v>
      </c>
      <c r="F4926" s="229">
        <v>0</v>
      </c>
      <c r="G4926" s="229">
        <v>0</v>
      </c>
      <c r="H4926" s="229">
        <v>0</v>
      </c>
      <c r="I4926" s="229">
        <v>0</v>
      </c>
      <c r="J4926" s="229">
        <v>0</v>
      </c>
    </row>
    <row r="4927" spans="1:10" s="217" customFormat="1">
      <c r="A4927" s="214" t="s">
        <v>175</v>
      </c>
      <c r="B4927" s="214" t="s">
        <v>14</v>
      </c>
      <c r="C4927" s="228">
        <v>0.75347222222222199</v>
      </c>
      <c r="D4927" s="229">
        <v>0</v>
      </c>
      <c r="E4927" s="229">
        <v>0</v>
      </c>
      <c r="F4927" s="229">
        <v>0</v>
      </c>
      <c r="G4927" s="229">
        <v>0</v>
      </c>
      <c r="H4927" s="229">
        <v>0</v>
      </c>
      <c r="I4927" s="229">
        <v>0</v>
      </c>
      <c r="J4927" s="229">
        <v>0</v>
      </c>
    </row>
    <row r="4928" spans="1:10" s="217" customFormat="1">
      <c r="A4928" s="214" t="s">
        <v>175</v>
      </c>
      <c r="B4928" s="214" t="s">
        <v>14</v>
      </c>
      <c r="C4928" s="228">
        <v>0.75416666666666698</v>
      </c>
      <c r="D4928" s="229">
        <v>0</v>
      </c>
      <c r="E4928" s="229">
        <v>0</v>
      </c>
      <c r="F4928" s="229">
        <v>0</v>
      </c>
      <c r="G4928" s="229">
        <v>0</v>
      </c>
      <c r="H4928" s="229">
        <v>0</v>
      </c>
      <c r="I4928" s="229">
        <v>0</v>
      </c>
      <c r="J4928" s="229">
        <v>0</v>
      </c>
    </row>
    <row r="4929" spans="1:10" s="217" customFormat="1">
      <c r="A4929" s="214" t="s">
        <v>175</v>
      </c>
      <c r="B4929" s="214" t="s">
        <v>14</v>
      </c>
      <c r="C4929" s="228">
        <v>0.75486111111111098</v>
      </c>
      <c r="D4929" s="229">
        <v>0</v>
      </c>
      <c r="E4929" s="229">
        <v>0</v>
      </c>
      <c r="F4929" s="229">
        <v>0</v>
      </c>
      <c r="G4929" s="229">
        <v>0</v>
      </c>
      <c r="H4929" s="229">
        <v>0</v>
      </c>
      <c r="I4929" s="229">
        <v>0</v>
      </c>
      <c r="J4929" s="229">
        <v>0</v>
      </c>
    </row>
    <row r="4930" spans="1:10" s="217" customFormat="1">
      <c r="A4930" s="214" t="s">
        <v>175</v>
      </c>
      <c r="B4930" s="214" t="s">
        <v>14</v>
      </c>
      <c r="C4930" s="228">
        <v>0.75555555555555598</v>
      </c>
      <c r="D4930" s="229">
        <v>0</v>
      </c>
      <c r="E4930" s="229">
        <v>0</v>
      </c>
      <c r="F4930" s="229">
        <v>0</v>
      </c>
      <c r="G4930" s="229">
        <v>0</v>
      </c>
      <c r="H4930" s="229">
        <v>0</v>
      </c>
      <c r="I4930" s="229">
        <v>0</v>
      </c>
      <c r="J4930" s="229">
        <v>0</v>
      </c>
    </row>
    <row r="4931" spans="1:10" s="217" customFormat="1">
      <c r="A4931" s="214" t="s">
        <v>175</v>
      </c>
      <c r="B4931" s="214" t="s">
        <v>14</v>
      </c>
      <c r="C4931" s="228">
        <v>0.75624999999999998</v>
      </c>
      <c r="D4931" s="229">
        <v>0</v>
      </c>
      <c r="E4931" s="229">
        <v>0</v>
      </c>
      <c r="F4931" s="229">
        <v>0</v>
      </c>
      <c r="G4931" s="229">
        <v>0</v>
      </c>
      <c r="H4931" s="229">
        <v>0</v>
      </c>
      <c r="I4931" s="229">
        <v>0</v>
      </c>
      <c r="J4931" s="229">
        <v>0</v>
      </c>
    </row>
    <row r="4932" spans="1:10" s="217" customFormat="1">
      <c r="A4932" s="214" t="s">
        <v>175</v>
      </c>
      <c r="B4932" s="214" t="s">
        <v>14</v>
      </c>
      <c r="C4932" s="228">
        <v>0.75694444444444398</v>
      </c>
      <c r="D4932" s="229">
        <v>0</v>
      </c>
      <c r="E4932" s="229">
        <v>0</v>
      </c>
      <c r="F4932" s="229">
        <v>0</v>
      </c>
      <c r="G4932" s="229">
        <v>0</v>
      </c>
      <c r="H4932" s="229">
        <v>0</v>
      </c>
      <c r="I4932" s="229">
        <v>0</v>
      </c>
      <c r="J4932" s="229">
        <v>0</v>
      </c>
    </row>
    <row r="4933" spans="1:10" s="217" customFormat="1">
      <c r="A4933" s="214" t="s">
        <v>175</v>
      </c>
      <c r="B4933" s="214" t="s">
        <v>14</v>
      </c>
      <c r="C4933" s="228">
        <v>0.75763888888888897</v>
      </c>
      <c r="D4933" s="229">
        <v>0</v>
      </c>
      <c r="E4933" s="229">
        <v>0</v>
      </c>
      <c r="F4933" s="229">
        <v>0</v>
      </c>
      <c r="G4933" s="229">
        <v>0</v>
      </c>
      <c r="H4933" s="229">
        <v>0</v>
      </c>
      <c r="I4933" s="229">
        <v>0</v>
      </c>
      <c r="J4933" s="229">
        <v>0</v>
      </c>
    </row>
    <row r="4934" spans="1:10" s="217" customFormat="1">
      <c r="A4934" s="214" t="s">
        <v>175</v>
      </c>
      <c r="B4934" s="214" t="s">
        <v>14</v>
      </c>
      <c r="C4934" s="228">
        <v>0.75833333333333297</v>
      </c>
      <c r="D4934" s="229">
        <v>0</v>
      </c>
      <c r="E4934" s="229">
        <v>0</v>
      </c>
      <c r="F4934" s="229">
        <v>0</v>
      </c>
      <c r="G4934" s="229">
        <v>0</v>
      </c>
      <c r="H4934" s="229">
        <v>0</v>
      </c>
      <c r="I4934" s="229">
        <v>0</v>
      </c>
      <c r="J4934" s="229">
        <v>0</v>
      </c>
    </row>
    <row r="4935" spans="1:10" s="217" customFormat="1">
      <c r="A4935" s="214" t="s">
        <v>175</v>
      </c>
      <c r="B4935" s="214" t="s">
        <v>14</v>
      </c>
      <c r="C4935" s="228">
        <v>0.75902777777777797</v>
      </c>
      <c r="D4935" s="229">
        <v>0</v>
      </c>
      <c r="E4935" s="229">
        <v>0</v>
      </c>
      <c r="F4935" s="229">
        <v>0</v>
      </c>
      <c r="G4935" s="229">
        <v>0</v>
      </c>
      <c r="H4935" s="229">
        <v>0</v>
      </c>
      <c r="I4935" s="229">
        <v>0</v>
      </c>
      <c r="J4935" s="229">
        <v>0</v>
      </c>
    </row>
    <row r="4936" spans="1:10" s="221" customFormat="1">
      <c r="A4936" s="218" t="s">
        <v>175</v>
      </c>
      <c r="B4936" s="218" t="s">
        <v>14</v>
      </c>
      <c r="C4936" s="230">
        <v>0.75972222222222197</v>
      </c>
      <c r="D4936" s="231">
        <v>0</v>
      </c>
      <c r="E4936" s="231">
        <v>0</v>
      </c>
      <c r="F4936" s="231">
        <v>0</v>
      </c>
      <c r="G4936" s="231">
        <v>0</v>
      </c>
      <c r="H4936" s="231">
        <v>0</v>
      </c>
      <c r="I4936" s="231">
        <v>0</v>
      </c>
      <c r="J4936" s="231">
        <v>0</v>
      </c>
    </row>
    <row r="4937" spans="1:10" s="217" customFormat="1">
      <c r="A4937" s="214" t="s">
        <v>175</v>
      </c>
      <c r="B4937" s="214" t="s">
        <v>14</v>
      </c>
      <c r="C4937" s="228">
        <v>0.76041666666666696</v>
      </c>
      <c r="D4937" s="229">
        <v>0</v>
      </c>
      <c r="E4937" s="229">
        <v>0</v>
      </c>
      <c r="F4937" s="229">
        <v>0</v>
      </c>
      <c r="G4937" s="229">
        <v>0</v>
      </c>
      <c r="H4937" s="229">
        <v>0</v>
      </c>
      <c r="I4937" s="229">
        <v>0</v>
      </c>
      <c r="J4937" s="229">
        <v>0</v>
      </c>
    </row>
    <row r="4938" spans="1:10" s="217" customFormat="1">
      <c r="A4938" s="214" t="s">
        <v>175</v>
      </c>
      <c r="B4938" s="214" t="s">
        <v>14</v>
      </c>
      <c r="C4938" s="228">
        <v>0.76111111111111096</v>
      </c>
      <c r="D4938" s="229">
        <v>0</v>
      </c>
      <c r="E4938" s="229">
        <v>0</v>
      </c>
      <c r="F4938" s="229">
        <v>0</v>
      </c>
      <c r="G4938" s="229">
        <v>0</v>
      </c>
      <c r="H4938" s="229">
        <v>0</v>
      </c>
      <c r="I4938" s="229">
        <v>0</v>
      </c>
      <c r="J4938" s="229">
        <v>0</v>
      </c>
    </row>
    <row r="4939" spans="1:10" s="217" customFormat="1">
      <c r="A4939" s="214" t="s">
        <v>175</v>
      </c>
      <c r="B4939" s="214" t="s">
        <v>14</v>
      </c>
      <c r="C4939" s="228">
        <v>0.76180555555555596</v>
      </c>
      <c r="D4939" s="229">
        <v>0</v>
      </c>
      <c r="E4939" s="229">
        <v>0</v>
      </c>
      <c r="F4939" s="229">
        <v>0</v>
      </c>
      <c r="G4939" s="229">
        <v>0</v>
      </c>
      <c r="H4939" s="229">
        <v>0</v>
      </c>
      <c r="I4939" s="229">
        <v>0</v>
      </c>
      <c r="J4939" s="229">
        <v>0</v>
      </c>
    </row>
    <row r="4940" spans="1:10" s="217" customFormat="1">
      <c r="A4940" s="214" t="s">
        <v>175</v>
      </c>
      <c r="B4940" s="214" t="s">
        <v>14</v>
      </c>
      <c r="C4940" s="228">
        <v>0.76249999999999996</v>
      </c>
      <c r="D4940" s="229">
        <v>0</v>
      </c>
      <c r="E4940" s="229">
        <v>0</v>
      </c>
      <c r="F4940" s="229">
        <v>0</v>
      </c>
      <c r="G4940" s="229">
        <v>0</v>
      </c>
      <c r="H4940" s="229">
        <v>0</v>
      </c>
      <c r="I4940" s="229">
        <v>0</v>
      </c>
      <c r="J4940" s="229">
        <v>0</v>
      </c>
    </row>
    <row r="4941" spans="1:10" s="217" customFormat="1">
      <c r="A4941" s="214" t="s">
        <v>175</v>
      </c>
      <c r="B4941" s="214" t="s">
        <v>14</v>
      </c>
      <c r="C4941" s="228">
        <v>0.76319444444444395</v>
      </c>
      <c r="D4941" s="229">
        <v>0</v>
      </c>
      <c r="E4941" s="229">
        <v>0</v>
      </c>
      <c r="F4941" s="229">
        <v>0</v>
      </c>
      <c r="G4941" s="229">
        <v>0</v>
      </c>
      <c r="H4941" s="229">
        <v>0</v>
      </c>
      <c r="I4941" s="229">
        <v>0</v>
      </c>
      <c r="J4941" s="229">
        <v>0</v>
      </c>
    </row>
    <row r="4942" spans="1:10" s="217" customFormat="1">
      <c r="A4942" s="214" t="s">
        <v>175</v>
      </c>
      <c r="B4942" s="214" t="s">
        <v>14</v>
      </c>
      <c r="C4942" s="228">
        <v>0.76388888888888895</v>
      </c>
      <c r="D4942" s="229">
        <v>0</v>
      </c>
      <c r="E4942" s="229">
        <v>0</v>
      </c>
      <c r="F4942" s="229">
        <v>0</v>
      </c>
      <c r="G4942" s="229">
        <v>0</v>
      </c>
      <c r="H4942" s="229">
        <v>0</v>
      </c>
      <c r="I4942" s="229">
        <v>0</v>
      </c>
      <c r="J4942" s="229">
        <v>0</v>
      </c>
    </row>
    <row r="4943" spans="1:10" s="217" customFormat="1">
      <c r="A4943" s="214" t="s">
        <v>175</v>
      </c>
      <c r="B4943" s="214" t="s">
        <v>14</v>
      </c>
      <c r="C4943" s="228">
        <v>0.76458333333333295</v>
      </c>
      <c r="D4943" s="229">
        <v>0</v>
      </c>
      <c r="E4943" s="229">
        <v>0</v>
      </c>
      <c r="F4943" s="229">
        <v>0</v>
      </c>
      <c r="G4943" s="229">
        <v>0</v>
      </c>
      <c r="H4943" s="229">
        <v>0</v>
      </c>
      <c r="I4943" s="229">
        <v>0</v>
      </c>
      <c r="J4943" s="229">
        <v>0</v>
      </c>
    </row>
    <row r="4944" spans="1:10" s="217" customFormat="1">
      <c r="A4944" s="214" t="s">
        <v>175</v>
      </c>
      <c r="B4944" s="214" t="s">
        <v>14</v>
      </c>
      <c r="C4944" s="228">
        <v>0.76527777777777795</v>
      </c>
      <c r="D4944" s="229">
        <v>0</v>
      </c>
      <c r="E4944" s="229">
        <v>0</v>
      </c>
      <c r="F4944" s="229">
        <v>0</v>
      </c>
      <c r="G4944" s="229">
        <v>0</v>
      </c>
      <c r="H4944" s="229">
        <v>0</v>
      </c>
      <c r="I4944" s="229">
        <v>0</v>
      </c>
      <c r="J4944" s="229">
        <v>0</v>
      </c>
    </row>
    <row r="4945" spans="1:10" s="217" customFormat="1">
      <c r="A4945" s="214" t="s">
        <v>175</v>
      </c>
      <c r="B4945" s="214" t="s">
        <v>14</v>
      </c>
      <c r="C4945" s="228">
        <v>0.76597222222222205</v>
      </c>
      <c r="D4945" s="229">
        <v>0</v>
      </c>
      <c r="E4945" s="229">
        <v>0</v>
      </c>
      <c r="F4945" s="229">
        <v>0</v>
      </c>
      <c r="G4945" s="229">
        <v>0</v>
      </c>
      <c r="H4945" s="229">
        <v>0</v>
      </c>
      <c r="I4945" s="229">
        <v>0</v>
      </c>
      <c r="J4945" s="229">
        <v>0</v>
      </c>
    </row>
    <row r="4946" spans="1:10" s="217" customFormat="1">
      <c r="A4946" s="214" t="s">
        <v>175</v>
      </c>
      <c r="B4946" s="214" t="s">
        <v>14</v>
      </c>
      <c r="C4946" s="228">
        <v>0.76666666666666705</v>
      </c>
      <c r="D4946" s="229">
        <v>0</v>
      </c>
      <c r="E4946" s="229">
        <v>0</v>
      </c>
      <c r="F4946" s="229">
        <v>0</v>
      </c>
      <c r="G4946" s="229">
        <v>0</v>
      </c>
      <c r="H4946" s="229">
        <v>0</v>
      </c>
      <c r="I4946" s="229">
        <v>0</v>
      </c>
      <c r="J4946" s="229">
        <v>0</v>
      </c>
    </row>
    <row r="4947" spans="1:10" s="217" customFormat="1">
      <c r="A4947" s="214" t="s">
        <v>175</v>
      </c>
      <c r="B4947" s="214" t="s">
        <v>14</v>
      </c>
      <c r="C4947" s="228">
        <v>0.76736111111111105</v>
      </c>
      <c r="D4947" s="229">
        <v>0</v>
      </c>
      <c r="E4947" s="229">
        <v>0</v>
      </c>
      <c r="F4947" s="229">
        <v>0</v>
      </c>
      <c r="G4947" s="229">
        <v>0</v>
      </c>
      <c r="H4947" s="229">
        <v>0</v>
      </c>
      <c r="I4947" s="229">
        <v>0</v>
      </c>
      <c r="J4947" s="229">
        <v>0</v>
      </c>
    </row>
    <row r="4948" spans="1:10" s="217" customFormat="1">
      <c r="A4948" s="214" t="s">
        <v>175</v>
      </c>
      <c r="B4948" s="214" t="s">
        <v>14</v>
      </c>
      <c r="C4948" s="228">
        <v>0.76805555555555505</v>
      </c>
      <c r="D4948" s="229">
        <v>0</v>
      </c>
      <c r="E4948" s="229">
        <v>0</v>
      </c>
      <c r="F4948" s="229">
        <v>0</v>
      </c>
      <c r="G4948" s="229">
        <v>0</v>
      </c>
      <c r="H4948" s="229">
        <v>0</v>
      </c>
      <c r="I4948" s="229">
        <v>0</v>
      </c>
      <c r="J4948" s="229">
        <v>0</v>
      </c>
    </row>
    <row r="4949" spans="1:10" s="217" customFormat="1">
      <c r="A4949" s="214" t="s">
        <v>175</v>
      </c>
      <c r="B4949" s="214" t="s">
        <v>14</v>
      </c>
      <c r="C4949" s="228">
        <v>0.76875000000000004</v>
      </c>
      <c r="D4949" s="229">
        <v>0</v>
      </c>
      <c r="E4949" s="229">
        <v>0</v>
      </c>
      <c r="F4949" s="229">
        <v>0</v>
      </c>
      <c r="G4949" s="229">
        <v>0</v>
      </c>
      <c r="H4949" s="229">
        <v>0</v>
      </c>
      <c r="I4949" s="229">
        <v>0</v>
      </c>
      <c r="J4949" s="229">
        <v>0</v>
      </c>
    </row>
    <row r="4950" spans="1:10" s="217" customFormat="1">
      <c r="A4950" s="214" t="s">
        <v>175</v>
      </c>
      <c r="B4950" s="214" t="s">
        <v>14</v>
      </c>
      <c r="C4950" s="228">
        <v>0.76944444444444404</v>
      </c>
      <c r="D4950" s="229">
        <v>0</v>
      </c>
      <c r="E4950" s="229">
        <v>0</v>
      </c>
      <c r="F4950" s="229">
        <v>0</v>
      </c>
      <c r="G4950" s="229">
        <v>0</v>
      </c>
      <c r="H4950" s="229">
        <v>0</v>
      </c>
      <c r="I4950" s="229">
        <v>0</v>
      </c>
      <c r="J4950" s="229">
        <v>0</v>
      </c>
    </row>
    <row r="4951" spans="1:10" s="221" customFormat="1">
      <c r="A4951" s="218" t="s">
        <v>175</v>
      </c>
      <c r="B4951" s="218" t="s">
        <v>14</v>
      </c>
      <c r="C4951" s="230">
        <v>0.77013888888888904</v>
      </c>
      <c r="D4951" s="231">
        <v>0</v>
      </c>
      <c r="E4951" s="231">
        <v>0</v>
      </c>
      <c r="F4951" s="231">
        <v>0</v>
      </c>
      <c r="G4951" s="231">
        <v>0</v>
      </c>
      <c r="H4951" s="231">
        <v>0</v>
      </c>
      <c r="I4951" s="231">
        <v>0</v>
      </c>
      <c r="J4951" s="231">
        <v>0</v>
      </c>
    </row>
    <row r="4952" spans="1:10" s="217" customFormat="1">
      <c r="A4952" s="214" t="s">
        <v>175</v>
      </c>
      <c r="B4952" s="214" t="s">
        <v>14</v>
      </c>
      <c r="C4952" s="228">
        <v>0.77083333333333304</v>
      </c>
      <c r="D4952" s="229">
        <v>0</v>
      </c>
      <c r="E4952" s="229">
        <v>0</v>
      </c>
      <c r="F4952" s="229">
        <v>0</v>
      </c>
      <c r="G4952" s="229">
        <v>0</v>
      </c>
      <c r="H4952" s="229">
        <v>0</v>
      </c>
      <c r="I4952" s="229">
        <v>0</v>
      </c>
      <c r="J4952" s="229">
        <v>0</v>
      </c>
    </row>
    <row r="4953" spans="1:10" s="217" customFormat="1">
      <c r="A4953" s="214" t="s">
        <v>175</v>
      </c>
      <c r="B4953" s="214" t="s">
        <v>14</v>
      </c>
      <c r="C4953" s="228">
        <v>0.77152777777777803</v>
      </c>
      <c r="D4953" s="229">
        <v>0</v>
      </c>
      <c r="E4953" s="229">
        <v>0</v>
      </c>
      <c r="F4953" s="229">
        <v>0</v>
      </c>
      <c r="G4953" s="229">
        <v>0</v>
      </c>
      <c r="H4953" s="229">
        <v>0</v>
      </c>
      <c r="I4953" s="229">
        <v>0</v>
      </c>
      <c r="J4953" s="229">
        <v>0</v>
      </c>
    </row>
    <row r="4954" spans="1:10" s="217" customFormat="1">
      <c r="A4954" s="214" t="s">
        <v>175</v>
      </c>
      <c r="B4954" s="214" t="s">
        <v>14</v>
      </c>
      <c r="C4954" s="228">
        <v>0.77222222222222203</v>
      </c>
      <c r="D4954" s="229">
        <v>0</v>
      </c>
      <c r="E4954" s="229">
        <v>0</v>
      </c>
      <c r="F4954" s="229">
        <v>0</v>
      </c>
      <c r="G4954" s="229">
        <v>0</v>
      </c>
      <c r="H4954" s="229">
        <v>0</v>
      </c>
      <c r="I4954" s="229">
        <v>0</v>
      </c>
      <c r="J4954" s="229">
        <v>0</v>
      </c>
    </row>
    <row r="4955" spans="1:10" s="217" customFormat="1">
      <c r="A4955" s="214" t="s">
        <v>175</v>
      </c>
      <c r="B4955" s="214" t="s">
        <v>14</v>
      </c>
      <c r="C4955" s="228">
        <v>0.77291666666666703</v>
      </c>
      <c r="D4955" s="229">
        <v>0</v>
      </c>
      <c r="E4955" s="229">
        <v>0</v>
      </c>
      <c r="F4955" s="229">
        <v>0</v>
      </c>
      <c r="G4955" s="229">
        <v>0</v>
      </c>
      <c r="H4955" s="229">
        <v>0</v>
      </c>
      <c r="I4955" s="229">
        <v>0</v>
      </c>
      <c r="J4955" s="229">
        <v>0</v>
      </c>
    </row>
    <row r="4956" spans="1:10" s="217" customFormat="1">
      <c r="A4956" s="214" t="s">
        <v>175</v>
      </c>
      <c r="B4956" s="214" t="s">
        <v>14</v>
      </c>
      <c r="C4956" s="228">
        <v>0.77361111111111103</v>
      </c>
      <c r="D4956" s="229">
        <v>0</v>
      </c>
      <c r="E4956" s="229">
        <v>0</v>
      </c>
      <c r="F4956" s="229">
        <v>0</v>
      </c>
      <c r="G4956" s="229">
        <v>0</v>
      </c>
      <c r="H4956" s="229">
        <v>0</v>
      </c>
      <c r="I4956" s="229">
        <v>0</v>
      </c>
      <c r="J4956" s="229">
        <v>0</v>
      </c>
    </row>
    <row r="4957" spans="1:10" s="217" customFormat="1">
      <c r="A4957" s="214" t="s">
        <v>175</v>
      </c>
      <c r="B4957" s="214" t="s">
        <v>14</v>
      </c>
      <c r="C4957" s="228">
        <v>0.77430555555555503</v>
      </c>
      <c r="D4957" s="229">
        <v>0</v>
      </c>
      <c r="E4957" s="229">
        <v>0</v>
      </c>
      <c r="F4957" s="229">
        <v>0</v>
      </c>
      <c r="G4957" s="229">
        <v>0</v>
      </c>
      <c r="H4957" s="229">
        <v>0</v>
      </c>
      <c r="I4957" s="229">
        <v>0</v>
      </c>
      <c r="J4957" s="229">
        <v>0</v>
      </c>
    </row>
    <row r="4958" spans="1:10" s="217" customFormat="1">
      <c r="A4958" s="214" t="s">
        <v>175</v>
      </c>
      <c r="B4958" s="214" t="s">
        <v>14</v>
      </c>
      <c r="C4958" s="228">
        <v>0.77500000000000002</v>
      </c>
      <c r="D4958" s="229">
        <v>0</v>
      </c>
      <c r="E4958" s="229">
        <v>0</v>
      </c>
      <c r="F4958" s="229">
        <v>0</v>
      </c>
      <c r="G4958" s="229">
        <v>0</v>
      </c>
      <c r="H4958" s="229">
        <v>0</v>
      </c>
      <c r="I4958" s="229">
        <v>0</v>
      </c>
      <c r="J4958" s="229">
        <v>0</v>
      </c>
    </row>
    <row r="4959" spans="1:10" s="217" customFormat="1">
      <c r="A4959" s="214" t="s">
        <v>175</v>
      </c>
      <c r="B4959" s="214" t="s">
        <v>14</v>
      </c>
      <c r="C4959" s="228">
        <v>0.77569444444444402</v>
      </c>
      <c r="D4959" s="229">
        <v>0</v>
      </c>
      <c r="E4959" s="229">
        <v>0</v>
      </c>
      <c r="F4959" s="229">
        <v>0</v>
      </c>
      <c r="G4959" s="229">
        <v>0</v>
      </c>
      <c r="H4959" s="229">
        <v>0</v>
      </c>
      <c r="I4959" s="229">
        <v>0</v>
      </c>
      <c r="J4959" s="229">
        <v>0</v>
      </c>
    </row>
    <row r="4960" spans="1:10" s="217" customFormat="1">
      <c r="A4960" s="214" t="s">
        <v>175</v>
      </c>
      <c r="B4960" s="214" t="s">
        <v>14</v>
      </c>
      <c r="C4960" s="228">
        <v>0.77638888888888902</v>
      </c>
      <c r="D4960" s="229">
        <v>0</v>
      </c>
      <c r="E4960" s="229">
        <v>0</v>
      </c>
      <c r="F4960" s="229">
        <v>0</v>
      </c>
      <c r="G4960" s="229">
        <v>0</v>
      </c>
      <c r="H4960" s="229">
        <v>0</v>
      </c>
      <c r="I4960" s="229">
        <v>0</v>
      </c>
      <c r="J4960" s="229">
        <v>0</v>
      </c>
    </row>
    <row r="4961" spans="1:10" s="217" customFormat="1">
      <c r="A4961" s="214" t="s">
        <v>175</v>
      </c>
      <c r="B4961" s="214" t="s">
        <v>14</v>
      </c>
      <c r="C4961" s="228">
        <v>0.77708333333333302</v>
      </c>
      <c r="D4961" s="229">
        <v>0</v>
      </c>
      <c r="E4961" s="229">
        <v>0</v>
      </c>
      <c r="F4961" s="229">
        <v>0</v>
      </c>
      <c r="G4961" s="229">
        <v>0</v>
      </c>
      <c r="H4961" s="229">
        <v>0</v>
      </c>
      <c r="I4961" s="229">
        <v>0</v>
      </c>
      <c r="J4961" s="229">
        <v>0</v>
      </c>
    </row>
    <row r="4962" spans="1:10" s="217" customFormat="1">
      <c r="A4962" s="214" t="s">
        <v>175</v>
      </c>
      <c r="B4962" s="214" t="s">
        <v>14</v>
      </c>
      <c r="C4962" s="228">
        <v>0.77777777777777801</v>
      </c>
      <c r="D4962" s="229">
        <v>0</v>
      </c>
      <c r="E4962" s="229">
        <v>0</v>
      </c>
      <c r="F4962" s="229">
        <v>0</v>
      </c>
      <c r="G4962" s="229">
        <v>0</v>
      </c>
      <c r="H4962" s="229">
        <v>0</v>
      </c>
      <c r="I4962" s="229">
        <v>0</v>
      </c>
      <c r="J4962" s="229">
        <v>0</v>
      </c>
    </row>
    <row r="4963" spans="1:10" s="217" customFormat="1">
      <c r="A4963" s="214" t="s">
        <v>175</v>
      </c>
      <c r="B4963" s="214" t="s">
        <v>14</v>
      </c>
      <c r="C4963" s="228">
        <v>0.77847222222222201</v>
      </c>
      <c r="D4963" s="229">
        <v>0</v>
      </c>
      <c r="E4963" s="229">
        <v>0</v>
      </c>
      <c r="F4963" s="229">
        <v>0</v>
      </c>
      <c r="G4963" s="229">
        <v>0</v>
      </c>
      <c r="H4963" s="229">
        <v>0</v>
      </c>
      <c r="I4963" s="229">
        <v>0</v>
      </c>
      <c r="J4963" s="229">
        <v>0</v>
      </c>
    </row>
    <row r="4964" spans="1:10" s="217" customFormat="1">
      <c r="A4964" s="214" t="s">
        <v>175</v>
      </c>
      <c r="B4964" s="214" t="s">
        <v>14</v>
      </c>
      <c r="C4964" s="228">
        <v>0.77916666666666701</v>
      </c>
      <c r="D4964" s="229">
        <v>0</v>
      </c>
      <c r="E4964" s="229">
        <v>0</v>
      </c>
      <c r="F4964" s="229">
        <v>0</v>
      </c>
      <c r="G4964" s="229">
        <v>0</v>
      </c>
      <c r="H4964" s="229">
        <v>0</v>
      </c>
      <c r="I4964" s="229">
        <v>0</v>
      </c>
      <c r="J4964" s="229">
        <v>0</v>
      </c>
    </row>
    <row r="4965" spans="1:10" s="217" customFormat="1">
      <c r="A4965" s="214" t="s">
        <v>175</v>
      </c>
      <c r="B4965" s="214" t="s">
        <v>14</v>
      </c>
      <c r="C4965" s="228">
        <v>0.77986111111111101</v>
      </c>
      <c r="D4965" s="229">
        <v>0</v>
      </c>
      <c r="E4965" s="229">
        <v>0</v>
      </c>
      <c r="F4965" s="229">
        <v>0</v>
      </c>
      <c r="G4965" s="229">
        <v>0</v>
      </c>
      <c r="H4965" s="229">
        <v>0</v>
      </c>
      <c r="I4965" s="229">
        <v>0</v>
      </c>
      <c r="J4965" s="229">
        <v>0</v>
      </c>
    </row>
    <row r="4966" spans="1:10" s="221" customFormat="1">
      <c r="A4966" s="218" t="s">
        <v>175</v>
      </c>
      <c r="B4966" s="218" t="s">
        <v>14</v>
      </c>
      <c r="C4966" s="230">
        <v>0.780555555555555</v>
      </c>
      <c r="D4966" s="231">
        <v>0</v>
      </c>
      <c r="E4966" s="231">
        <v>0</v>
      </c>
      <c r="F4966" s="231">
        <v>0</v>
      </c>
      <c r="G4966" s="231">
        <v>0</v>
      </c>
      <c r="H4966" s="231">
        <v>0</v>
      </c>
      <c r="I4966" s="231">
        <v>0</v>
      </c>
      <c r="J4966" s="231">
        <v>0</v>
      </c>
    </row>
    <row r="4967" spans="1:10" s="217" customFormat="1">
      <c r="A4967" s="214" t="s">
        <v>175</v>
      </c>
      <c r="B4967" s="214" t="s">
        <v>14</v>
      </c>
      <c r="C4967" s="228">
        <v>0.78125</v>
      </c>
      <c r="D4967" s="229">
        <v>0</v>
      </c>
      <c r="E4967" s="229">
        <v>0</v>
      </c>
      <c r="F4967" s="229">
        <v>0</v>
      </c>
      <c r="G4967" s="229">
        <v>0</v>
      </c>
      <c r="H4967" s="229">
        <v>0</v>
      </c>
      <c r="I4967" s="229">
        <v>0</v>
      </c>
      <c r="J4967" s="229">
        <v>0</v>
      </c>
    </row>
    <row r="4968" spans="1:10" s="217" customFormat="1">
      <c r="A4968" s="214" t="s">
        <v>175</v>
      </c>
      <c r="B4968" s="214" t="s">
        <v>14</v>
      </c>
      <c r="C4968" s="228">
        <v>0.781944444444444</v>
      </c>
      <c r="D4968" s="229">
        <v>0</v>
      </c>
      <c r="E4968" s="229">
        <v>0</v>
      </c>
      <c r="F4968" s="229">
        <v>0</v>
      </c>
      <c r="G4968" s="229">
        <v>0</v>
      </c>
      <c r="H4968" s="229">
        <v>0</v>
      </c>
      <c r="I4968" s="229">
        <v>0</v>
      </c>
      <c r="J4968" s="229">
        <v>0</v>
      </c>
    </row>
    <row r="4969" spans="1:10" s="217" customFormat="1">
      <c r="A4969" s="214" t="s">
        <v>175</v>
      </c>
      <c r="B4969" s="214" t="s">
        <v>14</v>
      </c>
      <c r="C4969" s="228">
        <v>0.78263888888888899</v>
      </c>
      <c r="D4969" s="229">
        <v>0</v>
      </c>
      <c r="E4969" s="229">
        <v>0</v>
      </c>
      <c r="F4969" s="229">
        <v>0</v>
      </c>
      <c r="G4969" s="229">
        <v>0</v>
      </c>
      <c r="H4969" s="229">
        <v>0</v>
      </c>
      <c r="I4969" s="229">
        <v>0</v>
      </c>
      <c r="J4969" s="229">
        <v>0</v>
      </c>
    </row>
    <row r="4970" spans="1:10" s="217" customFormat="1">
      <c r="A4970" s="214" t="s">
        <v>175</v>
      </c>
      <c r="B4970" s="214" t="s">
        <v>14</v>
      </c>
      <c r="C4970" s="228">
        <v>0.78333333333333299</v>
      </c>
      <c r="D4970" s="229">
        <v>0</v>
      </c>
      <c r="E4970" s="229">
        <v>0</v>
      </c>
      <c r="F4970" s="229">
        <v>0</v>
      </c>
      <c r="G4970" s="229">
        <v>0</v>
      </c>
      <c r="H4970" s="229">
        <v>0</v>
      </c>
      <c r="I4970" s="229">
        <v>0</v>
      </c>
      <c r="J4970" s="229">
        <v>0</v>
      </c>
    </row>
    <row r="4971" spans="1:10" s="217" customFormat="1">
      <c r="A4971" s="214" t="s">
        <v>175</v>
      </c>
      <c r="B4971" s="214" t="s">
        <v>14</v>
      </c>
      <c r="C4971" s="228">
        <v>0.78402777777777799</v>
      </c>
      <c r="D4971" s="229">
        <v>0</v>
      </c>
      <c r="E4971" s="229">
        <v>0</v>
      </c>
      <c r="F4971" s="229">
        <v>0</v>
      </c>
      <c r="G4971" s="229">
        <v>0</v>
      </c>
      <c r="H4971" s="229">
        <v>0</v>
      </c>
      <c r="I4971" s="229">
        <v>0</v>
      </c>
      <c r="J4971" s="229">
        <v>0</v>
      </c>
    </row>
    <row r="4972" spans="1:10" s="217" customFormat="1">
      <c r="A4972" s="214" t="s">
        <v>175</v>
      </c>
      <c r="B4972" s="214" t="s">
        <v>14</v>
      </c>
      <c r="C4972" s="228">
        <v>0.78472222222222199</v>
      </c>
      <c r="D4972" s="229">
        <v>0</v>
      </c>
      <c r="E4972" s="229">
        <v>0</v>
      </c>
      <c r="F4972" s="229">
        <v>0</v>
      </c>
      <c r="G4972" s="229">
        <v>0</v>
      </c>
      <c r="H4972" s="229">
        <v>0</v>
      </c>
      <c r="I4972" s="229">
        <v>0</v>
      </c>
      <c r="J4972" s="229">
        <v>0</v>
      </c>
    </row>
    <row r="4973" spans="1:10" s="217" customFormat="1">
      <c r="A4973" s="214" t="s">
        <v>175</v>
      </c>
      <c r="B4973" s="214" t="s">
        <v>14</v>
      </c>
      <c r="C4973" s="228">
        <v>0.78541666666666698</v>
      </c>
      <c r="D4973" s="229">
        <v>0</v>
      </c>
      <c r="E4973" s="229">
        <v>0</v>
      </c>
      <c r="F4973" s="229">
        <v>0</v>
      </c>
      <c r="G4973" s="229">
        <v>0</v>
      </c>
      <c r="H4973" s="229">
        <v>0</v>
      </c>
      <c r="I4973" s="229">
        <v>0</v>
      </c>
      <c r="J4973" s="229">
        <v>0</v>
      </c>
    </row>
    <row r="4974" spans="1:10" s="217" customFormat="1">
      <c r="A4974" s="214" t="s">
        <v>175</v>
      </c>
      <c r="B4974" s="214" t="s">
        <v>14</v>
      </c>
      <c r="C4974" s="228">
        <v>0.78611111111111098</v>
      </c>
      <c r="D4974" s="229">
        <v>0</v>
      </c>
      <c r="E4974" s="229">
        <v>0</v>
      </c>
      <c r="F4974" s="229">
        <v>0</v>
      </c>
      <c r="G4974" s="229">
        <v>0</v>
      </c>
      <c r="H4974" s="229">
        <v>0</v>
      </c>
      <c r="I4974" s="229">
        <v>0</v>
      </c>
      <c r="J4974" s="229">
        <v>0</v>
      </c>
    </row>
    <row r="4975" spans="1:10" s="217" customFormat="1">
      <c r="A4975" s="214" t="s">
        <v>175</v>
      </c>
      <c r="B4975" s="214" t="s">
        <v>14</v>
      </c>
      <c r="C4975" s="228">
        <v>0.78680555555555498</v>
      </c>
      <c r="D4975" s="229">
        <v>0</v>
      </c>
      <c r="E4975" s="229">
        <v>0</v>
      </c>
      <c r="F4975" s="229">
        <v>0</v>
      </c>
      <c r="G4975" s="229">
        <v>0</v>
      </c>
      <c r="H4975" s="229">
        <v>0</v>
      </c>
      <c r="I4975" s="229">
        <v>0</v>
      </c>
      <c r="J4975" s="229">
        <v>0</v>
      </c>
    </row>
    <row r="4976" spans="1:10" s="217" customFormat="1">
      <c r="A4976" s="214" t="s">
        <v>175</v>
      </c>
      <c r="B4976" s="214" t="s">
        <v>14</v>
      </c>
      <c r="C4976" s="228">
        <v>0.78749999999999998</v>
      </c>
      <c r="D4976" s="229">
        <v>0</v>
      </c>
      <c r="E4976" s="229">
        <v>0</v>
      </c>
      <c r="F4976" s="229">
        <v>0</v>
      </c>
      <c r="G4976" s="229">
        <v>0</v>
      </c>
      <c r="H4976" s="229">
        <v>0</v>
      </c>
      <c r="I4976" s="229">
        <v>0</v>
      </c>
      <c r="J4976" s="229">
        <v>0</v>
      </c>
    </row>
    <row r="4977" spans="1:10" s="217" customFormat="1">
      <c r="A4977" s="214" t="s">
        <v>175</v>
      </c>
      <c r="B4977" s="214" t="s">
        <v>14</v>
      </c>
      <c r="C4977" s="228">
        <v>0.78819444444444398</v>
      </c>
      <c r="D4977" s="229">
        <v>0</v>
      </c>
      <c r="E4977" s="229">
        <v>0</v>
      </c>
      <c r="F4977" s="229">
        <v>0</v>
      </c>
      <c r="G4977" s="229">
        <v>0</v>
      </c>
      <c r="H4977" s="229">
        <v>0</v>
      </c>
      <c r="I4977" s="229">
        <v>0</v>
      </c>
      <c r="J4977" s="229">
        <v>0</v>
      </c>
    </row>
    <row r="4978" spans="1:10" s="217" customFormat="1">
      <c r="A4978" s="214" t="s">
        <v>175</v>
      </c>
      <c r="B4978" s="214" t="s">
        <v>14</v>
      </c>
      <c r="C4978" s="228">
        <v>0.78888888888888897</v>
      </c>
      <c r="D4978" s="229">
        <v>0</v>
      </c>
      <c r="E4978" s="229">
        <v>0</v>
      </c>
      <c r="F4978" s="229">
        <v>0</v>
      </c>
      <c r="G4978" s="229">
        <v>0</v>
      </c>
      <c r="H4978" s="229">
        <v>0</v>
      </c>
      <c r="I4978" s="229">
        <v>0</v>
      </c>
      <c r="J4978" s="229">
        <v>0</v>
      </c>
    </row>
    <row r="4979" spans="1:10" s="217" customFormat="1">
      <c r="A4979" s="214" t="s">
        <v>175</v>
      </c>
      <c r="B4979" s="214" t="s">
        <v>14</v>
      </c>
      <c r="C4979" s="228">
        <v>0.78958333333333297</v>
      </c>
      <c r="D4979" s="229">
        <v>0</v>
      </c>
      <c r="E4979" s="229">
        <v>0</v>
      </c>
      <c r="F4979" s="229">
        <v>0</v>
      </c>
      <c r="G4979" s="229">
        <v>0</v>
      </c>
      <c r="H4979" s="229">
        <v>0</v>
      </c>
      <c r="I4979" s="229">
        <v>0</v>
      </c>
      <c r="J4979" s="229">
        <v>0</v>
      </c>
    </row>
    <row r="4980" spans="1:10" s="217" customFormat="1">
      <c r="A4980" s="214" t="s">
        <v>175</v>
      </c>
      <c r="B4980" s="214" t="s">
        <v>14</v>
      </c>
      <c r="C4980" s="228">
        <v>0.79027777777777797</v>
      </c>
      <c r="D4980" s="229">
        <v>0</v>
      </c>
      <c r="E4980" s="229">
        <v>0</v>
      </c>
      <c r="F4980" s="229">
        <v>0</v>
      </c>
      <c r="G4980" s="229">
        <v>0</v>
      </c>
      <c r="H4980" s="229">
        <v>0</v>
      </c>
      <c r="I4980" s="229">
        <v>0</v>
      </c>
      <c r="J4980" s="229">
        <v>0</v>
      </c>
    </row>
    <row r="4981" spans="1:10" s="221" customFormat="1">
      <c r="A4981" s="218" t="s">
        <v>175</v>
      </c>
      <c r="B4981" s="218" t="s">
        <v>14</v>
      </c>
      <c r="C4981" s="230">
        <v>0.79097222222222197</v>
      </c>
      <c r="D4981" s="231">
        <v>0</v>
      </c>
      <c r="E4981" s="231">
        <v>0</v>
      </c>
      <c r="F4981" s="231">
        <v>0</v>
      </c>
      <c r="G4981" s="231">
        <v>0</v>
      </c>
      <c r="H4981" s="231">
        <v>0</v>
      </c>
      <c r="I4981" s="231">
        <v>0</v>
      </c>
      <c r="J4981" s="231">
        <v>0</v>
      </c>
    </row>
    <row r="4982" spans="1:10" s="217" customFormat="1">
      <c r="A4982" s="214" t="s">
        <v>175</v>
      </c>
      <c r="B4982" s="214" t="s">
        <v>14</v>
      </c>
      <c r="C4982" s="228">
        <v>0.79166666666666696</v>
      </c>
      <c r="D4982" s="229">
        <v>0</v>
      </c>
      <c r="E4982" s="229">
        <v>0</v>
      </c>
      <c r="F4982" s="229">
        <v>0</v>
      </c>
      <c r="G4982" s="229">
        <v>0</v>
      </c>
      <c r="H4982" s="229">
        <v>0</v>
      </c>
      <c r="I4982" s="229">
        <v>0</v>
      </c>
      <c r="J4982" s="229">
        <v>0</v>
      </c>
    </row>
    <row r="4983" spans="1:10" s="217" customFormat="1">
      <c r="A4983" s="214" t="s">
        <v>175</v>
      </c>
      <c r="B4983" s="214" t="s">
        <v>14</v>
      </c>
      <c r="C4983" s="228">
        <v>0.79236111111111096</v>
      </c>
      <c r="D4983" s="229">
        <v>0</v>
      </c>
      <c r="E4983" s="229">
        <v>0</v>
      </c>
      <c r="F4983" s="229">
        <v>0</v>
      </c>
      <c r="G4983" s="229">
        <v>0</v>
      </c>
      <c r="H4983" s="229">
        <v>0</v>
      </c>
      <c r="I4983" s="229">
        <v>0</v>
      </c>
      <c r="J4983" s="229">
        <v>0</v>
      </c>
    </row>
    <row r="4984" spans="1:10" s="217" customFormat="1">
      <c r="A4984" s="214" t="s">
        <v>175</v>
      </c>
      <c r="B4984" s="214" t="s">
        <v>14</v>
      </c>
      <c r="C4984" s="228">
        <v>0.79305555555555496</v>
      </c>
      <c r="D4984" s="229">
        <v>0</v>
      </c>
      <c r="E4984" s="229">
        <v>0</v>
      </c>
      <c r="F4984" s="229">
        <v>0</v>
      </c>
      <c r="G4984" s="229">
        <v>0</v>
      </c>
      <c r="H4984" s="229">
        <v>0</v>
      </c>
      <c r="I4984" s="229">
        <v>0</v>
      </c>
      <c r="J4984" s="229">
        <v>0</v>
      </c>
    </row>
    <row r="4985" spans="1:10" s="217" customFormat="1">
      <c r="A4985" s="214" t="s">
        <v>175</v>
      </c>
      <c r="B4985" s="214" t="s">
        <v>14</v>
      </c>
      <c r="C4985" s="228">
        <v>0.79374999999999996</v>
      </c>
      <c r="D4985" s="229">
        <v>0</v>
      </c>
      <c r="E4985" s="229">
        <v>0</v>
      </c>
      <c r="F4985" s="229">
        <v>0</v>
      </c>
      <c r="G4985" s="229">
        <v>0</v>
      </c>
      <c r="H4985" s="229">
        <v>0</v>
      </c>
      <c r="I4985" s="229">
        <v>0</v>
      </c>
      <c r="J4985" s="229">
        <v>0</v>
      </c>
    </row>
    <row r="4986" spans="1:10" s="217" customFormat="1">
      <c r="A4986" s="214" t="s">
        <v>175</v>
      </c>
      <c r="B4986" s="214" t="s">
        <v>14</v>
      </c>
      <c r="C4986" s="228">
        <v>0.79444444444444395</v>
      </c>
      <c r="D4986" s="229">
        <v>0</v>
      </c>
      <c r="E4986" s="229">
        <v>0</v>
      </c>
      <c r="F4986" s="229">
        <v>0</v>
      </c>
      <c r="G4986" s="229">
        <v>0</v>
      </c>
      <c r="H4986" s="229">
        <v>0</v>
      </c>
      <c r="I4986" s="229">
        <v>0</v>
      </c>
      <c r="J4986" s="229">
        <v>0</v>
      </c>
    </row>
    <row r="4987" spans="1:10" s="217" customFormat="1">
      <c r="A4987" s="214" t="s">
        <v>175</v>
      </c>
      <c r="B4987" s="214" t="s">
        <v>14</v>
      </c>
      <c r="C4987" s="228">
        <v>0.79513888888888895</v>
      </c>
      <c r="D4987" s="229">
        <v>0</v>
      </c>
      <c r="E4987" s="229">
        <v>0</v>
      </c>
      <c r="F4987" s="229">
        <v>0</v>
      </c>
      <c r="G4987" s="229">
        <v>0</v>
      </c>
      <c r="H4987" s="229">
        <v>0</v>
      </c>
      <c r="I4987" s="229">
        <v>0</v>
      </c>
      <c r="J4987" s="229">
        <v>0</v>
      </c>
    </row>
    <row r="4988" spans="1:10" s="217" customFormat="1">
      <c r="A4988" s="214" t="s">
        <v>175</v>
      </c>
      <c r="B4988" s="214" t="s">
        <v>14</v>
      </c>
      <c r="C4988" s="228">
        <v>0.79583333333333295</v>
      </c>
      <c r="D4988" s="229">
        <v>0</v>
      </c>
      <c r="E4988" s="229">
        <v>0</v>
      </c>
      <c r="F4988" s="229">
        <v>0</v>
      </c>
      <c r="G4988" s="229">
        <v>0</v>
      </c>
      <c r="H4988" s="229">
        <v>0</v>
      </c>
      <c r="I4988" s="229">
        <v>0</v>
      </c>
      <c r="J4988" s="229">
        <v>0</v>
      </c>
    </row>
    <row r="4989" spans="1:10" s="217" customFormat="1">
      <c r="A4989" s="214" t="s">
        <v>175</v>
      </c>
      <c r="B4989" s="214" t="s">
        <v>14</v>
      </c>
      <c r="C4989" s="228">
        <v>0.79652777777777795</v>
      </c>
      <c r="D4989" s="229">
        <v>0</v>
      </c>
      <c r="E4989" s="229">
        <v>0</v>
      </c>
      <c r="F4989" s="229">
        <v>0</v>
      </c>
      <c r="G4989" s="229">
        <v>0</v>
      </c>
      <c r="H4989" s="229">
        <v>0</v>
      </c>
      <c r="I4989" s="229">
        <v>0</v>
      </c>
      <c r="J4989" s="229">
        <v>0</v>
      </c>
    </row>
    <row r="4990" spans="1:10" s="217" customFormat="1">
      <c r="A4990" s="214" t="s">
        <v>175</v>
      </c>
      <c r="B4990" s="214" t="s">
        <v>14</v>
      </c>
      <c r="C4990" s="228">
        <v>0.79722222222222205</v>
      </c>
      <c r="D4990" s="229">
        <v>0</v>
      </c>
      <c r="E4990" s="229">
        <v>0</v>
      </c>
      <c r="F4990" s="229">
        <v>0</v>
      </c>
      <c r="G4990" s="229">
        <v>0</v>
      </c>
      <c r="H4990" s="229">
        <v>0</v>
      </c>
      <c r="I4990" s="229">
        <v>0</v>
      </c>
      <c r="J4990" s="229">
        <v>0</v>
      </c>
    </row>
    <row r="4991" spans="1:10" s="217" customFormat="1">
      <c r="A4991" s="214" t="s">
        <v>175</v>
      </c>
      <c r="B4991" s="214" t="s">
        <v>14</v>
      </c>
      <c r="C4991" s="228">
        <v>0.79791666666666605</v>
      </c>
      <c r="D4991" s="229">
        <v>0</v>
      </c>
      <c r="E4991" s="229">
        <v>0</v>
      </c>
      <c r="F4991" s="229">
        <v>0</v>
      </c>
      <c r="G4991" s="229">
        <v>0</v>
      </c>
      <c r="H4991" s="229">
        <v>0</v>
      </c>
      <c r="I4991" s="229">
        <v>0</v>
      </c>
      <c r="J4991" s="229">
        <v>0</v>
      </c>
    </row>
    <row r="4992" spans="1:10" s="217" customFormat="1">
      <c r="A4992" s="214" t="s">
        <v>175</v>
      </c>
      <c r="B4992" s="214" t="s">
        <v>14</v>
      </c>
      <c r="C4992" s="228">
        <v>0.79861111111111105</v>
      </c>
      <c r="D4992" s="229">
        <v>0</v>
      </c>
      <c r="E4992" s="229">
        <v>0</v>
      </c>
      <c r="F4992" s="229">
        <v>0</v>
      </c>
      <c r="G4992" s="229">
        <v>0</v>
      </c>
      <c r="H4992" s="229">
        <v>0</v>
      </c>
      <c r="I4992" s="229">
        <v>0</v>
      </c>
      <c r="J4992" s="229">
        <v>0</v>
      </c>
    </row>
    <row r="4993" spans="1:10" s="217" customFormat="1">
      <c r="A4993" s="214" t="s">
        <v>175</v>
      </c>
      <c r="B4993" s="214" t="s">
        <v>14</v>
      </c>
      <c r="C4993" s="228">
        <v>0.79930555555555505</v>
      </c>
      <c r="D4993" s="229">
        <v>0</v>
      </c>
      <c r="E4993" s="229">
        <v>0</v>
      </c>
      <c r="F4993" s="229">
        <v>0</v>
      </c>
      <c r="G4993" s="229">
        <v>0</v>
      </c>
      <c r="H4993" s="229">
        <v>0</v>
      </c>
      <c r="I4993" s="229">
        <v>0</v>
      </c>
      <c r="J4993" s="229">
        <v>0</v>
      </c>
    </row>
    <row r="4994" spans="1:10" s="217" customFormat="1">
      <c r="A4994" s="214" t="s">
        <v>175</v>
      </c>
      <c r="B4994" s="214" t="s">
        <v>14</v>
      </c>
      <c r="C4994" s="228">
        <v>0.8</v>
      </c>
      <c r="D4994" s="229">
        <v>0</v>
      </c>
      <c r="E4994" s="229">
        <v>0</v>
      </c>
      <c r="F4994" s="229">
        <v>0</v>
      </c>
      <c r="G4994" s="229">
        <v>0</v>
      </c>
      <c r="H4994" s="229">
        <v>0</v>
      </c>
      <c r="I4994" s="229">
        <v>0</v>
      </c>
      <c r="J4994" s="229">
        <v>0</v>
      </c>
    </row>
    <row r="4995" spans="1:10" s="217" customFormat="1">
      <c r="A4995" s="214" t="s">
        <v>175</v>
      </c>
      <c r="B4995" s="214" t="s">
        <v>14</v>
      </c>
      <c r="C4995" s="228">
        <v>0.80069444444444404</v>
      </c>
      <c r="D4995" s="229">
        <v>0</v>
      </c>
      <c r="E4995" s="229">
        <v>0</v>
      </c>
      <c r="F4995" s="229">
        <v>0</v>
      </c>
      <c r="G4995" s="229">
        <v>0</v>
      </c>
      <c r="H4995" s="229">
        <v>0</v>
      </c>
      <c r="I4995" s="229">
        <v>0</v>
      </c>
      <c r="J4995" s="229">
        <v>0</v>
      </c>
    </row>
    <row r="4996" spans="1:10" s="221" customFormat="1">
      <c r="A4996" s="218" t="s">
        <v>175</v>
      </c>
      <c r="B4996" s="218" t="s">
        <v>14</v>
      </c>
      <c r="C4996" s="230">
        <v>0.80138888888888904</v>
      </c>
      <c r="D4996" s="231">
        <v>0</v>
      </c>
      <c r="E4996" s="231">
        <v>0</v>
      </c>
      <c r="F4996" s="231">
        <v>0</v>
      </c>
      <c r="G4996" s="231">
        <v>0</v>
      </c>
      <c r="H4996" s="231">
        <v>0</v>
      </c>
      <c r="I4996" s="231">
        <v>0</v>
      </c>
      <c r="J4996" s="231">
        <v>0</v>
      </c>
    </row>
    <row r="4997" spans="1:10" s="217" customFormat="1">
      <c r="A4997" s="214" t="s">
        <v>175</v>
      </c>
      <c r="B4997" s="214" t="s">
        <v>14</v>
      </c>
      <c r="C4997" s="228">
        <v>0.80208333333333304</v>
      </c>
      <c r="D4997" s="229">
        <v>0</v>
      </c>
      <c r="E4997" s="229">
        <v>0</v>
      </c>
      <c r="F4997" s="229">
        <v>0</v>
      </c>
      <c r="G4997" s="229">
        <v>0</v>
      </c>
      <c r="H4997" s="229">
        <v>0</v>
      </c>
      <c r="I4997" s="229">
        <v>0</v>
      </c>
      <c r="J4997" s="229">
        <v>0</v>
      </c>
    </row>
    <row r="4998" spans="1:10" s="217" customFormat="1">
      <c r="A4998" s="214" t="s">
        <v>175</v>
      </c>
      <c r="B4998" s="214" t="s">
        <v>14</v>
      </c>
      <c r="C4998" s="228">
        <v>0.80277777777777803</v>
      </c>
      <c r="D4998" s="229">
        <v>0</v>
      </c>
      <c r="E4998" s="229">
        <v>0</v>
      </c>
      <c r="F4998" s="229">
        <v>0</v>
      </c>
      <c r="G4998" s="229">
        <v>0</v>
      </c>
      <c r="H4998" s="229">
        <v>0</v>
      </c>
      <c r="I4998" s="229">
        <v>0</v>
      </c>
      <c r="J4998" s="229">
        <v>0</v>
      </c>
    </row>
    <row r="4999" spans="1:10" s="217" customFormat="1">
      <c r="A4999" s="214" t="s">
        <v>175</v>
      </c>
      <c r="B4999" s="214" t="s">
        <v>14</v>
      </c>
      <c r="C4999" s="228">
        <v>0.80347222222222203</v>
      </c>
      <c r="D4999" s="229">
        <v>0</v>
      </c>
      <c r="E4999" s="229">
        <v>0</v>
      </c>
      <c r="F4999" s="229">
        <v>0</v>
      </c>
      <c r="G4999" s="229">
        <v>0</v>
      </c>
      <c r="H4999" s="229">
        <v>0</v>
      </c>
      <c r="I4999" s="229">
        <v>0</v>
      </c>
      <c r="J4999" s="229">
        <v>0</v>
      </c>
    </row>
    <row r="5000" spans="1:10" s="217" customFormat="1">
      <c r="A5000" s="214" t="s">
        <v>175</v>
      </c>
      <c r="B5000" s="214" t="s">
        <v>14</v>
      </c>
      <c r="C5000" s="228">
        <v>0.80416666666666603</v>
      </c>
      <c r="D5000" s="229">
        <v>0</v>
      </c>
      <c r="E5000" s="229">
        <v>0</v>
      </c>
      <c r="F5000" s="229">
        <v>0</v>
      </c>
      <c r="G5000" s="229">
        <v>0</v>
      </c>
      <c r="H5000" s="229">
        <v>0</v>
      </c>
      <c r="I5000" s="229">
        <v>0</v>
      </c>
      <c r="J5000" s="229">
        <v>0</v>
      </c>
    </row>
    <row r="5001" spans="1:10" s="217" customFormat="1">
      <c r="A5001" s="214" t="s">
        <v>175</v>
      </c>
      <c r="B5001" s="214" t="s">
        <v>14</v>
      </c>
      <c r="C5001" s="228">
        <v>0.80486111111111103</v>
      </c>
      <c r="D5001" s="229">
        <v>0</v>
      </c>
      <c r="E5001" s="229">
        <v>0</v>
      </c>
      <c r="F5001" s="229">
        <v>0</v>
      </c>
      <c r="G5001" s="229">
        <v>0</v>
      </c>
      <c r="H5001" s="229">
        <v>0</v>
      </c>
      <c r="I5001" s="229">
        <v>0</v>
      </c>
      <c r="J5001" s="229">
        <v>0</v>
      </c>
    </row>
    <row r="5002" spans="1:10" s="217" customFormat="1">
      <c r="A5002" s="214" t="s">
        <v>175</v>
      </c>
      <c r="B5002" s="214" t="s">
        <v>14</v>
      </c>
      <c r="C5002" s="228">
        <v>0.80555555555555503</v>
      </c>
      <c r="D5002" s="229">
        <v>0</v>
      </c>
      <c r="E5002" s="229">
        <v>0</v>
      </c>
      <c r="F5002" s="229">
        <v>0</v>
      </c>
      <c r="G5002" s="229">
        <v>0</v>
      </c>
      <c r="H5002" s="229">
        <v>0</v>
      </c>
      <c r="I5002" s="229">
        <v>0</v>
      </c>
      <c r="J5002" s="229">
        <v>0</v>
      </c>
    </row>
    <row r="5003" spans="1:10" s="217" customFormat="1">
      <c r="A5003" s="214" t="s">
        <v>175</v>
      </c>
      <c r="B5003" s="214" t="s">
        <v>14</v>
      </c>
      <c r="C5003" s="228">
        <v>0.80625000000000002</v>
      </c>
      <c r="D5003" s="229">
        <v>0</v>
      </c>
      <c r="E5003" s="229">
        <v>0</v>
      </c>
      <c r="F5003" s="229">
        <v>0</v>
      </c>
      <c r="G5003" s="229">
        <v>0</v>
      </c>
      <c r="H5003" s="229">
        <v>0</v>
      </c>
      <c r="I5003" s="229">
        <v>0</v>
      </c>
      <c r="J5003" s="229">
        <v>0</v>
      </c>
    </row>
    <row r="5004" spans="1:10" s="217" customFormat="1">
      <c r="A5004" s="214" t="s">
        <v>175</v>
      </c>
      <c r="B5004" s="214" t="s">
        <v>14</v>
      </c>
      <c r="C5004" s="228">
        <v>0.80694444444444402</v>
      </c>
      <c r="D5004" s="229">
        <v>0</v>
      </c>
      <c r="E5004" s="229">
        <v>0</v>
      </c>
      <c r="F5004" s="229">
        <v>0</v>
      </c>
      <c r="G5004" s="229">
        <v>0</v>
      </c>
      <c r="H5004" s="229">
        <v>0</v>
      </c>
      <c r="I5004" s="229">
        <v>0</v>
      </c>
      <c r="J5004" s="229">
        <v>0</v>
      </c>
    </row>
    <row r="5005" spans="1:10" s="217" customFormat="1">
      <c r="A5005" s="214" t="s">
        <v>175</v>
      </c>
      <c r="B5005" s="214" t="s">
        <v>14</v>
      </c>
      <c r="C5005" s="228">
        <v>0.80763888888888902</v>
      </c>
      <c r="D5005" s="229">
        <v>0</v>
      </c>
      <c r="E5005" s="229">
        <v>0</v>
      </c>
      <c r="F5005" s="229">
        <v>0</v>
      </c>
      <c r="G5005" s="229">
        <v>0</v>
      </c>
      <c r="H5005" s="229">
        <v>0</v>
      </c>
      <c r="I5005" s="229">
        <v>0</v>
      </c>
      <c r="J5005" s="229">
        <v>0</v>
      </c>
    </row>
    <row r="5006" spans="1:10" s="217" customFormat="1">
      <c r="A5006" s="214" t="s">
        <v>175</v>
      </c>
      <c r="B5006" s="214" t="s">
        <v>14</v>
      </c>
      <c r="C5006" s="228">
        <v>0.80833333333333302</v>
      </c>
      <c r="D5006" s="229">
        <v>0</v>
      </c>
      <c r="E5006" s="229">
        <v>0</v>
      </c>
      <c r="F5006" s="229">
        <v>0</v>
      </c>
      <c r="G5006" s="229">
        <v>0</v>
      </c>
      <c r="H5006" s="229">
        <v>0</v>
      </c>
      <c r="I5006" s="229">
        <v>0</v>
      </c>
      <c r="J5006" s="229">
        <v>0</v>
      </c>
    </row>
    <row r="5007" spans="1:10" s="217" customFormat="1">
      <c r="A5007" s="214" t="s">
        <v>175</v>
      </c>
      <c r="B5007" s="214" t="s">
        <v>14</v>
      </c>
      <c r="C5007" s="228">
        <v>0.80902777777777801</v>
      </c>
      <c r="D5007" s="229">
        <v>0</v>
      </c>
      <c r="E5007" s="229">
        <v>0</v>
      </c>
      <c r="F5007" s="229">
        <v>0</v>
      </c>
      <c r="G5007" s="229">
        <v>0</v>
      </c>
      <c r="H5007" s="229">
        <v>0</v>
      </c>
      <c r="I5007" s="229">
        <v>0</v>
      </c>
      <c r="J5007" s="229">
        <v>0</v>
      </c>
    </row>
    <row r="5008" spans="1:10" s="217" customFormat="1">
      <c r="A5008" s="214" t="s">
        <v>175</v>
      </c>
      <c r="B5008" s="214" t="s">
        <v>14</v>
      </c>
      <c r="C5008" s="228">
        <v>0.80972222222222201</v>
      </c>
      <c r="D5008" s="229">
        <v>0</v>
      </c>
      <c r="E5008" s="229">
        <v>0</v>
      </c>
      <c r="F5008" s="229">
        <v>0</v>
      </c>
      <c r="G5008" s="229">
        <v>0</v>
      </c>
      <c r="H5008" s="229">
        <v>0</v>
      </c>
      <c r="I5008" s="229">
        <v>0</v>
      </c>
      <c r="J5008" s="229">
        <v>0</v>
      </c>
    </row>
    <row r="5009" spans="1:10" s="217" customFormat="1">
      <c r="A5009" s="214" t="s">
        <v>175</v>
      </c>
      <c r="B5009" s="214" t="s">
        <v>14</v>
      </c>
      <c r="C5009" s="228">
        <v>0.81041666666666601</v>
      </c>
      <c r="D5009" s="229">
        <v>0</v>
      </c>
      <c r="E5009" s="229">
        <v>0</v>
      </c>
      <c r="F5009" s="229">
        <v>0</v>
      </c>
      <c r="G5009" s="229">
        <v>0</v>
      </c>
      <c r="H5009" s="229">
        <v>0</v>
      </c>
      <c r="I5009" s="229">
        <v>0</v>
      </c>
      <c r="J5009" s="229">
        <v>0</v>
      </c>
    </row>
    <row r="5010" spans="1:10" s="217" customFormat="1">
      <c r="A5010" s="214" t="s">
        <v>175</v>
      </c>
      <c r="B5010" s="214" t="s">
        <v>14</v>
      </c>
      <c r="C5010" s="228">
        <v>0.81111111111111101</v>
      </c>
      <c r="D5010" s="229">
        <v>0</v>
      </c>
      <c r="E5010" s="229">
        <v>0</v>
      </c>
      <c r="F5010" s="229">
        <v>0</v>
      </c>
      <c r="G5010" s="229">
        <v>0</v>
      </c>
      <c r="H5010" s="229">
        <v>0</v>
      </c>
      <c r="I5010" s="229">
        <v>0</v>
      </c>
      <c r="J5010" s="229">
        <v>0</v>
      </c>
    </row>
    <row r="5011" spans="1:10" s="221" customFormat="1">
      <c r="A5011" s="218" t="s">
        <v>175</v>
      </c>
      <c r="B5011" s="218" t="s">
        <v>14</v>
      </c>
      <c r="C5011" s="230">
        <v>0.811805555555555</v>
      </c>
      <c r="D5011" s="231">
        <v>0</v>
      </c>
      <c r="E5011" s="231">
        <v>0</v>
      </c>
      <c r="F5011" s="231">
        <v>0</v>
      </c>
      <c r="G5011" s="231">
        <v>0</v>
      </c>
      <c r="H5011" s="231">
        <v>0</v>
      </c>
      <c r="I5011" s="231">
        <v>0</v>
      </c>
      <c r="J5011" s="231">
        <v>0</v>
      </c>
    </row>
    <row r="5012" spans="1:10" s="217" customFormat="1">
      <c r="A5012" s="214" t="s">
        <v>175</v>
      </c>
      <c r="B5012" s="214" t="s">
        <v>14</v>
      </c>
      <c r="C5012" s="228">
        <v>0.8125</v>
      </c>
      <c r="D5012" s="229">
        <v>0</v>
      </c>
      <c r="E5012" s="229">
        <v>0</v>
      </c>
      <c r="F5012" s="229">
        <v>0</v>
      </c>
      <c r="G5012" s="229">
        <v>0</v>
      </c>
      <c r="H5012" s="229">
        <v>0</v>
      </c>
      <c r="I5012" s="229">
        <v>0</v>
      </c>
      <c r="J5012" s="229">
        <v>0</v>
      </c>
    </row>
    <row r="5013" spans="1:10" s="217" customFormat="1">
      <c r="A5013" s="214" t="s">
        <v>175</v>
      </c>
      <c r="B5013" s="214" t="s">
        <v>14</v>
      </c>
      <c r="C5013" s="228">
        <v>0.813194444444444</v>
      </c>
      <c r="D5013" s="229">
        <v>0</v>
      </c>
      <c r="E5013" s="229">
        <v>0</v>
      </c>
      <c r="F5013" s="229">
        <v>0</v>
      </c>
      <c r="G5013" s="229">
        <v>0</v>
      </c>
      <c r="H5013" s="229">
        <v>0</v>
      </c>
      <c r="I5013" s="229">
        <v>0</v>
      </c>
      <c r="J5013" s="229">
        <v>0</v>
      </c>
    </row>
    <row r="5014" spans="1:10" s="217" customFormat="1">
      <c r="A5014" s="214" t="s">
        <v>175</v>
      </c>
      <c r="B5014" s="214" t="s">
        <v>14</v>
      </c>
      <c r="C5014" s="228">
        <v>0.81388888888888899</v>
      </c>
      <c r="D5014" s="229">
        <v>0</v>
      </c>
      <c r="E5014" s="229">
        <v>0</v>
      </c>
      <c r="F5014" s="229">
        <v>0</v>
      </c>
      <c r="G5014" s="229">
        <v>0</v>
      </c>
      <c r="H5014" s="229">
        <v>0</v>
      </c>
      <c r="I5014" s="229">
        <v>0</v>
      </c>
      <c r="J5014" s="229">
        <v>0</v>
      </c>
    </row>
    <row r="5015" spans="1:10" s="217" customFormat="1">
      <c r="A5015" s="214" t="s">
        <v>175</v>
      </c>
      <c r="B5015" s="214" t="s">
        <v>14</v>
      </c>
      <c r="C5015" s="228">
        <v>0.81458333333333299</v>
      </c>
      <c r="D5015" s="229">
        <v>0</v>
      </c>
      <c r="E5015" s="229">
        <v>0</v>
      </c>
      <c r="F5015" s="229">
        <v>0</v>
      </c>
      <c r="G5015" s="229">
        <v>0</v>
      </c>
      <c r="H5015" s="229">
        <v>0</v>
      </c>
      <c r="I5015" s="229">
        <v>0</v>
      </c>
      <c r="J5015" s="229">
        <v>0</v>
      </c>
    </row>
    <row r="5016" spans="1:10" s="217" customFormat="1">
      <c r="A5016" s="214" t="s">
        <v>175</v>
      </c>
      <c r="B5016" s="214" t="s">
        <v>14</v>
      </c>
      <c r="C5016" s="228">
        <v>0.81527777777777799</v>
      </c>
      <c r="D5016" s="229">
        <v>0</v>
      </c>
      <c r="E5016" s="229">
        <v>0</v>
      </c>
      <c r="F5016" s="229">
        <v>0</v>
      </c>
      <c r="G5016" s="229">
        <v>0</v>
      </c>
      <c r="H5016" s="229">
        <v>0</v>
      </c>
      <c r="I5016" s="229">
        <v>0</v>
      </c>
      <c r="J5016" s="229">
        <v>0</v>
      </c>
    </row>
    <row r="5017" spans="1:10" s="217" customFormat="1">
      <c r="A5017" s="214" t="s">
        <v>175</v>
      </c>
      <c r="B5017" s="214" t="s">
        <v>14</v>
      </c>
      <c r="C5017" s="228">
        <v>0.81597222222222199</v>
      </c>
      <c r="D5017" s="229">
        <v>0</v>
      </c>
      <c r="E5017" s="229">
        <v>0</v>
      </c>
      <c r="F5017" s="229">
        <v>0</v>
      </c>
      <c r="G5017" s="229">
        <v>0</v>
      </c>
      <c r="H5017" s="229">
        <v>0</v>
      </c>
      <c r="I5017" s="229">
        <v>0</v>
      </c>
      <c r="J5017" s="229">
        <v>0</v>
      </c>
    </row>
    <row r="5018" spans="1:10" s="217" customFormat="1">
      <c r="A5018" s="214" t="s">
        <v>175</v>
      </c>
      <c r="B5018" s="214" t="s">
        <v>14</v>
      </c>
      <c r="C5018" s="228">
        <v>0.81666666666666599</v>
      </c>
      <c r="D5018" s="229">
        <v>0</v>
      </c>
      <c r="E5018" s="229">
        <v>0</v>
      </c>
      <c r="F5018" s="229">
        <v>0</v>
      </c>
      <c r="G5018" s="229">
        <v>0</v>
      </c>
      <c r="H5018" s="229">
        <v>0</v>
      </c>
      <c r="I5018" s="229">
        <v>0</v>
      </c>
      <c r="J5018" s="229">
        <v>0</v>
      </c>
    </row>
    <row r="5019" spans="1:10" s="217" customFormat="1">
      <c r="A5019" s="214" t="s">
        <v>175</v>
      </c>
      <c r="B5019" s="214" t="s">
        <v>14</v>
      </c>
      <c r="C5019" s="228">
        <v>0.81736111111111098</v>
      </c>
      <c r="D5019" s="229">
        <v>0</v>
      </c>
      <c r="E5019" s="229">
        <v>0</v>
      </c>
      <c r="F5019" s="229">
        <v>0</v>
      </c>
      <c r="G5019" s="229">
        <v>0</v>
      </c>
      <c r="H5019" s="229">
        <v>0</v>
      </c>
      <c r="I5019" s="229">
        <v>0</v>
      </c>
      <c r="J5019" s="229">
        <v>0</v>
      </c>
    </row>
    <row r="5020" spans="1:10" s="217" customFormat="1">
      <c r="A5020" s="214" t="s">
        <v>175</v>
      </c>
      <c r="B5020" s="214" t="s">
        <v>14</v>
      </c>
      <c r="C5020" s="228">
        <v>0.81805555555555498</v>
      </c>
      <c r="D5020" s="229">
        <v>0</v>
      </c>
      <c r="E5020" s="229">
        <v>0</v>
      </c>
      <c r="F5020" s="229">
        <v>0</v>
      </c>
      <c r="G5020" s="229">
        <v>0</v>
      </c>
      <c r="H5020" s="229">
        <v>0</v>
      </c>
      <c r="I5020" s="229">
        <v>0</v>
      </c>
      <c r="J5020" s="229">
        <v>0</v>
      </c>
    </row>
    <row r="5021" spans="1:10" s="217" customFormat="1">
      <c r="A5021" s="214" t="s">
        <v>175</v>
      </c>
      <c r="B5021" s="214" t="s">
        <v>14</v>
      </c>
      <c r="C5021" s="228">
        <v>0.81874999999999998</v>
      </c>
      <c r="D5021" s="229">
        <v>0</v>
      </c>
      <c r="E5021" s="229">
        <v>0</v>
      </c>
      <c r="F5021" s="229">
        <v>0</v>
      </c>
      <c r="G5021" s="229">
        <v>0</v>
      </c>
      <c r="H5021" s="229">
        <v>0</v>
      </c>
      <c r="I5021" s="229">
        <v>0</v>
      </c>
      <c r="J5021" s="229">
        <v>0</v>
      </c>
    </row>
    <row r="5022" spans="1:10" s="217" customFormat="1">
      <c r="A5022" s="214" t="s">
        <v>175</v>
      </c>
      <c r="B5022" s="214" t="s">
        <v>14</v>
      </c>
      <c r="C5022" s="228">
        <v>0.81944444444444398</v>
      </c>
      <c r="D5022" s="229">
        <v>0</v>
      </c>
      <c r="E5022" s="229">
        <v>0</v>
      </c>
      <c r="F5022" s="229">
        <v>0</v>
      </c>
      <c r="G5022" s="229">
        <v>0</v>
      </c>
      <c r="H5022" s="229">
        <v>0</v>
      </c>
      <c r="I5022" s="229">
        <v>0</v>
      </c>
      <c r="J5022" s="229">
        <v>0</v>
      </c>
    </row>
    <row r="5023" spans="1:10" s="217" customFormat="1">
      <c r="A5023" s="214" t="s">
        <v>175</v>
      </c>
      <c r="B5023" s="214" t="s">
        <v>14</v>
      </c>
      <c r="C5023" s="228">
        <v>0.82013888888888897</v>
      </c>
      <c r="D5023" s="229">
        <v>0</v>
      </c>
      <c r="E5023" s="229">
        <v>0</v>
      </c>
      <c r="F5023" s="229">
        <v>0</v>
      </c>
      <c r="G5023" s="229">
        <v>0</v>
      </c>
      <c r="H5023" s="229">
        <v>0</v>
      </c>
      <c r="I5023" s="229">
        <v>0</v>
      </c>
      <c r="J5023" s="229">
        <v>0</v>
      </c>
    </row>
    <row r="5024" spans="1:10" s="217" customFormat="1">
      <c r="A5024" s="214" t="s">
        <v>175</v>
      </c>
      <c r="B5024" s="214" t="s">
        <v>14</v>
      </c>
      <c r="C5024" s="228">
        <v>0.82083333333333297</v>
      </c>
      <c r="D5024" s="229">
        <v>0</v>
      </c>
      <c r="E5024" s="229">
        <v>0</v>
      </c>
      <c r="F5024" s="229">
        <v>0</v>
      </c>
      <c r="G5024" s="229">
        <v>0</v>
      </c>
      <c r="H5024" s="229">
        <v>0</v>
      </c>
      <c r="I5024" s="229">
        <v>0</v>
      </c>
      <c r="J5024" s="229">
        <v>0</v>
      </c>
    </row>
    <row r="5025" spans="1:10" s="217" customFormat="1">
      <c r="A5025" s="214" t="s">
        <v>175</v>
      </c>
      <c r="B5025" s="214" t="s">
        <v>14</v>
      </c>
      <c r="C5025" s="228">
        <v>0.82152777777777797</v>
      </c>
      <c r="D5025" s="229">
        <v>0</v>
      </c>
      <c r="E5025" s="229">
        <v>0</v>
      </c>
      <c r="F5025" s="229">
        <v>0</v>
      </c>
      <c r="G5025" s="229">
        <v>0</v>
      </c>
      <c r="H5025" s="229">
        <v>0</v>
      </c>
      <c r="I5025" s="229">
        <v>0</v>
      </c>
      <c r="J5025" s="229">
        <v>0</v>
      </c>
    </row>
    <row r="5026" spans="1:10" s="221" customFormat="1">
      <c r="A5026" s="218" t="s">
        <v>175</v>
      </c>
      <c r="B5026" s="218" t="s">
        <v>14</v>
      </c>
      <c r="C5026" s="230">
        <v>0.82222222222222197</v>
      </c>
      <c r="D5026" s="231">
        <v>0</v>
      </c>
      <c r="E5026" s="231">
        <v>0</v>
      </c>
      <c r="F5026" s="231">
        <v>0</v>
      </c>
      <c r="G5026" s="231">
        <v>0</v>
      </c>
      <c r="H5026" s="231">
        <v>0</v>
      </c>
      <c r="I5026" s="231">
        <v>0</v>
      </c>
      <c r="J5026" s="231">
        <v>0</v>
      </c>
    </row>
    <row r="5027" spans="1:10" s="217" customFormat="1">
      <c r="A5027" s="214" t="s">
        <v>175</v>
      </c>
      <c r="B5027" s="214" t="s">
        <v>14</v>
      </c>
      <c r="C5027" s="228">
        <v>0.82291666666666596</v>
      </c>
      <c r="D5027" s="229">
        <v>0</v>
      </c>
      <c r="E5027" s="229">
        <v>0</v>
      </c>
      <c r="F5027" s="229">
        <v>0</v>
      </c>
      <c r="G5027" s="229">
        <v>0</v>
      </c>
      <c r="H5027" s="229">
        <v>0</v>
      </c>
      <c r="I5027" s="229">
        <v>0</v>
      </c>
      <c r="J5027" s="229">
        <v>0</v>
      </c>
    </row>
    <row r="5028" spans="1:10" s="217" customFormat="1">
      <c r="A5028" s="214" t="s">
        <v>175</v>
      </c>
      <c r="B5028" s="214" t="s">
        <v>14</v>
      </c>
      <c r="C5028" s="228">
        <v>0.82361111111111096</v>
      </c>
      <c r="D5028" s="229">
        <v>0</v>
      </c>
      <c r="E5028" s="229">
        <v>0</v>
      </c>
      <c r="F5028" s="229">
        <v>0</v>
      </c>
      <c r="G5028" s="229">
        <v>0</v>
      </c>
      <c r="H5028" s="229">
        <v>0</v>
      </c>
      <c r="I5028" s="229">
        <v>0</v>
      </c>
      <c r="J5028" s="229">
        <v>0</v>
      </c>
    </row>
    <row r="5029" spans="1:10" s="217" customFormat="1">
      <c r="A5029" s="214" t="s">
        <v>175</v>
      </c>
      <c r="B5029" s="214" t="s">
        <v>14</v>
      </c>
      <c r="C5029" s="228">
        <v>0.82430555555555496</v>
      </c>
      <c r="D5029" s="229">
        <v>0</v>
      </c>
      <c r="E5029" s="229">
        <v>0</v>
      </c>
      <c r="F5029" s="229">
        <v>0</v>
      </c>
      <c r="G5029" s="229">
        <v>0</v>
      </c>
      <c r="H5029" s="229">
        <v>0</v>
      </c>
      <c r="I5029" s="229">
        <v>0</v>
      </c>
      <c r="J5029" s="229">
        <v>0</v>
      </c>
    </row>
    <row r="5030" spans="1:10" s="217" customFormat="1">
      <c r="A5030" s="214" t="s">
        <v>175</v>
      </c>
      <c r="B5030" s="214" t="s">
        <v>14</v>
      </c>
      <c r="C5030" s="228">
        <v>0.82499999999999996</v>
      </c>
      <c r="D5030" s="229">
        <v>0</v>
      </c>
      <c r="E5030" s="229">
        <v>0</v>
      </c>
      <c r="F5030" s="229">
        <v>0</v>
      </c>
      <c r="G5030" s="229">
        <v>0</v>
      </c>
      <c r="H5030" s="229">
        <v>0</v>
      </c>
      <c r="I5030" s="229">
        <v>0</v>
      </c>
      <c r="J5030" s="229">
        <v>0</v>
      </c>
    </row>
    <row r="5031" spans="1:10" s="217" customFormat="1">
      <c r="A5031" s="214" t="s">
        <v>175</v>
      </c>
      <c r="B5031" s="214" t="s">
        <v>14</v>
      </c>
      <c r="C5031" s="228">
        <v>0.82569444444444395</v>
      </c>
      <c r="D5031" s="229">
        <v>0</v>
      </c>
      <c r="E5031" s="229">
        <v>0</v>
      </c>
      <c r="F5031" s="229">
        <v>0</v>
      </c>
      <c r="G5031" s="229">
        <v>0</v>
      </c>
      <c r="H5031" s="229">
        <v>0</v>
      </c>
      <c r="I5031" s="229">
        <v>0</v>
      </c>
      <c r="J5031" s="229">
        <v>0</v>
      </c>
    </row>
    <row r="5032" spans="1:10" s="217" customFormat="1">
      <c r="A5032" s="214" t="s">
        <v>175</v>
      </c>
      <c r="B5032" s="214" t="s">
        <v>14</v>
      </c>
      <c r="C5032" s="228">
        <v>0.82638888888888895</v>
      </c>
      <c r="D5032" s="229">
        <v>0</v>
      </c>
      <c r="E5032" s="229">
        <v>0</v>
      </c>
      <c r="F5032" s="229">
        <v>0</v>
      </c>
      <c r="G5032" s="229">
        <v>0</v>
      </c>
      <c r="H5032" s="229">
        <v>0</v>
      </c>
      <c r="I5032" s="229">
        <v>0</v>
      </c>
      <c r="J5032" s="229">
        <v>0</v>
      </c>
    </row>
    <row r="5033" spans="1:10" s="217" customFormat="1">
      <c r="A5033" s="214" t="s">
        <v>175</v>
      </c>
      <c r="B5033" s="214" t="s">
        <v>14</v>
      </c>
      <c r="C5033" s="228">
        <v>0.82708333333333295</v>
      </c>
      <c r="D5033" s="229">
        <v>0</v>
      </c>
      <c r="E5033" s="229">
        <v>0</v>
      </c>
      <c r="F5033" s="229">
        <v>0</v>
      </c>
      <c r="G5033" s="229">
        <v>0</v>
      </c>
      <c r="H5033" s="229">
        <v>0</v>
      </c>
      <c r="I5033" s="229">
        <v>0</v>
      </c>
      <c r="J5033" s="229">
        <v>0</v>
      </c>
    </row>
    <row r="5034" spans="1:10" s="217" customFormat="1">
      <c r="A5034" s="214" t="s">
        <v>175</v>
      </c>
      <c r="B5034" s="214" t="s">
        <v>14</v>
      </c>
      <c r="C5034" s="228">
        <v>0.82777777777777795</v>
      </c>
      <c r="D5034" s="229">
        <v>0</v>
      </c>
      <c r="E5034" s="229">
        <v>0</v>
      </c>
      <c r="F5034" s="229">
        <v>0</v>
      </c>
      <c r="G5034" s="229">
        <v>0</v>
      </c>
      <c r="H5034" s="229">
        <v>0</v>
      </c>
      <c r="I5034" s="229">
        <v>0</v>
      </c>
      <c r="J5034" s="229">
        <v>0</v>
      </c>
    </row>
    <row r="5035" spans="1:10" s="217" customFormat="1">
      <c r="A5035" s="214" t="s">
        <v>175</v>
      </c>
      <c r="B5035" s="214" t="s">
        <v>14</v>
      </c>
      <c r="C5035" s="228">
        <v>0.82847222222222205</v>
      </c>
      <c r="D5035" s="229">
        <v>0</v>
      </c>
      <c r="E5035" s="229">
        <v>0</v>
      </c>
      <c r="F5035" s="229">
        <v>0</v>
      </c>
      <c r="G5035" s="229">
        <v>0</v>
      </c>
      <c r="H5035" s="229">
        <v>0</v>
      </c>
      <c r="I5035" s="229">
        <v>0</v>
      </c>
      <c r="J5035" s="229">
        <v>0</v>
      </c>
    </row>
    <row r="5036" spans="1:10" s="217" customFormat="1">
      <c r="A5036" s="214" t="s">
        <v>175</v>
      </c>
      <c r="B5036" s="214" t="s">
        <v>14</v>
      </c>
      <c r="C5036" s="228">
        <v>0.82916666666666605</v>
      </c>
      <c r="D5036" s="229">
        <v>0</v>
      </c>
      <c r="E5036" s="229">
        <v>0</v>
      </c>
      <c r="F5036" s="229">
        <v>0</v>
      </c>
      <c r="G5036" s="229">
        <v>0</v>
      </c>
      <c r="H5036" s="229">
        <v>0</v>
      </c>
      <c r="I5036" s="229">
        <v>0</v>
      </c>
      <c r="J5036" s="229">
        <v>0</v>
      </c>
    </row>
    <row r="5037" spans="1:10" s="217" customFormat="1">
      <c r="A5037" s="214" t="s">
        <v>175</v>
      </c>
      <c r="B5037" s="214" t="s">
        <v>14</v>
      </c>
      <c r="C5037" s="228">
        <v>0.82986111111111105</v>
      </c>
      <c r="D5037" s="229">
        <v>0</v>
      </c>
      <c r="E5037" s="229">
        <v>0</v>
      </c>
      <c r="F5037" s="229">
        <v>0</v>
      </c>
      <c r="G5037" s="229">
        <v>0</v>
      </c>
      <c r="H5037" s="229">
        <v>0</v>
      </c>
      <c r="I5037" s="229">
        <v>0</v>
      </c>
      <c r="J5037" s="229">
        <v>0</v>
      </c>
    </row>
    <row r="5038" spans="1:10" s="217" customFormat="1">
      <c r="A5038" s="214" t="s">
        <v>175</v>
      </c>
      <c r="B5038" s="214" t="s">
        <v>14</v>
      </c>
      <c r="C5038" s="228">
        <v>0.83055555555555505</v>
      </c>
      <c r="D5038" s="229">
        <v>0</v>
      </c>
      <c r="E5038" s="229">
        <v>0</v>
      </c>
      <c r="F5038" s="229">
        <v>0</v>
      </c>
      <c r="G5038" s="229">
        <v>0</v>
      </c>
      <c r="H5038" s="229">
        <v>0</v>
      </c>
      <c r="I5038" s="229">
        <v>0</v>
      </c>
      <c r="J5038" s="229">
        <v>0</v>
      </c>
    </row>
    <row r="5039" spans="1:10" s="217" customFormat="1">
      <c r="A5039" s="214" t="s">
        <v>175</v>
      </c>
      <c r="B5039" s="214" t="s">
        <v>14</v>
      </c>
      <c r="C5039" s="228">
        <v>0.83125000000000004</v>
      </c>
      <c r="D5039" s="229">
        <v>0</v>
      </c>
      <c r="E5039" s="229">
        <v>0</v>
      </c>
      <c r="F5039" s="229">
        <v>0</v>
      </c>
      <c r="G5039" s="229">
        <v>0</v>
      </c>
      <c r="H5039" s="229">
        <v>0</v>
      </c>
      <c r="I5039" s="229">
        <v>0</v>
      </c>
      <c r="J5039" s="229">
        <v>0</v>
      </c>
    </row>
    <row r="5040" spans="1:10" s="217" customFormat="1">
      <c r="A5040" s="214" t="s">
        <v>175</v>
      </c>
      <c r="B5040" s="214" t="s">
        <v>14</v>
      </c>
      <c r="C5040" s="228">
        <v>0.83194444444444404</v>
      </c>
      <c r="D5040" s="229">
        <v>0</v>
      </c>
      <c r="E5040" s="229">
        <v>0</v>
      </c>
      <c r="F5040" s="229">
        <v>0</v>
      </c>
      <c r="G5040" s="229">
        <v>0</v>
      </c>
      <c r="H5040" s="229">
        <v>0</v>
      </c>
      <c r="I5040" s="229">
        <v>0</v>
      </c>
      <c r="J5040" s="229">
        <v>0</v>
      </c>
    </row>
    <row r="5041" spans="1:10" s="227" customFormat="1" ht="17.5" thickBot="1">
      <c r="A5041" s="224" t="s">
        <v>175</v>
      </c>
      <c r="B5041" s="224" t="s">
        <v>14</v>
      </c>
      <c r="C5041" s="232">
        <v>0.83263888888888904</v>
      </c>
      <c r="D5041" s="233">
        <v>0</v>
      </c>
      <c r="E5041" s="233">
        <v>0</v>
      </c>
      <c r="F5041" s="233">
        <v>0</v>
      </c>
      <c r="G5041" s="233">
        <v>0</v>
      </c>
      <c r="H5041" s="233">
        <v>0</v>
      </c>
      <c r="I5041" s="233">
        <v>0</v>
      </c>
      <c r="J5041" s="233">
        <v>0</v>
      </c>
    </row>
  </sheetData>
  <autoFilter ref="A1:J504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6" tint="0.39997558519241921"/>
  </sheetPr>
  <dimension ref="A1:R63"/>
  <sheetViews>
    <sheetView topLeftCell="A6" workbookViewId="0">
      <selection activeCell="F18" sqref="F18:F24"/>
    </sheetView>
  </sheetViews>
  <sheetFormatPr defaultColWidth="9" defaultRowHeight="15.5"/>
  <cols>
    <col min="1" max="1" width="12.36328125" style="7" bestFit="1" customWidth="1"/>
    <col min="2" max="2" width="23.7265625" style="7" bestFit="1" customWidth="1"/>
    <col min="3" max="5" width="17.6328125" style="7" customWidth="1"/>
    <col min="6" max="9" width="17.6328125" style="1" customWidth="1"/>
    <col min="10" max="12" width="16.26953125" style="1" bestFit="1" customWidth="1"/>
    <col min="13" max="17" width="9" style="1"/>
    <col min="18" max="18" width="9" style="1" hidden="1" customWidth="1"/>
    <col min="19" max="16384" width="9" style="1"/>
  </cols>
  <sheetData>
    <row r="1" spans="1:18" s="21" customFormat="1" ht="17">
      <c r="A1" s="18"/>
      <c r="B1" s="200"/>
      <c r="C1" s="19"/>
      <c r="D1" s="20"/>
      <c r="E1" s="20"/>
      <c r="F1" s="20"/>
      <c r="G1" s="20"/>
      <c r="H1" s="20"/>
      <c r="I1" s="20"/>
      <c r="J1" s="20"/>
    </row>
    <row r="2" spans="1:18" s="21" customFormat="1" ht="17">
      <c r="A2" s="201"/>
      <c r="B2" s="202"/>
      <c r="C2" s="19"/>
      <c r="D2" s="20"/>
      <c r="E2" s="20"/>
      <c r="F2" s="20"/>
      <c r="G2" s="20"/>
      <c r="H2" s="20"/>
      <c r="I2" s="20"/>
      <c r="J2" s="20"/>
    </row>
    <row r="3" spans="1:18" s="21" customFormat="1" ht="17">
      <c r="A3" s="18"/>
      <c r="B3" s="19"/>
      <c r="C3" s="19"/>
      <c r="D3" s="20"/>
      <c r="E3" s="20"/>
      <c r="F3" s="20"/>
      <c r="G3" s="20"/>
      <c r="H3" s="20"/>
      <c r="I3" s="20"/>
      <c r="J3" s="20"/>
    </row>
    <row r="4" spans="1:18" ht="15.75" customHeight="1">
      <c r="A4" s="23" t="s">
        <v>89</v>
      </c>
      <c r="B4" s="24"/>
    </row>
    <row r="5" spans="1:18" ht="15.75" customHeight="1">
      <c r="A5" s="7" t="s">
        <v>90</v>
      </c>
      <c r="B5" s="24"/>
      <c r="F5" s="12"/>
    </row>
    <row r="6" spans="1:18" ht="15.75" customHeight="1">
      <c r="R6" s="16" t="s">
        <v>21</v>
      </c>
    </row>
    <row r="7" spans="1:18" ht="15.75" customHeight="1">
      <c r="A7" s="7" t="s">
        <v>16</v>
      </c>
      <c r="B7" s="24"/>
      <c r="C7" s="15" t="s">
        <v>17</v>
      </c>
      <c r="R7" s="16" t="s">
        <v>22</v>
      </c>
    </row>
    <row r="8" spans="1:18" ht="15.75" customHeight="1">
      <c r="A8" s="7" t="s">
        <v>18</v>
      </c>
      <c r="B8" s="24"/>
      <c r="C8" s="12"/>
      <c r="D8" s="12"/>
      <c r="E8" s="10"/>
      <c r="F8" s="7"/>
      <c r="R8" s="16" t="s">
        <v>23</v>
      </c>
    </row>
    <row r="9" spans="1:18" ht="15.75" customHeight="1">
      <c r="A9" s="7" t="s">
        <v>19</v>
      </c>
      <c r="B9" s="24"/>
      <c r="C9" s="15" t="s">
        <v>20</v>
      </c>
      <c r="R9" s="16" t="s">
        <v>26</v>
      </c>
    </row>
    <row r="10" spans="1:18" ht="15.75" customHeight="1">
      <c r="R10" s="16" t="s">
        <v>28</v>
      </c>
    </row>
    <row r="11" spans="1:18" ht="15.75" customHeight="1">
      <c r="B11" s="72" t="s">
        <v>174</v>
      </c>
      <c r="C11" s="72" t="s">
        <v>99</v>
      </c>
      <c r="D11" s="73" t="s">
        <v>100</v>
      </c>
      <c r="E11" s="73" t="s">
        <v>162</v>
      </c>
      <c r="F11" s="72" t="s">
        <v>101</v>
      </c>
      <c r="G11" s="74" t="s">
        <v>102</v>
      </c>
      <c r="H11" s="74" t="s">
        <v>103</v>
      </c>
      <c r="I11" s="74" t="s">
        <v>105</v>
      </c>
      <c r="J11" s="74" t="s">
        <v>107</v>
      </c>
      <c r="K11" s="74" t="s">
        <v>108</v>
      </c>
      <c r="L11" s="74" t="s">
        <v>175</v>
      </c>
      <c r="R11" s="16" t="s">
        <v>29</v>
      </c>
    </row>
    <row r="12" spans="1:18" ht="15.75" customHeight="1">
      <c r="A12" s="7" t="s">
        <v>24</v>
      </c>
      <c r="B12" s="72" t="s">
        <v>176</v>
      </c>
      <c r="C12" s="25" t="s">
        <v>25</v>
      </c>
      <c r="D12" s="25" t="s">
        <v>25</v>
      </c>
      <c r="E12" s="25" t="s">
        <v>25</v>
      </c>
      <c r="F12" s="25" t="s">
        <v>25</v>
      </c>
      <c r="G12" s="75" t="s">
        <v>25</v>
      </c>
      <c r="H12" s="75" t="s">
        <v>25</v>
      </c>
      <c r="I12" s="75" t="s">
        <v>25</v>
      </c>
      <c r="J12" s="75" t="s">
        <v>25</v>
      </c>
      <c r="K12" s="75" t="s">
        <v>25</v>
      </c>
      <c r="L12" s="74" t="s">
        <v>176</v>
      </c>
      <c r="R12" s="16" t="s">
        <v>30</v>
      </c>
    </row>
    <row r="13" spans="1:18" ht="15.75" customHeight="1">
      <c r="A13" s="7" t="s">
        <v>27</v>
      </c>
      <c r="B13" s="72"/>
      <c r="C13" s="26"/>
      <c r="D13" s="26"/>
      <c r="E13" s="26"/>
      <c r="F13" s="27"/>
      <c r="G13" s="76"/>
      <c r="H13" s="76"/>
      <c r="I13" s="76"/>
      <c r="J13" s="77"/>
      <c r="K13" s="77"/>
      <c r="L13" s="74"/>
      <c r="R13" s="16"/>
    </row>
    <row r="14" spans="1:18" ht="15.75" customHeight="1">
      <c r="B14" s="10"/>
      <c r="C14" s="10"/>
      <c r="D14" s="10"/>
      <c r="E14" s="1"/>
      <c r="R14" s="16" t="s">
        <v>32</v>
      </c>
    </row>
    <row r="15" spans="1:18" ht="15.75" customHeight="1">
      <c r="F15" s="10"/>
      <c r="G15" s="10"/>
    </row>
    <row r="16" spans="1:18" ht="15.75" customHeight="1">
      <c r="A16" s="7" t="s">
        <v>31</v>
      </c>
      <c r="B16" s="7" t="s">
        <v>172</v>
      </c>
    </row>
    <row r="17" spans="1:8" ht="15.75" customHeight="1"/>
    <row r="18" spans="1:8" ht="15.75" customHeight="1">
      <c r="A18" s="7" t="s">
        <v>33</v>
      </c>
      <c r="B18" s="10" t="s">
        <v>34</v>
      </c>
      <c r="C18" s="10" t="s">
        <v>35</v>
      </c>
      <c r="D18" s="10" t="s">
        <v>36</v>
      </c>
      <c r="E18" s="10" t="s">
        <v>37</v>
      </c>
      <c r="F18" s="265"/>
      <c r="G18" s="10"/>
    </row>
    <row r="19" spans="1:8">
      <c r="A19" s="7" t="s">
        <v>38</v>
      </c>
      <c r="B19" s="26"/>
      <c r="C19" s="26"/>
      <c r="D19" s="26"/>
      <c r="E19" s="26"/>
      <c r="F19" s="266"/>
      <c r="G19" s="234"/>
    </row>
    <row r="20" spans="1:8" ht="15.75" customHeight="1">
      <c r="A20" s="7" t="s">
        <v>39</v>
      </c>
      <c r="B20" s="26"/>
      <c r="C20" s="26"/>
      <c r="D20" s="26"/>
      <c r="E20" s="26"/>
      <c r="F20" s="266"/>
      <c r="G20" s="234"/>
    </row>
    <row r="21" spans="1:8" ht="15.75" customHeight="1">
      <c r="A21" s="7" t="s">
        <v>40</v>
      </c>
      <c r="B21" s="27" t="s">
        <v>41</v>
      </c>
      <c r="C21" s="27" t="s">
        <v>41</v>
      </c>
      <c r="D21" s="27" t="s">
        <v>41</v>
      </c>
      <c r="E21" s="27" t="s">
        <v>41</v>
      </c>
      <c r="F21" s="267"/>
      <c r="G21" s="235"/>
    </row>
    <row r="22" spans="1:8" ht="15.75" customHeight="1">
      <c r="F22" s="268"/>
      <c r="G22" s="9"/>
      <c r="H22" s="9"/>
    </row>
    <row r="23" spans="1:8" ht="15.75" customHeight="1">
      <c r="F23" s="268"/>
    </row>
    <row r="24" spans="1:8">
      <c r="F24" s="268"/>
    </row>
    <row r="25" spans="1:8">
      <c r="A25" s="7" t="s">
        <v>42</v>
      </c>
    </row>
    <row r="26" spans="1:8">
      <c r="B26" s="1"/>
      <c r="C26" s="17">
        <f>E19</f>
        <v>0</v>
      </c>
      <c r="D26" s="1"/>
      <c r="E26" s="1"/>
      <c r="F26" s="262"/>
      <c r="G26" s="262"/>
    </row>
    <row r="27" spans="1:8">
      <c r="B27" s="1"/>
      <c r="C27" s="2" t="s">
        <v>37</v>
      </c>
      <c r="D27" s="1"/>
      <c r="E27" s="1"/>
      <c r="F27" s="262"/>
      <c r="G27" s="262"/>
    </row>
    <row r="28" spans="1:8">
      <c r="B28" s="1"/>
      <c r="C28" s="2"/>
      <c r="D28" s="1"/>
      <c r="E28" s="1"/>
      <c r="F28" s="262"/>
      <c r="G28" s="262"/>
    </row>
    <row r="29" spans="1:8">
      <c r="B29" s="3"/>
      <c r="C29" s="4"/>
      <c r="D29" s="3"/>
      <c r="E29" s="1"/>
      <c r="F29" s="262"/>
      <c r="G29" s="262"/>
    </row>
    <row r="30" spans="1:8">
      <c r="A30" s="17">
        <f>D19</f>
        <v>0</v>
      </c>
      <c r="B30" s="4" t="s">
        <v>36</v>
      </c>
      <c r="C30" s="5"/>
      <c r="D30" s="4" t="s">
        <v>34</v>
      </c>
      <c r="E30" s="17">
        <f>B19</f>
        <v>0</v>
      </c>
      <c r="F30" s="263"/>
      <c r="G30" s="264"/>
    </row>
    <row r="31" spans="1:8">
      <c r="B31" s="6"/>
      <c r="C31" s="4"/>
      <c r="D31" s="6"/>
      <c r="E31" s="1"/>
      <c r="F31" s="262"/>
      <c r="G31" s="262"/>
    </row>
    <row r="32" spans="1:8">
      <c r="B32" s="1"/>
      <c r="C32" s="2"/>
      <c r="D32" s="1"/>
      <c r="E32" s="1"/>
      <c r="F32" s="262"/>
      <c r="G32" s="262"/>
    </row>
    <row r="33" spans="2:7">
      <c r="B33" s="1"/>
      <c r="C33" s="2" t="s">
        <v>35</v>
      </c>
      <c r="D33" s="1"/>
      <c r="E33" s="1"/>
      <c r="F33" s="262"/>
      <c r="G33" s="262"/>
    </row>
    <row r="34" spans="2:7">
      <c r="B34" s="1"/>
      <c r="C34" s="17">
        <f>C19</f>
        <v>0</v>
      </c>
      <c r="D34" s="1"/>
      <c r="E34" s="1"/>
      <c r="F34" s="262"/>
      <c r="G34" s="262"/>
    </row>
    <row r="39" spans="2:7" ht="17.25" customHeight="1"/>
    <row r="42" spans="2:7" ht="16.75" customHeight="1"/>
    <row r="45" spans="2:7" ht="17.25" customHeight="1"/>
    <row r="63" ht="17.25" customHeight="1"/>
  </sheetData>
  <phoneticPr fontId="20" type="noConversion"/>
  <conditionalFormatting sqref="B19:G21">
    <cfRule type="expression" dxfId="1" priority="1" stopIfTrue="1">
      <formula>COUNTA(B$15)&lt;&gt;0</formula>
    </cfRule>
    <cfRule type="expression" dxfId="0" priority="2" stopIfTrue="1">
      <formula>COUNTA(B$19)&lt;&gt;0</formula>
    </cfRule>
  </conditionalFormatting>
  <dataValidations count="1">
    <dataValidation type="list" allowBlank="1" showInputMessage="1" showErrorMessage="1" sqref="B20:G20" xr:uid="{00000000-0002-0000-0100-000000000000}">
      <formula1>$R$6:$R$14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1:BY86"/>
  <sheetViews>
    <sheetView zoomScale="60" zoomScaleNormal="60" workbookViewId="0">
      <pane xSplit="8" ySplit="1" topLeftCell="I2" activePane="bottomRight" state="frozen"/>
      <selection activeCell="E4" sqref="E4"/>
      <selection pane="topRight" activeCell="E4" sqref="E4"/>
      <selection pane="bottomLeft" activeCell="E4" sqref="E4"/>
      <selection pane="bottomRight" activeCell="BW89" sqref="BW89"/>
    </sheetView>
  </sheetViews>
  <sheetFormatPr defaultColWidth="14.90625" defaultRowHeight="15.5"/>
  <cols>
    <col min="1" max="1" width="2.08984375" style="10" customWidth="1"/>
    <col min="2" max="2" width="26.6328125" style="10" bestFit="1" customWidth="1"/>
    <col min="3" max="3" width="10.36328125" style="10" bestFit="1" customWidth="1"/>
    <col min="4" max="4" width="15.1796875" style="10" bestFit="1" customWidth="1"/>
    <col min="5" max="5" width="11.1796875" style="10" bestFit="1" customWidth="1"/>
    <col min="6" max="6" width="10.453125" style="10" bestFit="1" customWidth="1"/>
    <col min="7" max="7" width="12.90625" style="10" bestFit="1" customWidth="1"/>
    <col min="8" max="8" width="2.08984375" style="10" customWidth="1"/>
    <col min="9" max="9" width="25.90625" style="10" customWidth="1"/>
    <col min="10" max="14" width="14.90625" style="10" customWidth="1"/>
    <col min="15" max="15" width="2.08984375" style="10" customWidth="1"/>
    <col min="16" max="16" width="25.90625" style="10" customWidth="1"/>
    <col min="17" max="21" width="14.90625" style="10" customWidth="1"/>
    <col min="22" max="22" width="2.08984375" style="10" customWidth="1"/>
    <col min="23" max="23" width="25.90625" style="10" customWidth="1"/>
    <col min="24" max="28" width="14.90625" style="10" customWidth="1"/>
    <col min="29" max="29" width="2.08984375" style="10" customWidth="1"/>
    <col min="30" max="30" width="25.90625" style="10" customWidth="1"/>
    <col min="31" max="35" width="14.90625" style="10" customWidth="1"/>
    <col min="36" max="36" width="2.08984375" style="10" customWidth="1"/>
    <col min="37" max="37" width="25.90625" style="10" customWidth="1"/>
    <col min="38" max="39" width="14.90625" style="10"/>
    <col min="40" max="42" width="14.90625" style="10" customWidth="1"/>
    <col min="43" max="43" width="2.08984375" style="10" customWidth="1"/>
    <col min="44" max="44" width="25.6328125" style="10" bestFit="1" customWidth="1"/>
    <col min="45" max="49" width="14.90625" style="10"/>
    <col min="50" max="50" width="2.08984375" style="10" customWidth="1"/>
    <col min="51" max="51" width="25.6328125" style="10" bestFit="1" customWidth="1"/>
    <col min="52" max="56" width="14.90625" style="10"/>
    <col min="57" max="57" width="2.08984375" style="10" customWidth="1"/>
    <col min="58" max="58" width="25.6328125" style="10" bestFit="1" customWidth="1"/>
    <col min="59" max="63" width="14.90625" style="10"/>
    <col min="64" max="64" width="2.08984375" style="10" customWidth="1"/>
    <col min="65" max="65" width="25.6328125" style="10" bestFit="1" customWidth="1"/>
    <col min="66" max="70" width="14.90625" style="10"/>
    <col min="71" max="71" width="2.08984375" style="10" customWidth="1"/>
    <col min="72" max="72" width="25.6328125" style="10" bestFit="1" customWidth="1"/>
    <col min="73" max="16384" width="14.90625" style="10"/>
  </cols>
  <sheetData>
    <row r="1" spans="2:77">
      <c r="B1" s="236" t="s">
        <v>174</v>
      </c>
      <c r="C1" s="236"/>
      <c r="D1" s="236"/>
      <c r="E1" s="236"/>
      <c r="F1" s="236"/>
      <c r="G1" s="236"/>
      <c r="I1" s="236" t="s">
        <v>99</v>
      </c>
      <c r="J1" s="236"/>
      <c r="K1" s="236"/>
      <c r="L1" s="236"/>
      <c r="M1" s="236"/>
      <c r="N1" s="236"/>
      <c r="P1" s="236" t="s">
        <v>100</v>
      </c>
      <c r="Q1" s="236"/>
      <c r="R1" s="236"/>
      <c r="S1" s="236"/>
      <c r="T1" s="236"/>
      <c r="U1" s="236"/>
      <c r="W1" s="236" t="s">
        <v>162</v>
      </c>
      <c r="X1" s="236"/>
      <c r="Y1" s="236"/>
      <c r="Z1" s="236"/>
      <c r="AA1" s="236"/>
      <c r="AB1" s="236"/>
      <c r="AD1" s="236" t="s">
        <v>101</v>
      </c>
      <c r="AE1" s="236"/>
      <c r="AF1" s="236"/>
      <c r="AG1" s="236"/>
      <c r="AH1" s="236"/>
      <c r="AI1" s="236"/>
      <c r="AK1" s="236" t="s">
        <v>102</v>
      </c>
      <c r="AL1" s="236"/>
      <c r="AM1" s="236"/>
      <c r="AN1" s="236"/>
      <c r="AO1" s="236"/>
      <c r="AP1" s="236"/>
      <c r="AR1" s="236" t="s">
        <v>123</v>
      </c>
      <c r="AS1" s="236"/>
      <c r="AT1" s="236"/>
      <c r="AU1" s="236"/>
      <c r="AV1" s="236"/>
      <c r="AW1" s="236"/>
      <c r="AY1" s="236" t="s">
        <v>124</v>
      </c>
      <c r="AZ1" s="236"/>
      <c r="BA1" s="236"/>
      <c r="BB1" s="236"/>
      <c r="BC1" s="236"/>
      <c r="BD1" s="236"/>
      <c r="BF1" s="236" t="s">
        <v>107</v>
      </c>
      <c r="BG1" s="236"/>
      <c r="BH1" s="236"/>
      <c r="BI1" s="236"/>
      <c r="BJ1" s="236"/>
      <c r="BK1" s="236"/>
      <c r="BM1" s="236" t="s">
        <v>108</v>
      </c>
      <c r="BN1" s="236"/>
      <c r="BO1" s="236"/>
      <c r="BP1" s="236"/>
      <c r="BQ1" s="236"/>
      <c r="BR1" s="236"/>
      <c r="BT1" s="236" t="s">
        <v>175</v>
      </c>
      <c r="BU1" s="236"/>
      <c r="BV1" s="236"/>
      <c r="BW1" s="236"/>
      <c r="BX1" s="236"/>
      <c r="BY1" s="236"/>
    </row>
    <row r="2" spans="2:77">
      <c r="B2" s="237" t="str">
        <f>'平日晨峰(07-09)'!$A$2</f>
        <v>A方向：</v>
      </c>
      <c r="C2" s="237"/>
      <c r="D2" s="237"/>
      <c r="E2" s="237"/>
      <c r="F2" s="237"/>
      <c r="G2" s="237"/>
      <c r="I2" s="237" t="str">
        <f>'平日晨峰(07-09)'!$A$2</f>
        <v>A方向：</v>
      </c>
      <c r="J2" s="237"/>
      <c r="K2" s="237"/>
      <c r="L2" s="237"/>
      <c r="M2" s="237"/>
      <c r="N2" s="237"/>
      <c r="P2" s="237" t="str">
        <f>'平日中午(11-13)'!$A$2</f>
        <v>A方向：</v>
      </c>
      <c r="Q2" s="237"/>
      <c r="R2" s="237"/>
      <c r="S2" s="237"/>
      <c r="T2" s="237"/>
      <c r="U2" s="237"/>
      <c r="W2" s="237" t="str">
        <f>'平日中午(12-14)'!$A$2</f>
        <v>A方向：</v>
      </c>
      <c r="X2" s="237"/>
      <c r="Y2" s="237"/>
      <c r="Z2" s="237"/>
      <c r="AA2" s="237"/>
      <c r="AB2" s="237"/>
      <c r="AD2" s="237" t="str">
        <f>'平日昏峰(17-19)'!$A$2</f>
        <v>A方向：</v>
      </c>
      <c r="AE2" s="237"/>
      <c r="AF2" s="237"/>
      <c r="AG2" s="237"/>
      <c r="AH2" s="237"/>
      <c r="AI2" s="237"/>
      <c r="AK2" s="237" t="str">
        <f>'假日(11-12)'!$A$2</f>
        <v>A方向：</v>
      </c>
      <c r="AL2" s="237"/>
      <c r="AM2" s="237"/>
      <c r="AN2" s="237"/>
      <c r="AO2" s="237"/>
      <c r="AP2" s="237"/>
      <c r="AR2" s="237" t="str">
        <f>'假日(1430-1530)'!$A$2</f>
        <v>A方向：</v>
      </c>
      <c r="AS2" s="237"/>
      <c r="AT2" s="237"/>
      <c r="AU2" s="237"/>
      <c r="AV2" s="237"/>
      <c r="AW2" s="237"/>
      <c r="AY2" s="237" t="str">
        <f>'假日(1730-1830)'!$A$2</f>
        <v>A方向：</v>
      </c>
      <c r="AZ2" s="237"/>
      <c r="BA2" s="237"/>
      <c r="BB2" s="237"/>
      <c r="BC2" s="237"/>
      <c r="BD2" s="237"/>
      <c r="BF2" s="237" t="str">
        <f>'假日(16-18)'!$A$2</f>
        <v>A方向：</v>
      </c>
      <c r="BG2" s="237"/>
      <c r="BH2" s="237"/>
      <c r="BI2" s="237"/>
      <c r="BJ2" s="237"/>
      <c r="BK2" s="237"/>
      <c r="BM2" s="237" t="str">
        <f>'假日(17-19)'!$A$2</f>
        <v>A方向：</v>
      </c>
      <c r="BN2" s="237"/>
      <c r="BO2" s="237"/>
      <c r="BP2" s="237"/>
      <c r="BQ2" s="237"/>
      <c r="BR2" s="237"/>
      <c r="BT2" s="237" t="str">
        <f>'假日(16-18)'!$A$2</f>
        <v>A方向：</v>
      </c>
      <c r="BU2" s="237"/>
      <c r="BV2" s="237"/>
      <c r="BW2" s="237"/>
      <c r="BX2" s="237"/>
      <c r="BY2" s="237"/>
    </row>
    <row r="3" spans="2:77">
      <c r="B3" s="165" t="s">
        <v>125</v>
      </c>
      <c r="C3" s="166" t="s">
        <v>126</v>
      </c>
      <c r="D3" s="167" t="s">
        <v>127</v>
      </c>
      <c r="E3" s="166" t="s">
        <v>128</v>
      </c>
      <c r="F3" s="166" t="s">
        <v>129</v>
      </c>
      <c r="G3" s="166" t="s">
        <v>130</v>
      </c>
      <c r="I3" s="165" t="s">
        <v>125</v>
      </c>
      <c r="J3" s="166" t="s">
        <v>126</v>
      </c>
      <c r="K3" s="167"/>
      <c r="L3" s="166" t="s">
        <v>128</v>
      </c>
      <c r="M3" s="166" t="s">
        <v>129</v>
      </c>
      <c r="N3" s="166" t="s">
        <v>130</v>
      </c>
      <c r="P3" s="165" t="s">
        <v>125</v>
      </c>
      <c r="Q3" s="166" t="s">
        <v>131</v>
      </c>
      <c r="R3" s="167" t="s">
        <v>127</v>
      </c>
      <c r="S3" s="166" t="s">
        <v>128</v>
      </c>
      <c r="T3" s="166" t="s">
        <v>129</v>
      </c>
      <c r="U3" s="166" t="s">
        <v>130</v>
      </c>
      <c r="W3" s="165" t="s">
        <v>125</v>
      </c>
      <c r="X3" s="166" t="s">
        <v>131</v>
      </c>
      <c r="Y3" s="167" t="s">
        <v>127</v>
      </c>
      <c r="Z3" s="166" t="s">
        <v>128</v>
      </c>
      <c r="AA3" s="166" t="s">
        <v>129</v>
      </c>
      <c r="AB3" s="166" t="s">
        <v>130</v>
      </c>
      <c r="AD3" s="165" t="s">
        <v>125</v>
      </c>
      <c r="AE3" s="166" t="s">
        <v>131</v>
      </c>
      <c r="AF3" s="167" t="s">
        <v>127</v>
      </c>
      <c r="AG3" s="166" t="s">
        <v>128</v>
      </c>
      <c r="AH3" s="166" t="s">
        <v>129</v>
      </c>
      <c r="AI3" s="166" t="s">
        <v>130</v>
      </c>
      <c r="AK3" s="165" t="s">
        <v>125</v>
      </c>
      <c r="AL3" s="166" t="s">
        <v>131</v>
      </c>
      <c r="AM3" s="167" t="s">
        <v>127</v>
      </c>
      <c r="AN3" s="166" t="s">
        <v>128</v>
      </c>
      <c r="AO3" s="166" t="s">
        <v>129</v>
      </c>
      <c r="AP3" s="166" t="s">
        <v>130</v>
      </c>
      <c r="AR3" s="165" t="s">
        <v>125</v>
      </c>
      <c r="AS3" s="166" t="s">
        <v>131</v>
      </c>
      <c r="AT3" s="167" t="s">
        <v>127</v>
      </c>
      <c r="AU3" s="166" t="s">
        <v>128</v>
      </c>
      <c r="AV3" s="166" t="s">
        <v>129</v>
      </c>
      <c r="AW3" s="166" t="s">
        <v>130</v>
      </c>
      <c r="AY3" s="165" t="s">
        <v>125</v>
      </c>
      <c r="AZ3" s="166" t="s">
        <v>131</v>
      </c>
      <c r="BA3" s="167" t="s">
        <v>127</v>
      </c>
      <c r="BB3" s="166" t="s">
        <v>128</v>
      </c>
      <c r="BC3" s="166" t="s">
        <v>129</v>
      </c>
      <c r="BD3" s="166" t="s">
        <v>130</v>
      </c>
      <c r="BF3" s="165" t="s">
        <v>125</v>
      </c>
      <c r="BG3" s="166" t="s">
        <v>131</v>
      </c>
      <c r="BH3" s="167" t="s">
        <v>127</v>
      </c>
      <c r="BI3" s="166" t="s">
        <v>128</v>
      </c>
      <c r="BJ3" s="166" t="s">
        <v>129</v>
      </c>
      <c r="BK3" s="166" t="s">
        <v>130</v>
      </c>
      <c r="BM3" s="165" t="s">
        <v>125</v>
      </c>
      <c r="BN3" s="166" t="s">
        <v>131</v>
      </c>
      <c r="BO3" s="167" t="s">
        <v>127</v>
      </c>
      <c r="BP3" s="166" t="s">
        <v>128</v>
      </c>
      <c r="BQ3" s="166" t="s">
        <v>129</v>
      </c>
      <c r="BR3" s="166" t="s">
        <v>130</v>
      </c>
      <c r="BT3" s="165" t="s">
        <v>125</v>
      </c>
      <c r="BU3" s="166" t="s">
        <v>131</v>
      </c>
      <c r="BV3" s="167" t="s">
        <v>127</v>
      </c>
      <c r="BW3" s="166" t="s">
        <v>128</v>
      </c>
      <c r="BX3" s="166" t="s">
        <v>129</v>
      </c>
      <c r="BY3" s="166" t="s">
        <v>130</v>
      </c>
    </row>
    <row r="4" spans="2:77">
      <c r="B4" s="168" t="s">
        <v>189</v>
      </c>
      <c r="C4" s="169" t="str">
        <f>IF(ISERROR($E4/F4),"-",$E4/F4)</f>
        <v>-</v>
      </c>
      <c r="D4" s="169" t="str">
        <f>IF(ISERROR($E4/G4),"-",$E4/G4)</f>
        <v>-</v>
      </c>
      <c r="E4" s="168">
        <f>('平日晨峰(0630-0830)'!$B$21+'平日晨峰(0630-0830)'!$B$40+'平日晨峰(0630-0830)'!$B$59+'平日晨峰(0630-0830)'!$B$78)*15</f>
        <v>0</v>
      </c>
      <c r="F4" s="168">
        <f>'平日晨峰(0630-0830)'!$F$21+'平日晨峰(0630-0830)'!$F$40+'平日晨峰(0630-0830)'!$F$59+'平日晨峰(0630-0830)'!$F$78</f>
        <v>0</v>
      </c>
      <c r="G4" s="168">
        <f>'平日晨峰(0630-0830)'!$H$21+'平日晨峰(0630-0830)'!$H$40+'平日晨峰(0630-0830)'!$H$59+'平日晨峰(0630-0830)'!$H$78</f>
        <v>0</v>
      </c>
      <c r="I4" s="168" t="s">
        <v>132</v>
      </c>
      <c r="J4" s="169" t="str">
        <f t="shared" ref="J4:K8" si="0">IF(ISERROR($L4/M4),"-",$L4/M4)</f>
        <v>-</v>
      </c>
      <c r="K4" s="169" t="str">
        <f t="shared" si="0"/>
        <v>-</v>
      </c>
      <c r="L4" s="168">
        <f>('平日晨峰(07-09)'!$B$21+'平日晨峰(07-09)'!$B$40+'平日晨峰(07-09)'!$B$59+'平日晨峰(07-09)'!$B$78)*15</f>
        <v>0</v>
      </c>
      <c r="M4" s="168">
        <f>'平日晨峰(07-09)'!$F$21+'平日晨峰(07-09)'!$F$40+'平日晨峰(07-09)'!$F$59+'平日晨峰(07-09)'!$F$78</f>
        <v>0</v>
      </c>
      <c r="N4" s="168">
        <f>'平日晨峰(07-09)'!$H$21+'平日晨峰(07-09)'!$H$40+'平日晨峰(07-09)'!$H$59+'平日晨峰(07-09)'!$H$78</f>
        <v>0</v>
      </c>
      <c r="P4" s="168" t="s">
        <v>133</v>
      </c>
      <c r="Q4" s="169" t="str">
        <f>IF(ISERROR($S4/T4),"-",$S4/T4)</f>
        <v>-</v>
      </c>
      <c r="R4" s="169" t="str">
        <f>IF(ISERROR($T4/U4),"-",$T4/U4)</f>
        <v>-</v>
      </c>
      <c r="S4" s="168">
        <f>('平日中午(11-13)'!$B$21+'平日中午(11-13)'!$B$40+'平日中午(11-13)'!$B$59+'平日中午(11-13)'!$B$78)*15</f>
        <v>0</v>
      </c>
      <c r="T4" s="168">
        <f>'平日中午(11-13)'!$F$21+'平日中午(11-13)'!$F$40+'平日中午(11-13)'!$F$59+'平日中午(11-13)'!$F$78</f>
        <v>0</v>
      </c>
      <c r="U4" s="168">
        <f>'平日中午(11-13)'!$H$21+'平日中午(11-13)'!$H$40+'平日中午(11-13)'!$H$59+'平日中午(11-13)'!$H$78</f>
        <v>0</v>
      </c>
      <c r="W4" s="168" t="s">
        <v>167</v>
      </c>
      <c r="X4" s="169" t="str">
        <f t="shared" ref="X4:Y8" si="1">IF(ISERROR($Z4/AA4),"-",$Z4/AA4)</f>
        <v>-</v>
      </c>
      <c r="Y4" s="169" t="str">
        <f t="shared" si="1"/>
        <v>-</v>
      </c>
      <c r="Z4" s="168">
        <f>('平日中午(12-14)'!$B$21+'平日中午(12-14)'!$B$40+'平日中午(12-14)'!$B$59+'平日中午(12-14)'!$B$78)*15</f>
        <v>0</v>
      </c>
      <c r="AA4" s="168">
        <f>'平日中午(12-14)'!$F$21+'平日中午(12-14)'!$F$40+'平日中午(12-14)'!$F$59+'平日中午(12-14)'!$F$78</f>
        <v>0</v>
      </c>
      <c r="AB4" s="168">
        <f>'平日中午(12-14)'!$H$21+'平日中午(12-14)'!$H$40+'平日中午(12-14)'!$H$59+'平日中午(12-14)'!$H$78</f>
        <v>0</v>
      </c>
      <c r="AD4" s="168" t="s">
        <v>134</v>
      </c>
      <c r="AE4" s="169" t="str">
        <f t="shared" ref="AE4:AF8" si="2">IF(ISERROR($AG4/AH4),"-",$AG4/AH4)</f>
        <v>-</v>
      </c>
      <c r="AF4" s="169" t="str">
        <f t="shared" si="2"/>
        <v>-</v>
      </c>
      <c r="AG4" s="168">
        <f>('平日昏峰(17-19)'!$B$21+'平日昏峰(17-19)'!$B$40+'平日昏峰(17-19)'!$B$59+'平日昏峰(17-19)'!$B$78)*15</f>
        <v>0</v>
      </c>
      <c r="AH4" s="168">
        <f>'平日昏峰(17-19)'!$F$21+'平日昏峰(17-19)'!$F$40+'平日昏峰(17-19)'!$F$59+'平日昏峰(17-19)'!$F$78</f>
        <v>0</v>
      </c>
      <c r="AI4" s="168">
        <f>'平日昏峰(17-19)'!$H$21+'平日昏峰(17-19)'!$H$40+'平日昏峰(17-19)'!$H$59+'平日昏峰(17-19)'!$H$78</f>
        <v>0</v>
      </c>
      <c r="AK4" s="168" t="s">
        <v>133</v>
      </c>
      <c r="AL4" s="169" t="str">
        <f t="shared" ref="AL4:AM8" si="3">IF(ISERROR($AN4/AO4),"-",$AN4/AO4)</f>
        <v>-</v>
      </c>
      <c r="AM4" s="169" t="str">
        <f t="shared" si="3"/>
        <v>-</v>
      </c>
      <c r="AN4" s="168">
        <f>('假日(11-12)'!$B$21+'假日(11-12)'!$B$40+'假日(11-12)'!$B$59+'假日(11-12)'!$B$78)*15</f>
        <v>0</v>
      </c>
      <c r="AO4" s="168">
        <f>'假日(11-12)'!$F$21+'假日(11-12)'!$F$40+'假日(11-12)'!$F$59+'假日(11-12)'!$F$78</f>
        <v>0</v>
      </c>
      <c r="AP4" s="168">
        <f>'假日(11-12)'!$H$21+'假日(11-12)'!$H$40+'假日(11-12)'!$H$59+'假日(11-12)'!$H$78</f>
        <v>0</v>
      </c>
      <c r="AR4" s="168" t="s">
        <v>135</v>
      </c>
      <c r="AS4" s="169" t="str">
        <f t="shared" ref="AS4:AT8" si="4">IF(ISERROR($AU4/AV4),"-",$AU4/AV4)</f>
        <v>-</v>
      </c>
      <c r="AT4" s="169" t="str">
        <f t="shared" si="4"/>
        <v>-</v>
      </c>
      <c r="AU4" s="168">
        <f>('假日(1430-1530)'!$B$21+'假日(1430-1530)'!$B$40+'假日(1430-1530)'!$B$59+'假日(1430-1530)'!$B$78)*15</f>
        <v>0</v>
      </c>
      <c r="AV4" s="168">
        <f>'假日(1430-1530)'!$F$21+'假日(1430-1530)'!$F$40+'假日(1430-1530)'!$F$59+'假日(1430-1530)'!$F$78</f>
        <v>0</v>
      </c>
      <c r="AW4" s="168">
        <f>'假日(1430-1530)'!$H$21+'假日(1430-1530)'!$H$40+'假日(1430-1530)'!$H$59+'假日(1430-1530)'!$H$78</f>
        <v>0</v>
      </c>
      <c r="AY4" s="168" t="s">
        <v>136</v>
      </c>
      <c r="AZ4" s="169" t="str">
        <f t="shared" ref="AZ4:BA8" si="5">IF(ISERROR($BB4/BC4),"-",$BB4/BC4)</f>
        <v>-</v>
      </c>
      <c r="BA4" s="169" t="str">
        <f t="shared" si="5"/>
        <v>-</v>
      </c>
      <c r="BB4" s="168">
        <f>('假日(1730-1830)'!$B$21+'假日(1730-1830)'!$B$40+'假日(1730-1830)'!$B$59+'假日(1730-1830)'!$B$78)*15</f>
        <v>0</v>
      </c>
      <c r="BC4" s="168">
        <f>'假日(1730-1830)'!$F$21+'假日(1730-1830)'!$F$40+'假日(1730-1830)'!$F$59+'假日(1730-1830)'!$F$78</f>
        <v>0</v>
      </c>
      <c r="BD4" s="168">
        <f>'假日(1730-1830)'!$H$21+'假日(1730-1830)'!$H$40+'假日(1730-1830)'!$H$59+'假日(1730-1830)'!$H$78</f>
        <v>0</v>
      </c>
      <c r="BF4" s="168" t="s">
        <v>137</v>
      </c>
      <c r="BG4" s="169" t="str">
        <f t="shared" ref="BG4:BH8" si="6">IF(ISERROR($BI4/BJ4),"-",$BI4/BJ4)</f>
        <v>-</v>
      </c>
      <c r="BH4" s="169" t="str">
        <f t="shared" si="6"/>
        <v>-</v>
      </c>
      <c r="BI4" s="168">
        <f>('假日(16-18)'!$B$21+'假日(16-18)'!$B$40+'假日(16-18)'!$B$59+'假日(16-18)'!$B$78)*15</f>
        <v>0</v>
      </c>
      <c r="BJ4" s="168">
        <f>'假日(16-18)'!$F$21+'假日(16-18)'!$F$40+'假日(16-18)'!$F$59+'假日(16-18)'!$F$78</f>
        <v>0</v>
      </c>
      <c r="BK4" s="168">
        <f>'假日(16-18)'!$H$21+'假日(16-18)'!$H$40+'假日(16-18)'!$H$59+'假日(16-18)'!$H$78</f>
        <v>0</v>
      </c>
      <c r="BM4" s="168" t="s">
        <v>134</v>
      </c>
      <c r="BN4" s="169" t="str">
        <f>IF(ISERROR($BP4/BQ4),"-",$BP4/BQ4)</f>
        <v>-</v>
      </c>
      <c r="BO4" s="169" t="str">
        <f t="shared" ref="BN4:BO8" si="7">IF(ISERROR($BP4/BR4),"-",$BP4/BR4)</f>
        <v>-</v>
      </c>
      <c r="BP4" s="168">
        <f>('假日(17-19)'!$B$21+'假日(17-19)'!$B$40+'假日(17-19)'!$B$59+'假日(17-19)'!$B$78)*15</f>
        <v>0</v>
      </c>
      <c r="BQ4" s="168">
        <f>'假日(17-19)'!$F$21+'假日(17-19)'!$F$40+'假日(17-19)'!$F$59+'假日(17-19)'!$F$78</f>
        <v>0</v>
      </c>
      <c r="BR4" s="168">
        <f>'假日(17-19)'!$H$21+'假日(17-19)'!$H$40+'假日(17-19)'!$H$59+'假日(17-19)'!$H$78</f>
        <v>0</v>
      </c>
      <c r="BT4" s="168" t="s">
        <v>137</v>
      </c>
      <c r="BU4" s="169" t="str">
        <f t="shared" ref="BU4:BU16" si="8">IF(ISERROR($BW4/BX4),"-",$BW4/BX4)</f>
        <v>-</v>
      </c>
      <c r="BV4" s="169" t="str">
        <f t="shared" ref="BV4:BV16" si="9">IF(ISERROR($BW4/BY4),"-",$BW4/BY4)</f>
        <v>-</v>
      </c>
      <c r="BW4" s="168">
        <f>('假日(16-20)'!$B$21+'假日(16-20)'!$B$40+'假日(16-20)'!$B$59+'假日(16-20)'!$B$78)*15</f>
        <v>0</v>
      </c>
      <c r="BX4" s="168">
        <f>'假日(16-20)'!$F$21+'假日(16-20)'!$F$40+'假日(16-20)'!$F$59+'假日(16-20)'!$F$78</f>
        <v>0</v>
      </c>
      <c r="BY4" s="168">
        <f>'假日(16-20)'!$H$21+'假日(16-20)'!$H$40+'假日(16-20)'!$H$59+'假日(16-20)'!$H$78</f>
        <v>0</v>
      </c>
    </row>
    <row r="5" spans="2:77">
      <c r="B5" s="168" t="s">
        <v>190</v>
      </c>
      <c r="C5" s="169" t="str">
        <f t="shared" ref="C5:D8" si="10">IF(ISERROR($E5/F5),"-",$E5/F5)</f>
        <v>-</v>
      </c>
      <c r="D5" s="169" t="str">
        <f t="shared" si="10"/>
        <v>-</v>
      </c>
      <c r="E5" s="168">
        <f>('平日晨峰(0630-0830)'!$B$40+'平日晨峰(0630-0830)'!$B$59+'平日晨峰(0630-0830)'!$B$78+'平日晨峰(0630-0830)'!$B$97)*15</f>
        <v>0</v>
      </c>
      <c r="F5" s="168">
        <f>'平日晨峰(0630-0830)'!$F$40+'平日晨峰(0630-0830)'!$F$59+'平日晨峰(0630-0830)'!$F$78+'平日晨峰(0630-0830)'!$F$97</f>
        <v>0</v>
      </c>
      <c r="G5" s="168">
        <f>'平日晨峰(0630-0830)'!$H$40+'平日晨峰(0630-0830)'!$H$59+'平日晨峰(0630-0830)'!$H$78+'平日晨峰(0630-0830)'!$H$97</f>
        <v>0</v>
      </c>
      <c r="I5" s="168" t="s">
        <v>138</v>
      </c>
      <c r="J5" s="169" t="str">
        <f t="shared" si="0"/>
        <v>-</v>
      </c>
      <c r="K5" s="169" t="str">
        <f t="shared" si="0"/>
        <v>-</v>
      </c>
      <c r="L5" s="168">
        <f>('平日晨峰(07-09)'!$B$40+'平日晨峰(07-09)'!$B$59+'平日晨峰(07-09)'!$B$78+'平日晨峰(07-09)'!$B$97)*15</f>
        <v>0</v>
      </c>
      <c r="M5" s="168">
        <f>'平日晨峰(07-09)'!$F$40+'平日晨峰(07-09)'!$F$59+'平日晨峰(07-09)'!$F$78+'平日晨峰(07-09)'!$F$97</f>
        <v>0</v>
      </c>
      <c r="N5" s="168">
        <f>'平日晨峰(07-09)'!$H$40+'平日晨峰(07-09)'!$H$59+'平日晨峰(07-09)'!$H$78+'平日晨峰(07-09)'!$H$97</f>
        <v>0</v>
      </c>
      <c r="P5" s="168" t="s">
        <v>139</v>
      </c>
      <c r="Q5" s="169" t="str">
        <f>IF(ISERROR($S5/T5),"-",$S5/T5)</f>
        <v>-</v>
      </c>
      <c r="R5" s="169" t="str">
        <f>IF(ISERROR($T5/U5),"-",$T5/U5)</f>
        <v>-</v>
      </c>
      <c r="S5" s="168">
        <f>('平日中午(11-13)'!$B$40+'平日中午(11-13)'!$B$59+'平日中午(11-13)'!$B$78+'平日中午(11-13)'!$B$97)*15</f>
        <v>0</v>
      </c>
      <c r="T5" s="168">
        <f>'平日中午(11-13)'!$F$40+'平日中午(11-13)'!$F$59+'平日中午(11-13)'!$F$78+'平日中午(11-13)'!$F$97</f>
        <v>0</v>
      </c>
      <c r="U5" s="168">
        <f>'平日中午(11-13)'!$H$40+'平日中午(11-13)'!$H$59+'平日中午(11-13)'!$H$78+'平日中午(11-13)'!$H$97</f>
        <v>0</v>
      </c>
      <c r="W5" s="168" t="s">
        <v>168</v>
      </c>
      <c r="X5" s="169" t="str">
        <f t="shared" si="1"/>
        <v>-</v>
      </c>
      <c r="Y5" s="169" t="str">
        <f t="shared" si="1"/>
        <v>-</v>
      </c>
      <c r="Z5" s="168">
        <f>('平日中午(12-14)'!$B$40+'平日中午(12-14)'!$B$59+'平日中午(12-14)'!$B$78+'平日中午(12-14)'!$B$97)*15</f>
        <v>0</v>
      </c>
      <c r="AA5" s="168">
        <f>'平日中午(12-14)'!$F$40+'平日中午(12-14)'!$F$59+'平日中午(12-14)'!$F$78+'平日中午(12-14)'!$F$97</f>
        <v>0</v>
      </c>
      <c r="AB5" s="168">
        <f>'平日中午(12-14)'!$H$40+'平日中午(12-14)'!$H$59+'平日中午(12-14)'!$H$78+'平日中午(12-14)'!$H$97</f>
        <v>0</v>
      </c>
      <c r="AD5" s="168" t="s">
        <v>140</v>
      </c>
      <c r="AE5" s="169" t="str">
        <f t="shared" si="2"/>
        <v>-</v>
      </c>
      <c r="AF5" s="169" t="str">
        <f t="shared" si="2"/>
        <v>-</v>
      </c>
      <c r="AG5" s="168">
        <f>('平日昏峰(17-19)'!$B$40+'平日昏峰(17-19)'!$B$59+'平日昏峰(17-19)'!$B$78+'平日昏峰(17-19)'!$B$97)*15</f>
        <v>0</v>
      </c>
      <c r="AH5" s="168">
        <f>'平日昏峰(17-19)'!$F$40+'平日昏峰(17-19)'!$F$59+'平日昏峰(17-19)'!$F$78+'平日昏峰(17-19)'!$F$97</f>
        <v>0</v>
      </c>
      <c r="AI5" s="168">
        <f>'平日昏峰(17-19)'!$H$40+'平日昏峰(17-19)'!$H$59+'平日昏峰(17-19)'!$H$78+'平日昏峰(17-19)'!$H$97</f>
        <v>0</v>
      </c>
      <c r="AK5" s="168"/>
      <c r="AL5" s="169" t="str">
        <f t="shared" si="3"/>
        <v>-</v>
      </c>
      <c r="AM5" s="169" t="str">
        <f t="shared" si="3"/>
        <v>-</v>
      </c>
      <c r="AN5" s="168"/>
      <c r="AO5" s="168"/>
      <c r="AP5" s="168"/>
      <c r="AR5" s="168"/>
      <c r="AS5" s="169" t="str">
        <f t="shared" si="4"/>
        <v>-</v>
      </c>
      <c r="AT5" s="169" t="str">
        <f t="shared" si="4"/>
        <v>-</v>
      </c>
      <c r="AU5" s="168"/>
      <c r="AV5" s="168"/>
      <c r="AW5" s="168"/>
      <c r="AY5" s="168"/>
      <c r="AZ5" s="169" t="str">
        <f t="shared" si="5"/>
        <v>-</v>
      </c>
      <c r="BA5" s="169" t="str">
        <f t="shared" si="5"/>
        <v>-</v>
      </c>
      <c r="BB5" s="168"/>
      <c r="BC5" s="168"/>
      <c r="BD5" s="168"/>
      <c r="BF5" s="168" t="s">
        <v>141</v>
      </c>
      <c r="BG5" s="169" t="str">
        <f t="shared" si="6"/>
        <v>-</v>
      </c>
      <c r="BH5" s="169" t="str">
        <f t="shared" si="6"/>
        <v>-</v>
      </c>
      <c r="BI5" s="168">
        <f>('假日(16-18)'!$B$40+'假日(16-18)'!$B$59+'假日(16-18)'!$B$78+'假日(16-18)'!$B$97)*15</f>
        <v>0</v>
      </c>
      <c r="BJ5" s="168">
        <f>'假日(16-18)'!$F$40+'假日(16-18)'!$F$59+'假日(16-18)'!$F$78+'假日(16-18)'!$F$97</f>
        <v>0</v>
      </c>
      <c r="BK5" s="168">
        <f>'假日(16-18)'!$H$40+'假日(16-18)'!$H$59+'假日(16-18)'!$H$78+'假日(16-18)'!$H$97</f>
        <v>0</v>
      </c>
      <c r="BM5" s="168" t="s">
        <v>140</v>
      </c>
      <c r="BN5" s="169" t="str">
        <f t="shared" si="7"/>
        <v>-</v>
      </c>
      <c r="BO5" s="169" t="str">
        <f t="shared" si="7"/>
        <v>-</v>
      </c>
      <c r="BP5" s="168">
        <f>('假日(17-19)'!$B$40+'假日(17-19)'!$B$59+'假日(17-19)'!$B$78+'假日(17-19)'!$B$97)*15</f>
        <v>0</v>
      </c>
      <c r="BQ5" s="168">
        <f>'假日(17-19)'!$F$40+'假日(17-19)'!$F$59+'假日(17-19)'!$F$78+'假日(17-19)'!$F$97</f>
        <v>0</v>
      </c>
      <c r="BR5" s="168">
        <f>'假日(17-19)'!$H$40+'假日(17-19)'!$H$59+'假日(17-19)'!$H$78+'假日(17-19)'!$H$97</f>
        <v>0</v>
      </c>
      <c r="BT5" s="168" t="s">
        <v>141</v>
      </c>
      <c r="BU5" s="169" t="str">
        <f t="shared" si="8"/>
        <v>-</v>
      </c>
      <c r="BV5" s="169" t="str">
        <f t="shared" si="9"/>
        <v>-</v>
      </c>
      <c r="BW5" s="168">
        <f>('假日(16-20)'!$B$40+'假日(16-20)'!$B$59+'假日(16-20)'!$B$78+'假日(16-20)'!$B$97)*15</f>
        <v>0</v>
      </c>
      <c r="BX5" s="168">
        <f>'假日(16-20)'!$F$40+'假日(16-20)'!$F$59+'假日(16-20)'!$F$78+'假日(16-20)'!$F$97</f>
        <v>0</v>
      </c>
      <c r="BY5" s="168">
        <f>'假日(16-20)'!$H$40+'假日(16-20)'!$H$59+'假日(16-20)'!$H$78+'假日(16-20)'!$H$97</f>
        <v>0</v>
      </c>
    </row>
    <row r="6" spans="2:77">
      <c r="B6" s="168" t="s">
        <v>191</v>
      </c>
      <c r="C6" s="169" t="str">
        <f t="shared" si="10"/>
        <v>-</v>
      </c>
      <c r="D6" s="169" t="str">
        <f t="shared" si="10"/>
        <v>-</v>
      </c>
      <c r="E6" s="168">
        <f>('平日晨峰(0630-0830)'!$B$59+'平日晨峰(0630-0830)'!$B$78+'平日晨峰(0630-0830)'!$B$97+'平日晨峰(0630-0830)'!$B$116)*15</f>
        <v>0</v>
      </c>
      <c r="F6" s="168">
        <f>'平日晨峰(0630-0830)'!$F$59+'平日晨峰(0630-0830)'!$F$78+'平日晨峰(0630-0830)'!$F$97+'平日晨峰(0630-0830)'!$F$116</f>
        <v>0</v>
      </c>
      <c r="G6" s="168">
        <f>'平日晨峰(0630-0830)'!$H$59+'平日晨峰(0630-0830)'!$H$78+'平日晨峰(0630-0830)'!$H$97+'平日晨峰(0630-0830)'!$H$116</f>
        <v>0</v>
      </c>
      <c r="I6" s="168" t="s">
        <v>142</v>
      </c>
      <c r="J6" s="169" t="str">
        <f t="shared" si="0"/>
        <v>-</v>
      </c>
      <c r="K6" s="169" t="str">
        <f t="shared" si="0"/>
        <v>-</v>
      </c>
      <c r="L6" s="168">
        <f>('平日晨峰(07-09)'!$B$59+'平日晨峰(07-09)'!$B$78+'平日晨峰(07-09)'!$B$97+'平日晨峰(07-09)'!$B$116)*15</f>
        <v>0</v>
      </c>
      <c r="M6" s="168">
        <f>'平日晨峰(07-09)'!$F$59+'平日晨峰(07-09)'!$F$78+'平日晨峰(07-09)'!$F$97+'平日晨峰(07-09)'!$F$116</f>
        <v>0</v>
      </c>
      <c r="N6" s="168">
        <f>'平日晨峰(07-09)'!$H$59+'平日晨峰(07-09)'!$H$78+'平日晨峰(07-09)'!$H$97+'平日晨峰(07-09)'!$H$116</f>
        <v>0</v>
      </c>
      <c r="P6" s="168" t="s">
        <v>143</v>
      </c>
      <c r="Q6" s="169" t="str">
        <f>IF(ISERROR($S6/T6),"-",$S6/T6)</f>
        <v>-</v>
      </c>
      <c r="R6" s="169" t="str">
        <f>IF(ISERROR($T6/U6),"-",$T6/U6)</f>
        <v>-</v>
      </c>
      <c r="S6" s="168">
        <f>('平日中午(11-13)'!$B$59+'平日中午(11-13)'!$B$78+'平日中午(11-13)'!$B$97+'平日中午(11-13)'!$B$116)*15</f>
        <v>0</v>
      </c>
      <c r="T6" s="168">
        <f>'平日中午(11-13)'!$F$59+'平日中午(11-13)'!$F$78+'平日中午(11-13)'!$F$97+'平日中午(11-13)'!$F$116</f>
        <v>0</v>
      </c>
      <c r="U6" s="168">
        <f>'平日中午(11-13)'!$H$59+'平日中午(11-13)'!$H$78+'平日中午(11-13)'!$H$97+'平日中午(11-13)'!$H$116</f>
        <v>0</v>
      </c>
      <c r="W6" s="168" t="s">
        <v>169</v>
      </c>
      <c r="X6" s="169" t="str">
        <f t="shared" si="1"/>
        <v>-</v>
      </c>
      <c r="Y6" s="169" t="str">
        <f t="shared" si="1"/>
        <v>-</v>
      </c>
      <c r="Z6" s="168">
        <f>('平日中午(12-14)'!$B$59+'平日中午(12-14)'!$B$78+'平日中午(12-14)'!$B$97+'平日中午(12-14)'!$B$116)*15</f>
        <v>0</v>
      </c>
      <c r="AA6" s="168">
        <f>'平日中午(12-14)'!$F$59+'平日中午(12-14)'!$F$78+'平日中午(12-14)'!$F$97+'平日中午(12-14)'!$F$116</f>
        <v>0</v>
      </c>
      <c r="AB6" s="168">
        <f>'平日中午(12-14)'!$H$59+'平日中午(12-14)'!$H$78+'平日中午(12-14)'!$H$97+'平日中午(12-14)'!$H$116</f>
        <v>0</v>
      </c>
      <c r="AD6" s="168" t="s">
        <v>136</v>
      </c>
      <c r="AE6" s="169" t="str">
        <f t="shared" si="2"/>
        <v>-</v>
      </c>
      <c r="AF6" s="169" t="str">
        <f t="shared" si="2"/>
        <v>-</v>
      </c>
      <c r="AG6" s="168">
        <f>('平日昏峰(17-19)'!$B$59+'平日昏峰(17-19)'!$B$78+'平日昏峰(17-19)'!$B$97+'平日昏峰(17-19)'!$B$116)*15</f>
        <v>0</v>
      </c>
      <c r="AH6" s="168">
        <f>'平日昏峰(17-19)'!$F$59+'平日昏峰(17-19)'!$F$78+'平日昏峰(17-19)'!$F$97+'平日昏峰(17-19)'!$F$116</f>
        <v>0</v>
      </c>
      <c r="AI6" s="168">
        <f>'平日昏峰(17-19)'!$H$59+'平日昏峰(17-19)'!$H$78+'平日昏峰(17-19)'!$H$97+'平日昏峰(17-19)'!$H$116</f>
        <v>0</v>
      </c>
      <c r="AK6" s="168"/>
      <c r="AL6" s="169" t="str">
        <f t="shared" si="3"/>
        <v>-</v>
      </c>
      <c r="AM6" s="169" t="str">
        <f t="shared" si="3"/>
        <v>-</v>
      </c>
      <c r="AN6" s="168"/>
      <c r="AO6" s="168"/>
      <c r="AP6" s="168"/>
      <c r="AR6" s="168"/>
      <c r="AS6" s="169" t="str">
        <f t="shared" si="4"/>
        <v>-</v>
      </c>
      <c r="AT6" s="169" t="str">
        <f t="shared" si="4"/>
        <v>-</v>
      </c>
      <c r="AU6" s="168"/>
      <c r="AV6" s="168"/>
      <c r="AW6" s="168"/>
      <c r="AY6" s="168"/>
      <c r="AZ6" s="169" t="str">
        <f t="shared" si="5"/>
        <v>-</v>
      </c>
      <c r="BA6" s="169" t="str">
        <f t="shared" si="5"/>
        <v>-</v>
      </c>
      <c r="BB6" s="168"/>
      <c r="BC6" s="168"/>
      <c r="BD6" s="168"/>
      <c r="BF6" s="168" t="s">
        <v>144</v>
      </c>
      <c r="BG6" s="169" t="str">
        <f t="shared" si="6"/>
        <v>-</v>
      </c>
      <c r="BH6" s="169" t="str">
        <f t="shared" si="6"/>
        <v>-</v>
      </c>
      <c r="BI6" s="168">
        <f>('假日(16-18)'!$B$59+'假日(16-18)'!$B$78+'假日(16-18)'!$B$97+'假日(16-18)'!$B$116)*15</f>
        <v>0</v>
      </c>
      <c r="BJ6" s="168">
        <f>'假日(16-18)'!$F$59+'假日(16-18)'!$F$78+'假日(16-18)'!$F$97+'假日(16-18)'!$F$116</f>
        <v>0</v>
      </c>
      <c r="BK6" s="168">
        <f>'假日(16-18)'!$H$59+'假日(16-18)'!$H$78+'假日(16-18)'!$H$97+'假日(16-18)'!$H$116</f>
        <v>0</v>
      </c>
      <c r="BM6" s="168" t="s">
        <v>136</v>
      </c>
      <c r="BN6" s="169" t="str">
        <f t="shared" si="7"/>
        <v>-</v>
      </c>
      <c r="BO6" s="169" t="str">
        <f t="shared" si="7"/>
        <v>-</v>
      </c>
      <c r="BP6" s="168">
        <f>('假日(17-19)'!$B$59+'假日(17-19)'!$B$78+'假日(17-19)'!$B$97+'假日(17-19)'!$B$116)*15</f>
        <v>0</v>
      </c>
      <c r="BQ6" s="168">
        <f>'假日(17-19)'!$F$59+'假日(17-19)'!$F$78+'假日(17-19)'!$F$97+'假日(17-19)'!$F$116</f>
        <v>0</v>
      </c>
      <c r="BR6" s="168">
        <f>'假日(17-19)'!$H$59+'假日(17-19)'!$H$78+'假日(17-19)'!$H$97+'假日(17-19)'!$H$116</f>
        <v>0</v>
      </c>
      <c r="BT6" s="168" t="s">
        <v>144</v>
      </c>
      <c r="BU6" s="169" t="str">
        <f t="shared" si="8"/>
        <v>-</v>
      </c>
      <c r="BV6" s="169" t="str">
        <f t="shared" si="9"/>
        <v>-</v>
      </c>
      <c r="BW6" s="168">
        <f>('假日(16-20)'!$B$59+'假日(16-20)'!$B$78+'假日(16-20)'!$B$97+'假日(16-20)'!$B$116)*15</f>
        <v>0</v>
      </c>
      <c r="BX6" s="168">
        <f>'假日(16-20)'!$F$59+'假日(16-20)'!$F$78+'假日(16-20)'!$F$97+'假日(16-20)'!$F$116</f>
        <v>0</v>
      </c>
      <c r="BY6" s="168">
        <f>'假日(16-20)'!$H$59+'假日(16-20)'!$H$78+'假日(16-20)'!$H$97+'假日(16-20)'!$H$116</f>
        <v>0</v>
      </c>
    </row>
    <row r="7" spans="2:77">
      <c r="B7" s="168" t="s">
        <v>192</v>
      </c>
      <c r="C7" s="169" t="str">
        <f t="shared" si="10"/>
        <v>-</v>
      </c>
      <c r="D7" s="169" t="str">
        <f t="shared" si="10"/>
        <v>-</v>
      </c>
      <c r="E7" s="168">
        <f>('平日晨峰(0630-0830)'!$B$78+'平日晨峰(0630-0830)'!$B$97+'平日晨峰(0630-0830)'!$B$116+'平日晨峰(0630-0830)'!$B$135)*15</f>
        <v>0</v>
      </c>
      <c r="F7" s="168">
        <f>'平日晨峰(0630-0830)'!$F$78+'平日晨峰(0630-0830)'!$F$97+'平日晨峰(0630-0830)'!$F$116+'平日晨峰(0630-0830)'!$F$135</f>
        <v>0</v>
      </c>
      <c r="G7" s="168">
        <f>'平日晨峰(0630-0830)'!$H$78+'平日晨峰(0630-0830)'!$H$97+'平日晨峰(0630-0830)'!$H$116+'平日晨峰(0630-0830)'!$H$135</f>
        <v>0</v>
      </c>
      <c r="I7" s="168" t="s">
        <v>145</v>
      </c>
      <c r="J7" s="169" t="str">
        <f t="shared" si="0"/>
        <v>-</v>
      </c>
      <c r="K7" s="169" t="str">
        <f t="shared" si="0"/>
        <v>-</v>
      </c>
      <c r="L7" s="168">
        <f>('平日晨峰(07-09)'!$B$78+'平日晨峰(07-09)'!$B$97+'平日晨峰(07-09)'!$B$116+'平日晨峰(07-09)'!$B$135)*15</f>
        <v>0</v>
      </c>
      <c r="M7" s="168">
        <f>'平日晨峰(07-09)'!$F$78+'平日晨峰(07-09)'!$F$97+'平日晨峰(07-09)'!$F$116+'平日晨峰(07-09)'!$F$135</f>
        <v>0</v>
      </c>
      <c r="N7" s="168">
        <f>'平日晨峰(07-09)'!$H$78+'平日晨峰(07-09)'!$H$97+'平日晨峰(07-09)'!$H$116+'平日晨峰(07-09)'!$H$135</f>
        <v>0</v>
      </c>
      <c r="P7" s="168" t="s">
        <v>146</v>
      </c>
      <c r="Q7" s="169" t="str">
        <f>IF(ISERROR($S7/T7),"-",$S7/T7)</f>
        <v>-</v>
      </c>
      <c r="R7" s="169" t="str">
        <f>IF(ISERROR($T7/U7),"-",$T7/U7)</f>
        <v>-</v>
      </c>
      <c r="S7" s="168">
        <f>('平日中午(11-13)'!$B$78+'平日中午(11-13)'!$B$97+'平日中午(11-13)'!$B$116+'平日中午(11-13)'!$B$135)*15</f>
        <v>0</v>
      </c>
      <c r="T7" s="168">
        <f>'平日中午(11-13)'!$F$78+'平日中午(11-13)'!$F$97+'平日中午(11-13)'!$F$116+'平日中午(11-13)'!$F$135</f>
        <v>0</v>
      </c>
      <c r="U7" s="168">
        <f>'平日中午(11-13)'!$H$78+'平日中午(11-13)'!$H$97+'平日中午(11-13)'!$H$116+'平日中午(11-13)'!$H$135</f>
        <v>0</v>
      </c>
      <c r="W7" s="168" t="s">
        <v>170</v>
      </c>
      <c r="X7" s="169" t="str">
        <f t="shared" si="1"/>
        <v>-</v>
      </c>
      <c r="Y7" s="169" t="str">
        <f t="shared" si="1"/>
        <v>-</v>
      </c>
      <c r="Z7" s="168">
        <f>('平日中午(12-14)'!$B$78+'平日中午(12-14)'!$B$97+'平日中午(12-14)'!$B$116+'平日中午(12-14)'!$B$135)*15</f>
        <v>0</v>
      </c>
      <c r="AA7" s="168">
        <f>'平日中午(12-14)'!$F$78+'平日中午(12-14)'!$F$97+'平日中午(12-14)'!$F$116+'平日中午(12-14)'!$F$135</f>
        <v>0</v>
      </c>
      <c r="AB7" s="168">
        <f>'平日中午(12-14)'!$H$78+'平日中午(12-14)'!$H$97+'平日中午(12-14)'!$H$116+'平日中午(12-14)'!$H$135</f>
        <v>0</v>
      </c>
      <c r="AD7" s="168" t="s">
        <v>147</v>
      </c>
      <c r="AE7" s="169" t="str">
        <f t="shared" si="2"/>
        <v>-</v>
      </c>
      <c r="AF7" s="169" t="str">
        <f t="shared" si="2"/>
        <v>-</v>
      </c>
      <c r="AG7" s="168">
        <f>('平日昏峰(17-19)'!$B$78+'平日昏峰(17-19)'!$B$97+'平日昏峰(17-19)'!$B$116+'平日昏峰(17-19)'!$B$135)*15</f>
        <v>0</v>
      </c>
      <c r="AH7" s="168">
        <f>'平日昏峰(17-19)'!$F$78+'平日昏峰(17-19)'!$F$97+'平日昏峰(17-19)'!$F$116+'平日昏峰(17-19)'!$F$135</f>
        <v>0</v>
      </c>
      <c r="AI7" s="168">
        <f>'平日昏峰(17-19)'!$H$78+'平日昏峰(17-19)'!$H$97+'平日昏峰(17-19)'!$H$116+'平日昏峰(17-19)'!$H$135</f>
        <v>0</v>
      </c>
      <c r="AK7" s="168"/>
      <c r="AL7" s="169" t="str">
        <f t="shared" si="3"/>
        <v>-</v>
      </c>
      <c r="AM7" s="169" t="str">
        <f t="shared" si="3"/>
        <v>-</v>
      </c>
      <c r="AN7" s="168"/>
      <c r="AO7" s="168"/>
      <c r="AP7" s="168"/>
      <c r="AR7" s="168"/>
      <c r="AS7" s="169" t="str">
        <f t="shared" si="4"/>
        <v>-</v>
      </c>
      <c r="AT7" s="169" t="str">
        <f t="shared" si="4"/>
        <v>-</v>
      </c>
      <c r="AU7" s="168"/>
      <c r="AV7" s="168"/>
      <c r="AW7" s="168"/>
      <c r="AY7" s="168"/>
      <c r="AZ7" s="169" t="str">
        <f t="shared" si="5"/>
        <v>-</v>
      </c>
      <c r="BA7" s="169" t="str">
        <f t="shared" si="5"/>
        <v>-</v>
      </c>
      <c r="BB7" s="168"/>
      <c r="BC7" s="168"/>
      <c r="BD7" s="168"/>
      <c r="BF7" s="168" t="s">
        <v>148</v>
      </c>
      <c r="BG7" s="169" t="str">
        <f t="shared" si="6"/>
        <v>-</v>
      </c>
      <c r="BH7" s="169" t="str">
        <f t="shared" si="6"/>
        <v>-</v>
      </c>
      <c r="BI7" s="168">
        <f>('假日(16-18)'!$B$78+'假日(16-18)'!$B$97+'假日(16-18)'!$B$116+'假日(16-18)'!$B$135)*15</f>
        <v>0</v>
      </c>
      <c r="BJ7" s="168">
        <f>'假日(16-18)'!$F$78+'假日(16-18)'!$F$97+'假日(16-18)'!$F$116+'假日(16-18)'!$F$135</f>
        <v>0</v>
      </c>
      <c r="BK7" s="168">
        <f>'假日(16-18)'!$H$78+'假日(16-18)'!$H$97+'假日(16-18)'!$H$116+'假日(16-18)'!$H$135</f>
        <v>0</v>
      </c>
      <c r="BM7" s="168" t="s">
        <v>147</v>
      </c>
      <c r="BN7" s="169" t="str">
        <f t="shared" si="7"/>
        <v>-</v>
      </c>
      <c r="BO7" s="169" t="str">
        <f t="shared" si="7"/>
        <v>-</v>
      </c>
      <c r="BP7" s="168">
        <f>('假日(17-19)'!$B$78+'假日(17-19)'!$B$97+'假日(17-19)'!$B$116+'假日(17-19)'!$B$135)*15</f>
        <v>0</v>
      </c>
      <c r="BQ7" s="168">
        <f>'假日(17-19)'!$F$78+'假日(17-19)'!$F$97+'假日(17-19)'!$F$116+'假日(17-19)'!$F$135</f>
        <v>0</v>
      </c>
      <c r="BR7" s="168">
        <f>'假日(17-19)'!$H$78+'假日(17-19)'!$H$97+'假日(17-19)'!$H$116+'假日(17-19)'!$H$135</f>
        <v>0</v>
      </c>
      <c r="BT7" s="168" t="s">
        <v>148</v>
      </c>
      <c r="BU7" s="169" t="str">
        <f t="shared" si="8"/>
        <v>-</v>
      </c>
      <c r="BV7" s="169" t="str">
        <f t="shared" si="9"/>
        <v>-</v>
      </c>
      <c r="BW7" s="168">
        <f>('假日(16-20)'!$B$78+'假日(16-20)'!$B$97+'假日(16-20)'!$B$116+'假日(16-20)'!$B$135)*15</f>
        <v>0</v>
      </c>
      <c r="BX7" s="168">
        <f>'假日(16-20)'!$F$78+'假日(16-20)'!$F$97+'假日(16-20)'!$F$116+'假日(16-20)'!$F$135</f>
        <v>0</v>
      </c>
      <c r="BY7" s="168">
        <f>'假日(16-20)'!$H$78+'假日(16-20)'!$H$97+'假日(16-20)'!$H$116+'假日(16-20)'!$H$135</f>
        <v>0</v>
      </c>
    </row>
    <row r="8" spans="2:77">
      <c r="B8" s="168" t="s">
        <v>193</v>
      </c>
      <c r="C8" s="169" t="str">
        <f t="shared" si="10"/>
        <v>-</v>
      </c>
      <c r="D8" s="169" t="str">
        <f>IF(ISERROR($E8/G8),"-",$E8/G8)</f>
        <v>-</v>
      </c>
      <c r="E8" s="168">
        <f>('平日晨峰(0630-0830)'!$B$97+'平日晨峰(0630-0830)'!$B$116+'平日晨峰(0630-0830)'!$B$135+'平日晨峰(0630-0830)'!$B$154)*15</f>
        <v>0</v>
      </c>
      <c r="F8" s="168">
        <f>'平日晨峰(0630-0830)'!$F$97+'平日晨峰(0630-0830)'!$F$116+'平日晨峰(0630-0830)'!$F$135+'平日晨峰(0630-0830)'!$F$154</f>
        <v>0</v>
      </c>
      <c r="G8" s="168">
        <f>'平日晨峰(0630-0830)'!$H$97+'平日晨峰(0630-0830)'!$H$116+'平日晨峰(0630-0830)'!$H$135+'平日晨峰(0630-0830)'!$H$154</f>
        <v>0</v>
      </c>
      <c r="I8" s="168" t="s">
        <v>149</v>
      </c>
      <c r="J8" s="169" t="str">
        <f t="shared" si="0"/>
        <v>-</v>
      </c>
      <c r="K8" s="169" t="str">
        <f t="shared" si="0"/>
        <v>-</v>
      </c>
      <c r="L8" s="168">
        <f>('平日晨峰(07-09)'!$B$97+'平日晨峰(07-09)'!$B$116+'平日晨峰(07-09)'!$B$135+'平日晨峰(07-09)'!$B$154)*15</f>
        <v>0</v>
      </c>
      <c r="M8" s="168">
        <f>'平日晨峰(07-09)'!$F$97+'平日晨峰(07-09)'!$F$116+'平日晨峰(07-09)'!$F$135+'平日晨峰(07-09)'!$F$154</f>
        <v>0</v>
      </c>
      <c r="N8" s="168">
        <f>'平日晨峰(07-09)'!$H$97+'平日晨峰(07-09)'!$H$116+'平日晨峰(07-09)'!$H$135+'平日晨峰(07-09)'!$H$154</f>
        <v>0</v>
      </c>
      <c r="P8" s="168" t="s">
        <v>150</v>
      </c>
      <c r="Q8" s="169" t="str">
        <f>IF(ISERROR($S8/T8),"-",$S8/T8)</f>
        <v>-</v>
      </c>
      <c r="R8" s="169" t="str">
        <f>IF(ISERROR($T8/U8),"-",$T8/U8)</f>
        <v>-</v>
      </c>
      <c r="S8" s="168">
        <f>('平日中午(11-13)'!$B$97+'平日中午(11-13)'!$B$116+'平日中午(11-13)'!$B$135+'平日中午(11-13)'!$B$154)*15</f>
        <v>0</v>
      </c>
      <c r="T8" s="168">
        <f>'平日中午(11-13)'!$F$97+'平日中午(11-13)'!$F$116+'平日中午(11-13)'!$F$135+'平日中午(11-13)'!$F$154</f>
        <v>0</v>
      </c>
      <c r="U8" s="168">
        <f>'平日中午(11-13)'!$H$97+'平日中午(11-13)'!$H$116+'平日中午(11-13)'!$H$135+'平日中午(11-13)'!$H$154</f>
        <v>0</v>
      </c>
      <c r="W8" s="168" t="s">
        <v>171</v>
      </c>
      <c r="X8" s="169" t="str">
        <f t="shared" si="1"/>
        <v>-</v>
      </c>
      <c r="Y8" s="169" t="str">
        <f t="shared" si="1"/>
        <v>-</v>
      </c>
      <c r="Z8" s="168">
        <f>('平日中午(12-14)'!$B$97+'平日中午(12-14)'!$B$116+'平日中午(12-14)'!$B$135+'平日中午(12-14)'!$B$154)*15</f>
        <v>0</v>
      </c>
      <c r="AA8" s="168">
        <f>'平日中午(12-14)'!$F$97+'平日中午(12-14)'!$F$116+'平日中午(12-14)'!$F$135+'平日中午(12-14)'!$F$154</f>
        <v>0</v>
      </c>
      <c r="AB8" s="168">
        <f>'平日中午(12-14)'!$H$97+'平日中午(12-14)'!$H$116+'平日中午(12-14)'!$H$135+'平日中午(12-14)'!$H$154</f>
        <v>0</v>
      </c>
      <c r="AD8" s="168" t="s">
        <v>151</v>
      </c>
      <c r="AE8" s="169" t="str">
        <f t="shared" si="2"/>
        <v>-</v>
      </c>
      <c r="AF8" s="169" t="str">
        <f t="shared" si="2"/>
        <v>-</v>
      </c>
      <c r="AG8" s="168">
        <f>('平日昏峰(17-19)'!$B$97+'平日昏峰(17-19)'!$B$116+'平日昏峰(17-19)'!$B$135+'平日昏峰(17-19)'!$B$154)*15</f>
        <v>0</v>
      </c>
      <c r="AH8" s="168">
        <f>'平日昏峰(17-19)'!$F$97+'平日昏峰(17-19)'!$F$116+'平日昏峰(17-19)'!$F$135+'平日昏峰(17-19)'!$F$154</f>
        <v>0</v>
      </c>
      <c r="AI8" s="168">
        <f>'平日昏峰(17-19)'!$H$97+'平日昏峰(17-19)'!$H$116+'平日昏峰(17-19)'!$H$135+'平日昏峰(17-19)'!$H$154</f>
        <v>0</v>
      </c>
      <c r="AK8" s="168"/>
      <c r="AL8" s="169" t="str">
        <f t="shared" si="3"/>
        <v>-</v>
      </c>
      <c r="AM8" s="169" t="str">
        <f t="shared" si="3"/>
        <v>-</v>
      </c>
      <c r="AN8" s="168"/>
      <c r="AO8" s="168"/>
      <c r="AP8" s="168"/>
      <c r="AR8" s="168"/>
      <c r="AS8" s="169" t="str">
        <f t="shared" si="4"/>
        <v>-</v>
      </c>
      <c r="AT8" s="169" t="str">
        <f t="shared" si="4"/>
        <v>-</v>
      </c>
      <c r="AU8" s="168"/>
      <c r="AV8" s="168"/>
      <c r="AW8" s="168"/>
      <c r="AY8" s="168"/>
      <c r="AZ8" s="169" t="str">
        <f t="shared" si="5"/>
        <v>-</v>
      </c>
      <c r="BA8" s="169" t="str">
        <f t="shared" si="5"/>
        <v>-</v>
      </c>
      <c r="BB8" s="168"/>
      <c r="BC8" s="168"/>
      <c r="BD8" s="168"/>
      <c r="BF8" s="168" t="s">
        <v>134</v>
      </c>
      <c r="BG8" s="169" t="str">
        <f t="shared" si="6"/>
        <v>-</v>
      </c>
      <c r="BH8" s="169" t="str">
        <f t="shared" si="6"/>
        <v>-</v>
      </c>
      <c r="BI8" s="168">
        <f>('假日(16-18)'!$B$97+'假日(16-18)'!$B$116+'假日(16-18)'!$B$135+'假日(16-18)'!$B$154)*15</f>
        <v>0</v>
      </c>
      <c r="BJ8" s="168">
        <f>'假日(16-18)'!$F$97+'假日(16-18)'!$F$116+'假日(16-18)'!$F$135+'假日(16-18)'!$F$154</f>
        <v>0</v>
      </c>
      <c r="BK8" s="168">
        <f>'假日(16-18)'!$H$97+'假日(16-18)'!$H$116+'假日(16-18)'!$H$135+'假日(16-18)'!$H$154</f>
        <v>0</v>
      </c>
      <c r="BM8" s="168" t="s">
        <v>151</v>
      </c>
      <c r="BN8" s="169" t="str">
        <f t="shared" si="7"/>
        <v>-</v>
      </c>
      <c r="BO8" s="169" t="str">
        <f t="shared" si="7"/>
        <v>-</v>
      </c>
      <c r="BP8" s="168">
        <f>('假日(17-19)'!$B$97+'假日(17-19)'!$B$116+'假日(17-19)'!$B$135+'假日(17-19)'!$B$154)*15</f>
        <v>0</v>
      </c>
      <c r="BQ8" s="168">
        <f>'假日(17-19)'!$F$97+'假日(17-19)'!$F$116+'假日(17-19)'!$F$135+'假日(17-19)'!$F$154</f>
        <v>0</v>
      </c>
      <c r="BR8" s="168">
        <f>'假日(17-19)'!$H$97+'假日(17-19)'!$H$116+'假日(17-19)'!$H$135+'假日(17-19)'!$H$154</f>
        <v>0</v>
      </c>
      <c r="BT8" s="168" t="s">
        <v>134</v>
      </c>
      <c r="BU8" s="169" t="str">
        <f t="shared" si="8"/>
        <v>-</v>
      </c>
      <c r="BV8" s="169" t="str">
        <f t="shared" si="9"/>
        <v>-</v>
      </c>
      <c r="BW8" s="168">
        <f>('假日(16-20)'!$B$97+'假日(16-20)'!$B$116+'假日(16-20)'!$B$135+'假日(16-20)'!$B$154)*15</f>
        <v>0</v>
      </c>
      <c r="BX8" s="168">
        <f>'假日(16-20)'!$F$97+'假日(16-20)'!$F$116+'假日(16-20)'!$F$135+'假日(16-20)'!$F$154</f>
        <v>0</v>
      </c>
      <c r="BY8" s="168">
        <f>'假日(16-20)'!$H$97+'假日(16-20)'!$H$116+'假日(16-20)'!$H$135+'假日(16-20)'!$H$154</f>
        <v>0</v>
      </c>
    </row>
    <row r="9" spans="2:77">
      <c r="B9" s="165" t="str">
        <f>CONCATENATE(基本資料!$B$18,"方向","平均延滯")</f>
        <v>A方向平均延滯</v>
      </c>
      <c r="C9" s="170" t="str">
        <f>IF(ISERROR(VLOOKUP($F$45,B4:C8,2,1)),"-",VLOOKUP($F$45,B4:C8,2,1))</f>
        <v>-</v>
      </c>
      <c r="D9" s="170"/>
      <c r="E9" s="165"/>
      <c r="F9" s="165"/>
      <c r="G9" s="165"/>
      <c r="I9" s="165" t="str">
        <f>CONCATENATE(基本資料!$B$18,"方向","平均延滯")</f>
        <v>A方向平均延滯</v>
      </c>
      <c r="J9" s="170" t="str">
        <f>IF(ISERROR(VLOOKUP($M$45,I4:J8,2,1)),"-",VLOOKUP($M$45,I4:J8,2,1))</f>
        <v>-</v>
      </c>
      <c r="K9" s="170"/>
      <c r="L9" s="165"/>
      <c r="M9" s="165"/>
      <c r="N9" s="165"/>
      <c r="P9" s="165" t="str">
        <f>CONCATENATE(基本資料!$B$18,"方向","平均延滯")</f>
        <v>A方向平均延滯</v>
      </c>
      <c r="Q9" s="170" t="str">
        <f>IF(ISERROR(VLOOKUP($T$45,P4:Q8,2,1)),"-",VLOOKUP($T$45,P4:Q8,2,1))</f>
        <v>-</v>
      </c>
      <c r="R9" s="170"/>
      <c r="S9" s="165"/>
      <c r="T9" s="165"/>
      <c r="U9" s="165"/>
      <c r="W9" s="165" t="str">
        <f>CONCATENATE(基本資料!$B$18,"方向","平均延滯")</f>
        <v>A方向平均延滯</v>
      </c>
      <c r="X9" s="170" t="str">
        <f>IF(ISERROR(VLOOKUP($AA$45,W4:X8,2,1)),"-",VLOOKUP($AA$45,W4:X8,2,1))</f>
        <v>-</v>
      </c>
      <c r="Y9" s="170"/>
      <c r="Z9" s="165"/>
      <c r="AA9" s="165"/>
      <c r="AB9" s="165"/>
      <c r="AD9" s="165" t="str">
        <f>CONCATENATE(基本資料!$B$18,"方向","平均延滯")</f>
        <v>A方向平均延滯</v>
      </c>
      <c r="AE9" s="170" t="str">
        <f>IF(ISERROR(VLOOKUP($AH$45,AD4:AE8,2,1)),"-",VLOOKUP($AH$45,AD4:AE8,2,1))</f>
        <v>-</v>
      </c>
      <c r="AF9" s="170"/>
      <c r="AG9" s="165"/>
      <c r="AH9" s="165"/>
      <c r="AI9" s="165"/>
      <c r="AK9" s="165" t="str">
        <f>CONCATENATE(基本資料!$B$18,"方向","平均延滯")</f>
        <v>A方向平均延滯</v>
      </c>
      <c r="AL9" s="170" t="str">
        <f>IF(ISERROR(VLOOKUP($AO$45,AK4:AL8,2,1)),"-",VLOOKUP($AO$45,AK4:AL8,2,1))</f>
        <v>-</v>
      </c>
      <c r="AM9" s="170"/>
      <c r="AN9" s="165"/>
      <c r="AO9" s="165"/>
      <c r="AP9" s="165"/>
      <c r="AR9" s="165" t="str">
        <f>CONCATENATE(基本資料!$B$18,"方向","平均延滯")</f>
        <v>A方向平均延滯</v>
      </c>
      <c r="AS9" s="170" t="str">
        <f>IF(ISERROR(VLOOKUP($AV$45,AR4:AS8,2,1)),"-",VLOOKUP($AV$45,AR4:AS8,2,1))</f>
        <v>-</v>
      </c>
      <c r="AT9" s="170"/>
      <c r="AU9" s="165"/>
      <c r="AV9" s="165"/>
      <c r="AW9" s="165"/>
      <c r="AY9" s="165" t="str">
        <f>CONCATENATE(基本資料!$B$18,"方向","平均延滯")</f>
        <v>A方向平均延滯</v>
      </c>
      <c r="AZ9" s="170" t="str">
        <f>IF(ISERROR(VLOOKUP($BC$45,AY4:AZ8,2,1)),"-",VLOOKUP($BC$45,AY4:AZ8,2,1))</f>
        <v>-</v>
      </c>
      <c r="BA9" s="170"/>
      <c r="BB9" s="165"/>
      <c r="BC9" s="165"/>
      <c r="BD9" s="165"/>
      <c r="BF9" s="165" t="str">
        <f>CONCATENATE(基本資料!$B$18,"方向","平均延滯")</f>
        <v>A方向平均延滯</v>
      </c>
      <c r="BG9" s="170" t="str">
        <f>IF(ISERROR(VLOOKUP($BJ$45,BF4:BG8,2,1)),"-",VLOOKUP($BJ$45,BF4:BG8,2,1))</f>
        <v>-</v>
      </c>
      <c r="BH9" s="170"/>
      <c r="BI9" s="165"/>
      <c r="BJ9" s="165"/>
      <c r="BK9" s="165"/>
      <c r="BM9" s="165" t="str">
        <f>CONCATENATE(基本資料!$B$18,"方向","平均延滯")</f>
        <v>A方向平均延滯</v>
      </c>
      <c r="BN9" s="170" t="str">
        <f>IF(ISERROR(VLOOKUP($BQ$45,BM4:BN8,2,1)),"-",VLOOKUP($BQ$45,BM4:BN8,2,1))</f>
        <v>-</v>
      </c>
      <c r="BO9" s="170"/>
      <c r="BP9" s="165"/>
      <c r="BQ9" s="165"/>
      <c r="BR9" s="165"/>
      <c r="BT9" s="168" t="s">
        <v>140</v>
      </c>
      <c r="BU9" s="169" t="str">
        <f t="shared" si="8"/>
        <v>-</v>
      </c>
      <c r="BV9" s="169" t="str">
        <f t="shared" si="9"/>
        <v>-</v>
      </c>
      <c r="BW9" s="168">
        <f>('假日(16-20)'!$B$116+'假日(16-20)'!$B$135+'假日(16-20)'!$B$154+'假日(16-20)'!$B$173)*15</f>
        <v>0</v>
      </c>
      <c r="BX9" s="168">
        <f>'假日(16-20)'!$F$116+'假日(16-20)'!$F$135+'假日(16-20)'!$F$154+'假日(16-20)'!$F$173</f>
        <v>0</v>
      </c>
      <c r="BY9" s="168">
        <f>'假日(16-20)'!$H$116+'假日(16-20)'!$H$135+'假日(16-20)'!$H$154+'假日(16-20)'!$H$173</f>
        <v>0</v>
      </c>
    </row>
    <row r="10" spans="2:77">
      <c r="B10" s="165" t="str">
        <f>CONCATENATE(基本資料!$B$18,"方向","平均停等車輛延滯")</f>
        <v>A方向平均停等車輛延滯</v>
      </c>
      <c r="C10" s="170"/>
      <c r="D10" s="170" t="str">
        <f>IF(ISERROR(VLOOKUP($F$46,B4:D8,3,1)),"-",VLOOKUP($F$46,B4:D8,3,1))</f>
        <v>-</v>
      </c>
      <c r="E10" s="165"/>
      <c r="F10" s="165"/>
      <c r="G10" s="165"/>
      <c r="I10" s="165" t="str">
        <f>CONCATENATE(基本資料!$B$18,"方向","平均停等車輛延滯")</f>
        <v>A方向平均停等車輛延滯</v>
      </c>
      <c r="J10" s="170"/>
      <c r="K10" s="170" t="str">
        <f>IF(ISERROR(VLOOKUP($M$46,I4:K8,3,1)),"-",VLOOKUP($M$46,I4:K8,3,1))</f>
        <v>-</v>
      </c>
      <c r="L10" s="165"/>
      <c r="M10" s="165"/>
      <c r="N10" s="165"/>
      <c r="P10" s="165" t="str">
        <f>CONCATENATE(基本資料!$B$18,"方向","平均停等車輛延滯")</f>
        <v>A方向平均停等車輛延滯</v>
      </c>
      <c r="Q10" s="170"/>
      <c r="R10" s="170" t="str">
        <f>IF(ISERROR(VLOOKUP($T$46,P4:R8,3,1)),"-",VLOOKUP($T$46,P4:R8,3,1))</f>
        <v>-</v>
      </c>
      <c r="S10" s="165"/>
      <c r="T10" s="165"/>
      <c r="U10" s="165"/>
      <c r="W10" s="165" t="str">
        <f>CONCATENATE(基本資料!$B$18,"方向","平均停等車輛延滯")</f>
        <v>A方向平均停等車輛延滯</v>
      </c>
      <c r="X10" s="170"/>
      <c r="Y10" s="170" t="str">
        <f>IF(ISERROR(VLOOKUP($AA$46,W4:Y8,3,1)),"-",VLOOKUP($AA$46,W4:Y8,3,1))</f>
        <v>-</v>
      </c>
      <c r="Z10" s="165"/>
      <c r="AA10" s="165"/>
      <c r="AB10" s="165"/>
      <c r="AD10" s="165" t="str">
        <f>CONCATENATE(基本資料!$B$18,"方向","平均停等車輛延滯")</f>
        <v>A方向平均停等車輛延滯</v>
      </c>
      <c r="AE10" s="170"/>
      <c r="AF10" s="170" t="str">
        <f>IF(ISERROR(VLOOKUP($AH$46,AD4:AF8,3,1)),"-",VLOOKUP($AH$46,AD4:AF8,3,1))</f>
        <v>-</v>
      </c>
      <c r="AG10" s="165"/>
      <c r="AH10" s="165"/>
      <c r="AI10" s="165"/>
      <c r="AK10" s="165" t="str">
        <f>CONCATENATE(基本資料!$B$18,"方向","平均停等車輛延滯")</f>
        <v>A方向平均停等車輛延滯</v>
      </c>
      <c r="AL10" s="170"/>
      <c r="AM10" s="170" t="str">
        <f>IF(ISERROR(VLOOKUP($AO$46,AK4:AM8,3,1)),"-",VLOOKUP($AO$46,AK4:AM8,3,1))</f>
        <v>-</v>
      </c>
      <c r="AN10" s="165"/>
      <c r="AO10" s="165"/>
      <c r="AP10" s="165"/>
      <c r="AR10" s="165" t="str">
        <f>CONCATENATE(基本資料!$B$18,"方向","平均停等車輛延滯")</f>
        <v>A方向平均停等車輛延滯</v>
      </c>
      <c r="AS10" s="170"/>
      <c r="AT10" s="170" t="str">
        <f>IF(ISERROR(VLOOKUP($AV$46,AR4:AT8,3,1)),"-",VLOOKUP($AV$46,AR4:AT8,3,1))</f>
        <v>-</v>
      </c>
      <c r="AU10" s="165"/>
      <c r="AV10" s="165"/>
      <c r="AW10" s="165"/>
      <c r="AY10" s="165" t="str">
        <f>CONCATENATE(基本資料!$B$18,"方向","平均停等車輛延滯")</f>
        <v>A方向平均停等車輛延滯</v>
      </c>
      <c r="AZ10" s="170"/>
      <c r="BA10" s="170" t="str">
        <f>IF(ISERROR(VLOOKUP($BC$46,AY4:BA8,3,1)),"-",VLOOKUP($BC$46,AY4:BA8,3,1))</f>
        <v>-</v>
      </c>
      <c r="BB10" s="165"/>
      <c r="BC10" s="165"/>
      <c r="BD10" s="165"/>
      <c r="BF10" s="165" t="str">
        <f>CONCATENATE(基本資料!$B$18,"方向","平均停等車輛延滯")</f>
        <v>A方向平均停等車輛延滯</v>
      </c>
      <c r="BG10" s="170"/>
      <c r="BH10" s="170" t="str">
        <f>IF(ISERROR(VLOOKUP($BJ$46,BF4:BH8,3,1)),"-",VLOOKUP($BJ$46,BF4:BH8,3,1))</f>
        <v>-</v>
      </c>
      <c r="BI10" s="165"/>
      <c r="BJ10" s="165"/>
      <c r="BK10" s="165"/>
      <c r="BM10" s="165" t="str">
        <f>CONCATENATE(基本資料!$B$18,"方向","平均停等車輛延滯")</f>
        <v>A方向平均停等車輛延滯</v>
      </c>
      <c r="BN10" s="170"/>
      <c r="BO10" s="170" t="str">
        <f>IF(ISERROR(VLOOKUP($BQ$46,BM4:BO8,3,1)),"-",VLOOKUP($BQ$46,BM4:BO8,3,1))</f>
        <v>-</v>
      </c>
      <c r="BP10" s="165"/>
      <c r="BQ10" s="165"/>
      <c r="BR10" s="165"/>
      <c r="BT10" s="168" t="s">
        <v>136</v>
      </c>
      <c r="BU10" s="169" t="str">
        <f t="shared" si="8"/>
        <v>-</v>
      </c>
      <c r="BV10" s="169" t="str">
        <f t="shared" si="9"/>
        <v>-</v>
      </c>
      <c r="BW10" s="168">
        <f>('假日(16-20)'!$B$135+'假日(16-20)'!$B$154+'假日(16-20)'!$B$173+'假日(16-20)'!$B$192)*15</f>
        <v>0</v>
      </c>
      <c r="BX10" s="168">
        <f>'假日(16-20)'!$F$135+'假日(16-20)'!$F$154+'假日(16-20)'!$F$173+'假日(16-20)'!$F$192</f>
        <v>0</v>
      </c>
      <c r="BY10" s="168">
        <f>'假日(16-20)'!$H$135+'假日(16-20)'!$H$154+'假日(16-20)'!$H$173+'假日(16-20)'!$H$192</f>
        <v>0</v>
      </c>
    </row>
    <row r="11" spans="2:77">
      <c r="B11" s="237" t="str">
        <f>'平日晨峰(07-09)'!$J$2</f>
        <v>B方向：</v>
      </c>
      <c r="C11" s="237"/>
      <c r="D11" s="237"/>
      <c r="E11" s="237"/>
      <c r="F11" s="237"/>
      <c r="G11" s="237"/>
      <c r="I11" s="237" t="str">
        <f>'平日晨峰(07-09)'!$J$2</f>
        <v>B方向：</v>
      </c>
      <c r="J11" s="237"/>
      <c r="K11" s="237"/>
      <c r="L11" s="237"/>
      <c r="M11" s="237"/>
      <c r="N11" s="237"/>
      <c r="P11" s="237" t="str">
        <f>'平日中午(11-13)'!$J$2</f>
        <v>B方向：</v>
      </c>
      <c r="Q11" s="237"/>
      <c r="R11" s="237"/>
      <c r="S11" s="237"/>
      <c r="T11" s="237"/>
      <c r="U11" s="237"/>
      <c r="W11" s="237" t="str">
        <f>'平日中午(11-13)'!$J$2</f>
        <v>B方向：</v>
      </c>
      <c r="X11" s="237"/>
      <c r="Y11" s="237"/>
      <c r="Z11" s="237"/>
      <c r="AA11" s="237"/>
      <c r="AB11" s="237"/>
      <c r="AD11" s="237" t="str">
        <f>'平日昏峰(17-19)'!$J$2</f>
        <v>B方向：</v>
      </c>
      <c r="AE11" s="237"/>
      <c r="AF11" s="237"/>
      <c r="AG11" s="237"/>
      <c r="AH11" s="237"/>
      <c r="AI11" s="237"/>
      <c r="AK11" s="237" t="str">
        <f>'假日(11-12)'!$J$2</f>
        <v>B方向：</v>
      </c>
      <c r="AL11" s="237"/>
      <c r="AM11" s="237"/>
      <c r="AN11" s="237"/>
      <c r="AO11" s="237"/>
      <c r="AP11" s="237"/>
      <c r="AR11" s="237" t="str">
        <f>'假日(1430-1530)'!$J$2</f>
        <v>B方向：</v>
      </c>
      <c r="AS11" s="237"/>
      <c r="AT11" s="237"/>
      <c r="AU11" s="237"/>
      <c r="AV11" s="237"/>
      <c r="AW11" s="237"/>
      <c r="AY11" s="237" t="str">
        <f>'假日(1730-1830)'!$J$2</f>
        <v>B方向：</v>
      </c>
      <c r="AZ11" s="237"/>
      <c r="BA11" s="237"/>
      <c r="BB11" s="237"/>
      <c r="BC11" s="237"/>
      <c r="BD11" s="237"/>
      <c r="BF11" s="237" t="str">
        <f>'假日(16-18)'!$J$2</f>
        <v>B方向：</v>
      </c>
      <c r="BG11" s="237"/>
      <c r="BH11" s="237"/>
      <c r="BI11" s="237"/>
      <c r="BJ11" s="237"/>
      <c r="BK11" s="237"/>
      <c r="BM11" s="237" t="str">
        <f>'假日(17-19)'!$J$2</f>
        <v>B方向：</v>
      </c>
      <c r="BN11" s="237"/>
      <c r="BO11" s="237"/>
      <c r="BP11" s="237"/>
      <c r="BQ11" s="237"/>
      <c r="BR11" s="237"/>
      <c r="BT11" s="168" t="s">
        <v>147</v>
      </c>
      <c r="BU11" s="169" t="str">
        <f t="shared" si="8"/>
        <v>-</v>
      </c>
      <c r="BV11" s="169" t="str">
        <f t="shared" si="9"/>
        <v>-</v>
      </c>
      <c r="BW11" s="168">
        <f>('假日(16-20)'!$B$154+'假日(16-20)'!$B$173+'假日(16-20)'!$B$192+'假日(16-20)'!$B$211)*15</f>
        <v>0</v>
      </c>
      <c r="BX11" s="168">
        <f>'假日(16-20)'!$F$154+'假日(16-20)'!$F$173+'假日(16-20)'!$F$192+'假日(16-20)'!$F$211</f>
        <v>0</v>
      </c>
      <c r="BY11" s="168">
        <f>'假日(16-20)'!$H$154+'假日(16-20)'!$H$173+'假日(16-20)'!$H$192+'假日(16-20)'!$H$211</f>
        <v>0</v>
      </c>
    </row>
    <row r="12" spans="2:77">
      <c r="B12" s="165" t="s">
        <v>125</v>
      </c>
      <c r="C12" s="166" t="s">
        <v>131</v>
      </c>
      <c r="D12" s="167" t="s">
        <v>127</v>
      </c>
      <c r="E12" s="166" t="s">
        <v>128</v>
      </c>
      <c r="F12" s="166" t="s">
        <v>129</v>
      </c>
      <c r="G12" s="166" t="s">
        <v>130</v>
      </c>
      <c r="I12" s="165" t="s">
        <v>125</v>
      </c>
      <c r="J12" s="166" t="s">
        <v>131</v>
      </c>
      <c r="K12" s="167" t="s">
        <v>127</v>
      </c>
      <c r="L12" s="166" t="s">
        <v>128</v>
      </c>
      <c r="M12" s="166" t="s">
        <v>129</v>
      </c>
      <c r="N12" s="166" t="s">
        <v>130</v>
      </c>
      <c r="P12" s="165" t="s">
        <v>125</v>
      </c>
      <c r="Q12" s="166" t="s">
        <v>131</v>
      </c>
      <c r="R12" s="167" t="s">
        <v>127</v>
      </c>
      <c r="S12" s="166" t="s">
        <v>128</v>
      </c>
      <c r="T12" s="166" t="s">
        <v>129</v>
      </c>
      <c r="U12" s="166" t="s">
        <v>130</v>
      </c>
      <c r="W12" s="165" t="s">
        <v>125</v>
      </c>
      <c r="X12" s="166" t="s">
        <v>131</v>
      </c>
      <c r="Y12" s="167" t="s">
        <v>127</v>
      </c>
      <c r="Z12" s="166" t="s">
        <v>128</v>
      </c>
      <c r="AA12" s="166" t="s">
        <v>129</v>
      </c>
      <c r="AB12" s="166" t="s">
        <v>130</v>
      </c>
      <c r="AD12" s="165" t="s">
        <v>125</v>
      </c>
      <c r="AE12" s="166" t="s">
        <v>131</v>
      </c>
      <c r="AF12" s="167" t="s">
        <v>127</v>
      </c>
      <c r="AG12" s="166" t="s">
        <v>128</v>
      </c>
      <c r="AH12" s="166" t="s">
        <v>129</v>
      </c>
      <c r="AI12" s="166" t="s">
        <v>130</v>
      </c>
      <c r="AK12" s="165" t="s">
        <v>125</v>
      </c>
      <c r="AL12" s="166" t="s">
        <v>131</v>
      </c>
      <c r="AM12" s="167" t="s">
        <v>127</v>
      </c>
      <c r="AN12" s="166" t="s">
        <v>128</v>
      </c>
      <c r="AO12" s="166" t="s">
        <v>129</v>
      </c>
      <c r="AP12" s="166" t="s">
        <v>130</v>
      </c>
      <c r="AR12" s="165" t="s">
        <v>125</v>
      </c>
      <c r="AS12" s="166" t="s">
        <v>131</v>
      </c>
      <c r="AT12" s="167" t="s">
        <v>127</v>
      </c>
      <c r="AU12" s="166" t="s">
        <v>128</v>
      </c>
      <c r="AV12" s="166" t="s">
        <v>129</v>
      </c>
      <c r="AW12" s="166" t="s">
        <v>130</v>
      </c>
      <c r="AY12" s="165" t="s">
        <v>125</v>
      </c>
      <c r="AZ12" s="166" t="s">
        <v>131</v>
      </c>
      <c r="BA12" s="167" t="s">
        <v>127</v>
      </c>
      <c r="BB12" s="166" t="s">
        <v>128</v>
      </c>
      <c r="BC12" s="166" t="s">
        <v>129</v>
      </c>
      <c r="BD12" s="166" t="s">
        <v>130</v>
      </c>
      <c r="BF12" s="165" t="s">
        <v>125</v>
      </c>
      <c r="BG12" s="166" t="s">
        <v>131</v>
      </c>
      <c r="BH12" s="167" t="s">
        <v>127</v>
      </c>
      <c r="BI12" s="166" t="s">
        <v>128</v>
      </c>
      <c r="BJ12" s="166" t="s">
        <v>129</v>
      </c>
      <c r="BK12" s="166" t="s">
        <v>130</v>
      </c>
      <c r="BM12" s="165" t="s">
        <v>125</v>
      </c>
      <c r="BN12" s="166" t="s">
        <v>131</v>
      </c>
      <c r="BO12" s="167" t="s">
        <v>127</v>
      </c>
      <c r="BP12" s="166" t="s">
        <v>128</v>
      </c>
      <c r="BQ12" s="166" t="s">
        <v>129</v>
      </c>
      <c r="BR12" s="166" t="s">
        <v>130</v>
      </c>
      <c r="BT12" s="168" t="s">
        <v>151</v>
      </c>
      <c r="BU12" s="169" t="str">
        <f t="shared" si="8"/>
        <v>-</v>
      </c>
      <c r="BV12" s="169" t="str">
        <f t="shared" si="9"/>
        <v>-</v>
      </c>
      <c r="BW12" s="168">
        <f>('假日(16-20)'!$B$173+'假日(16-20)'!$B$192+'假日(16-20)'!$B$211+'假日(16-20)'!$B$230)*15</f>
        <v>0</v>
      </c>
      <c r="BX12" s="168">
        <f>'假日(16-20)'!$F$173+'假日(16-20)'!$F$192+'假日(16-20)'!$F$211+'假日(16-20)'!$F$230</f>
        <v>0</v>
      </c>
      <c r="BY12" s="168">
        <f>'假日(16-20)'!$H$173+'假日(16-20)'!$H$192+'假日(16-20)'!$H$211+'假日(16-20)'!$H$230</f>
        <v>0</v>
      </c>
    </row>
    <row r="13" spans="2:77">
      <c r="B13" s="168" t="s">
        <v>189</v>
      </c>
      <c r="C13" s="169" t="str">
        <f t="shared" ref="C13:D17" si="11">IF(ISERROR($E13/F13),"-",$E13/F13)</f>
        <v>-</v>
      </c>
      <c r="D13" s="169" t="str">
        <f t="shared" si="11"/>
        <v>-</v>
      </c>
      <c r="E13" s="168">
        <f>('平日晨峰(0630-0830)'!$K$21+'平日晨峰(0630-0830)'!$K$40+'平日晨峰(0630-0830)'!$K$59+'平日晨峰(0630-0830)'!$K$78)*15</f>
        <v>0</v>
      </c>
      <c r="F13" s="168">
        <f>'平日晨峰(0630-0830)'!$O$21+'平日晨峰(0630-0830)'!$O$40+'平日晨峰(0630-0830)'!$O$59+'平日晨峰(0630-0830)'!$O$78</f>
        <v>0</v>
      </c>
      <c r="G13" s="168">
        <f>'平日晨峰(0630-0830)'!$Q$21+'平日晨峰(0630-0830)'!$Q$40+'平日晨峰(0630-0830)'!$Q$59+'平日晨峰(0630-0830)'!$Q$78</f>
        <v>0</v>
      </c>
      <c r="I13" s="168" t="str">
        <f>$I$4</f>
        <v>07:00~08:00</v>
      </c>
      <c r="J13" s="169" t="str">
        <f t="shared" ref="J13:K17" si="12">IF(ISERROR($L13/M13),"-",$L13/M13)</f>
        <v>-</v>
      </c>
      <c r="K13" s="169" t="str">
        <f t="shared" si="12"/>
        <v>-</v>
      </c>
      <c r="L13" s="168">
        <f>('平日晨峰(07-09)'!$K$21+'平日晨峰(07-09)'!$K$40+'平日晨峰(07-09)'!$K$59+'平日晨峰(07-09)'!$K$78)*15</f>
        <v>0</v>
      </c>
      <c r="M13" s="168">
        <f>'平日晨峰(07-09)'!$O$21+'平日晨峰(07-09)'!$O$40+'平日晨峰(07-09)'!$O$59+'平日晨峰(07-09)'!$O$78</f>
        <v>0</v>
      </c>
      <c r="N13" s="168">
        <f>'平日晨峰(07-09)'!$Q$21+'平日晨峰(07-09)'!$Q$40+'平日晨峰(07-09)'!$Q$59+'平日晨峰(07-09)'!$Q$78</f>
        <v>0</v>
      </c>
      <c r="P13" s="168" t="str">
        <f>P4</f>
        <v>11:00~12:00</v>
      </c>
      <c r="Q13" s="169" t="str">
        <f>IF(ISERROR($S13/T13),"-",$S13/T13)</f>
        <v>-</v>
      </c>
      <c r="R13" s="169" t="str">
        <f>IF(ISERROR($T13/U13),"-",$T13/U13)</f>
        <v>-</v>
      </c>
      <c r="S13" s="168">
        <f>('平日中午(11-13)'!$K$21+'平日中午(11-13)'!$K$40+'平日中午(11-13)'!$K$59+'平日中午(11-13)'!$K$78)*15</f>
        <v>0</v>
      </c>
      <c r="T13" s="168">
        <f>'平日中午(11-13)'!$O$21+'平日中午(11-13)'!$O$40+'平日中午(11-13)'!$O$59+'平日中午(11-13)'!$O$78</f>
        <v>0</v>
      </c>
      <c r="U13" s="168">
        <f>'平日中午(11-13)'!$Q$21+'平日中午(11-13)'!$Q$40+'平日中午(11-13)'!$Q$59+'平日中午(11-13)'!$Q$78</f>
        <v>0</v>
      </c>
      <c r="W13" s="168" t="str">
        <f>W4</f>
        <v>1200~13:00</v>
      </c>
      <c r="X13" s="169" t="str">
        <f t="shared" ref="X13:Y17" si="13">IF(ISERROR($Z13/AA13),"-",$Z13/AA13)</f>
        <v>-</v>
      </c>
      <c r="Y13" s="169" t="str">
        <f t="shared" si="13"/>
        <v>-</v>
      </c>
      <c r="Z13" s="168">
        <f>('平日中午(12-14)'!$K$21+'平日中午(12-14)'!$K$40+'平日中午(12-14)'!$K$59+'平日中午(12-14)'!$K$78)*15</f>
        <v>0</v>
      </c>
      <c r="AA13" s="168">
        <f>'平日中午(12-14)'!$O$21+'平日中午(12-14)'!$O$40+'平日中午(12-14)'!$O$59+'平日中午(12-14)'!$O$78</f>
        <v>0</v>
      </c>
      <c r="AB13" s="168">
        <f>'平日中午(12-14)'!$Q$21+'平日中午(12-14)'!$Q$40+'平日中午(12-14)'!$Q$59+'平日中午(12-14)'!$Q$78</f>
        <v>0</v>
      </c>
      <c r="AD13" s="168" t="str">
        <f>$AD$4</f>
        <v>17:00~18:00</v>
      </c>
      <c r="AE13" s="169" t="str">
        <f t="shared" ref="AE13:AF17" si="14">IF(ISERROR($AG13/AH13),"-",$AG13/AH13)</f>
        <v>-</v>
      </c>
      <c r="AF13" s="169" t="str">
        <f t="shared" si="14"/>
        <v>-</v>
      </c>
      <c r="AG13" s="168">
        <f>('平日昏峰(17-19)'!$K$21+'平日昏峰(17-19)'!$K$40+'平日昏峰(17-19)'!$K$59+'平日昏峰(17-19)'!$K$78)*15</f>
        <v>0</v>
      </c>
      <c r="AH13" s="168">
        <f>'平日昏峰(17-19)'!$O$21+'平日昏峰(17-19)'!$O$40+'平日昏峰(17-19)'!$O$59+'平日昏峰(17-19)'!$O$78</f>
        <v>0</v>
      </c>
      <c r="AI13" s="168">
        <f>'平日昏峰(17-19)'!$Q$21+'平日昏峰(17-19)'!$Q$40+'平日昏峰(17-19)'!$Q$59+'平日昏峰(17-19)'!$Q$78</f>
        <v>0</v>
      </c>
      <c r="AK13" s="168" t="str">
        <f>$AK$4</f>
        <v>11:00~12:00</v>
      </c>
      <c r="AL13" s="169" t="str">
        <f t="shared" ref="AL13:AM17" si="15">IF(ISERROR($AN13/AO13),"-",$AN13/AO13)</f>
        <v>-</v>
      </c>
      <c r="AM13" s="169" t="str">
        <f t="shared" si="15"/>
        <v>-</v>
      </c>
      <c r="AN13" s="168">
        <f>('假日(11-12)'!$K$21+'假日(11-12)'!$K$40+'假日(11-12)'!$K$59+'假日(11-12)'!$K$78)*15</f>
        <v>0</v>
      </c>
      <c r="AO13" s="168">
        <f>'假日(11-12)'!$O$21+'假日(11-12)'!$O$40+'假日(11-12)'!$O$59+'假日(11-12)'!$O$78</f>
        <v>0</v>
      </c>
      <c r="AP13" s="168">
        <f>'假日(11-12)'!$Q$21+'假日(11-12)'!$Q$40+'假日(11-12)'!$Q$59+'假日(11-12)'!$Q$78</f>
        <v>0</v>
      </c>
      <c r="AR13" s="168" t="str">
        <f>$AR$4</f>
        <v>14:30~15:30</v>
      </c>
      <c r="AS13" s="169" t="str">
        <f t="shared" ref="AS13:AT17" si="16">IF(ISERROR($AU13/AV13),"-",$AU13/AV13)</f>
        <v>-</v>
      </c>
      <c r="AT13" s="169" t="str">
        <f t="shared" si="16"/>
        <v>-</v>
      </c>
      <c r="AU13" s="168">
        <f>('假日(1430-1530)'!$K$21+'假日(1430-1530)'!$K$40+'假日(1430-1530)'!$K$59+'假日(1430-1530)'!$K$78)*15</f>
        <v>0</v>
      </c>
      <c r="AV13" s="168">
        <f>'假日(1430-1530)'!$O$21+'假日(1430-1530)'!$O$40+'假日(1430-1530)'!$O$59+'假日(1430-1530)'!$O$78</f>
        <v>0</v>
      </c>
      <c r="AW13" s="168">
        <f>'假日(1430-1530)'!$Q$21+'假日(1430-1530)'!$Q$40+'假日(1430-1530)'!$Q$59+'假日(1430-1530)'!$Q$78</f>
        <v>0</v>
      </c>
      <c r="AY13" s="168" t="str">
        <f>AY4</f>
        <v>17:30~18:30</v>
      </c>
      <c r="AZ13" s="169" t="str">
        <f t="shared" ref="AZ13:BA17" si="17">IF(ISERROR($BB13/BC13),"-",$BB13/BC13)</f>
        <v>-</v>
      </c>
      <c r="BA13" s="169" t="str">
        <f t="shared" si="17"/>
        <v>-</v>
      </c>
      <c r="BB13" s="168">
        <f>('假日(1730-1830)'!$K$21+'假日(1730-1830)'!$K$40+'假日(1730-1830)'!$K$59+'假日(1730-1830)'!$K$78)*15</f>
        <v>0</v>
      </c>
      <c r="BC13" s="168">
        <f>'假日(1730-1830)'!$O$21+'假日(1730-1830)'!$O$40+'假日(1730-1830)'!$O$59+'假日(1730-1830)'!$O$78</f>
        <v>0</v>
      </c>
      <c r="BD13" s="168">
        <f>'假日(1730-1830)'!$Q$21+'假日(1730-1830)'!$Q$40+'假日(1730-1830)'!$Q$59+'假日(1730-1830)'!$Q$78</f>
        <v>0</v>
      </c>
      <c r="BF13" s="168" t="str">
        <f>BF4</f>
        <v>16:00~17:00</v>
      </c>
      <c r="BG13" s="169" t="str">
        <f t="shared" ref="BG13:BH17" si="18">IF(ISERROR($BI13/BJ13),"-",$BI13/BJ13)</f>
        <v>-</v>
      </c>
      <c r="BH13" s="169" t="str">
        <f t="shared" si="18"/>
        <v>-</v>
      </c>
      <c r="BI13" s="168">
        <f>('假日(16-18)'!$K$21+'假日(16-18)'!$K$40+'假日(16-18)'!$K$59+'假日(16-18)'!$K$78)*15</f>
        <v>0</v>
      </c>
      <c r="BJ13" s="168">
        <f>'假日(16-18)'!$O$21+'假日(16-18)'!$O$40+'假日(16-18)'!$O$59+'假日(16-18)'!$O$78</f>
        <v>0</v>
      </c>
      <c r="BK13" s="168">
        <f>'假日(16-18)'!$Q$21+'假日(16-18)'!$Q$40+'假日(16-18)'!$Q$59+'假日(16-18)'!$Q$78</f>
        <v>0</v>
      </c>
      <c r="BM13" s="168" t="str">
        <f>BM4</f>
        <v>17:00~18:00</v>
      </c>
      <c r="BN13" s="169" t="str">
        <f t="shared" ref="BN13:BO17" si="19">IF(ISERROR($BP13/BQ13),"-",$BP13/BQ13)</f>
        <v>-</v>
      </c>
      <c r="BO13" s="169" t="str">
        <f t="shared" si="19"/>
        <v>-</v>
      </c>
      <c r="BP13" s="168">
        <f>('假日(17-19)'!$K$21+'假日(17-19)'!$K$40+'假日(17-19)'!$K$59+'假日(17-19)'!$K$78)*15</f>
        <v>0</v>
      </c>
      <c r="BQ13" s="168">
        <f>'假日(17-19)'!$O$21+'假日(17-19)'!$O$40+'假日(17-19)'!$O$59+'假日(17-19)'!$O$78</f>
        <v>0</v>
      </c>
      <c r="BR13" s="168">
        <f>'假日(17-19)'!$Q$21+'假日(17-19)'!$Q$40+'假日(17-19)'!$Q$59+'假日(17-19)'!$Q$78</f>
        <v>0</v>
      </c>
      <c r="BT13" s="168" t="s">
        <v>185</v>
      </c>
      <c r="BU13" s="169" t="str">
        <f t="shared" si="8"/>
        <v>-</v>
      </c>
      <c r="BV13" s="169" t="str">
        <f t="shared" si="9"/>
        <v>-</v>
      </c>
      <c r="BW13" s="168">
        <f>('假日(16-20)'!$B$192+'假日(16-20)'!$B$211+'假日(16-20)'!$B$230+'假日(16-20)'!$B$249)*15</f>
        <v>0</v>
      </c>
      <c r="BX13" s="168">
        <f>'假日(16-20)'!$F$192+'假日(16-20)'!$F$211+'假日(16-20)'!$F$230+'假日(16-20)'!$F$249</f>
        <v>0</v>
      </c>
      <c r="BY13" s="168">
        <f>'假日(16-20)'!$H$192+'假日(16-20)'!$H$211+'假日(16-20)'!$H$230+'假日(16-20)'!$H$249</f>
        <v>0</v>
      </c>
    </row>
    <row r="14" spans="2:77">
      <c r="B14" s="168" t="s">
        <v>190</v>
      </c>
      <c r="C14" s="169" t="str">
        <f t="shared" si="11"/>
        <v>-</v>
      </c>
      <c r="D14" s="169" t="str">
        <f t="shared" si="11"/>
        <v>-</v>
      </c>
      <c r="E14" s="168">
        <f>('平日晨峰(0630-0830)'!$K$40+'平日晨峰(0630-0830)'!$K$59+'平日晨峰(0630-0830)'!$K$78+'平日晨峰(0630-0830)'!$K$97)*15</f>
        <v>0</v>
      </c>
      <c r="F14" s="168">
        <f>'平日晨峰(0630-0830)'!$O$40+'平日晨峰(0630-0830)'!$O$59+'平日晨峰(0630-0830)'!$O$78+'平日晨峰(0630-0830)'!$O$97</f>
        <v>0</v>
      </c>
      <c r="G14" s="168">
        <f>'平日晨峰(0630-0830)'!$Q$40+'平日晨峰(0630-0830)'!$Q$59+'平日晨峰(0630-0830)'!$Q$78+'平日晨峰(0630-0830)'!$Q$97</f>
        <v>0</v>
      </c>
      <c r="I14" s="168" t="str">
        <f>$I$5</f>
        <v>07:15~08:15</v>
      </c>
      <c r="J14" s="169" t="str">
        <f t="shared" si="12"/>
        <v>-</v>
      </c>
      <c r="K14" s="169" t="str">
        <f t="shared" si="12"/>
        <v>-</v>
      </c>
      <c r="L14" s="168">
        <f>('平日晨峰(07-09)'!$K$40+'平日晨峰(07-09)'!$K$59+'平日晨峰(07-09)'!$K$78+'平日晨峰(07-09)'!$K$97)*15</f>
        <v>0</v>
      </c>
      <c r="M14" s="168">
        <f>'平日晨峰(07-09)'!$O$40+'平日晨峰(07-09)'!$O$59+'平日晨峰(07-09)'!$O$78+'平日晨峰(07-09)'!$O$97</f>
        <v>0</v>
      </c>
      <c r="N14" s="168">
        <f>'平日晨峰(07-09)'!$Q$40+'平日晨峰(07-09)'!$Q$59+'平日晨峰(07-09)'!$Q$78+'平日晨峰(07-09)'!$Q$97</f>
        <v>0</v>
      </c>
      <c r="P14" s="168" t="str">
        <f>P5</f>
        <v>11:15~12:15</v>
      </c>
      <c r="Q14" s="169" t="str">
        <f>IF(ISERROR($S14/T14),"-",$S14/T14)</f>
        <v>-</v>
      </c>
      <c r="R14" s="169" t="str">
        <f>IF(ISERROR($T14/U14),"-",$T14/U14)</f>
        <v>-</v>
      </c>
      <c r="S14" s="168">
        <f>('平日中午(11-13)'!$K$40+'平日中午(11-13)'!$K$59+'平日中午(11-13)'!$K$78+'平日中午(11-13)'!$K$97)*15</f>
        <v>0</v>
      </c>
      <c r="T14" s="168">
        <f>'平日中午(11-13)'!$O$40+'平日中午(11-13)'!$O$59+'平日中午(11-13)'!$O$78+'平日中午(11-13)'!$O$97</f>
        <v>0</v>
      </c>
      <c r="U14" s="168">
        <f>'平日中午(11-13)'!$Q$40+'平日中午(11-13)'!$Q$59+'平日中午(11-13)'!$Q$78+'平日中午(11-13)'!$Q$97</f>
        <v>0</v>
      </c>
      <c r="W14" s="168" t="str">
        <f>W5</f>
        <v>12:15~13:15</v>
      </c>
      <c r="X14" s="169" t="str">
        <f t="shared" si="13"/>
        <v>-</v>
      </c>
      <c r="Y14" s="169" t="str">
        <f t="shared" si="13"/>
        <v>-</v>
      </c>
      <c r="Z14" s="168">
        <f>('平日中午(12-14)'!$K$40+'平日中午(12-14)'!$K$59+'平日中午(12-14)'!$K$78+'平日中午(12-14)'!$K$97)*15</f>
        <v>0</v>
      </c>
      <c r="AA14" s="168">
        <f>'平日中午(12-14)'!$O$40+'平日中午(12-14)'!$O$59+'平日中午(12-14)'!$O$78+'平日中午(12-14)'!$O$97</f>
        <v>0</v>
      </c>
      <c r="AB14" s="168">
        <f>'平日中午(12-14)'!$Q$40+'平日中午(12-14)'!$Q$59+'平日中午(12-14)'!$Q$78+'平日中午(12-14)'!$Q$97</f>
        <v>0</v>
      </c>
      <c r="AD14" s="168" t="str">
        <f>$AD$5</f>
        <v>17:15~18:15</v>
      </c>
      <c r="AE14" s="169" t="str">
        <f t="shared" si="14"/>
        <v>-</v>
      </c>
      <c r="AF14" s="169" t="str">
        <f t="shared" si="14"/>
        <v>-</v>
      </c>
      <c r="AG14" s="168">
        <f>('平日昏峰(17-19)'!$K$40+'平日昏峰(17-19)'!$K$59+'平日昏峰(17-19)'!$K$78+'平日昏峰(17-19)'!$K$97)*15</f>
        <v>0</v>
      </c>
      <c r="AH14" s="168">
        <f>'平日昏峰(17-19)'!$O$40+'平日昏峰(17-19)'!$O$59+'平日昏峰(17-19)'!$O$78+'平日昏峰(17-19)'!$O$97</f>
        <v>0</v>
      </c>
      <c r="AI14" s="168">
        <f>'平日昏峰(17-19)'!$Q$40+'平日昏峰(17-19)'!$Q$59+'平日昏峰(17-19)'!$Q$78+'平日昏峰(17-19)'!$Q$97</f>
        <v>0</v>
      </c>
      <c r="AK14" s="168">
        <f>$AK$5</f>
        <v>0</v>
      </c>
      <c r="AL14" s="169" t="str">
        <f t="shared" si="15"/>
        <v>-</v>
      </c>
      <c r="AM14" s="169" t="str">
        <f t="shared" si="15"/>
        <v>-</v>
      </c>
      <c r="AN14" s="168"/>
      <c r="AO14" s="168"/>
      <c r="AP14" s="168"/>
      <c r="AR14" s="168">
        <f>$AR$5</f>
        <v>0</v>
      </c>
      <c r="AS14" s="169" t="str">
        <f t="shared" si="16"/>
        <v>-</v>
      </c>
      <c r="AT14" s="169" t="str">
        <f t="shared" si="16"/>
        <v>-</v>
      </c>
      <c r="AU14" s="168"/>
      <c r="AV14" s="168"/>
      <c r="AW14" s="168"/>
      <c r="AY14" s="168">
        <f>AY5</f>
        <v>0</v>
      </c>
      <c r="AZ14" s="169" t="str">
        <f t="shared" si="17"/>
        <v>-</v>
      </c>
      <c r="BA14" s="169" t="str">
        <f t="shared" si="17"/>
        <v>-</v>
      </c>
      <c r="BB14" s="168"/>
      <c r="BC14" s="168"/>
      <c r="BD14" s="168"/>
      <c r="BF14" s="168" t="str">
        <f>BF5</f>
        <v>16:15~17:15</v>
      </c>
      <c r="BG14" s="169" t="str">
        <f t="shared" si="18"/>
        <v>-</v>
      </c>
      <c r="BH14" s="169" t="str">
        <f t="shared" si="18"/>
        <v>-</v>
      </c>
      <c r="BI14" s="168">
        <f>('假日(16-18)'!$K$40+'假日(16-18)'!$K$59+'假日(16-18)'!$K$78+'假日(16-18)'!$K$97)*15</f>
        <v>0</v>
      </c>
      <c r="BJ14" s="168">
        <f>'假日(16-18)'!$O$40+'假日(16-18)'!$O$59+'假日(16-18)'!$O$78+'假日(16-18)'!$O$97</f>
        <v>0</v>
      </c>
      <c r="BK14" s="168">
        <f>'假日(16-18)'!$Q$40+'假日(16-18)'!$Q$59+'假日(16-18)'!$Q$78+'假日(16-18)'!$Q$97</f>
        <v>0</v>
      </c>
      <c r="BM14" s="168" t="str">
        <f>BM5</f>
        <v>17:15~18:15</v>
      </c>
      <c r="BN14" s="169" t="str">
        <f t="shared" si="19"/>
        <v>-</v>
      </c>
      <c r="BO14" s="169" t="str">
        <f t="shared" si="19"/>
        <v>-</v>
      </c>
      <c r="BP14" s="168">
        <f>('假日(17-19)'!$K$40+'假日(17-19)'!$K$59+'假日(17-19)'!$K$78+'假日(17-19)'!$K$97)*15</f>
        <v>0</v>
      </c>
      <c r="BQ14" s="168">
        <f>'假日(17-19)'!$O$40+'假日(17-19)'!$O$59+'假日(17-19)'!$O$78+'假日(17-19)'!$O$97</f>
        <v>0</v>
      </c>
      <c r="BR14" s="168">
        <f>'假日(17-19)'!$Q$40+'假日(17-19)'!$Q$59+'假日(17-19)'!$Q$78+'假日(17-19)'!$Q$97</f>
        <v>0</v>
      </c>
      <c r="BT14" s="168" t="s">
        <v>186</v>
      </c>
      <c r="BU14" s="169" t="str">
        <f t="shared" si="8"/>
        <v>-</v>
      </c>
      <c r="BV14" s="169" t="str">
        <f t="shared" si="9"/>
        <v>-</v>
      </c>
      <c r="BW14" s="168">
        <f>('假日(16-20)'!$B$211+'假日(16-20)'!$B$230+'假日(16-20)'!$B$249+'假日(16-20)'!$B$268)*15</f>
        <v>0</v>
      </c>
      <c r="BX14" s="168">
        <f>'假日(16-20)'!$F$211+'假日(16-20)'!$F$230+'假日(16-20)'!$F$249+'假日(16-20)'!$F$268</f>
        <v>0</v>
      </c>
      <c r="BY14" s="168">
        <f>'假日(16-20)'!$H$211+'假日(16-20)'!$H$230+'假日(16-20)'!$H$249+'假日(16-20)'!$H$268</f>
        <v>0</v>
      </c>
    </row>
    <row r="15" spans="2:77">
      <c r="B15" s="168" t="s">
        <v>191</v>
      </c>
      <c r="C15" s="169" t="str">
        <f t="shared" si="11"/>
        <v>-</v>
      </c>
      <c r="D15" s="169" t="str">
        <f t="shared" si="11"/>
        <v>-</v>
      </c>
      <c r="E15" s="168">
        <f>('平日晨峰(0630-0830)'!$K$59+'平日晨峰(0630-0830)'!$K$78+'平日晨峰(0630-0830)'!$K$97+'平日晨峰(0630-0830)'!$K$116)*15</f>
        <v>0</v>
      </c>
      <c r="F15" s="168">
        <f>'平日晨峰(0630-0830)'!$O$59+'平日晨峰(0630-0830)'!$O$78+'平日晨峰(0630-0830)'!$O$97+'平日晨峰(0630-0830)'!$O$116</f>
        <v>0</v>
      </c>
      <c r="G15" s="168">
        <f>'平日晨峰(0630-0830)'!$Q$59+'平日晨峰(0630-0830)'!$Q$78+'平日晨峰(0630-0830)'!$Q$97+'平日晨峰(0630-0830)'!$Q$116</f>
        <v>0</v>
      </c>
      <c r="I15" s="168" t="str">
        <f>$I$6</f>
        <v>07:30~08:30</v>
      </c>
      <c r="J15" s="169" t="str">
        <f t="shared" si="12"/>
        <v>-</v>
      </c>
      <c r="K15" s="169" t="str">
        <f t="shared" si="12"/>
        <v>-</v>
      </c>
      <c r="L15" s="168">
        <f>('平日晨峰(07-09)'!$K$59+'平日晨峰(07-09)'!$K$78+'平日晨峰(07-09)'!$K$97+'平日晨峰(07-09)'!$K$116)*15</f>
        <v>0</v>
      </c>
      <c r="M15" s="168">
        <f>'平日晨峰(07-09)'!$O$59+'平日晨峰(07-09)'!$O$78+'平日晨峰(07-09)'!$O$97+'平日晨峰(07-09)'!$O$116</f>
        <v>0</v>
      </c>
      <c r="N15" s="168">
        <f>'平日晨峰(07-09)'!$Q$59+'平日晨峰(07-09)'!$Q$78+'平日晨峰(07-09)'!$Q$97+'平日晨峰(07-09)'!$Q$116</f>
        <v>0</v>
      </c>
      <c r="P15" s="168" t="str">
        <f>P6</f>
        <v>11:30~12:30</v>
      </c>
      <c r="Q15" s="169" t="str">
        <f>IF(ISERROR($S15/T15),"-",$S15/T15)</f>
        <v>-</v>
      </c>
      <c r="R15" s="169" t="str">
        <f>IF(ISERROR($T15/U15),"-",$T15/U15)</f>
        <v>-</v>
      </c>
      <c r="S15" s="168">
        <f>('平日中午(11-13)'!$K$59+'平日中午(11-13)'!$K$78+'平日中午(11-13)'!$K$97+'平日中午(11-13)'!$K$116)*15</f>
        <v>0</v>
      </c>
      <c r="T15" s="168">
        <f>'平日中午(11-13)'!$O$59+'平日中午(11-13)'!$O$78+'平日中午(11-13)'!$O$97+'平日中午(11-13)'!$O$116</f>
        <v>0</v>
      </c>
      <c r="U15" s="168">
        <f>'平日中午(11-13)'!$Q$59+'平日中午(11-13)'!$Q$78+'平日中午(11-13)'!$Q$97+'平日中午(11-13)'!$Q$116</f>
        <v>0</v>
      </c>
      <c r="W15" s="168" t="str">
        <f>W6</f>
        <v>12:30~13:30</v>
      </c>
      <c r="X15" s="169" t="str">
        <f t="shared" si="13"/>
        <v>-</v>
      </c>
      <c r="Y15" s="169" t="str">
        <f t="shared" si="13"/>
        <v>-</v>
      </c>
      <c r="Z15" s="168">
        <f>('平日中午(12-14)'!$K$59+'平日中午(12-14)'!$K$78+'平日中午(12-14)'!$K$97+'平日中午(12-14)'!$K$116)*15</f>
        <v>0</v>
      </c>
      <c r="AA15" s="168">
        <f>'平日中午(12-14)'!$O$59+'平日中午(12-14)'!$O$78+'平日中午(12-14)'!$O$97+'平日中午(12-14)'!$O$116</f>
        <v>0</v>
      </c>
      <c r="AB15" s="168">
        <f>'平日中午(12-14)'!$Q$59+'平日中午(12-14)'!$Q$78+'平日中午(12-14)'!$Q$97+'平日中午(12-14)'!$Q$116</f>
        <v>0</v>
      </c>
      <c r="AD15" s="168" t="str">
        <f>$AD$6</f>
        <v>17:30~18:30</v>
      </c>
      <c r="AE15" s="169" t="str">
        <f t="shared" si="14"/>
        <v>-</v>
      </c>
      <c r="AF15" s="169" t="str">
        <f t="shared" si="14"/>
        <v>-</v>
      </c>
      <c r="AG15" s="168">
        <f>('平日昏峰(17-19)'!$K$59+'平日昏峰(17-19)'!$K$78+'平日昏峰(17-19)'!$K$97+'平日昏峰(17-19)'!$K$116)*15</f>
        <v>0</v>
      </c>
      <c r="AH15" s="168">
        <f>'平日昏峰(17-19)'!$O$59+'平日昏峰(17-19)'!$O$78+'平日昏峰(17-19)'!$O$97+'平日昏峰(17-19)'!$O$116</f>
        <v>0</v>
      </c>
      <c r="AI15" s="168">
        <f>'平日昏峰(17-19)'!$Q$59+'平日昏峰(17-19)'!$Q$78+'平日昏峰(17-19)'!$Q$97+'平日昏峰(17-19)'!$Q$116</f>
        <v>0</v>
      </c>
      <c r="AK15" s="168">
        <f>$AK$6</f>
        <v>0</v>
      </c>
      <c r="AL15" s="169" t="str">
        <f t="shared" si="15"/>
        <v>-</v>
      </c>
      <c r="AM15" s="169" t="str">
        <f t="shared" si="15"/>
        <v>-</v>
      </c>
      <c r="AN15" s="168"/>
      <c r="AO15" s="168"/>
      <c r="AP15" s="168"/>
      <c r="AR15" s="168">
        <f>$AR$6</f>
        <v>0</v>
      </c>
      <c r="AS15" s="169" t="str">
        <f t="shared" si="16"/>
        <v>-</v>
      </c>
      <c r="AT15" s="169" t="str">
        <f t="shared" si="16"/>
        <v>-</v>
      </c>
      <c r="AU15" s="168"/>
      <c r="AV15" s="168"/>
      <c r="AW15" s="168"/>
      <c r="AY15" s="168">
        <f>AY6</f>
        <v>0</v>
      </c>
      <c r="AZ15" s="169" t="str">
        <f t="shared" si="17"/>
        <v>-</v>
      </c>
      <c r="BA15" s="169" t="str">
        <f t="shared" si="17"/>
        <v>-</v>
      </c>
      <c r="BB15" s="168"/>
      <c r="BC15" s="168"/>
      <c r="BD15" s="168"/>
      <c r="BF15" s="168" t="str">
        <f>BF6</f>
        <v>16:30~17:30</v>
      </c>
      <c r="BG15" s="169" t="str">
        <f t="shared" si="18"/>
        <v>-</v>
      </c>
      <c r="BH15" s="169" t="str">
        <f t="shared" si="18"/>
        <v>-</v>
      </c>
      <c r="BI15" s="168">
        <f>('假日(16-18)'!$K$59+'假日(16-18)'!$K$78+'假日(16-18)'!$K$97+'假日(16-18)'!$K$116)*15</f>
        <v>0</v>
      </c>
      <c r="BJ15" s="168">
        <f>'假日(16-18)'!$O$59+'假日(16-18)'!$O$78+'假日(16-18)'!$O$97+'假日(16-18)'!$O$116</f>
        <v>0</v>
      </c>
      <c r="BK15" s="168">
        <f>'假日(16-18)'!$Q$59+'假日(16-18)'!$Q$78+'假日(16-18)'!$Q$97+'假日(16-18)'!$Q$116</f>
        <v>0</v>
      </c>
      <c r="BM15" s="168" t="str">
        <f>BM6</f>
        <v>17:30~18:30</v>
      </c>
      <c r="BN15" s="169" t="str">
        <f t="shared" si="19"/>
        <v>-</v>
      </c>
      <c r="BO15" s="169" t="str">
        <f t="shared" si="19"/>
        <v>-</v>
      </c>
      <c r="BP15" s="168">
        <f>('假日(17-19)'!$K$59+'假日(17-19)'!$K$78+'假日(17-19)'!$K$97+'假日(17-19)'!$K$116)*15</f>
        <v>0</v>
      </c>
      <c r="BQ15" s="168">
        <f>'假日(17-19)'!$O$59+'假日(17-19)'!$O$78+'假日(17-19)'!$O$97+'假日(17-19)'!$O$116</f>
        <v>0</v>
      </c>
      <c r="BR15" s="168">
        <f>'假日(17-19)'!$Q$59+'假日(17-19)'!$Q$78+'假日(17-19)'!$Q$97+'假日(17-19)'!$Q$116</f>
        <v>0</v>
      </c>
      <c r="BT15" s="168" t="s">
        <v>187</v>
      </c>
      <c r="BU15" s="169" t="str">
        <f t="shared" si="8"/>
        <v>-</v>
      </c>
      <c r="BV15" s="169" t="str">
        <f t="shared" si="9"/>
        <v>-</v>
      </c>
      <c r="BW15" s="168">
        <f>('假日(16-20)'!$B$230+'假日(16-20)'!$B$249+'假日(16-20)'!$B$268+'假日(16-20)'!$B$287)*15</f>
        <v>0</v>
      </c>
      <c r="BX15" s="168">
        <f>'假日(16-20)'!$F$230+'假日(16-20)'!$F$249+'假日(16-20)'!$F$268+'假日(16-20)'!$F$287</f>
        <v>0</v>
      </c>
      <c r="BY15" s="168">
        <f>'假日(16-20)'!$H$230+'假日(16-20)'!$H$249+'假日(16-20)'!$H$268+'假日(16-20)'!$H$287</f>
        <v>0</v>
      </c>
    </row>
    <row r="16" spans="2:77">
      <c r="B16" s="168" t="s">
        <v>192</v>
      </c>
      <c r="C16" s="169" t="str">
        <f t="shared" si="11"/>
        <v>-</v>
      </c>
      <c r="D16" s="169" t="str">
        <f t="shared" si="11"/>
        <v>-</v>
      </c>
      <c r="E16" s="168">
        <f>('平日晨峰(0630-0830)'!$K$78+'平日晨峰(0630-0830)'!$K$97+'平日晨峰(0630-0830)'!$K$116+'平日晨峰(0630-0830)'!$K$135)*15</f>
        <v>0</v>
      </c>
      <c r="F16" s="168">
        <f>'平日晨峰(0630-0830)'!$O$78+'平日晨峰(0630-0830)'!$O$97+'平日晨峰(0630-0830)'!$O$116+'平日晨峰(0630-0830)'!$O$135</f>
        <v>0</v>
      </c>
      <c r="G16" s="168">
        <f>'平日晨峰(0630-0830)'!$Q$78+'平日晨峰(0630-0830)'!$Q$97+'平日晨峰(0630-0830)'!$Q$116+'平日晨峰(0630-0830)'!$Q$135</f>
        <v>0</v>
      </c>
      <c r="I16" s="168" t="str">
        <f>$I$7</f>
        <v>07:45~08:45</v>
      </c>
      <c r="J16" s="169" t="str">
        <f t="shared" si="12"/>
        <v>-</v>
      </c>
      <c r="K16" s="169" t="str">
        <f t="shared" si="12"/>
        <v>-</v>
      </c>
      <c r="L16" s="168">
        <f>('平日晨峰(07-09)'!$K$78+'平日晨峰(07-09)'!$K$97+'平日晨峰(07-09)'!$K$116+'平日晨峰(07-09)'!$K$135)*15</f>
        <v>0</v>
      </c>
      <c r="M16" s="168">
        <f>'平日晨峰(07-09)'!$O$78+'平日晨峰(07-09)'!$O$97+'平日晨峰(07-09)'!$O$116+'平日晨峰(07-09)'!$O$135</f>
        <v>0</v>
      </c>
      <c r="N16" s="168">
        <f>'平日晨峰(07-09)'!$Q$78+'平日晨峰(07-09)'!$Q$97+'平日晨峰(07-09)'!$Q$116+'平日晨峰(07-09)'!$Q$135</f>
        <v>0</v>
      </c>
      <c r="P16" s="168" t="str">
        <f>P7</f>
        <v>11:45~12:45</v>
      </c>
      <c r="Q16" s="169" t="str">
        <f>IF(ISERROR($S16/T16),"-",$S16/T16)</f>
        <v>-</v>
      </c>
      <c r="R16" s="169" t="str">
        <f>IF(ISERROR($T16/U16),"-",$T16/U16)</f>
        <v>-</v>
      </c>
      <c r="S16" s="168">
        <f>('平日中午(11-13)'!$K$78+'平日中午(11-13)'!$K$97+'平日中午(11-13)'!$K$116+'平日中午(11-13)'!$K$135)*15</f>
        <v>0</v>
      </c>
      <c r="T16" s="168">
        <f>'平日中午(11-13)'!$O$78+'平日中午(11-13)'!$O$97+'平日中午(11-13)'!$O$116+'平日中午(11-13)'!$O$135</f>
        <v>0</v>
      </c>
      <c r="U16" s="168">
        <f>'平日中午(11-13)'!$Q$78+'平日中午(11-13)'!$Q$97+'平日中午(11-13)'!$Q$116+'平日中午(11-13)'!$Q$135</f>
        <v>0</v>
      </c>
      <c r="W16" s="168" t="str">
        <f>W7</f>
        <v>12:45~13:45</v>
      </c>
      <c r="X16" s="169" t="str">
        <f t="shared" si="13"/>
        <v>-</v>
      </c>
      <c r="Y16" s="169" t="str">
        <f t="shared" si="13"/>
        <v>-</v>
      </c>
      <c r="Z16" s="168">
        <f>('平日中午(12-14)'!$K$78+'平日中午(12-14)'!$K$97+'平日中午(12-14)'!$K$116+'平日中午(12-14)'!$K$135)*15</f>
        <v>0</v>
      </c>
      <c r="AA16" s="168">
        <f>'平日中午(12-14)'!$O$78+'平日中午(12-14)'!$O$97+'平日中午(12-14)'!$O$116+'平日中午(12-14)'!$O$135</f>
        <v>0</v>
      </c>
      <c r="AB16" s="168">
        <f>'平日中午(12-14)'!$Q$78+'平日中午(12-14)'!$Q$97+'平日中午(12-14)'!$Q$116+'平日中午(12-14)'!$Q$135</f>
        <v>0</v>
      </c>
      <c r="AD16" s="168" t="str">
        <f>$AD$7</f>
        <v>17:45~18:45</v>
      </c>
      <c r="AE16" s="169" t="str">
        <f t="shared" si="14"/>
        <v>-</v>
      </c>
      <c r="AF16" s="169" t="str">
        <f t="shared" si="14"/>
        <v>-</v>
      </c>
      <c r="AG16" s="168">
        <f>('平日昏峰(17-19)'!$K$78+'平日昏峰(17-19)'!$K$97+'平日昏峰(17-19)'!$K$116+'平日昏峰(17-19)'!$K$135)*15</f>
        <v>0</v>
      </c>
      <c r="AH16" s="168">
        <f>'平日昏峰(17-19)'!$O$78+'平日昏峰(17-19)'!$O$97+'平日昏峰(17-19)'!$O$116+'平日昏峰(17-19)'!$O$135</f>
        <v>0</v>
      </c>
      <c r="AI16" s="168">
        <f>'平日昏峰(17-19)'!$Q$78+'平日昏峰(17-19)'!$Q$97+'平日昏峰(17-19)'!$Q$116+'平日昏峰(17-19)'!$Q$135</f>
        <v>0</v>
      </c>
      <c r="AK16" s="168">
        <f>$AK$7</f>
        <v>0</v>
      </c>
      <c r="AL16" s="169" t="str">
        <f t="shared" si="15"/>
        <v>-</v>
      </c>
      <c r="AM16" s="169" t="str">
        <f t="shared" si="15"/>
        <v>-</v>
      </c>
      <c r="AN16" s="168"/>
      <c r="AO16" s="168"/>
      <c r="AP16" s="168"/>
      <c r="AR16" s="168">
        <f>$AR$7</f>
        <v>0</v>
      </c>
      <c r="AS16" s="169" t="str">
        <f t="shared" si="16"/>
        <v>-</v>
      </c>
      <c r="AT16" s="169" t="str">
        <f t="shared" si="16"/>
        <v>-</v>
      </c>
      <c r="AU16" s="168"/>
      <c r="AV16" s="168"/>
      <c r="AW16" s="168"/>
      <c r="AY16" s="168">
        <f>AY7</f>
        <v>0</v>
      </c>
      <c r="AZ16" s="169" t="str">
        <f t="shared" si="17"/>
        <v>-</v>
      </c>
      <c r="BA16" s="169" t="str">
        <f t="shared" si="17"/>
        <v>-</v>
      </c>
      <c r="BB16" s="168"/>
      <c r="BC16" s="168"/>
      <c r="BD16" s="168"/>
      <c r="BF16" s="168" t="str">
        <f>BF7</f>
        <v>16:45~17:45</v>
      </c>
      <c r="BG16" s="169" t="str">
        <f t="shared" si="18"/>
        <v>-</v>
      </c>
      <c r="BH16" s="169" t="str">
        <f t="shared" si="18"/>
        <v>-</v>
      </c>
      <c r="BI16" s="168">
        <f>('假日(16-18)'!$K$78+'假日(16-18)'!$K$97+'假日(16-18)'!$K$116+'假日(16-18)'!$K$135)*15</f>
        <v>0</v>
      </c>
      <c r="BJ16" s="168">
        <f>'假日(16-18)'!$O$78+'假日(16-18)'!$O$97+'假日(16-18)'!$O$116+'假日(16-18)'!$O$135</f>
        <v>0</v>
      </c>
      <c r="BK16" s="168">
        <f>'假日(16-18)'!$Q$78+'假日(16-18)'!$Q$97+'假日(16-18)'!$Q$116+'假日(16-18)'!$Q$135</f>
        <v>0</v>
      </c>
      <c r="BM16" s="168" t="str">
        <f>BM7</f>
        <v>17:45~18:45</v>
      </c>
      <c r="BN16" s="169" t="str">
        <f t="shared" si="19"/>
        <v>-</v>
      </c>
      <c r="BO16" s="169" t="str">
        <f t="shared" si="19"/>
        <v>-</v>
      </c>
      <c r="BP16" s="168">
        <f>('假日(17-19)'!$K$78+'假日(17-19)'!$K$97+'假日(17-19)'!$K$116+'假日(17-19)'!$K$135)*15</f>
        <v>0</v>
      </c>
      <c r="BQ16" s="168">
        <f>'假日(17-19)'!$O$78+'假日(17-19)'!$O$97+'假日(17-19)'!$O$116+'假日(17-19)'!$O$135</f>
        <v>0</v>
      </c>
      <c r="BR16" s="168">
        <f>'假日(17-19)'!$Q$78+'假日(17-19)'!$Q$97+'假日(17-19)'!$Q$116+'假日(17-19)'!$Q$135</f>
        <v>0</v>
      </c>
      <c r="BT16" s="168" t="s">
        <v>188</v>
      </c>
      <c r="BU16" s="169" t="str">
        <f t="shared" si="8"/>
        <v>-</v>
      </c>
      <c r="BV16" s="169" t="str">
        <f t="shared" si="9"/>
        <v>-</v>
      </c>
      <c r="BW16" s="168">
        <f>('假日(16-20)'!$B$249+'假日(16-20)'!$B$268+'假日(16-20)'!$B$287+'假日(16-20)'!$B$306)*15</f>
        <v>0</v>
      </c>
      <c r="BX16" s="168">
        <f>'假日(16-20)'!$F$249+'假日(16-20)'!$F$268+'假日(16-20)'!$F$287+'假日(16-20)'!$F$306</f>
        <v>0</v>
      </c>
      <c r="BY16" s="168">
        <f>'假日(16-20)'!$H$249+'假日(16-20)'!$H$268+'假日(16-20)'!$H$287+'假日(16-20)'!$H$306</f>
        <v>0</v>
      </c>
    </row>
    <row r="17" spans="2:77">
      <c r="B17" s="168" t="s">
        <v>193</v>
      </c>
      <c r="C17" s="169" t="str">
        <f t="shared" si="11"/>
        <v>-</v>
      </c>
      <c r="D17" s="169" t="str">
        <f t="shared" si="11"/>
        <v>-</v>
      </c>
      <c r="E17" s="168">
        <f>('平日晨峰(0630-0830)'!$K$97+'平日晨峰(0630-0830)'!$K$116+'平日晨峰(0630-0830)'!$K$135+'平日晨峰(0630-0830)'!$K$154)*15</f>
        <v>0</v>
      </c>
      <c r="F17" s="168">
        <f>'平日晨峰(0630-0830)'!$O$97+'平日晨峰(0630-0830)'!$O$116+'平日晨峰(0630-0830)'!$O$135+'平日晨峰(0630-0830)'!$O$154</f>
        <v>0</v>
      </c>
      <c r="G17" s="168">
        <f>'平日晨峰(0630-0830)'!$Q$97+'平日晨峰(0630-0830)'!$Q$116+'平日晨峰(0630-0830)'!$Q$135+'平日晨峰(0630-0830)'!$Q$154</f>
        <v>0</v>
      </c>
      <c r="I17" s="168" t="str">
        <f>$I$8</f>
        <v>08:00~09:00</v>
      </c>
      <c r="J17" s="169" t="str">
        <f t="shared" si="12"/>
        <v>-</v>
      </c>
      <c r="K17" s="169" t="str">
        <f t="shared" si="12"/>
        <v>-</v>
      </c>
      <c r="L17" s="168">
        <f>('平日晨峰(07-09)'!$K$97+'平日晨峰(07-09)'!$K$116+'平日晨峰(07-09)'!$K$135+'平日晨峰(07-09)'!$K$154)*15</f>
        <v>0</v>
      </c>
      <c r="M17" s="168">
        <f>'平日晨峰(07-09)'!$O$97+'平日晨峰(07-09)'!$O$116+'平日晨峰(07-09)'!$O$135+'平日晨峰(07-09)'!$O$154</f>
        <v>0</v>
      </c>
      <c r="N17" s="168">
        <f>'平日晨峰(07-09)'!$Q$97+'平日晨峰(07-09)'!$Q$116+'平日晨峰(07-09)'!$Q$135+'平日晨峰(07-09)'!$Q$154</f>
        <v>0</v>
      </c>
      <c r="P17" s="168" t="str">
        <f>P8</f>
        <v>12:00~13:00</v>
      </c>
      <c r="Q17" s="169" t="str">
        <f>IF(ISERROR($S17/T17),"-",$S17/T17)</f>
        <v>-</v>
      </c>
      <c r="R17" s="169" t="str">
        <f>IF(ISERROR($T17/U17),"-",$T17/U17)</f>
        <v>-</v>
      </c>
      <c r="S17" s="168">
        <f>('平日中午(11-13)'!$K$97+'平日中午(11-13)'!$K$116+'平日中午(11-13)'!$K$135+'平日中午(11-13)'!$K$154)*15</f>
        <v>0</v>
      </c>
      <c r="T17" s="168">
        <f>'平日中午(11-13)'!$O$97+'平日中午(11-13)'!$O$116+'平日中午(11-13)'!$O$135+'平日中午(11-13)'!$O$154</f>
        <v>0</v>
      </c>
      <c r="U17" s="168">
        <f>'平日中午(11-13)'!$Q$97+'平日中午(11-13)'!$Q$116+'平日中午(11-13)'!$Q$135+'平日中午(11-13)'!$Q$154</f>
        <v>0</v>
      </c>
      <c r="W17" s="168" t="str">
        <f>W8</f>
        <v>13:00~14:00</v>
      </c>
      <c r="X17" s="169" t="str">
        <f t="shared" si="13"/>
        <v>-</v>
      </c>
      <c r="Y17" s="169" t="str">
        <f t="shared" si="13"/>
        <v>-</v>
      </c>
      <c r="Z17" s="168">
        <f>('平日中午(12-14)'!$K$97+'平日中午(12-14)'!$K$116+'平日中午(12-14)'!$K$135+'平日中午(12-14)'!$K$154)*15</f>
        <v>0</v>
      </c>
      <c r="AA17" s="168">
        <f>'平日中午(12-14)'!$O$97+'平日中午(12-14)'!$O$116+'平日中午(12-14)'!$O$135+'平日中午(12-14)'!$O$154</f>
        <v>0</v>
      </c>
      <c r="AB17" s="168">
        <f>'平日中午(12-14)'!$Q$97+'平日中午(12-14)'!$Q$116+'平日中午(12-14)'!$Q$135+'平日中午(12-14)'!$Q$154</f>
        <v>0</v>
      </c>
      <c r="AD17" s="168" t="str">
        <f>$AD$8</f>
        <v>18:00~19:00</v>
      </c>
      <c r="AE17" s="169" t="str">
        <f t="shared" si="14"/>
        <v>-</v>
      </c>
      <c r="AF17" s="169" t="str">
        <f t="shared" si="14"/>
        <v>-</v>
      </c>
      <c r="AG17" s="168">
        <f>('平日昏峰(17-19)'!$K$97+'平日昏峰(17-19)'!$K$116+'平日昏峰(17-19)'!$K$135+'平日昏峰(17-19)'!$K$154)*15</f>
        <v>0</v>
      </c>
      <c r="AH17" s="168">
        <f>'平日昏峰(17-19)'!$O$97+'平日昏峰(17-19)'!$O$116+'平日昏峰(17-19)'!$O$135+'平日昏峰(17-19)'!$O$154</f>
        <v>0</v>
      </c>
      <c r="AI17" s="168">
        <f>'平日昏峰(17-19)'!$Q$97+'平日昏峰(17-19)'!$Q$116+'平日昏峰(17-19)'!$Q$135+'平日昏峰(17-19)'!$Q$154</f>
        <v>0</v>
      </c>
      <c r="AK17" s="168">
        <f>$AK$8</f>
        <v>0</v>
      </c>
      <c r="AL17" s="169" t="str">
        <f t="shared" si="15"/>
        <v>-</v>
      </c>
      <c r="AM17" s="169" t="str">
        <f t="shared" si="15"/>
        <v>-</v>
      </c>
      <c r="AN17" s="168"/>
      <c r="AO17" s="168"/>
      <c r="AP17" s="168"/>
      <c r="AR17" s="168">
        <f>$AR$8</f>
        <v>0</v>
      </c>
      <c r="AS17" s="169" t="str">
        <f t="shared" si="16"/>
        <v>-</v>
      </c>
      <c r="AT17" s="169" t="str">
        <f t="shared" si="16"/>
        <v>-</v>
      </c>
      <c r="AU17" s="168"/>
      <c r="AV17" s="168"/>
      <c r="AW17" s="168"/>
      <c r="AY17" s="168">
        <f>AY8</f>
        <v>0</v>
      </c>
      <c r="AZ17" s="169" t="str">
        <f t="shared" si="17"/>
        <v>-</v>
      </c>
      <c r="BA17" s="169" t="str">
        <f t="shared" si="17"/>
        <v>-</v>
      </c>
      <c r="BB17" s="168"/>
      <c r="BC17" s="168"/>
      <c r="BD17" s="168"/>
      <c r="BF17" s="168" t="str">
        <f>BF8</f>
        <v>17:00~18:00</v>
      </c>
      <c r="BG17" s="169" t="str">
        <f t="shared" si="18"/>
        <v>-</v>
      </c>
      <c r="BH17" s="169" t="str">
        <f t="shared" si="18"/>
        <v>-</v>
      </c>
      <c r="BI17" s="168">
        <f>('假日(16-18)'!$K$97+'假日(16-18)'!$K$116+'假日(16-18)'!$K$135+'假日(16-18)'!$K$154)*15</f>
        <v>0</v>
      </c>
      <c r="BJ17" s="168">
        <f>'假日(16-18)'!$O$97+'假日(16-18)'!$O$116+'假日(16-18)'!$O$135+'假日(16-18)'!$O$154</f>
        <v>0</v>
      </c>
      <c r="BK17" s="168">
        <f>'假日(16-18)'!$Q$97+'假日(16-18)'!$Q$116+'假日(16-18)'!$Q$135+'假日(16-18)'!$Q$154</f>
        <v>0</v>
      </c>
      <c r="BM17" s="168" t="str">
        <f>BM8</f>
        <v>18:00~19:00</v>
      </c>
      <c r="BN17" s="169" t="str">
        <f t="shared" si="19"/>
        <v>-</v>
      </c>
      <c r="BO17" s="169" t="str">
        <f t="shared" si="19"/>
        <v>-</v>
      </c>
      <c r="BP17" s="168">
        <f>('假日(17-19)'!$K$97+'假日(17-19)'!$K$116+'假日(17-19)'!$K$135+'假日(17-19)'!$K$154)*15</f>
        <v>0</v>
      </c>
      <c r="BQ17" s="168">
        <f>'假日(17-19)'!$O$97+'假日(17-19)'!$O$116+'假日(17-19)'!$O$135+'假日(17-19)'!$O$154</f>
        <v>0</v>
      </c>
      <c r="BR17" s="168">
        <f>'假日(17-19)'!$Q$97+'假日(17-19)'!$Q$116+'假日(17-19)'!$Q$135+'假日(17-19)'!$Q$154</f>
        <v>0</v>
      </c>
      <c r="BT17" s="165" t="str">
        <f>CONCATENATE(基本資料!$B$18,"方向","平均延滯")</f>
        <v>A方向平均延滯</v>
      </c>
      <c r="BU17" s="170" t="str">
        <f>IF(ISERROR(VLOOKUP($BX$85,資料分析!BT4:BU16,2,1)),"-",VLOOKUP($BX$85,BT4:BU16,2,1))</f>
        <v>-</v>
      </c>
      <c r="BV17" s="170"/>
      <c r="BW17" s="165"/>
      <c r="BX17" s="165"/>
      <c r="BY17" s="165"/>
    </row>
    <row r="18" spans="2:77">
      <c r="B18" s="165" t="str">
        <f>CONCATENATE(基本資料!$C$18,"方向","平均延滯")</f>
        <v>B方向平均延滯</v>
      </c>
      <c r="C18" s="170" t="str">
        <f>IF(ISERROR(VLOOKUP($F$45,B13:C17,2,1)),"-",VLOOKUP($F$45,B13:C17,2,1))</f>
        <v>-</v>
      </c>
      <c r="D18" s="170"/>
      <c r="E18" s="165"/>
      <c r="F18" s="165"/>
      <c r="G18" s="165"/>
      <c r="I18" s="165" t="str">
        <f>CONCATENATE(基本資料!$C$18,"方向","平均延滯")</f>
        <v>B方向平均延滯</v>
      </c>
      <c r="J18" s="170" t="str">
        <f>IF(ISERROR(VLOOKUP($M$45,I13:J17,2,1)),"-",VLOOKUP($M$45,I13:J17,2,1))</f>
        <v>-</v>
      </c>
      <c r="K18" s="170"/>
      <c r="L18" s="165"/>
      <c r="M18" s="165"/>
      <c r="N18" s="165"/>
      <c r="P18" s="165" t="str">
        <f>CONCATENATE(基本資料!$C$18,"方向","平均延滯")</f>
        <v>B方向平均延滯</v>
      </c>
      <c r="Q18" s="170" t="str">
        <f>IF(ISERROR(VLOOKUP($T$45,P13:Q17,2,1)),"-",VLOOKUP($T$45,P13:Q17,2,1))</f>
        <v>-</v>
      </c>
      <c r="R18" s="170"/>
      <c r="S18" s="165"/>
      <c r="T18" s="165"/>
      <c r="U18" s="165"/>
      <c r="W18" s="165" t="str">
        <f>CONCATENATE(基本資料!$C$18,"方向","平均延滯")</f>
        <v>B方向平均延滯</v>
      </c>
      <c r="X18" s="170" t="str">
        <f>IF(ISERROR(VLOOKUP($AA$45,W13:X17,2,1)),"-",VLOOKUP($AA$45,W13:X17,2,1))</f>
        <v>-</v>
      </c>
      <c r="Y18" s="170"/>
      <c r="Z18" s="165"/>
      <c r="AA18" s="165"/>
      <c r="AB18" s="165"/>
      <c r="AD18" s="165" t="str">
        <f>CONCATENATE(基本資料!$C$18,"方向","平均延滯")</f>
        <v>B方向平均延滯</v>
      </c>
      <c r="AE18" s="170" t="str">
        <f>IF(ISERROR(VLOOKUP($AH$45,AD13:AE17,2,1)),"-",VLOOKUP($AH$45,AD13:AE17,2,1))</f>
        <v>-</v>
      </c>
      <c r="AF18" s="170"/>
      <c r="AG18" s="165"/>
      <c r="AH18" s="165"/>
      <c r="AI18" s="165"/>
      <c r="AK18" s="165" t="str">
        <f>CONCATENATE(基本資料!$C$18,"方向","平均延滯")</f>
        <v>B方向平均延滯</v>
      </c>
      <c r="AL18" s="170" t="str">
        <f>IF(ISERROR(VLOOKUP($AO$45,AK13:AL17,2,1)),"-",VLOOKUP($AO$45,AK13:AL17,2,1))</f>
        <v>-</v>
      </c>
      <c r="AM18" s="170"/>
      <c r="AN18" s="165"/>
      <c r="AO18" s="165"/>
      <c r="AP18" s="165"/>
      <c r="AR18" s="165" t="str">
        <f>CONCATENATE(基本資料!$C$18,"方向","平均延滯")</f>
        <v>B方向平均延滯</v>
      </c>
      <c r="AS18" s="170" t="str">
        <f>IF(ISERROR(VLOOKUP($AV$45,AR13:AS17,2,1)),"-",VLOOKUP($AV$45,AR13:AS17,2,1))</f>
        <v>-</v>
      </c>
      <c r="AT18" s="170"/>
      <c r="AU18" s="165"/>
      <c r="AV18" s="165"/>
      <c r="AW18" s="165"/>
      <c r="AY18" s="165" t="str">
        <f>CONCATENATE(基本資料!$C$18,"方向","平均延滯")</f>
        <v>B方向平均延滯</v>
      </c>
      <c r="AZ18" s="170" t="str">
        <f>IF(ISERROR(VLOOKUP($BC$45,AY13:AZ17,2,1)),"-",VLOOKUP($BC$45,AY13:AZ17,2,1))</f>
        <v>-</v>
      </c>
      <c r="BA18" s="170"/>
      <c r="BB18" s="165"/>
      <c r="BC18" s="165"/>
      <c r="BD18" s="165"/>
      <c r="BF18" s="165" t="str">
        <f>CONCATENATE(基本資料!$C$18,"方向","平均延滯")</f>
        <v>B方向平均延滯</v>
      </c>
      <c r="BG18" s="170" t="str">
        <f>IF(ISERROR(VLOOKUP($BJ$45,BF13:BG17,2,1)),"-",VLOOKUP($BJ$45,BF13:BG17,2,1))</f>
        <v>-</v>
      </c>
      <c r="BH18" s="170"/>
      <c r="BI18" s="165"/>
      <c r="BJ18" s="165"/>
      <c r="BK18" s="165"/>
      <c r="BM18" s="165" t="str">
        <f>CONCATENATE(基本資料!$C$18,"方向","平均延滯")</f>
        <v>B方向平均延滯</v>
      </c>
      <c r="BN18" s="170" t="str">
        <f>IF(ISERROR(VLOOKUP($BQ$45,BM13:BN17,2,1)),"-",VLOOKUP($BQ$45,BM13:BN17,2,1))</f>
        <v>-</v>
      </c>
      <c r="BO18" s="170"/>
      <c r="BP18" s="165"/>
      <c r="BQ18" s="165"/>
      <c r="BR18" s="165"/>
      <c r="BT18" s="165" t="str">
        <f>CONCATENATE(基本資料!$B$18,"方向","平均停等車輛延滯")</f>
        <v>A方向平均停等車輛延滯</v>
      </c>
      <c r="BU18" s="170"/>
      <c r="BV18" s="170" t="str">
        <f>IF(ISERROR(VLOOKUP($BX$86,BT4:BV16,3,1)),"-",VLOOKUP($BX$86,BT4:BV16,3,1))</f>
        <v>-</v>
      </c>
      <c r="BW18" s="165"/>
      <c r="BX18" s="165"/>
      <c r="BY18" s="165"/>
    </row>
    <row r="19" spans="2:77">
      <c r="B19" s="165" t="str">
        <f>CONCATENATE(基本資料!$C$18,"方向","平均停等車輛延滯")</f>
        <v>B方向平均停等車輛延滯</v>
      </c>
      <c r="C19" s="170"/>
      <c r="D19" s="170" t="str">
        <f>IF(ISERROR(VLOOKUP($F$46,B13:D17,3,1)),"-",VLOOKUP($F$46,B13:D17,3,1))</f>
        <v>-</v>
      </c>
      <c r="E19" s="165"/>
      <c r="F19" s="165"/>
      <c r="G19" s="165"/>
      <c r="I19" s="165" t="str">
        <f>CONCATENATE(基本資料!$C$18,"方向","平均停等車輛延滯")</f>
        <v>B方向平均停等車輛延滯</v>
      </c>
      <c r="J19" s="170"/>
      <c r="K19" s="170" t="str">
        <f>IF(ISERROR(VLOOKUP($M$46,I13:K17,3,1)),"-",VLOOKUP($M$46,I13:K17,3,1))</f>
        <v>-</v>
      </c>
      <c r="L19" s="165"/>
      <c r="M19" s="165"/>
      <c r="N19" s="165"/>
      <c r="P19" s="165" t="str">
        <f>CONCATENATE(基本資料!$C$18,"方向","平均停等車輛延滯")</f>
        <v>B方向平均停等車輛延滯</v>
      </c>
      <c r="Q19" s="170"/>
      <c r="R19" s="170" t="str">
        <f>IF(ISERROR(VLOOKUP($T$46,P13:R17,3,1)),"-",VLOOKUP($T$46,P13:R17,3,1))</f>
        <v>-</v>
      </c>
      <c r="S19" s="165"/>
      <c r="T19" s="165"/>
      <c r="U19" s="165"/>
      <c r="W19" s="165" t="str">
        <f>CONCATENATE(基本資料!$C$18,"方向","平均停等車輛延滯")</f>
        <v>B方向平均停等車輛延滯</v>
      </c>
      <c r="X19" s="170"/>
      <c r="Y19" s="170" t="str">
        <f>IF(ISERROR(VLOOKUP($AA$46,W13:Y17,3,1)),"-",VLOOKUP($AA$46,W13:Y17,3,1))</f>
        <v>-</v>
      </c>
      <c r="Z19" s="165"/>
      <c r="AA19" s="165"/>
      <c r="AB19" s="165"/>
      <c r="AD19" s="165" t="str">
        <f>CONCATENATE(基本資料!$C$18,"方向","平均停等車輛延滯")</f>
        <v>B方向平均停等車輛延滯</v>
      </c>
      <c r="AE19" s="170"/>
      <c r="AF19" s="170" t="str">
        <f>IF(ISERROR(VLOOKUP($AH$46,AD13:AF17,3,1)),"-",VLOOKUP($AH$46,AD13:AF17,3,1))</f>
        <v>-</v>
      </c>
      <c r="AG19" s="165"/>
      <c r="AH19" s="165"/>
      <c r="AI19" s="165"/>
      <c r="AK19" s="165" t="str">
        <f>CONCATENATE(基本資料!$C$18,"方向","平均停等車輛延滯")</f>
        <v>B方向平均停等車輛延滯</v>
      </c>
      <c r="AL19" s="170"/>
      <c r="AM19" s="170" t="str">
        <f>IF(ISERROR(VLOOKUP($AO$46,AK13:AM17,3,1)),"-",VLOOKUP($AO$46,AK13:AM17,3,1))</f>
        <v>-</v>
      </c>
      <c r="AN19" s="165"/>
      <c r="AO19" s="165"/>
      <c r="AP19" s="165"/>
      <c r="AR19" s="165" t="str">
        <f>CONCATENATE(基本資料!$C$18,"方向","平均停等車輛延滯")</f>
        <v>B方向平均停等車輛延滯</v>
      </c>
      <c r="AS19" s="170"/>
      <c r="AT19" s="170" t="str">
        <f>IF(ISERROR(VLOOKUP($AV$46,AR13:AT17,3,1)),"-",VLOOKUP($AV$46,AR13:AT17,3,1))</f>
        <v>-</v>
      </c>
      <c r="AU19" s="165"/>
      <c r="AV19" s="165"/>
      <c r="AW19" s="165"/>
      <c r="AY19" s="165" t="str">
        <f>CONCATENATE(基本資料!$C$18,"方向","平均停等車輛延滯")</f>
        <v>B方向平均停等車輛延滯</v>
      </c>
      <c r="AZ19" s="170"/>
      <c r="BA19" s="170" t="str">
        <f>IF(ISERROR(VLOOKUP($BC$46,AY13:BA17,3,1)),"-",VLOOKUP($BC$46,AY13:BA17,3,1))</f>
        <v>-</v>
      </c>
      <c r="BB19" s="165"/>
      <c r="BC19" s="165"/>
      <c r="BD19" s="165"/>
      <c r="BF19" s="165" t="str">
        <f>CONCATENATE(基本資料!$C$18,"方向","平均停等車輛延滯")</f>
        <v>B方向平均停等車輛延滯</v>
      </c>
      <c r="BG19" s="170"/>
      <c r="BH19" s="170" t="str">
        <f>IF(ISERROR(VLOOKUP($BJ$46,BF13:BH17,3,1)),"-",VLOOKUP($BJ$46,BF13:BH17,3,1))</f>
        <v>-</v>
      </c>
      <c r="BI19" s="165"/>
      <c r="BJ19" s="165"/>
      <c r="BK19" s="165"/>
      <c r="BM19" s="165" t="str">
        <f>CONCATENATE(基本資料!$C$18,"方向","平均停等車輛延滯")</f>
        <v>B方向平均停等車輛延滯</v>
      </c>
      <c r="BN19" s="170"/>
      <c r="BO19" s="170" t="str">
        <f>IF(ISERROR(VLOOKUP($BQ$46,BM13:BO17,3,1)),"-",VLOOKUP($BQ$46,BM13:BO17,3,1))</f>
        <v>-</v>
      </c>
      <c r="BP19" s="165"/>
      <c r="BQ19" s="165"/>
      <c r="BR19" s="165"/>
      <c r="BT19" s="238" t="str">
        <f>'假日(16-18)'!$J$2</f>
        <v>B方向：</v>
      </c>
      <c r="BU19" s="239"/>
      <c r="BV19" s="239"/>
      <c r="BW19" s="239"/>
      <c r="BX19" s="239"/>
      <c r="BY19" s="240"/>
    </row>
    <row r="20" spans="2:77">
      <c r="B20" s="237" t="str">
        <f>'平日晨峰(07-09)'!$S$2</f>
        <v>C方向：</v>
      </c>
      <c r="C20" s="237"/>
      <c r="D20" s="237"/>
      <c r="E20" s="237"/>
      <c r="F20" s="237"/>
      <c r="G20" s="237"/>
      <c r="I20" s="237" t="str">
        <f>'平日晨峰(07-09)'!$S$2</f>
        <v>C方向：</v>
      </c>
      <c r="J20" s="237"/>
      <c r="K20" s="237"/>
      <c r="L20" s="237"/>
      <c r="M20" s="237"/>
      <c r="N20" s="237"/>
      <c r="P20" s="237" t="str">
        <f>'平日中午(11-13)'!$S$2</f>
        <v>C方向：</v>
      </c>
      <c r="Q20" s="237"/>
      <c r="R20" s="237"/>
      <c r="S20" s="237"/>
      <c r="T20" s="237"/>
      <c r="U20" s="237"/>
      <c r="W20" s="237" t="str">
        <f>'平日中午(11-13)'!$S$2</f>
        <v>C方向：</v>
      </c>
      <c r="X20" s="237"/>
      <c r="Y20" s="237"/>
      <c r="Z20" s="237"/>
      <c r="AA20" s="237"/>
      <c r="AB20" s="237"/>
      <c r="AD20" s="237" t="str">
        <f>'平日昏峰(17-19)'!$S$2</f>
        <v>C方向：</v>
      </c>
      <c r="AE20" s="237"/>
      <c r="AF20" s="237"/>
      <c r="AG20" s="237"/>
      <c r="AH20" s="237"/>
      <c r="AI20" s="237"/>
      <c r="AK20" s="237" t="str">
        <f>'假日(11-12)'!$S$2</f>
        <v>C方向：</v>
      </c>
      <c r="AL20" s="237"/>
      <c r="AM20" s="237"/>
      <c r="AN20" s="237"/>
      <c r="AO20" s="237"/>
      <c r="AP20" s="237"/>
      <c r="AR20" s="237" t="str">
        <f>'假日(1430-1530)'!$S$2</f>
        <v>C方向：</v>
      </c>
      <c r="AS20" s="237"/>
      <c r="AT20" s="237"/>
      <c r="AU20" s="237"/>
      <c r="AV20" s="237"/>
      <c r="AW20" s="237"/>
      <c r="AY20" s="237" t="str">
        <f>'假日(1730-1830)'!$S$2</f>
        <v>C方向：</v>
      </c>
      <c r="AZ20" s="237"/>
      <c r="BA20" s="237"/>
      <c r="BB20" s="237"/>
      <c r="BC20" s="237"/>
      <c r="BD20" s="237"/>
      <c r="BF20" s="237" t="str">
        <f>'假日(16-18)'!$S$2</f>
        <v>C方向：</v>
      </c>
      <c r="BG20" s="237"/>
      <c r="BH20" s="237"/>
      <c r="BI20" s="237"/>
      <c r="BJ20" s="237"/>
      <c r="BK20" s="237"/>
      <c r="BM20" s="237" t="str">
        <f>'假日(17-19)'!$S$2</f>
        <v>C方向：</v>
      </c>
      <c r="BN20" s="237"/>
      <c r="BO20" s="237"/>
      <c r="BP20" s="237"/>
      <c r="BQ20" s="237"/>
      <c r="BR20" s="237"/>
      <c r="BT20" s="165" t="s">
        <v>125</v>
      </c>
      <c r="BU20" s="166" t="s">
        <v>131</v>
      </c>
      <c r="BV20" s="167" t="s">
        <v>127</v>
      </c>
      <c r="BW20" s="166" t="s">
        <v>128</v>
      </c>
      <c r="BX20" s="166" t="s">
        <v>129</v>
      </c>
      <c r="BY20" s="166" t="s">
        <v>130</v>
      </c>
    </row>
    <row r="21" spans="2:77">
      <c r="B21" s="165" t="s">
        <v>125</v>
      </c>
      <c r="C21" s="166" t="s">
        <v>131</v>
      </c>
      <c r="D21" s="167" t="s">
        <v>127</v>
      </c>
      <c r="E21" s="166" t="s">
        <v>128</v>
      </c>
      <c r="F21" s="166" t="s">
        <v>129</v>
      </c>
      <c r="G21" s="166" t="s">
        <v>130</v>
      </c>
      <c r="I21" s="165" t="s">
        <v>125</v>
      </c>
      <c r="J21" s="166" t="s">
        <v>131</v>
      </c>
      <c r="K21" s="167" t="s">
        <v>127</v>
      </c>
      <c r="L21" s="166" t="s">
        <v>128</v>
      </c>
      <c r="M21" s="166" t="s">
        <v>129</v>
      </c>
      <c r="N21" s="166" t="s">
        <v>130</v>
      </c>
      <c r="P21" s="165" t="s">
        <v>125</v>
      </c>
      <c r="Q21" s="166" t="s">
        <v>131</v>
      </c>
      <c r="R21" s="167" t="s">
        <v>127</v>
      </c>
      <c r="S21" s="166" t="s">
        <v>128</v>
      </c>
      <c r="T21" s="166" t="s">
        <v>129</v>
      </c>
      <c r="U21" s="166" t="s">
        <v>130</v>
      </c>
      <c r="W21" s="165" t="s">
        <v>125</v>
      </c>
      <c r="X21" s="166" t="s">
        <v>131</v>
      </c>
      <c r="Y21" s="167" t="s">
        <v>127</v>
      </c>
      <c r="Z21" s="166" t="s">
        <v>128</v>
      </c>
      <c r="AA21" s="166" t="s">
        <v>129</v>
      </c>
      <c r="AB21" s="166" t="s">
        <v>130</v>
      </c>
      <c r="AD21" s="165" t="s">
        <v>125</v>
      </c>
      <c r="AE21" s="166" t="s">
        <v>131</v>
      </c>
      <c r="AF21" s="167" t="s">
        <v>127</v>
      </c>
      <c r="AG21" s="166" t="s">
        <v>128</v>
      </c>
      <c r="AH21" s="166" t="s">
        <v>129</v>
      </c>
      <c r="AI21" s="166" t="s">
        <v>130</v>
      </c>
      <c r="AK21" s="165" t="s">
        <v>125</v>
      </c>
      <c r="AL21" s="166" t="s">
        <v>131</v>
      </c>
      <c r="AM21" s="167" t="s">
        <v>127</v>
      </c>
      <c r="AN21" s="166" t="s">
        <v>128</v>
      </c>
      <c r="AO21" s="166" t="s">
        <v>129</v>
      </c>
      <c r="AP21" s="166" t="s">
        <v>130</v>
      </c>
      <c r="AR21" s="165" t="s">
        <v>125</v>
      </c>
      <c r="AS21" s="166" t="s">
        <v>131</v>
      </c>
      <c r="AT21" s="167" t="s">
        <v>127</v>
      </c>
      <c r="AU21" s="166" t="s">
        <v>128</v>
      </c>
      <c r="AV21" s="166" t="s">
        <v>129</v>
      </c>
      <c r="AW21" s="166" t="s">
        <v>130</v>
      </c>
      <c r="AY21" s="165" t="s">
        <v>125</v>
      </c>
      <c r="AZ21" s="166" t="s">
        <v>131</v>
      </c>
      <c r="BA21" s="167" t="s">
        <v>127</v>
      </c>
      <c r="BB21" s="166" t="s">
        <v>128</v>
      </c>
      <c r="BC21" s="166" t="s">
        <v>129</v>
      </c>
      <c r="BD21" s="166" t="s">
        <v>130</v>
      </c>
      <c r="BF21" s="165" t="s">
        <v>125</v>
      </c>
      <c r="BG21" s="166" t="s">
        <v>131</v>
      </c>
      <c r="BH21" s="167" t="s">
        <v>127</v>
      </c>
      <c r="BI21" s="166" t="s">
        <v>128</v>
      </c>
      <c r="BJ21" s="166" t="s">
        <v>129</v>
      </c>
      <c r="BK21" s="166" t="s">
        <v>130</v>
      </c>
      <c r="BM21" s="165" t="s">
        <v>125</v>
      </c>
      <c r="BN21" s="166" t="s">
        <v>131</v>
      </c>
      <c r="BO21" s="167" t="s">
        <v>127</v>
      </c>
      <c r="BP21" s="166" t="s">
        <v>128</v>
      </c>
      <c r="BQ21" s="166" t="s">
        <v>129</v>
      </c>
      <c r="BR21" s="166" t="s">
        <v>130</v>
      </c>
      <c r="BT21" s="168" t="s">
        <v>137</v>
      </c>
      <c r="BU21" s="169" t="str">
        <f t="shared" ref="BU21:BU33" si="20">IF(ISERROR($BW21/BX21),"-",$BW21/BX21)</f>
        <v>-</v>
      </c>
      <c r="BV21" s="169" t="str">
        <f t="shared" ref="BV21:BV33" si="21">IF(ISERROR($BW21/BY21),"-",$BW21/BY21)</f>
        <v>-</v>
      </c>
      <c r="BW21" s="168">
        <f>('假日(16-20)'!$K$21+'假日(16-20)'!$K$40+'假日(16-20)'!$K$59+'假日(16-20)'!$K$78)*15</f>
        <v>0</v>
      </c>
      <c r="BX21" s="168">
        <f>'假日(16-20)'!$O$21+'假日(16-20)'!$O$40+'假日(16-20)'!$O$59+'假日(16-20)'!$O$78</f>
        <v>0</v>
      </c>
      <c r="BY21" s="168">
        <f>'假日(16-20)'!$Q$21+'假日(16-20)'!$Q$40+'假日(16-20)'!$Q$59+'假日(16-20)'!$Q$78</f>
        <v>0</v>
      </c>
    </row>
    <row r="22" spans="2:77">
      <c r="B22" s="168" t="s">
        <v>189</v>
      </c>
      <c r="C22" s="169" t="str">
        <f t="shared" ref="C22:D26" si="22">IF(ISERROR($E22/F22),"-",$E22/F22)</f>
        <v>-</v>
      </c>
      <c r="D22" s="169" t="str">
        <f t="shared" si="22"/>
        <v>-</v>
      </c>
      <c r="E22" s="168">
        <f>('平日晨峰(0630-0830)'!$T$21+'平日晨峰(0630-0830)'!$T$40+'平日晨峰(0630-0830)'!$T$59+'平日晨峰(0630-0830)'!$T$78)*15</f>
        <v>0</v>
      </c>
      <c r="F22" s="168">
        <f>'平日晨峰(0630-0830)'!$X$21+'平日晨峰(0630-0830)'!$X$40+'平日晨峰(0630-0830)'!$X$59+'平日晨峰(0630-0830)'!$X$78</f>
        <v>0</v>
      </c>
      <c r="G22" s="168">
        <f>'平日晨峰(0630-0830)'!$Z$21+'平日晨峰(0630-0830)'!$Z$40+'平日晨峰(0630-0830)'!$Z$59+'平日晨峰(0630-0830)'!$Z$78</f>
        <v>0</v>
      </c>
      <c r="I22" s="168" t="str">
        <f>$I$4</f>
        <v>07:00~08:00</v>
      </c>
      <c r="J22" s="169" t="str">
        <f t="shared" ref="J22:K26" si="23">IF(ISERROR($L22/M22),"-",$L22/M22)</f>
        <v>-</v>
      </c>
      <c r="K22" s="169" t="str">
        <f t="shared" si="23"/>
        <v>-</v>
      </c>
      <c r="L22" s="168">
        <f>('平日晨峰(07-09)'!$T$21+'平日晨峰(07-09)'!$T$40+'平日晨峰(07-09)'!$T$59+'平日晨峰(07-09)'!$T$78)*15</f>
        <v>0</v>
      </c>
      <c r="M22" s="168">
        <f>'平日晨峰(07-09)'!$X$21+'平日晨峰(07-09)'!$X$40+'平日晨峰(07-09)'!$X$59+'平日晨峰(07-09)'!$X$78</f>
        <v>0</v>
      </c>
      <c r="N22" s="168">
        <f>'平日晨峰(07-09)'!$Z$21+'平日晨峰(07-09)'!$Z$40+'平日晨峰(07-09)'!$Z$59+'平日晨峰(07-09)'!$Z$78</f>
        <v>0</v>
      </c>
      <c r="P22" s="168" t="str">
        <f>P13</f>
        <v>11:00~12:00</v>
      </c>
      <c r="Q22" s="169" t="str">
        <f>IF(ISERROR($S22/T22),"-",$S22/T22)</f>
        <v>-</v>
      </c>
      <c r="R22" s="169" t="str">
        <f>IF(ISERROR($T22/U22),"-",$T22/U22)</f>
        <v>-</v>
      </c>
      <c r="S22" s="168">
        <f>('平日中午(11-13)'!$T$21+'平日中午(11-13)'!$T$40+'平日中午(11-13)'!$T$59+'平日中午(11-13)'!$T$78)*15</f>
        <v>0</v>
      </c>
      <c r="T22" s="168">
        <f>'平日中午(11-13)'!$X$21+'平日中午(11-13)'!$X$40+'平日中午(11-13)'!$X$59+'平日中午(11-13)'!$X$78</f>
        <v>0</v>
      </c>
      <c r="U22" s="168">
        <f>'平日中午(11-13)'!$Z$21+'平日中午(11-13)'!$Z$40+'平日中午(11-13)'!$Z$59+'平日中午(11-13)'!$Z$78</f>
        <v>0</v>
      </c>
      <c r="W22" s="168" t="str">
        <f>W13</f>
        <v>1200~13:00</v>
      </c>
      <c r="X22" s="169" t="str">
        <f t="shared" ref="X22:Y26" si="24">IF(ISERROR($Z22/AA22),"-",$Z22/AA22)</f>
        <v>-</v>
      </c>
      <c r="Y22" s="169" t="str">
        <f t="shared" si="24"/>
        <v>-</v>
      </c>
      <c r="Z22" s="168">
        <f>('平日中午(12-14)'!$T$21+'平日中午(12-14)'!$T$40+'平日中午(12-14)'!$T$59+'平日中午(12-14)'!$T$78)*15</f>
        <v>0</v>
      </c>
      <c r="AA22" s="168">
        <f>'平日中午(12-14)'!$X$21+'平日中午(12-14)'!$X$40+'平日中午(12-14)'!$X$59+'平日中午(12-14)'!$X$78</f>
        <v>0</v>
      </c>
      <c r="AB22" s="168">
        <f>'平日中午(12-14)'!$Z$21+'平日中午(12-14)'!$Z$40+'平日中午(12-14)'!$Z$59+'平日中午(12-14)'!$Z$78</f>
        <v>0</v>
      </c>
      <c r="AD22" s="168" t="str">
        <f>$AD$4</f>
        <v>17:00~18:00</v>
      </c>
      <c r="AE22" s="169" t="str">
        <f t="shared" ref="AE22:AF26" si="25">IF(ISERROR($AG22/AH22),"-",$AG22/AH22)</f>
        <v>-</v>
      </c>
      <c r="AF22" s="169" t="str">
        <f t="shared" si="25"/>
        <v>-</v>
      </c>
      <c r="AG22" s="168">
        <f>('平日昏峰(17-19)'!$T$21+'平日昏峰(17-19)'!$T$40+'平日昏峰(17-19)'!$T$59+'平日昏峰(17-19)'!$T$78)*15</f>
        <v>0</v>
      </c>
      <c r="AH22" s="168">
        <f>'平日昏峰(17-19)'!$X$21+'平日昏峰(17-19)'!$X$40+'平日昏峰(17-19)'!$X$59+'平日昏峰(17-19)'!$X$78</f>
        <v>0</v>
      </c>
      <c r="AI22" s="168">
        <f>'平日昏峰(17-19)'!$Z$21+'平日昏峰(17-19)'!$Z$40+'平日昏峰(17-19)'!$Z$59+'平日昏峰(17-19)'!$Z$78</f>
        <v>0</v>
      </c>
      <c r="AK22" s="168" t="str">
        <f>$AK$4</f>
        <v>11:00~12:00</v>
      </c>
      <c r="AL22" s="169" t="str">
        <f t="shared" ref="AL22:AM26" si="26">IF(ISERROR($AN22/AO22),"-",$AN22/AO22)</f>
        <v>-</v>
      </c>
      <c r="AM22" s="169" t="str">
        <f t="shared" si="26"/>
        <v>-</v>
      </c>
      <c r="AN22" s="168">
        <f>('假日(11-12)'!$T$21+'假日(11-12)'!$T$40+'假日(11-12)'!$T$59+'假日(11-12)'!$T$78)*15</f>
        <v>0</v>
      </c>
      <c r="AO22" s="168">
        <f>'假日(11-12)'!$X$21+'假日(11-12)'!$X$40+'假日(11-12)'!$X$59+'假日(11-12)'!$X$78</f>
        <v>0</v>
      </c>
      <c r="AP22" s="168">
        <f>'假日(11-12)'!$Z$21+'假日(11-12)'!$Z$40+'假日(11-12)'!$Z$59+'假日(11-12)'!$Z$78</f>
        <v>0</v>
      </c>
      <c r="AR22" s="168" t="str">
        <f>$AR$4</f>
        <v>14:30~15:30</v>
      </c>
      <c r="AS22" s="169" t="str">
        <f t="shared" ref="AS22:AT26" si="27">IF(ISERROR($AU22/AV22),"-",$AU22/AV22)</f>
        <v>-</v>
      </c>
      <c r="AT22" s="169" t="str">
        <f t="shared" si="27"/>
        <v>-</v>
      </c>
      <c r="AU22" s="168">
        <f>('假日(1430-1530)'!$T$21+'假日(1430-1530)'!$T$40+'假日(1430-1530)'!$T$59+'假日(1430-1530)'!$T$78)*15</f>
        <v>0</v>
      </c>
      <c r="AV22" s="168">
        <f>'假日(1430-1530)'!$X$21+'假日(1430-1530)'!$X$40+'假日(1430-1530)'!$X$59+'假日(1430-1530)'!$X$78</f>
        <v>0</v>
      </c>
      <c r="AW22" s="168">
        <f>'假日(1430-1530)'!$Z$21+'假日(1430-1530)'!$Z$40+'假日(1430-1530)'!$Z$59+'假日(1430-1530)'!$Z$78</f>
        <v>0</v>
      </c>
      <c r="AY22" s="168" t="str">
        <f>AY13</f>
        <v>17:30~18:30</v>
      </c>
      <c r="AZ22" s="169" t="str">
        <f t="shared" ref="AZ22:BA26" si="28">IF(ISERROR($BB22/BC22),"-",$BB22/BC22)</f>
        <v>-</v>
      </c>
      <c r="BA22" s="169" t="str">
        <f t="shared" si="28"/>
        <v>-</v>
      </c>
      <c r="BB22" s="168">
        <f>('假日(1730-1830)'!$T$21+'假日(1730-1830)'!$T$40+'假日(1730-1830)'!$T$59+'假日(1730-1830)'!$T$78)*15</f>
        <v>0</v>
      </c>
      <c r="BC22" s="168">
        <f>'假日(1730-1830)'!$X$21+'假日(1730-1830)'!$X$40+'假日(1730-1830)'!$X$59+'假日(1730-1830)'!$X$78</f>
        <v>0</v>
      </c>
      <c r="BD22" s="168">
        <f>'假日(1730-1830)'!$Z$21+'假日(1730-1830)'!$Z$40+'假日(1730-1830)'!$Z$59+'假日(1730-1830)'!$Z$78</f>
        <v>0</v>
      </c>
      <c r="BF22" s="168" t="str">
        <f>BF13</f>
        <v>16:00~17:00</v>
      </c>
      <c r="BG22" s="169" t="str">
        <f t="shared" ref="BG22:BH26" si="29">IF(ISERROR($BI22/BJ22),"-",$BI22/BJ22)</f>
        <v>-</v>
      </c>
      <c r="BH22" s="169" t="str">
        <f t="shared" si="29"/>
        <v>-</v>
      </c>
      <c r="BI22" s="168">
        <f>('假日(16-18)'!$T$21+'假日(16-18)'!$T$40+'假日(16-18)'!$T$59+'假日(16-18)'!$T$78)*15</f>
        <v>0</v>
      </c>
      <c r="BJ22" s="168">
        <f>'假日(16-18)'!$X$21+'假日(16-18)'!$X$40+'假日(16-18)'!$X$59+'假日(16-18)'!$X$78</f>
        <v>0</v>
      </c>
      <c r="BK22" s="168">
        <f>'假日(16-18)'!$Z$21+'假日(16-18)'!$Z$40+'假日(16-18)'!$Z$59+'假日(16-18)'!$Z$78</f>
        <v>0</v>
      </c>
      <c r="BM22" s="168" t="str">
        <f>BM13</f>
        <v>17:00~18:00</v>
      </c>
      <c r="BN22" s="169" t="str">
        <f t="shared" ref="BN22:BO26" si="30">IF(ISERROR($BP22/BQ22),"-",$BP22/BQ22)</f>
        <v>-</v>
      </c>
      <c r="BO22" s="169" t="str">
        <f t="shared" si="30"/>
        <v>-</v>
      </c>
      <c r="BP22" s="168">
        <f>('假日(17-19)'!$T$21+'假日(17-19)'!$T$40+'假日(17-19)'!$T$59+'假日(17-19)'!$T$78)*15</f>
        <v>0</v>
      </c>
      <c r="BQ22" s="168">
        <f>'假日(17-19)'!$X$21+'假日(17-19)'!$X$40+'假日(17-19)'!$X$59+'假日(17-19)'!$X$78</f>
        <v>0</v>
      </c>
      <c r="BR22" s="168">
        <f>'假日(17-19)'!$Z$21+'假日(17-19)'!$Z$40+'假日(17-19)'!$Z$59+'假日(17-19)'!$Z$78</f>
        <v>0</v>
      </c>
      <c r="BT22" s="168" t="s">
        <v>141</v>
      </c>
      <c r="BU22" s="169" t="str">
        <f t="shared" si="20"/>
        <v>-</v>
      </c>
      <c r="BV22" s="169" t="str">
        <f t="shared" si="21"/>
        <v>-</v>
      </c>
      <c r="BW22" s="168">
        <f>('假日(16-20)'!$K$40+'假日(16-20)'!$K$59+'假日(16-20)'!$K$78+'假日(16-20)'!$K$97)*15</f>
        <v>0</v>
      </c>
      <c r="BX22" s="168">
        <f>'假日(16-20)'!$O$40+'假日(16-20)'!$O$59+'假日(16-20)'!$O$78+'假日(16-20)'!$O$97</f>
        <v>0</v>
      </c>
      <c r="BY22" s="168">
        <f>'假日(16-20)'!$Q$40+'假日(16-20)'!$Q$59+'假日(16-20)'!$Q$78+'假日(16-20)'!$Q$97</f>
        <v>0</v>
      </c>
    </row>
    <row r="23" spans="2:77">
      <c r="B23" s="168" t="s">
        <v>190</v>
      </c>
      <c r="C23" s="169" t="str">
        <f t="shared" si="22"/>
        <v>-</v>
      </c>
      <c r="D23" s="169" t="str">
        <f t="shared" si="22"/>
        <v>-</v>
      </c>
      <c r="E23" s="168">
        <f>('平日晨峰(0630-0830)'!$T$40+'平日晨峰(0630-0830)'!$T$59+'平日晨峰(0630-0830)'!$T$78+'平日晨峰(0630-0830)'!$T$97)*15</f>
        <v>0</v>
      </c>
      <c r="F23" s="168">
        <f>'平日晨峰(0630-0830)'!$X$40+'平日晨峰(0630-0830)'!$X$59+'平日晨峰(0630-0830)'!$X$78+'平日晨峰(0630-0830)'!$X$97</f>
        <v>0</v>
      </c>
      <c r="G23" s="168">
        <f>'平日晨峰(0630-0830)'!$Z$40+'平日晨峰(0630-0830)'!$Z$59+'平日晨峰(0630-0830)'!$Z$78+'平日晨峰(0630-0830)'!$Z$97</f>
        <v>0</v>
      </c>
      <c r="I23" s="168" t="str">
        <f>$I$5</f>
        <v>07:15~08:15</v>
      </c>
      <c r="J23" s="169" t="str">
        <f t="shared" si="23"/>
        <v>-</v>
      </c>
      <c r="K23" s="169" t="str">
        <f t="shared" si="23"/>
        <v>-</v>
      </c>
      <c r="L23" s="168">
        <f>('平日晨峰(07-09)'!$T$40+'平日晨峰(07-09)'!$T$59+'平日晨峰(07-09)'!$T$78+'平日晨峰(07-09)'!$T$97)*15</f>
        <v>0</v>
      </c>
      <c r="M23" s="168">
        <f>'平日晨峰(07-09)'!$X$40+'平日晨峰(07-09)'!$X$59+'平日晨峰(07-09)'!$X$78+'平日晨峰(07-09)'!$X$97</f>
        <v>0</v>
      </c>
      <c r="N23" s="168">
        <f>'平日晨峰(07-09)'!$Z$40+'平日晨峰(07-09)'!$Z$59+'平日晨峰(07-09)'!$Z$78+'平日晨峰(07-09)'!$Z$97</f>
        <v>0</v>
      </c>
      <c r="P23" s="168" t="str">
        <f>P14</f>
        <v>11:15~12:15</v>
      </c>
      <c r="Q23" s="169" t="str">
        <f>IF(ISERROR($S23/T23),"-",$S23/T23)</f>
        <v>-</v>
      </c>
      <c r="R23" s="169" t="str">
        <f>IF(ISERROR($T23/U23),"-",$T23/U23)</f>
        <v>-</v>
      </c>
      <c r="S23" s="168">
        <f>('平日中午(11-13)'!$T$40+'平日中午(11-13)'!$T$59+'平日中午(11-13)'!$T$78+'平日中午(11-13)'!$T$97)*15</f>
        <v>0</v>
      </c>
      <c r="T23" s="168">
        <f>'平日中午(11-13)'!$X$40+'平日中午(11-13)'!$X$59+'平日中午(11-13)'!$X$78+'平日中午(11-13)'!$X$97</f>
        <v>0</v>
      </c>
      <c r="U23" s="168">
        <f>'平日中午(11-13)'!$Z$40+'平日中午(11-13)'!$Z$59+'平日中午(11-13)'!$Z$78+'平日中午(11-13)'!$Z$97</f>
        <v>0</v>
      </c>
      <c r="W23" s="168" t="str">
        <f>W14</f>
        <v>12:15~13:15</v>
      </c>
      <c r="X23" s="169" t="str">
        <f t="shared" si="24"/>
        <v>-</v>
      </c>
      <c r="Y23" s="169" t="str">
        <f t="shared" si="24"/>
        <v>-</v>
      </c>
      <c r="Z23" s="168">
        <f>('平日中午(12-14)'!$T$40+'平日中午(12-14)'!$T$59+'平日中午(12-14)'!$T$78+'平日中午(12-14)'!$T$97)*15</f>
        <v>0</v>
      </c>
      <c r="AA23" s="168">
        <f>'平日中午(12-14)'!$X$40+'平日中午(12-14)'!$X$59+'平日中午(12-14)'!$X$78+'平日中午(12-14)'!$X$97</f>
        <v>0</v>
      </c>
      <c r="AB23" s="168">
        <f>'平日中午(12-14)'!$Z$40+'平日中午(12-14)'!$Z$59+'平日中午(12-14)'!$Z$78+'平日中午(12-14)'!$Z$97</f>
        <v>0</v>
      </c>
      <c r="AD23" s="168" t="str">
        <f>$AD$5</f>
        <v>17:15~18:15</v>
      </c>
      <c r="AE23" s="169" t="str">
        <f t="shared" si="25"/>
        <v>-</v>
      </c>
      <c r="AF23" s="169" t="str">
        <f t="shared" si="25"/>
        <v>-</v>
      </c>
      <c r="AG23" s="168">
        <f>('平日昏峰(17-19)'!$T$40+'平日昏峰(17-19)'!$T$59+'平日昏峰(17-19)'!$T$78+'平日昏峰(17-19)'!$T$97)*15</f>
        <v>0</v>
      </c>
      <c r="AH23" s="168">
        <f>'平日昏峰(17-19)'!$X$40+'平日昏峰(17-19)'!$X$59+'平日昏峰(17-19)'!$X$78+'平日昏峰(17-19)'!$X$97</f>
        <v>0</v>
      </c>
      <c r="AI23" s="168">
        <f>'平日昏峰(17-19)'!$Z$40+'平日昏峰(17-19)'!$Z$59+'平日昏峰(17-19)'!$Z$78+'平日昏峰(17-19)'!$Z$97</f>
        <v>0</v>
      </c>
      <c r="AK23" s="168">
        <f>$AK$5</f>
        <v>0</v>
      </c>
      <c r="AL23" s="169" t="str">
        <f t="shared" si="26"/>
        <v>-</v>
      </c>
      <c r="AM23" s="169" t="str">
        <f t="shared" si="26"/>
        <v>-</v>
      </c>
      <c r="AN23" s="168"/>
      <c r="AO23" s="168"/>
      <c r="AP23" s="168"/>
      <c r="AR23" s="168">
        <f>$AR$5</f>
        <v>0</v>
      </c>
      <c r="AS23" s="169" t="str">
        <f t="shared" si="27"/>
        <v>-</v>
      </c>
      <c r="AT23" s="169" t="str">
        <f t="shared" si="27"/>
        <v>-</v>
      </c>
      <c r="AU23" s="168"/>
      <c r="AV23" s="168"/>
      <c r="AW23" s="168"/>
      <c r="AY23" s="168">
        <f>AY14</f>
        <v>0</v>
      </c>
      <c r="AZ23" s="169" t="str">
        <f t="shared" si="28"/>
        <v>-</v>
      </c>
      <c r="BA23" s="169" t="str">
        <f t="shared" si="28"/>
        <v>-</v>
      </c>
      <c r="BB23" s="168"/>
      <c r="BC23" s="168"/>
      <c r="BD23" s="168"/>
      <c r="BF23" s="168" t="str">
        <f>BF14</f>
        <v>16:15~17:15</v>
      </c>
      <c r="BG23" s="169" t="str">
        <f t="shared" si="29"/>
        <v>-</v>
      </c>
      <c r="BH23" s="169" t="str">
        <f t="shared" si="29"/>
        <v>-</v>
      </c>
      <c r="BI23" s="168">
        <f>('假日(16-18)'!$T$40+'假日(16-18)'!$T$59+'假日(16-18)'!$T$78+'假日(16-18)'!$T$97)*15</f>
        <v>0</v>
      </c>
      <c r="BJ23" s="168">
        <f>'假日(16-18)'!$X$40+'假日(16-18)'!$X$59+'假日(16-18)'!$X$78+'假日(16-18)'!$X$97</f>
        <v>0</v>
      </c>
      <c r="BK23" s="168">
        <f>'假日(16-18)'!$Z$40+'假日(16-18)'!$Z$59+'假日(16-18)'!$Z$78+'假日(16-18)'!$Z$97</f>
        <v>0</v>
      </c>
      <c r="BM23" s="168" t="str">
        <f>BM14</f>
        <v>17:15~18:15</v>
      </c>
      <c r="BN23" s="169" t="str">
        <f t="shared" si="30"/>
        <v>-</v>
      </c>
      <c r="BO23" s="169" t="str">
        <f t="shared" si="30"/>
        <v>-</v>
      </c>
      <c r="BP23" s="168">
        <f>('假日(17-19)'!$T$40+'假日(17-19)'!$T$59+'假日(17-19)'!$T$78+'假日(17-19)'!$T$97)*15</f>
        <v>0</v>
      </c>
      <c r="BQ23" s="168">
        <f>'假日(17-19)'!$X$40+'假日(17-19)'!$X$59+'假日(17-19)'!$X$78+'假日(17-19)'!$X$97</f>
        <v>0</v>
      </c>
      <c r="BR23" s="168">
        <f>'假日(17-19)'!$Z$40+'假日(17-19)'!$Z$59+'假日(17-19)'!$Z$78+'假日(17-19)'!$Z$97</f>
        <v>0</v>
      </c>
      <c r="BT23" s="168" t="s">
        <v>144</v>
      </c>
      <c r="BU23" s="169" t="str">
        <f t="shared" si="20"/>
        <v>-</v>
      </c>
      <c r="BV23" s="169" t="str">
        <f t="shared" si="21"/>
        <v>-</v>
      </c>
      <c r="BW23" s="168">
        <f>('假日(16-20)'!$K$59+'假日(16-20)'!$K$78+'假日(16-20)'!$K$97+'假日(16-20)'!$K$116)*15</f>
        <v>0</v>
      </c>
      <c r="BX23" s="168">
        <f>'假日(16-20)'!$O$59+'假日(16-20)'!$O$78+'假日(16-20)'!$O$97+'假日(16-20)'!$O$116</f>
        <v>0</v>
      </c>
      <c r="BY23" s="168">
        <f>'假日(16-20)'!$Q$59+'假日(16-20)'!$Q$78+'假日(16-20)'!$Q$97+'假日(16-20)'!$Q$116</f>
        <v>0</v>
      </c>
    </row>
    <row r="24" spans="2:77">
      <c r="B24" s="168" t="s">
        <v>191</v>
      </c>
      <c r="C24" s="169" t="str">
        <f t="shared" si="22"/>
        <v>-</v>
      </c>
      <c r="D24" s="169" t="str">
        <f t="shared" si="22"/>
        <v>-</v>
      </c>
      <c r="E24" s="168">
        <f>('平日晨峰(0630-0830)'!$T$59+'平日晨峰(0630-0830)'!$T$78+'平日晨峰(0630-0830)'!$T$97+'平日晨峰(0630-0830)'!$T$116)*15</f>
        <v>0</v>
      </c>
      <c r="F24" s="168">
        <f>'平日晨峰(0630-0830)'!$X$59+'平日晨峰(0630-0830)'!$X$78+'平日晨峰(0630-0830)'!$X$97+'平日晨峰(0630-0830)'!$X$116</f>
        <v>0</v>
      </c>
      <c r="G24" s="168">
        <f>'平日晨峰(0630-0830)'!$Z$59+'平日晨峰(0630-0830)'!$Z$78+'平日晨峰(0630-0830)'!$Z$97+'平日晨峰(0630-0830)'!$Z$116</f>
        <v>0</v>
      </c>
      <c r="I24" s="168" t="str">
        <f>$I$6</f>
        <v>07:30~08:30</v>
      </c>
      <c r="J24" s="169" t="str">
        <f t="shared" si="23"/>
        <v>-</v>
      </c>
      <c r="K24" s="169" t="str">
        <f t="shared" si="23"/>
        <v>-</v>
      </c>
      <c r="L24" s="168">
        <f>('平日晨峰(07-09)'!$T$59+'平日晨峰(07-09)'!$T$78+'平日晨峰(07-09)'!$T$97+'平日晨峰(07-09)'!$T$116)*15</f>
        <v>0</v>
      </c>
      <c r="M24" s="168">
        <f>'平日晨峰(07-09)'!$X$59+'平日晨峰(07-09)'!$X$78+'平日晨峰(07-09)'!$X$97+'平日晨峰(07-09)'!$X$116</f>
        <v>0</v>
      </c>
      <c r="N24" s="168">
        <f>'平日晨峰(07-09)'!$Z$59+'平日晨峰(07-09)'!$Z$78+'平日晨峰(07-09)'!$Z$97+'平日晨峰(07-09)'!$Z$116</f>
        <v>0</v>
      </c>
      <c r="P24" s="168" t="str">
        <f>P15</f>
        <v>11:30~12:30</v>
      </c>
      <c r="Q24" s="169" t="str">
        <f>IF(ISERROR($S24/T24),"-",$S24/T24)</f>
        <v>-</v>
      </c>
      <c r="R24" s="169" t="str">
        <f>IF(ISERROR($T24/U24),"-",$T24/U24)</f>
        <v>-</v>
      </c>
      <c r="S24" s="168">
        <f>('平日中午(11-13)'!$T$59+'平日中午(11-13)'!$T$78+'平日中午(11-13)'!$T$97+'平日中午(11-13)'!$T$116)*15</f>
        <v>0</v>
      </c>
      <c r="T24" s="168">
        <f>'平日中午(11-13)'!$X$59+'平日中午(11-13)'!$X$78+'平日中午(11-13)'!$X$97+'平日中午(11-13)'!$X$116</f>
        <v>0</v>
      </c>
      <c r="U24" s="168">
        <f>'平日中午(11-13)'!$Z$59+'平日中午(11-13)'!$Z$78+'平日中午(11-13)'!$Z$97+'平日中午(11-13)'!$Z$116</f>
        <v>0</v>
      </c>
      <c r="W24" s="168" t="str">
        <f>W15</f>
        <v>12:30~13:30</v>
      </c>
      <c r="X24" s="169" t="str">
        <f t="shared" si="24"/>
        <v>-</v>
      </c>
      <c r="Y24" s="169" t="str">
        <f t="shared" si="24"/>
        <v>-</v>
      </c>
      <c r="Z24" s="168">
        <f>('平日中午(12-14)'!$T$59+'平日中午(12-14)'!$T$78+'平日中午(12-14)'!$T$97+'平日中午(12-14)'!$T$116)*15</f>
        <v>0</v>
      </c>
      <c r="AA24" s="168">
        <f>'平日中午(12-14)'!$X$59+'平日中午(12-14)'!$X$78+'平日中午(12-14)'!$X$97+'平日中午(12-14)'!$X$116</f>
        <v>0</v>
      </c>
      <c r="AB24" s="168">
        <f>'平日中午(12-14)'!$Z$59+'平日中午(12-14)'!$Z$78+'平日中午(12-14)'!$Z$97+'平日中午(12-14)'!$Z$116</f>
        <v>0</v>
      </c>
      <c r="AD24" s="168" t="str">
        <f>$AD$6</f>
        <v>17:30~18:30</v>
      </c>
      <c r="AE24" s="169" t="str">
        <f t="shared" si="25"/>
        <v>-</v>
      </c>
      <c r="AF24" s="169" t="str">
        <f t="shared" si="25"/>
        <v>-</v>
      </c>
      <c r="AG24" s="168">
        <f>('平日昏峰(17-19)'!$T$59+'平日昏峰(17-19)'!$T$78+'平日昏峰(17-19)'!$T$97+'平日昏峰(17-19)'!$T$116)*15</f>
        <v>0</v>
      </c>
      <c r="AH24" s="168">
        <f>'平日昏峰(17-19)'!$X$59+'平日昏峰(17-19)'!$X$78+'平日昏峰(17-19)'!$X$97+'平日昏峰(17-19)'!$X$116</f>
        <v>0</v>
      </c>
      <c r="AI24" s="168">
        <f>'平日昏峰(17-19)'!$Z$59+'平日昏峰(17-19)'!$Z$78+'平日昏峰(17-19)'!$Z$97+'平日昏峰(17-19)'!$Z$116</f>
        <v>0</v>
      </c>
      <c r="AK24" s="168">
        <f>$AK$6</f>
        <v>0</v>
      </c>
      <c r="AL24" s="169" t="str">
        <f t="shared" si="26"/>
        <v>-</v>
      </c>
      <c r="AM24" s="169" t="str">
        <f t="shared" si="26"/>
        <v>-</v>
      </c>
      <c r="AN24" s="168"/>
      <c r="AO24" s="168"/>
      <c r="AP24" s="168"/>
      <c r="AR24" s="168">
        <f>$AR$6</f>
        <v>0</v>
      </c>
      <c r="AS24" s="169" t="str">
        <f t="shared" si="27"/>
        <v>-</v>
      </c>
      <c r="AT24" s="169" t="str">
        <f t="shared" si="27"/>
        <v>-</v>
      </c>
      <c r="AU24" s="168"/>
      <c r="AV24" s="168"/>
      <c r="AW24" s="168"/>
      <c r="AY24" s="168">
        <f>AY15</f>
        <v>0</v>
      </c>
      <c r="AZ24" s="169" t="str">
        <f t="shared" si="28"/>
        <v>-</v>
      </c>
      <c r="BA24" s="169" t="str">
        <f t="shared" si="28"/>
        <v>-</v>
      </c>
      <c r="BB24" s="168"/>
      <c r="BC24" s="168"/>
      <c r="BD24" s="168"/>
      <c r="BF24" s="168" t="str">
        <f>BF15</f>
        <v>16:30~17:30</v>
      </c>
      <c r="BG24" s="169" t="str">
        <f t="shared" si="29"/>
        <v>-</v>
      </c>
      <c r="BH24" s="169" t="str">
        <f t="shared" si="29"/>
        <v>-</v>
      </c>
      <c r="BI24" s="168">
        <f>('假日(16-18)'!$T$59+'假日(16-18)'!$T$78+'假日(16-18)'!$T$97+'假日(16-18)'!$T$116)*15</f>
        <v>0</v>
      </c>
      <c r="BJ24" s="168">
        <f>'假日(16-18)'!$X$59+'假日(16-18)'!$X$78+'假日(16-18)'!$X$97+'假日(16-18)'!$X$116</f>
        <v>0</v>
      </c>
      <c r="BK24" s="168">
        <f>'假日(16-18)'!$Z$59+'假日(16-18)'!$Z$78+'假日(16-18)'!$Z$97+'假日(16-18)'!$Z$116</f>
        <v>0</v>
      </c>
      <c r="BM24" s="168" t="str">
        <f>BM15</f>
        <v>17:30~18:30</v>
      </c>
      <c r="BN24" s="169" t="str">
        <f t="shared" si="30"/>
        <v>-</v>
      </c>
      <c r="BO24" s="169" t="str">
        <f t="shared" si="30"/>
        <v>-</v>
      </c>
      <c r="BP24" s="168">
        <f>('假日(17-19)'!$T$59+'假日(17-19)'!$T$78+'假日(17-19)'!$T$97+'假日(17-19)'!$T$116)*15</f>
        <v>0</v>
      </c>
      <c r="BQ24" s="168">
        <f>'假日(17-19)'!$X$59+'假日(17-19)'!$X$78+'假日(17-19)'!$X$97+'假日(17-19)'!$X$116</f>
        <v>0</v>
      </c>
      <c r="BR24" s="168">
        <f>'假日(17-19)'!$Z$59+'假日(17-19)'!$Z$78+'假日(17-19)'!$Z$97+'假日(17-19)'!$Z$116</f>
        <v>0</v>
      </c>
      <c r="BT24" s="168" t="s">
        <v>148</v>
      </c>
      <c r="BU24" s="169" t="str">
        <f t="shared" si="20"/>
        <v>-</v>
      </c>
      <c r="BV24" s="169" t="str">
        <f t="shared" si="21"/>
        <v>-</v>
      </c>
      <c r="BW24" s="168">
        <f>('假日(16-20)'!$K$78+'假日(16-20)'!$K$97+'假日(16-20)'!$K$116+'假日(16-20)'!$K$135)*15</f>
        <v>0</v>
      </c>
      <c r="BX24" s="168">
        <f>'假日(16-20)'!$O$78+'假日(16-20)'!$O$97+'假日(16-20)'!$O$116+'假日(16-20)'!$O$135</f>
        <v>0</v>
      </c>
      <c r="BY24" s="168">
        <f>'假日(16-20)'!$Q$78+'假日(16-20)'!$Q$97+'假日(16-20)'!$Q$116+'假日(16-20)'!$Q$135</f>
        <v>0</v>
      </c>
    </row>
    <row r="25" spans="2:77">
      <c r="B25" s="168" t="s">
        <v>192</v>
      </c>
      <c r="C25" s="169" t="str">
        <f t="shared" si="22"/>
        <v>-</v>
      </c>
      <c r="D25" s="169" t="str">
        <f t="shared" si="22"/>
        <v>-</v>
      </c>
      <c r="E25" s="168">
        <f>('平日晨峰(0630-0830)'!$T$78+'平日晨峰(0630-0830)'!$T$97+'平日晨峰(0630-0830)'!$T$116+'平日晨峰(0630-0830)'!$T$135)*15</f>
        <v>0</v>
      </c>
      <c r="F25" s="168">
        <f>'平日晨峰(0630-0830)'!$X$78+'平日晨峰(0630-0830)'!$X$97+'平日晨峰(0630-0830)'!$X$116+'平日晨峰(0630-0830)'!$X$135</f>
        <v>0</v>
      </c>
      <c r="G25" s="168">
        <f>'平日晨峰(0630-0830)'!$Z$78+'平日晨峰(0630-0830)'!$Z$97+'平日晨峰(0630-0830)'!$Z$116+'平日晨峰(0630-0830)'!$Z$135</f>
        <v>0</v>
      </c>
      <c r="I25" s="168" t="str">
        <f>$I$7</f>
        <v>07:45~08:45</v>
      </c>
      <c r="J25" s="169" t="str">
        <f t="shared" si="23"/>
        <v>-</v>
      </c>
      <c r="K25" s="169" t="str">
        <f t="shared" si="23"/>
        <v>-</v>
      </c>
      <c r="L25" s="168">
        <f>('平日晨峰(07-09)'!$T$78+'平日晨峰(07-09)'!$T$97+'平日晨峰(07-09)'!$T$116+'平日晨峰(07-09)'!$T$135)*15</f>
        <v>0</v>
      </c>
      <c r="M25" s="168">
        <f>'平日晨峰(07-09)'!$X$78+'平日晨峰(07-09)'!$X$97+'平日晨峰(07-09)'!$X$116+'平日晨峰(07-09)'!$X$135</f>
        <v>0</v>
      </c>
      <c r="N25" s="168">
        <f>'平日晨峰(07-09)'!$Z$78+'平日晨峰(07-09)'!$Z$97+'平日晨峰(07-09)'!$Z$116+'平日晨峰(07-09)'!$Z$135</f>
        <v>0</v>
      </c>
      <c r="P25" s="168" t="str">
        <f>P16</f>
        <v>11:45~12:45</v>
      </c>
      <c r="Q25" s="169" t="str">
        <f>IF(ISERROR($S25/T25),"-",$S25/T25)</f>
        <v>-</v>
      </c>
      <c r="R25" s="169" t="str">
        <f>IF(ISERROR($T25/U25),"-",$T25/U25)</f>
        <v>-</v>
      </c>
      <c r="S25" s="168">
        <f>('平日中午(11-13)'!$T$78+'平日中午(11-13)'!$T$97+'平日中午(11-13)'!$T$116+'平日中午(11-13)'!$T$135)*15</f>
        <v>0</v>
      </c>
      <c r="T25" s="168">
        <f>'平日中午(11-13)'!$X$78+'平日中午(11-13)'!$X$97+'平日中午(11-13)'!$X$116+'平日中午(11-13)'!$X$135</f>
        <v>0</v>
      </c>
      <c r="U25" s="168">
        <f>'平日中午(11-13)'!$Z$78+'平日中午(11-13)'!$Z$97+'平日中午(11-13)'!$Z$116+'平日中午(11-13)'!$Z$135</f>
        <v>0</v>
      </c>
      <c r="W25" s="168" t="str">
        <f>W16</f>
        <v>12:45~13:45</v>
      </c>
      <c r="X25" s="169" t="str">
        <f t="shared" si="24"/>
        <v>-</v>
      </c>
      <c r="Y25" s="169" t="str">
        <f t="shared" si="24"/>
        <v>-</v>
      </c>
      <c r="Z25" s="168">
        <f>('平日中午(12-14)'!$T$78+'平日中午(12-14)'!$T$97+'平日中午(12-14)'!$T$116+'平日中午(12-14)'!$T$135)*15</f>
        <v>0</v>
      </c>
      <c r="AA25" s="168">
        <f>'平日中午(12-14)'!$X$78+'平日中午(12-14)'!$X$97+'平日中午(12-14)'!$X$116+'平日中午(12-14)'!$X$135</f>
        <v>0</v>
      </c>
      <c r="AB25" s="168">
        <f>'平日中午(12-14)'!$Z$78+'平日中午(12-14)'!$Z$97+'平日中午(12-14)'!$Z$116+'平日中午(12-14)'!$Z$135</f>
        <v>0</v>
      </c>
      <c r="AD25" s="168" t="str">
        <f>$AD$7</f>
        <v>17:45~18:45</v>
      </c>
      <c r="AE25" s="169" t="str">
        <f t="shared" si="25"/>
        <v>-</v>
      </c>
      <c r="AF25" s="169" t="str">
        <f t="shared" si="25"/>
        <v>-</v>
      </c>
      <c r="AG25" s="168">
        <f>('平日昏峰(17-19)'!$T$78+'平日昏峰(17-19)'!$T$97+'平日昏峰(17-19)'!$T$116+'平日昏峰(17-19)'!$T$135)*15</f>
        <v>0</v>
      </c>
      <c r="AH25" s="168">
        <f>'平日昏峰(17-19)'!$X$78+'平日昏峰(17-19)'!$X$97+'平日昏峰(17-19)'!$X$116+'平日昏峰(17-19)'!$X$135</f>
        <v>0</v>
      </c>
      <c r="AI25" s="168">
        <f>'平日昏峰(17-19)'!$Z$78+'平日昏峰(17-19)'!$Z$97+'平日昏峰(17-19)'!$Z$116+'平日昏峰(17-19)'!$Z$135</f>
        <v>0</v>
      </c>
      <c r="AK25" s="168">
        <f>$AK$7</f>
        <v>0</v>
      </c>
      <c r="AL25" s="169" t="str">
        <f t="shared" si="26"/>
        <v>-</v>
      </c>
      <c r="AM25" s="169" t="str">
        <f t="shared" si="26"/>
        <v>-</v>
      </c>
      <c r="AN25" s="168"/>
      <c r="AO25" s="168"/>
      <c r="AP25" s="168"/>
      <c r="AR25" s="168">
        <f>$AR$7</f>
        <v>0</v>
      </c>
      <c r="AS25" s="169" t="str">
        <f t="shared" si="27"/>
        <v>-</v>
      </c>
      <c r="AT25" s="169" t="str">
        <f t="shared" si="27"/>
        <v>-</v>
      </c>
      <c r="AU25" s="168"/>
      <c r="AV25" s="168"/>
      <c r="AW25" s="168"/>
      <c r="AY25" s="168">
        <f>AY16</f>
        <v>0</v>
      </c>
      <c r="AZ25" s="169" t="str">
        <f t="shared" si="28"/>
        <v>-</v>
      </c>
      <c r="BA25" s="169" t="str">
        <f t="shared" si="28"/>
        <v>-</v>
      </c>
      <c r="BB25" s="168"/>
      <c r="BC25" s="168"/>
      <c r="BD25" s="168"/>
      <c r="BF25" s="168" t="str">
        <f>BF16</f>
        <v>16:45~17:45</v>
      </c>
      <c r="BG25" s="169" t="str">
        <f t="shared" si="29"/>
        <v>-</v>
      </c>
      <c r="BH25" s="169" t="str">
        <f t="shared" si="29"/>
        <v>-</v>
      </c>
      <c r="BI25" s="168">
        <f>('假日(16-18)'!$T$78+'假日(16-18)'!$T$97+'假日(16-18)'!$T$116+'假日(16-18)'!$T$135)*15</f>
        <v>0</v>
      </c>
      <c r="BJ25" s="168">
        <f>'假日(16-18)'!$X$78+'假日(16-18)'!$X$97+'假日(16-18)'!$X$116+'假日(16-18)'!$X$135</f>
        <v>0</v>
      </c>
      <c r="BK25" s="168">
        <f>'假日(16-18)'!$Z$78+'假日(16-18)'!$Z$97+'假日(16-18)'!$Z$116+'假日(16-18)'!$Z$135</f>
        <v>0</v>
      </c>
      <c r="BM25" s="168" t="str">
        <f>BM16</f>
        <v>17:45~18:45</v>
      </c>
      <c r="BN25" s="169" t="str">
        <f t="shared" si="30"/>
        <v>-</v>
      </c>
      <c r="BO25" s="169" t="str">
        <f t="shared" si="30"/>
        <v>-</v>
      </c>
      <c r="BP25" s="168">
        <f>('假日(17-19)'!$T$78+'假日(17-19)'!$T$97+'假日(17-19)'!$T$116+'假日(17-19)'!$T$135)*15</f>
        <v>0</v>
      </c>
      <c r="BQ25" s="168">
        <f>'假日(17-19)'!$X$78+'假日(17-19)'!$X$97+'假日(17-19)'!$X$116+'假日(17-19)'!$X$135</f>
        <v>0</v>
      </c>
      <c r="BR25" s="168">
        <f>'假日(17-19)'!$Z$78+'假日(17-19)'!$Z$97+'假日(17-19)'!$Z$116+'假日(17-19)'!$Z$135</f>
        <v>0</v>
      </c>
      <c r="BT25" s="168" t="s">
        <v>134</v>
      </c>
      <c r="BU25" s="169" t="str">
        <f t="shared" si="20"/>
        <v>-</v>
      </c>
      <c r="BV25" s="169" t="str">
        <f t="shared" si="21"/>
        <v>-</v>
      </c>
      <c r="BW25" s="168">
        <f>('假日(16-20)'!$K$97+'假日(16-20)'!$K$116+'假日(16-20)'!$K$135+'假日(16-20)'!$K$154)*15</f>
        <v>0</v>
      </c>
      <c r="BX25" s="168">
        <f>'假日(16-20)'!$O$97+'假日(16-20)'!$O$116+'假日(16-20)'!$O$135+'假日(16-20)'!$O$154</f>
        <v>0</v>
      </c>
      <c r="BY25" s="168">
        <f>'假日(16-20)'!$Q$97+'假日(16-20)'!$Q$116+'假日(16-20)'!$Q$135+'假日(16-20)'!$Q$154</f>
        <v>0</v>
      </c>
    </row>
    <row r="26" spans="2:77">
      <c r="B26" s="168" t="s">
        <v>193</v>
      </c>
      <c r="C26" s="169" t="str">
        <f t="shared" si="22"/>
        <v>-</v>
      </c>
      <c r="D26" s="169" t="str">
        <f t="shared" si="22"/>
        <v>-</v>
      </c>
      <c r="E26" s="168">
        <f>('平日晨峰(0630-0830)'!$T$97+'平日晨峰(0630-0830)'!$T$116+'平日晨峰(0630-0830)'!$T$135+'平日晨峰(0630-0830)'!$T$154)*15</f>
        <v>0</v>
      </c>
      <c r="F26" s="168">
        <f>'平日晨峰(0630-0830)'!$X$97+'平日晨峰(0630-0830)'!$X$116+'平日晨峰(0630-0830)'!$X$135+'平日晨峰(0630-0830)'!$X$154</f>
        <v>0</v>
      </c>
      <c r="G26" s="168">
        <f>'平日晨峰(0630-0830)'!$Z$97+'平日晨峰(0630-0830)'!$Z$116+'平日晨峰(0630-0830)'!$Z$135+'平日晨峰(0630-0830)'!$Z$154</f>
        <v>0</v>
      </c>
      <c r="I26" s="168" t="str">
        <f>$I$8</f>
        <v>08:00~09:00</v>
      </c>
      <c r="J26" s="169" t="str">
        <f t="shared" si="23"/>
        <v>-</v>
      </c>
      <c r="K26" s="169" t="str">
        <f t="shared" si="23"/>
        <v>-</v>
      </c>
      <c r="L26" s="168">
        <f>('平日晨峰(07-09)'!$T$97+'平日晨峰(07-09)'!$T$116+'平日晨峰(07-09)'!$T$135+'平日晨峰(07-09)'!$T$154)*15</f>
        <v>0</v>
      </c>
      <c r="M26" s="168">
        <f>'平日晨峰(07-09)'!$X$97+'平日晨峰(07-09)'!$X$116+'平日晨峰(07-09)'!$X$135+'平日晨峰(07-09)'!$X$154</f>
        <v>0</v>
      </c>
      <c r="N26" s="168">
        <f>'平日晨峰(07-09)'!$Z$97+'平日晨峰(07-09)'!$Z$116+'平日晨峰(07-09)'!$Z$135+'平日晨峰(07-09)'!$Z$154</f>
        <v>0</v>
      </c>
      <c r="P26" s="168" t="str">
        <f>P17</f>
        <v>12:00~13:00</v>
      </c>
      <c r="Q26" s="169" t="str">
        <f>IF(ISERROR($S26/T26),"-",$S26/T26)</f>
        <v>-</v>
      </c>
      <c r="R26" s="169" t="str">
        <f>IF(ISERROR($T26/U26),"-",$T26/U26)</f>
        <v>-</v>
      </c>
      <c r="S26" s="168">
        <f>('平日中午(11-13)'!$T$97+'平日中午(11-13)'!$T$116+'平日中午(11-13)'!$T$135+'平日中午(11-13)'!$T$154)*15</f>
        <v>0</v>
      </c>
      <c r="T26" s="168">
        <f>'平日中午(11-13)'!$X$97+'平日中午(11-13)'!$X$116+'平日中午(11-13)'!$X$135+'平日中午(11-13)'!$X$154</f>
        <v>0</v>
      </c>
      <c r="U26" s="168">
        <f>'平日中午(11-13)'!$Z$97+'平日中午(11-13)'!$Z$116+'平日中午(11-13)'!$Z$135+'平日中午(11-13)'!$Z$154</f>
        <v>0</v>
      </c>
      <c r="W26" s="168" t="str">
        <f>W17</f>
        <v>13:00~14:00</v>
      </c>
      <c r="X26" s="169" t="str">
        <f t="shared" si="24"/>
        <v>-</v>
      </c>
      <c r="Y26" s="169" t="str">
        <f t="shared" si="24"/>
        <v>-</v>
      </c>
      <c r="Z26" s="168">
        <f>('平日中午(12-14)'!$T$97+'平日中午(12-14)'!$T$116+'平日中午(12-14)'!$T$135+'平日中午(12-14)'!$T$154)*15</f>
        <v>0</v>
      </c>
      <c r="AA26" s="168">
        <f>'平日中午(12-14)'!$X$97+'平日中午(12-14)'!$X$116+'平日中午(12-14)'!$X$135+'平日中午(12-14)'!$X$154</f>
        <v>0</v>
      </c>
      <c r="AB26" s="168">
        <f>'平日中午(12-14)'!$Z$97+'平日中午(12-14)'!$Z$116+'平日中午(12-14)'!$Z$135+'平日中午(12-14)'!$Z$154</f>
        <v>0</v>
      </c>
      <c r="AD26" s="168" t="str">
        <f>$AD$8</f>
        <v>18:00~19:00</v>
      </c>
      <c r="AE26" s="169" t="str">
        <f t="shared" si="25"/>
        <v>-</v>
      </c>
      <c r="AF26" s="169" t="str">
        <f t="shared" si="25"/>
        <v>-</v>
      </c>
      <c r="AG26" s="168">
        <f>('平日昏峰(17-19)'!$T$97+'平日昏峰(17-19)'!$T$116+'平日昏峰(17-19)'!$T$135+'平日昏峰(17-19)'!$T$154)*15</f>
        <v>0</v>
      </c>
      <c r="AH26" s="168">
        <f>'平日昏峰(17-19)'!$X$97+'平日昏峰(17-19)'!$X$116+'平日昏峰(17-19)'!$X$135+'平日昏峰(17-19)'!$X$154</f>
        <v>0</v>
      </c>
      <c r="AI26" s="168">
        <f>'平日昏峰(17-19)'!$Z$97+'平日昏峰(17-19)'!$Z$116+'平日昏峰(17-19)'!$Z$135+'平日昏峰(17-19)'!$Z$154</f>
        <v>0</v>
      </c>
      <c r="AK26" s="168">
        <f>$AK$8</f>
        <v>0</v>
      </c>
      <c r="AL26" s="169" t="str">
        <f t="shared" si="26"/>
        <v>-</v>
      </c>
      <c r="AM26" s="169" t="str">
        <f t="shared" si="26"/>
        <v>-</v>
      </c>
      <c r="AN26" s="168"/>
      <c r="AO26" s="168"/>
      <c r="AP26" s="168"/>
      <c r="AR26" s="168">
        <f>$AR$8</f>
        <v>0</v>
      </c>
      <c r="AS26" s="169" t="str">
        <f t="shared" si="27"/>
        <v>-</v>
      </c>
      <c r="AT26" s="169" t="str">
        <f t="shared" si="27"/>
        <v>-</v>
      </c>
      <c r="AU26" s="168"/>
      <c r="AV26" s="168"/>
      <c r="AW26" s="168"/>
      <c r="AY26" s="168">
        <f>AY17</f>
        <v>0</v>
      </c>
      <c r="AZ26" s="169" t="str">
        <f t="shared" si="28"/>
        <v>-</v>
      </c>
      <c r="BA26" s="169" t="str">
        <f t="shared" si="28"/>
        <v>-</v>
      </c>
      <c r="BB26" s="168"/>
      <c r="BC26" s="168"/>
      <c r="BD26" s="168"/>
      <c r="BF26" s="168" t="str">
        <f>BF17</f>
        <v>17:00~18:00</v>
      </c>
      <c r="BG26" s="169" t="str">
        <f t="shared" si="29"/>
        <v>-</v>
      </c>
      <c r="BH26" s="169" t="str">
        <f t="shared" si="29"/>
        <v>-</v>
      </c>
      <c r="BI26" s="168">
        <f>('假日(16-18)'!$T$97+'假日(16-18)'!$T$116+'假日(16-18)'!$T$135+'假日(16-18)'!$T$154)*15</f>
        <v>0</v>
      </c>
      <c r="BJ26" s="168">
        <f>'假日(16-18)'!$X$97+'假日(16-18)'!$X$116+'假日(16-18)'!$X$135+'假日(16-18)'!$X$154</f>
        <v>0</v>
      </c>
      <c r="BK26" s="168">
        <f>'假日(16-18)'!$Z$97+'假日(16-18)'!$Z$116+'假日(16-18)'!$Z$135+'假日(16-18)'!$Z$154</f>
        <v>0</v>
      </c>
      <c r="BM26" s="168" t="str">
        <f>BM17</f>
        <v>18:00~19:00</v>
      </c>
      <c r="BN26" s="169" t="str">
        <f t="shared" si="30"/>
        <v>-</v>
      </c>
      <c r="BO26" s="169" t="str">
        <f t="shared" si="30"/>
        <v>-</v>
      </c>
      <c r="BP26" s="168">
        <f>('假日(17-19)'!$T$97+'假日(17-19)'!$T$116+'假日(17-19)'!$T$135+'假日(17-19)'!$T$154)*15</f>
        <v>0</v>
      </c>
      <c r="BQ26" s="168">
        <f>'假日(17-19)'!$X$97+'假日(17-19)'!$X$116+'假日(17-19)'!$X$135+'假日(17-19)'!$X$154</f>
        <v>0</v>
      </c>
      <c r="BR26" s="168">
        <f>'假日(17-19)'!$Z$97+'假日(17-19)'!$Z$116+'假日(17-19)'!$Z$135+'假日(17-19)'!$Z$154</f>
        <v>0</v>
      </c>
      <c r="BT26" s="168" t="s">
        <v>140</v>
      </c>
      <c r="BU26" s="169" t="str">
        <f t="shared" si="20"/>
        <v>-</v>
      </c>
      <c r="BV26" s="169" t="str">
        <f t="shared" si="21"/>
        <v>-</v>
      </c>
      <c r="BW26" s="168">
        <f>('假日(16-20)'!$K$116+'假日(16-20)'!$K$135+'假日(16-20)'!$K$154+'假日(16-20)'!$K$173)*15</f>
        <v>0</v>
      </c>
      <c r="BX26" s="168">
        <f>'假日(16-20)'!$O$116+'假日(16-20)'!$O$135+'假日(16-20)'!$O$154+'假日(16-20)'!$O$173</f>
        <v>0</v>
      </c>
      <c r="BY26" s="168">
        <f>'假日(16-20)'!$Q$116+'假日(16-20)'!$Q$135+'假日(16-20)'!$Q$154+'假日(16-20)'!$Q$173</f>
        <v>0</v>
      </c>
    </row>
    <row r="27" spans="2:77">
      <c r="B27" s="165" t="str">
        <f>CONCATENATE(基本資料!$D$18,"方向","平均延滯")</f>
        <v>C方向平均延滯</v>
      </c>
      <c r="C27" s="170" t="str">
        <f>IF(ISERROR(VLOOKUP($F$45,B22:C26,2,1)),"-",VLOOKUP($F$45,B22:C26,2,1))</f>
        <v>-</v>
      </c>
      <c r="D27" s="170"/>
      <c r="E27" s="165"/>
      <c r="F27" s="165"/>
      <c r="G27" s="165"/>
      <c r="I27" s="165" t="str">
        <f>CONCATENATE(基本資料!$D$18,"方向","平均延滯")</f>
        <v>C方向平均延滯</v>
      </c>
      <c r="J27" s="170" t="str">
        <f>IF(ISERROR(VLOOKUP($M$45,I22:J26,2,1)),"-",VLOOKUP($M$45,I22:J26,2,1))</f>
        <v>-</v>
      </c>
      <c r="K27" s="170"/>
      <c r="L27" s="165"/>
      <c r="M27" s="165"/>
      <c r="N27" s="165"/>
      <c r="P27" s="165" t="str">
        <f>CONCATENATE(基本資料!$D$18,"方向","平均延滯")</f>
        <v>C方向平均延滯</v>
      </c>
      <c r="Q27" s="170" t="str">
        <f>IF(ISERROR(VLOOKUP($T$45,P22:Q26,2,1)),"-",VLOOKUP($T$45,P22:Q26,2,1))</f>
        <v>-</v>
      </c>
      <c r="R27" s="170"/>
      <c r="S27" s="165"/>
      <c r="T27" s="165"/>
      <c r="U27" s="165"/>
      <c r="W27" s="165" t="str">
        <f>CONCATENATE(基本資料!$D$18,"方向","平均延滯")</f>
        <v>C方向平均延滯</v>
      </c>
      <c r="X27" s="170" t="str">
        <f>IF(ISERROR(VLOOKUP($AA$45,W22:X26,2,1)),"-",VLOOKUP($AA$45,W22:X26,2,1))</f>
        <v>-</v>
      </c>
      <c r="Y27" s="170"/>
      <c r="Z27" s="165"/>
      <c r="AA27" s="165"/>
      <c r="AB27" s="165"/>
      <c r="AD27" s="165" t="str">
        <f>CONCATENATE(基本資料!$D$18,"方向","平均延滯")</f>
        <v>C方向平均延滯</v>
      </c>
      <c r="AE27" s="170" t="str">
        <f>IF(ISERROR(VLOOKUP($AH$45,AD22:AE26,2,1)),"-",VLOOKUP($AH$45,AD22:AE26,2,1))</f>
        <v>-</v>
      </c>
      <c r="AF27" s="170"/>
      <c r="AG27" s="165"/>
      <c r="AH27" s="165"/>
      <c r="AI27" s="165"/>
      <c r="AK27" s="165" t="str">
        <f>CONCATENATE(基本資料!$D$18,"方向","平均延滯")</f>
        <v>C方向平均延滯</v>
      </c>
      <c r="AL27" s="170" t="str">
        <f>IF(ISERROR(VLOOKUP($AO$45,AK22:AL26,2,1)),"-",VLOOKUP($AO$45,AK22:AL26,2,1))</f>
        <v>-</v>
      </c>
      <c r="AM27" s="170"/>
      <c r="AN27" s="165"/>
      <c r="AO27" s="165"/>
      <c r="AP27" s="165"/>
      <c r="AR27" s="165" t="str">
        <f>CONCATENATE(基本資料!$D$18,"方向","平均延滯")</f>
        <v>C方向平均延滯</v>
      </c>
      <c r="AS27" s="170" t="str">
        <f>IF(ISERROR(VLOOKUP($AV$45,AR22:AS26,2,1)),"-",VLOOKUP($AV$45,AR22:AS26,2,1))</f>
        <v>-</v>
      </c>
      <c r="AT27" s="170"/>
      <c r="AU27" s="165"/>
      <c r="AV27" s="165"/>
      <c r="AW27" s="165"/>
      <c r="AY27" s="165" t="str">
        <f>CONCATENATE(基本資料!$D$18,"方向","平均延滯")</f>
        <v>C方向平均延滯</v>
      </c>
      <c r="AZ27" s="170" t="str">
        <f>IF(ISERROR(VLOOKUP($BC$45,AY22:AZ26,2,1)),"-",VLOOKUP($BC$45,AY22:AZ26,2,1))</f>
        <v>-</v>
      </c>
      <c r="BA27" s="170"/>
      <c r="BB27" s="165"/>
      <c r="BC27" s="165"/>
      <c r="BD27" s="165"/>
      <c r="BF27" s="165" t="str">
        <f>CONCATENATE(基本資料!$D$18,"方向","平均延滯")</f>
        <v>C方向平均延滯</v>
      </c>
      <c r="BG27" s="170" t="str">
        <f>IF(ISERROR(VLOOKUP($BJ$45,BF22:BG26,2,1)),"-",VLOOKUP($BJ$45,BF22:BG26,2,1))</f>
        <v>-</v>
      </c>
      <c r="BH27" s="170"/>
      <c r="BI27" s="165"/>
      <c r="BJ27" s="165"/>
      <c r="BK27" s="165"/>
      <c r="BM27" s="165" t="str">
        <f>CONCATENATE(基本資料!$D$18,"方向","平均延滯")</f>
        <v>C方向平均延滯</v>
      </c>
      <c r="BN27" s="170" t="str">
        <f>IF(ISERROR(VLOOKUP($BQ$45,BM22:BN26,2,1)),"-",VLOOKUP($BQ$45,BM22:BN26,2,1))</f>
        <v>-</v>
      </c>
      <c r="BO27" s="170"/>
      <c r="BP27" s="165"/>
      <c r="BQ27" s="165"/>
      <c r="BR27" s="165"/>
      <c r="BT27" s="168" t="s">
        <v>136</v>
      </c>
      <c r="BU27" s="169" t="str">
        <f t="shared" si="20"/>
        <v>-</v>
      </c>
      <c r="BV27" s="169" t="str">
        <f t="shared" si="21"/>
        <v>-</v>
      </c>
      <c r="BW27" s="168">
        <f>('假日(16-20)'!$K$135+'假日(16-20)'!$K$154+'假日(16-20)'!$K$173+'假日(16-20)'!$K$192)*15</f>
        <v>0</v>
      </c>
      <c r="BX27" s="168">
        <f>'假日(16-20)'!$O$135+'假日(16-20)'!$O$154+'假日(16-20)'!$O$173+'假日(16-20)'!$O$192</f>
        <v>0</v>
      </c>
      <c r="BY27" s="168">
        <f>'假日(16-20)'!$Q$135+'假日(16-20)'!$Q$154+'假日(16-20)'!$Q$173+'假日(16-20)'!$Q$192</f>
        <v>0</v>
      </c>
    </row>
    <row r="28" spans="2:77">
      <c r="B28" s="165" t="str">
        <f>CONCATENATE(基本資料!$D$18,"方向","平均停等車輛延滯")</f>
        <v>C方向平均停等車輛延滯</v>
      </c>
      <c r="C28" s="170"/>
      <c r="D28" s="170" t="str">
        <f>IF(ISERROR(VLOOKUP($F$46,B22:D26,3,1)),"-",VLOOKUP($F$46,B22:D26,3,1))</f>
        <v>-</v>
      </c>
      <c r="E28" s="165"/>
      <c r="F28" s="165"/>
      <c r="G28" s="165"/>
      <c r="I28" s="165" t="str">
        <f>CONCATENATE(基本資料!$D$18,"方向","平均停等車輛延滯")</f>
        <v>C方向平均停等車輛延滯</v>
      </c>
      <c r="J28" s="170"/>
      <c r="K28" s="170" t="str">
        <f>IF(ISERROR(VLOOKUP($M$46,I22:K26,3,1)),"-",VLOOKUP($M$46,I22:K26,3,1))</f>
        <v>-</v>
      </c>
      <c r="L28" s="165"/>
      <c r="M28" s="165"/>
      <c r="N28" s="165"/>
      <c r="P28" s="165" t="str">
        <f>CONCATENATE(基本資料!$D$18,"方向","平均停等車輛延滯")</f>
        <v>C方向平均停等車輛延滯</v>
      </c>
      <c r="Q28" s="170"/>
      <c r="R28" s="170" t="str">
        <f>IF(ISERROR(VLOOKUP($T$46,P22:R26,3,1)),"-",VLOOKUP($T$46,P22:R26,3,1))</f>
        <v>-</v>
      </c>
      <c r="S28" s="165"/>
      <c r="T28" s="165"/>
      <c r="U28" s="165"/>
      <c r="W28" s="165" t="str">
        <f>CONCATENATE(基本資料!$D$18,"方向","平均停等車輛延滯")</f>
        <v>C方向平均停等車輛延滯</v>
      </c>
      <c r="X28" s="170"/>
      <c r="Y28" s="170" t="str">
        <f>IF(ISERROR(VLOOKUP($AA$46,W22:Y26,3,1)),"-",VLOOKUP($AA$46,W22:Y26,3,1))</f>
        <v>-</v>
      </c>
      <c r="Z28" s="165"/>
      <c r="AA28" s="165"/>
      <c r="AB28" s="165"/>
      <c r="AD28" s="165" t="str">
        <f>CONCATENATE(基本資料!$D$18,"方向","平均停等車輛延滯")</f>
        <v>C方向平均停等車輛延滯</v>
      </c>
      <c r="AE28" s="170"/>
      <c r="AF28" s="170" t="str">
        <f>IF(ISERROR(VLOOKUP($AH$46,AD22:AF26,3,1)),"-",VLOOKUP($AH$46,AD22:AF26,3,1))</f>
        <v>-</v>
      </c>
      <c r="AG28" s="165"/>
      <c r="AH28" s="165"/>
      <c r="AI28" s="165"/>
      <c r="AK28" s="165" t="str">
        <f>CONCATENATE(基本資料!$D$18,"方向","平均停等車輛延滯")</f>
        <v>C方向平均停等車輛延滯</v>
      </c>
      <c r="AL28" s="170"/>
      <c r="AM28" s="170" t="str">
        <f>IF(ISERROR(VLOOKUP($AO$46,AK22:AM26,3,1)),"-",VLOOKUP($AO$46,AK22:AM26,3,1))</f>
        <v>-</v>
      </c>
      <c r="AN28" s="165"/>
      <c r="AO28" s="165"/>
      <c r="AP28" s="165"/>
      <c r="AR28" s="165" t="str">
        <f>CONCATENATE(基本資料!$D$18,"方向","平均停等車輛延滯")</f>
        <v>C方向平均停等車輛延滯</v>
      </c>
      <c r="AS28" s="170"/>
      <c r="AT28" s="170" t="str">
        <f>IF(ISERROR(VLOOKUP($AV$46,AR22:AT26,3,1)),"-",VLOOKUP($AV$46,AR22:AT26,3,1))</f>
        <v>-</v>
      </c>
      <c r="AU28" s="165"/>
      <c r="AV28" s="165"/>
      <c r="AW28" s="165"/>
      <c r="AY28" s="165" t="str">
        <f>CONCATENATE(基本資料!$D$18,"方向","平均停等車輛延滯")</f>
        <v>C方向平均停等車輛延滯</v>
      </c>
      <c r="AZ28" s="170"/>
      <c r="BA28" s="170" t="str">
        <f>IF(ISERROR(VLOOKUP($BC$46,AY22:BA26,3,1)),"-",VLOOKUP($BC$46,AY22:BA26,3,1))</f>
        <v>-</v>
      </c>
      <c r="BB28" s="165"/>
      <c r="BC28" s="165"/>
      <c r="BD28" s="165"/>
      <c r="BF28" s="165" t="str">
        <f>CONCATENATE(基本資料!$D$18,"方向","平均停等車輛延滯")</f>
        <v>C方向平均停等車輛延滯</v>
      </c>
      <c r="BG28" s="170"/>
      <c r="BH28" s="170" t="str">
        <f>IF(ISERROR(VLOOKUP($BJ$46,BF22:BH26,3,1)),"-",VLOOKUP($BJ$46,BF22:BH26,3,1))</f>
        <v>-</v>
      </c>
      <c r="BI28" s="165"/>
      <c r="BJ28" s="165"/>
      <c r="BK28" s="165"/>
      <c r="BM28" s="165" t="str">
        <f>CONCATENATE(基本資料!$D$18,"方向","平均停等車輛延滯")</f>
        <v>C方向平均停等車輛延滯</v>
      </c>
      <c r="BN28" s="170"/>
      <c r="BO28" s="170" t="str">
        <f>IF(ISERROR(VLOOKUP($BQ$46,BM22:BO26,3,1)),"-",VLOOKUP($BQ$46,BM22:BO26,3,1))</f>
        <v>-</v>
      </c>
      <c r="BP28" s="165"/>
      <c r="BQ28" s="165"/>
      <c r="BR28" s="165"/>
      <c r="BT28" s="168" t="s">
        <v>147</v>
      </c>
      <c r="BU28" s="169" t="str">
        <f t="shared" si="20"/>
        <v>-</v>
      </c>
      <c r="BV28" s="169" t="str">
        <f t="shared" si="21"/>
        <v>-</v>
      </c>
      <c r="BW28" s="168">
        <f>('假日(16-20)'!$K$154+'假日(16-20)'!$K$173+'假日(16-20)'!$K$192+'假日(16-20)'!$K$211)*15</f>
        <v>0</v>
      </c>
      <c r="BX28" s="168">
        <f>'假日(16-20)'!$O$154+'假日(16-20)'!$O$173+'假日(16-20)'!$O$192+'假日(16-20)'!$O$211</f>
        <v>0</v>
      </c>
      <c r="BY28" s="168">
        <f>'假日(16-20)'!$Q$154+'假日(16-20)'!$Q$173+'假日(16-20)'!$Q$192+'假日(16-20)'!$Q$211</f>
        <v>0</v>
      </c>
    </row>
    <row r="29" spans="2:77">
      <c r="B29" s="237" t="str">
        <f>'平日晨峰(07-09)'!$AB$2</f>
        <v>D方向：</v>
      </c>
      <c r="C29" s="237"/>
      <c r="D29" s="237"/>
      <c r="E29" s="237"/>
      <c r="F29" s="237"/>
      <c r="G29" s="237"/>
      <c r="I29" s="237" t="str">
        <f>'平日晨峰(07-09)'!$AB$2</f>
        <v>D方向：</v>
      </c>
      <c r="J29" s="237"/>
      <c r="K29" s="237"/>
      <c r="L29" s="237"/>
      <c r="M29" s="237"/>
      <c r="N29" s="237"/>
      <c r="P29" s="237" t="str">
        <f>'平日中午(11-13)'!$AB$2</f>
        <v>D方向：</v>
      </c>
      <c r="Q29" s="237"/>
      <c r="R29" s="237"/>
      <c r="S29" s="237"/>
      <c r="T29" s="237"/>
      <c r="U29" s="237"/>
      <c r="W29" s="237" t="str">
        <f>'平日中午(11-13)'!$AB$2</f>
        <v>D方向：</v>
      </c>
      <c r="X29" s="237"/>
      <c r="Y29" s="237"/>
      <c r="Z29" s="237"/>
      <c r="AA29" s="237"/>
      <c r="AB29" s="237"/>
      <c r="AD29" s="237" t="str">
        <f>'平日昏峰(17-19)'!$AB$2</f>
        <v>D方向：</v>
      </c>
      <c r="AE29" s="237"/>
      <c r="AF29" s="237"/>
      <c r="AG29" s="237"/>
      <c r="AH29" s="237"/>
      <c r="AI29" s="237"/>
      <c r="AK29" s="237" t="str">
        <f>'假日(11-12)'!$AB$2</f>
        <v>D方向：</v>
      </c>
      <c r="AL29" s="237"/>
      <c r="AM29" s="237"/>
      <c r="AN29" s="237"/>
      <c r="AO29" s="237"/>
      <c r="AP29" s="237"/>
      <c r="AR29" s="237" t="str">
        <f>'假日(1430-1530)'!$AB$2</f>
        <v>D方向：</v>
      </c>
      <c r="AS29" s="237"/>
      <c r="AT29" s="237"/>
      <c r="AU29" s="237"/>
      <c r="AV29" s="237"/>
      <c r="AW29" s="237"/>
      <c r="AY29" s="237" t="str">
        <f>'假日(1730-1830)'!$AB$2</f>
        <v>D方向：</v>
      </c>
      <c r="AZ29" s="237"/>
      <c r="BA29" s="237"/>
      <c r="BB29" s="237"/>
      <c r="BC29" s="237"/>
      <c r="BD29" s="237"/>
      <c r="BF29" s="237" t="str">
        <f>'假日(16-18)'!$AB$2</f>
        <v>D方向：</v>
      </c>
      <c r="BG29" s="237"/>
      <c r="BH29" s="237"/>
      <c r="BI29" s="237"/>
      <c r="BJ29" s="237"/>
      <c r="BK29" s="237"/>
      <c r="BM29" s="237" t="str">
        <f>'假日(17-19)'!$AB$2</f>
        <v>D方向：</v>
      </c>
      <c r="BN29" s="237"/>
      <c r="BO29" s="237"/>
      <c r="BP29" s="237"/>
      <c r="BQ29" s="237"/>
      <c r="BR29" s="237"/>
      <c r="BT29" s="168" t="s">
        <v>151</v>
      </c>
      <c r="BU29" s="169" t="str">
        <f t="shared" si="20"/>
        <v>-</v>
      </c>
      <c r="BV29" s="169" t="str">
        <f t="shared" si="21"/>
        <v>-</v>
      </c>
      <c r="BW29" s="168">
        <f>('假日(16-20)'!$K$173+'假日(16-20)'!$K$192+'假日(16-20)'!$K$211+'假日(16-20)'!$K$230)*15</f>
        <v>0</v>
      </c>
      <c r="BX29" s="168">
        <f>'假日(16-20)'!$O$173+'假日(16-20)'!$O$192+'假日(16-20)'!$O$211+'假日(16-20)'!$O$230</f>
        <v>0</v>
      </c>
      <c r="BY29" s="168">
        <f>'假日(16-20)'!$Q$173+'假日(16-20)'!$Q$192+'假日(16-20)'!$Q$211+'假日(16-20)'!$Q$230</f>
        <v>0</v>
      </c>
    </row>
    <row r="30" spans="2:77">
      <c r="B30" s="165" t="s">
        <v>125</v>
      </c>
      <c r="C30" s="166" t="s">
        <v>131</v>
      </c>
      <c r="D30" s="167" t="s">
        <v>127</v>
      </c>
      <c r="E30" s="166" t="s">
        <v>128</v>
      </c>
      <c r="F30" s="166" t="s">
        <v>129</v>
      </c>
      <c r="G30" s="166" t="s">
        <v>130</v>
      </c>
      <c r="I30" s="165" t="s">
        <v>125</v>
      </c>
      <c r="J30" s="166" t="s">
        <v>131</v>
      </c>
      <c r="K30" s="167" t="s">
        <v>127</v>
      </c>
      <c r="L30" s="166" t="s">
        <v>128</v>
      </c>
      <c r="M30" s="166" t="s">
        <v>129</v>
      </c>
      <c r="N30" s="166" t="s">
        <v>130</v>
      </c>
      <c r="P30" s="165" t="s">
        <v>125</v>
      </c>
      <c r="Q30" s="166" t="s">
        <v>131</v>
      </c>
      <c r="R30" s="167" t="s">
        <v>127</v>
      </c>
      <c r="S30" s="166" t="s">
        <v>128</v>
      </c>
      <c r="T30" s="166" t="s">
        <v>129</v>
      </c>
      <c r="U30" s="166" t="s">
        <v>130</v>
      </c>
      <c r="W30" s="165" t="s">
        <v>125</v>
      </c>
      <c r="X30" s="166" t="s">
        <v>131</v>
      </c>
      <c r="Y30" s="167" t="s">
        <v>127</v>
      </c>
      <c r="Z30" s="166" t="s">
        <v>128</v>
      </c>
      <c r="AA30" s="166" t="s">
        <v>129</v>
      </c>
      <c r="AB30" s="166" t="s">
        <v>130</v>
      </c>
      <c r="AD30" s="165" t="s">
        <v>125</v>
      </c>
      <c r="AE30" s="166" t="s">
        <v>131</v>
      </c>
      <c r="AF30" s="167" t="s">
        <v>127</v>
      </c>
      <c r="AG30" s="166" t="s">
        <v>128</v>
      </c>
      <c r="AH30" s="166" t="s">
        <v>129</v>
      </c>
      <c r="AI30" s="166" t="s">
        <v>130</v>
      </c>
      <c r="AK30" s="165" t="s">
        <v>125</v>
      </c>
      <c r="AL30" s="166" t="s">
        <v>131</v>
      </c>
      <c r="AM30" s="167" t="s">
        <v>127</v>
      </c>
      <c r="AN30" s="166" t="s">
        <v>128</v>
      </c>
      <c r="AO30" s="166" t="s">
        <v>129</v>
      </c>
      <c r="AP30" s="166" t="s">
        <v>130</v>
      </c>
      <c r="AR30" s="165" t="s">
        <v>125</v>
      </c>
      <c r="AS30" s="166" t="s">
        <v>131</v>
      </c>
      <c r="AT30" s="167" t="s">
        <v>127</v>
      </c>
      <c r="AU30" s="166" t="s">
        <v>128</v>
      </c>
      <c r="AV30" s="166" t="s">
        <v>129</v>
      </c>
      <c r="AW30" s="166" t="s">
        <v>130</v>
      </c>
      <c r="AY30" s="165" t="s">
        <v>125</v>
      </c>
      <c r="AZ30" s="166" t="s">
        <v>131</v>
      </c>
      <c r="BA30" s="167" t="s">
        <v>127</v>
      </c>
      <c r="BB30" s="166" t="s">
        <v>128</v>
      </c>
      <c r="BC30" s="166" t="s">
        <v>129</v>
      </c>
      <c r="BD30" s="166" t="s">
        <v>130</v>
      </c>
      <c r="BF30" s="165" t="s">
        <v>125</v>
      </c>
      <c r="BG30" s="166" t="s">
        <v>131</v>
      </c>
      <c r="BH30" s="167" t="s">
        <v>127</v>
      </c>
      <c r="BI30" s="166" t="s">
        <v>128</v>
      </c>
      <c r="BJ30" s="166" t="s">
        <v>129</v>
      </c>
      <c r="BK30" s="166" t="s">
        <v>130</v>
      </c>
      <c r="BM30" s="165" t="s">
        <v>125</v>
      </c>
      <c r="BN30" s="166" t="s">
        <v>131</v>
      </c>
      <c r="BO30" s="167" t="s">
        <v>127</v>
      </c>
      <c r="BP30" s="166" t="s">
        <v>128</v>
      </c>
      <c r="BQ30" s="166" t="s">
        <v>129</v>
      </c>
      <c r="BR30" s="166" t="s">
        <v>130</v>
      </c>
      <c r="BT30" s="168" t="s">
        <v>185</v>
      </c>
      <c r="BU30" s="169" t="str">
        <f t="shared" si="20"/>
        <v>-</v>
      </c>
      <c r="BV30" s="169" t="str">
        <f t="shared" si="21"/>
        <v>-</v>
      </c>
      <c r="BW30" s="168">
        <f>('假日(16-20)'!$K$192+'假日(16-20)'!$K$211+'假日(16-20)'!$K$230+'假日(16-20)'!$K$249)*15</f>
        <v>0</v>
      </c>
      <c r="BX30" s="168">
        <f>'假日(16-20)'!$O$192+'假日(16-20)'!$O$211+'假日(16-20)'!$O$230+'假日(16-20)'!$O$249</f>
        <v>0</v>
      </c>
      <c r="BY30" s="168">
        <f>'假日(16-20)'!$Q$192+'假日(16-20)'!$Q$211+'假日(16-20)'!$Q$230+'假日(16-20)'!$Q$249</f>
        <v>0</v>
      </c>
    </row>
    <row r="31" spans="2:77">
      <c r="B31" s="168" t="s">
        <v>189</v>
      </c>
      <c r="C31" s="169" t="str">
        <f t="shared" ref="C31:D35" si="31">IF(ISERROR($E31/F31),"-",$E31/F31)</f>
        <v>-</v>
      </c>
      <c r="D31" s="169" t="str">
        <f t="shared" si="31"/>
        <v>-</v>
      </c>
      <c r="E31" s="168">
        <f>('平日晨峰(0630-0830)'!$AC$21+'平日晨峰(0630-0830)'!$AC$40+'平日晨峰(0630-0830)'!$AC$59+'平日晨峰(0630-0830)'!$AC$78)*15</f>
        <v>0</v>
      </c>
      <c r="F31" s="168">
        <f>'平日晨峰(0630-0830)'!$AG$21+'平日晨峰(0630-0830)'!$AG$40+'平日晨峰(0630-0830)'!$AG$59+'平日晨峰(0630-0830)'!$AG$78</f>
        <v>0</v>
      </c>
      <c r="G31" s="168">
        <f>'平日晨峰(0630-0830)'!$AI$21+'平日晨峰(0630-0830)'!$AI$40+'平日晨峰(0630-0830)'!$AI$59+'平日晨峰(0630-0830)'!$AI$78</f>
        <v>0</v>
      </c>
      <c r="I31" s="168" t="str">
        <f>$I$4</f>
        <v>07:00~08:00</v>
      </c>
      <c r="J31" s="169" t="str">
        <f t="shared" ref="J31:K35" si="32">IF(ISERROR($L31/M31),"-",$L31/M31)</f>
        <v>-</v>
      </c>
      <c r="K31" s="169" t="str">
        <f t="shared" si="32"/>
        <v>-</v>
      </c>
      <c r="L31" s="168">
        <f>('平日晨峰(07-09)'!$AC$21+'平日晨峰(07-09)'!$AC$40+'平日晨峰(07-09)'!$AC$59+'平日晨峰(07-09)'!$AC$78)*15</f>
        <v>0</v>
      </c>
      <c r="M31" s="168">
        <f>'平日晨峰(07-09)'!$AG$21+'平日晨峰(07-09)'!$AG$40+'平日晨峰(07-09)'!$AG$59+'平日晨峰(07-09)'!$AG$78</f>
        <v>0</v>
      </c>
      <c r="N31" s="168">
        <f>'平日晨峰(07-09)'!$AI$21+'平日晨峰(07-09)'!$AI$40+'平日晨峰(07-09)'!$AI$59+'平日晨峰(07-09)'!$AI$78</f>
        <v>0</v>
      </c>
      <c r="P31" s="168" t="str">
        <f>P22</f>
        <v>11:00~12:00</v>
      </c>
      <c r="Q31" s="169" t="str">
        <f>IF(ISERROR($S31/T31),"-",$S31/T31)</f>
        <v>-</v>
      </c>
      <c r="R31" s="169" t="str">
        <f>IF(ISERROR($T31/U31),"-",$T31/U31)</f>
        <v>-</v>
      </c>
      <c r="S31" s="168">
        <f>('平日中午(11-13)'!$AC$21+'平日中午(11-13)'!$AC$40+'平日中午(11-13)'!$AC$59+'平日中午(11-13)'!$AC$78)*15</f>
        <v>0</v>
      </c>
      <c r="T31" s="168">
        <f>'平日中午(11-13)'!$AG$21+'平日中午(11-13)'!$AG$40+'平日中午(11-13)'!$AG$59+'平日中午(11-13)'!$AG$78</f>
        <v>0</v>
      </c>
      <c r="U31" s="168">
        <f>'平日中午(11-13)'!$AI$21+'平日中午(11-13)'!$AI$40+'平日中午(11-13)'!$AI$59+'平日中午(11-13)'!$AI$78</f>
        <v>0</v>
      </c>
      <c r="W31" s="168" t="str">
        <f>W22</f>
        <v>1200~13:00</v>
      </c>
      <c r="X31" s="169" t="str">
        <f t="shared" ref="X31:Y35" si="33">IF(ISERROR($Z31/AA31),"-",$Z31/AA31)</f>
        <v>-</v>
      </c>
      <c r="Y31" s="169" t="str">
        <f t="shared" si="33"/>
        <v>-</v>
      </c>
      <c r="Z31" s="168">
        <f>('平日中午(12-14)'!$AC$21+'平日中午(12-14)'!$AC$40+'平日中午(12-14)'!$AC$59+'平日中午(12-14)'!$AC$78)*15</f>
        <v>0</v>
      </c>
      <c r="AA31" s="168">
        <f>'平日中午(12-14)'!$AG$21+'平日中午(12-14)'!$AG$40+'平日中午(12-14)'!$AG$59+'平日中午(12-14)'!$AG$78</f>
        <v>0</v>
      </c>
      <c r="AB31" s="168">
        <f>'平日中午(12-14)'!$AI$21+'平日中午(12-14)'!$AI$40+'平日中午(12-14)'!$AI$59+'平日中午(12-14)'!$AI$78</f>
        <v>0</v>
      </c>
      <c r="AD31" s="168" t="str">
        <f>$AD$4</f>
        <v>17:00~18:00</v>
      </c>
      <c r="AE31" s="169" t="str">
        <f t="shared" ref="AE31:AF35" si="34">IF(ISERROR($AG31/AH31),"-",$AG31/AH31)</f>
        <v>-</v>
      </c>
      <c r="AF31" s="169" t="str">
        <f t="shared" si="34"/>
        <v>-</v>
      </c>
      <c r="AG31" s="168">
        <f>('平日昏峰(17-19)'!$AC$21+'平日昏峰(17-19)'!$AC$40+'平日昏峰(17-19)'!$AC$59+'平日昏峰(17-19)'!$AC$78)*15</f>
        <v>0</v>
      </c>
      <c r="AH31" s="168">
        <f>'平日昏峰(17-19)'!$AG$21+'平日昏峰(17-19)'!$AG$40+'平日昏峰(17-19)'!$AG$59+'平日昏峰(17-19)'!$AG$78</f>
        <v>0</v>
      </c>
      <c r="AI31" s="168">
        <f>'平日昏峰(17-19)'!$AI$21+'平日昏峰(17-19)'!$AI$40+'平日昏峰(17-19)'!$AI$59+'平日昏峰(17-19)'!$AI$78</f>
        <v>0</v>
      </c>
      <c r="AK31" s="168" t="str">
        <f>$AK$4</f>
        <v>11:00~12:00</v>
      </c>
      <c r="AL31" s="169" t="str">
        <f t="shared" ref="AL31:AM35" si="35">IF(ISERROR($AN31/AO31),"-",$AN31/AO31)</f>
        <v>-</v>
      </c>
      <c r="AM31" s="169" t="str">
        <f t="shared" si="35"/>
        <v>-</v>
      </c>
      <c r="AN31" s="168">
        <f>('假日(11-12)'!$AC$21+'假日(11-12)'!$AC$40+'假日(11-12)'!$AC$59+'假日(11-12)'!$AC$78)*15</f>
        <v>0</v>
      </c>
      <c r="AO31" s="168">
        <f>'假日(11-12)'!$AG$21+'假日(11-12)'!$AG$40+'假日(11-12)'!$AG$59+'假日(11-12)'!$AG$78</f>
        <v>0</v>
      </c>
      <c r="AP31" s="168">
        <f>'假日(11-12)'!$AI$21+'假日(11-12)'!$AI$40+'假日(11-12)'!$AI$59+'假日(11-12)'!$AI$78</f>
        <v>0</v>
      </c>
      <c r="AR31" s="168" t="str">
        <f>$AR$4</f>
        <v>14:30~15:30</v>
      </c>
      <c r="AS31" s="169" t="str">
        <f t="shared" ref="AS31:AT35" si="36">IF(ISERROR($AU31/AV31),"-",$AU31/AV31)</f>
        <v>-</v>
      </c>
      <c r="AT31" s="169" t="str">
        <f t="shared" si="36"/>
        <v>-</v>
      </c>
      <c r="AU31" s="168">
        <f>('假日(1430-1530)'!$AC$21+'假日(1430-1530)'!$AC$40+'假日(1430-1530)'!$AC$59+'假日(1430-1530)'!$AC$78)*15</f>
        <v>0</v>
      </c>
      <c r="AV31" s="168">
        <f>'假日(1430-1530)'!$AG$21+'假日(1430-1530)'!$AG$40+'假日(1430-1530)'!$AG$59+'假日(1430-1530)'!$AG$78</f>
        <v>0</v>
      </c>
      <c r="AW31" s="168">
        <f>'假日(1430-1530)'!$AI$21+'假日(1430-1530)'!$AI$40+'假日(1430-1530)'!$AI$59+'假日(1430-1530)'!$AI$78</f>
        <v>0</v>
      </c>
      <c r="AY31" s="168" t="str">
        <f>AY22</f>
        <v>17:30~18:30</v>
      </c>
      <c r="AZ31" s="169" t="str">
        <f t="shared" ref="AZ31:BA35" si="37">IF(ISERROR($BB31/BC31),"-",$BB31/BC31)</f>
        <v>-</v>
      </c>
      <c r="BA31" s="169" t="str">
        <f t="shared" si="37"/>
        <v>-</v>
      </c>
      <c r="BB31" s="168">
        <f>('假日(1730-1830)'!$AC$21+'假日(1730-1830)'!$AC$40+'假日(1730-1830)'!$AC$59+'假日(1730-1830)'!$AC$78)*15</f>
        <v>0</v>
      </c>
      <c r="BC31" s="168">
        <f>'假日(1730-1830)'!$AG$21+'假日(1730-1830)'!$AG$40+'假日(1730-1830)'!$AG$59+'假日(1730-1830)'!$AG$78</f>
        <v>0</v>
      </c>
      <c r="BD31" s="168">
        <f>'假日(1730-1830)'!$AI$21+'假日(1730-1830)'!$AI$40+'假日(1730-1830)'!$AI$59+'假日(1730-1830)'!$AI$78</f>
        <v>0</v>
      </c>
      <c r="BF31" s="168" t="str">
        <f>BF22</f>
        <v>16:00~17:00</v>
      </c>
      <c r="BG31" s="169" t="str">
        <f t="shared" ref="BG31:BH35" si="38">IF(ISERROR($BI31/BJ31),"-",$BI31/BJ31)</f>
        <v>-</v>
      </c>
      <c r="BH31" s="169" t="str">
        <f t="shared" si="38"/>
        <v>-</v>
      </c>
      <c r="BI31" s="168">
        <f>('假日(16-18)'!$AC$21+'假日(16-18)'!$AC$40+'假日(16-18)'!$AC$59+'假日(16-18)'!$AC$78)*15</f>
        <v>0</v>
      </c>
      <c r="BJ31" s="168">
        <f>'假日(16-18)'!$AG$21+'假日(16-18)'!$AG$40+'假日(16-18)'!$AG$59+'假日(16-18)'!$AG$78</f>
        <v>0</v>
      </c>
      <c r="BK31" s="168">
        <f>'假日(16-18)'!$AI$21+'假日(16-18)'!$AI$40+'假日(16-18)'!$AI$59+'假日(16-18)'!$AI$78</f>
        <v>0</v>
      </c>
      <c r="BM31" s="168" t="str">
        <f>BM22</f>
        <v>17:00~18:00</v>
      </c>
      <c r="BN31" s="169" t="str">
        <f t="shared" ref="BN31:BO35" si="39">IF(ISERROR($BP31/BQ31),"-",$BP31/BQ31)</f>
        <v>-</v>
      </c>
      <c r="BO31" s="169" t="str">
        <f t="shared" si="39"/>
        <v>-</v>
      </c>
      <c r="BP31" s="168">
        <f>('假日(17-19)'!$AC$21+'假日(17-19)'!$AC$40+'假日(17-19)'!$AC$59+'假日(17-19)'!$AC$78)*15</f>
        <v>0</v>
      </c>
      <c r="BQ31" s="168">
        <f>'假日(17-19)'!$AG$21+'假日(17-19)'!$AG$40+'假日(17-19)'!$AG$59+'假日(17-19)'!$AG$78</f>
        <v>0</v>
      </c>
      <c r="BR31" s="168">
        <f>'假日(17-19)'!$AI$21+'假日(17-19)'!$AI$40+'假日(17-19)'!$AI$59+'假日(17-19)'!$AI$78</f>
        <v>0</v>
      </c>
      <c r="BT31" s="168" t="s">
        <v>186</v>
      </c>
      <c r="BU31" s="169" t="str">
        <f t="shared" si="20"/>
        <v>-</v>
      </c>
      <c r="BV31" s="169" t="str">
        <f t="shared" si="21"/>
        <v>-</v>
      </c>
      <c r="BW31" s="168">
        <f>('假日(16-20)'!$K$211+'假日(16-20)'!$K$230+'假日(16-20)'!$K$249+'假日(16-20)'!$K$268)*15</f>
        <v>0</v>
      </c>
      <c r="BX31" s="168">
        <f>'假日(16-20)'!$O$211+'假日(16-20)'!$O$230+'假日(16-20)'!$O$249+'假日(16-20)'!$O$268</f>
        <v>0</v>
      </c>
      <c r="BY31" s="168">
        <f>'假日(16-20)'!$Q$211+'假日(16-20)'!$Q$230+'假日(16-20)'!$Q$249+'假日(16-20)'!$Q$268</f>
        <v>0</v>
      </c>
    </row>
    <row r="32" spans="2:77">
      <c r="B32" s="168" t="s">
        <v>190</v>
      </c>
      <c r="C32" s="169" t="str">
        <f t="shared" si="31"/>
        <v>-</v>
      </c>
      <c r="D32" s="169" t="str">
        <f t="shared" si="31"/>
        <v>-</v>
      </c>
      <c r="E32" s="168">
        <f>('平日晨峰(0630-0830)'!$AC$40+'平日晨峰(0630-0830)'!$AC$59+'平日晨峰(0630-0830)'!$AC$78+'平日晨峰(0630-0830)'!$AC$97)*15</f>
        <v>0</v>
      </c>
      <c r="F32" s="168">
        <f>'平日晨峰(0630-0830)'!$AG$40+'平日晨峰(0630-0830)'!$AG$59+'平日晨峰(0630-0830)'!$AG$78+'平日晨峰(0630-0830)'!$AG$97</f>
        <v>0</v>
      </c>
      <c r="G32" s="168">
        <f>'平日晨峰(0630-0830)'!$AI$40+'平日晨峰(0630-0830)'!$AI$59+'平日晨峰(0630-0830)'!$AI$78+'平日晨峰(0630-0830)'!$AI$97</f>
        <v>0</v>
      </c>
      <c r="I32" s="168" t="str">
        <f>$I$5</f>
        <v>07:15~08:15</v>
      </c>
      <c r="J32" s="169" t="str">
        <f t="shared" si="32"/>
        <v>-</v>
      </c>
      <c r="K32" s="169" t="str">
        <f t="shared" si="32"/>
        <v>-</v>
      </c>
      <c r="L32" s="168">
        <f>('平日晨峰(07-09)'!$AC$40+'平日晨峰(07-09)'!$AC$59+'平日晨峰(07-09)'!$AC$78+'平日晨峰(07-09)'!$AC$97)*15</f>
        <v>0</v>
      </c>
      <c r="M32" s="168">
        <f>'平日晨峰(07-09)'!$AG$40+'平日晨峰(07-09)'!$AG$59+'平日晨峰(07-09)'!$AG$78+'平日晨峰(07-09)'!$AG$97</f>
        <v>0</v>
      </c>
      <c r="N32" s="168">
        <f>'平日晨峰(07-09)'!$AI$40+'平日晨峰(07-09)'!$AI$59+'平日晨峰(07-09)'!$AI$78+'平日晨峰(07-09)'!$AI$97</f>
        <v>0</v>
      </c>
      <c r="P32" s="168" t="str">
        <f>P23</f>
        <v>11:15~12:15</v>
      </c>
      <c r="Q32" s="169" t="str">
        <f>IF(ISERROR($S32/T32),"-",$S32/T32)</f>
        <v>-</v>
      </c>
      <c r="R32" s="169" t="str">
        <f>IF(ISERROR($T32/U32),"-",$T32/U32)</f>
        <v>-</v>
      </c>
      <c r="S32" s="168">
        <f>('平日中午(11-13)'!$AC$40+'平日中午(11-13)'!$AC$59+'平日中午(11-13)'!$AC$78+'平日中午(11-13)'!$AC$97)*15</f>
        <v>0</v>
      </c>
      <c r="T32" s="168">
        <f>'平日中午(11-13)'!$AG$40+'平日中午(11-13)'!$AG$59+'平日中午(11-13)'!$AG$78+'平日中午(11-13)'!$AG$97</f>
        <v>0</v>
      </c>
      <c r="U32" s="168">
        <f>'平日中午(11-13)'!$AI$40+'平日中午(11-13)'!$AI$59+'平日中午(11-13)'!$AI$78+'平日中午(11-13)'!$AI$97</f>
        <v>0</v>
      </c>
      <c r="W32" s="168" t="str">
        <f>W23</f>
        <v>12:15~13:15</v>
      </c>
      <c r="X32" s="169" t="str">
        <f t="shared" si="33"/>
        <v>-</v>
      </c>
      <c r="Y32" s="169" t="str">
        <f t="shared" si="33"/>
        <v>-</v>
      </c>
      <c r="Z32" s="168">
        <f>('平日中午(12-14)'!$AC$40+'平日中午(12-14)'!$AC$59+'平日中午(12-14)'!$AC$78+'平日中午(12-14)'!$AC$97)*15</f>
        <v>0</v>
      </c>
      <c r="AA32" s="168">
        <f>'平日中午(12-14)'!$AG$40+'平日中午(12-14)'!$AG$59+'平日中午(12-14)'!$AG$78+'平日中午(12-14)'!$AG$97</f>
        <v>0</v>
      </c>
      <c r="AB32" s="168">
        <f>'平日中午(12-14)'!$AI$40+'平日中午(12-14)'!$AI$59+'平日中午(12-14)'!$AI$78+'平日中午(12-14)'!$AI$97</f>
        <v>0</v>
      </c>
      <c r="AD32" s="168" t="str">
        <f>$AD$5</f>
        <v>17:15~18:15</v>
      </c>
      <c r="AE32" s="169" t="str">
        <f t="shared" si="34"/>
        <v>-</v>
      </c>
      <c r="AF32" s="169" t="str">
        <f t="shared" si="34"/>
        <v>-</v>
      </c>
      <c r="AG32" s="168">
        <f>('平日昏峰(17-19)'!$AC$40+'平日昏峰(17-19)'!$AC$59+'平日昏峰(17-19)'!$AC$78+'平日昏峰(17-19)'!$AC$97)*15</f>
        <v>0</v>
      </c>
      <c r="AH32" s="168">
        <f>'平日昏峰(17-19)'!$AG$40+'平日昏峰(17-19)'!$AG$59+'平日昏峰(17-19)'!$AG$78+'平日昏峰(17-19)'!$AG$97</f>
        <v>0</v>
      </c>
      <c r="AI32" s="168">
        <f>'平日昏峰(17-19)'!$AI$40+'平日昏峰(17-19)'!$AI$59+'平日昏峰(17-19)'!$AI$78+'平日昏峰(17-19)'!$AI$97</f>
        <v>0</v>
      </c>
      <c r="AK32" s="168">
        <f>$AK$5</f>
        <v>0</v>
      </c>
      <c r="AL32" s="169" t="str">
        <f t="shared" si="35"/>
        <v>-</v>
      </c>
      <c r="AM32" s="169" t="str">
        <f t="shared" si="35"/>
        <v>-</v>
      </c>
      <c r="AN32" s="168"/>
      <c r="AO32" s="168"/>
      <c r="AP32" s="168"/>
      <c r="AR32" s="168">
        <f>$AR$5</f>
        <v>0</v>
      </c>
      <c r="AS32" s="169" t="str">
        <f t="shared" si="36"/>
        <v>-</v>
      </c>
      <c r="AT32" s="169" t="str">
        <f t="shared" si="36"/>
        <v>-</v>
      </c>
      <c r="AU32" s="168"/>
      <c r="AV32" s="168"/>
      <c r="AW32" s="168"/>
      <c r="AY32" s="168">
        <f>AY23</f>
        <v>0</v>
      </c>
      <c r="AZ32" s="169" t="str">
        <f t="shared" si="37"/>
        <v>-</v>
      </c>
      <c r="BA32" s="169" t="str">
        <f t="shared" si="37"/>
        <v>-</v>
      </c>
      <c r="BB32" s="168"/>
      <c r="BC32" s="168"/>
      <c r="BD32" s="168"/>
      <c r="BF32" s="168" t="str">
        <f>BF23</f>
        <v>16:15~17:15</v>
      </c>
      <c r="BG32" s="169" t="str">
        <f t="shared" si="38"/>
        <v>-</v>
      </c>
      <c r="BH32" s="169" t="str">
        <f t="shared" si="38"/>
        <v>-</v>
      </c>
      <c r="BI32" s="168">
        <f>('假日(16-18)'!$AC$40+'假日(16-18)'!$AC$59+'假日(16-18)'!$AC$78+'假日(16-18)'!$AC$97)*15</f>
        <v>0</v>
      </c>
      <c r="BJ32" s="168">
        <f>'假日(16-18)'!$AG$40+'假日(16-18)'!$AG$59+'假日(16-18)'!$AG$78+'假日(16-18)'!$AG$97</f>
        <v>0</v>
      </c>
      <c r="BK32" s="168">
        <f>'假日(16-18)'!$AI$40+'假日(16-18)'!$AI$59+'假日(16-18)'!$AI$78+'假日(16-18)'!$AI$97</f>
        <v>0</v>
      </c>
      <c r="BM32" s="168" t="str">
        <f>BM23</f>
        <v>17:15~18:15</v>
      </c>
      <c r="BN32" s="169" t="str">
        <f t="shared" si="39"/>
        <v>-</v>
      </c>
      <c r="BO32" s="169" t="str">
        <f t="shared" si="39"/>
        <v>-</v>
      </c>
      <c r="BP32" s="168">
        <f>('假日(17-19)'!$AC$40+'假日(17-19)'!$AC$59+'假日(17-19)'!$AC$78+'假日(17-19)'!$AC$97)*15</f>
        <v>0</v>
      </c>
      <c r="BQ32" s="168">
        <f>'假日(17-19)'!$AG$40+'假日(17-19)'!$AG$59+'假日(17-19)'!$AG$78+'假日(17-19)'!$AG$97</f>
        <v>0</v>
      </c>
      <c r="BR32" s="168">
        <f>'假日(17-19)'!$AI$40+'假日(17-19)'!$AI$59+'假日(17-19)'!$AI$78+'假日(17-19)'!$AI$97</f>
        <v>0</v>
      </c>
      <c r="BT32" s="168" t="s">
        <v>187</v>
      </c>
      <c r="BU32" s="169" t="str">
        <f t="shared" si="20"/>
        <v>-</v>
      </c>
      <c r="BV32" s="169" t="str">
        <f t="shared" si="21"/>
        <v>-</v>
      </c>
      <c r="BW32" s="168">
        <f>('假日(16-20)'!$K$230+'假日(16-20)'!$K$249+'假日(16-20)'!$K$268+'假日(16-20)'!$K$287)*15</f>
        <v>0</v>
      </c>
      <c r="BX32" s="168">
        <f>'假日(16-20)'!$O$230+'假日(16-20)'!$O$249+'假日(16-20)'!$O$268+'假日(16-20)'!$O$287</f>
        <v>0</v>
      </c>
      <c r="BY32" s="168">
        <f>'假日(16-20)'!$Q$230+'假日(16-20)'!$Q$249+'假日(16-20)'!$Q$268+'假日(16-20)'!$Q$287</f>
        <v>0</v>
      </c>
    </row>
    <row r="33" spans="2:77">
      <c r="B33" s="168" t="s">
        <v>191</v>
      </c>
      <c r="C33" s="169" t="str">
        <f t="shared" si="31"/>
        <v>-</v>
      </c>
      <c r="D33" s="169" t="str">
        <f t="shared" si="31"/>
        <v>-</v>
      </c>
      <c r="E33" s="168">
        <f>('平日晨峰(0630-0830)'!$AC$59+'平日晨峰(0630-0830)'!$AC$78+'平日晨峰(0630-0830)'!$AC$97+'平日晨峰(0630-0830)'!$AC$116)*15</f>
        <v>0</v>
      </c>
      <c r="F33" s="168">
        <f>'平日晨峰(0630-0830)'!$AG$59+'平日晨峰(0630-0830)'!$AG$78+'平日晨峰(0630-0830)'!$AG$97+'平日晨峰(0630-0830)'!$AG$116</f>
        <v>0</v>
      </c>
      <c r="G33" s="168">
        <f>'平日晨峰(0630-0830)'!$AI$59+'平日晨峰(0630-0830)'!$AI$78+'平日晨峰(0630-0830)'!$AI$97+'平日晨峰(0630-0830)'!$AI$116</f>
        <v>0</v>
      </c>
      <c r="I33" s="168" t="str">
        <f>$I$6</f>
        <v>07:30~08:30</v>
      </c>
      <c r="J33" s="169" t="str">
        <f t="shared" si="32"/>
        <v>-</v>
      </c>
      <c r="K33" s="169" t="str">
        <f t="shared" si="32"/>
        <v>-</v>
      </c>
      <c r="L33" s="168">
        <f>('平日晨峰(07-09)'!$AC$59+'平日晨峰(07-09)'!$AC$78+'平日晨峰(07-09)'!$AC$97+'平日晨峰(07-09)'!$AC$116)*15</f>
        <v>0</v>
      </c>
      <c r="M33" s="168">
        <f>'平日晨峰(07-09)'!$AG$59+'平日晨峰(07-09)'!$AG$78+'平日晨峰(07-09)'!$AG$97+'平日晨峰(07-09)'!$AG$116</f>
        <v>0</v>
      </c>
      <c r="N33" s="168">
        <f>'平日晨峰(07-09)'!$AI$59+'平日晨峰(07-09)'!$AI$78+'平日晨峰(07-09)'!$AI$97+'平日晨峰(07-09)'!$AI$116</f>
        <v>0</v>
      </c>
      <c r="P33" s="168" t="str">
        <f>P24</f>
        <v>11:30~12:30</v>
      </c>
      <c r="Q33" s="169" t="str">
        <f>IF(ISERROR($S33/T33),"-",$S33/T33)</f>
        <v>-</v>
      </c>
      <c r="R33" s="169" t="str">
        <f>IF(ISERROR($T33/U33),"-",$T33/U33)</f>
        <v>-</v>
      </c>
      <c r="S33" s="168">
        <f>('平日中午(11-13)'!$AC$59+'平日中午(11-13)'!$AC$78+'平日中午(11-13)'!$AC$97+'平日中午(11-13)'!$AC$116)*15</f>
        <v>0</v>
      </c>
      <c r="T33" s="168">
        <f>'平日中午(11-13)'!$AG$59+'平日中午(11-13)'!$AG$78+'平日中午(11-13)'!$AG$97+'平日中午(11-13)'!$AG$116</f>
        <v>0</v>
      </c>
      <c r="U33" s="168">
        <f>'平日中午(11-13)'!$AI$59+'平日中午(11-13)'!$AI$78+'平日中午(11-13)'!$AI$97+'平日中午(11-13)'!$AI$116</f>
        <v>0</v>
      </c>
      <c r="W33" s="168" t="str">
        <f>W24</f>
        <v>12:30~13:30</v>
      </c>
      <c r="X33" s="169" t="str">
        <f t="shared" si="33"/>
        <v>-</v>
      </c>
      <c r="Y33" s="169" t="str">
        <f t="shared" si="33"/>
        <v>-</v>
      </c>
      <c r="Z33" s="168">
        <f>('平日中午(12-14)'!$AC$59+'平日中午(12-14)'!$AC$78+'平日中午(12-14)'!$AC$97+'平日中午(12-14)'!$AC$116)*15</f>
        <v>0</v>
      </c>
      <c r="AA33" s="168">
        <f>'平日中午(12-14)'!$AG$59+'平日中午(12-14)'!$AG$78+'平日中午(12-14)'!$AG$97+'平日中午(12-14)'!$AG$116</f>
        <v>0</v>
      </c>
      <c r="AB33" s="168">
        <f>'平日中午(12-14)'!$AI$59+'平日中午(12-14)'!$AI$78+'平日中午(12-14)'!$AI$97+'平日中午(12-14)'!$AI$116</f>
        <v>0</v>
      </c>
      <c r="AD33" s="168" t="str">
        <f>$AD$6</f>
        <v>17:30~18:30</v>
      </c>
      <c r="AE33" s="169" t="str">
        <f t="shared" si="34"/>
        <v>-</v>
      </c>
      <c r="AF33" s="169" t="str">
        <f t="shared" si="34"/>
        <v>-</v>
      </c>
      <c r="AG33" s="168">
        <f>('平日昏峰(17-19)'!$AC$59+'平日昏峰(17-19)'!$AC$78+'平日昏峰(17-19)'!$AC$97+'平日昏峰(17-19)'!$AC$116)*15</f>
        <v>0</v>
      </c>
      <c r="AH33" s="168">
        <f>'平日昏峰(17-19)'!$AG$59+'平日昏峰(17-19)'!$AG$78+'平日昏峰(17-19)'!$AG$97+'平日昏峰(17-19)'!$AG$116</f>
        <v>0</v>
      </c>
      <c r="AI33" s="168">
        <f>'平日昏峰(17-19)'!$AI$59+'平日昏峰(17-19)'!$AI$78+'平日昏峰(17-19)'!$AI$97+'平日昏峰(17-19)'!$AI$116</f>
        <v>0</v>
      </c>
      <c r="AK33" s="168">
        <f>$AK$6</f>
        <v>0</v>
      </c>
      <c r="AL33" s="169" t="str">
        <f t="shared" si="35"/>
        <v>-</v>
      </c>
      <c r="AM33" s="169" t="str">
        <f t="shared" si="35"/>
        <v>-</v>
      </c>
      <c r="AN33" s="168"/>
      <c r="AO33" s="168"/>
      <c r="AP33" s="168"/>
      <c r="AR33" s="168">
        <f>$AR$6</f>
        <v>0</v>
      </c>
      <c r="AS33" s="169" t="str">
        <f t="shared" si="36"/>
        <v>-</v>
      </c>
      <c r="AT33" s="169" t="str">
        <f t="shared" si="36"/>
        <v>-</v>
      </c>
      <c r="AU33" s="168"/>
      <c r="AV33" s="168"/>
      <c r="AW33" s="168"/>
      <c r="AY33" s="168">
        <f>AY24</f>
        <v>0</v>
      </c>
      <c r="AZ33" s="169" t="str">
        <f t="shared" si="37"/>
        <v>-</v>
      </c>
      <c r="BA33" s="169" t="str">
        <f t="shared" si="37"/>
        <v>-</v>
      </c>
      <c r="BB33" s="168"/>
      <c r="BC33" s="168"/>
      <c r="BD33" s="168"/>
      <c r="BF33" s="168" t="str">
        <f>BF24</f>
        <v>16:30~17:30</v>
      </c>
      <c r="BG33" s="169" t="str">
        <f t="shared" si="38"/>
        <v>-</v>
      </c>
      <c r="BH33" s="169" t="str">
        <f t="shared" si="38"/>
        <v>-</v>
      </c>
      <c r="BI33" s="168">
        <f>('假日(16-18)'!$AC$59+'假日(16-18)'!$AC$78+'假日(16-18)'!$AC$97+'假日(16-18)'!$AC$116)*15</f>
        <v>0</v>
      </c>
      <c r="BJ33" s="168">
        <f>'假日(16-18)'!$AG$59+'假日(16-18)'!$AG$78+'假日(16-18)'!$AG$97+'假日(16-18)'!$AG$116</f>
        <v>0</v>
      </c>
      <c r="BK33" s="168">
        <f>'假日(16-18)'!$AI$59+'假日(16-18)'!$AI$78+'假日(16-18)'!$AI$97+'假日(16-18)'!$AI$116</f>
        <v>0</v>
      </c>
      <c r="BM33" s="168" t="str">
        <f>BM24</f>
        <v>17:30~18:30</v>
      </c>
      <c r="BN33" s="169" t="str">
        <f t="shared" si="39"/>
        <v>-</v>
      </c>
      <c r="BO33" s="169" t="str">
        <f t="shared" si="39"/>
        <v>-</v>
      </c>
      <c r="BP33" s="168">
        <f>('假日(17-19)'!$AC$59+'假日(17-19)'!$AC$78+'假日(17-19)'!$AC$97+'假日(17-19)'!$AC$116)*15</f>
        <v>0</v>
      </c>
      <c r="BQ33" s="168">
        <f>'假日(17-19)'!$AG$59+'假日(17-19)'!$AG$78+'假日(17-19)'!$AG$97+'假日(17-19)'!$AG$116</f>
        <v>0</v>
      </c>
      <c r="BR33" s="168">
        <f>'假日(17-19)'!$AI$59+'假日(17-19)'!$AI$78+'假日(17-19)'!$AI$97+'假日(17-19)'!$AI$116</f>
        <v>0</v>
      </c>
      <c r="BT33" s="168" t="s">
        <v>188</v>
      </c>
      <c r="BU33" s="169" t="str">
        <f t="shared" si="20"/>
        <v>-</v>
      </c>
      <c r="BV33" s="169" t="str">
        <f t="shared" si="21"/>
        <v>-</v>
      </c>
      <c r="BW33" s="168">
        <f>('假日(16-20)'!$K$249+'假日(16-20)'!$K$268+'假日(16-20)'!$K$287+'假日(16-20)'!$K$306)*15</f>
        <v>0</v>
      </c>
      <c r="BX33" s="168">
        <f>'假日(16-20)'!$O$249+'假日(16-20)'!$O$268+'假日(16-20)'!$O$287+'假日(16-20)'!$O$306</f>
        <v>0</v>
      </c>
      <c r="BY33" s="168">
        <f>'假日(16-20)'!$Q$249+'假日(16-20)'!$Q$268+'假日(16-20)'!$Q$287+'假日(16-20)'!$Q$306</f>
        <v>0</v>
      </c>
    </row>
    <row r="34" spans="2:77">
      <c r="B34" s="168" t="s">
        <v>192</v>
      </c>
      <c r="C34" s="169" t="str">
        <f t="shared" si="31"/>
        <v>-</v>
      </c>
      <c r="D34" s="169" t="str">
        <f t="shared" si="31"/>
        <v>-</v>
      </c>
      <c r="E34" s="168">
        <f>('平日晨峰(0630-0830)'!$AC$78+'平日晨峰(0630-0830)'!$AC$97+'平日晨峰(0630-0830)'!$AC$116+'平日晨峰(0630-0830)'!$AC$135)*15</f>
        <v>0</v>
      </c>
      <c r="F34" s="168">
        <f>'平日晨峰(0630-0830)'!$AG$78+'平日晨峰(0630-0830)'!$AG$97+'平日晨峰(0630-0830)'!$AG$116+'平日晨峰(0630-0830)'!$AG$135</f>
        <v>0</v>
      </c>
      <c r="G34" s="168">
        <f>'平日晨峰(0630-0830)'!$AI$78+'平日晨峰(0630-0830)'!$AI$97+'平日晨峰(0630-0830)'!$AI$116+'平日晨峰(0630-0830)'!$AI$135</f>
        <v>0</v>
      </c>
      <c r="I34" s="168" t="str">
        <f>$I$7</f>
        <v>07:45~08:45</v>
      </c>
      <c r="J34" s="169" t="str">
        <f t="shared" si="32"/>
        <v>-</v>
      </c>
      <c r="K34" s="169" t="str">
        <f t="shared" si="32"/>
        <v>-</v>
      </c>
      <c r="L34" s="168">
        <f>('平日晨峰(07-09)'!$AC$78+'平日晨峰(07-09)'!$AC$97+'平日晨峰(07-09)'!$AC$116+'平日晨峰(07-09)'!$AC$135)*15</f>
        <v>0</v>
      </c>
      <c r="M34" s="168">
        <f>'平日晨峰(07-09)'!$AG$78+'平日晨峰(07-09)'!$AG$97+'平日晨峰(07-09)'!$AG$116+'平日晨峰(07-09)'!$AG$135</f>
        <v>0</v>
      </c>
      <c r="N34" s="168">
        <f>'平日晨峰(07-09)'!$AI$78+'平日晨峰(07-09)'!$AI$97+'平日晨峰(07-09)'!$AI$116+'平日晨峰(07-09)'!$AI$135</f>
        <v>0</v>
      </c>
      <c r="P34" s="168" t="str">
        <f>P25</f>
        <v>11:45~12:45</v>
      </c>
      <c r="Q34" s="169" t="str">
        <f>IF(ISERROR($S34/T34),"-",$S34/T34)</f>
        <v>-</v>
      </c>
      <c r="R34" s="169" t="str">
        <f>IF(ISERROR($T34/U34),"-",$T34/U34)</f>
        <v>-</v>
      </c>
      <c r="S34" s="168">
        <f>('平日中午(11-13)'!$AC$78+'平日中午(11-13)'!$AC$97+'平日中午(11-13)'!$AC$116+'平日中午(11-13)'!$AC$135)*15</f>
        <v>0</v>
      </c>
      <c r="T34" s="168">
        <f>'平日中午(11-13)'!$AG$78+'平日中午(11-13)'!$AG$97+'平日中午(11-13)'!$AG$116+'平日中午(11-13)'!$AG$135</f>
        <v>0</v>
      </c>
      <c r="U34" s="168">
        <f>'平日中午(11-13)'!$AI$78+'平日中午(11-13)'!$AI$97+'平日中午(11-13)'!$AI$116+'平日中午(11-13)'!$AI$135</f>
        <v>0</v>
      </c>
      <c r="W34" s="168" t="str">
        <f>W25</f>
        <v>12:45~13:45</v>
      </c>
      <c r="X34" s="169" t="str">
        <f t="shared" si="33"/>
        <v>-</v>
      </c>
      <c r="Y34" s="169" t="str">
        <f t="shared" si="33"/>
        <v>-</v>
      </c>
      <c r="Z34" s="168">
        <f>('平日中午(12-14)'!$AC$78+'平日中午(12-14)'!$AC$97+'平日中午(12-14)'!$AC$116+'平日中午(12-14)'!$AC$135)*15</f>
        <v>0</v>
      </c>
      <c r="AA34" s="168">
        <f>'平日中午(12-14)'!$AG$78+'平日中午(12-14)'!$AG$97+'平日中午(12-14)'!$AG$116+'平日中午(12-14)'!$AG$135</f>
        <v>0</v>
      </c>
      <c r="AB34" s="168">
        <f>'平日中午(12-14)'!$AI$78+'平日中午(12-14)'!$AI$97+'平日中午(12-14)'!$AI$116+'平日中午(12-14)'!$AI$135</f>
        <v>0</v>
      </c>
      <c r="AD34" s="168" t="str">
        <f>$AD$7</f>
        <v>17:45~18:45</v>
      </c>
      <c r="AE34" s="169" t="str">
        <f t="shared" si="34"/>
        <v>-</v>
      </c>
      <c r="AF34" s="169" t="str">
        <f t="shared" si="34"/>
        <v>-</v>
      </c>
      <c r="AG34" s="168">
        <f>('平日昏峰(17-19)'!$AC$78+'平日昏峰(17-19)'!$AC$97+'平日昏峰(17-19)'!$AC$116+'平日昏峰(17-19)'!$AC$135)*15</f>
        <v>0</v>
      </c>
      <c r="AH34" s="168">
        <f>'平日昏峰(17-19)'!$AG$78+'平日昏峰(17-19)'!$AG$97+'平日昏峰(17-19)'!$AG$116+'平日昏峰(17-19)'!$AG$135</f>
        <v>0</v>
      </c>
      <c r="AI34" s="168">
        <f>'平日昏峰(17-19)'!$AI$78+'平日昏峰(17-19)'!$AI$97+'平日昏峰(17-19)'!$AI$116+'平日昏峰(17-19)'!$AI$135</f>
        <v>0</v>
      </c>
      <c r="AK34" s="168">
        <f>$AK$7</f>
        <v>0</v>
      </c>
      <c r="AL34" s="169" t="str">
        <f t="shared" si="35"/>
        <v>-</v>
      </c>
      <c r="AM34" s="169" t="str">
        <f t="shared" si="35"/>
        <v>-</v>
      </c>
      <c r="AN34" s="168"/>
      <c r="AO34" s="168"/>
      <c r="AP34" s="168"/>
      <c r="AR34" s="168">
        <f>$AR$7</f>
        <v>0</v>
      </c>
      <c r="AS34" s="169" t="str">
        <f t="shared" si="36"/>
        <v>-</v>
      </c>
      <c r="AT34" s="169" t="str">
        <f t="shared" si="36"/>
        <v>-</v>
      </c>
      <c r="AU34" s="168"/>
      <c r="AV34" s="168"/>
      <c r="AW34" s="168"/>
      <c r="AY34" s="168">
        <f>AY25</f>
        <v>0</v>
      </c>
      <c r="AZ34" s="169" t="str">
        <f t="shared" si="37"/>
        <v>-</v>
      </c>
      <c r="BA34" s="169" t="str">
        <f t="shared" si="37"/>
        <v>-</v>
      </c>
      <c r="BB34" s="168"/>
      <c r="BC34" s="168"/>
      <c r="BD34" s="168"/>
      <c r="BF34" s="168" t="str">
        <f>BF25</f>
        <v>16:45~17:45</v>
      </c>
      <c r="BG34" s="169" t="str">
        <f t="shared" si="38"/>
        <v>-</v>
      </c>
      <c r="BH34" s="169" t="str">
        <f t="shared" si="38"/>
        <v>-</v>
      </c>
      <c r="BI34" s="168">
        <f>('假日(16-18)'!$AC$78+'假日(16-18)'!$AC$97+'假日(16-18)'!$AC$116+'假日(16-18)'!$AC$135)*15</f>
        <v>0</v>
      </c>
      <c r="BJ34" s="168">
        <f>'假日(16-18)'!$AG$78+'假日(16-18)'!$AG$97+'假日(16-18)'!$AG$116+'假日(16-18)'!$AG$135</f>
        <v>0</v>
      </c>
      <c r="BK34" s="168">
        <f>'假日(16-18)'!$AI$78+'假日(16-18)'!$AI$97+'假日(16-18)'!$AI$116+'假日(16-18)'!$AI$135</f>
        <v>0</v>
      </c>
      <c r="BM34" s="168" t="str">
        <f>BM25</f>
        <v>17:45~18:45</v>
      </c>
      <c r="BN34" s="169" t="str">
        <f t="shared" si="39"/>
        <v>-</v>
      </c>
      <c r="BO34" s="169" t="str">
        <f t="shared" si="39"/>
        <v>-</v>
      </c>
      <c r="BP34" s="168">
        <f>('假日(17-19)'!$AC$78+'假日(17-19)'!$AC$97+'假日(17-19)'!$AC$116+'假日(17-19)'!$AC$135)*15</f>
        <v>0</v>
      </c>
      <c r="BQ34" s="168">
        <f>'假日(17-19)'!$AG$78+'假日(17-19)'!$AG$97+'假日(17-19)'!$AG$116+'假日(17-19)'!$AG$135</f>
        <v>0</v>
      </c>
      <c r="BR34" s="168">
        <f>'假日(17-19)'!$AI$78+'假日(17-19)'!$AI$97+'假日(17-19)'!$AI$116+'假日(17-19)'!$AI$135</f>
        <v>0</v>
      </c>
      <c r="BT34" s="165" t="str">
        <f>CONCATENATE(基本資料!$C$18,"方向","平均延滯")</f>
        <v>B方向平均延滯</v>
      </c>
      <c r="BU34" s="170" t="str">
        <f>IF(ISERROR(VLOOKUP($BX$85,BT21:BU33,2,1)),"-",VLOOKUP($BX$85,BT21:BU33,2,1))</f>
        <v>-</v>
      </c>
      <c r="BV34" s="170"/>
      <c r="BW34" s="165"/>
      <c r="BX34" s="165"/>
      <c r="BY34" s="165"/>
    </row>
    <row r="35" spans="2:77">
      <c r="B35" s="168" t="s">
        <v>193</v>
      </c>
      <c r="C35" s="169" t="str">
        <f t="shared" si="31"/>
        <v>-</v>
      </c>
      <c r="D35" s="169" t="str">
        <f t="shared" si="31"/>
        <v>-</v>
      </c>
      <c r="E35" s="168">
        <f>('平日晨峰(0630-0830)'!$AC$97+'平日晨峰(0630-0830)'!$AC$116+'平日晨峰(0630-0830)'!$AC$135+'平日晨峰(0630-0830)'!$AC$154)*15</f>
        <v>0</v>
      </c>
      <c r="F35" s="168">
        <f>'平日晨峰(0630-0830)'!$AG$97+'平日晨峰(0630-0830)'!$AG$116+'平日晨峰(0630-0830)'!$AG$135+'平日晨峰(0630-0830)'!$AG$154</f>
        <v>0</v>
      </c>
      <c r="G35" s="168">
        <f>'平日晨峰(0630-0830)'!$AI$97+'平日晨峰(0630-0830)'!$AI$116+'平日晨峰(0630-0830)'!$AI$135+'平日晨峰(0630-0830)'!$AI$154</f>
        <v>0</v>
      </c>
      <c r="I35" s="168" t="str">
        <f>$I$8</f>
        <v>08:00~09:00</v>
      </c>
      <c r="J35" s="169" t="str">
        <f t="shared" si="32"/>
        <v>-</v>
      </c>
      <c r="K35" s="169" t="str">
        <f t="shared" si="32"/>
        <v>-</v>
      </c>
      <c r="L35" s="168">
        <f>('平日晨峰(07-09)'!$AC$97+'平日晨峰(07-09)'!$AC$116+'平日晨峰(07-09)'!$AC$135+'平日晨峰(07-09)'!$AC$154)*15</f>
        <v>0</v>
      </c>
      <c r="M35" s="168">
        <f>'平日晨峰(07-09)'!$AG$97+'平日晨峰(07-09)'!$AG$116+'平日晨峰(07-09)'!$AG$135+'平日晨峰(07-09)'!$AG$154</f>
        <v>0</v>
      </c>
      <c r="N35" s="168">
        <f>'平日晨峰(07-09)'!$AI$97+'平日晨峰(07-09)'!$AI$116+'平日晨峰(07-09)'!$AI$135+'平日晨峰(07-09)'!$AI$154</f>
        <v>0</v>
      </c>
      <c r="P35" s="168" t="str">
        <f>P26</f>
        <v>12:00~13:00</v>
      </c>
      <c r="Q35" s="169" t="str">
        <f>IF(ISERROR($S35/T35),"-",$S35/T35)</f>
        <v>-</v>
      </c>
      <c r="R35" s="169" t="str">
        <f>IF(ISERROR($T35/U35),"-",$T35/U35)</f>
        <v>-</v>
      </c>
      <c r="S35" s="168">
        <f>('平日中午(11-13)'!$AC$97+'平日中午(11-13)'!$AC$116+'平日中午(11-13)'!$AC$135+'平日中午(11-13)'!$AC$154)*15</f>
        <v>0</v>
      </c>
      <c r="T35" s="168">
        <f>'平日中午(11-13)'!$AG$97+'平日中午(11-13)'!$AG$116+'平日中午(11-13)'!$AG$135+'平日中午(11-13)'!$AG$154</f>
        <v>0</v>
      </c>
      <c r="U35" s="168">
        <f>'平日中午(11-13)'!$AI$97+'平日中午(11-13)'!$AI$116+'平日中午(11-13)'!$AI$135+'平日中午(11-13)'!$AI$154</f>
        <v>0</v>
      </c>
      <c r="W35" s="168" t="str">
        <f>W26</f>
        <v>13:00~14:00</v>
      </c>
      <c r="X35" s="169" t="str">
        <f t="shared" si="33"/>
        <v>-</v>
      </c>
      <c r="Y35" s="169" t="str">
        <f t="shared" si="33"/>
        <v>-</v>
      </c>
      <c r="Z35" s="168">
        <f>('平日中午(12-14)'!$AC$97+'平日中午(12-14)'!$AC$116+'平日中午(12-14)'!$AC$135+'平日中午(12-14)'!$AC$154)*15</f>
        <v>0</v>
      </c>
      <c r="AA35" s="168">
        <f>'平日中午(12-14)'!$AG$97+'平日中午(12-14)'!$AG$116+'平日中午(12-14)'!$AG$135+'平日中午(12-14)'!$AG$154</f>
        <v>0</v>
      </c>
      <c r="AB35" s="168">
        <f>'平日中午(12-14)'!$AI$97+'平日中午(12-14)'!$AI$116+'平日中午(12-14)'!$AI$135+'平日中午(12-14)'!$AI$154</f>
        <v>0</v>
      </c>
      <c r="AD35" s="168" t="str">
        <f>$AD$8</f>
        <v>18:00~19:00</v>
      </c>
      <c r="AE35" s="169" t="str">
        <f t="shared" si="34"/>
        <v>-</v>
      </c>
      <c r="AF35" s="169" t="str">
        <f t="shared" si="34"/>
        <v>-</v>
      </c>
      <c r="AG35" s="168">
        <f>('平日昏峰(17-19)'!$AC$97+'平日昏峰(17-19)'!$AC$116+'平日昏峰(17-19)'!$AC$135+'平日昏峰(17-19)'!$AC$154)*15</f>
        <v>0</v>
      </c>
      <c r="AH35" s="168">
        <f>'平日昏峰(17-19)'!$AG$97+'平日昏峰(17-19)'!$AG$116+'平日昏峰(17-19)'!$AG$135+'平日昏峰(17-19)'!$AG$154</f>
        <v>0</v>
      </c>
      <c r="AI35" s="168">
        <f>'平日昏峰(17-19)'!$AI$97+'平日昏峰(17-19)'!$AI$116+'平日昏峰(17-19)'!$AI$135+'平日昏峰(17-19)'!$AI$154</f>
        <v>0</v>
      </c>
      <c r="AK35" s="168">
        <f>$AK$8</f>
        <v>0</v>
      </c>
      <c r="AL35" s="169" t="str">
        <f t="shared" si="35"/>
        <v>-</v>
      </c>
      <c r="AM35" s="169" t="str">
        <f t="shared" si="35"/>
        <v>-</v>
      </c>
      <c r="AN35" s="168"/>
      <c r="AO35" s="168"/>
      <c r="AP35" s="168"/>
      <c r="AR35" s="168">
        <f>$AR$8</f>
        <v>0</v>
      </c>
      <c r="AS35" s="169" t="str">
        <f t="shared" si="36"/>
        <v>-</v>
      </c>
      <c r="AT35" s="169" t="str">
        <f t="shared" si="36"/>
        <v>-</v>
      </c>
      <c r="AU35" s="168"/>
      <c r="AV35" s="168"/>
      <c r="AW35" s="168"/>
      <c r="AY35" s="168">
        <f>AY26</f>
        <v>0</v>
      </c>
      <c r="AZ35" s="169" t="str">
        <f t="shared" si="37"/>
        <v>-</v>
      </c>
      <c r="BA35" s="169" t="str">
        <f t="shared" si="37"/>
        <v>-</v>
      </c>
      <c r="BB35" s="168"/>
      <c r="BC35" s="168"/>
      <c r="BD35" s="168"/>
      <c r="BF35" s="168" t="str">
        <f>BF26</f>
        <v>17:00~18:00</v>
      </c>
      <c r="BG35" s="169" t="str">
        <f t="shared" si="38"/>
        <v>-</v>
      </c>
      <c r="BH35" s="169" t="str">
        <f t="shared" si="38"/>
        <v>-</v>
      </c>
      <c r="BI35" s="168">
        <f>('假日(16-18)'!$AC$97+'假日(16-18)'!$AC$116+'假日(16-18)'!$AC$135+'假日(16-18)'!$AC$154)*15</f>
        <v>0</v>
      </c>
      <c r="BJ35" s="168">
        <f>'假日(16-18)'!$AG$97+'假日(16-18)'!$AG$116+'假日(16-18)'!$AG$135+'假日(16-18)'!$AG$154</f>
        <v>0</v>
      </c>
      <c r="BK35" s="168">
        <f>'假日(16-18)'!$AI$97+'假日(16-18)'!$AI$116+'假日(16-18)'!$AI$135+'假日(16-18)'!$AI$154</f>
        <v>0</v>
      </c>
      <c r="BM35" s="168" t="str">
        <f>BM26</f>
        <v>18:00~19:00</v>
      </c>
      <c r="BN35" s="169" t="str">
        <f t="shared" si="39"/>
        <v>-</v>
      </c>
      <c r="BO35" s="169" t="str">
        <f t="shared" si="39"/>
        <v>-</v>
      </c>
      <c r="BP35" s="168">
        <f>('假日(17-19)'!$AC$97+'假日(17-19)'!$AC$116+'假日(17-19)'!$AC$135+'假日(17-19)'!$AC$154)*15</f>
        <v>0</v>
      </c>
      <c r="BQ35" s="168">
        <f>'假日(17-19)'!$AG$97+'假日(17-19)'!$AG$116+'假日(17-19)'!$AG$135+'假日(17-19)'!$AG$154</f>
        <v>0</v>
      </c>
      <c r="BR35" s="168">
        <f>'假日(17-19)'!$AI$97+'假日(17-19)'!$AI$116+'假日(17-19)'!$AI$135+'假日(17-19)'!$AI$154</f>
        <v>0</v>
      </c>
      <c r="BT35" s="165" t="str">
        <f>CONCATENATE(基本資料!$C$18,"方向","平均停等車輛延滯")</f>
        <v>B方向平均停等車輛延滯</v>
      </c>
      <c r="BU35" s="170"/>
      <c r="BV35" s="170" t="str">
        <f>IF(ISERROR(VLOOKUP($BX$86,BT21:BV33,3,1)),"-",VLOOKUP($BX$86,BT21:BV33,3,1))</f>
        <v>-</v>
      </c>
      <c r="BW35" s="165"/>
      <c r="BX35" s="165"/>
      <c r="BY35" s="165"/>
    </row>
    <row r="36" spans="2:77">
      <c r="B36" s="165" t="str">
        <f>CONCATENATE(基本資料!$E$18,"方向","平均延滯")</f>
        <v>D方向平均延滯</v>
      </c>
      <c r="C36" s="170" t="str">
        <f>IF(ISERROR(VLOOKUP($F$45,B31:C35,2,1)),"-",VLOOKUP($F$45,B31:C35,2,1))</f>
        <v>-</v>
      </c>
      <c r="D36" s="170"/>
      <c r="E36" s="165"/>
      <c r="F36" s="165"/>
      <c r="G36" s="165"/>
      <c r="I36" s="165" t="str">
        <f>CONCATENATE(基本資料!$E$18,"方向","平均延滯")</f>
        <v>D方向平均延滯</v>
      </c>
      <c r="J36" s="170" t="str">
        <f>IF(ISERROR(VLOOKUP($M$45,I31:J35,2,1)),"-",VLOOKUP($M$45,I31:J35,2,1))</f>
        <v>-</v>
      </c>
      <c r="K36" s="170"/>
      <c r="L36" s="165"/>
      <c r="M36" s="165"/>
      <c r="N36" s="165"/>
      <c r="P36" s="165" t="str">
        <f>CONCATENATE(基本資料!$E$18,"方向","平均延滯")</f>
        <v>D方向平均延滯</v>
      </c>
      <c r="Q36" s="170" t="str">
        <f>IF(ISERROR(VLOOKUP($T$45,P31:Q35,2,1)),"-",VLOOKUP($T$45,P31:Q35,2,1))</f>
        <v>-</v>
      </c>
      <c r="R36" s="170"/>
      <c r="S36" s="165"/>
      <c r="T36" s="165"/>
      <c r="U36" s="165"/>
      <c r="W36" s="165" t="str">
        <f>CONCATENATE(基本資料!$E$18,"方向","平均延滯")</f>
        <v>D方向平均延滯</v>
      </c>
      <c r="X36" s="170" t="str">
        <f>IF(ISERROR(VLOOKUP($AA$45,W31:X35,2,1)),"-",VLOOKUP($AA$45,W31:X35,2,1))</f>
        <v>-</v>
      </c>
      <c r="Y36" s="170"/>
      <c r="Z36" s="165"/>
      <c r="AA36" s="165"/>
      <c r="AB36" s="165"/>
      <c r="AD36" s="165" t="str">
        <f>CONCATENATE(基本資料!$E$18,"方向","平均延滯")</f>
        <v>D方向平均延滯</v>
      </c>
      <c r="AE36" s="170" t="str">
        <f>IF(ISERROR(VLOOKUP($AH$45,AD31:AE35,2,1)),"-",VLOOKUP($AH$45,AD31:AE35,2,1))</f>
        <v>-</v>
      </c>
      <c r="AF36" s="170"/>
      <c r="AG36" s="165"/>
      <c r="AH36" s="165"/>
      <c r="AI36" s="165"/>
      <c r="AK36" s="165" t="str">
        <f>CONCATENATE(基本資料!$E$18,"方向","平均延滯")</f>
        <v>D方向平均延滯</v>
      </c>
      <c r="AL36" s="170" t="str">
        <f>IF(ISERROR(VLOOKUP($AO$45,AK31:AL35,2,1)),"-",VLOOKUP($AO$45,AK31:AL35,2,1))</f>
        <v>-</v>
      </c>
      <c r="AM36" s="170"/>
      <c r="AN36" s="165"/>
      <c r="AO36" s="165"/>
      <c r="AP36" s="165"/>
      <c r="AR36" s="165" t="str">
        <f>CONCATENATE(基本資料!$E$18,"方向","平均延滯")</f>
        <v>D方向平均延滯</v>
      </c>
      <c r="AS36" s="170" t="str">
        <f>IF(ISERROR(VLOOKUP($AV$45,AR31:AS35,2,1)),"-",VLOOKUP($AV$45,AR31:AS35,2,1))</f>
        <v>-</v>
      </c>
      <c r="AT36" s="170"/>
      <c r="AU36" s="165"/>
      <c r="AV36" s="165"/>
      <c r="AW36" s="165"/>
      <c r="AY36" s="165" t="str">
        <f>CONCATENATE(基本資料!$E$18,"方向","平均延滯")</f>
        <v>D方向平均延滯</v>
      </c>
      <c r="AZ36" s="170" t="str">
        <f>IF(ISERROR(VLOOKUP($BC$45,AY31:AZ35,2,1)),"-",VLOOKUP($BC$45,AY31:AZ35,2,1))</f>
        <v>-</v>
      </c>
      <c r="BA36" s="170"/>
      <c r="BB36" s="165"/>
      <c r="BC36" s="165"/>
      <c r="BD36" s="165"/>
      <c r="BF36" s="165" t="str">
        <f>CONCATENATE(基本資料!$E$18,"方向","平均延滯")</f>
        <v>D方向平均延滯</v>
      </c>
      <c r="BG36" s="170" t="str">
        <f>IF(ISERROR(VLOOKUP($BJ$45,BF31:BG35,2,1)),"-",VLOOKUP($BJ$45,BF31:BG35,2,1))</f>
        <v>-</v>
      </c>
      <c r="BH36" s="170"/>
      <c r="BI36" s="165"/>
      <c r="BJ36" s="165"/>
      <c r="BK36" s="165"/>
      <c r="BM36" s="165" t="str">
        <f>CONCATENATE(基本資料!$E$18,"方向","平均延滯")</f>
        <v>D方向平均延滯</v>
      </c>
      <c r="BN36" s="170" t="str">
        <f>IF(ISERROR(VLOOKUP($BQ$45,BM31:BN35,2,1)),"-",VLOOKUP($BQ$45,BM31:BN35,2,1))</f>
        <v>-</v>
      </c>
      <c r="BO36" s="170"/>
      <c r="BP36" s="165"/>
      <c r="BQ36" s="165"/>
      <c r="BR36" s="165"/>
      <c r="BT36" s="238" t="str">
        <f>'假日(16-18)'!$S$2</f>
        <v>C方向：</v>
      </c>
      <c r="BU36" s="239"/>
      <c r="BV36" s="239"/>
      <c r="BW36" s="239"/>
      <c r="BX36" s="239"/>
      <c r="BY36" s="240"/>
    </row>
    <row r="37" spans="2:77">
      <c r="B37" s="165" t="str">
        <f>CONCATENATE(基本資料!$E$18,"方向","平均停等車輛延滯")</f>
        <v>D方向平均停等車輛延滯</v>
      </c>
      <c r="C37" s="170"/>
      <c r="D37" s="170" t="str">
        <f>IF(ISERROR(VLOOKUP($F$46,B31:D35,3,1)),"-",VLOOKUP($F$46,B31:D35,3,1))</f>
        <v>-</v>
      </c>
      <c r="E37" s="165"/>
      <c r="F37" s="165"/>
      <c r="G37" s="165"/>
      <c r="I37" s="165" t="str">
        <f>CONCATENATE(基本資料!$E$18,"方向","平均停等車輛延滯")</f>
        <v>D方向平均停等車輛延滯</v>
      </c>
      <c r="J37" s="170"/>
      <c r="K37" s="170" t="str">
        <f>IF(ISERROR(VLOOKUP($M$46,I31:K35,3,1)),"-",VLOOKUP($M$46,I31:K35,3,1))</f>
        <v>-</v>
      </c>
      <c r="L37" s="165"/>
      <c r="M37" s="165"/>
      <c r="N37" s="165"/>
      <c r="P37" s="165" t="str">
        <f>CONCATENATE(基本資料!$E$18,"方向","平均停等車輛延滯")</f>
        <v>D方向平均停等車輛延滯</v>
      </c>
      <c r="Q37" s="170"/>
      <c r="R37" s="170" t="str">
        <f>IF(ISERROR(VLOOKUP($T$46,P31:R35,3,1)),"-",VLOOKUP($T$46,P31:R35,3,1))</f>
        <v>-</v>
      </c>
      <c r="S37" s="165"/>
      <c r="T37" s="165"/>
      <c r="U37" s="165"/>
      <c r="W37" s="165" t="str">
        <f>CONCATENATE(基本資料!$E$18,"方向","平均停等車輛延滯")</f>
        <v>D方向平均停等車輛延滯</v>
      </c>
      <c r="X37" s="170"/>
      <c r="Y37" s="170" t="str">
        <f>IF(ISERROR(VLOOKUP($AA$46,W31:Y35,3,1)),"-",VLOOKUP($AA$46,W31:Y35,3,1))</f>
        <v>-</v>
      </c>
      <c r="Z37" s="165"/>
      <c r="AA37" s="165"/>
      <c r="AB37" s="165"/>
      <c r="AD37" s="165" t="str">
        <f>CONCATENATE(基本資料!$E$18,"方向","平均停等車輛延滯")</f>
        <v>D方向平均停等車輛延滯</v>
      </c>
      <c r="AE37" s="170"/>
      <c r="AF37" s="170" t="str">
        <f>IF(ISERROR(VLOOKUP($AH$46,AD31:AF35,3,1)),"-",VLOOKUP($AH$46,AD31:AF35,3,1))</f>
        <v>-</v>
      </c>
      <c r="AG37" s="165"/>
      <c r="AH37" s="165"/>
      <c r="AI37" s="165"/>
      <c r="AK37" s="165" t="str">
        <f>CONCATENATE(基本資料!$E$18,"方向","平均停等車輛延滯")</f>
        <v>D方向平均停等車輛延滯</v>
      </c>
      <c r="AL37" s="170"/>
      <c r="AM37" s="170" t="str">
        <f>IF(ISERROR(VLOOKUP($AO$46,AK31:AM35,3,1)),"-",VLOOKUP($AO$46,AK31:AM35,3,1))</f>
        <v>-</v>
      </c>
      <c r="AN37" s="165"/>
      <c r="AO37" s="165"/>
      <c r="AP37" s="165"/>
      <c r="AR37" s="165" t="str">
        <f>CONCATENATE(基本資料!$E$18,"方向","平均停等車輛延滯")</f>
        <v>D方向平均停等車輛延滯</v>
      </c>
      <c r="AS37" s="170"/>
      <c r="AT37" s="170" t="str">
        <f>IF(ISERROR(VLOOKUP($AV$46,AR31:AT35,3,1)),"-",VLOOKUP($AV$46,AR31:AT35,3,1))</f>
        <v>-</v>
      </c>
      <c r="AU37" s="165"/>
      <c r="AV37" s="165"/>
      <c r="AW37" s="165"/>
      <c r="AY37" s="165" t="str">
        <f>CONCATENATE(基本資料!$E$18,"方向","平均停等車輛延滯")</f>
        <v>D方向平均停等車輛延滯</v>
      </c>
      <c r="AZ37" s="170"/>
      <c r="BA37" s="170" t="str">
        <f>IF(ISERROR(VLOOKUP($BC$46,AY31:BA35,3,1)),"-",VLOOKUP($BC$46,AY31:BA35,3,1))</f>
        <v>-</v>
      </c>
      <c r="BB37" s="165"/>
      <c r="BC37" s="165"/>
      <c r="BD37" s="165"/>
      <c r="BF37" s="165" t="str">
        <f>CONCATENATE(基本資料!$E$18,"方向","平均停等車輛延滯")</f>
        <v>D方向平均停等車輛延滯</v>
      </c>
      <c r="BG37" s="170"/>
      <c r="BH37" s="170" t="str">
        <f>IF(ISERROR(VLOOKUP($BJ$46,BF31:BH35,3,1)),"-",VLOOKUP($BJ$46,BF31:BH35,3,1))</f>
        <v>-</v>
      </c>
      <c r="BI37" s="165"/>
      <c r="BJ37" s="165"/>
      <c r="BK37" s="165"/>
      <c r="BM37" s="165" t="str">
        <f>CONCATENATE(基本資料!$E$18,"方向","平均停等車輛延滯")</f>
        <v>D方向平均停等車輛延滯</v>
      </c>
      <c r="BN37" s="170"/>
      <c r="BO37" s="170" t="str">
        <f>IF(ISERROR(VLOOKUP($BQ$46,BM31:BO35,3,1)),"-",VLOOKUP($BQ$46,BM31:BO35,3,1))</f>
        <v>-</v>
      </c>
      <c r="BP37" s="165"/>
      <c r="BQ37" s="165"/>
      <c r="BR37" s="165"/>
      <c r="BT37" s="165" t="s">
        <v>125</v>
      </c>
      <c r="BU37" s="166" t="s">
        <v>131</v>
      </c>
      <c r="BV37" s="167" t="s">
        <v>127</v>
      </c>
      <c r="BW37" s="166" t="s">
        <v>128</v>
      </c>
      <c r="BX37" s="166" t="s">
        <v>129</v>
      </c>
      <c r="BY37" s="166" t="s">
        <v>130</v>
      </c>
    </row>
    <row r="38" spans="2:77">
      <c r="B38" s="237" t="s">
        <v>152</v>
      </c>
      <c r="C38" s="237"/>
      <c r="D38" s="237"/>
      <c r="E38" s="237"/>
      <c r="F38" s="237"/>
      <c r="G38" s="237"/>
      <c r="I38" s="237" t="s">
        <v>194</v>
      </c>
      <c r="J38" s="237"/>
      <c r="K38" s="237"/>
      <c r="L38" s="237"/>
      <c r="M38" s="237"/>
      <c r="N38" s="237"/>
      <c r="P38" s="237" t="s">
        <v>152</v>
      </c>
      <c r="Q38" s="237"/>
      <c r="R38" s="237"/>
      <c r="S38" s="237"/>
      <c r="T38" s="237"/>
      <c r="U38" s="237"/>
      <c r="W38" s="237" t="s">
        <v>152</v>
      </c>
      <c r="X38" s="237"/>
      <c r="Y38" s="237"/>
      <c r="Z38" s="237"/>
      <c r="AA38" s="237"/>
      <c r="AB38" s="237"/>
      <c r="AD38" s="237" t="s">
        <v>152</v>
      </c>
      <c r="AE38" s="237"/>
      <c r="AF38" s="237"/>
      <c r="AG38" s="237"/>
      <c r="AH38" s="237"/>
      <c r="AI38" s="237"/>
      <c r="AK38" s="237" t="s">
        <v>152</v>
      </c>
      <c r="AL38" s="237"/>
      <c r="AM38" s="237"/>
      <c r="AN38" s="237"/>
      <c r="AO38" s="237"/>
      <c r="AP38" s="237"/>
      <c r="AR38" s="237" t="s">
        <v>152</v>
      </c>
      <c r="AS38" s="237"/>
      <c r="AT38" s="237"/>
      <c r="AU38" s="237"/>
      <c r="AV38" s="237"/>
      <c r="AW38" s="237"/>
      <c r="AY38" s="237" t="s">
        <v>152</v>
      </c>
      <c r="AZ38" s="237"/>
      <c r="BA38" s="237"/>
      <c r="BB38" s="237"/>
      <c r="BC38" s="237"/>
      <c r="BD38" s="237"/>
      <c r="BF38" s="237" t="s">
        <v>152</v>
      </c>
      <c r="BG38" s="237"/>
      <c r="BH38" s="237"/>
      <c r="BI38" s="237"/>
      <c r="BJ38" s="237"/>
      <c r="BK38" s="237"/>
      <c r="BM38" s="237" t="s">
        <v>152</v>
      </c>
      <c r="BN38" s="237"/>
      <c r="BO38" s="237"/>
      <c r="BP38" s="237"/>
      <c r="BQ38" s="237"/>
      <c r="BR38" s="237"/>
      <c r="BT38" s="168" t="str">
        <f>BT21</f>
        <v>16:00~17:00</v>
      </c>
      <c r="BU38" s="169" t="str">
        <f t="shared" ref="BU38:BV44" si="40">IF(ISERROR($BW38/BX38),"-",$BW38/BX38)</f>
        <v>-</v>
      </c>
      <c r="BV38" s="169" t="str">
        <f t="shared" si="40"/>
        <v>-</v>
      </c>
      <c r="BW38" s="168">
        <f>('假日(16-20)'!$T$21+'假日(16-20)'!$T$40+'假日(16-20)'!$T$59+'假日(16-20)'!$T$78)*15</f>
        <v>0</v>
      </c>
      <c r="BX38" s="168">
        <f>'假日(16-20)'!$X$21+'假日(16-20)'!$X$40+'假日(16-20)'!$X$59+'假日(16-20)'!$X$78</f>
        <v>0</v>
      </c>
      <c r="BY38" s="168">
        <f>'假日(16-20)'!$Z$21+'假日(16-20)'!$Z$40+'假日(16-20)'!$Z$59+'假日(16-20)'!$Z$78</f>
        <v>0</v>
      </c>
    </row>
    <row r="39" spans="2:77">
      <c r="B39" s="165" t="s">
        <v>125</v>
      </c>
      <c r="C39" s="166" t="s">
        <v>131</v>
      </c>
      <c r="D39" s="167" t="s">
        <v>127</v>
      </c>
      <c r="E39" s="166" t="s">
        <v>128</v>
      </c>
      <c r="F39" s="166" t="s">
        <v>129</v>
      </c>
      <c r="G39" s="166" t="s">
        <v>130</v>
      </c>
      <c r="I39" s="165" t="s">
        <v>125</v>
      </c>
      <c r="J39" s="166" t="s">
        <v>131</v>
      </c>
      <c r="K39" s="167" t="s">
        <v>127</v>
      </c>
      <c r="L39" s="166" t="s">
        <v>128</v>
      </c>
      <c r="M39" s="166" t="s">
        <v>129</v>
      </c>
      <c r="N39" s="166" t="s">
        <v>130</v>
      </c>
      <c r="P39" s="165" t="s">
        <v>125</v>
      </c>
      <c r="Q39" s="166" t="s">
        <v>131</v>
      </c>
      <c r="R39" s="167" t="s">
        <v>127</v>
      </c>
      <c r="S39" s="166" t="s">
        <v>128</v>
      </c>
      <c r="T39" s="166" t="s">
        <v>129</v>
      </c>
      <c r="U39" s="166" t="s">
        <v>130</v>
      </c>
      <c r="W39" s="165" t="s">
        <v>125</v>
      </c>
      <c r="X39" s="166" t="s">
        <v>131</v>
      </c>
      <c r="Y39" s="167" t="s">
        <v>127</v>
      </c>
      <c r="Z39" s="166" t="s">
        <v>128</v>
      </c>
      <c r="AA39" s="166" t="s">
        <v>129</v>
      </c>
      <c r="AB39" s="166" t="s">
        <v>130</v>
      </c>
      <c r="AD39" s="165" t="s">
        <v>125</v>
      </c>
      <c r="AE39" s="166" t="s">
        <v>131</v>
      </c>
      <c r="AF39" s="167" t="s">
        <v>127</v>
      </c>
      <c r="AG39" s="166" t="s">
        <v>128</v>
      </c>
      <c r="AH39" s="166" t="s">
        <v>129</v>
      </c>
      <c r="AI39" s="166" t="s">
        <v>130</v>
      </c>
      <c r="AK39" s="165" t="s">
        <v>125</v>
      </c>
      <c r="AL39" s="166" t="s">
        <v>131</v>
      </c>
      <c r="AM39" s="167" t="s">
        <v>127</v>
      </c>
      <c r="AN39" s="166" t="s">
        <v>128</v>
      </c>
      <c r="AO39" s="166" t="s">
        <v>129</v>
      </c>
      <c r="AP39" s="166" t="s">
        <v>130</v>
      </c>
      <c r="AR39" s="165" t="s">
        <v>125</v>
      </c>
      <c r="AS39" s="166" t="s">
        <v>131</v>
      </c>
      <c r="AT39" s="167" t="s">
        <v>127</v>
      </c>
      <c r="AU39" s="166" t="s">
        <v>128</v>
      </c>
      <c r="AV39" s="166" t="s">
        <v>129</v>
      </c>
      <c r="AW39" s="166" t="s">
        <v>130</v>
      </c>
      <c r="AY39" s="165" t="s">
        <v>125</v>
      </c>
      <c r="AZ39" s="166" t="s">
        <v>131</v>
      </c>
      <c r="BA39" s="167" t="s">
        <v>127</v>
      </c>
      <c r="BB39" s="166" t="s">
        <v>128</v>
      </c>
      <c r="BC39" s="166" t="s">
        <v>129</v>
      </c>
      <c r="BD39" s="166" t="s">
        <v>130</v>
      </c>
      <c r="BF39" s="165" t="s">
        <v>125</v>
      </c>
      <c r="BG39" s="166" t="s">
        <v>131</v>
      </c>
      <c r="BH39" s="167" t="s">
        <v>127</v>
      </c>
      <c r="BI39" s="166" t="s">
        <v>128</v>
      </c>
      <c r="BJ39" s="166" t="s">
        <v>129</v>
      </c>
      <c r="BK39" s="166" t="s">
        <v>130</v>
      </c>
      <c r="BM39" s="165" t="s">
        <v>125</v>
      </c>
      <c r="BN39" s="166" t="s">
        <v>131</v>
      </c>
      <c r="BO39" s="167" t="s">
        <v>127</v>
      </c>
      <c r="BP39" s="166" t="s">
        <v>128</v>
      </c>
      <c r="BQ39" s="166" t="s">
        <v>129</v>
      </c>
      <c r="BR39" s="166" t="s">
        <v>130</v>
      </c>
      <c r="BT39" s="168" t="str">
        <f>BT22</f>
        <v>16:15~17:15</v>
      </c>
      <c r="BU39" s="169" t="str">
        <f t="shared" si="40"/>
        <v>-</v>
      </c>
      <c r="BV39" s="169" t="str">
        <f t="shared" si="40"/>
        <v>-</v>
      </c>
      <c r="BW39" s="168">
        <f>('假日(16-20)'!$T$40+'假日(16-20)'!$T$59+'假日(16-20)'!$T$78+'假日(16-20)'!$T$97)*15</f>
        <v>0</v>
      </c>
      <c r="BX39" s="168">
        <f>'假日(16-20)'!$X$40+'假日(16-20)'!$X$59+'假日(16-20)'!$X$78+'假日(16-20)'!$X$97</f>
        <v>0</v>
      </c>
      <c r="BY39" s="168">
        <f>'假日(16-20)'!$Z$40+'假日(16-20)'!$Z$59+'假日(16-20)'!$Z$78+'假日(16-20)'!$Z$97</f>
        <v>0</v>
      </c>
    </row>
    <row r="40" spans="2:77">
      <c r="B40" s="168" t="s">
        <v>189</v>
      </c>
      <c r="C40" s="169" t="str">
        <f>IF(ISERROR($E40/F40),"-",$E40/F40)</f>
        <v>-</v>
      </c>
      <c r="D40" s="169" t="str">
        <f t="shared" ref="C40:D44" si="41">IF(ISERROR($E40/G40),"-",$E40/G40)</f>
        <v>-</v>
      </c>
      <c r="E40" s="168">
        <f>E4+E13+E22+E31</f>
        <v>0</v>
      </c>
      <c r="F40" s="168">
        <f>F4+F13+F22+F31</f>
        <v>0</v>
      </c>
      <c r="G40" s="168">
        <f>G4+G13+G22+G31</f>
        <v>0</v>
      </c>
      <c r="I40" s="168" t="str">
        <f>$I$4</f>
        <v>07:00~08:00</v>
      </c>
      <c r="J40" s="169" t="str">
        <f t="shared" ref="J40:K44" si="42">IF(ISERROR($L40/M40),"-",$L40/M40)</f>
        <v>-</v>
      </c>
      <c r="K40" s="169" t="str">
        <f t="shared" si="42"/>
        <v>-</v>
      </c>
      <c r="L40" s="168">
        <f>L4+L13+L22+L31</f>
        <v>0</v>
      </c>
      <c r="M40" s="168">
        <f>M4+M13+M22+M31</f>
        <v>0</v>
      </c>
      <c r="N40" s="168">
        <f>N4+N13+N22+N31</f>
        <v>0</v>
      </c>
      <c r="P40" s="168" t="str">
        <f>P31</f>
        <v>11:00~12:00</v>
      </c>
      <c r="Q40" s="169" t="str">
        <f>IF(ISERROR($S40/T40),"-",$S40/T40)</f>
        <v>-</v>
      </c>
      <c r="R40" s="169" t="str">
        <f>IF(ISERROR($T40/U40),"-",$T40/U40)</f>
        <v>-</v>
      </c>
      <c r="S40" s="168">
        <f>S4+S13+S22+S31</f>
        <v>0</v>
      </c>
      <c r="T40" s="168">
        <f>T4+T13+T22+T31</f>
        <v>0</v>
      </c>
      <c r="U40" s="168">
        <f>U4+U13+U22+U31</f>
        <v>0</v>
      </c>
      <c r="W40" s="168" t="str">
        <f>W31</f>
        <v>1200~13:00</v>
      </c>
      <c r="X40" s="169" t="str">
        <f t="shared" ref="X40:Y44" si="43">IF(ISERROR($Z40/AA40),"-",$Z40/AA40)</f>
        <v>-</v>
      </c>
      <c r="Y40" s="169" t="str">
        <f t="shared" si="43"/>
        <v>-</v>
      </c>
      <c r="Z40" s="168">
        <f>Z4+Z13+Z22+Z31</f>
        <v>0</v>
      </c>
      <c r="AA40" s="168">
        <f>AA4+AA13+AA22+AA31</f>
        <v>0</v>
      </c>
      <c r="AB40" s="168">
        <f>AB4+AB13+AB22+AB31</f>
        <v>0</v>
      </c>
      <c r="AD40" s="168" t="str">
        <f>$AD$4</f>
        <v>17:00~18:00</v>
      </c>
      <c r="AE40" s="169" t="str">
        <f t="shared" ref="AE40:AF44" si="44">IF(ISERROR($AG40/AH40),"-",$AG40/AH40)</f>
        <v>-</v>
      </c>
      <c r="AF40" s="169" t="str">
        <f t="shared" si="44"/>
        <v>-</v>
      </c>
      <c r="AG40" s="168">
        <f>AG4+AG13+AG22+AG31</f>
        <v>0</v>
      </c>
      <c r="AH40" s="168">
        <f>AH4+AH13+AH22+AH31</f>
        <v>0</v>
      </c>
      <c r="AI40" s="168">
        <f>AI4+AI13+AI22+AI31</f>
        <v>0</v>
      </c>
      <c r="AK40" s="168" t="str">
        <f>$AK$4</f>
        <v>11:00~12:00</v>
      </c>
      <c r="AL40" s="169" t="str">
        <f t="shared" ref="AL40:AM44" si="45">IF(ISERROR($AN40/AO40),"-",$AN40/AO40)</f>
        <v>-</v>
      </c>
      <c r="AM40" s="169" t="str">
        <f t="shared" si="45"/>
        <v>-</v>
      </c>
      <c r="AN40" s="168">
        <f>AN4+AN13+AN22+AN31</f>
        <v>0</v>
      </c>
      <c r="AO40" s="168">
        <f>AO4+AO13+AO22+AO31</f>
        <v>0</v>
      </c>
      <c r="AP40" s="168">
        <f>AP4+AP13+AP22+AP31</f>
        <v>0</v>
      </c>
      <c r="AR40" s="168" t="str">
        <f>$AR$4</f>
        <v>14:30~15:30</v>
      </c>
      <c r="AS40" s="169" t="str">
        <f t="shared" ref="AS40:AT43" si="46">IF(ISERROR($AU40/AV40),"-",$AU40/AV40)</f>
        <v>-</v>
      </c>
      <c r="AT40" s="169" t="str">
        <f t="shared" si="46"/>
        <v>-</v>
      </c>
      <c r="AU40" s="168">
        <f>AU4+AU13+AU22+AU31</f>
        <v>0</v>
      </c>
      <c r="AV40" s="168">
        <f>AV4+AV13+AV22+AV31</f>
        <v>0</v>
      </c>
      <c r="AW40" s="168">
        <f>AW4+AW13+AW22+AW31</f>
        <v>0</v>
      </c>
      <c r="AY40" s="168" t="str">
        <f>AY31</f>
        <v>17:30~18:30</v>
      </c>
      <c r="AZ40" s="169" t="str">
        <f t="shared" ref="AZ40:BA44" si="47">IF(ISERROR($BB40/BC40),"-",$BB40/BC40)</f>
        <v>-</v>
      </c>
      <c r="BA40" s="169" t="str">
        <f t="shared" si="47"/>
        <v>-</v>
      </c>
      <c r="BB40" s="168">
        <f>BB4+BB13+BB22+BB31</f>
        <v>0</v>
      </c>
      <c r="BC40" s="168">
        <f>BC4+BC13+BC22+BC31</f>
        <v>0</v>
      </c>
      <c r="BD40" s="168">
        <f>BD4+BD13+BD22+BD31</f>
        <v>0</v>
      </c>
      <c r="BF40" s="168" t="str">
        <f>BF31</f>
        <v>16:00~17:00</v>
      </c>
      <c r="BG40" s="169" t="str">
        <f t="shared" ref="BG40:BH44" si="48">IF(ISERROR($BI40/BJ40),"-",$BI40/BJ40)</f>
        <v>-</v>
      </c>
      <c r="BH40" s="169" t="str">
        <f t="shared" si="48"/>
        <v>-</v>
      </c>
      <c r="BI40" s="168">
        <f>BI4+BI13+BI22+BI31</f>
        <v>0</v>
      </c>
      <c r="BJ40" s="168">
        <f>BJ4+BJ13+BJ22+BJ31</f>
        <v>0</v>
      </c>
      <c r="BK40" s="168">
        <f>BK4+BK13+BK22+BK31</f>
        <v>0</v>
      </c>
      <c r="BM40" s="168" t="str">
        <f>BM31</f>
        <v>17:00~18:00</v>
      </c>
      <c r="BN40" s="169" t="str">
        <f t="shared" ref="BN40:BO43" si="49">IF(ISERROR($BP40/BQ40),"-",$BP40/BQ40)</f>
        <v>-</v>
      </c>
      <c r="BO40" s="169" t="str">
        <f t="shared" si="49"/>
        <v>-</v>
      </c>
      <c r="BP40" s="168">
        <f>BP4+BP13+BP22+BP31</f>
        <v>0</v>
      </c>
      <c r="BQ40" s="168">
        <f>BQ4+BQ13+BQ22+BQ31</f>
        <v>0</v>
      </c>
      <c r="BR40" s="168">
        <f>BR4+BR13+BR22+BR31</f>
        <v>0</v>
      </c>
      <c r="BT40" s="168" t="str">
        <f>BT23</f>
        <v>16:30~17:30</v>
      </c>
      <c r="BU40" s="169" t="str">
        <f t="shared" si="40"/>
        <v>-</v>
      </c>
      <c r="BV40" s="169" t="str">
        <f t="shared" si="40"/>
        <v>-</v>
      </c>
      <c r="BW40" s="168">
        <f>('假日(16-20)'!$T$59+'假日(16-20)'!$T$78+'假日(16-20)'!$T$97+'假日(16-20)'!$T$116)*15</f>
        <v>0</v>
      </c>
      <c r="BX40" s="168">
        <f>'假日(16-20)'!$X$59+'假日(16-20)'!$X$78+'假日(16-20)'!$X$97+'假日(16-20)'!$X$116</f>
        <v>0</v>
      </c>
      <c r="BY40" s="168">
        <f>'假日(16-20)'!$Z$59+'假日(16-20)'!$Z$78+'假日(16-20)'!$Z$97+'假日(16-20)'!$Z$116</f>
        <v>0</v>
      </c>
    </row>
    <row r="41" spans="2:77">
      <c r="B41" s="168" t="s">
        <v>190</v>
      </c>
      <c r="C41" s="169" t="str">
        <f>IF(ISERROR($E41/F41),"-",$E41/F41)</f>
        <v>-</v>
      </c>
      <c r="D41" s="169" t="str">
        <f t="shared" si="41"/>
        <v>-</v>
      </c>
      <c r="E41" s="168">
        <f>E5+E14+E23+E32</f>
        <v>0</v>
      </c>
      <c r="F41" s="168">
        <f>F5+F14+F23+F32</f>
        <v>0</v>
      </c>
      <c r="G41" s="168">
        <f>G5+G14+G23+G32</f>
        <v>0</v>
      </c>
      <c r="I41" s="168" t="str">
        <f>$I$5</f>
        <v>07:15~08:15</v>
      </c>
      <c r="J41" s="169" t="str">
        <f t="shared" si="42"/>
        <v>-</v>
      </c>
      <c r="K41" s="169" t="str">
        <f t="shared" si="42"/>
        <v>-</v>
      </c>
      <c r="L41" s="168">
        <f>L5+L14+L23+L32</f>
        <v>0</v>
      </c>
      <c r="M41" s="168">
        <f>M5+M14+M23+M32</f>
        <v>0</v>
      </c>
      <c r="N41" s="168">
        <f>N5+N14+N23+N32</f>
        <v>0</v>
      </c>
      <c r="P41" s="168" t="str">
        <f>P32</f>
        <v>11:15~12:15</v>
      </c>
      <c r="Q41" s="169" t="str">
        <f>IF(ISERROR($S41/T41),"-",$S41/T41)</f>
        <v>-</v>
      </c>
      <c r="R41" s="169" t="str">
        <f>IF(ISERROR($T41/U41),"-",$T41/U41)</f>
        <v>-</v>
      </c>
      <c r="S41" s="168">
        <f>S5+S14+S23+S32</f>
        <v>0</v>
      </c>
      <c r="T41" s="168">
        <f>T5+T14+T23+T32</f>
        <v>0</v>
      </c>
      <c r="U41" s="168">
        <f>U5+U14+U23+U32</f>
        <v>0</v>
      </c>
      <c r="W41" s="168" t="str">
        <f>W32</f>
        <v>12:15~13:15</v>
      </c>
      <c r="X41" s="169" t="str">
        <f t="shared" si="43"/>
        <v>-</v>
      </c>
      <c r="Y41" s="169" t="str">
        <f t="shared" si="43"/>
        <v>-</v>
      </c>
      <c r="Z41" s="168">
        <f>Z5+Z14+Z23+Z32</f>
        <v>0</v>
      </c>
      <c r="AA41" s="168">
        <f>AA5+AA14+AA23+AA32</f>
        <v>0</v>
      </c>
      <c r="AB41" s="168">
        <f>AB5+AB14+AB23+AB32</f>
        <v>0</v>
      </c>
      <c r="AD41" s="168" t="str">
        <f>$AD$5</f>
        <v>17:15~18:15</v>
      </c>
      <c r="AE41" s="169" t="str">
        <f t="shared" si="44"/>
        <v>-</v>
      </c>
      <c r="AF41" s="169" t="str">
        <f t="shared" si="44"/>
        <v>-</v>
      </c>
      <c r="AG41" s="168">
        <f>AG5+AG14+AG23+AG32</f>
        <v>0</v>
      </c>
      <c r="AH41" s="168">
        <f>AH5+AH14+AH23+AH32</f>
        <v>0</v>
      </c>
      <c r="AI41" s="168">
        <f>AI5+AI14+AI23+AI32</f>
        <v>0</v>
      </c>
      <c r="AK41" s="168">
        <f>$AK$5</f>
        <v>0</v>
      </c>
      <c r="AL41" s="169" t="str">
        <f t="shared" si="45"/>
        <v>-</v>
      </c>
      <c r="AM41" s="169" t="str">
        <f t="shared" si="45"/>
        <v>-</v>
      </c>
      <c r="AN41" s="168">
        <f>AN5+AN14+AN23+AN32</f>
        <v>0</v>
      </c>
      <c r="AO41" s="168">
        <f>AO5+AO14+AO23+AO32</f>
        <v>0</v>
      </c>
      <c r="AP41" s="168">
        <f>AP5+AP14+AP23+AP32</f>
        <v>0</v>
      </c>
      <c r="AR41" s="168">
        <f>$AR$5</f>
        <v>0</v>
      </c>
      <c r="AS41" s="169" t="str">
        <f t="shared" si="46"/>
        <v>-</v>
      </c>
      <c r="AT41" s="169" t="str">
        <f t="shared" si="46"/>
        <v>-</v>
      </c>
      <c r="AU41" s="168">
        <f>AU5+AU14+AU23+AU32</f>
        <v>0</v>
      </c>
      <c r="AV41" s="168">
        <f>AV5+AV14+AV23+AV32</f>
        <v>0</v>
      </c>
      <c r="AW41" s="168">
        <f>AW5+AW14+AW23+AW32</f>
        <v>0</v>
      </c>
      <c r="AY41" s="168">
        <f>AY32</f>
        <v>0</v>
      </c>
      <c r="AZ41" s="169" t="str">
        <f t="shared" si="47"/>
        <v>-</v>
      </c>
      <c r="BA41" s="169" t="str">
        <f t="shared" si="47"/>
        <v>-</v>
      </c>
      <c r="BB41" s="168">
        <f>BB5+BB14+BB23+BB32</f>
        <v>0</v>
      </c>
      <c r="BC41" s="168">
        <f>BC5+BC14+BC23+BC32</f>
        <v>0</v>
      </c>
      <c r="BD41" s="168">
        <f>BD5+BD14+BD23+BD32</f>
        <v>0</v>
      </c>
      <c r="BF41" s="168" t="str">
        <f>BF32</f>
        <v>16:15~17:15</v>
      </c>
      <c r="BG41" s="169" t="str">
        <f t="shared" si="48"/>
        <v>-</v>
      </c>
      <c r="BH41" s="169" t="str">
        <f t="shared" si="48"/>
        <v>-</v>
      </c>
      <c r="BI41" s="168">
        <f>BI5+BI14+BI23+BI32</f>
        <v>0</v>
      </c>
      <c r="BJ41" s="168">
        <f>BJ5+BJ14+BJ23+BJ32</f>
        <v>0</v>
      </c>
      <c r="BK41" s="168">
        <f>BK5+BK14+BK23+BK32</f>
        <v>0</v>
      </c>
      <c r="BM41" s="168" t="str">
        <f>BM32</f>
        <v>17:15~18:15</v>
      </c>
      <c r="BN41" s="169" t="str">
        <f t="shared" si="49"/>
        <v>-</v>
      </c>
      <c r="BO41" s="169" t="str">
        <f t="shared" si="49"/>
        <v>-</v>
      </c>
      <c r="BP41" s="168">
        <f>BP5+BP14+BP23+BP32</f>
        <v>0</v>
      </c>
      <c r="BQ41" s="168">
        <f>BQ5+BQ14+BQ23+BQ32</f>
        <v>0</v>
      </c>
      <c r="BR41" s="168">
        <f>BR5+BR14+BR23+BR32</f>
        <v>0</v>
      </c>
      <c r="BT41" s="168" t="str">
        <f>BT24</f>
        <v>16:45~17:45</v>
      </c>
      <c r="BU41" s="169" t="str">
        <f t="shared" si="40"/>
        <v>-</v>
      </c>
      <c r="BV41" s="169" t="str">
        <f t="shared" si="40"/>
        <v>-</v>
      </c>
      <c r="BW41" s="168">
        <f>('假日(16-20)'!$T$78+'假日(16-20)'!$T$97+'假日(16-20)'!$T$116+'假日(16-20)'!$T$135)*15</f>
        <v>0</v>
      </c>
      <c r="BX41" s="168">
        <f>'假日(16-20)'!$X$78+'假日(16-20)'!$X$97+'假日(16-20)'!$X$116+'假日(16-20)'!$X$135</f>
        <v>0</v>
      </c>
      <c r="BY41" s="168">
        <f>'假日(16-20)'!$Z$78+'假日(16-20)'!$Z$97+'假日(16-20)'!$Z$116+'假日(16-20)'!$Z$135</f>
        <v>0</v>
      </c>
    </row>
    <row r="42" spans="2:77">
      <c r="B42" s="168" t="s">
        <v>191</v>
      </c>
      <c r="C42" s="169" t="str">
        <f>IF(ISERROR($E42/F42),"-",$E42/F42)</f>
        <v>-</v>
      </c>
      <c r="D42" s="169" t="str">
        <f t="shared" si="41"/>
        <v>-</v>
      </c>
      <c r="E42" s="168">
        <f>E6+E15+E24+E33</f>
        <v>0</v>
      </c>
      <c r="F42" s="168">
        <f>F6+F15+F24+F33</f>
        <v>0</v>
      </c>
      <c r="G42" s="168">
        <f>G6+G15+G24+G33</f>
        <v>0</v>
      </c>
      <c r="I42" s="168" t="str">
        <f>$I$6</f>
        <v>07:30~08:30</v>
      </c>
      <c r="J42" s="169" t="str">
        <f t="shared" si="42"/>
        <v>-</v>
      </c>
      <c r="K42" s="169" t="str">
        <f t="shared" si="42"/>
        <v>-</v>
      </c>
      <c r="L42" s="168">
        <f>L6+L15+L24+L33</f>
        <v>0</v>
      </c>
      <c r="M42" s="168">
        <f>M6+M15+M24+M33</f>
        <v>0</v>
      </c>
      <c r="N42" s="168">
        <f>N6+N15+N24+N33</f>
        <v>0</v>
      </c>
      <c r="P42" s="168" t="str">
        <f>P33</f>
        <v>11:30~12:30</v>
      </c>
      <c r="Q42" s="169" t="str">
        <f>IF(ISERROR($S42/T42),"-",$S42/T42)</f>
        <v>-</v>
      </c>
      <c r="R42" s="169" t="str">
        <f>IF(ISERROR($T42/U42),"-",$T42/U42)</f>
        <v>-</v>
      </c>
      <c r="S42" s="168">
        <f>S6+S15+S24+S33</f>
        <v>0</v>
      </c>
      <c r="T42" s="168">
        <f>T6+T15+T24+T33</f>
        <v>0</v>
      </c>
      <c r="U42" s="168">
        <f>U6+U15+U24+U33</f>
        <v>0</v>
      </c>
      <c r="W42" s="168" t="str">
        <f>W33</f>
        <v>12:30~13:30</v>
      </c>
      <c r="X42" s="169" t="str">
        <f t="shared" si="43"/>
        <v>-</v>
      </c>
      <c r="Y42" s="169" t="str">
        <f t="shared" si="43"/>
        <v>-</v>
      </c>
      <c r="Z42" s="168">
        <f>Z6+Z15+Z24+Z33</f>
        <v>0</v>
      </c>
      <c r="AA42" s="168">
        <f>AA6+AA15+AA24+AA33</f>
        <v>0</v>
      </c>
      <c r="AB42" s="168">
        <f>AB6+AB15+AB24+AB33</f>
        <v>0</v>
      </c>
      <c r="AD42" s="168" t="str">
        <f>$AD$6</f>
        <v>17:30~18:30</v>
      </c>
      <c r="AE42" s="169" t="str">
        <f t="shared" si="44"/>
        <v>-</v>
      </c>
      <c r="AF42" s="169" t="str">
        <f t="shared" si="44"/>
        <v>-</v>
      </c>
      <c r="AG42" s="168">
        <f>AG6+AG15+AG24+AG33</f>
        <v>0</v>
      </c>
      <c r="AH42" s="168">
        <f>AH6+AH15+AH24+AH33</f>
        <v>0</v>
      </c>
      <c r="AI42" s="168">
        <f>AI6+AI15+AI24+AI33</f>
        <v>0</v>
      </c>
      <c r="AK42" s="168">
        <f>$AK$6</f>
        <v>0</v>
      </c>
      <c r="AL42" s="169" t="str">
        <f t="shared" si="45"/>
        <v>-</v>
      </c>
      <c r="AM42" s="169" t="str">
        <f t="shared" si="45"/>
        <v>-</v>
      </c>
      <c r="AN42" s="168">
        <f>AN6+AN15+AN24+AN33</f>
        <v>0</v>
      </c>
      <c r="AO42" s="168">
        <f>AO6+AO15+AO24+AO33</f>
        <v>0</v>
      </c>
      <c r="AP42" s="168">
        <f>AP6+AP15+AP24+AP33</f>
        <v>0</v>
      </c>
      <c r="AR42" s="168">
        <f>$AR$6</f>
        <v>0</v>
      </c>
      <c r="AS42" s="169" t="str">
        <f t="shared" si="46"/>
        <v>-</v>
      </c>
      <c r="AT42" s="169" t="str">
        <f t="shared" si="46"/>
        <v>-</v>
      </c>
      <c r="AU42" s="168">
        <f>AU6+AU15+AU24+AU33</f>
        <v>0</v>
      </c>
      <c r="AV42" s="168">
        <f>AV6+AV15+AV24+AV33</f>
        <v>0</v>
      </c>
      <c r="AW42" s="168">
        <f>AW6+AW15+AW24+AW33</f>
        <v>0</v>
      </c>
      <c r="AY42" s="168">
        <f>AY33</f>
        <v>0</v>
      </c>
      <c r="AZ42" s="169" t="str">
        <f t="shared" si="47"/>
        <v>-</v>
      </c>
      <c r="BA42" s="169" t="str">
        <f t="shared" si="47"/>
        <v>-</v>
      </c>
      <c r="BB42" s="168">
        <f>BB6+BB15+BB24+BB33</f>
        <v>0</v>
      </c>
      <c r="BC42" s="168">
        <f>BC6+BC15+BC24+BC33</f>
        <v>0</v>
      </c>
      <c r="BD42" s="168">
        <f>BD6+BD15+BD24+BD33</f>
        <v>0</v>
      </c>
      <c r="BF42" s="168" t="str">
        <f>BF33</f>
        <v>16:30~17:30</v>
      </c>
      <c r="BG42" s="169" t="str">
        <f t="shared" si="48"/>
        <v>-</v>
      </c>
      <c r="BH42" s="169" t="str">
        <f t="shared" si="48"/>
        <v>-</v>
      </c>
      <c r="BI42" s="168">
        <f>BI6+BI15+BI24+BI33</f>
        <v>0</v>
      </c>
      <c r="BJ42" s="168">
        <f>BJ6+BJ15+BJ24+BJ33</f>
        <v>0</v>
      </c>
      <c r="BK42" s="168">
        <f>BK6+BK15+BK24+BK33</f>
        <v>0</v>
      </c>
      <c r="BM42" s="168" t="str">
        <f>BM33</f>
        <v>17:30~18:30</v>
      </c>
      <c r="BN42" s="169" t="str">
        <f t="shared" si="49"/>
        <v>-</v>
      </c>
      <c r="BO42" s="169" t="str">
        <f t="shared" si="49"/>
        <v>-</v>
      </c>
      <c r="BP42" s="168">
        <f>BP6+BP15+BP24+BP33</f>
        <v>0</v>
      </c>
      <c r="BQ42" s="168">
        <f>BQ6+BQ15+BQ24+BQ33</f>
        <v>0</v>
      </c>
      <c r="BR42" s="168">
        <f>BR6+BR15+BR24+BR33</f>
        <v>0</v>
      </c>
      <c r="BT42" s="168" t="str">
        <f>BT25</f>
        <v>17:00~18:00</v>
      </c>
      <c r="BU42" s="169" t="str">
        <f t="shared" si="40"/>
        <v>-</v>
      </c>
      <c r="BV42" s="169" t="str">
        <f t="shared" si="40"/>
        <v>-</v>
      </c>
      <c r="BW42" s="168">
        <f>('假日(16-20)'!$T$97+'假日(16-20)'!$T$116+'假日(16-20)'!$T$135+'假日(16-20)'!$T$154)*15</f>
        <v>0</v>
      </c>
      <c r="BX42" s="168">
        <f>'假日(16-20)'!$X$97+'假日(16-20)'!$X$116+'假日(16-20)'!$X$135+'假日(16-20)'!$X$154</f>
        <v>0</v>
      </c>
      <c r="BY42" s="168">
        <f>'假日(16-20)'!$Z$97+'假日(16-20)'!$Z$116+'假日(16-20)'!$Z$135+'假日(16-20)'!$Z$154</f>
        <v>0</v>
      </c>
    </row>
    <row r="43" spans="2:77">
      <c r="B43" s="168" t="s">
        <v>192</v>
      </c>
      <c r="C43" s="169" t="str">
        <f>IF(ISERROR($E43/F43),"-",$E43/F43)</f>
        <v>-</v>
      </c>
      <c r="D43" s="169" t="str">
        <f t="shared" si="41"/>
        <v>-</v>
      </c>
      <c r="E43" s="168">
        <f>E7+E16+E25+E34</f>
        <v>0</v>
      </c>
      <c r="F43" s="168">
        <f>F7+F16+F25+F34</f>
        <v>0</v>
      </c>
      <c r="G43" s="168">
        <f>G7+G16+G25+G34</f>
        <v>0</v>
      </c>
      <c r="I43" s="168" t="str">
        <f>$I$7</f>
        <v>07:45~08:45</v>
      </c>
      <c r="J43" s="169" t="str">
        <f t="shared" si="42"/>
        <v>-</v>
      </c>
      <c r="K43" s="169" t="str">
        <f t="shared" si="42"/>
        <v>-</v>
      </c>
      <c r="L43" s="168">
        <f>L7+L16+L25+L34</f>
        <v>0</v>
      </c>
      <c r="M43" s="168">
        <f>M7+M16+M25+M34</f>
        <v>0</v>
      </c>
      <c r="N43" s="168">
        <f>N7+N16+N25+N34</f>
        <v>0</v>
      </c>
      <c r="P43" s="168" t="str">
        <f>P34</f>
        <v>11:45~12:45</v>
      </c>
      <c r="Q43" s="169" t="str">
        <f>IF(ISERROR($S43/T43),"-",$S43/T43)</f>
        <v>-</v>
      </c>
      <c r="R43" s="169" t="str">
        <f>IF(ISERROR($T43/U43),"-",$T43/U43)</f>
        <v>-</v>
      </c>
      <c r="S43" s="168">
        <f>S7+S16+S25+S34</f>
        <v>0</v>
      </c>
      <c r="T43" s="168">
        <f>T7+T16+T25+T34</f>
        <v>0</v>
      </c>
      <c r="U43" s="168">
        <f>U7+U16+U25+U34</f>
        <v>0</v>
      </c>
      <c r="W43" s="168" t="str">
        <f>W34</f>
        <v>12:45~13:45</v>
      </c>
      <c r="X43" s="169" t="str">
        <f t="shared" si="43"/>
        <v>-</v>
      </c>
      <c r="Y43" s="169" t="str">
        <f t="shared" si="43"/>
        <v>-</v>
      </c>
      <c r="Z43" s="168">
        <f>Z7+Z16+Z25+Z34</f>
        <v>0</v>
      </c>
      <c r="AA43" s="168">
        <f>AA7+AA16+AA25+AA34</f>
        <v>0</v>
      </c>
      <c r="AB43" s="168">
        <f>AB7+AB16+AB25+AB34</f>
        <v>0</v>
      </c>
      <c r="AD43" s="168" t="str">
        <f>$AD$7</f>
        <v>17:45~18:45</v>
      </c>
      <c r="AE43" s="169" t="str">
        <f t="shared" si="44"/>
        <v>-</v>
      </c>
      <c r="AF43" s="169" t="str">
        <f t="shared" si="44"/>
        <v>-</v>
      </c>
      <c r="AG43" s="168">
        <f>AG7+AG16+AG25+AG34</f>
        <v>0</v>
      </c>
      <c r="AH43" s="168">
        <f>AH7+AH16+AH25+AH34</f>
        <v>0</v>
      </c>
      <c r="AI43" s="168">
        <f>AI7+AI16+AI25+AI34</f>
        <v>0</v>
      </c>
      <c r="AK43" s="168">
        <f>$AK$7</f>
        <v>0</v>
      </c>
      <c r="AL43" s="169" t="str">
        <f t="shared" si="45"/>
        <v>-</v>
      </c>
      <c r="AM43" s="169" t="str">
        <f t="shared" si="45"/>
        <v>-</v>
      </c>
      <c r="AN43" s="168">
        <f>AN7+AN16+AN25+AN34</f>
        <v>0</v>
      </c>
      <c r="AO43" s="168">
        <f>AO7+AO16+AO25+AO34</f>
        <v>0</v>
      </c>
      <c r="AP43" s="168">
        <f>AP7+AP16+AP25+AP34</f>
        <v>0</v>
      </c>
      <c r="AR43" s="168">
        <f>$AR$7</f>
        <v>0</v>
      </c>
      <c r="AS43" s="169" t="str">
        <f t="shared" si="46"/>
        <v>-</v>
      </c>
      <c r="AT43" s="169" t="str">
        <f t="shared" si="46"/>
        <v>-</v>
      </c>
      <c r="AU43" s="168">
        <f>AU7+AU16+AU25+AU34</f>
        <v>0</v>
      </c>
      <c r="AV43" s="168">
        <f>AV7+AV16+AV25+AV34</f>
        <v>0</v>
      </c>
      <c r="AW43" s="168">
        <f>AW7+AW16+AW25+AW34</f>
        <v>0</v>
      </c>
      <c r="AY43" s="168">
        <f>AY34</f>
        <v>0</v>
      </c>
      <c r="AZ43" s="169" t="str">
        <f t="shared" si="47"/>
        <v>-</v>
      </c>
      <c r="BA43" s="169" t="str">
        <f t="shared" si="47"/>
        <v>-</v>
      </c>
      <c r="BB43" s="168">
        <f>BB7+BB16+BB25+BB34</f>
        <v>0</v>
      </c>
      <c r="BC43" s="168">
        <f>BC7+BC16+BC25+BC34</f>
        <v>0</v>
      </c>
      <c r="BD43" s="168">
        <f>BD7+BD16+BD25+BD34</f>
        <v>0</v>
      </c>
      <c r="BF43" s="168" t="str">
        <f>BF34</f>
        <v>16:45~17:45</v>
      </c>
      <c r="BG43" s="169" t="str">
        <f t="shared" si="48"/>
        <v>-</v>
      </c>
      <c r="BH43" s="169" t="str">
        <f t="shared" si="48"/>
        <v>-</v>
      </c>
      <c r="BI43" s="168">
        <f>BI7+BI16+BI25+BI34</f>
        <v>0</v>
      </c>
      <c r="BJ43" s="168">
        <f>BJ7+BJ16+BJ25+BJ34</f>
        <v>0</v>
      </c>
      <c r="BK43" s="168">
        <f>BK7+BK16+BK25+BK34</f>
        <v>0</v>
      </c>
      <c r="BM43" s="168" t="str">
        <f>BM34</f>
        <v>17:45~18:45</v>
      </c>
      <c r="BN43" s="169" t="str">
        <f t="shared" si="49"/>
        <v>-</v>
      </c>
      <c r="BO43" s="169" t="str">
        <f t="shared" si="49"/>
        <v>-</v>
      </c>
      <c r="BP43" s="168">
        <f>BP7+BP16+BP25+BP34</f>
        <v>0</v>
      </c>
      <c r="BQ43" s="168">
        <f>BQ7+BQ16+BQ25+BQ34</f>
        <v>0</v>
      </c>
      <c r="BR43" s="168">
        <f>BR7+BR16+BR25+BR34</f>
        <v>0</v>
      </c>
      <c r="BT43" s="168" t="s">
        <v>140</v>
      </c>
      <c r="BU43" s="169" t="str">
        <f t="shared" si="40"/>
        <v>-</v>
      </c>
      <c r="BV43" s="169" t="str">
        <f t="shared" si="40"/>
        <v>-</v>
      </c>
      <c r="BW43" s="168">
        <f>('假日(16-20)'!$T$116+'假日(16-20)'!$T$135+'假日(16-20)'!$T$154+'假日(16-20)'!$T$173)*15</f>
        <v>0</v>
      </c>
      <c r="BX43" s="168">
        <f>'假日(16-20)'!$X$116+'假日(16-20)'!$X$135+'假日(16-20)'!$X$154+'假日(16-20)'!$X$173</f>
        <v>0</v>
      </c>
      <c r="BY43" s="168">
        <f>'假日(16-20)'!$Z$116+'假日(16-20)'!$Z$135+'假日(16-20)'!$Z$154+'假日(16-20)'!$Z$173</f>
        <v>0</v>
      </c>
    </row>
    <row r="44" spans="2:77">
      <c r="B44" s="168" t="s">
        <v>193</v>
      </c>
      <c r="C44" s="169" t="str">
        <f t="shared" si="41"/>
        <v>-</v>
      </c>
      <c r="D44" s="169" t="str">
        <f>IF(ISERROR($E44/G44),"-",$E44/G44)</f>
        <v>-</v>
      </c>
      <c r="E44" s="168">
        <f>E8+E17+E26+E35</f>
        <v>0</v>
      </c>
      <c r="F44" s="168">
        <f>F8+F17+F26+F35</f>
        <v>0</v>
      </c>
      <c r="G44" s="168">
        <f>G8+G17+G26+G35</f>
        <v>0</v>
      </c>
      <c r="I44" s="168" t="str">
        <f>$I$8</f>
        <v>08:00~09:00</v>
      </c>
      <c r="J44" s="169" t="str">
        <f t="shared" si="42"/>
        <v>-</v>
      </c>
      <c r="K44" s="169" t="str">
        <f t="shared" si="42"/>
        <v>-</v>
      </c>
      <c r="L44" s="168">
        <f>L8+L17+L26+L35</f>
        <v>0</v>
      </c>
      <c r="M44" s="168">
        <f>M8+M17+M26+M35</f>
        <v>0</v>
      </c>
      <c r="N44" s="168">
        <f>N8+N17+N26+N35</f>
        <v>0</v>
      </c>
      <c r="P44" s="168" t="str">
        <f>P35</f>
        <v>12:00~13:00</v>
      </c>
      <c r="Q44" s="169" t="str">
        <f>IF(ISERROR($S44/T44),"-",$S44/T44)</f>
        <v>-</v>
      </c>
      <c r="R44" s="169" t="str">
        <f>IF(ISERROR($T44/U44),"-",$T44/U44)</f>
        <v>-</v>
      </c>
      <c r="S44" s="168">
        <f>S8+S17+S26+S35</f>
        <v>0</v>
      </c>
      <c r="T44" s="168">
        <f>T8+T17+T26+T35</f>
        <v>0</v>
      </c>
      <c r="U44" s="168">
        <f>U8+U17+U26+U35</f>
        <v>0</v>
      </c>
      <c r="W44" s="168" t="str">
        <f>W35</f>
        <v>13:00~14:00</v>
      </c>
      <c r="X44" s="169" t="str">
        <f t="shared" si="43"/>
        <v>-</v>
      </c>
      <c r="Y44" s="169" t="str">
        <f t="shared" si="43"/>
        <v>-</v>
      </c>
      <c r="Z44" s="168">
        <f>Z8+Z17+Z26+Z35</f>
        <v>0</v>
      </c>
      <c r="AA44" s="168">
        <f>AA8+AA17+AA26+AA35</f>
        <v>0</v>
      </c>
      <c r="AB44" s="168">
        <f>AB8+AB17+AB26+AB35</f>
        <v>0</v>
      </c>
      <c r="AD44" s="168" t="str">
        <f>$AD$8</f>
        <v>18:00~19:00</v>
      </c>
      <c r="AE44" s="169" t="str">
        <f t="shared" si="44"/>
        <v>-</v>
      </c>
      <c r="AF44" s="169" t="str">
        <f t="shared" si="44"/>
        <v>-</v>
      </c>
      <c r="AG44" s="168">
        <f>AG8+AG17+AG26+AG35</f>
        <v>0</v>
      </c>
      <c r="AH44" s="168">
        <f>AH8+AH17+AH26+AH35</f>
        <v>0</v>
      </c>
      <c r="AI44" s="168">
        <f>AI8+AI17+AI26+AI35</f>
        <v>0</v>
      </c>
      <c r="AK44" s="168">
        <f>$AK$8</f>
        <v>0</v>
      </c>
      <c r="AL44" s="169" t="str">
        <f t="shared" si="45"/>
        <v>-</v>
      </c>
      <c r="AM44" s="169" t="str">
        <f t="shared" si="45"/>
        <v>-</v>
      </c>
      <c r="AN44" s="168">
        <f>AN8+AN17+AN26+AN35</f>
        <v>0</v>
      </c>
      <c r="AO44" s="168">
        <f>AO8+AO17+AO26+AO35</f>
        <v>0</v>
      </c>
      <c r="AP44" s="168">
        <f>AP8+AP17+AP26+AP35</f>
        <v>0</v>
      </c>
      <c r="AR44" s="168">
        <f>$AR$8</f>
        <v>0</v>
      </c>
      <c r="AS44" s="169" t="str">
        <f t="shared" ref="AS44" si="50">IF(ISERROR($AU44/AV44),"-",$AU44/AV44)</f>
        <v>-</v>
      </c>
      <c r="AT44" s="169" t="str">
        <f>IF(ISERROR($AU44/AW44),"-",$AU44/AW44)</f>
        <v>-</v>
      </c>
      <c r="AU44" s="168">
        <f>AU8+AU17+AU26+AU35</f>
        <v>0</v>
      </c>
      <c r="AV44" s="168">
        <f>AV8+AV17+AV26+AV35</f>
        <v>0</v>
      </c>
      <c r="AW44" s="168">
        <f>AW8+AW17+AW26+AW35</f>
        <v>0</v>
      </c>
      <c r="AY44" s="168">
        <f>AY35</f>
        <v>0</v>
      </c>
      <c r="AZ44" s="169" t="str">
        <f t="shared" si="47"/>
        <v>-</v>
      </c>
      <c r="BA44" s="169" t="str">
        <f t="shared" si="47"/>
        <v>-</v>
      </c>
      <c r="BB44" s="168">
        <f>BB8+BB17+BB26+BB35</f>
        <v>0</v>
      </c>
      <c r="BC44" s="168">
        <f>BC8+BC17+BC26+BC35</f>
        <v>0</v>
      </c>
      <c r="BD44" s="168">
        <f>BD8+BD17+BD26+BD35</f>
        <v>0</v>
      </c>
      <c r="BF44" s="168" t="str">
        <f>BF35</f>
        <v>17:00~18:00</v>
      </c>
      <c r="BG44" s="169" t="str">
        <f t="shared" si="48"/>
        <v>-</v>
      </c>
      <c r="BH44" s="169" t="str">
        <f t="shared" si="48"/>
        <v>-</v>
      </c>
      <c r="BI44" s="168">
        <f>BI8+BI17+BI26+BI35</f>
        <v>0</v>
      </c>
      <c r="BJ44" s="168">
        <f>BJ8+BJ17+BJ26+BJ35</f>
        <v>0</v>
      </c>
      <c r="BK44" s="168">
        <f>BK8+BK17+BK26+BK35</f>
        <v>0</v>
      </c>
      <c r="BM44" s="168" t="str">
        <f>BM35</f>
        <v>18:00~19:00</v>
      </c>
      <c r="BN44" s="169" t="str">
        <f t="shared" ref="BN44" si="51">IF(ISERROR($BP44/BQ44),"-",$BP44/BQ44)</f>
        <v>-</v>
      </c>
      <c r="BO44" s="169" t="str">
        <f>IF(ISERROR($BP44/BR44),"-",$BP44/BR44)</f>
        <v>-</v>
      </c>
      <c r="BP44" s="168">
        <f>BP8+BP17+BP26+BP35</f>
        <v>0</v>
      </c>
      <c r="BQ44" s="168">
        <f>BQ8+BQ17+BQ26+BQ35</f>
        <v>0</v>
      </c>
      <c r="BR44" s="168">
        <f>BR8+BR17+BR26+BR35</f>
        <v>0</v>
      </c>
      <c r="BT44" s="168" t="s">
        <v>136</v>
      </c>
      <c r="BU44" s="169" t="str">
        <f t="shared" si="40"/>
        <v>-</v>
      </c>
      <c r="BV44" s="169" t="str">
        <f t="shared" si="40"/>
        <v>-</v>
      </c>
      <c r="BW44" s="168">
        <f>('假日(16-20)'!$T$135+'假日(16-20)'!$T$154+'假日(16-20)'!$T$173+'假日(16-20)'!$T$192)*15</f>
        <v>0</v>
      </c>
      <c r="BX44" s="168">
        <f>'假日(16-20)'!$X$135+'假日(16-20)'!$X$154+'假日(16-20)'!$X$173+'假日(16-20)'!$X$192</f>
        <v>0</v>
      </c>
      <c r="BY44" s="168">
        <f>'假日(16-20)'!$Z$135+'假日(16-20)'!$Z$154+'假日(16-20)'!$Z$173+'假日(16-20)'!$Z$192</f>
        <v>0</v>
      </c>
    </row>
    <row r="45" spans="2:77">
      <c r="B45" s="165" t="s">
        <v>153</v>
      </c>
      <c r="C45" s="170">
        <f>MAX(C40:C44)</f>
        <v>0</v>
      </c>
      <c r="D45" s="170"/>
      <c r="E45" s="165" t="s">
        <v>154</v>
      </c>
      <c r="F45" s="165" t="str">
        <f>IF(C45=C40,B$40,IF(C45=C41,B$41,IF(C45=C42,B$42,IF(C45=C43,B$43,IF(C45=C44,B$44,"-")))))</f>
        <v>-</v>
      </c>
      <c r="G45" s="165"/>
      <c r="I45" s="165" t="s">
        <v>153</v>
      </c>
      <c r="J45" s="170">
        <f>MAX(J40:J44)</f>
        <v>0</v>
      </c>
      <c r="K45" s="170"/>
      <c r="L45" s="165" t="s">
        <v>154</v>
      </c>
      <c r="M45" s="165" t="str">
        <f>IF(J45=J40,I$40,IF(J45=J41,I$41,IF(J45=J42,I$42,IF(J45=J43,I$43,IF(J45=J44,I$44,"-")))))</f>
        <v>-</v>
      </c>
      <c r="N45" s="165"/>
      <c r="P45" s="165" t="s">
        <v>153</v>
      </c>
      <c r="Q45" s="170">
        <f>MAX(Q40:Q44)</f>
        <v>0</v>
      </c>
      <c r="R45" s="170"/>
      <c r="S45" s="165" t="s">
        <v>154</v>
      </c>
      <c r="T45" s="165" t="str">
        <f>IF(Q45=Q40,P$40,IF(Q45=Q41,P$41,IF(Q45=Q42,P$42,IF(Q45=Q43,P$43,IF(Q45=Q44,P$44,"-")))))</f>
        <v>-</v>
      </c>
      <c r="U45" s="165"/>
      <c r="W45" s="165" t="s">
        <v>153</v>
      </c>
      <c r="X45" s="170">
        <f>MAX(X40:X44)</f>
        <v>0</v>
      </c>
      <c r="Y45" s="170"/>
      <c r="Z45" s="165" t="s">
        <v>154</v>
      </c>
      <c r="AA45" s="165" t="str">
        <f>IF(X45=X40,W$40,IF(X45=X41,W$41,IF(X45=X42,W$42,IF(X45=X43,W$43,IF(X45=X44,W$44,"-")))))</f>
        <v>-</v>
      </c>
      <c r="AB45" s="165"/>
      <c r="AD45" s="165" t="s">
        <v>153</v>
      </c>
      <c r="AE45" s="170">
        <f>MAX(AE40:AE44)</f>
        <v>0</v>
      </c>
      <c r="AF45" s="170"/>
      <c r="AG45" s="165" t="s">
        <v>154</v>
      </c>
      <c r="AH45" s="165" t="str">
        <f>IF(AE45=AE40,AD$40,IF(AE45=AE41,AD$41,IF(AE45=AE42,AD$42,IF(AE45=AE43,AD$43,IF(AE45=AE44,AD$44,"-")))))</f>
        <v>-</v>
      </c>
      <c r="AI45" s="165"/>
      <c r="AK45" s="165" t="s">
        <v>153</v>
      </c>
      <c r="AL45" s="170">
        <f>MAX(AL40:AL44)</f>
        <v>0</v>
      </c>
      <c r="AM45" s="170"/>
      <c r="AN45" s="165" t="s">
        <v>154</v>
      </c>
      <c r="AO45" s="165" t="str">
        <f>IF(AL45=AL40,AK$40,IF(AL45=AL41,AK$41,IF(AL45=AL42,AK$42,IF(AL45=AL43,AK$43,IF(AL45=AL44,AK$44,"-")))))</f>
        <v>-</v>
      </c>
      <c r="AP45" s="165"/>
      <c r="AR45" s="165" t="s">
        <v>153</v>
      </c>
      <c r="AS45" s="170">
        <f>MAX(AS40:AS44)</f>
        <v>0</v>
      </c>
      <c r="AT45" s="170"/>
      <c r="AU45" s="165" t="s">
        <v>154</v>
      </c>
      <c r="AV45" s="165" t="str">
        <f>IF(AS45=AS40,AR$40,IF(AS45=AS41,AR$41,IF(AS45=AS42,AR$42,IF(AS45=AS43,AR$43,IF(AS45=AS44,AR$44,"-")))))</f>
        <v>-</v>
      </c>
      <c r="AW45" s="165"/>
      <c r="AY45" s="165" t="s">
        <v>153</v>
      </c>
      <c r="AZ45" s="170">
        <f>MAX(AZ40:AZ44)</f>
        <v>0</v>
      </c>
      <c r="BA45" s="170"/>
      <c r="BB45" s="165" t="s">
        <v>154</v>
      </c>
      <c r="BC45" s="165" t="str">
        <f>IF(AZ45=AZ40,AY$40,IF(AZ45=AZ41,AY$41,IF(AZ45=AZ42,AY$42,IF(AZ45=AZ43,AY$43,IF(AZ45=AZ44,AY$44,"-")))))</f>
        <v>-</v>
      </c>
      <c r="BD45" s="165"/>
      <c r="BF45" s="165" t="s">
        <v>153</v>
      </c>
      <c r="BG45" s="170">
        <f>MAX(BG40:BG44)</f>
        <v>0</v>
      </c>
      <c r="BH45" s="170"/>
      <c r="BI45" s="165" t="s">
        <v>154</v>
      </c>
      <c r="BJ45" s="165" t="str">
        <f>IF(BG45=BG40,BF$40,IF(BG45=BG41,BF$41,IF(BG45=BG42,BF$42,IF(BG45=BG43,BF$43,IF(BG45=BG44,BF$44,"-")))))</f>
        <v>-</v>
      </c>
      <c r="BK45" s="165"/>
      <c r="BM45" s="165" t="s">
        <v>153</v>
      </c>
      <c r="BN45" s="170">
        <f>MAX(BN40:BN44)</f>
        <v>0</v>
      </c>
      <c r="BO45" s="170"/>
      <c r="BP45" s="165" t="s">
        <v>154</v>
      </c>
      <c r="BQ45" s="165" t="str">
        <f>IF(BN45=BN40,BM$40,IF(BN45=BN41,BM$41,IF(BN45=BN42,BM$42,IF(BN45=BN43,BM$43,IF(BN45=BN44,BM$44,"-")))))</f>
        <v>-</v>
      </c>
      <c r="BR45" s="165"/>
      <c r="BT45" s="168" t="s">
        <v>147</v>
      </c>
      <c r="BU45" s="169" t="str">
        <f t="shared" ref="BU45:BU50" si="52">IF(ISERROR($BW45/BX45),"-",$BW45/BX45)</f>
        <v>-</v>
      </c>
      <c r="BV45" s="169" t="str">
        <f t="shared" ref="BV45" si="53">IF(ISERROR($BW45/BY45),"-",$BW45/BY45)</f>
        <v>-</v>
      </c>
      <c r="BW45" s="168">
        <f>('假日(16-20)'!$T$154+'假日(16-20)'!$T$173+'假日(16-20)'!$T$192+'假日(16-20)'!$T$211)*15</f>
        <v>0</v>
      </c>
      <c r="BX45" s="168">
        <f>'假日(16-20)'!$X$154+'假日(16-20)'!$X$173+'假日(16-20)'!$X$192+'假日(16-20)'!$X$211</f>
        <v>0</v>
      </c>
      <c r="BY45" s="168">
        <f>'假日(16-20)'!$Z$154+'假日(16-20)'!$Z$173+'假日(16-20)'!$Z$192+'假日(16-20)'!$Z$211</f>
        <v>0</v>
      </c>
    </row>
    <row r="46" spans="2:77">
      <c r="B46" s="165" t="s">
        <v>155</v>
      </c>
      <c r="C46" s="170"/>
      <c r="D46" s="170">
        <f>MAX(D40:D44)</f>
        <v>0</v>
      </c>
      <c r="E46" s="165" t="s">
        <v>154</v>
      </c>
      <c r="F46" s="165" t="str">
        <f>IF(D46=D40,B$40,IF(D46=D41,B$41,IF(D46=D42,B$42,IF(D46=D43,B$43,IF(D46=D44,B$44,"-")))))</f>
        <v>-</v>
      </c>
      <c r="G46" s="165"/>
      <c r="I46" s="165" t="s">
        <v>155</v>
      </c>
      <c r="J46" s="170"/>
      <c r="K46" s="170">
        <f>MAX(K40:K44)</f>
        <v>0</v>
      </c>
      <c r="L46" s="165" t="s">
        <v>154</v>
      </c>
      <c r="M46" s="165" t="str">
        <f>IF(K46=K40,I$40,IF(K46=K41,I$41,IF(K46=K42,I$42,IF(K46=K43,I$43,IF(K46=K44,I$44,"-")))))</f>
        <v>-</v>
      </c>
      <c r="N46" s="165"/>
      <c r="P46" s="165" t="s">
        <v>155</v>
      </c>
      <c r="Q46" s="170"/>
      <c r="R46" s="170">
        <f>MAX(R40:R44)</f>
        <v>0</v>
      </c>
      <c r="S46" s="165" t="s">
        <v>154</v>
      </c>
      <c r="T46" s="165" t="str">
        <f>IF(R46=R40,P$40,IF(R46=R41,P$41,IF(R46=R42,P$42,IF(R46=R43,P$43,IF(R46=R44,P$44,"-")))))</f>
        <v>-</v>
      </c>
      <c r="U46" s="165"/>
      <c r="W46" s="165" t="s">
        <v>155</v>
      </c>
      <c r="X46" s="170"/>
      <c r="Y46" s="170">
        <f>MAX(Y40:Y44)</f>
        <v>0</v>
      </c>
      <c r="Z46" s="165" t="s">
        <v>154</v>
      </c>
      <c r="AA46" s="165" t="str">
        <f>IF(Y46=Y40,W$40,IF(Y46=Y41,W$41,IF(Y46=Y42,W$42,IF(Y46=Y43,W$43,IF(Y46=Y44,W$44,"-")))))</f>
        <v>-</v>
      </c>
      <c r="AB46" s="165"/>
      <c r="AD46" s="165" t="s">
        <v>155</v>
      </c>
      <c r="AE46" s="170"/>
      <c r="AF46" s="170">
        <f>MAX(AF40:AF44)</f>
        <v>0</v>
      </c>
      <c r="AG46" s="165" t="s">
        <v>154</v>
      </c>
      <c r="AH46" s="165" t="str">
        <f>IF(AF46=AF40,AD$40,IF(AF46=AF41,AD$41,IF(AF46=AF42,AD$42,IF(AF46=AF43,AD$43,IF(AF46=AF44,AD$44,"-")))))</f>
        <v>-</v>
      </c>
      <c r="AI46" s="165"/>
      <c r="AK46" s="165" t="s">
        <v>155</v>
      </c>
      <c r="AL46" s="170"/>
      <c r="AM46" s="170">
        <f>MAX(AM40:AM44)</f>
        <v>0</v>
      </c>
      <c r="AN46" s="165" t="s">
        <v>154</v>
      </c>
      <c r="AO46" s="165" t="str">
        <f>IF(AM46=AM40,AK$40,IF(AM46=AM41,AK$41,IF(AM46=AM42,AK$42,IF(AM46=AM43,AK$43,IF(AM46=AM44,AK$44,"-")))))</f>
        <v>-</v>
      </c>
      <c r="AP46" s="165"/>
      <c r="AR46" s="165" t="s">
        <v>155</v>
      </c>
      <c r="AS46" s="170"/>
      <c r="AT46" s="170">
        <f>MAX(AT40:AT44)</f>
        <v>0</v>
      </c>
      <c r="AU46" s="165" t="s">
        <v>154</v>
      </c>
      <c r="AV46" s="165" t="str">
        <f>IF(AT46=AT40,AR$40,IF(AT46=AT41,AR$41,IF(AT46=AT42,AR$42,IF(AT46=AT43,AR$43,IF(AT46=AT44,AR$44,"-")))))</f>
        <v>-</v>
      </c>
      <c r="AW46" s="165"/>
      <c r="AY46" s="165" t="s">
        <v>155</v>
      </c>
      <c r="AZ46" s="170"/>
      <c r="BA46" s="170">
        <f>MAX(BA40:BA44)</f>
        <v>0</v>
      </c>
      <c r="BB46" s="165" t="s">
        <v>154</v>
      </c>
      <c r="BC46" s="165" t="str">
        <f>IF(BA46=BA40,AY$40,IF(BA46=BA41,AY$41,IF(BA46=BA42,AY$42,IF(BA46=BA43,AY$43,IF(BA46=BA44,AY$44,"-")))))</f>
        <v>-</v>
      </c>
      <c r="BD46" s="165"/>
      <c r="BF46" s="165" t="s">
        <v>155</v>
      </c>
      <c r="BG46" s="170"/>
      <c r="BH46" s="170">
        <f>MAX(BH40:BH44)</f>
        <v>0</v>
      </c>
      <c r="BI46" s="165" t="s">
        <v>154</v>
      </c>
      <c r="BJ46" s="165" t="str">
        <f>IF(BH46=BH40,BF$40,IF(BH46=BH41,BF$41,IF(BH46=BH42,BF$42,IF(BH46=BH43,BF$43,IF(BH46=BH44,BF$44,"-")))))</f>
        <v>-</v>
      </c>
      <c r="BK46" s="165"/>
      <c r="BM46" s="165" t="s">
        <v>155</v>
      </c>
      <c r="BN46" s="170"/>
      <c r="BO46" s="170">
        <f>MAX(BO40:BO44)</f>
        <v>0</v>
      </c>
      <c r="BP46" s="165" t="s">
        <v>154</v>
      </c>
      <c r="BQ46" s="165" t="str">
        <f>IF(BO46=BO40,BM$40,IF(BO46=BO41,BM$41,IF(BO46=BO42,BM$42,IF(BO46=BO43,BM$43,IF(BO46=BO44,BM$44,"-")))))</f>
        <v>-</v>
      </c>
      <c r="BR46" s="165"/>
      <c r="BT46" s="168" t="s">
        <v>151</v>
      </c>
      <c r="BU46" s="169" t="str">
        <f t="shared" si="52"/>
        <v>-</v>
      </c>
      <c r="BV46" s="169" t="str">
        <f>IF(ISERROR($BW46/BY46),"-",$BW46/BY46)</f>
        <v>-</v>
      </c>
      <c r="BW46" s="168">
        <f>('假日(16-20)'!$T$173+'假日(16-20)'!$T$192+'假日(16-20)'!$T$211+'假日(16-20)'!$T$230)*15</f>
        <v>0</v>
      </c>
      <c r="BX46" s="168">
        <f>'假日(16-20)'!$X$173+'假日(16-20)'!$X$192+'假日(16-20)'!$X$211+'假日(16-20)'!$X$230</f>
        <v>0</v>
      </c>
      <c r="BY46" s="168">
        <f>'假日(16-20)'!$Z$173+'假日(16-20)'!$Z$192+'假日(16-20)'!$Z$211+'假日(16-20)'!$Z$230</f>
        <v>0</v>
      </c>
    </row>
    <row r="47" spans="2:77">
      <c r="BT47" s="168" t="s">
        <v>185</v>
      </c>
      <c r="BU47" s="169" t="str">
        <f t="shared" si="52"/>
        <v>-</v>
      </c>
      <c r="BV47" s="169" t="str">
        <f>IF(ISERROR($BW47/BY47),"-",$BW47/BY47)</f>
        <v>-</v>
      </c>
      <c r="BW47" s="168">
        <f>('假日(16-20)'!$T$192+'假日(16-20)'!$T$211+'假日(16-20)'!$T$230+'假日(16-20)'!$T$249)*15</f>
        <v>0</v>
      </c>
      <c r="BX47" s="168">
        <f>'假日(16-20)'!$X$192+'假日(16-20)'!$X$211+'假日(16-20)'!$X$230+'假日(16-20)'!$X$249</f>
        <v>0</v>
      </c>
      <c r="BY47" s="168">
        <f>'假日(16-20)'!$Z$192+'假日(16-20)'!$Z$211+'假日(16-20)'!$Z$230+'假日(16-20)'!$Z$249</f>
        <v>0</v>
      </c>
    </row>
    <row r="48" spans="2:77">
      <c r="BT48" s="168" t="s">
        <v>186</v>
      </c>
      <c r="BU48" s="169" t="str">
        <f t="shared" si="52"/>
        <v>-</v>
      </c>
      <c r="BV48" s="169" t="str">
        <f>IF(ISERROR($BW48/BY48),"-",$BW48/BY48)</f>
        <v>-</v>
      </c>
      <c r="BW48" s="168">
        <f>('假日(16-20)'!$T$211+'假日(16-20)'!$T$230+'假日(16-20)'!$T$249+'假日(16-20)'!$T$268)*15</f>
        <v>0</v>
      </c>
      <c r="BX48" s="168">
        <f>'假日(16-20)'!$X$211+'假日(16-20)'!$X$230+'假日(16-20)'!$X$249+'假日(16-20)'!$X$268</f>
        <v>0</v>
      </c>
      <c r="BY48" s="168">
        <f>'假日(16-20)'!$Z$211+'假日(16-20)'!$Z$230+'假日(16-20)'!$Z$249+'假日(16-20)'!$Z$268</f>
        <v>0</v>
      </c>
    </row>
    <row r="49" spans="72:77">
      <c r="BT49" s="168" t="s">
        <v>187</v>
      </c>
      <c r="BU49" s="169" t="str">
        <f t="shared" si="52"/>
        <v>-</v>
      </c>
      <c r="BV49" s="169" t="str">
        <f>IF(ISERROR($BW49/BY49),"-",$BW49/BY49)</f>
        <v>-</v>
      </c>
      <c r="BW49" s="168">
        <f>('假日(16-20)'!$T$230+'假日(16-20)'!$T$249+'假日(16-20)'!$T$268+'假日(16-20)'!$T$287)*15</f>
        <v>0</v>
      </c>
      <c r="BX49" s="168">
        <f>'假日(16-20)'!$X$230+'假日(16-20)'!$X$249+'假日(16-20)'!$X$268+'假日(16-20)'!$X$287</f>
        <v>0</v>
      </c>
      <c r="BY49" s="168">
        <f>'假日(16-20)'!$Z$230+'假日(16-20)'!$Z$249+'假日(16-20)'!$Z$268+'假日(16-20)'!$Z$287</f>
        <v>0</v>
      </c>
    </row>
    <row r="50" spans="72:77">
      <c r="BT50" s="168" t="s">
        <v>188</v>
      </c>
      <c r="BU50" s="169" t="str">
        <f t="shared" si="52"/>
        <v>-</v>
      </c>
      <c r="BV50" s="169" t="str">
        <f>IF(ISERROR($BW50/BY50),"-",$BW50/BY50)</f>
        <v>-</v>
      </c>
      <c r="BW50" s="168">
        <f>('假日(16-20)'!$T$249+'假日(16-20)'!$T$268+'假日(16-20)'!$T$287+'假日(16-20)'!$T$306)*15</f>
        <v>0</v>
      </c>
      <c r="BX50" s="168">
        <f>'假日(16-20)'!$X$249+'假日(16-20)'!$X$268+'假日(16-20)'!$X$287+'假日(16-20)'!$X$306</f>
        <v>0</v>
      </c>
      <c r="BY50" s="168">
        <f>'假日(16-20)'!$Z$249+'假日(16-20)'!$Z$268+'假日(16-20)'!$Z$287+'假日(16-20)'!$Z$306</f>
        <v>0</v>
      </c>
    </row>
    <row r="51" spans="72:77">
      <c r="BT51" s="165" t="str">
        <f>CONCATENATE(基本資料!$D$18,"方向","平均延滯")</f>
        <v>C方向平均延滯</v>
      </c>
      <c r="BU51" s="170" t="str">
        <f>IF(ISERROR(VLOOKUP($BX$85,BT38:BU50,2,1)),"-",VLOOKUP($BX$85,BT38:BU50,2,1))</f>
        <v>-</v>
      </c>
      <c r="BV51" s="170"/>
      <c r="BW51" s="165"/>
      <c r="BX51" s="165"/>
      <c r="BY51" s="165"/>
    </row>
    <row r="52" spans="72:77">
      <c r="BT52" s="165" t="str">
        <f>CONCATENATE(基本資料!$D$18,"方向","平均停等車輛延滯")</f>
        <v>C方向平均停等車輛延滯</v>
      </c>
      <c r="BU52" s="170"/>
      <c r="BV52" s="170" t="str">
        <f>IF(ISERROR(VLOOKUP($BX$86,BT38:BV50,3,1)),"-",VLOOKUP($BX$86,BT38:BV50,3,1))</f>
        <v>-</v>
      </c>
      <c r="BW52" s="165"/>
      <c r="BX52" s="165"/>
      <c r="BY52" s="165"/>
    </row>
    <row r="53" spans="72:77">
      <c r="BT53" s="238" t="str">
        <f>'假日(16-18)'!$AB$2</f>
        <v>D方向：</v>
      </c>
      <c r="BU53" s="239"/>
      <c r="BV53" s="239"/>
      <c r="BW53" s="239"/>
      <c r="BX53" s="239"/>
      <c r="BY53" s="240"/>
    </row>
    <row r="54" spans="72:77">
      <c r="BT54" s="165" t="s">
        <v>125</v>
      </c>
      <c r="BU54" s="166" t="s">
        <v>131</v>
      </c>
      <c r="BV54" s="167" t="s">
        <v>127</v>
      </c>
      <c r="BW54" s="166" t="s">
        <v>128</v>
      </c>
      <c r="BX54" s="166" t="s">
        <v>129</v>
      </c>
      <c r="BY54" s="166" t="s">
        <v>130</v>
      </c>
    </row>
    <row r="55" spans="72:77">
      <c r="BT55" s="168" t="str">
        <f>BT38</f>
        <v>16:00~17:00</v>
      </c>
      <c r="BU55" s="169" t="str">
        <f>IF(ISERROR($BW55/BX55),"-",$BW55/BX55)</f>
        <v>-</v>
      </c>
      <c r="BV55" s="169" t="str">
        <f>IF(ISERROR($BW55/BY55),"-",$BW55/BY55)</f>
        <v>-</v>
      </c>
      <c r="BW55" s="168">
        <f>('假日(16-20)'!$AC$21+'假日(16-20)'!$AC$40+'假日(16-20)'!$AC$59+'假日(16-20)'!$AC$78)*15</f>
        <v>0</v>
      </c>
      <c r="BX55" s="168">
        <f>'假日(16-20)'!$AG$21+'假日(16-20)'!$AG$40+'假日(16-20)'!$AG$59+'假日(16-20)'!$AG$78</f>
        <v>0</v>
      </c>
      <c r="BY55" s="168">
        <f>'假日(16-20)'!$AI$21+'假日(16-20)'!$AI$40+'假日(16-20)'!$AI$59+'假日(16-20)'!$AI$78</f>
        <v>0</v>
      </c>
    </row>
    <row r="56" spans="72:77">
      <c r="BT56" s="168" t="str">
        <f>BT39</f>
        <v>16:15~17:15</v>
      </c>
      <c r="BU56" s="169" t="str">
        <f>IF(ISERROR($BW56/BX56),"-",$BW56/BX56)</f>
        <v>-</v>
      </c>
      <c r="BV56" s="169" t="str">
        <f>IF(ISERROR($BW56/BY56),"-",$BW56/BY56)</f>
        <v>-</v>
      </c>
      <c r="BW56" s="168">
        <f>('假日(16-20)'!$AC$40+'假日(16-20)'!$AC$59+'假日(16-20)'!$AC$78+'假日(16-20)'!$AC$97)*15</f>
        <v>0</v>
      </c>
      <c r="BX56" s="168">
        <f>'假日(16-20)'!$AG$40+'假日(16-20)'!$AG$59+'假日(16-20)'!$AG$78+'假日(16-20)'!$AG$97</f>
        <v>0</v>
      </c>
      <c r="BY56" s="168">
        <f>'假日(16-20)'!$AI$40+'假日(16-20)'!$AI$59+'假日(16-20)'!$AI$78+'假日(16-20)'!$AI$97</f>
        <v>0</v>
      </c>
    </row>
    <row r="57" spans="72:77">
      <c r="BT57" s="168" t="str">
        <f>BT40</f>
        <v>16:30~17:30</v>
      </c>
      <c r="BU57" s="169" t="str">
        <f t="shared" ref="BU57:BU67" si="54">IF(ISERROR($BW57/BX57),"-",$BW57/BX57)</f>
        <v>-</v>
      </c>
      <c r="BV57" s="169" t="str">
        <f t="shared" ref="BV57:BV64" si="55">IF(ISERROR($BW57/BY57),"-",$BW57/BY57)</f>
        <v>-</v>
      </c>
      <c r="BW57" s="168">
        <f>('假日(16-20)'!$AC$59+'假日(16-20)'!$AC$78+'假日(16-20)'!$AC$97+'假日(16-20)'!$AC$116)*15</f>
        <v>0</v>
      </c>
      <c r="BX57" s="168">
        <f>'假日(16-20)'!$AG$59+'假日(16-20)'!$AG$78+'假日(16-20)'!$AG$97+'假日(16-20)'!$AG$116</f>
        <v>0</v>
      </c>
      <c r="BY57" s="168">
        <f>'假日(16-20)'!$AI$59+'假日(16-20)'!$AI$78+'假日(16-20)'!$AI$97+'假日(16-20)'!$AI$116</f>
        <v>0</v>
      </c>
    </row>
    <row r="58" spans="72:77">
      <c r="BT58" s="168" t="str">
        <f>BT41</f>
        <v>16:45~17:45</v>
      </c>
      <c r="BU58" s="169" t="str">
        <f t="shared" si="54"/>
        <v>-</v>
      </c>
      <c r="BV58" s="169" t="str">
        <f>IF(ISERROR($BW58/BY58),"-",$BW58/BY58)</f>
        <v>-</v>
      </c>
      <c r="BW58" s="168">
        <f>('假日(16-20)'!$AC$78+'假日(16-20)'!$AC$97+'假日(16-20)'!$AC$116+'假日(16-20)'!$AC$135)*15</f>
        <v>0</v>
      </c>
      <c r="BX58" s="168">
        <f>'假日(16-20)'!$AG$78+'假日(16-20)'!$AG$97+'假日(16-20)'!$AG$116+'假日(16-20)'!$AG$135</f>
        <v>0</v>
      </c>
      <c r="BY58" s="168">
        <f>'假日(16-20)'!$AI$78+'假日(16-20)'!$AI$97+'假日(16-20)'!$AI$116+'假日(16-20)'!$AI$135</f>
        <v>0</v>
      </c>
    </row>
    <row r="59" spans="72:77">
      <c r="BT59" s="168" t="str">
        <f>BT42</f>
        <v>17:00~18:00</v>
      </c>
      <c r="BU59" s="169" t="str">
        <f t="shared" si="54"/>
        <v>-</v>
      </c>
      <c r="BV59" s="169" t="str">
        <f>IF(ISERROR($BW59/BY59),"-",$BW59/BY59)</f>
        <v>-</v>
      </c>
      <c r="BW59" s="168">
        <f>('假日(16-20)'!$AC$97+'假日(16-20)'!$AC$116+'假日(16-20)'!$AC$135+'假日(16-20)'!$AC$154)*15</f>
        <v>0</v>
      </c>
      <c r="BX59" s="168">
        <f>'假日(16-20)'!$AG$97+'假日(16-20)'!$AG$116+'假日(16-20)'!$AG$135+'假日(16-20)'!$AG$154</f>
        <v>0</v>
      </c>
      <c r="BY59" s="168">
        <f>'假日(16-20)'!$AI$97+'假日(16-20)'!$AI$116+'假日(16-20)'!$AI$135+'假日(16-20)'!$AI$154</f>
        <v>0</v>
      </c>
    </row>
    <row r="60" spans="72:77">
      <c r="BT60" s="168" t="s">
        <v>140</v>
      </c>
      <c r="BU60" s="169" t="str">
        <f t="shared" si="54"/>
        <v>-</v>
      </c>
      <c r="BV60" s="169" t="str">
        <f>IF(ISERROR($BW60/BY60),"-",$BW60/BY60)</f>
        <v>-</v>
      </c>
      <c r="BW60" s="168">
        <f>('假日(16-20)'!$AC$116+'假日(16-20)'!$AC$135+'假日(16-20)'!$AC$154+'假日(16-20)'!$AC$173)*15</f>
        <v>0</v>
      </c>
      <c r="BX60" s="168">
        <f>'假日(16-20)'!$AG$116+'假日(16-20)'!$AG$135+'假日(16-20)'!$AG$154+'假日(16-20)'!$AG$173</f>
        <v>0</v>
      </c>
      <c r="BY60" s="168">
        <f>'假日(16-20)'!$AI$116+'假日(16-20)'!$AI$135+'假日(16-20)'!$AI$154+'假日(16-20)'!$AI$173</f>
        <v>0</v>
      </c>
    </row>
    <row r="61" spans="72:77">
      <c r="BT61" s="168" t="s">
        <v>136</v>
      </c>
      <c r="BU61" s="169" t="str">
        <f t="shared" si="54"/>
        <v>-</v>
      </c>
      <c r="BV61" s="169" t="str">
        <f t="shared" si="55"/>
        <v>-</v>
      </c>
      <c r="BW61" s="168">
        <f>('假日(16-20)'!$AC$135+'假日(16-20)'!$AC$154+'假日(16-20)'!$AC$173+'假日(16-20)'!$AC$192)*15</f>
        <v>0</v>
      </c>
      <c r="BX61" s="168">
        <f>'假日(16-20)'!$AG$135+'假日(16-20)'!$AG$154+'假日(16-20)'!$AG$173+'假日(16-20)'!$AG$192</f>
        <v>0</v>
      </c>
      <c r="BY61" s="168">
        <f>'假日(16-20)'!$AI$135+'假日(16-20)'!$AI$154+'假日(16-20)'!$AI$173+'假日(16-20)'!$AI$192</f>
        <v>0</v>
      </c>
    </row>
    <row r="62" spans="72:77">
      <c r="BT62" s="168" t="s">
        <v>147</v>
      </c>
      <c r="BU62" s="169" t="str">
        <f t="shared" si="54"/>
        <v>-</v>
      </c>
      <c r="BV62" s="169" t="str">
        <f>IF(ISERROR($BW62/BY62),"-",$BW62/BY62)</f>
        <v>-</v>
      </c>
      <c r="BW62" s="168">
        <f>('假日(16-20)'!$AC$154+'假日(16-20)'!$AC$173+'假日(16-20)'!$AC$192+'假日(16-20)'!$AC$211)*15</f>
        <v>0</v>
      </c>
      <c r="BX62" s="168">
        <f>'假日(16-20)'!$AG$154+'假日(16-20)'!$AG$173+'假日(16-20)'!$AG$192+'假日(16-20)'!$AG$211</f>
        <v>0</v>
      </c>
      <c r="BY62" s="168">
        <f>'假日(16-20)'!$AI$154+'假日(16-20)'!$AI$173+'假日(16-20)'!$AI$192+'假日(16-20)'!$AI$211</f>
        <v>0</v>
      </c>
    </row>
    <row r="63" spans="72:77">
      <c r="BT63" s="168" t="s">
        <v>151</v>
      </c>
      <c r="BU63" s="169" t="str">
        <f t="shared" si="54"/>
        <v>-</v>
      </c>
      <c r="BV63" s="169" t="str">
        <f>IF(ISERROR($BW63/BY63),"-",$BW63/BY63)</f>
        <v>-</v>
      </c>
      <c r="BW63" s="168">
        <f>('假日(16-20)'!$AC$173+'假日(16-20)'!$AC$192+'假日(16-20)'!$AC$211+'假日(16-20)'!$AC$230)*15</f>
        <v>0</v>
      </c>
      <c r="BX63" s="168">
        <f>'假日(16-20)'!$AG$173+'假日(16-20)'!$AG$192+'假日(16-20)'!$AG$211+'假日(16-20)'!$AG$230</f>
        <v>0</v>
      </c>
      <c r="BY63" s="168">
        <f>'假日(16-20)'!$AI$173+'假日(16-20)'!$AI$192+'假日(16-20)'!$AI$211+'假日(16-20)'!$AI$230</f>
        <v>0</v>
      </c>
    </row>
    <row r="64" spans="72:77">
      <c r="BT64" s="168" t="s">
        <v>185</v>
      </c>
      <c r="BU64" s="169" t="str">
        <f t="shared" si="54"/>
        <v>-</v>
      </c>
      <c r="BV64" s="169" t="str">
        <f t="shared" si="55"/>
        <v>-</v>
      </c>
      <c r="BW64" s="168">
        <f>('假日(16-20)'!$AC$192+'假日(16-20)'!$AC$211+'假日(16-20)'!$AC$230+'假日(16-20)'!$AC$249)*15</f>
        <v>0</v>
      </c>
      <c r="BX64" s="168">
        <f>'假日(16-20)'!$AG$192+'假日(16-20)'!$AG$211+'假日(16-20)'!$AG$230+'假日(16-20)'!$AG$249</f>
        <v>0</v>
      </c>
      <c r="BY64" s="168">
        <f>'假日(16-20)'!$AI$192+'假日(16-20)'!$AI$211+'假日(16-20)'!$AI$230+'假日(16-20)'!$AI$249</f>
        <v>0</v>
      </c>
    </row>
    <row r="65" spans="72:77">
      <c r="BT65" s="168" t="s">
        <v>186</v>
      </c>
      <c r="BU65" s="169" t="str">
        <f t="shared" si="54"/>
        <v>-</v>
      </c>
      <c r="BV65" s="169" t="str">
        <f>IF(ISERROR($BW65/BY65),"-",$BW65/BY65)</f>
        <v>-</v>
      </c>
      <c r="BW65" s="168">
        <f>('假日(16-20)'!$AC$211+'假日(16-20)'!$AC$230+'假日(16-20)'!$AC$249+'假日(16-20)'!$AC$268)*15</f>
        <v>0</v>
      </c>
      <c r="BX65" s="168">
        <f>'假日(16-20)'!$AG$211+'假日(16-20)'!$AG$230+'假日(16-20)'!$AG$249+'假日(16-20)'!$AG$268</f>
        <v>0</v>
      </c>
      <c r="BY65" s="168">
        <f>'假日(16-20)'!$AI$211+'假日(16-20)'!$AI$230+'假日(16-20)'!$AI$249+'假日(16-20)'!$AI$268</f>
        <v>0</v>
      </c>
    </row>
    <row r="66" spans="72:77">
      <c r="BT66" s="168" t="s">
        <v>187</v>
      </c>
      <c r="BU66" s="169" t="str">
        <f t="shared" si="54"/>
        <v>-</v>
      </c>
      <c r="BV66" s="169" t="str">
        <f>IF(ISERROR($BW66/BY66),"-",$BW66/BY66)</f>
        <v>-</v>
      </c>
      <c r="BW66" s="168">
        <f>('假日(16-20)'!$AC$230+'假日(16-20)'!$AC$249+'假日(16-20)'!$AC$268+'假日(16-20)'!$AC$287)*15</f>
        <v>0</v>
      </c>
      <c r="BX66" s="168">
        <f>'假日(16-20)'!$AG$230+'假日(16-20)'!$AG$249+'假日(16-20)'!$AG$268+'假日(16-20)'!$AG$287</f>
        <v>0</v>
      </c>
      <c r="BY66" s="168">
        <f>'假日(16-20)'!$AI$230+'假日(16-20)'!$AI$249+'假日(16-20)'!$AI$268+'假日(16-20)'!$AI$287</f>
        <v>0</v>
      </c>
    </row>
    <row r="67" spans="72:77">
      <c r="BT67" s="168" t="s">
        <v>188</v>
      </c>
      <c r="BU67" s="169" t="str">
        <f t="shared" si="54"/>
        <v>-</v>
      </c>
      <c r="BV67" s="169" t="str">
        <f>IF(ISERROR($BW67/BY67),"-",$BW67/BY67)</f>
        <v>-</v>
      </c>
      <c r="BW67" s="168">
        <f>('假日(16-20)'!$AC$249+'假日(16-20)'!$AC$268+'假日(16-20)'!$AC$287+'假日(16-20)'!$AC$306)*15</f>
        <v>0</v>
      </c>
      <c r="BX67" s="168">
        <f>'假日(16-20)'!$AG$249+'假日(16-20)'!$AG$268+'假日(16-20)'!$AG$287+'假日(16-20)'!$AG$306</f>
        <v>0</v>
      </c>
      <c r="BY67" s="168">
        <f>'假日(16-20)'!$AI$249+'假日(16-20)'!$AI$268+'假日(16-20)'!$AI$287+'假日(16-20)'!$AI$306</f>
        <v>0</v>
      </c>
    </row>
    <row r="68" spans="72:77">
      <c r="BT68" s="165" t="str">
        <f>CONCATENATE(基本資料!$E$18,"方向","平均延滯")</f>
        <v>D方向平均延滯</v>
      </c>
      <c r="BU68" s="170" t="str">
        <f>IF(ISERROR(VLOOKUP($BX$85,BT55:BU67,2,1)),"-",VLOOKUP($BX$85,BT55:BU67,2,1))</f>
        <v>-</v>
      </c>
      <c r="BV68" s="170"/>
      <c r="BW68" s="165"/>
      <c r="BX68" s="165"/>
      <c r="BY68" s="165"/>
    </row>
    <row r="69" spans="72:77">
      <c r="BT69" s="165" t="str">
        <f>CONCATENATE(基本資料!$E$18,"方向","平均停等車輛延滯")</f>
        <v>D方向平均停等車輛延滯</v>
      </c>
      <c r="BU69" s="170"/>
      <c r="BV69" s="170" t="str">
        <f>IF(ISERROR(VLOOKUP($BX$86,BT55:BV67,3,1)),"-",VLOOKUP($BX$86,BT55:BV67,3,1))</f>
        <v>-</v>
      </c>
      <c r="BW69" s="165"/>
      <c r="BX69" s="165"/>
      <c r="BY69" s="165"/>
    </row>
    <row r="70" spans="72:77">
      <c r="BT70" s="238" t="s">
        <v>152</v>
      </c>
      <c r="BU70" s="239"/>
      <c r="BV70" s="239"/>
      <c r="BW70" s="239"/>
      <c r="BX70" s="239"/>
      <c r="BY70" s="240"/>
    </row>
    <row r="71" spans="72:77">
      <c r="BT71" s="165" t="s">
        <v>125</v>
      </c>
      <c r="BU71" s="166" t="s">
        <v>131</v>
      </c>
      <c r="BV71" s="167" t="s">
        <v>127</v>
      </c>
      <c r="BW71" s="166" t="s">
        <v>128</v>
      </c>
      <c r="BX71" s="166" t="s">
        <v>129</v>
      </c>
      <c r="BY71" s="166" t="s">
        <v>130</v>
      </c>
    </row>
    <row r="72" spans="72:77">
      <c r="BT72" s="168" t="str">
        <f>BT55</f>
        <v>16:00~17:00</v>
      </c>
      <c r="BU72" s="169" t="str">
        <f>IF(ISERROR($BW72/BX72),"-",$BW72/BX72)</f>
        <v>-</v>
      </c>
      <c r="BV72" s="169" t="str">
        <f>IF(ISERROR($BW72/BY72),"-",$BW72/BY72)</f>
        <v>-</v>
      </c>
      <c r="BW72" s="168">
        <f>BW4+BW21+BW38+BW55</f>
        <v>0</v>
      </c>
      <c r="BX72" s="168">
        <f>BX4+BX21+BX38+BX55</f>
        <v>0</v>
      </c>
      <c r="BY72" s="168">
        <f>BY4+BY21+BY38+BY55</f>
        <v>0</v>
      </c>
    </row>
    <row r="73" spans="72:77">
      <c r="BT73" s="168" t="str">
        <f>BT56</f>
        <v>16:15~17:15</v>
      </c>
      <c r="BU73" s="169" t="str">
        <f>IF(ISERROR($BW73/BX73),"-",$BW73/BX73)</f>
        <v>-</v>
      </c>
      <c r="BV73" s="169" t="str">
        <f t="shared" ref="BV73:BV83" si="56">IF(ISERROR($BW73/BY73),"-",$BW73/BY73)</f>
        <v>-</v>
      </c>
      <c r="BW73" s="168">
        <f>BW5+BW22+BW39+BW56</f>
        <v>0</v>
      </c>
      <c r="BX73" s="168">
        <f>BX5+BX22+BX39+BX56</f>
        <v>0</v>
      </c>
      <c r="BY73" s="168">
        <f>BY5+BY22+BY39+BY56</f>
        <v>0</v>
      </c>
    </row>
    <row r="74" spans="72:77">
      <c r="BT74" s="168" t="str">
        <f>BT57</f>
        <v>16:30~17:30</v>
      </c>
      <c r="BU74" s="169" t="str">
        <f>IF(ISERROR($BW74/BX74),"-",$BW74/BX74)</f>
        <v>-</v>
      </c>
      <c r="BV74" s="169" t="str">
        <f t="shared" si="56"/>
        <v>-</v>
      </c>
      <c r="BW74" s="168">
        <f>BW6+BW23+BW40+BW57</f>
        <v>0</v>
      </c>
      <c r="BX74" s="168">
        <f>BX6+BX23+BX40+BX57</f>
        <v>0</v>
      </c>
      <c r="BY74" s="168">
        <f>BY6+BY23+BY40+BY57</f>
        <v>0</v>
      </c>
    </row>
    <row r="75" spans="72:77">
      <c r="BT75" s="168" t="str">
        <f>BT58</f>
        <v>16:45~17:45</v>
      </c>
      <c r="BU75" s="169" t="str">
        <f>IF(ISERROR($BW75/BX75),"-",$BW75/BX75)</f>
        <v>-</v>
      </c>
      <c r="BV75" s="169" t="str">
        <f>IF(ISERROR($BW75/BY75),"-",$BW75/BY75)</f>
        <v>-</v>
      </c>
      <c r="BW75" s="168">
        <f>BW7+BW24+BW41+BW58</f>
        <v>0</v>
      </c>
      <c r="BX75" s="168">
        <f>BX7+BX24+BX41+BX58</f>
        <v>0</v>
      </c>
      <c r="BY75" s="168">
        <f>BY7+BY24+BY41+BY58</f>
        <v>0</v>
      </c>
    </row>
    <row r="76" spans="72:77">
      <c r="BT76" s="168" t="str">
        <f>BT59</f>
        <v>17:00~18:00</v>
      </c>
      <c r="BU76" s="169" t="str">
        <f t="shared" ref="BU76:BU83" si="57">IF(ISERROR($BW76/BX76),"-",$BW76/BX76)</f>
        <v>-</v>
      </c>
      <c r="BV76" s="169" t="str">
        <f>IF(ISERROR($BW76/BY76),"-",$BW76/BY76)</f>
        <v>-</v>
      </c>
      <c r="BW76" s="168">
        <f>BW8+BW25+BW42+BW59</f>
        <v>0</v>
      </c>
      <c r="BX76" s="168">
        <f>BX8+BX25+BX42+BX59</f>
        <v>0</v>
      </c>
      <c r="BY76" s="168">
        <f>BY8+BY25+BY42+BY59</f>
        <v>0</v>
      </c>
    </row>
    <row r="77" spans="72:77">
      <c r="BT77" s="168" t="s">
        <v>140</v>
      </c>
      <c r="BU77" s="169" t="str">
        <f>IF(ISERROR($BW77/BX77),"-",$BW77/BX77)</f>
        <v>-</v>
      </c>
      <c r="BV77" s="169" t="str">
        <f t="shared" si="56"/>
        <v>-</v>
      </c>
      <c r="BW77" s="168">
        <f>BW9+BW26+BW43+BW60</f>
        <v>0</v>
      </c>
      <c r="BX77" s="168">
        <f>BX9+BX26+BX43+BX60</f>
        <v>0</v>
      </c>
      <c r="BY77" s="168">
        <f>BY9+BY26+BY43+BY60</f>
        <v>0</v>
      </c>
    </row>
    <row r="78" spans="72:77">
      <c r="BT78" s="168" t="s">
        <v>136</v>
      </c>
      <c r="BU78" s="169" t="str">
        <f>IF(ISERROR($BW78/BX78),"-",$BW78/BX78)</f>
        <v>-</v>
      </c>
      <c r="BV78" s="169" t="str">
        <f>IF(ISERROR($BW78/BY78),"-",$BW78/BY78)</f>
        <v>-</v>
      </c>
      <c r="BW78" s="168">
        <f>BW10+BW27+BW44+BW61</f>
        <v>0</v>
      </c>
      <c r="BX78" s="168">
        <f>BX10+BX27+BX44+BX61</f>
        <v>0</v>
      </c>
      <c r="BY78" s="168">
        <f>BY10+BY27+BY44+BY61</f>
        <v>0</v>
      </c>
    </row>
    <row r="79" spans="72:77">
      <c r="BT79" s="168" t="s">
        <v>147</v>
      </c>
      <c r="BU79" s="169" t="str">
        <f t="shared" si="57"/>
        <v>-</v>
      </c>
      <c r="BV79" s="169" t="str">
        <f t="shared" si="56"/>
        <v>-</v>
      </c>
      <c r="BW79" s="168">
        <f>BW11+BW28+BW45+BW62</f>
        <v>0</v>
      </c>
      <c r="BX79" s="168">
        <f>BX11+BX28+BX45+BX62</f>
        <v>0</v>
      </c>
      <c r="BY79" s="168">
        <f>BY11+BY28+BY45+BY62</f>
        <v>0</v>
      </c>
    </row>
    <row r="80" spans="72:77">
      <c r="BT80" s="168" t="s">
        <v>151</v>
      </c>
      <c r="BU80" s="169" t="str">
        <f>IF(ISERROR($BW80/BX80),"-",$BW80/BX80)</f>
        <v>-</v>
      </c>
      <c r="BV80" s="169" t="str">
        <f t="shared" si="56"/>
        <v>-</v>
      </c>
      <c r="BW80" s="168">
        <f>BW12+BW29+BW46+BW63</f>
        <v>0</v>
      </c>
      <c r="BX80" s="168">
        <f>BX12+BX29+BX46+BX63</f>
        <v>0</v>
      </c>
      <c r="BY80" s="168">
        <f>BY12+BY29+BY46+BY63</f>
        <v>0</v>
      </c>
    </row>
    <row r="81" spans="72:77">
      <c r="BT81" s="168" t="s">
        <v>185</v>
      </c>
      <c r="BU81" s="169" t="str">
        <f t="shared" si="57"/>
        <v>-</v>
      </c>
      <c r="BV81" s="169" t="str">
        <f>IF(ISERROR($BW81/BY81),"-",$BW81/BY81)</f>
        <v>-</v>
      </c>
      <c r="BW81" s="168">
        <f>BW13+BW30+BW47+BW64</f>
        <v>0</v>
      </c>
      <c r="BX81" s="168">
        <f>BX13+BX30+BX47+BX64</f>
        <v>0</v>
      </c>
      <c r="BY81" s="168">
        <f>BY13+BY30+BY47+BY64</f>
        <v>0</v>
      </c>
    </row>
    <row r="82" spans="72:77">
      <c r="BT82" s="168" t="s">
        <v>186</v>
      </c>
      <c r="BU82" s="169" t="str">
        <f>IF(ISERROR($BW82/BX82),"-",$BW82/BX82)</f>
        <v>-</v>
      </c>
      <c r="BV82" s="169" t="str">
        <f>IF(ISERROR($BW82/BY82),"-",$BW82/BY82)</f>
        <v>-</v>
      </c>
      <c r="BW82" s="168">
        <f>BW14+BW31+BW48+BW65</f>
        <v>0</v>
      </c>
      <c r="BX82" s="168">
        <f>BX14+BX31+BX48+BX65</f>
        <v>0</v>
      </c>
      <c r="BY82" s="168">
        <f>BY14+BY31+BY48+BY65</f>
        <v>0</v>
      </c>
    </row>
    <row r="83" spans="72:77">
      <c r="BT83" s="168" t="s">
        <v>187</v>
      </c>
      <c r="BU83" s="169" t="str">
        <f t="shared" si="57"/>
        <v>-</v>
      </c>
      <c r="BV83" s="169" t="str">
        <f t="shared" si="56"/>
        <v>-</v>
      </c>
      <c r="BW83" s="168">
        <f>BW15+BW32+BW49+BW66</f>
        <v>0</v>
      </c>
      <c r="BX83" s="168">
        <f>BX15+BX32+BX49+BX66</f>
        <v>0</v>
      </c>
      <c r="BY83" s="168">
        <f>BY15+BY32+BY49+BY66</f>
        <v>0</v>
      </c>
    </row>
    <row r="84" spans="72:77">
      <c r="BT84" s="168" t="s">
        <v>188</v>
      </c>
      <c r="BU84" s="169" t="str">
        <f>IF(ISERROR($BW84/BX84),"-",$BW84/BX84)</f>
        <v>-</v>
      </c>
      <c r="BV84" s="169" t="str">
        <f>IF(ISERROR($BW84/BY84),"-",$BW84/BY84)</f>
        <v>-</v>
      </c>
      <c r="BW84" s="168">
        <f>BW16+BW33+BW50+BW67</f>
        <v>0</v>
      </c>
      <c r="BX84" s="168">
        <f>BX16+BX33+BX50+BX67</f>
        <v>0</v>
      </c>
      <c r="BY84" s="168">
        <f>BY16+BY33+BY50+BY67</f>
        <v>0</v>
      </c>
    </row>
    <row r="85" spans="72:77">
      <c r="BT85" s="165" t="s">
        <v>153</v>
      </c>
      <c r="BU85" s="170">
        <f>MAX(BU72:BU84)</f>
        <v>0</v>
      </c>
      <c r="BV85" s="170"/>
      <c r="BW85" s="165" t="s">
        <v>154</v>
      </c>
      <c r="BX85" s="165" t="str">
        <f>IF(BU85=BU72,BT$72,IF(BU85=BU73,BT$73,IF(BU85=BU74,BT$74,IF(BU85=BU75,BT$75,IF(BU85=BU76,BT$76,IF(BU85=BU77,BT$77,IF(BU85=BU78,BT$78,IF(BU85=BU79,BT$79,IF(BU85=BU80,BT$80,IF(BU85=BU81,BT$81,IF(BU85=BU82,BT$82,IF(BU85=BU83,BT$83,IF(BU85=BU84,BT$84,"-")))))))))))))</f>
        <v>-</v>
      </c>
      <c r="BY85" s="165"/>
    </row>
    <row r="86" spans="72:77">
      <c r="BT86" s="165" t="s">
        <v>155</v>
      </c>
      <c r="BU86" s="170"/>
      <c r="BV86" s="170">
        <f>MAX(BV72:BV84)</f>
        <v>0</v>
      </c>
      <c r="BW86" s="165" t="s">
        <v>154</v>
      </c>
      <c r="BX86" s="165" t="str">
        <f>IF(BV86=BV72,BT$72,IF(BV86=BV73,BT$73,IF(BV86=BV74,BT$74,IF(BV86=BV75,BT$75,IF(BV86=BV76,BT$76,IF(BV86=BV77,BT$77,IF(BV86=BV78,BT$78,IF(BV86=BV79,BT$79,IF(BV86=BV80,BT$80,IF(BV86=BV81,BT$81,IF(BV86=BV82,BT$82,IF(BV86=BV83,BT$83,IF(BV86=BV84,BT$84,"-")))))))))))))</f>
        <v>-</v>
      </c>
      <c r="BY86" s="165"/>
    </row>
  </sheetData>
  <mergeCells count="66">
    <mergeCell ref="BT70:BY70"/>
    <mergeCell ref="BT19:BY19"/>
    <mergeCell ref="BT36:BY36"/>
    <mergeCell ref="BT53:BY53"/>
    <mergeCell ref="W1:AB1"/>
    <mergeCell ref="W2:AB2"/>
    <mergeCell ref="W11:AB11"/>
    <mergeCell ref="W20:AB20"/>
    <mergeCell ref="W29:AB29"/>
    <mergeCell ref="BF1:BK1"/>
    <mergeCell ref="BM1:BR1"/>
    <mergeCell ref="I2:N2"/>
    <mergeCell ref="P2:U2"/>
    <mergeCell ref="AD2:AI2"/>
    <mergeCell ref="AK2:AP2"/>
    <mergeCell ref="AR2:AW2"/>
    <mergeCell ref="AY2:BD2"/>
    <mergeCell ref="BF2:BK2"/>
    <mergeCell ref="BM2:BR2"/>
    <mergeCell ref="I1:N1"/>
    <mergeCell ref="P1:U1"/>
    <mergeCell ref="AD1:AI1"/>
    <mergeCell ref="AK1:AP1"/>
    <mergeCell ref="AR1:AW1"/>
    <mergeCell ref="AY1:BD1"/>
    <mergeCell ref="I11:N11"/>
    <mergeCell ref="P11:U11"/>
    <mergeCell ref="AD11:AI11"/>
    <mergeCell ref="AK11:AP11"/>
    <mergeCell ref="AR11:AW11"/>
    <mergeCell ref="I20:N20"/>
    <mergeCell ref="P20:U20"/>
    <mergeCell ref="AD20:AI20"/>
    <mergeCell ref="AK20:AP20"/>
    <mergeCell ref="AR20:AW20"/>
    <mergeCell ref="AR29:AW29"/>
    <mergeCell ref="AY29:BD29"/>
    <mergeCell ref="BF11:BK11"/>
    <mergeCell ref="BM11:BR11"/>
    <mergeCell ref="AY20:BD20"/>
    <mergeCell ref="BF20:BK20"/>
    <mergeCell ref="BM20:BR20"/>
    <mergeCell ref="AY11:BD11"/>
    <mergeCell ref="BF29:BK29"/>
    <mergeCell ref="W38:AB38"/>
    <mergeCell ref="AY38:BD38"/>
    <mergeCell ref="BM29:BR29"/>
    <mergeCell ref="I29:N29"/>
    <mergeCell ref="P29:U29"/>
    <mergeCell ref="AD29:AI29"/>
    <mergeCell ref="AK29:AP29"/>
    <mergeCell ref="BT1:BY1"/>
    <mergeCell ref="BT2:BY2"/>
    <mergeCell ref="B38:G38"/>
    <mergeCell ref="BF38:BK38"/>
    <mergeCell ref="BM38:BR38"/>
    <mergeCell ref="B1:G1"/>
    <mergeCell ref="B2:G2"/>
    <mergeCell ref="B11:G11"/>
    <mergeCell ref="B20:G20"/>
    <mergeCell ref="B29:G29"/>
    <mergeCell ref="I38:N38"/>
    <mergeCell ref="P38:U38"/>
    <mergeCell ref="AD38:AI38"/>
    <mergeCell ref="AK38:AP38"/>
    <mergeCell ref="AR38:AW38"/>
  </mergeCells>
  <phoneticPr fontId="20" type="noConversion"/>
  <pageMargins left="0.7" right="0.7" top="0.75" bottom="0.75" header="0.3" footer="0.3"/>
  <pageSetup paperSize="9" scale="54" orientation="portrait" r:id="rId1"/>
  <colBreaks count="3" manualBreakCount="3">
    <brk id="21" max="1048575" man="1"/>
    <brk id="3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T31"/>
  <sheetViews>
    <sheetView topLeftCell="D1" zoomScale="80" zoomScaleNormal="80" workbookViewId="0">
      <selection activeCell="F36" sqref="F36"/>
    </sheetView>
  </sheetViews>
  <sheetFormatPr defaultColWidth="12.08984375" defaultRowHeight="15.5"/>
  <cols>
    <col min="1" max="1" width="18.08984375" style="1" bestFit="1" customWidth="1"/>
    <col min="2" max="2" width="18.08984375" style="1" customWidth="1"/>
    <col min="3" max="16384" width="12.08984375" style="1"/>
  </cols>
  <sheetData>
    <row r="1" spans="1:20">
      <c r="A1" s="171" t="s">
        <v>156</v>
      </c>
      <c r="B1" s="171"/>
    </row>
    <row r="2" spans="1:20" ht="15.5" customHeight="1">
      <c r="A2" s="241" t="s">
        <v>157</v>
      </c>
      <c r="B2" s="242"/>
      <c r="C2" s="245" t="str">
        <f>資料分析!B1</f>
        <v>平日晨峰(0630-0830)</v>
      </c>
      <c r="D2" s="245"/>
      <c r="E2" s="245"/>
      <c r="F2" s="245" t="str">
        <f>資料分析!I1</f>
        <v>平日晨峰(07-09)</v>
      </c>
      <c r="G2" s="245"/>
      <c r="H2" s="245"/>
      <c r="I2" s="246" t="str">
        <f>資料分析!P1</f>
        <v>平日中午(11-13)</v>
      </c>
      <c r="J2" s="247"/>
      <c r="K2" s="248"/>
      <c r="L2" s="246" t="str">
        <f>資料分析!W1</f>
        <v>平日中午(12-14)</v>
      </c>
      <c r="M2" s="247"/>
      <c r="N2" s="248"/>
      <c r="O2" s="246" t="str">
        <f>資料分析!AD1</f>
        <v>平日昏峰(17-19)</v>
      </c>
      <c r="P2" s="247"/>
      <c r="Q2" s="248"/>
    </row>
    <row r="3" spans="1:20">
      <c r="A3" s="243"/>
      <c r="B3" s="244"/>
      <c r="C3" s="172" t="s">
        <v>158</v>
      </c>
      <c r="D3" s="172" t="s">
        <v>159</v>
      </c>
      <c r="E3" s="173" t="s">
        <v>131</v>
      </c>
      <c r="F3" s="172" t="s">
        <v>158</v>
      </c>
      <c r="G3" s="172" t="s">
        <v>159</v>
      </c>
      <c r="H3" s="173" t="s">
        <v>131</v>
      </c>
      <c r="I3" s="172" t="s">
        <v>158</v>
      </c>
      <c r="J3" s="172" t="s">
        <v>159</v>
      </c>
      <c r="K3" s="174" t="s">
        <v>131</v>
      </c>
      <c r="L3" s="172" t="s">
        <v>158</v>
      </c>
      <c r="M3" s="172" t="s">
        <v>159</v>
      </c>
      <c r="N3" s="174" t="s">
        <v>131</v>
      </c>
      <c r="O3" s="172" t="s">
        <v>158</v>
      </c>
      <c r="P3" s="172" t="s">
        <v>159</v>
      </c>
      <c r="Q3" s="174" t="s">
        <v>131</v>
      </c>
    </row>
    <row r="4" spans="1:20">
      <c r="A4" s="175" t="s">
        <v>34</v>
      </c>
      <c r="B4" s="176" t="str">
        <f>CONCATENATE(基本資料!B19,基本資料!B20)</f>
        <v/>
      </c>
      <c r="C4" s="177" t="str">
        <f>IF(資料分析!C9=0,"-",資料分析!C9)</f>
        <v>-</v>
      </c>
      <c r="D4" s="178" t="str">
        <f t="shared" ref="D4:D7" si="0">IF(C4="-","-",IF(C4&lt;=15,"A",IF(C4&lt;=30,"B",IF(C4&lt;=45,"C",IF(C4&lt;=60,"D",IF(C4&lt;=80,"E","F"))))))</f>
        <v>-</v>
      </c>
      <c r="E4" s="179" t="str">
        <f>IF(資料分析!C45=0,"-",資料分析!C45)</f>
        <v>-</v>
      </c>
      <c r="F4" s="177" t="str">
        <f>IF(資料分析!J9=0,"-",資料分析!J9)</f>
        <v>-</v>
      </c>
      <c r="G4" s="178" t="str">
        <f t="shared" ref="G4:G7" si="1">IF(F4="-","-",IF(F4&lt;=15,"A",IF(F4&lt;=30,"B",IF(F4&lt;=45,"C",IF(F4&lt;=60,"D",IF(F4&lt;=80,"E","F"))))))</f>
        <v>-</v>
      </c>
      <c r="H4" s="179" t="str">
        <f>IF(資料分析!J45=0,"-",資料分析!J45)</f>
        <v>-</v>
      </c>
      <c r="I4" s="180" t="str">
        <f>IF(資料分析!Q9=0,"-",資料分析!Q9)</f>
        <v>-</v>
      </c>
      <c r="J4" s="178" t="str">
        <f>IF(I4="-","-",IF(I4&lt;=15,"A",IF(I4&lt;=30,"B",IF(I4&lt;=45,"C",IF(I4&lt;=60,"D",IF(I4&lt;=80,"E","F"))))))</f>
        <v>-</v>
      </c>
      <c r="K4" s="179" t="str">
        <f>IF(資料分析!Q45=0,"-",資料分析!Q45)</f>
        <v>-</v>
      </c>
      <c r="L4" s="180" t="str">
        <f>IF(資料分析!X9=0,"-",資料分析!X9)</f>
        <v>-</v>
      </c>
      <c r="M4" s="178" t="str">
        <f t="shared" ref="M4:M7" si="2">IF(L4="-","-",IF(L4&lt;=15,"A",IF(L4&lt;=30,"B",IF(L4&lt;=45,"C",IF(L4&lt;=60,"D",IF(L4&lt;=80,"E","F"))))))</f>
        <v>-</v>
      </c>
      <c r="N4" s="179" t="str">
        <f>IF(資料分析!X45=0,"-",資料分析!X45)</f>
        <v>-</v>
      </c>
      <c r="O4" s="180" t="str">
        <f>IF(資料分析!AE9=0,"-",資料分析!AE9)</f>
        <v>-</v>
      </c>
      <c r="P4" s="178" t="str">
        <f>IF(O4="-","-",IF(O4&lt;=15,"A",IF(O4&lt;=30,"B",IF(O4&lt;=45,"C",IF(O4&lt;=60,"D",IF(O4&lt;=80,"E","F"))))))</f>
        <v>-</v>
      </c>
      <c r="Q4" s="179" t="str">
        <f>IF(資料分析!AE45=0,"-",資料分析!AE45)</f>
        <v>-</v>
      </c>
    </row>
    <row r="5" spans="1:20">
      <c r="A5" s="181" t="s">
        <v>35</v>
      </c>
      <c r="B5" s="176" t="str">
        <f>CONCATENATE(基本資料!C19,基本資料!C20)</f>
        <v/>
      </c>
      <c r="C5" s="182" t="str">
        <f>IF(資料分析!C18=0,"-",資料分析!C18)</f>
        <v>-</v>
      </c>
      <c r="D5" s="183" t="str">
        <f t="shared" si="0"/>
        <v>-</v>
      </c>
      <c r="E5" s="184" t="str">
        <f>IF(E4="-","-",IF(E4&lt;=15,"A",IF(E4&lt;=30,"B",IF(E4&lt;=45,"C",IF(E4&lt;=60,"D",IF(E4&lt;=80,"E","F"))))))</f>
        <v>-</v>
      </c>
      <c r="F5" s="182" t="str">
        <f>IF(資料分析!J18=0,"-",資料分析!J18)</f>
        <v>-</v>
      </c>
      <c r="G5" s="183" t="str">
        <f t="shared" si="1"/>
        <v>-</v>
      </c>
      <c r="H5" s="184" t="str">
        <f>IF(H4="-","-",IF(H4&lt;=15,"A",IF(H4&lt;=30,"B",IF(H4&lt;=45,"C",IF(H4&lt;=60,"D",IF(H4&lt;=80,"E","F"))))))</f>
        <v>-</v>
      </c>
      <c r="I5" s="185" t="str">
        <f>IF(資料分析!Q18=0,"-",資料分析!Q18)</f>
        <v>-</v>
      </c>
      <c r="J5" s="178" t="str">
        <f>IF(I5="-","-",IF(I5&lt;=15,"A",IF(I5&lt;=30,"B",IF(I5&lt;=45,"C",IF(I5&lt;=60,"D",IF(I5&lt;=80,"E","F"))))))</f>
        <v>-</v>
      </c>
      <c r="K5" s="184" t="str">
        <f>IF(K4="-","-",IF(K4&lt;=15,"A",IF(K4&lt;=30,"B",IF(K4&lt;=45,"C",IF(K4&lt;=60,"D",IF(K4&lt;=80,"E","F"))))))</f>
        <v>-</v>
      </c>
      <c r="L5" s="185" t="str">
        <f>IF(資料分析!X18=0,"-",資料分析!X18)</f>
        <v>-</v>
      </c>
      <c r="M5" s="178" t="str">
        <f t="shared" si="2"/>
        <v>-</v>
      </c>
      <c r="N5" s="184" t="str">
        <f>IF(N4="-","-",IF(N4&lt;=15,"A",IF(N4&lt;=30,"B",IF(N4&lt;=45,"C",IF(N4&lt;=60,"D",IF(N4&lt;=80,"E","F"))))))</f>
        <v>-</v>
      </c>
      <c r="O5" s="185" t="str">
        <f>IF(資料分析!AE18=0,"-",資料分析!AE18)</f>
        <v>-</v>
      </c>
      <c r="P5" s="178" t="str">
        <f>IF(O5="-","-",IF(O5&lt;=15,"A",IF(O5&lt;=30,"B",IF(O5&lt;=45,"C",IF(O5&lt;=60,"D",IF(O5&lt;=80,"E","F"))))))</f>
        <v>-</v>
      </c>
      <c r="Q5" s="184" t="str">
        <f>IF(Q4="-","-",IF(Q4&lt;=15,"A",IF(Q4&lt;=30,"B",IF(Q4&lt;=45,"C",IF(Q4&lt;=60,"D",IF(Q4&lt;=80,"E","F"))))))</f>
        <v>-</v>
      </c>
    </row>
    <row r="6" spans="1:20">
      <c r="A6" s="181" t="s">
        <v>36</v>
      </c>
      <c r="B6" s="176" t="str">
        <f>CONCATENATE(基本資料!D19,基本資料!D20)</f>
        <v/>
      </c>
      <c r="C6" s="182" t="str">
        <f>IF(資料分析!C27=0,"-",資料分析!C27)</f>
        <v>-</v>
      </c>
      <c r="D6" s="183" t="str">
        <f t="shared" si="0"/>
        <v>-</v>
      </c>
      <c r="E6" s="186"/>
      <c r="F6" s="182" t="str">
        <f>IF(資料分析!J27=0,"-",資料分析!J27)</f>
        <v>-</v>
      </c>
      <c r="G6" s="183" t="str">
        <f t="shared" si="1"/>
        <v>-</v>
      </c>
      <c r="H6" s="186"/>
      <c r="I6" s="185" t="str">
        <f>IF(資料分析!Q27=0,"-",資料分析!Q27)</f>
        <v>-</v>
      </c>
      <c r="J6" s="178" t="str">
        <f>IF(I6="-","-",IF(I6&lt;=15,"A",IF(I6&lt;=30,"B",IF(I6&lt;=45,"C",IF(I6&lt;=60,"D",IF(I6&lt;=80,"E","F"))))))</f>
        <v>-</v>
      </c>
      <c r="K6" s="186"/>
      <c r="L6" s="185" t="str">
        <f>IF(資料分析!X27=0,"-",資料分析!X27)</f>
        <v>-</v>
      </c>
      <c r="M6" s="178" t="str">
        <f t="shared" si="2"/>
        <v>-</v>
      </c>
      <c r="N6" s="186"/>
      <c r="O6" s="185" t="str">
        <f>IF(資料分析!AE27=0,"-",資料分析!AE27)</f>
        <v>-</v>
      </c>
      <c r="P6" s="178" t="str">
        <f>IF(O6="-","-",IF(O6&lt;=15,"A",IF(O6&lt;=30,"B",IF(O6&lt;=45,"C",IF(O6&lt;=60,"D",IF(O6&lt;=80,"E","F"))))))</f>
        <v>-</v>
      </c>
      <c r="Q6" s="186"/>
    </row>
    <row r="7" spans="1:20">
      <c r="A7" s="181" t="s">
        <v>37</v>
      </c>
      <c r="B7" s="176" t="str">
        <f>CONCATENATE(基本資料!E19,基本資料!E20)</f>
        <v/>
      </c>
      <c r="C7" s="182" t="str">
        <f>IF(資料分析!C36=0,"-",資料分析!C36)</f>
        <v>-</v>
      </c>
      <c r="D7" s="183" t="str">
        <f t="shared" si="0"/>
        <v>-</v>
      </c>
      <c r="E7" s="186"/>
      <c r="F7" s="182" t="str">
        <f>IF(資料分析!J36=0,"-",資料分析!J36)</f>
        <v>-</v>
      </c>
      <c r="G7" s="183" t="str">
        <f t="shared" si="1"/>
        <v>-</v>
      </c>
      <c r="H7" s="186"/>
      <c r="I7" s="185" t="str">
        <f>IF(資料分析!Q36=0,"-",資料分析!Q36)</f>
        <v>-</v>
      </c>
      <c r="J7" s="178" t="str">
        <f t="shared" ref="J7" si="3">IF(I7="-","-",IF(I7&lt;=15,"A",IF(I7&lt;=30,"B",IF(I7&lt;=45,"C",IF(I7&lt;=60,"D",IF(I7&lt;=80,"E","F"))))))</f>
        <v>-</v>
      </c>
      <c r="K7" s="186"/>
      <c r="L7" s="185" t="str">
        <f>IF(資料分析!X36=0,"-",資料分析!X36)</f>
        <v>-</v>
      </c>
      <c r="M7" s="178" t="str">
        <f t="shared" si="2"/>
        <v>-</v>
      </c>
      <c r="N7" s="186"/>
      <c r="O7" s="185" t="str">
        <f>IF(資料分析!AE36=0,"-",資料分析!AE36)</f>
        <v>-</v>
      </c>
      <c r="P7" s="178" t="str">
        <f>IF(O7="-","-",IF(O7&lt;=15,"A",IF(O7&lt;=30,"B",IF(O7&lt;=45,"C",IF(O7&lt;=60,"D",IF(O7&lt;=80,"E","F"))))))</f>
        <v>-</v>
      </c>
      <c r="Q7" s="186"/>
    </row>
    <row r="9" spans="1:20">
      <c r="A9" s="171" t="s">
        <v>156</v>
      </c>
      <c r="B9" s="171"/>
    </row>
    <row r="10" spans="1:20">
      <c r="A10" s="241" t="s">
        <v>157</v>
      </c>
      <c r="B10" s="242"/>
      <c r="C10" s="245" t="str">
        <f>資料分析!AK1</f>
        <v>假日(11-12)</v>
      </c>
      <c r="D10" s="245"/>
      <c r="E10" s="245"/>
      <c r="F10" s="245" t="str">
        <f>資料分析!AR1</f>
        <v>假日(1430~1530)</v>
      </c>
      <c r="G10" s="245"/>
      <c r="H10" s="245"/>
      <c r="I10" s="245" t="str">
        <f>資料分析!AY1</f>
        <v>假日(1730~1830)</v>
      </c>
      <c r="J10" s="245"/>
      <c r="K10" s="245"/>
      <c r="L10" s="245" t="str">
        <f>資料分析!BF1</f>
        <v>假日(16-18)</v>
      </c>
      <c r="M10" s="245"/>
      <c r="N10" s="245"/>
      <c r="O10" s="245" t="str">
        <f>資料分析!BM1</f>
        <v>假日(17-19)</v>
      </c>
      <c r="P10" s="245"/>
      <c r="Q10" s="245"/>
      <c r="R10" s="249" t="str">
        <f>資料分析!BT1</f>
        <v>假日(16-20)</v>
      </c>
      <c r="S10" s="249"/>
      <c r="T10" s="249"/>
    </row>
    <row r="11" spans="1:20">
      <c r="A11" s="243"/>
      <c r="B11" s="244"/>
      <c r="C11" s="172" t="s">
        <v>158</v>
      </c>
      <c r="D11" s="172" t="s">
        <v>159</v>
      </c>
      <c r="E11" s="173" t="s">
        <v>131</v>
      </c>
      <c r="F11" s="172" t="s">
        <v>158</v>
      </c>
      <c r="G11" s="172" t="s">
        <v>159</v>
      </c>
      <c r="H11" s="173" t="s">
        <v>131</v>
      </c>
      <c r="I11" s="172" t="s">
        <v>158</v>
      </c>
      <c r="J11" s="172" t="s">
        <v>159</v>
      </c>
      <c r="K11" s="173" t="s">
        <v>131</v>
      </c>
      <c r="L11" s="172" t="s">
        <v>158</v>
      </c>
      <c r="M11" s="172" t="s">
        <v>159</v>
      </c>
      <c r="N11" s="173" t="s">
        <v>131</v>
      </c>
      <c r="O11" s="172" t="s">
        <v>158</v>
      </c>
      <c r="P11" s="172" t="s">
        <v>159</v>
      </c>
      <c r="Q11" s="173" t="s">
        <v>131</v>
      </c>
      <c r="R11" s="172" t="s">
        <v>158</v>
      </c>
      <c r="S11" s="172" t="s">
        <v>159</v>
      </c>
      <c r="T11" s="173" t="s">
        <v>131</v>
      </c>
    </row>
    <row r="12" spans="1:20">
      <c r="A12" s="181" t="s">
        <v>34</v>
      </c>
      <c r="B12" s="187" t="str">
        <f>B4</f>
        <v/>
      </c>
      <c r="C12" s="182" t="str">
        <f>IF(資料分析!AL9=0,"-",資料分析!AL9)</f>
        <v>-</v>
      </c>
      <c r="D12" s="183" t="str">
        <f t="shared" ref="D12:D15" si="4">IF(C12="-","-",IF(C12&lt;=15,"A",IF(C12&lt;=30,"B",IF(C12&lt;=45,"C",IF(C12&lt;=60,"D",IF(C12&lt;=80,"E","F"))))))</f>
        <v>-</v>
      </c>
      <c r="E12" s="179" t="str">
        <f>IF(資料分析!AL45=0,"-",資料分析!AL45)</f>
        <v>-</v>
      </c>
      <c r="F12" s="185" t="str">
        <f>IF(資料分析!AS9=0,"-",資料分析!AS9)</f>
        <v>-</v>
      </c>
      <c r="G12" s="183" t="str">
        <f t="shared" ref="G12:G15" si="5">IF(F12="-","-",IF(F12&lt;=15,"A",IF(F12&lt;=30,"B",IF(F12&lt;=45,"C",IF(F12&lt;=60,"D",IF(F12&lt;=80,"E","F"))))))</f>
        <v>-</v>
      </c>
      <c r="H12" s="179" t="str">
        <f>IF(資料分析!AS45=0,"-",資料分析!AS45)</f>
        <v>-</v>
      </c>
      <c r="I12" s="185" t="str">
        <f>IF(資料分析!AZ9=0,"-",資料分析!AZ9)</f>
        <v>-</v>
      </c>
      <c r="J12" s="183" t="str">
        <f t="shared" ref="J12:J15" si="6">IF(I12="-","-",IF(I12&lt;=15,"A",IF(I12&lt;=30,"B",IF(I12&lt;=45,"C",IF(I12&lt;=60,"D",IF(I12&lt;=80,"E","F"))))))</f>
        <v>-</v>
      </c>
      <c r="K12" s="179" t="str">
        <f>IF(資料分析!AZ45=0,"-",資料分析!AZ45)</f>
        <v>-</v>
      </c>
      <c r="L12" s="185" t="str">
        <f>IF(資料分析!BG9=0,"-",資料分析!BG9)</f>
        <v>-</v>
      </c>
      <c r="M12" s="183" t="str">
        <f t="shared" ref="M12:M15" si="7">IF(L12="-","-",IF(L12&lt;=15,"A",IF(L12&lt;=30,"B",IF(L12&lt;=45,"C",IF(L12&lt;=60,"D",IF(L12&lt;=80,"E","F"))))))</f>
        <v>-</v>
      </c>
      <c r="N12" s="179" t="str">
        <f>IF(資料分析!BG45=0,"-",資料分析!BG45)</f>
        <v>-</v>
      </c>
      <c r="O12" s="185" t="str">
        <f>IF(資料分析!BN9=0,"-",資料分析!BN9)</f>
        <v>-</v>
      </c>
      <c r="P12" s="183" t="str">
        <f t="shared" ref="P12:P15" si="8">IF(O12="-","-",IF(O12&lt;=15,"A",IF(O12&lt;=30,"B",IF(O12&lt;=45,"C",IF(O12&lt;=60,"D",IF(O12&lt;=80,"E","F"))))))</f>
        <v>-</v>
      </c>
      <c r="Q12" s="179" t="str">
        <f>IF(資料分析!BN45=0,"-",資料分析!BN45)</f>
        <v>-</v>
      </c>
      <c r="R12" s="185" t="str">
        <f>IF(資料分析!BU17=0,"-",資料分析!BU17)</f>
        <v>-</v>
      </c>
      <c r="S12" s="183" t="str">
        <f t="shared" ref="S12:S15" si="9">IF(R12="-","-",IF(R12&lt;=15,"A",IF(R12&lt;=30,"B",IF(R12&lt;=45,"C",IF(R12&lt;=60,"D",IF(R12&lt;=80,"E","F"))))))</f>
        <v>-</v>
      </c>
      <c r="T12" s="179" t="str">
        <f>IF(資料分析!BU85=0,"-",資料分析!BU85)</f>
        <v>-</v>
      </c>
    </row>
    <row r="13" spans="1:20">
      <c r="A13" s="181" t="s">
        <v>35</v>
      </c>
      <c r="B13" s="187" t="str">
        <f>B5</f>
        <v/>
      </c>
      <c r="C13" s="182" t="str">
        <f>IF(資料分析!AL18=0,"-",資料分析!AL18)</f>
        <v>-</v>
      </c>
      <c r="D13" s="183" t="str">
        <f t="shared" si="4"/>
        <v>-</v>
      </c>
      <c r="E13" s="184" t="str">
        <f>IF(E12="-","-",IF(E12&lt;=15,"A",IF(E12&lt;=30,"B",IF(E12&lt;=45,"C",IF(E12&lt;=60,"D",IF(E12&lt;=80,"E","F"))))))</f>
        <v>-</v>
      </c>
      <c r="F13" s="185" t="str">
        <f>IF(資料分析!AS18=0,"-",資料分析!AS18)</f>
        <v>-</v>
      </c>
      <c r="G13" s="183" t="str">
        <f t="shared" si="5"/>
        <v>-</v>
      </c>
      <c r="H13" s="184" t="str">
        <f>IF(H12="-","-",IF(H12&lt;=15,"A",IF(H12&lt;=30,"B",IF(H12&lt;=45,"C",IF(H12&lt;=60,"D",IF(H12&lt;=80,"E","F"))))))</f>
        <v>-</v>
      </c>
      <c r="I13" s="185" t="str">
        <f>IF(資料分析!AZ18=0,"-",資料分析!AZ18)</f>
        <v>-</v>
      </c>
      <c r="J13" s="183" t="str">
        <f t="shared" si="6"/>
        <v>-</v>
      </c>
      <c r="K13" s="184" t="str">
        <f>IF(K12="-","-",IF(K12&lt;=15,"A",IF(K12&lt;=30,"B",IF(K12&lt;=45,"C",IF(K12&lt;=60,"D",IF(K12&lt;=80,"E","F"))))))</f>
        <v>-</v>
      </c>
      <c r="L13" s="185" t="str">
        <f>IF(資料分析!BG18=0,"-",資料分析!BG18)</f>
        <v>-</v>
      </c>
      <c r="M13" s="183" t="str">
        <f t="shared" si="7"/>
        <v>-</v>
      </c>
      <c r="N13" s="184" t="str">
        <f>IF(N12="-","-",IF(N12&lt;=15,"A",IF(N12&lt;=30,"B",IF(N12&lt;=45,"C",IF(N12&lt;=60,"D",IF(N12&lt;=80,"E","F"))))))</f>
        <v>-</v>
      </c>
      <c r="O13" s="185" t="str">
        <f>IF(資料分析!BN18=0,"-",資料分析!BN18)</f>
        <v>-</v>
      </c>
      <c r="P13" s="183" t="str">
        <f t="shared" si="8"/>
        <v>-</v>
      </c>
      <c r="Q13" s="184" t="str">
        <f>IF(Q12="-","-",IF(Q12&lt;=15,"A",IF(Q12&lt;=30,"B",IF(Q12&lt;=45,"C",IF(Q12&lt;=60,"D",IF(Q12&lt;=80,"E","F"))))))</f>
        <v>-</v>
      </c>
      <c r="R13" s="185" t="str">
        <f>IF(資料分析!BU34=0,"-",資料分析!BU34)</f>
        <v>-</v>
      </c>
      <c r="S13" s="183" t="str">
        <f t="shared" si="9"/>
        <v>-</v>
      </c>
      <c r="T13" s="184" t="str">
        <f>IF(T12="-","-",IF(T12&lt;=15,"A",IF(T12&lt;=30,"B",IF(T12&lt;=45,"C",IF(T12&lt;=60,"D",IF(T12&lt;=80,"E","F"))))))</f>
        <v>-</v>
      </c>
    </row>
    <row r="14" spans="1:20">
      <c r="A14" s="181" t="s">
        <v>36</v>
      </c>
      <c r="B14" s="187" t="str">
        <f>B6</f>
        <v/>
      </c>
      <c r="C14" s="182" t="str">
        <f>IF(資料分析!AL27=0,"-",資料分析!AL27)</f>
        <v>-</v>
      </c>
      <c r="D14" s="183" t="str">
        <f t="shared" si="4"/>
        <v>-</v>
      </c>
      <c r="E14" s="186"/>
      <c r="F14" s="185" t="str">
        <f>IF(資料分析!AS27=0,"-",資料分析!AS27)</f>
        <v>-</v>
      </c>
      <c r="G14" s="183" t="str">
        <f t="shared" si="5"/>
        <v>-</v>
      </c>
      <c r="H14" s="186"/>
      <c r="I14" s="185" t="str">
        <f>IF(資料分析!AZ27=0,"-",資料分析!AZ27)</f>
        <v>-</v>
      </c>
      <c r="J14" s="183" t="str">
        <f t="shared" si="6"/>
        <v>-</v>
      </c>
      <c r="K14" s="186"/>
      <c r="L14" s="185" t="str">
        <f>IF(資料分析!BG27=0,"-",資料分析!BG27)</f>
        <v>-</v>
      </c>
      <c r="M14" s="183" t="str">
        <f t="shared" si="7"/>
        <v>-</v>
      </c>
      <c r="N14" s="186"/>
      <c r="O14" s="185" t="str">
        <f>IF(資料分析!BN27=0,"-",資料分析!BN27)</f>
        <v>-</v>
      </c>
      <c r="P14" s="183" t="str">
        <f t="shared" si="8"/>
        <v>-</v>
      </c>
      <c r="Q14" s="186"/>
      <c r="R14" s="185" t="str">
        <f>IF(資料分析!BU51=0,"-",資料分析!BU51)</f>
        <v>-</v>
      </c>
      <c r="S14" s="183" t="str">
        <f t="shared" si="9"/>
        <v>-</v>
      </c>
      <c r="T14" s="186"/>
    </row>
    <row r="15" spans="1:20">
      <c r="A15" s="181" t="s">
        <v>37</v>
      </c>
      <c r="B15" s="187" t="str">
        <f>B7</f>
        <v/>
      </c>
      <c r="C15" s="182" t="str">
        <f>IF(資料分析!AL36=0,"-",資料分析!AL36)</f>
        <v>-</v>
      </c>
      <c r="D15" s="183" t="str">
        <f t="shared" si="4"/>
        <v>-</v>
      </c>
      <c r="E15" s="186"/>
      <c r="F15" s="185" t="str">
        <f>IF(資料分析!AS36=0,"-",資料分析!AS36)</f>
        <v>-</v>
      </c>
      <c r="G15" s="183" t="str">
        <f t="shared" si="5"/>
        <v>-</v>
      </c>
      <c r="H15" s="186"/>
      <c r="I15" s="185" t="str">
        <f>IF(資料分析!AZ36=0,"-",資料分析!AZ36)</f>
        <v>-</v>
      </c>
      <c r="J15" s="183" t="str">
        <f t="shared" si="6"/>
        <v>-</v>
      </c>
      <c r="K15" s="186"/>
      <c r="L15" s="185" t="str">
        <f>IF(資料分析!BG36=0,"-",資料分析!BG36)</f>
        <v>-</v>
      </c>
      <c r="M15" s="183" t="str">
        <f t="shared" si="7"/>
        <v>-</v>
      </c>
      <c r="N15" s="186"/>
      <c r="O15" s="185" t="str">
        <f>IF(資料分析!BN36=0,"-",資料分析!BN36)</f>
        <v>-</v>
      </c>
      <c r="P15" s="183" t="str">
        <f t="shared" si="8"/>
        <v>-</v>
      </c>
      <c r="Q15" s="186"/>
      <c r="R15" s="185" t="str">
        <f>IF(資料分析!BU68=0,"-",資料分析!BU68)</f>
        <v>-</v>
      </c>
      <c r="S15" s="183" t="str">
        <f t="shared" si="9"/>
        <v>-</v>
      </c>
      <c r="T15" s="186"/>
    </row>
    <row r="16" spans="1:20">
      <c r="C16" s="188"/>
      <c r="D16" s="189"/>
      <c r="E16" s="190"/>
    </row>
    <row r="17" spans="1:20">
      <c r="A17" s="171" t="s">
        <v>160</v>
      </c>
      <c r="B17" s="171"/>
    </row>
    <row r="18" spans="1:20">
      <c r="A18" s="241" t="s">
        <v>157</v>
      </c>
      <c r="B18" s="242"/>
      <c r="C18" s="245" t="str">
        <f>C2</f>
        <v>平日晨峰(0630-0830)</v>
      </c>
      <c r="D18" s="245"/>
      <c r="E18" s="245"/>
      <c r="F18" s="245" t="str">
        <f>F2</f>
        <v>平日晨峰(07-09)</v>
      </c>
      <c r="G18" s="245"/>
      <c r="H18" s="245"/>
      <c r="I18" s="245" t="str">
        <f>I2</f>
        <v>平日中午(11-13)</v>
      </c>
      <c r="J18" s="245"/>
      <c r="K18" s="245"/>
      <c r="L18" s="245" t="str">
        <f>L2</f>
        <v>平日中午(12-14)</v>
      </c>
      <c r="M18" s="245"/>
      <c r="N18" s="245"/>
      <c r="O18" s="245" t="str">
        <f>O2</f>
        <v>平日昏峰(17-19)</v>
      </c>
      <c r="P18" s="245"/>
      <c r="Q18" s="245"/>
    </row>
    <row r="19" spans="1:20">
      <c r="A19" s="243"/>
      <c r="B19" s="244"/>
      <c r="C19" s="172" t="s">
        <v>158</v>
      </c>
      <c r="D19" s="172" t="s">
        <v>159</v>
      </c>
      <c r="E19" s="173" t="s">
        <v>131</v>
      </c>
      <c r="F19" s="172" t="s">
        <v>158</v>
      </c>
      <c r="G19" s="172" t="s">
        <v>159</v>
      </c>
      <c r="H19" s="173" t="s">
        <v>131</v>
      </c>
      <c r="I19" s="172" t="s">
        <v>158</v>
      </c>
      <c r="J19" s="172" t="s">
        <v>159</v>
      </c>
      <c r="K19" s="174" t="s">
        <v>131</v>
      </c>
      <c r="L19" s="172" t="s">
        <v>158</v>
      </c>
      <c r="M19" s="172" t="s">
        <v>159</v>
      </c>
      <c r="N19" s="174" t="s">
        <v>131</v>
      </c>
      <c r="O19" s="172" t="s">
        <v>158</v>
      </c>
      <c r="P19" s="172" t="s">
        <v>159</v>
      </c>
      <c r="Q19" s="174" t="s">
        <v>131</v>
      </c>
    </row>
    <row r="20" spans="1:20">
      <c r="A20" s="175" t="s">
        <v>34</v>
      </c>
      <c r="B20" s="191" t="str">
        <f>B4</f>
        <v/>
      </c>
      <c r="C20" s="192" t="str">
        <f>IF(資料分析!D10=0,"-",資料分析!D10)</f>
        <v>-</v>
      </c>
      <c r="D20" s="183" t="str">
        <f>IF(C20="-","-",IF(C20&lt;=15,"A",IF(C20&lt;=30,"B",IF(C20&lt;=45,"C",IF(C20&lt;=60,"D",IF(C20&lt;=80,"E","F"))))))</f>
        <v>-</v>
      </c>
      <c r="E20" s="193" t="str">
        <f>IF(資料分析!D46=0,"-",資料分析!D46)</f>
        <v>-</v>
      </c>
      <c r="F20" s="192" t="str">
        <f>IF(資料分析!K10=0,"-",資料分析!K10)</f>
        <v>-</v>
      </c>
      <c r="G20" s="183" t="str">
        <f>IF(F20="-","-",IF(F20&lt;=15,"A",IF(F20&lt;=30,"B",IF(F20&lt;=45,"C",IF(F20&lt;=60,"D",IF(F20&lt;=80,"E","F"))))))</f>
        <v>-</v>
      </c>
      <c r="H20" s="193" t="str">
        <f>IF(資料分析!K46=0,"-",資料分析!K46)</f>
        <v>-</v>
      </c>
      <c r="I20" s="194" t="str">
        <f>IF(資料分析!R10=0,"-",資料分析!R10)</f>
        <v>-</v>
      </c>
      <c r="J20" s="183" t="str">
        <f>IF(I20="-","-",IF(I20&lt;=15,"A",IF(I20&lt;=30,"B",IF(I20&lt;=45,"C",IF(I20&lt;=60,"D",IF(I20&lt;=80,"E","F"))))))</f>
        <v>-</v>
      </c>
      <c r="K20" s="193" t="str">
        <f>IF(資料分析!R46=0,"-",資料分析!R46)</f>
        <v>-</v>
      </c>
      <c r="L20" s="194" t="str">
        <f>IF(資料分析!Y10=0,"-",資料分析!Y10)</f>
        <v>-</v>
      </c>
      <c r="M20" s="183" t="str">
        <f>IF(L20="-","-",IF(L20&lt;=15,"A",IF(L20&lt;=30,"B",IF(L20&lt;=45,"C",IF(L20&lt;=60,"D",IF(L20&lt;=80,"E","F"))))))</f>
        <v>-</v>
      </c>
      <c r="N20" s="193" t="str">
        <f>IF(資料分析!Y46=0,"-",資料分析!Y46)</f>
        <v>-</v>
      </c>
      <c r="O20" s="194" t="str">
        <f>IF(資料分析!AF10=0,"-",資料分析!AF10)</f>
        <v>-</v>
      </c>
      <c r="P20" s="183" t="str">
        <f t="shared" ref="P20:P23" si="10">IF(O20="-","-",IF(O20&lt;=15,"A",IF(O20&lt;=30,"B",IF(O20&lt;=45,"C",IF(O20&lt;=60,"D",IF(O20&lt;=80,"E","F"))))))</f>
        <v>-</v>
      </c>
      <c r="Q20" s="193" t="str">
        <f>IF(資料分析!AF46=0,"-",資料分析!AF46)</f>
        <v>-</v>
      </c>
    </row>
    <row r="21" spans="1:20">
      <c r="A21" s="181" t="s">
        <v>35</v>
      </c>
      <c r="B21" s="191" t="str">
        <f>B5</f>
        <v/>
      </c>
      <c r="C21" s="195" t="str">
        <f>IF(資料分析!D19=0,"-",資料分析!D19)</f>
        <v>-</v>
      </c>
      <c r="D21" s="183" t="str">
        <f>IF(C21="-","-",IF(C21&lt;=15,"A",IF(C21&lt;=30,"B",IF(C21&lt;=45,"C",IF(C21&lt;=60,"D",IF(C21&lt;=80,"E","F"))))))</f>
        <v>-</v>
      </c>
      <c r="E21" s="184" t="str">
        <f>IF(E20="-","-",IF(E20&lt;=15,"A",IF(E20&lt;=30,"B",IF(E20&lt;=45,"C",IF(E20&lt;=60,"D",IF(E20&lt;=80,"E","F"))))))</f>
        <v>-</v>
      </c>
      <c r="F21" s="195" t="str">
        <f>IF(資料分析!K19=0,"-",資料分析!K19)</f>
        <v>-</v>
      </c>
      <c r="G21" s="183" t="str">
        <f>IF(F21="-","-",IF(F21&lt;=15,"A",IF(F21&lt;=30,"B",IF(F21&lt;=45,"C",IF(F21&lt;=60,"D",IF(F21&lt;=80,"E","F"))))))</f>
        <v>-</v>
      </c>
      <c r="H21" s="184" t="str">
        <f>IF(H20="-","-",IF(H20&lt;=15,"A",IF(H20&lt;=30,"B",IF(H20&lt;=45,"C",IF(H20&lt;=60,"D",IF(H20&lt;=80,"E","F"))))))</f>
        <v>-</v>
      </c>
      <c r="I21" s="196" t="str">
        <f>IF(資料分析!R19=0,"-",資料分析!R19)</f>
        <v>-</v>
      </c>
      <c r="J21" s="183" t="str">
        <f>IF(I21="-","-",IF(I21&lt;=15,"A",IF(I21&lt;=30,"B",IF(I21&lt;=45,"C",IF(I21&lt;=60,"D",IF(I21&lt;=80,"E","F"))))))</f>
        <v>-</v>
      </c>
      <c r="K21" s="184" t="str">
        <f>IF(K20="-","-",IF(K20&lt;=15,"A",IF(K20&lt;=30,"B",IF(K20&lt;=45,"C",IF(K20&lt;=60,"D",IF(K20&lt;=80,"E","F"))))))</f>
        <v>-</v>
      </c>
      <c r="L21" s="196" t="str">
        <f>IF(資料分析!Y19=0,"-",資料分析!Y19)</f>
        <v>-</v>
      </c>
      <c r="M21" s="183" t="str">
        <f>IF(L21="-","-",IF(L21&lt;=15,"A",IF(L21&lt;=30,"B",IF(L21&lt;=45,"C",IF(L21&lt;=60,"D",IF(L21&lt;=80,"E","F"))))))</f>
        <v>-</v>
      </c>
      <c r="N21" s="184" t="str">
        <f>IF(N20="-","-",IF(N20&lt;=15,"A",IF(N20&lt;=30,"B",IF(N20&lt;=45,"C",IF(N20&lt;=60,"D",IF(N20&lt;=80,"E","F"))))))</f>
        <v>-</v>
      </c>
      <c r="O21" s="196" t="str">
        <f>IF(資料分析!AF19=0,"-",資料分析!AF19)</f>
        <v>-</v>
      </c>
      <c r="P21" s="183" t="str">
        <f t="shared" si="10"/>
        <v>-</v>
      </c>
      <c r="Q21" s="184" t="str">
        <f>IF(Q20="-","-",IF(Q20&lt;=15,"A",IF(Q20&lt;=30,"B",IF(Q20&lt;=45,"C",IF(Q20&lt;=60,"D",IF(Q20&lt;=80,"E","F"))))))</f>
        <v>-</v>
      </c>
    </row>
    <row r="22" spans="1:20">
      <c r="A22" s="174" t="s">
        <v>36</v>
      </c>
      <c r="B22" s="197" t="str">
        <f>B6</f>
        <v/>
      </c>
      <c r="C22" s="193" t="str">
        <f>IF(資料分析!D28=0,"-",資料分析!D28)</f>
        <v>-</v>
      </c>
      <c r="D22" s="183" t="str">
        <f>IF(C22="-","-",IF(C22&lt;=15,"A",IF(C22&lt;=30,"B",IF(C22&lt;=45,"C",IF(C22&lt;=60,"D",IF(C22&lt;=80,"E","F"))))))</f>
        <v>-</v>
      </c>
      <c r="E22" s="186"/>
      <c r="F22" s="193" t="str">
        <f>IF(資料分析!K28=0,"-",資料分析!K28)</f>
        <v>-</v>
      </c>
      <c r="G22" s="183" t="str">
        <f>IF(F22="-","-",IF(F22&lt;=15,"A",IF(F22&lt;=30,"B",IF(F22&lt;=45,"C",IF(F22&lt;=60,"D",IF(F22&lt;=80,"E","F"))))))</f>
        <v>-</v>
      </c>
      <c r="H22" s="186"/>
      <c r="I22" s="198" t="str">
        <f>IF(資料分析!R28=0,"-",資料分析!R28)</f>
        <v>-</v>
      </c>
      <c r="J22" s="183" t="str">
        <f>IF(I22="-","-",IF(I22&lt;=15,"A",IF(I22&lt;=30,"B",IF(I22&lt;=45,"C",IF(I22&lt;=60,"D",IF(I22&lt;=80,"E","F"))))))</f>
        <v>-</v>
      </c>
      <c r="K22" s="186"/>
      <c r="L22" s="198" t="str">
        <f>IF(資料分析!Y28=0,"-",資料分析!Y28)</f>
        <v>-</v>
      </c>
      <c r="M22" s="183" t="str">
        <f>IF(L22="-","-",IF(L22&lt;=15,"A",IF(L22&lt;=30,"B",IF(L22&lt;=45,"C",IF(L22&lt;=60,"D",IF(L22&lt;=80,"E","F"))))))</f>
        <v>-</v>
      </c>
      <c r="N22" s="186"/>
      <c r="O22" s="198" t="str">
        <f>IF(資料分析!AF28=0,"-",資料分析!AF28)</f>
        <v>-</v>
      </c>
      <c r="P22" s="183" t="str">
        <f t="shared" si="10"/>
        <v>-</v>
      </c>
      <c r="Q22" s="186"/>
    </row>
    <row r="23" spans="1:20">
      <c r="A23" s="181" t="s">
        <v>37</v>
      </c>
      <c r="B23" s="199" t="str">
        <f>B7</f>
        <v/>
      </c>
      <c r="C23" s="195" t="str">
        <f>IF(資料分析!D37=0,"-",資料分析!D37)</f>
        <v>-</v>
      </c>
      <c r="D23" s="183" t="str">
        <f t="shared" ref="D23" si="11">IF(C23="-","-",IF(C23&lt;=15,"A",IF(C23&lt;=30,"B",IF(C23&lt;=45,"C",IF(C23&lt;=60,"D",IF(C23&lt;=80,"E","F"))))))</f>
        <v>-</v>
      </c>
      <c r="E23" s="186"/>
      <c r="F23" s="195" t="str">
        <f>IF(資料分析!K37=0,"-",資料分析!K37)</f>
        <v>-</v>
      </c>
      <c r="G23" s="183" t="str">
        <f>IF(F23="-","-",IF(F23&lt;=15,"A",IF(F23&lt;=30,"B",IF(F23&lt;=45,"C",IF(F23&lt;=60,"D",IF(F23&lt;=80,"E","F"))))))</f>
        <v>-</v>
      </c>
      <c r="H23" s="186"/>
      <c r="I23" s="196" t="str">
        <f>IF(資料分析!R37=0,"-",資料分析!R37)</f>
        <v>-</v>
      </c>
      <c r="J23" s="183" t="str">
        <f>IF(I23="-","-",IF(I23&lt;=15,"A",IF(I23&lt;=30,"B",IF(I23&lt;=45,"C",IF(I23&lt;=60,"D",IF(I23&lt;=80,"E","F"))))))</f>
        <v>-</v>
      </c>
      <c r="K23" s="186"/>
      <c r="L23" s="196" t="str">
        <f>IF(資料分析!Y37=0,"-",資料分析!Y37)</f>
        <v>-</v>
      </c>
      <c r="M23" s="183" t="str">
        <f>IF(L23="-","-",IF(L23&lt;=15,"A",IF(L23&lt;=30,"B",IF(L23&lt;=45,"C",IF(L23&lt;=60,"D",IF(L23&lt;=80,"E","F"))))))</f>
        <v>-</v>
      </c>
      <c r="N23" s="186"/>
      <c r="O23" s="196" t="str">
        <f>IF(資料分析!AF37=0,"-",資料分析!AF37)</f>
        <v>-</v>
      </c>
      <c r="P23" s="183" t="str">
        <f t="shared" si="10"/>
        <v>-</v>
      </c>
      <c r="Q23" s="186"/>
    </row>
    <row r="25" spans="1:20">
      <c r="A25" s="171" t="s">
        <v>160</v>
      </c>
      <c r="B25" s="171"/>
    </row>
    <row r="26" spans="1:20">
      <c r="A26" s="241" t="s">
        <v>157</v>
      </c>
      <c r="B26" s="242"/>
      <c r="C26" s="245" t="str">
        <f>C10</f>
        <v>假日(11-12)</v>
      </c>
      <c r="D26" s="245"/>
      <c r="E26" s="245"/>
      <c r="F26" s="245" t="str">
        <f>F10</f>
        <v>假日(1430~1530)</v>
      </c>
      <c r="G26" s="245"/>
      <c r="H26" s="245"/>
      <c r="I26" s="245" t="str">
        <f>I10</f>
        <v>假日(1730~1830)</v>
      </c>
      <c r="J26" s="245"/>
      <c r="K26" s="245"/>
      <c r="L26" s="245" t="str">
        <f>L10</f>
        <v>假日(16-18)</v>
      </c>
      <c r="M26" s="245"/>
      <c r="N26" s="245"/>
      <c r="O26" s="245" t="str">
        <f>O10</f>
        <v>假日(17-19)</v>
      </c>
      <c r="P26" s="245"/>
      <c r="Q26" s="245"/>
      <c r="R26" s="249" t="str">
        <f>R10</f>
        <v>假日(16-20)</v>
      </c>
      <c r="S26" s="249"/>
      <c r="T26" s="249"/>
    </row>
    <row r="27" spans="1:20">
      <c r="A27" s="243"/>
      <c r="B27" s="244"/>
      <c r="C27" s="172" t="s">
        <v>158</v>
      </c>
      <c r="D27" s="172" t="s">
        <v>159</v>
      </c>
      <c r="E27" s="173" t="s">
        <v>131</v>
      </c>
      <c r="F27" s="172" t="s">
        <v>158</v>
      </c>
      <c r="G27" s="172" t="s">
        <v>159</v>
      </c>
      <c r="H27" s="173" t="s">
        <v>131</v>
      </c>
      <c r="I27" s="172" t="s">
        <v>158</v>
      </c>
      <c r="J27" s="172" t="s">
        <v>159</v>
      </c>
      <c r="K27" s="173" t="s">
        <v>131</v>
      </c>
      <c r="L27" s="172" t="s">
        <v>158</v>
      </c>
      <c r="M27" s="172" t="s">
        <v>159</v>
      </c>
      <c r="N27" s="173" t="s">
        <v>131</v>
      </c>
      <c r="O27" s="172" t="s">
        <v>158</v>
      </c>
      <c r="P27" s="172" t="s">
        <v>159</v>
      </c>
      <c r="Q27" s="173" t="s">
        <v>131</v>
      </c>
      <c r="R27" s="172" t="s">
        <v>158</v>
      </c>
      <c r="S27" s="172" t="s">
        <v>159</v>
      </c>
      <c r="T27" s="173" t="s">
        <v>131</v>
      </c>
    </row>
    <row r="28" spans="1:20">
      <c r="A28" s="175" t="s">
        <v>34</v>
      </c>
      <c r="B28" s="191" t="str">
        <f>B12</f>
        <v/>
      </c>
      <c r="C28" s="192" t="str">
        <f>IF(資料分析!AM10=0,"-",資料分析!AM10)</f>
        <v>-</v>
      </c>
      <c r="D28" s="183" t="str">
        <f>IF(C28="-","-",IF(C28&lt;=15,"A",IF(C28&lt;=30,"B",IF(C28&lt;=45,"C",IF(C28&lt;=60,"D",IF(C28&lt;=80,"E","F"))))))</f>
        <v>-</v>
      </c>
      <c r="E28" s="193" t="str">
        <f>IF(資料分析!AM46=0,"-",資料分析!AM46)</f>
        <v>-</v>
      </c>
      <c r="F28" s="194" t="str">
        <f>IF(資料分析!AT10=0,"-",資料分析!AT10)</f>
        <v>-</v>
      </c>
      <c r="G28" s="183" t="str">
        <f t="shared" ref="G28:G31" si="12">IF(F28="-","-",IF(F28&lt;=15,"A",IF(F28&lt;=30,"B",IF(F28&lt;=45,"C",IF(F28&lt;=60,"D",IF(F28&lt;=80,"E","F"))))))</f>
        <v>-</v>
      </c>
      <c r="H28" s="193" t="str">
        <f>IF(資料分析!AT46=0,"-",資料分析!AT46)</f>
        <v>-</v>
      </c>
      <c r="I28" s="194" t="str">
        <f>IF(資料分析!BA10=0,"-",資料分析!BA10)</f>
        <v>-</v>
      </c>
      <c r="J28" s="183" t="str">
        <f>IF(I28="-","-",IF(I28&lt;=15,"A",IF(I28&lt;=30,"B",IF(I28&lt;=45,"C",IF(I28&lt;=60,"D",IF(I28&lt;=80,"E","F"))))))</f>
        <v>-</v>
      </c>
      <c r="K28" s="193" t="str">
        <f>IF(資料分析!BA46=0,"-",資料分析!BA46)</f>
        <v>-</v>
      </c>
      <c r="L28" s="194" t="str">
        <f>IF(資料分析!BH10=0,"-",資料分析!BH10)</f>
        <v>-</v>
      </c>
      <c r="M28" s="183" t="str">
        <f t="shared" ref="M28:M31" si="13">IF(L28="-","-",IF(L28&lt;=15,"A",IF(L28&lt;=30,"B",IF(L28&lt;=45,"C",IF(L28&lt;=60,"D",IF(L28&lt;=80,"E","F"))))))</f>
        <v>-</v>
      </c>
      <c r="N28" s="193" t="str">
        <f>IF(資料分析!BH46=0,"-",資料分析!BH46)</f>
        <v>-</v>
      </c>
      <c r="O28" s="194" t="str">
        <f>IF(資料分析!BO10=0,"-",資料分析!BO10)</f>
        <v>-</v>
      </c>
      <c r="P28" s="183" t="str">
        <f>IF(O28="-","-",IF(O28&lt;=15,"A",IF(O28&lt;=30,"B",IF(O28&lt;=45,"C",IF(O28&lt;=60,"D",IF(O28&lt;=80,"E","F"))))))</f>
        <v>-</v>
      </c>
      <c r="Q28" s="193" t="str">
        <f>IF(資料分析!BO46=0,"-",資料分析!BO46)</f>
        <v>-</v>
      </c>
      <c r="R28" s="194" t="str">
        <f>IF(資料分析!BV18=0,"-",資料分析!BV18)</f>
        <v>-</v>
      </c>
      <c r="S28" s="183" t="str">
        <f t="shared" ref="S28:S31" si="14">IF(R28="-","-",IF(R28&lt;=15,"A",IF(R28&lt;=30,"B",IF(R28&lt;=45,"C",IF(R28&lt;=60,"D",IF(R28&lt;=80,"E","F"))))))</f>
        <v>-</v>
      </c>
      <c r="T28" s="193" t="str">
        <f>IF(資料分析!BV86=0,"-",資料分析!BV86)</f>
        <v>-</v>
      </c>
    </row>
    <row r="29" spans="1:20">
      <c r="A29" s="181" t="s">
        <v>35</v>
      </c>
      <c r="B29" s="191" t="str">
        <f>B13</f>
        <v/>
      </c>
      <c r="C29" s="195" t="str">
        <f>IF(資料分析!AM19=0,"-",資料分析!AM19)</f>
        <v>-</v>
      </c>
      <c r="D29" s="183" t="str">
        <f>IF(C29="-","-",IF(C29&lt;=15,"A",IF(C29&lt;=30,"B",IF(C29&lt;=45,"C",IF(C29&lt;=60,"D",IF(C29&lt;=80,"E","F"))))))</f>
        <v>-</v>
      </c>
      <c r="E29" s="184" t="str">
        <f>IF(E28="-","-",IF(E28&lt;=15,"A",IF(E28&lt;=30,"B",IF(E28&lt;=45,"C",IF(E28&lt;=60,"D",IF(E28&lt;=80,"E","F"))))))</f>
        <v>-</v>
      </c>
      <c r="F29" s="196" t="str">
        <f>IF(資料分析!AT19=0,"-",資料分析!AT19)</f>
        <v>-</v>
      </c>
      <c r="G29" s="183" t="str">
        <f t="shared" si="12"/>
        <v>-</v>
      </c>
      <c r="H29" s="184" t="str">
        <f>IF(H28="-","-",IF(H28&lt;=15,"A",IF(H28&lt;=30,"B",IF(H28&lt;=45,"C",IF(H28&lt;=60,"D",IF(H28&lt;=80,"E","F"))))))</f>
        <v>-</v>
      </c>
      <c r="I29" s="196" t="str">
        <f>IF(資料分析!BA19=0,"-",資料分析!BA19)</f>
        <v>-</v>
      </c>
      <c r="J29" s="183" t="str">
        <f>IF(I29="-","-",IF(I29&lt;=15,"A",IF(I29&lt;=30,"B",IF(I29&lt;=45,"C",IF(I29&lt;=60,"D",IF(I29&lt;=80,"E","F"))))))</f>
        <v>-</v>
      </c>
      <c r="K29" s="184" t="str">
        <f>IF(K28="-","-",IF(K28&lt;=15,"A",IF(K28&lt;=30,"B",IF(K28&lt;=45,"C",IF(K28&lt;=60,"D",IF(K28&lt;=80,"E","F"))))))</f>
        <v>-</v>
      </c>
      <c r="L29" s="196" t="str">
        <f>IF(資料分析!BH19=0,"-",資料分析!BH19)</f>
        <v>-</v>
      </c>
      <c r="M29" s="183" t="str">
        <f t="shared" si="13"/>
        <v>-</v>
      </c>
      <c r="N29" s="184" t="str">
        <f>IF(N28="-","-",IF(N28&lt;=15,"A",IF(N28&lt;=30,"B",IF(N28&lt;=45,"C",IF(N28&lt;=60,"D",IF(N28&lt;=80,"E","F"))))))</f>
        <v>-</v>
      </c>
      <c r="O29" s="196" t="str">
        <f>IF(資料分析!BO19=0,"-",資料分析!BO19)</f>
        <v>-</v>
      </c>
      <c r="P29" s="183" t="str">
        <f>IF(O29="-","-",IF(O29&lt;=15,"A",IF(O29&lt;=30,"B",IF(O29&lt;=45,"C",IF(O29&lt;=60,"D",IF(O29&lt;=80,"E","F"))))))</f>
        <v>-</v>
      </c>
      <c r="Q29" s="184" t="str">
        <f>IF(Q28="-","-",IF(Q28&lt;=15,"A",IF(Q28&lt;=30,"B",IF(Q28&lt;=45,"C",IF(Q28&lt;=60,"D",IF(Q28&lt;=80,"E","F"))))))</f>
        <v>-</v>
      </c>
      <c r="R29" s="194" t="str">
        <f>IF(資料分析!BV35=0,"-",資料分析!BV35)</f>
        <v>-</v>
      </c>
      <c r="S29" s="183" t="str">
        <f t="shared" si="14"/>
        <v>-</v>
      </c>
      <c r="T29" s="184" t="str">
        <f>IF(T28="-","-",IF(T28&lt;=15,"A",IF(T28&lt;=30,"B",IF(T28&lt;=45,"C",IF(T28&lt;=60,"D",IF(T28&lt;=80,"E","F"))))))</f>
        <v>-</v>
      </c>
    </row>
    <row r="30" spans="1:20">
      <c r="A30" s="181" t="s">
        <v>36</v>
      </c>
      <c r="B30" s="191" t="str">
        <f>B14</f>
        <v/>
      </c>
      <c r="C30" s="195" t="str">
        <f>IF(資料分析!AM28=0,"-",資料分析!AM28)</f>
        <v>-</v>
      </c>
      <c r="D30" s="183" t="str">
        <f>IF(C30="-","-",IF(C30&lt;=15,"A",IF(C30&lt;=30,"B",IF(C30&lt;=45,"C",IF(C30&lt;=60,"D",IF(C30&lt;=80,"E","F"))))))</f>
        <v>-</v>
      </c>
      <c r="E30" s="186"/>
      <c r="F30" s="196" t="str">
        <f>IF(資料分析!AT28=0,"-",資料分析!AT28)</f>
        <v>-</v>
      </c>
      <c r="G30" s="183" t="str">
        <f t="shared" si="12"/>
        <v>-</v>
      </c>
      <c r="H30" s="186"/>
      <c r="I30" s="196" t="str">
        <f>IF(資料分析!BA28=0,"-",資料分析!BA28)</f>
        <v>-</v>
      </c>
      <c r="J30" s="183" t="str">
        <f>IF(I30="-","-",IF(I30&lt;=15,"A",IF(I30&lt;=30,"B",IF(I30&lt;=45,"C",IF(I30&lt;=60,"D",IF(I30&lt;=80,"E","F"))))))</f>
        <v>-</v>
      </c>
      <c r="K30" s="186"/>
      <c r="L30" s="196" t="str">
        <f>IF(資料分析!BH28=0,"-",資料分析!BH28)</f>
        <v>-</v>
      </c>
      <c r="M30" s="183" t="str">
        <f t="shared" si="13"/>
        <v>-</v>
      </c>
      <c r="N30" s="186"/>
      <c r="O30" s="196" t="str">
        <f>IF(資料分析!BO28=0,"-",資料分析!BO28)</f>
        <v>-</v>
      </c>
      <c r="P30" s="183" t="str">
        <f>IF(O30="-","-",IF(O30&lt;=15,"A",IF(O30&lt;=30,"B",IF(O30&lt;=45,"C",IF(O30&lt;=60,"D",IF(O30&lt;=80,"E","F"))))))</f>
        <v>-</v>
      </c>
      <c r="Q30" s="186"/>
      <c r="R30" s="194" t="str">
        <f>IF(資料分析!BV52=0,"-",資料分析!BV52)</f>
        <v>-</v>
      </c>
      <c r="S30" s="183" t="str">
        <f t="shared" si="14"/>
        <v>-</v>
      </c>
      <c r="T30" s="186"/>
    </row>
    <row r="31" spans="1:20">
      <c r="A31" s="181" t="s">
        <v>37</v>
      </c>
      <c r="B31" s="191" t="str">
        <f>B15</f>
        <v/>
      </c>
      <c r="C31" s="195" t="str">
        <f>IF(資料分析!AM37=0,"-",資料分析!AM37)</f>
        <v>-</v>
      </c>
      <c r="D31" s="183" t="str">
        <f>IF(C31="-","-",IF(C31&lt;=15,"A",IF(C31&lt;=30,"B",IF(C31&lt;=45,"C",IF(C31&lt;=60,"D",IF(C31&lt;=80,"E","F"))))))</f>
        <v>-</v>
      </c>
      <c r="E31" s="186"/>
      <c r="F31" s="196" t="str">
        <f>IF(資料分析!AT37=0,"-",資料分析!AT37)</f>
        <v>-</v>
      </c>
      <c r="G31" s="183" t="str">
        <f t="shared" si="12"/>
        <v>-</v>
      </c>
      <c r="H31" s="186"/>
      <c r="I31" s="196" t="str">
        <f>IF(資料分析!BA37=0,"-",資料分析!BA37)</f>
        <v>-</v>
      </c>
      <c r="J31" s="183" t="str">
        <f>IF(I31="-","-",IF(I31&lt;=15,"A",IF(I31&lt;=30,"B",IF(I31&lt;=45,"C",IF(I31&lt;=60,"D",IF(I31&lt;=80,"E","F"))))))</f>
        <v>-</v>
      </c>
      <c r="K31" s="186"/>
      <c r="L31" s="196" t="str">
        <f>IF(資料分析!BH37=0,"-",資料分析!BH37)</f>
        <v>-</v>
      </c>
      <c r="M31" s="183" t="str">
        <f t="shared" si="13"/>
        <v>-</v>
      </c>
      <c r="N31" s="186"/>
      <c r="O31" s="196" t="str">
        <f>IF(資料分析!BO37=0,"-",資料分析!BO37)</f>
        <v>-</v>
      </c>
      <c r="P31" s="183" t="str">
        <f>IF(O31="-","-",IF(O31&lt;=15,"A",IF(O31&lt;=30,"B",IF(O31&lt;=45,"C",IF(O31&lt;=60,"D",IF(O31&lt;=80,"E","F"))))))</f>
        <v>-</v>
      </c>
      <c r="Q31" s="186"/>
      <c r="R31" s="194" t="str">
        <f>IF(資料分析!BV69=0,"-",資料分析!BV69)</f>
        <v>-</v>
      </c>
      <c r="S31" s="183" t="str">
        <f t="shared" si="14"/>
        <v>-</v>
      </c>
      <c r="T31" s="186"/>
    </row>
  </sheetData>
  <autoFilter ref="L5:L7" xr:uid="{00000000-0009-0000-0000-000005000000}"/>
  <mergeCells count="26">
    <mergeCell ref="O2:Q2"/>
    <mergeCell ref="C2:E2"/>
    <mergeCell ref="R10:T10"/>
    <mergeCell ref="C18:E18"/>
    <mergeCell ref="R26:T26"/>
    <mergeCell ref="L2:N2"/>
    <mergeCell ref="O26:Q26"/>
    <mergeCell ref="L10:N10"/>
    <mergeCell ref="O10:Q10"/>
    <mergeCell ref="A2:B3"/>
    <mergeCell ref="F2:H2"/>
    <mergeCell ref="I2:K2"/>
    <mergeCell ref="A10:B11"/>
    <mergeCell ref="C10:E10"/>
    <mergeCell ref="F10:H10"/>
    <mergeCell ref="I10:K10"/>
    <mergeCell ref="A18:B19"/>
    <mergeCell ref="F18:H18"/>
    <mergeCell ref="I18:K18"/>
    <mergeCell ref="O18:Q18"/>
    <mergeCell ref="A26:B27"/>
    <mergeCell ref="C26:E26"/>
    <mergeCell ref="F26:H26"/>
    <mergeCell ref="I26:K26"/>
    <mergeCell ref="L26:N26"/>
    <mergeCell ref="L18:N18"/>
  </mergeCells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AJ155"/>
  <sheetViews>
    <sheetView topLeftCell="T1" zoomScale="70" zoomScaleNormal="70" zoomScaleSheetLayoutView="70" workbookViewId="0">
      <pane ySplit="2" topLeftCell="A3" activePane="bottomLeft" state="frozen"/>
      <selection activeCell="E159" sqref="E159"/>
      <selection pane="bottomLeft" activeCell="AK4" sqref="AK1:AR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37" width="2.08984375" style="1" customWidth="1"/>
    <col min="38" max="16384" width="10.08984375" style="1"/>
  </cols>
  <sheetData>
    <row r="1" spans="1:36" s="11" customFormat="1" ht="18.5" thickBot="1">
      <c r="A1" s="253" t="str">
        <f>基本資料!B11</f>
        <v>平日晨峰(0630-0830)</v>
      </c>
      <c r="B1" s="254"/>
      <c r="C1" s="254"/>
      <c r="D1" s="254"/>
      <c r="E1" s="254"/>
      <c r="F1" s="254"/>
      <c r="G1" s="254"/>
      <c r="H1" s="255"/>
      <c r="J1" s="253" t="str">
        <f>基本資料!B11</f>
        <v>平日晨峰(0630-0830)</v>
      </c>
      <c r="K1" s="254"/>
      <c r="L1" s="254"/>
      <c r="M1" s="254"/>
      <c r="N1" s="254"/>
      <c r="O1" s="254"/>
      <c r="P1" s="254"/>
      <c r="Q1" s="255"/>
      <c r="S1" s="253" t="str">
        <f>基本資料!B11</f>
        <v>平日晨峰(0630-0830)</v>
      </c>
      <c r="T1" s="254"/>
      <c r="U1" s="254"/>
      <c r="V1" s="254"/>
      <c r="W1" s="254"/>
      <c r="X1" s="254"/>
      <c r="Y1" s="254"/>
      <c r="Z1" s="255"/>
      <c r="AB1" s="253" t="str">
        <f>基本資料!B11</f>
        <v>平日晨峰(0630-0830)</v>
      </c>
      <c r="AC1" s="254"/>
      <c r="AD1" s="254"/>
      <c r="AE1" s="254"/>
      <c r="AF1" s="254"/>
      <c r="AG1" s="254"/>
      <c r="AH1" s="254"/>
      <c r="AI1" s="255"/>
    </row>
    <row r="2" spans="1:36" ht="18.5" thickBot="1">
      <c r="A2" s="256" t="str">
        <f>CONCATENATE(基本資料!B18,"方向：",基本資料!B19,基本資料!B20)</f>
        <v>A方向：</v>
      </c>
      <c r="B2" s="257"/>
      <c r="C2" s="257"/>
      <c r="D2" s="257"/>
      <c r="E2" s="257"/>
      <c r="F2" s="257"/>
      <c r="G2" s="257"/>
      <c r="H2" s="258"/>
      <c r="I2" s="1"/>
      <c r="J2" s="256" t="str">
        <f>CONCATENATE(基本資料!C18,"方向：",基本資料!C19,基本資料!C20)</f>
        <v>B方向：</v>
      </c>
      <c r="K2" s="257"/>
      <c r="L2" s="257"/>
      <c r="M2" s="257"/>
      <c r="N2" s="257"/>
      <c r="O2" s="257"/>
      <c r="P2" s="257"/>
      <c r="Q2" s="258"/>
      <c r="R2" s="1"/>
      <c r="S2" s="256" t="str">
        <f>CONCATENATE(基本資料!D18,"方向：",基本資料!D19,基本資料!D20)</f>
        <v>C方向：</v>
      </c>
      <c r="T2" s="257"/>
      <c r="U2" s="257"/>
      <c r="V2" s="257"/>
      <c r="W2" s="257"/>
      <c r="X2" s="257"/>
      <c r="Y2" s="257"/>
      <c r="Z2" s="258"/>
      <c r="AA2" s="1"/>
      <c r="AB2" s="256" t="str">
        <f>CONCATENATE(基本資料!E18,"方向：",基本資料!E19,基本資料!E20)</f>
        <v>D方向：</v>
      </c>
      <c r="AC2" s="257"/>
      <c r="AD2" s="257"/>
      <c r="AE2" s="257"/>
      <c r="AF2" s="257"/>
      <c r="AG2" s="257"/>
      <c r="AH2" s="257"/>
      <c r="AI2" s="258"/>
      <c r="AJ2" s="1"/>
    </row>
    <row r="3" spans="1:36" ht="18.5" customHeight="1" thickBot="1">
      <c r="A3" s="250" t="s">
        <v>177</v>
      </c>
      <c r="B3" s="251"/>
      <c r="C3" s="251"/>
      <c r="D3" s="251"/>
      <c r="E3" s="251"/>
      <c r="F3" s="251"/>
      <c r="G3" s="251"/>
      <c r="H3" s="252"/>
      <c r="I3" s="13"/>
      <c r="J3" s="250" t="s">
        <v>177</v>
      </c>
      <c r="K3" s="251"/>
      <c r="L3" s="251"/>
      <c r="M3" s="251"/>
      <c r="N3" s="251"/>
      <c r="O3" s="251"/>
      <c r="P3" s="251"/>
      <c r="Q3" s="252"/>
      <c r="R3" s="13"/>
      <c r="S3" s="250" t="s">
        <v>177</v>
      </c>
      <c r="T3" s="251"/>
      <c r="U3" s="251"/>
      <c r="V3" s="251"/>
      <c r="W3" s="251"/>
      <c r="X3" s="251"/>
      <c r="Y3" s="251"/>
      <c r="Z3" s="252"/>
      <c r="AA3" s="13"/>
      <c r="AB3" s="250" t="s">
        <v>177</v>
      </c>
      <c r="AC3" s="251"/>
      <c r="AD3" s="251"/>
      <c r="AE3" s="251"/>
      <c r="AF3" s="251"/>
      <c r="AG3" s="251"/>
      <c r="AH3" s="251"/>
      <c r="AI3" s="252"/>
      <c r="AJ3" s="13"/>
    </row>
    <row r="4" spans="1:36" ht="17.25" customHeight="1" thickBot="1">
      <c r="A4" s="31" t="s">
        <v>2</v>
      </c>
      <c r="B4" s="32" t="s">
        <v>44</v>
      </c>
      <c r="C4" s="33"/>
      <c r="D4" s="33"/>
      <c r="E4" s="34"/>
      <c r="F4" s="32" t="s">
        <v>45</v>
      </c>
      <c r="G4" s="33"/>
      <c r="H4" s="34"/>
      <c r="I4" s="35"/>
      <c r="J4" s="31" t="s">
        <v>2</v>
      </c>
      <c r="K4" s="32" t="s">
        <v>46</v>
      </c>
      <c r="L4" s="33"/>
      <c r="M4" s="33"/>
      <c r="N4" s="34"/>
      <c r="O4" s="32" t="s">
        <v>47</v>
      </c>
      <c r="P4" s="33"/>
      <c r="Q4" s="34"/>
      <c r="R4" s="35"/>
      <c r="S4" s="31" t="s">
        <v>2</v>
      </c>
      <c r="T4" s="32" t="s">
        <v>46</v>
      </c>
      <c r="U4" s="33"/>
      <c r="V4" s="33"/>
      <c r="W4" s="34"/>
      <c r="X4" s="32" t="s">
        <v>47</v>
      </c>
      <c r="Y4" s="33"/>
      <c r="Z4" s="34"/>
      <c r="AA4" s="35"/>
      <c r="AB4" s="31" t="s">
        <v>2</v>
      </c>
      <c r="AC4" s="32" t="s">
        <v>46</v>
      </c>
      <c r="AD4" s="33"/>
      <c r="AE4" s="33"/>
      <c r="AF4" s="34"/>
      <c r="AG4" s="32" t="s">
        <v>47</v>
      </c>
      <c r="AH4" s="33"/>
      <c r="AI4" s="34"/>
      <c r="AJ4" s="13"/>
    </row>
    <row r="5" spans="1:36" ht="16" thickBot="1">
      <c r="A5" s="36">
        <v>0.27083333333333331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5"/>
      <c r="J5" s="36">
        <v>0.27083333333333331</v>
      </c>
      <c r="K5" s="37" t="s">
        <v>49</v>
      </c>
      <c r="L5" s="37" t="s">
        <v>50</v>
      </c>
      <c r="M5" s="37" t="s">
        <v>51</v>
      </c>
      <c r="N5" s="37" t="s">
        <v>52</v>
      </c>
      <c r="O5" s="37" t="s">
        <v>53</v>
      </c>
      <c r="P5" s="37" t="s">
        <v>54</v>
      </c>
      <c r="Q5" s="37" t="s">
        <v>55</v>
      </c>
      <c r="R5" s="35"/>
      <c r="S5" s="36">
        <v>0.27083333333333331</v>
      </c>
      <c r="T5" s="37" t="s">
        <v>49</v>
      </c>
      <c r="U5" s="37" t="s">
        <v>50</v>
      </c>
      <c r="V5" s="37" t="s">
        <v>51</v>
      </c>
      <c r="W5" s="37" t="s">
        <v>52</v>
      </c>
      <c r="X5" s="37" t="s">
        <v>53</v>
      </c>
      <c r="Y5" s="37" t="s">
        <v>54</v>
      </c>
      <c r="Z5" s="37" t="s">
        <v>55</v>
      </c>
      <c r="AA5" s="35"/>
      <c r="AB5" s="36">
        <v>0.27083333333333331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13"/>
    </row>
    <row r="6" spans="1:36" ht="16" thickBot="1">
      <c r="A6" s="38">
        <v>31</v>
      </c>
      <c r="B6" s="39">
        <f>資料儲存!D2</f>
        <v>0</v>
      </c>
      <c r="C6" s="39">
        <f>資料儲存!E2</f>
        <v>0</v>
      </c>
      <c r="D6" s="39">
        <f>資料儲存!F2</f>
        <v>0</v>
      </c>
      <c r="E6" s="39">
        <f>資料儲存!G2</f>
        <v>0</v>
      </c>
      <c r="F6" s="39">
        <f>資料儲存!H2</f>
        <v>0</v>
      </c>
      <c r="G6" s="39">
        <f>資料儲存!I2</f>
        <v>0</v>
      </c>
      <c r="H6" s="39">
        <f>資料儲存!J2</f>
        <v>0</v>
      </c>
      <c r="I6" s="35"/>
      <c r="J6" s="38">
        <v>31</v>
      </c>
      <c r="K6" s="39">
        <f>資料儲存!D122</f>
        <v>0</v>
      </c>
      <c r="L6" s="39">
        <f>資料儲存!E122</f>
        <v>0</v>
      </c>
      <c r="M6" s="39">
        <f>資料儲存!F122</f>
        <v>0</v>
      </c>
      <c r="N6" s="39">
        <f>資料儲存!G122</f>
        <v>0</v>
      </c>
      <c r="O6" s="39">
        <f>資料儲存!H122</f>
        <v>0</v>
      </c>
      <c r="P6" s="39">
        <f>資料儲存!I122</f>
        <v>0</v>
      </c>
      <c r="Q6" s="39">
        <f>資料儲存!J122</f>
        <v>0</v>
      </c>
      <c r="R6" s="35"/>
      <c r="S6" s="38">
        <v>31</v>
      </c>
      <c r="T6" s="39">
        <f>資料儲存!D242</f>
        <v>0</v>
      </c>
      <c r="U6" s="39">
        <f>資料儲存!E242</f>
        <v>0</v>
      </c>
      <c r="V6" s="39">
        <f>資料儲存!F242</f>
        <v>0</v>
      </c>
      <c r="W6" s="39">
        <f>資料儲存!G242</f>
        <v>0</v>
      </c>
      <c r="X6" s="39">
        <f>資料儲存!H242</f>
        <v>0</v>
      </c>
      <c r="Y6" s="39">
        <f>資料儲存!I242</f>
        <v>0</v>
      </c>
      <c r="Z6" s="39">
        <f>資料儲存!J242</f>
        <v>0</v>
      </c>
      <c r="AA6" s="35"/>
      <c r="AB6" s="38">
        <v>31</v>
      </c>
      <c r="AC6" s="39">
        <f>資料儲存!D362</f>
        <v>0</v>
      </c>
      <c r="AD6" s="39">
        <f>資料儲存!E362</f>
        <v>0</v>
      </c>
      <c r="AE6" s="39">
        <f>資料儲存!F362</f>
        <v>0</v>
      </c>
      <c r="AF6" s="39">
        <f>資料儲存!G362</f>
        <v>0</v>
      </c>
      <c r="AG6" s="39">
        <f>資料儲存!H362</f>
        <v>0</v>
      </c>
      <c r="AH6" s="39">
        <f>資料儲存!I362</f>
        <v>0</v>
      </c>
      <c r="AI6" s="39">
        <f>資料儲存!J362</f>
        <v>0</v>
      </c>
      <c r="AJ6" s="13"/>
    </row>
    <row r="7" spans="1:36" ht="16" thickBot="1">
      <c r="A7" s="38">
        <v>32</v>
      </c>
      <c r="B7" s="39">
        <f>資料儲存!D3</f>
        <v>0</v>
      </c>
      <c r="C7" s="39">
        <f>資料儲存!E3</f>
        <v>0</v>
      </c>
      <c r="D7" s="39">
        <f>資料儲存!F3</f>
        <v>0</v>
      </c>
      <c r="E7" s="39">
        <f>資料儲存!G3</f>
        <v>0</v>
      </c>
      <c r="F7" s="39">
        <f>資料儲存!H3</f>
        <v>0</v>
      </c>
      <c r="G7" s="39">
        <f>資料儲存!I3</f>
        <v>0</v>
      </c>
      <c r="H7" s="39">
        <f>資料儲存!J3</f>
        <v>0</v>
      </c>
      <c r="I7" s="35"/>
      <c r="J7" s="38">
        <v>32</v>
      </c>
      <c r="K7" s="39">
        <f>資料儲存!D123</f>
        <v>0</v>
      </c>
      <c r="L7" s="39">
        <f>資料儲存!E123</f>
        <v>0</v>
      </c>
      <c r="M7" s="39">
        <f>資料儲存!F123</f>
        <v>0</v>
      </c>
      <c r="N7" s="39">
        <f>資料儲存!G123</f>
        <v>0</v>
      </c>
      <c r="O7" s="39">
        <f>資料儲存!H123</f>
        <v>0</v>
      </c>
      <c r="P7" s="39">
        <f>資料儲存!I123</f>
        <v>0</v>
      </c>
      <c r="Q7" s="39">
        <f>資料儲存!J123</f>
        <v>0</v>
      </c>
      <c r="R7" s="35"/>
      <c r="S7" s="38">
        <v>32</v>
      </c>
      <c r="T7" s="39">
        <f>資料儲存!D243</f>
        <v>0</v>
      </c>
      <c r="U7" s="39">
        <f>資料儲存!E243</f>
        <v>0</v>
      </c>
      <c r="V7" s="39">
        <f>資料儲存!F243</f>
        <v>0</v>
      </c>
      <c r="W7" s="39">
        <f>資料儲存!G243</f>
        <v>0</v>
      </c>
      <c r="X7" s="39">
        <f>資料儲存!H243</f>
        <v>0</v>
      </c>
      <c r="Y7" s="39">
        <f>資料儲存!I243</f>
        <v>0</v>
      </c>
      <c r="Z7" s="39">
        <f>資料儲存!J243</f>
        <v>0</v>
      </c>
      <c r="AA7" s="35"/>
      <c r="AB7" s="38">
        <v>32</v>
      </c>
      <c r="AC7" s="39">
        <f>資料儲存!D363</f>
        <v>0</v>
      </c>
      <c r="AD7" s="39">
        <f>資料儲存!E363</f>
        <v>0</v>
      </c>
      <c r="AE7" s="39">
        <f>資料儲存!F363</f>
        <v>0</v>
      </c>
      <c r="AF7" s="39">
        <f>資料儲存!G363</f>
        <v>0</v>
      </c>
      <c r="AG7" s="39">
        <f>資料儲存!H363</f>
        <v>0</v>
      </c>
      <c r="AH7" s="39">
        <f>資料儲存!I363</f>
        <v>0</v>
      </c>
      <c r="AI7" s="39">
        <f>資料儲存!J363</f>
        <v>0</v>
      </c>
      <c r="AJ7" s="13"/>
    </row>
    <row r="8" spans="1:36" ht="16" thickBot="1">
      <c r="A8" s="38">
        <v>33</v>
      </c>
      <c r="B8" s="39">
        <f>資料儲存!D4</f>
        <v>0</v>
      </c>
      <c r="C8" s="39">
        <f>資料儲存!E4</f>
        <v>0</v>
      </c>
      <c r="D8" s="39">
        <f>資料儲存!F4</f>
        <v>0</v>
      </c>
      <c r="E8" s="39">
        <f>資料儲存!G4</f>
        <v>0</v>
      </c>
      <c r="F8" s="39">
        <f>資料儲存!H4</f>
        <v>0</v>
      </c>
      <c r="G8" s="39">
        <f>資料儲存!I4</f>
        <v>0</v>
      </c>
      <c r="H8" s="39">
        <f>資料儲存!J4</f>
        <v>0</v>
      </c>
      <c r="I8" s="35"/>
      <c r="J8" s="38">
        <v>33</v>
      </c>
      <c r="K8" s="39">
        <f>資料儲存!D124</f>
        <v>0</v>
      </c>
      <c r="L8" s="39">
        <f>資料儲存!E124</f>
        <v>0</v>
      </c>
      <c r="M8" s="39">
        <f>資料儲存!F124</f>
        <v>0</v>
      </c>
      <c r="N8" s="39">
        <f>資料儲存!G124</f>
        <v>0</v>
      </c>
      <c r="O8" s="39">
        <f>資料儲存!H124</f>
        <v>0</v>
      </c>
      <c r="P8" s="39">
        <f>資料儲存!I124</f>
        <v>0</v>
      </c>
      <c r="Q8" s="39">
        <f>資料儲存!J124</f>
        <v>0</v>
      </c>
      <c r="R8" s="35"/>
      <c r="S8" s="38">
        <v>33</v>
      </c>
      <c r="T8" s="39">
        <f>資料儲存!D244</f>
        <v>0</v>
      </c>
      <c r="U8" s="39">
        <f>資料儲存!E244</f>
        <v>0</v>
      </c>
      <c r="V8" s="39">
        <f>資料儲存!F244</f>
        <v>0</v>
      </c>
      <c r="W8" s="39">
        <f>資料儲存!G244</f>
        <v>0</v>
      </c>
      <c r="X8" s="39">
        <f>資料儲存!H244</f>
        <v>0</v>
      </c>
      <c r="Y8" s="39">
        <f>資料儲存!I244</f>
        <v>0</v>
      </c>
      <c r="Z8" s="39">
        <f>資料儲存!J244</f>
        <v>0</v>
      </c>
      <c r="AA8" s="35"/>
      <c r="AB8" s="38">
        <v>33</v>
      </c>
      <c r="AC8" s="39">
        <f>資料儲存!D364</f>
        <v>0</v>
      </c>
      <c r="AD8" s="39">
        <f>資料儲存!E364</f>
        <v>0</v>
      </c>
      <c r="AE8" s="39">
        <f>資料儲存!F364</f>
        <v>0</v>
      </c>
      <c r="AF8" s="39">
        <f>資料儲存!G364</f>
        <v>0</v>
      </c>
      <c r="AG8" s="39">
        <f>資料儲存!H364</f>
        <v>0</v>
      </c>
      <c r="AH8" s="39">
        <f>資料儲存!I364</f>
        <v>0</v>
      </c>
      <c r="AI8" s="39">
        <f>資料儲存!J364</f>
        <v>0</v>
      </c>
      <c r="AJ8" s="13"/>
    </row>
    <row r="9" spans="1:36" ht="16" thickBot="1">
      <c r="A9" s="38">
        <v>34</v>
      </c>
      <c r="B9" s="39">
        <f>資料儲存!D5</f>
        <v>0</v>
      </c>
      <c r="C9" s="39">
        <f>資料儲存!E5</f>
        <v>0</v>
      </c>
      <c r="D9" s="39">
        <f>資料儲存!F5</f>
        <v>0</v>
      </c>
      <c r="E9" s="39">
        <f>資料儲存!G5</f>
        <v>0</v>
      </c>
      <c r="F9" s="39">
        <f>資料儲存!H5</f>
        <v>0</v>
      </c>
      <c r="G9" s="39">
        <f>資料儲存!I5</f>
        <v>0</v>
      </c>
      <c r="H9" s="39">
        <f>資料儲存!J5</f>
        <v>0</v>
      </c>
      <c r="I9" s="35"/>
      <c r="J9" s="38">
        <v>34</v>
      </c>
      <c r="K9" s="39">
        <f>資料儲存!D125</f>
        <v>0</v>
      </c>
      <c r="L9" s="39">
        <f>資料儲存!E125</f>
        <v>0</v>
      </c>
      <c r="M9" s="39">
        <f>資料儲存!F125</f>
        <v>0</v>
      </c>
      <c r="N9" s="39">
        <f>資料儲存!G125</f>
        <v>0</v>
      </c>
      <c r="O9" s="39">
        <f>資料儲存!H125</f>
        <v>0</v>
      </c>
      <c r="P9" s="39">
        <f>資料儲存!I125</f>
        <v>0</v>
      </c>
      <c r="Q9" s="39">
        <f>資料儲存!J125</f>
        <v>0</v>
      </c>
      <c r="R9" s="35"/>
      <c r="S9" s="38">
        <v>34</v>
      </c>
      <c r="T9" s="39">
        <f>資料儲存!D245</f>
        <v>0</v>
      </c>
      <c r="U9" s="39">
        <f>資料儲存!E245</f>
        <v>0</v>
      </c>
      <c r="V9" s="39">
        <f>資料儲存!F245</f>
        <v>0</v>
      </c>
      <c r="W9" s="39">
        <f>資料儲存!G245</f>
        <v>0</v>
      </c>
      <c r="X9" s="39">
        <f>資料儲存!H245</f>
        <v>0</v>
      </c>
      <c r="Y9" s="39">
        <f>資料儲存!I245</f>
        <v>0</v>
      </c>
      <c r="Z9" s="39">
        <f>資料儲存!J245</f>
        <v>0</v>
      </c>
      <c r="AA9" s="35"/>
      <c r="AB9" s="38">
        <v>34</v>
      </c>
      <c r="AC9" s="39">
        <f>資料儲存!D365</f>
        <v>0</v>
      </c>
      <c r="AD9" s="39">
        <f>資料儲存!E365</f>
        <v>0</v>
      </c>
      <c r="AE9" s="39">
        <f>資料儲存!F365</f>
        <v>0</v>
      </c>
      <c r="AF9" s="39">
        <f>資料儲存!G365</f>
        <v>0</v>
      </c>
      <c r="AG9" s="39">
        <f>資料儲存!H365</f>
        <v>0</v>
      </c>
      <c r="AH9" s="39">
        <f>資料儲存!I365</f>
        <v>0</v>
      </c>
      <c r="AI9" s="39">
        <f>資料儲存!J365</f>
        <v>0</v>
      </c>
      <c r="AJ9" s="13"/>
    </row>
    <row r="10" spans="1:36" ht="16" thickBot="1">
      <c r="A10" s="38">
        <v>35</v>
      </c>
      <c r="B10" s="39">
        <f>資料儲存!D6</f>
        <v>0</v>
      </c>
      <c r="C10" s="39">
        <f>資料儲存!E6</f>
        <v>0</v>
      </c>
      <c r="D10" s="39">
        <f>資料儲存!F6</f>
        <v>0</v>
      </c>
      <c r="E10" s="39">
        <f>資料儲存!G6</f>
        <v>0</v>
      </c>
      <c r="F10" s="39">
        <f>資料儲存!H6</f>
        <v>0</v>
      </c>
      <c r="G10" s="39">
        <f>資料儲存!I6</f>
        <v>0</v>
      </c>
      <c r="H10" s="39">
        <f>資料儲存!J6</f>
        <v>0</v>
      </c>
      <c r="I10" s="35"/>
      <c r="J10" s="38">
        <v>35</v>
      </c>
      <c r="K10" s="39">
        <f>資料儲存!D126</f>
        <v>0</v>
      </c>
      <c r="L10" s="39">
        <f>資料儲存!E126</f>
        <v>0</v>
      </c>
      <c r="M10" s="39">
        <f>資料儲存!F126</f>
        <v>0</v>
      </c>
      <c r="N10" s="39">
        <f>資料儲存!G126</f>
        <v>0</v>
      </c>
      <c r="O10" s="39">
        <f>資料儲存!H126</f>
        <v>0</v>
      </c>
      <c r="P10" s="39">
        <f>資料儲存!I126</f>
        <v>0</v>
      </c>
      <c r="Q10" s="39">
        <f>資料儲存!J126</f>
        <v>0</v>
      </c>
      <c r="R10" s="35"/>
      <c r="S10" s="38">
        <v>35</v>
      </c>
      <c r="T10" s="39">
        <f>資料儲存!D246</f>
        <v>0</v>
      </c>
      <c r="U10" s="39">
        <f>資料儲存!E246</f>
        <v>0</v>
      </c>
      <c r="V10" s="39">
        <f>資料儲存!F246</f>
        <v>0</v>
      </c>
      <c r="W10" s="39">
        <f>資料儲存!G246</f>
        <v>0</v>
      </c>
      <c r="X10" s="39">
        <f>資料儲存!H246</f>
        <v>0</v>
      </c>
      <c r="Y10" s="39">
        <f>資料儲存!I246</f>
        <v>0</v>
      </c>
      <c r="Z10" s="39">
        <f>資料儲存!J246</f>
        <v>0</v>
      </c>
      <c r="AA10" s="35"/>
      <c r="AB10" s="38">
        <v>35</v>
      </c>
      <c r="AC10" s="39">
        <f>資料儲存!D366</f>
        <v>0</v>
      </c>
      <c r="AD10" s="39">
        <f>資料儲存!E366</f>
        <v>0</v>
      </c>
      <c r="AE10" s="39">
        <f>資料儲存!F366</f>
        <v>0</v>
      </c>
      <c r="AF10" s="39">
        <f>資料儲存!G366</f>
        <v>0</v>
      </c>
      <c r="AG10" s="39">
        <f>資料儲存!H366</f>
        <v>0</v>
      </c>
      <c r="AH10" s="39">
        <f>資料儲存!I366</f>
        <v>0</v>
      </c>
      <c r="AI10" s="39">
        <f>資料儲存!J366</f>
        <v>0</v>
      </c>
      <c r="AJ10" s="13"/>
    </row>
    <row r="11" spans="1:36" ht="16" thickBot="1">
      <c r="A11" s="38">
        <v>36</v>
      </c>
      <c r="B11" s="39">
        <f>資料儲存!D7</f>
        <v>0</v>
      </c>
      <c r="C11" s="39">
        <f>資料儲存!E7</f>
        <v>0</v>
      </c>
      <c r="D11" s="39">
        <f>資料儲存!F7</f>
        <v>0</v>
      </c>
      <c r="E11" s="39">
        <f>資料儲存!G7</f>
        <v>0</v>
      </c>
      <c r="F11" s="39">
        <f>資料儲存!H7</f>
        <v>0</v>
      </c>
      <c r="G11" s="39">
        <f>資料儲存!I7</f>
        <v>0</v>
      </c>
      <c r="H11" s="39">
        <f>資料儲存!J7</f>
        <v>0</v>
      </c>
      <c r="I11" s="35"/>
      <c r="J11" s="38">
        <v>36</v>
      </c>
      <c r="K11" s="39">
        <f>資料儲存!D127</f>
        <v>0</v>
      </c>
      <c r="L11" s="39">
        <f>資料儲存!E127</f>
        <v>0</v>
      </c>
      <c r="M11" s="39">
        <f>資料儲存!F127</f>
        <v>0</v>
      </c>
      <c r="N11" s="39">
        <f>資料儲存!G127</f>
        <v>0</v>
      </c>
      <c r="O11" s="39">
        <f>資料儲存!H127</f>
        <v>0</v>
      </c>
      <c r="P11" s="39">
        <f>資料儲存!I127</f>
        <v>0</v>
      </c>
      <c r="Q11" s="39">
        <f>資料儲存!J127</f>
        <v>0</v>
      </c>
      <c r="R11" s="35"/>
      <c r="S11" s="38">
        <v>36</v>
      </c>
      <c r="T11" s="39">
        <f>資料儲存!D247</f>
        <v>0</v>
      </c>
      <c r="U11" s="39">
        <f>資料儲存!E247</f>
        <v>0</v>
      </c>
      <c r="V11" s="39">
        <f>資料儲存!F247</f>
        <v>0</v>
      </c>
      <c r="W11" s="39">
        <f>資料儲存!G247</f>
        <v>0</v>
      </c>
      <c r="X11" s="39">
        <f>資料儲存!H247</f>
        <v>0</v>
      </c>
      <c r="Y11" s="39">
        <f>資料儲存!I247</f>
        <v>0</v>
      </c>
      <c r="Z11" s="39">
        <f>資料儲存!J247</f>
        <v>0</v>
      </c>
      <c r="AA11" s="35"/>
      <c r="AB11" s="38">
        <v>36</v>
      </c>
      <c r="AC11" s="39">
        <f>資料儲存!D367</f>
        <v>0</v>
      </c>
      <c r="AD11" s="39">
        <f>資料儲存!E367</f>
        <v>0</v>
      </c>
      <c r="AE11" s="39">
        <f>資料儲存!F367</f>
        <v>0</v>
      </c>
      <c r="AF11" s="39">
        <f>資料儲存!G367</f>
        <v>0</v>
      </c>
      <c r="AG11" s="39">
        <f>資料儲存!H367</f>
        <v>0</v>
      </c>
      <c r="AH11" s="39">
        <f>資料儲存!I367</f>
        <v>0</v>
      </c>
      <c r="AI11" s="39">
        <f>資料儲存!J367</f>
        <v>0</v>
      </c>
      <c r="AJ11" s="13"/>
    </row>
    <row r="12" spans="1:36" ht="16" thickBot="1">
      <c r="A12" s="38">
        <v>37</v>
      </c>
      <c r="B12" s="39">
        <f>資料儲存!D8</f>
        <v>0</v>
      </c>
      <c r="C12" s="39">
        <f>資料儲存!E8</f>
        <v>0</v>
      </c>
      <c r="D12" s="39">
        <f>資料儲存!F8</f>
        <v>0</v>
      </c>
      <c r="E12" s="39">
        <f>資料儲存!G8</f>
        <v>0</v>
      </c>
      <c r="F12" s="39">
        <f>資料儲存!H8</f>
        <v>0</v>
      </c>
      <c r="G12" s="39">
        <f>資料儲存!I8</f>
        <v>0</v>
      </c>
      <c r="H12" s="39">
        <f>資料儲存!J8</f>
        <v>0</v>
      </c>
      <c r="I12" s="35"/>
      <c r="J12" s="38">
        <v>37</v>
      </c>
      <c r="K12" s="39">
        <f>資料儲存!D128</f>
        <v>0</v>
      </c>
      <c r="L12" s="39">
        <f>資料儲存!E128</f>
        <v>0</v>
      </c>
      <c r="M12" s="39">
        <f>資料儲存!F128</f>
        <v>0</v>
      </c>
      <c r="N12" s="39">
        <f>資料儲存!G128</f>
        <v>0</v>
      </c>
      <c r="O12" s="39">
        <f>資料儲存!H128</f>
        <v>0</v>
      </c>
      <c r="P12" s="39">
        <f>資料儲存!I128</f>
        <v>0</v>
      </c>
      <c r="Q12" s="39">
        <f>資料儲存!J128</f>
        <v>0</v>
      </c>
      <c r="R12" s="35"/>
      <c r="S12" s="38">
        <v>37</v>
      </c>
      <c r="T12" s="39">
        <f>資料儲存!D248</f>
        <v>0</v>
      </c>
      <c r="U12" s="39">
        <f>資料儲存!E248</f>
        <v>0</v>
      </c>
      <c r="V12" s="39">
        <f>資料儲存!F248</f>
        <v>0</v>
      </c>
      <c r="W12" s="39">
        <f>資料儲存!G248</f>
        <v>0</v>
      </c>
      <c r="X12" s="39">
        <f>資料儲存!H248</f>
        <v>0</v>
      </c>
      <c r="Y12" s="39">
        <f>資料儲存!I248</f>
        <v>0</v>
      </c>
      <c r="Z12" s="39">
        <f>資料儲存!J248</f>
        <v>0</v>
      </c>
      <c r="AA12" s="35"/>
      <c r="AB12" s="38">
        <v>37</v>
      </c>
      <c r="AC12" s="39">
        <f>資料儲存!D368</f>
        <v>0</v>
      </c>
      <c r="AD12" s="39">
        <f>資料儲存!E368</f>
        <v>0</v>
      </c>
      <c r="AE12" s="39">
        <f>資料儲存!F368</f>
        <v>0</v>
      </c>
      <c r="AF12" s="39">
        <f>資料儲存!G368</f>
        <v>0</v>
      </c>
      <c r="AG12" s="39">
        <f>資料儲存!H368</f>
        <v>0</v>
      </c>
      <c r="AH12" s="39">
        <f>資料儲存!I368</f>
        <v>0</v>
      </c>
      <c r="AI12" s="39">
        <f>資料儲存!J368</f>
        <v>0</v>
      </c>
      <c r="AJ12" s="13"/>
    </row>
    <row r="13" spans="1:36" ht="16" thickBot="1">
      <c r="A13" s="38">
        <v>38</v>
      </c>
      <c r="B13" s="39">
        <f>資料儲存!D9</f>
        <v>0</v>
      </c>
      <c r="C13" s="39">
        <f>資料儲存!E9</f>
        <v>0</v>
      </c>
      <c r="D13" s="39">
        <f>資料儲存!F9</f>
        <v>0</v>
      </c>
      <c r="E13" s="39">
        <f>資料儲存!G9</f>
        <v>0</v>
      </c>
      <c r="F13" s="39">
        <f>資料儲存!H9</f>
        <v>0</v>
      </c>
      <c r="G13" s="39">
        <f>資料儲存!I9</f>
        <v>0</v>
      </c>
      <c r="H13" s="39">
        <f>資料儲存!J9</f>
        <v>0</v>
      </c>
      <c r="I13" s="35"/>
      <c r="J13" s="38">
        <v>38</v>
      </c>
      <c r="K13" s="39">
        <f>資料儲存!D129</f>
        <v>0</v>
      </c>
      <c r="L13" s="39">
        <f>資料儲存!E129</f>
        <v>0</v>
      </c>
      <c r="M13" s="39">
        <f>資料儲存!F129</f>
        <v>0</v>
      </c>
      <c r="N13" s="39">
        <f>資料儲存!G129</f>
        <v>0</v>
      </c>
      <c r="O13" s="39">
        <f>資料儲存!H129</f>
        <v>0</v>
      </c>
      <c r="P13" s="39">
        <f>資料儲存!I129</f>
        <v>0</v>
      </c>
      <c r="Q13" s="39">
        <f>資料儲存!J129</f>
        <v>0</v>
      </c>
      <c r="R13" s="35"/>
      <c r="S13" s="38">
        <v>38</v>
      </c>
      <c r="T13" s="39">
        <f>資料儲存!D249</f>
        <v>0</v>
      </c>
      <c r="U13" s="39">
        <f>資料儲存!E249</f>
        <v>0</v>
      </c>
      <c r="V13" s="39">
        <f>資料儲存!F249</f>
        <v>0</v>
      </c>
      <c r="W13" s="39">
        <f>資料儲存!G249</f>
        <v>0</v>
      </c>
      <c r="X13" s="39">
        <f>資料儲存!H249</f>
        <v>0</v>
      </c>
      <c r="Y13" s="39">
        <f>資料儲存!I249</f>
        <v>0</v>
      </c>
      <c r="Z13" s="39">
        <f>資料儲存!J249</f>
        <v>0</v>
      </c>
      <c r="AA13" s="35"/>
      <c r="AB13" s="38">
        <v>38</v>
      </c>
      <c r="AC13" s="39">
        <f>資料儲存!D369</f>
        <v>0</v>
      </c>
      <c r="AD13" s="39">
        <f>資料儲存!E369</f>
        <v>0</v>
      </c>
      <c r="AE13" s="39">
        <f>資料儲存!F369</f>
        <v>0</v>
      </c>
      <c r="AF13" s="39">
        <f>資料儲存!G369</f>
        <v>0</v>
      </c>
      <c r="AG13" s="39">
        <f>資料儲存!H369</f>
        <v>0</v>
      </c>
      <c r="AH13" s="39">
        <f>資料儲存!I369</f>
        <v>0</v>
      </c>
      <c r="AI13" s="39">
        <f>資料儲存!J369</f>
        <v>0</v>
      </c>
      <c r="AJ13" s="13"/>
    </row>
    <row r="14" spans="1:36" ht="16" thickBot="1">
      <c r="A14" s="38">
        <v>39</v>
      </c>
      <c r="B14" s="39">
        <f>資料儲存!D10</f>
        <v>0</v>
      </c>
      <c r="C14" s="39">
        <f>資料儲存!E10</f>
        <v>0</v>
      </c>
      <c r="D14" s="39">
        <f>資料儲存!F10</f>
        <v>0</v>
      </c>
      <c r="E14" s="39">
        <f>資料儲存!G10</f>
        <v>0</v>
      </c>
      <c r="F14" s="39">
        <f>資料儲存!H10</f>
        <v>0</v>
      </c>
      <c r="G14" s="39">
        <f>資料儲存!I10</f>
        <v>0</v>
      </c>
      <c r="H14" s="39">
        <f>資料儲存!J10</f>
        <v>0</v>
      </c>
      <c r="I14" s="35"/>
      <c r="J14" s="38">
        <v>39</v>
      </c>
      <c r="K14" s="39">
        <f>資料儲存!D130</f>
        <v>0</v>
      </c>
      <c r="L14" s="39">
        <f>資料儲存!E130</f>
        <v>0</v>
      </c>
      <c r="M14" s="39">
        <f>資料儲存!F130</f>
        <v>0</v>
      </c>
      <c r="N14" s="39">
        <f>資料儲存!G130</f>
        <v>0</v>
      </c>
      <c r="O14" s="39">
        <f>資料儲存!H130</f>
        <v>0</v>
      </c>
      <c r="P14" s="39">
        <f>資料儲存!I130</f>
        <v>0</v>
      </c>
      <c r="Q14" s="39">
        <f>資料儲存!J130</f>
        <v>0</v>
      </c>
      <c r="R14" s="35"/>
      <c r="S14" s="38">
        <v>39</v>
      </c>
      <c r="T14" s="39">
        <f>資料儲存!D250</f>
        <v>0</v>
      </c>
      <c r="U14" s="39">
        <f>資料儲存!E250</f>
        <v>0</v>
      </c>
      <c r="V14" s="39">
        <f>資料儲存!F250</f>
        <v>0</v>
      </c>
      <c r="W14" s="39">
        <f>資料儲存!G250</f>
        <v>0</v>
      </c>
      <c r="X14" s="39">
        <f>資料儲存!H250</f>
        <v>0</v>
      </c>
      <c r="Y14" s="39">
        <f>資料儲存!I250</f>
        <v>0</v>
      </c>
      <c r="Z14" s="39">
        <f>資料儲存!J250</f>
        <v>0</v>
      </c>
      <c r="AA14" s="35"/>
      <c r="AB14" s="38">
        <v>39</v>
      </c>
      <c r="AC14" s="39">
        <f>資料儲存!D370</f>
        <v>0</v>
      </c>
      <c r="AD14" s="39">
        <f>資料儲存!E370</f>
        <v>0</v>
      </c>
      <c r="AE14" s="39">
        <f>資料儲存!F370</f>
        <v>0</v>
      </c>
      <c r="AF14" s="39">
        <f>資料儲存!G370</f>
        <v>0</v>
      </c>
      <c r="AG14" s="39">
        <f>資料儲存!H370</f>
        <v>0</v>
      </c>
      <c r="AH14" s="39">
        <f>資料儲存!I370</f>
        <v>0</v>
      </c>
      <c r="AI14" s="39">
        <f>資料儲存!J370</f>
        <v>0</v>
      </c>
      <c r="AJ14" s="13"/>
    </row>
    <row r="15" spans="1:36" ht="16" thickBot="1">
      <c r="A15" s="38">
        <v>40</v>
      </c>
      <c r="B15" s="39">
        <f>資料儲存!D11</f>
        <v>0</v>
      </c>
      <c r="C15" s="39">
        <f>資料儲存!E11</f>
        <v>0</v>
      </c>
      <c r="D15" s="39">
        <f>資料儲存!F11</f>
        <v>0</v>
      </c>
      <c r="E15" s="39">
        <f>資料儲存!G11</f>
        <v>0</v>
      </c>
      <c r="F15" s="39">
        <f>資料儲存!H11</f>
        <v>0</v>
      </c>
      <c r="G15" s="39">
        <f>資料儲存!I11</f>
        <v>0</v>
      </c>
      <c r="H15" s="39">
        <f>資料儲存!J11</f>
        <v>0</v>
      </c>
      <c r="I15" s="35"/>
      <c r="J15" s="38">
        <v>40</v>
      </c>
      <c r="K15" s="39">
        <f>資料儲存!D131</f>
        <v>0</v>
      </c>
      <c r="L15" s="39">
        <f>資料儲存!E131</f>
        <v>0</v>
      </c>
      <c r="M15" s="39">
        <f>資料儲存!F131</f>
        <v>0</v>
      </c>
      <c r="N15" s="39">
        <f>資料儲存!G131</f>
        <v>0</v>
      </c>
      <c r="O15" s="39">
        <f>資料儲存!H131</f>
        <v>0</v>
      </c>
      <c r="P15" s="39">
        <f>資料儲存!I131</f>
        <v>0</v>
      </c>
      <c r="Q15" s="39">
        <f>資料儲存!J131</f>
        <v>0</v>
      </c>
      <c r="R15" s="35"/>
      <c r="S15" s="38">
        <v>40</v>
      </c>
      <c r="T15" s="39">
        <f>資料儲存!D251</f>
        <v>0</v>
      </c>
      <c r="U15" s="39">
        <f>資料儲存!E251</f>
        <v>0</v>
      </c>
      <c r="V15" s="39">
        <f>資料儲存!F251</f>
        <v>0</v>
      </c>
      <c r="W15" s="39">
        <f>資料儲存!G251</f>
        <v>0</v>
      </c>
      <c r="X15" s="39">
        <f>資料儲存!H251</f>
        <v>0</v>
      </c>
      <c r="Y15" s="39">
        <f>資料儲存!I251</f>
        <v>0</v>
      </c>
      <c r="Z15" s="39">
        <f>資料儲存!J251</f>
        <v>0</v>
      </c>
      <c r="AA15" s="35"/>
      <c r="AB15" s="38">
        <v>40</v>
      </c>
      <c r="AC15" s="39">
        <f>資料儲存!D371</f>
        <v>0</v>
      </c>
      <c r="AD15" s="39">
        <f>資料儲存!E371</f>
        <v>0</v>
      </c>
      <c r="AE15" s="39">
        <f>資料儲存!F371</f>
        <v>0</v>
      </c>
      <c r="AF15" s="39">
        <f>資料儲存!G371</f>
        <v>0</v>
      </c>
      <c r="AG15" s="39">
        <f>資料儲存!H371</f>
        <v>0</v>
      </c>
      <c r="AH15" s="39">
        <f>資料儲存!I371</f>
        <v>0</v>
      </c>
      <c r="AI15" s="39">
        <f>資料儲存!J371</f>
        <v>0</v>
      </c>
      <c r="AJ15" s="13"/>
    </row>
    <row r="16" spans="1:36" ht="16" thickBot="1">
      <c r="A16" s="38">
        <v>41</v>
      </c>
      <c r="B16" s="39">
        <f>資料儲存!D12</f>
        <v>0</v>
      </c>
      <c r="C16" s="39">
        <f>資料儲存!E12</f>
        <v>0</v>
      </c>
      <c r="D16" s="39">
        <f>資料儲存!F12</f>
        <v>0</v>
      </c>
      <c r="E16" s="39">
        <f>資料儲存!G12</f>
        <v>0</v>
      </c>
      <c r="F16" s="39">
        <f>資料儲存!H12</f>
        <v>0</v>
      </c>
      <c r="G16" s="39">
        <f>資料儲存!I12</f>
        <v>0</v>
      </c>
      <c r="H16" s="39">
        <f>資料儲存!J12</f>
        <v>0</v>
      </c>
      <c r="I16" s="35"/>
      <c r="J16" s="38">
        <v>41</v>
      </c>
      <c r="K16" s="39">
        <f>資料儲存!D132</f>
        <v>0</v>
      </c>
      <c r="L16" s="39">
        <f>資料儲存!E132</f>
        <v>0</v>
      </c>
      <c r="M16" s="39">
        <f>資料儲存!F132</f>
        <v>0</v>
      </c>
      <c r="N16" s="39">
        <f>資料儲存!G132</f>
        <v>0</v>
      </c>
      <c r="O16" s="39">
        <f>資料儲存!H132</f>
        <v>0</v>
      </c>
      <c r="P16" s="39">
        <f>資料儲存!I132</f>
        <v>0</v>
      </c>
      <c r="Q16" s="39">
        <f>資料儲存!J132</f>
        <v>0</v>
      </c>
      <c r="R16" s="35"/>
      <c r="S16" s="38">
        <v>41</v>
      </c>
      <c r="T16" s="39">
        <f>資料儲存!D252</f>
        <v>0</v>
      </c>
      <c r="U16" s="39">
        <f>資料儲存!E252</f>
        <v>0</v>
      </c>
      <c r="V16" s="39">
        <f>資料儲存!F252</f>
        <v>0</v>
      </c>
      <c r="W16" s="39">
        <f>資料儲存!G252</f>
        <v>0</v>
      </c>
      <c r="X16" s="39">
        <f>資料儲存!H252</f>
        <v>0</v>
      </c>
      <c r="Y16" s="39">
        <f>資料儲存!I252</f>
        <v>0</v>
      </c>
      <c r="Z16" s="39">
        <f>資料儲存!J252</f>
        <v>0</v>
      </c>
      <c r="AA16" s="35"/>
      <c r="AB16" s="38">
        <v>41</v>
      </c>
      <c r="AC16" s="39">
        <f>資料儲存!D372</f>
        <v>0</v>
      </c>
      <c r="AD16" s="39">
        <f>資料儲存!E372</f>
        <v>0</v>
      </c>
      <c r="AE16" s="39">
        <f>資料儲存!F372</f>
        <v>0</v>
      </c>
      <c r="AF16" s="39">
        <f>資料儲存!G372</f>
        <v>0</v>
      </c>
      <c r="AG16" s="39">
        <f>資料儲存!H372</f>
        <v>0</v>
      </c>
      <c r="AH16" s="39">
        <f>資料儲存!I372</f>
        <v>0</v>
      </c>
      <c r="AI16" s="39">
        <f>資料儲存!J372</f>
        <v>0</v>
      </c>
      <c r="AJ16" s="13"/>
    </row>
    <row r="17" spans="1:36" ht="16" thickBot="1">
      <c r="A17" s="38">
        <v>42</v>
      </c>
      <c r="B17" s="39">
        <f>資料儲存!D13</f>
        <v>0</v>
      </c>
      <c r="C17" s="39">
        <f>資料儲存!E13</f>
        <v>0</v>
      </c>
      <c r="D17" s="39">
        <f>資料儲存!F13</f>
        <v>0</v>
      </c>
      <c r="E17" s="39">
        <f>資料儲存!G13</f>
        <v>0</v>
      </c>
      <c r="F17" s="39">
        <f>資料儲存!H13</f>
        <v>0</v>
      </c>
      <c r="G17" s="39">
        <f>資料儲存!I13</f>
        <v>0</v>
      </c>
      <c r="H17" s="39">
        <f>資料儲存!J13</f>
        <v>0</v>
      </c>
      <c r="I17" s="35"/>
      <c r="J17" s="38">
        <v>42</v>
      </c>
      <c r="K17" s="39">
        <f>資料儲存!D133</f>
        <v>0</v>
      </c>
      <c r="L17" s="39">
        <f>資料儲存!E133</f>
        <v>0</v>
      </c>
      <c r="M17" s="39">
        <f>資料儲存!F133</f>
        <v>0</v>
      </c>
      <c r="N17" s="39">
        <f>資料儲存!G133</f>
        <v>0</v>
      </c>
      <c r="O17" s="39">
        <f>資料儲存!H133</f>
        <v>0</v>
      </c>
      <c r="P17" s="39">
        <f>資料儲存!I133</f>
        <v>0</v>
      </c>
      <c r="Q17" s="39">
        <f>資料儲存!J133</f>
        <v>0</v>
      </c>
      <c r="R17" s="35"/>
      <c r="S17" s="38">
        <v>42</v>
      </c>
      <c r="T17" s="39">
        <f>資料儲存!D253</f>
        <v>0</v>
      </c>
      <c r="U17" s="39">
        <f>資料儲存!E253</f>
        <v>0</v>
      </c>
      <c r="V17" s="39">
        <f>資料儲存!F253</f>
        <v>0</v>
      </c>
      <c r="W17" s="39">
        <f>資料儲存!G253</f>
        <v>0</v>
      </c>
      <c r="X17" s="39">
        <f>資料儲存!H253</f>
        <v>0</v>
      </c>
      <c r="Y17" s="39">
        <f>資料儲存!I253</f>
        <v>0</v>
      </c>
      <c r="Z17" s="39">
        <f>資料儲存!J253</f>
        <v>0</v>
      </c>
      <c r="AA17" s="35"/>
      <c r="AB17" s="38">
        <v>42</v>
      </c>
      <c r="AC17" s="39">
        <f>資料儲存!D373</f>
        <v>0</v>
      </c>
      <c r="AD17" s="39">
        <f>資料儲存!E373</f>
        <v>0</v>
      </c>
      <c r="AE17" s="39">
        <f>資料儲存!F373</f>
        <v>0</v>
      </c>
      <c r="AF17" s="39">
        <f>資料儲存!G373</f>
        <v>0</v>
      </c>
      <c r="AG17" s="39">
        <f>資料儲存!H373</f>
        <v>0</v>
      </c>
      <c r="AH17" s="39">
        <f>資料儲存!I373</f>
        <v>0</v>
      </c>
      <c r="AI17" s="39">
        <f>資料儲存!J373</f>
        <v>0</v>
      </c>
      <c r="AJ17" s="13"/>
    </row>
    <row r="18" spans="1:36" ht="16" thickBot="1">
      <c r="A18" s="38">
        <v>43</v>
      </c>
      <c r="B18" s="39">
        <f>資料儲存!D14</f>
        <v>0</v>
      </c>
      <c r="C18" s="39">
        <f>資料儲存!E14</f>
        <v>0</v>
      </c>
      <c r="D18" s="39">
        <f>資料儲存!F14</f>
        <v>0</v>
      </c>
      <c r="E18" s="39">
        <f>資料儲存!G14</f>
        <v>0</v>
      </c>
      <c r="F18" s="39">
        <f>資料儲存!H14</f>
        <v>0</v>
      </c>
      <c r="G18" s="39">
        <f>資料儲存!I14</f>
        <v>0</v>
      </c>
      <c r="H18" s="39">
        <f>資料儲存!J14</f>
        <v>0</v>
      </c>
      <c r="I18" s="35"/>
      <c r="J18" s="38">
        <v>43</v>
      </c>
      <c r="K18" s="39">
        <f>資料儲存!D134</f>
        <v>0</v>
      </c>
      <c r="L18" s="39">
        <f>資料儲存!E134</f>
        <v>0</v>
      </c>
      <c r="M18" s="39">
        <f>資料儲存!F134</f>
        <v>0</v>
      </c>
      <c r="N18" s="39">
        <f>資料儲存!G134</f>
        <v>0</v>
      </c>
      <c r="O18" s="39">
        <f>資料儲存!H134</f>
        <v>0</v>
      </c>
      <c r="P18" s="39">
        <f>資料儲存!I134</f>
        <v>0</v>
      </c>
      <c r="Q18" s="39">
        <f>資料儲存!J134</f>
        <v>0</v>
      </c>
      <c r="R18" s="35"/>
      <c r="S18" s="38">
        <v>43</v>
      </c>
      <c r="T18" s="39">
        <f>資料儲存!D254</f>
        <v>0</v>
      </c>
      <c r="U18" s="39">
        <f>資料儲存!E254</f>
        <v>0</v>
      </c>
      <c r="V18" s="39">
        <f>資料儲存!F254</f>
        <v>0</v>
      </c>
      <c r="W18" s="39">
        <f>資料儲存!G254</f>
        <v>0</v>
      </c>
      <c r="X18" s="39">
        <f>資料儲存!H254</f>
        <v>0</v>
      </c>
      <c r="Y18" s="39">
        <f>資料儲存!I254</f>
        <v>0</v>
      </c>
      <c r="Z18" s="39">
        <f>資料儲存!J254</f>
        <v>0</v>
      </c>
      <c r="AA18" s="35"/>
      <c r="AB18" s="38">
        <v>43</v>
      </c>
      <c r="AC18" s="39">
        <f>資料儲存!D374</f>
        <v>0</v>
      </c>
      <c r="AD18" s="39">
        <f>資料儲存!E374</f>
        <v>0</v>
      </c>
      <c r="AE18" s="39">
        <f>資料儲存!F374</f>
        <v>0</v>
      </c>
      <c r="AF18" s="39">
        <f>資料儲存!G374</f>
        <v>0</v>
      </c>
      <c r="AG18" s="39">
        <f>資料儲存!H374</f>
        <v>0</v>
      </c>
      <c r="AH18" s="39">
        <f>資料儲存!I374</f>
        <v>0</v>
      </c>
      <c r="AI18" s="39">
        <f>資料儲存!J374</f>
        <v>0</v>
      </c>
      <c r="AJ18" s="13"/>
    </row>
    <row r="19" spans="1:36" ht="16" thickBot="1">
      <c r="A19" s="38">
        <v>44</v>
      </c>
      <c r="B19" s="39">
        <f>資料儲存!D15</f>
        <v>0</v>
      </c>
      <c r="C19" s="39">
        <f>資料儲存!E15</f>
        <v>0</v>
      </c>
      <c r="D19" s="39">
        <f>資料儲存!F15</f>
        <v>0</v>
      </c>
      <c r="E19" s="39">
        <f>資料儲存!G15</f>
        <v>0</v>
      </c>
      <c r="F19" s="39">
        <f>資料儲存!H15</f>
        <v>0</v>
      </c>
      <c r="G19" s="39">
        <f>資料儲存!I15</f>
        <v>0</v>
      </c>
      <c r="H19" s="39">
        <f>資料儲存!J15</f>
        <v>0</v>
      </c>
      <c r="I19" s="35"/>
      <c r="J19" s="38">
        <v>44</v>
      </c>
      <c r="K19" s="39">
        <f>資料儲存!D135</f>
        <v>0</v>
      </c>
      <c r="L19" s="39">
        <f>資料儲存!E135</f>
        <v>0</v>
      </c>
      <c r="M19" s="39">
        <f>資料儲存!F135</f>
        <v>0</v>
      </c>
      <c r="N19" s="39">
        <f>資料儲存!G135</f>
        <v>0</v>
      </c>
      <c r="O19" s="39">
        <f>資料儲存!H135</f>
        <v>0</v>
      </c>
      <c r="P19" s="39">
        <f>資料儲存!I135</f>
        <v>0</v>
      </c>
      <c r="Q19" s="39">
        <f>資料儲存!J135</f>
        <v>0</v>
      </c>
      <c r="R19" s="35"/>
      <c r="S19" s="38">
        <v>44</v>
      </c>
      <c r="T19" s="39">
        <f>資料儲存!D255</f>
        <v>0</v>
      </c>
      <c r="U19" s="39">
        <f>資料儲存!E255</f>
        <v>0</v>
      </c>
      <c r="V19" s="39">
        <f>資料儲存!F255</f>
        <v>0</v>
      </c>
      <c r="W19" s="39">
        <f>資料儲存!G255</f>
        <v>0</v>
      </c>
      <c r="X19" s="39">
        <f>資料儲存!H255</f>
        <v>0</v>
      </c>
      <c r="Y19" s="39">
        <f>資料儲存!I255</f>
        <v>0</v>
      </c>
      <c r="Z19" s="39">
        <f>資料儲存!J255</f>
        <v>0</v>
      </c>
      <c r="AA19" s="35"/>
      <c r="AB19" s="38">
        <v>44</v>
      </c>
      <c r="AC19" s="39">
        <f>資料儲存!D375</f>
        <v>0</v>
      </c>
      <c r="AD19" s="39">
        <f>資料儲存!E375</f>
        <v>0</v>
      </c>
      <c r="AE19" s="39">
        <f>資料儲存!F375</f>
        <v>0</v>
      </c>
      <c r="AF19" s="39">
        <f>資料儲存!G375</f>
        <v>0</v>
      </c>
      <c r="AG19" s="39">
        <f>資料儲存!H375</f>
        <v>0</v>
      </c>
      <c r="AH19" s="39">
        <f>資料儲存!I375</f>
        <v>0</v>
      </c>
      <c r="AI19" s="39">
        <f>資料儲存!J375</f>
        <v>0</v>
      </c>
      <c r="AJ19" s="13"/>
    </row>
    <row r="20" spans="1:36" ht="16" thickBot="1">
      <c r="A20" s="38">
        <v>45</v>
      </c>
      <c r="B20" s="39">
        <f>資料儲存!D16</f>
        <v>0</v>
      </c>
      <c r="C20" s="39">
        <f>資料儲存!E16</f>
        <v>0</v>
      </c>
      <c r="D20" s="39">
        <f>資料儲存!F16</f>
        <v>0</v>
      </c>
      <c r="E20" s="39">
        <f>資料儲存!G16</f>
        <v>0</v>
      </c>
      <c r="F20" s="39">
        <f>資料儲存!H16</f>
        <v>0</v>
      </c>
      <c r="G20" s="39">
        <f>資料儲存!I16</f>
        <v>0</v>
      </c>
      <c r="H20" s="39">
        <f>資料儲存!J16</f>
        <v>0</v>
      </c>
      <c r="I20" s="35"/>
      <c r="J20" s="38">
        <v>45</v>
      </c>
      <c r="K20" s="39">
        <f>資料儲存!D136</f>
        <v>0</v>
      </c>
      <c r="L20" s="39">
        <f>資料儲存!E136</f>
        <v>0</v>
      </c>
      <c r="M20" s="39">
        <f>資料儲存!F136</f>
        <v>0</v>
      </c>
      <c r="N20" s="39">
        <f>資料儲存!G136</f>
        <v>0</v>
      </c>
      <c r="O20" s="39">
        <f>資料儲存!H136</f>
        <v>0</v>
      </c>
      <c r="P20" s="39">
        <f>資料儲存!I136</f>
        <v>0</v>
      </c>
      <c r="Q20" s="39">
        <f>資料儲存!J136</f>
        <v>0</v>
      </c>
      <c r="R20" s="35"/>
      <c r="S20" s="38">
        <v>45</v>
      </c>
      <c r="T20" s="39">
        <f>資料儲存!D256</f>
        <v>0</v>
      </c>
      <c r="U20" s="39">
        <f>資料儲存!E256</f>
        <v>0</v>
      </c>
      <c r="V20" s="39">
        <f>資料儲存!F256</f>
        <v>0</v>
      </c>
      <c r="W20" s="39">
        <f>資料儲存!G256</f>
        <v>0</v>
      </c>
      <c r="X20" s="39">
        <f>資料儲存!H256</f>
        <v>0</v>
      </c>
      <c r="Y20" s="39">
        <f>資料儲存!I256</f>
        <v>0</v>
      </c>
      <c r="Z20" s="39">
        <f>資料儲存!J256</f>
        <v>0</v>
      </c>
      <c r="AA20" s="35"/>
      <c r="AB20" s="38">
        <v>45</v>
      </c>
      <c r="AC20" s="39">
        <f>資料儲存!D376</f>
        <v>0</v>
      </c>
      <c r="AD20" s="39">
        <f>資料儲存!E376</f>
        <v>0</v>
      </c>
      <c r="AE20" s="39">
        <f>資料儲存!F376</f>
        <v>0</v>
      </c>
      <c r="AF20" s="39">
        <f>資料儲存!G376</f>
        <v>0</v>
      </c>
      <c r="AG20" s="39">
        <f>資料儲存!H376</f>
        <v>0</v>
      </c>
      <c r="AH20" s="39">
        <f>資料儲存!I376</f>
        <v>0</v>
      </c>
      <c r="AI20" s="39">
        <f>資料儲存!J376</f>
        <v>0</v>
      </c>
      <c r="AJ20" s="13"/>
    </row>
    <row r="21" spans="1:36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13"/>
    </row>
    <row r="22" spans="1:36" ht="18.5" customHeight="1" thickBot="1">
      <c r="A22" s="250" t="s">
        <v>178</v>
      </c>
      <c r="B22" s="251"/>
      <c r="C22" s="251"/>
      <c r="D22" s="251"/>
      <c r="E22" s="251"/>
      <c r="F22" s="251"/>
      <c r="G22" s="251"/>
      <c r="H22" s="252"/>
      <c r="I22" s="13"/>
      <c r="J22" s="250" t="s">
        <v>178</v>
      </c>
      <c r="K22" s="251"/>
      <c r="L22" s="251"/>
      <c r="M22" s="251"/>
      <c r="N22" s="251"/>
      <c r="O22" s="251"/>
      <c r="P22" s="251"/>
      <c r="Q22" s="252"/>
      <c r="R22" s="13"/>
      <c r="S22" s="250" t="s">
        <v>178</v>
      </c>
      <c r="T22" s="251"/>
      <c r="U22" s="251"/>
      <c r="V22" s="251"/>
      <c r="W22" s="251"/>
      <c r="X22" s="251"/>
      <c r="Y22" s="251"/>
      <c r="Z22" s="252"/>
      <c r="AA22" s="13"/>
      <c r="AB22" s="250" t="s">
        <v>178</v>
      </c>
      <c r="AC22" s="251"/>
      <c r="AD22" s="251"/>
      <c r="AE22" s="251"/>
      <c r="AF22" s="251"/>
      <c r="AG22" s="251"/>
      <c r="AH22" s="251"/>
      <c r="AI22" s="252"/>
      <c r="AJ22" s="13"/>
    </row>
    <row r="23" spans="1:36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</row>
    <row r="24" spans="1:36" ht="16" thickBot="1">
      <c r="A24" s="46">
        <v>0.28125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0.28125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0.28125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0.28125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</row>
    <row r="25" spans="1:36" ht="16" thickBot="1">
      <c r="A25" s="48">
        <v>46</v>
      </c>
      <c r="B25" s="49">
        <f>資料儲存!D17</f>
        <v>0</v>
      </c>
      <c r="C25" s="49">
        <f>資料儲存!E17</f>
        <v>0</v>
      </c>
      <c r="D25" s="49">
        <f>資料儲存!F17</f>
        <v>0</v>
      </c>
      <c r="E25" s="49">
        <f>資料儲存!G17</f>
        <v>0</v>
      </c>
      <c r="F25" s="49">
        <f>資料儲存!H17</f>
        <v>0</v>
      </c>
      <c r="G25" s="49">
        <f>資料儲存!I17</f>
        <v>0</v>
      </c>
      <c r="H25" s="49">
        <f>資料儲存!J17</f>
        <v>0</v>
      </c>
      <c r="I25" s="45"/>
      <c r="J25" s="48">
        <v>46</v>
      </c>
      <c r="K25" s="49">
        <f>資料儲存!D137</f>
        <v>0</v>
      </c>
      <c r="L25" s="49">
        <f>資料儲存!E137</f>
        <v>0</v>
      </c>
      <c r="M25" s="49">
        <f>資料儲存!F137</f>
        <v>0</v>
      </c>
      <c r="N25" s="49">
        <f>資料儲存!G137</f>
        <v>0</v>
      </c>
      <c r="O25" s="49">
        <f>資料儲存!H137</f>
        <v>0</v>
      </c>
      <c r="P25" s="49">
        <f>資料儲存!I137</f>
        <v>0</v>
      </c>
      <c r="Q25" s="49">
        <f>資料儲存!J137</f>
        <v>0</v>
      </c>
      <c r="R25" s="45"/>
      <c r="S25" s="48">
        <v>46</v>
      </c>
      <c r="T25" s="49">
        <f>資料儲存!D257</f>
        <v>0</v>
      </c>
      <c r="U25" s="49">
        <f>資料儲存!E257</f>
        <v>0</v>
      </c>
      <c r="V25" s="49">
        <f>資料儲存!F257</f>
        <v>0</v>
      </c>
      <c r="W25" s="49">
        <f>資料儲存!G257</f>
        <v>0</v>
      </c>
      <c r="X25" s="49">
        <f>資料儲存!H257</f>
        <v>0</v>
      </c>
      <c r="Y25" s="49">
        <f>資料儲存!I257</f>
        <v>0</v>
      </c>
      <c r="Z25" s="49">
        <f>資料儲存!J257</f>
        <v>0</v>
      </c>
      <c r="AA25" s="45"/>
      <c r="AB25" s="48">
        <v>46</v>
      </c>
      <c r="AC25" s="49">
        <f>資料儲存!D377</f>
        <v>0</v>
      </c>
      <c r="AD25" s="49">
        <f>資料儲存!E377</f>
        <v>0</v>
      </c>
      <c r="AE25" s="49">
        <f>資料儲存!F377</f>
        <v>0</v>
      </c>
      <c r="AF25" s="49">
        <f>資料儲存!G377</f>
        <v>0</v>
      </c>
      <c r="AG25" s="49">
        <f>資料儲存!H377</f>
        <v>0</v>
      </c>
      <c r="AH25" s="49">
        <f>資料儲存!I377</f>
        <v>0</v>
      </c>
      <c r="AI25" s="49">
        <f>資料儲存!J377</f>
        <v>0</v>
      </c>
      <c r="AJ25" s="13"/>
    </row>
    <row r="26" spans="1:36" ht="16" thickBot="1">
      <c r="A26" s="48">
        <v>47</v>
      </c>
      <c r="B26" s="49">
        <f>資料儲存!D18</f>
        <v>0</v>
      </c>
      <c r="C26" s="49">
        <f>資料儲存!E18</f>
        <v>0</v>
      </c>
      <c r="D26" s="49">
        <f>資料儲存!F18</f>
        <v>0</v>
      </c>
      <c r="E26" s="49">
        <f>資料儲存!G18</f>
        <v>0</v>
      </c>
      <c r="F26" s="49">
        <f>資料儲存!H18</f>
        <v>0</v>
      </c>
      <c r="G26" s="49">
        <f>資料儲存!I18</f>
        <v>0</v>
      </c>
      <c r="H26" s="49">
        <f>資料儲存!J18</f>
        <v>0</v>
      </c>
      <c r="I26" s="45"/>
      <c r="J26" s="48">
        <v>47</v>
      </c>
      <c r="K26" s="49">
        <f>資料儲存!D138</f>
        <v>0</v>
      </c>
      <c r="L26" s="49">
        <f>資料儲存!E138</f>
        <v>0</v>
      </c>
      <c r="M26" s="49">
        <f>資料儲存!F138</f>
        <v>0</v>
      </c>
      <c r="N26" s="49">
        <f>資料儲存!G138</f>
        <v>0</v>
      </c>
      <c r="O26" s="49">
        <f>資料儲存!H138</f>
        <v>0</v>
      </c>
      <c r="P26" s="49">
        <f>資料儲存!I138</f>
        <v>0</v>
      </c>
      <c r="Q26" s="49">
        <f>資料儲存!J138</f>
        <v>0</v>
      </c>
      <c r="R26" s="45"/>
      <c r="S26" s="48">
        <v>47</v>
      </c>
      <c r="T26" s="49">
        <f>資料儲存!D258</f>
        <v>0</v>
      </c>
      <c r="U26" s="49">
        <f>資料儲存!E258</f>
        <v>0</v>
      </c>
      <c r="V26" s="49">
        <f>資料儲存!F258</f>
        <v>0</v>
      </c>
      <c r="W26" s="49">
        <f>資料儲存!G258</f>
        <v>0</v>
      </c>
      <c r="X26" s="49">
        <f>資料儲存!H258</f>
        <v>0</v>
      </c>
      <c r="Y26" s="49">
        <f>資料儲存!I258</f>
        <v>0</v>
      </c>
      <c r="Z26" s="49">
        <f>資料儲存!J258</f>
        <v>0</v>
      </c>
      <c r="AA26" s="45"/>
      <c r="AB26" s="48">
        <v>47</v>
      </c>
      <c r="AC26" s="49">
        <f>資料儲存!D378</f>
        <v>0</v>
      </c>
      <c r="AD26" s="49">
        <f>資料儲存!E378</f>
        <v>0</v>
      </c>
      <c r="AE26" s="49">
        <f>資料儲存!F378</f>
        <v>0</v>
      </c>
      <c r="AF26" s="49">
        <f>資料儲存!G378</f>
        <v>0</v>
      </c>
      <c r="AG26" s="49">
        <f>資料儲存!H378</f>
        <v>0</v>
      </c>
      <c r="AH26" s="49">
        <f>資料儲存!I378</f>
        <v>0</v>
      </c>
      <c r="AI26" s="49">
        <f>資料儲存!J378</f>
        <v>0</v>
      </c>
      <c r="AJ26" s="13"/>
    </row>
    <row r="27" spans="1:36" ht="16" thickBot="1">
      <c r="A27" s="48">
        <v>48</v>
      </c>
      <c r="B27" s="49">
        <f>資料儲存!D19</f>
        <v>0</v>
      </c>
      <c r="C27" s="49">
        <f>資料儲存!E19</f>
        <v>0</v>
      </c>
      <c r="D27" s="49">
        <f>資料儲存!F19</f>
        <v>0</v>
      </c>
      <c r="E27" s="49">
        <f>資料儲存!G19</f>
        <v>0</v>
      </c>
      <c r="F27" s="49">
        <f>資料儲存!H19</f>
        <v>0</v>
      </c>
      <c r="G27" s="49">
        <f>資料儲存!I19</f>
        <v>0</v>
      </c>
      <c r="H27" s="49">
        <f>資料儲存!J19</f>
        <v>0</v>
      </c>
      <c r="I27" s="45"/>
      <c r="J27" s="48">
        <v>48</v>
      </c>
      <c r="K27" s="49">
        <f>資料儲存!D139</f>
        <v>0</v>
      </c>
      <c r="L27" s="49">
        <f>資料儲存!E139</f>
        <v>0</v>
      </c>
      <c r="M27" s="49">
        <f>資料儲存!F139</f>
        <v>0</v>
      </c>
      <c r="N27" s="49">
        <f>資料儲存!G139</f>
        <v>0</v>
      </c>
      <c r="O27" s="49">
        <f>資料儲存!H139</f>
        <v>0</v>
      </c>
      <c r="P27" s="49">
        <f>資料儲存!I139</f>
        <v>0</v>
      </c>
      <c r="Q27" s="49">
        <f>資料儲存!J139</f>
        <v>0</v>
      </c>
      <c r="R27" s="45"/>
      <c r="S27" s="48">
        <v>48</v>
      </c>
      <c r="T27" s="49">
        <f>資料儲存!D259</f>
        <v>0</v>
      </c>
      <c r="U27" s="49">
        <f>資料儲存!E259</f>
        <v>0</v>
      </c>
      <c r="V27" s="49">
        <f>資料儲存!F259</f>
        <v>0</v>
      </c>
      <c r="W27" s="49">
        <f>資料儲存!G259</f>
        <v>0</v>
      </c>
      <c r="X27" s="49">
        <f>資料儲存!H259</f>
        <v>0</v>
      </c>
      <c r="Y27" s="49">
        <f>資料儲存!I259</f>
        <v>0</v>
      </c>
      <c r="Z27" s="49">
        <f>資料儲存!J259</f>
        <v>0</v>
      </c>
      <c r="AA27" s="45"/>
      <c r="AB27" s="48">
        <v>48</v>
      </c>
      <c r="AC27" s="49">
        <f>資料儲存!D379</f>
        <v>0</v>
      </c>
      <c r="AD27" s="49">
        <f>資料儲存!E379</f>
        <v>0</v>
      </c>
      <c r="AE27" s="49">
        <f>資料儲存!F379</f>
        <v>0</v>
      </c>
      <c r="AF27" s="49">
        <f>資料儲存!G379</f>
        <v>0</v>
      </c>
      <c r="AG27" s="49">
        <f>資料儲存!H379</f>
        <v>0</v>
      </c>
      <c r="AH27" s="49">
        <f>資料儲存!I379</f>
        <v>0</v>
      </c>
      <c r="AI27" s="49">
        <f>資料儲存!J379</f>
        <v>0</v>
      </c>
      <c r="AJ27" s="13"/>
    </row>
    <row r="28" spans="1:36" ht="16" thickBot="1">
      <c r="A28" s="48">
        <v>49</v>
      </c>
      <c r="B28" s="49">
        <f>資料儲存!D20</f>
        <v>0</v>
      </c>
      <c r="C28" s="49">
        <f>資料儲存!E20</f>
        <v>0</v>
      </c>
      <c r="D28" s="49">
        <f>資料儲存!F20</f>
        <v>0</v>
      </c>
      <c r="E28" s="49">
        <f>資料儲存!G20</f>
        <v>0</v>
      </c>
      <c r="F28" s="49">
        <f>資料儲存!H20</f>
        <v>0</v>
      </c>
      <c r="G28" s="49">
        <f>資料儲存!I20</f>
        <v>0</v>
      </c>
      <c r="H28" s="49">
        <f>資料儲存!J20</f>
        <v>0</v>
      </c>
      <c r="I28" s="45"/>
      <c r="J28" s="48">
        <v>49</v>
      </c>
      <c r="K28" s="49">
        <f>資料儲存!D140</f>
        <v>0</v>
      </c>
      <c r="L28" s="49">
        <f>資料儲存!E140</f>
        <v>0</v>
      </c>
      <c r="M28" s="49">
        <f>資料儲存!F140</f>
        <v>0</v>
      </c>
      <c r="N28" s="49">
        <f>資料儲存!G140</f>
        <v>0</v>
      </c>
      <c r="O28" s="49">
        <f>資料儲存!H140</f>
        <v>0</v>
      </c>
      <c r="P28" s="49">
        <f>資料儲存!I140</f>
        <v>0</v>
      </c>
      <c r="Q28" s="49">
        <f>資料儲存!J140</f>
        <v>0</v>
      </c>
      <c r="R28" s="45"/>
      <c r="S28" s="48">
        <v>49</v>
      </c>
      <c r="T28" s="49">
        <f>資料儲存!D260</f>
        <v>0</v>
      </c>
      <c r="U28" s="49">
        <f>資料儲存!E260</f>
        <v>0</v>
      </c>
      <c r="V28" s="49">
        <f>資料儲存!F260</f>
        <v>0</v>
      </c>
      <c r="W28" s="49">
        <f>資料儲存!G260</f>
        <v>0</v>
      </c>
      <c r="X28" s="49">
        <f>資料儲存!H260</f>
        <v>0</v>
      </c>
      <c r="Y28" s="49">
        <f>資料儲存!I260</f>
        <v>0</v>
      </c>
      <c r="Z28" s="49">
        <f>資料儲存!J260</f>
        <v>0</v>
      </c>
      <c r="AA28" s="45"/>
      <c r="AB28" s="48">
        <v>49</v>
      </c>
      <c r="AC28" s="49">
        <f>資料儲存!D380</f>
        <v>0</v>
      </c>
      <c r="AD28" s="49">
        <f>資料儲存!E380</f>
        <v>0</v>
      </c>
      <c r="AE28" s="49">
        <f>資料儲存!F380</f>
        <v>0</v>
      </c>
      <c r="AF28" s="49">
        <f>資料儲存!G380</f>
        <v>0</v>
      </c>
      <c r="AG28" s="49">
        <f>資料儲存!H380</f>
        <v>0</v>
      </c>
      <c r="AH28" s="49">
        <f>資料儲存!I380</f>
        <v>0</v>
      </c>
      <c r="AI28" s="49">
        <f>資料儲存!J380</f>
        <v>0</v>
      </c>
      <c r="AJ28" s="13"/>
    </row>
    <row r="29" spans="1:36" ht="16" thickBot="1">
      <c r="A29" s="48">
        <v>50</v>
      </c>
      <c r="B29" s="49">
        <f>資料儲存!D21</f>
        <v>0</v>
      </c>
      <c r="C29" s="49">
        <f>資料儲存!E21</f>
        <v>0</v>
      </c>
      <c r="D29" s="49">
        <f>資料儲存!F21</f>
        <v>0</v>
      </c>
      <c r="E29" s="49">
        <f>資料儲存!G21</f>
        <v>0</v>
      </c>
      <c r="F29" s="49">
        <f>資料儲存!H21</f>
        <v>0</v>
      </c>
      <c r="G29" s="49">
        <f>資料儲存!I21</f>
        <v>0</v>
      </c>
      <c r="H29" s="49">
        <f>資料儲存!J21</f>
        <v>0</v>
      </c>
      <c r="I29" s="45"/>
      <c r="J29" s="48">
        <v>50</v>
      </c>
      <c r="K29" s="49">
        <f>資料儲存!D141</f>
        <v>0</v>
      </c>
      <c r="L29" s="49">
        <f>資料儲存!E141</f>
        <v>0</v>
      </c>
      <c r="M29" s="49">
        <f>資料儲存!F141</f>
        <v>0</v>
      </c>
      <c r="N29" s="49">
        <f>資料儲存!G141</f>
        <v>0</v>
      </c>
      <c r="O29" s="49">
        <f>資料儲存!H141</f>
        <v>0</v>
      </c>
      <c r="P29" s="49">
        <f>資料儲存!I141</f>
        <v>0</v>
      </c>
      <c r="Q29" s="49">
        <f>資料儲存!J141</f>
        <v>0</v>
      </c>
      <c r="R29" s="45"/>
      <c r="S29" s="48">
        <v>50</v>
      </c>
      <c r="T29" s="49">
        <f>資料儲存!D261</f>
        <v>0</v>
      </c>
      <c r="U29" s="49">
        <f>資料儲存!E261</f>
        <v>0</v>
      </c>
      <c r="V29" s="49">
        <f>資料儲存!F261</f>
        <v>0</v>
      </c>
      <c r="W29" s="49">
        <f>資料儲存!G261</f>
        <v>0</v>
      </c>
      <c r="X29" s="49">
        <f>資料儲存!H261</f>
        <v>0</v>
      </c>
      <c r="Y29" s="49">
        <f>資料儲存!I261</f>
        <v>0</v>
      </c>
      <c r="Z29" s="49">
        <f>資料儲存!J261</f>
        <v>0</v>
      </c>
      <c r="AA29" s="45"/>
      <c r="AB29" s="48">
        <v>50</v>
      </c>
      <c r="AC29" s="49">
        <f>資料儲存!D381</f>
        <v>0</v>
      </c>
      <c r="AD29" s="49">
        <f>資料儲存!E381</f>
        <v>0</v>
      </c>
      <c r="AE29" s="49">
        <f>資料儲存!F381</f>
        <v>0</v>
      </c>
      <c r="AF29" s="49">
        <f>資料儲存!G381</f>
        <v>0</v>
      </c>
      <c r="AG29" s="49">
        <f>資料儲存!H381</f>
        <v>0</v>
      </c>
      <c r="AH29" s="49">
        <f>資料儲存!I381</f>
        <v>0</v>
      </c>
      <c r="AI29" s="49">
        <f>資料儲存!J381</f>
        <v>0</v>
      </c>
      <c r="AJ29" s="13"/>
    </row>
    <row r="30" spans="1:36" ht="16" thickBot="1">
      <c r="A30" s="48">
        <v>51</v>
      </c>
      <c r="B30" s="49">
        <f>資料儲存!D22</f>
        <v>0</v>
      </c>
      <c r="C30" s="49">
        <f>資料儲存!E22</f>
        <v>0</v>
      </c>
      <c r="D30" s="49">
        <f>資料儲存!F22</f>
        <v>0</v>
      </c>
      <c r="E30" s="49">
        <f>資料儲存!G22</f>
        <v>0</v>
      </c>
      <c r="F30" s="49">
        <f>資料儲存!H22</f>
        <v>0</v>
      </c>
      <c r="G30" s="49">
        <f>資料儲存!I22</f>
        <v>0</v>
      </c>
      <c r="H30" s="49">
        <f>資料儲存!J22</f>
        <v>0</v>
      </c>
      <c r="I30" s="45"/>
      <c r="J30" s="48">
        <v>51</v>
      </c>
      <c r="K30" s="49">
        <f>資料儲存!D142</f>
        <v>0</v>
      </c>
      <c r="L30" s="49">
        <f>資料儲存!E142</f>
        <v>0</v>
      </c>
      <c r="M30" s="49">
        <f>資料儲存!F142</f>
        <v>0</v>
      </c>
      <c r="N30" s="49">
        <f>資料儲存!G142</f>
        <v>0</v>
      </c>
      <c r="O30" s="49">
        <f>資料儲存!H142</f>
        <v>0</v>
      </c>
      <c r="P30" s="49">
        <f>資料儲存!I142</f>
        <v>0</v>
      </c>
      <c r="Q30" s="49">
        <f>資料儲存!J142</f>
        <v>0</v>
      </c>
      <c r="R30" s="45"/>
      <c r="S30" s="48">
        <v>51</v>
      </c>
      <c r="T30" s="49">
        <f>資料儲存!D262</f>
        <v>0</v>
      </c>
      <c r="U30" s="49">
        <f>資料儲存!E262</f>
        <v>0</v>
      </c>
      <c r="V30" s="49">
        <f>資料儲存!F262</f>
        <v>0</v>
      </c>
      <c r="W30" s="49">
        <f>資料儲存!G262</f>
        <v>0</v>
      </c>
      <c r="X30" s="49">
        <f>資料儲存!H262</f>
        <v>0</v>
      </c>
      <c r="Y30" s="49">
        <f>資料儲存!I262</f>
        <v>0</v>
      </c>
      <c r="Z30" s="49">
        <f>資料儲存!J262</f>
        <v>0</v>
      </c>
      <c r="AA30" s="45"/>
      <c r="AB30" s="48">
        <v>51</v>
      </c>
      <c r="AC30" s="49">
        <f>資料儲存!D382</f>
        <v>0</v>
      </c>
      <c r="AD30" s="49">
        <f>資料儲存!E382</f>
        <v>0</v>
      </c>
      <c r="AE30" s="49">
        <f>資料儲存!F382</f>
        <v>0</v>
      </c>
      <c r="AF30" s="49">
        <f>資料儲存!G382</f>
        <v>0</v>
      </c>
      <c r="AG30" s="49">
        <f>資料儲存!H382</f>
        <v>0</v>
      </c>
      <c r="AH30" s="49">
        <f>資料儲存!I382</f>
        <v>0</v>
      </c>
      <c r="AI30" s="49">
        <f>資料儲存!J382</f>
        <v>0</v>
      </c>
      <c r="AJ30" s="13"/>
    </row>
    <row r="31" spans="1:36" ht="16" thickBot="1">
      <c r="A31" s="48">
        <v>52</v>
      </c>
      <c r="B31" s="49">
        <f>資料儲存!D23</f>
        <v>0</v>
      </c>
      <c r="C31" s="49">
        <f>資料儲存!E23</f>
        <v>0</v>
      </c>
      <c r="D31" s="49">
        <f>資料儲存!F23</f>
        <v>0</v>
      </c>
      <c r="E31" s="49">
        <f>資料儲存!G23</f>
        <v>0</v>
      </c>
      <c r="F31" s="49">
        <f>資料儲存!H23</f>
        <v>0</v>
      </c>
      <c r="G31" s="49">
        <f>資料儲存!I23</f>
        <v>0</v>
      </c>
      <c r="H31" s="49">
        <f>資料儲存!J23</f>
        <v>0</v>
      </c>
      <c r="I31" s="45"/>
      <c r="J31" s="48">
        <v>52</v>
      </c>
      <c r="K31" s="49">
        <f>資料儲存!D143</f>
        <v>0</v>
      </c>
      <c r="L31" s="49">
        <f>資料儲存!E143</f>
        <v>0</v>
      </c>
      <c r="M31" s="49">
        <f>資料儲存!F143</f>
        <v>0</v>
      </c>
      <c r="N31" s="49">
        <f>資料儲存!G143</f>
        <v>0</v>
      </c>
      <c r="O31" s="49">
        <f>資料儲存!H143</f>
        <v>0</v>
      </c>
      <c r="P31" s="49">
        <f>資料儲存!I143</f>
        <v>0</v>
      </c>
      <c r="Q31" s="49">
        <f>資料儲存!J143</f>
        <v>0</v>
      </c>
      <c r="R31" s="45"/>
      <c r="S31" s="48">
        <v>52</v>
      </c>
      <c r="T31" s="49">
        <f>資料儲存!D263</f>
        <v>0</v>
      </c>
      <c r="U31" s="49">
        <f>資料儲存!E263</f>
        <v>0</v>
      </c>
      <c r="V31" s="49">
        <f>資料儲存!F263</f>
        <v>0</v>
      </c>
      <c r="W31" s="49">
        <f>資料儲存!G263</f>
        <v>0</v>
      </c>
      <c r="X31" s="49">
        <f>資料儲存!H263</f>
        <v>0</v>
      </c>
      <c r="Y31" s="49">
        <f>資料儲存!I263</f>
        <v>0</v>
      </c>
      <c r="Z31" s="49">
        <f>資料儲存!J263</f>
        <v>0</v>
      </c>
      <c r="AA31" s="45"/>
      <c r="AB31" s="48">
        <v>52</v>
      </c>
      <c r="AC31" s="49">
        <f>資料儲存!D383</f>
        <v>0</v>
      </c>
      <c r="AD31" s="49">
        <f>資料儲存!E383</f>
        <v>0</v>
      </c>
      <c r="AE31" s="49">
        <f>資料儲存!F383</f>
        <v>0</v>
      </c>
      <c r="AF31" s="49">
        <f>資料儲存!G383</f>
        <v>0</v>
      </c>
      <c r="AG31" s="49">
        <f>資料儲存!H383</f>
        <v>0</v>
      </c>
      <c r="AH31" s="49">
        <f>資料儲存!I383</f>
        <v>0</v>
      </c>
      <c r="AI31" s="49">
        <f>資料儲存!J383</f>
        <v>0</v>
      </c>
      <c r="AJ31" s="13"/>
    </row>
    <row r="32" spans="1:36" ht="16" thickBot="1">
      <c r="A32" s="48">
        <v>53</v>
      </c>
      <c r="B32" s="49">
        <f>資料儲存!D24</f>
        <v>0</v>
      </c>
      <c r="C32" s="49">
        <f>資料儲存!E24</f>
        <v>0</v>
      </c>
      <c r="D32" s="49">
        <f>資料儲存!F24</f>
        <v>0</v>
      </c>
      <c r="E32" s="49">
        <f>資料儲存!G24</f>
        <v>0</v>
      </c>
      <c r="F32" s="49">
        <f>資料儲存!H24</f>
        <v>0</v>
      </c>
      <c r="G32" s="49">
        <f>資料儲存!I24</f>
        <v>0</v>
      </c>
      <c r="H32" s="49">
        <f>資料儲存!J24</f>
        <v>0</v>
      </c>
      <c r="I32" s="45"/>
      <c r="J32" s="48">
        <v>53</v>
      </c>
      <c r="K32" s="49">
        <f>資料儲存!D144</f>
        <v>0</v>
      </c>
      <c r="L32" s="49">
        <f>資料儲存!E144</f>
        <v>0</v>
      </c>
      <c r="M32" s="49">
        <f>資料儲存!F144</f>
        <v>0</v>
      </c>
      <c r="N32" s="49">
        <f>資料儲存!G144</f>
        <v>0</v>
      </c>
      <c r="O32" s="49">
        <f>資料儲存!H144</f>
        <v>0</v>
      </c>
      <c r="P32" s="49">
        <f>資料儲存!I144</f>
        <v>0</v>
      </c>
      <c r="Q32" s="49">
        <f>資料儲存!J144</f>
        <v>0</v>
      </c>
      <c r="R32" s="45"/>
      <c r="S32" s="48">
        <v>53</v>
      </c>
      <c r="T32" s="49">
        <f>資料儲存!D264</f>
        <v>0</v>
      </c>
      <c r="U32" s="49">
        <f>資料儲存!E264</f>
        <v>0</v>
      </c>
      <c r="V32" s="49">
        <f>資料儲存!F264</f>
        <v>0</v>
      </c>
      <c r="W32" s="49">
        <f>資料儲存!G264</f>
        <v>0</v>
      </c>
      <c r="X32" s="49">
        <f>資料儲存!H264</f>
        <v>0</v>
      </c>
      <c r="Y32" s="49">
        <f>資料儲存!I264</f>
        <v>0</v>
      </c>
      <c r="Z32" s="49">
        <f>資料儲存!J264</f>
        <v>0</v>
      </c>
      <c r="AA32" s="45"/>
      <c r="AB32" s="48">
        <v>53</v>
      </c>
      <c r="AC32" s="49">
        <f>資料儲存!D384</f>
        <v>0</v>
      </c>
      <c r="AD32" s="49">
        <f>資料儲存!E384</f>
        <v>0</v>
      </c>
      <c r="AE32" s="49">
        <f>資料儲存!F384</f>
        <v>0</v>
      </c>
      <c r="AF32" s="49">
        <f>資料儲存!G384</f>
        <v>0</v>
      </c>
      <c r="AG32" s="49">
        <f>資料儲存!H384</f>
        <v>0</v>
      </c>
      <c r="AH32" s="49">
        <f>資料儲存!I384</f>
        <v>0</v>
      </c>
      <c r="AI32" s="49">
        <f>資料儲存!J384</f>
        <v>0</v>
      </c>
      <c r="AJ32" s="13"/>
    </row>
    <row r="33" spans="1:36" ht="16" thickBot="1">
      <c r="A33" s="48">
        <v>54</v>
      </c>
      <c r="B33" s="49">
        <f>資料儲存!D25</f>
        <v>0</v>
      </c>
      <c r="C33" s="49">
        <f>資料儲存!E25</f>
        <v>0</v>
      </c>
      <c r="D33" s="49">
        <f>資料儲存!F25</f>
        <v>0</v>
      </c>
      <c r="E33" s="49">
        <f>資料儲存!G25</f>
        <v>0</v>
      </c>
      <c r="F33" s="49">
        <f>資料儲存!H25</f>
        <v>0</v>
      </c>
      <c r="G33" s="49">
        <f>資料儲存!I25</f>
        <v>0</v>
      </c>
      <c r="H33" s="49">
        <f>資料儲存!J25</f>
        <v>0</v>
      </c>
      <c r="I33" s="45"/>
      <c r="J33" s="48">
        <v>54</v>
      </c>
      <c r="K33" s="49">
        <f>資料儲存!D145</f>
        <v>0</v>
      </c>
      <c r="L33" s="49">
        <f>資料儲存!E145</f>
        <v>0</v>
      </c>
      <c r="M33" s="49">
        <f>資料儲存!F145</f>
        <v>0</v>
      </c>
      <c r="N33" s="49">
        <f>資料儲存!G145</f>
        <v>0</v>
      </c>
      <c r="O33" s="49">
        <f>資料儲存!H145</f>
        <v>0</v>
      </c>
      <c r="P33" s="49">
        <f>資料儲存!I145</f>
        <v>0</v>
      </c>
      <c r="Q33" s="49">
        <f>資料儲存!J145</f>
        <v>0</v>
      </c>
      <c r="R33" s="45"/>
      <c r="S33" s="48">
        <v>54</v>
      </c>
      <c r="T33" s="49">
        <f>資料儲存!D265</f>
        <v>0</v>
      </c>
      <c r="U33" s="49">
        <f>資料儲存!E265</f>
        <v>0</v>
      </c>
      <c r="V33" s="49">
        <f>資料儲存!F265</f>
        <v>0</v>
      </c>
      <c r="W33" s="49">
        <f>資料儲存!G265</f>
        <v>0</v>
      </c>
      <c r="X33" s="49">
        <f>資料儲存!H265</f>
        <v>0</v>
      </c>
      <c r="Y33" s="49">
        <f>資料儲存!I265</f>
        <v>0</v>
      </c>
      <c r="Z33" s="49">
        <f>資料儲存!J265</f>
        <v>0</v>
      </c>
      <c r="AA33" s="45"/>
      <c r="AB33" s="48">
        <v>54</v>
      </c>
      <c r="AC33" s="49">
        <f>資料儲存!D385</f>
        <v>0</v>
      </c>
      <c r="AD33" s="49">
        <f>資料儲存!E385</f>
        <v>0</v>
      </c>
      <c r="AE33" s="49">
        <f>資料儲存!F385</f>
        <v>0</v>
      </c>
      <c r="AF33" s="49">
        <f>資料儲存!G385</f>
        <v>0</v>
      </c>
      <c r="AG33" s="49">
        <f>資料儲存!H385</f>
        <v>0</v>
      </c>
      <c r="AH33" s="49">
        <f>資料儲存!I385</f>
        <v>0</v>
      </c>
      <c r="AI33" s="49">
        <f>資料儲存!J385</f>
        <v>0</v>
      </c>
      <c r="AJ33" s="13"/>
    </row>
    <row r="34" spans="1:36" ht="16" thickBot="1">
      <c r="A34" s="48">
        <v>55</v>
      </c>
      <c r="B34" s="49">
        <f>資料儲存!D26</f>
        <v>0</v>
      </c>
      <c r="C34" s="49">
        <f>資料儲存!E26</f>
        <v>0</v>
      </c>
      <c r="D34" s="49">
        <f>資料儲存!F26</f>
        <v>0</v>
      </c>
      <c r="E34" s="49">
        <f>資料儲存!G26</f>
        <v>0</v>
      </c>
      <c r="F34" s="49">
        <f>資料儲存!H26</f>
        <v>0</v>
      </c>
      <c r="G34" s="49">
        <f>資料儲存!I26</f>
        <v>0</v>
      </c>
      <c r="H34" s="49">
        <f>資料儲存!J26</f>
        <v>0</v>
      </c>
      <c r="I34" s="45"/>
      <c r="J34" s="48">
        <v>55</v>
      </c>
      <c r="K34" s="49">
        <f>資料儲存!D146</f>
        <v>0</v>
      </c>
      <c r="L34" s="49">
        <f>資料儲存!E146</f>
        <v>0</v>
      </c>
      <c r="M34" s="49">
        <f>資料儲存!F146</f>
        <v>0</v>
      </c>
      <c r="N34" s="49">
        <f>資料儲存!G146</f>
        <v>0</v>
      </c>
      <c r="O34" s="49">
        <f>資料儲存!H146</f>
        <v>0</v>
      </c>
      <c r="P34" s="49">
        <f>資料儲存!I146</f>
        <v>0</v>
      </c>
      <c r="Q34" s="49">
        <f>資料儲存!J146</f>
        <v>0</v>
      </c>
      <c r="R34" s="45"/>
      <c r="S34" s="48">
        <v>55</v>
      </c>
      <c r="T34" s="49">
        <f>資料儲存!D266</f>
        <v>0</v>
      </c>
      <c r="U34" s="49">
        <f>資料儲存!E266</f>
        <v>0</v>
      </c>
      <c r="V34" s="49">
        <f>資料儲存!F266</f>
        <v>0</v>
      </c>
      <c r="W34" s="49">
        <f>資料儲存!G266</f>
        <v>0</v>
      </c>
      <c r="X34" s="49">
        <f>資料儲存!H266</f>
        <v>0</v>
      </c>
      <c r="Y34" s="49">
        <f>資料儲存!I266</f>
        <v>0</v>
      </c>
      <c r="Z34" s="49">
        <f>資料儲存!J266</f>
        <v>0</v>
      </c>
      <c r="AA34" s="45"/>
      <c r="AB34" s="48">
        <v>55</v>
      </c>
      <c r="AC34" s="49">
        <f>資料儲存!D386</f>
        <v>0</v>
      </c>
      <c r="AD34" s="49">
        <f>資料儲存!E386</f>
        <v>0</v>
      </c>
      <c r="AE34" s="49">
        <f>資料儲存!F386</f>
        <v>0</v>
      </c>
      <c r="AF34" s="49">
        <f>資料儲存!G386</f>
        <v>0</v>
      </c>
      <c r="AG34" s="49">
        <f>資料儲存!H386</f>
        <v>0</v>
      </c>
      <c r="AH34" s="49">
        <f>資料儲存!I386</f>
        <v>0</v>
      </c>
      <c r="AI34" s="49">
        <f>資料儲存!J386</f>
        <v>0</v>
      </c>
      <c r="AJ34" s="13"/>
    </row>
    <row r="35" spans="1:36" ht="16" thickBot="1">
      <c r="A35" s="48">
        <v>56</v>
      </c>
      <c r="B35" s="49">
        <f>資料儲存!D27</f>
        <v>0</v>
      </c>
      <c r="C35" s="49">
        <f>資料儲存!E27</f>
        <v>0</v>
      </c>
      <c r="D35" s="49">
        <f>資料儲存!F27</f>
        <v>0</v>
      </c>
      <c r="E35" s="49">
        <f>資料儲存!G27</f>
        <v>0</v>
      </c>
      <c r="F35" s="49">
        <f>資料儲存!H27</f>
        <v>0</v>
      </c>
      <c r="G35" s="49">
        <f>資料儲存!I27</f>
        <v>0</v>
      </c>
      <c r="H35" s="49">
        <f>資料儲存!J27</f>
        <v>0</v>
      </c>
      <c r="I35" s="45"/>
      <c r="J35" s="48">
        <v>56</v>
      </c>
      <c r="K35" s="49">
        <f>資料儲存!D147</f>
        <v>0</v>
      </c>
      <c r="L35" s="49">
        <f>資料儲存!E147</f>
        <v>0</v>
      </c>
      <c r="M35" s="49">
        <f>資料儲存!F147</f>
        <v>0</v>
      </c>
      <c r="N35" s="49">
        <f>資料儲存!G147</f>
        <v>0</v>
      </c>
      <c r="O35" s="49">
        <f>資料儲存!H147</f>
        <v>0</v>
      </c>
      <c r="P35" s="49">
        <f>資料儲存!I147</f>
        <v>0</v>
      </c>
      <c r="Q35" s="49">
        <f>資料儲存!J147</f>
        <v>0</v>
      </c>
      <c r="R35" s="45"/>
      <c r="S35" s="48">
        <v>56</v>
      </c>
      <c r="T35" s="49">
        <f>資料儲存!D267</f>
        <v>0</v>
      </c>
      <c r="U35" s="49">
        <f>資料儲存!E267</f>
        <v>0</v>
      </c>
      <c r="V35" s="49">
        <f>資料儲存!F267</f>
        <v>0</v>
      </c>
      <c r="W35" s="49">
        <f>資料儲存!G267</f>
        <v>0</v>
      </c>
      <c r="X35" s="49">
        <f>資料儲存!H267</f>
        <v>0</v>
      </c>
      <c r="Y35" s="49">
        <f>資料儲存!I267</f>
        <v>0</v>
      </c>
      <c r="Z35" s="49">
        <f>資料儲存!J267</f>
        <v>0</v>
      </c>
      <c r="AA35" s="45"/>
      <c r="AB35" s="48">
        <v>56</v>
      </c>
      <c r="AC35" s="49">
        <f>資料儲存!D387</f>
        <v>0</v>
      </c>
      <c r="AD35" s="49">
        <f>資料儲存!E387</f>
        <v>0</v>
      </c>
      <c r="AE35" s="49">
        <f>資料儲存!F387</f>
        <v>0</v>
      </c>
      <c r="AF35" s="49">
        <f>資料儲存!G387</f>
        <v>0</v>
      </c>
      <c r="AG35" s="49">
        <f>資料儲存!H387</f>
        <v>0</v>
      </c>
      <c r="AH35" s="49">
        <f>資料儲存!I387</f>
        <v>0</v>
      </c>
      <c r="AI35" s="49">
        <f>資料儲存!J387</f>
        <v>0</v>
      </c>
      <c r="AJ35" s="13"/>
    </row>
    <row r="36" spans="1:36" ht="16" thickBot="1">
      <c r="A36" s="48">
        <v>57</v>
      </c>
      <c r="B36" s="49">
        <f>資料儲存!D28</f>
        <v>0</v>
      </c>
      <c r="C36" s="49">
        <f>資料儲存!E28</f>
        <v>0</v>
      </c>
      <c r="D36" s="49">
        <f>資料儲存!F28</f>
        <v>0</v>
      </c>
      <c r="E36" s="49">
        <f>資料儲存!G28</f>
        <v>0</v>
      </c>
      <c r="F36" s="49">
        <f>資料儲存!H28</f>
        <v>0</v>
      </c>
      <c r="G36" s="49">
        <f>資料儲存!I28</f>
        <v>0</v>
      </c>
      <c r="H36" s="49">
        <f>資料儲存!J28</f>
        <v>0</v>
      </c>
      <c r="I36" s="45"/>
      <c r="J36" s="48">
        <v>57</v>
      </c>
      <c r="K36" s="49">
        <f>資料儲存!D148</f>
        <v>0</v>
      </c>
      <c r="L36" s="49">
        <f>資料儲存!E148</f>
        <v>0</v>
      </c>
      <c r="M36" s="49">
        <f>資料儲存!F148</f>
        <v>0</v>
      </c>
      <c r="N36" s="49">
        <f>資料儲存!G148</f>
        <v>0</v>
      </c>
      <c r="O36" s="49">
        <f>資料儲存!H148</f>
        <v>0</v>
      </c>
      <c r="P36" s="49">
        <f>資料儲存!I148</f>
        <v>0</v>
      </c>
      <c r="Q36" s="49">
        <f>資料儲存!J148</f>
        <v>0</v>
      </c>
      <c r="R36" s="45"/>
      <c r="S36" s="48">
        <v>57</v>
      </c>
      <c r="T36" s="49">
        <f>資料儲存!D268</f>
        <v>0</v>
      </c>
      <c r="U36" s="49">
        <f>資料儲存!E268</f>
        <v>0</v>
      </c>
      <c r="V36" s="49">
        <f>資料儲存!F268</f>
        <v>0</v>
      </c>
      <c r="W36" s="49">
        <f>資料儲存!G268</f>
        <v>0</v>
      </c>
      <c r="X36" s="49">
        <f>資料儲存!H268</f>
        <v>0</v>
      </c>
      <c r="Y36" s="49">
        <f>資料儲存!I268</f>
        <v>0</v>
      </c>
      <c r="Z36" s="49">
        <f>資料儲存!J268</f>
        <v>0</v>
      </c>
      <c r="AA36" s="45"/>
      <c r="AB36" s="48">
        <v>57</v>
      </c>
      <c r="AC36" s="49">
        <f>資料儲存!D388</f>
        <v>0</v>
      </c>
      <c r="AD36" s="49">
        <f>資料儲存!E388</f>
        <v>0</v>
      </c>
      <c r="AE36" s="49">
        <f>資料儲存!F388</f>
        <v>0</v>
      </c>
      <c r="AF36" s="49">
        <f>資料儲存!G388</f>
        <v>0</v>
      </c>
      <c r="AG36" s="49">
        <f>資料儲存!H388</f>
        <v>0</v>
      </c>
      <c r="AH36" s="49">
        <f>資料儲存!I388</f>
        <v>0</v>
      </c>
      <c r="AI36" s="49">
        <f>資料儲存!J388</f>
        <v>0</v>
      </c>
      <c r="AJ36" s="13"/>
    </row>
    <row r="37" spans="1:36" ht="16" thickBot="1">
      <c r="A37" s="48">
        <v>58</v>
      </c>
      <c r="B37" s="49">
        <f>資料儲存!D29</f>
        <v>0</v>
      </c>
      <c r="C37" s="49">
        <f>資料儲存!E29</f>
        <v>0</v>
      </c>
      <c r="D37" s="49">
        <f>資料儲存!F29</f>
        <v>0</v>
      </c>
      <c r="E37" s="49">
        <f>資料儲存!G29</f>
        <v>0</v>
      </c>
      <c r="F37" s="49">
        <f>資料儲存!H29</f>
        <v>0</v>
      </c>
      <c r="G37" s="49">
        <f>資料儲存!I29</f>
        <v>0</v>
      </c>
      <c r="H37" s="49">
        <f>資料儲存!J29</f>
        <v>0</v>
      </c>
      <c r="I37" s="45"/>
      <c r="J37" s="48">
        <v>58</v>
      </c>
      <c r="K37" s="49">
        <f>資料儲存!D149</f>
        <v>0</v>
      </c>
      <c r="L37" s="49">
        <f>資料儲存!E149</f>
        <v>0</v>
      </c>
      <c r="M37" s="49">
        <f>資料儲存!F149</f>
        <v>0</v>
      </c>
      <c r="N37" s="49">
        <f>資料儲存!G149</f>
        <v>0</v>
      </c>
      <c r="O37" s="49">
        <f>資料儲存!H149</f>
        <v>0</v>
      </c>
      <c r="P37" s="49">
        <f>資料儲存!I149</f>
        <v>0</v>
      </c>
      <c r="Q37" s="49">
        <f>資料儲存!J149</f>
        <v>0</v>
      </c>
      <c r="R37" s="45"/>
      <c r="S37" s="48">
        <v>58</v>
      </c>
      <c r="T37" s="49">
        <f>資料儲存!D269</f>
        <v>0</v>
      </c>
      <c r="U37" s="49">
        <f>資料儲存!E269</f>
        <v>0</v>
      </c>
      <c r="V37" s="49">
        <f>資料儲存!F269</f>
        <v>0</v>
      </c>
      <c r="W37" s="49">
        <f>資料儲存!G269</f>
        <v>0</v>
      </c>
      <c r="X37" s="49">
        <f>資料儲存!H269</f>
        <v>0</v>
      </c>
      <c r="Y37" s="49">
        <f>資料儲存!I269</f>
        <v>0</v>
      </c>
      <c r="Z37" s="49">
        <f>資料儲存!J269</f>
        <v>0</v>
      </c>
      <c r="AA37" s="45"/>
      <c r="AB37" s="48">
        <v>58</v>
      </c>
      <c r="AC37" s="49">
        <f>資料儲存!D389</f>
        <v>0</v>
      </c>
      <c r="AD37" s="49">
        <f>資料儲存!E389</f>
        <v>0</v>
      </c>
      <c r="AE37" s="49">
        <f>資料儲存!F389</f>
        <v>0</v>
      </c>
      <c r="AF37" s="49">
        <f>資料儲存!G389</f>
        <v>0</v>
      </c>
      <c r="AG37" s="49">
        <f>資料儲存!H389</f>
        <v>0</v>
      </c>
      <c r="AH37" s="49">
        <f>資料儲存!I389</f>
        <v>0</v>
      </c>
      <c r="AI37" s="49">
        <f>資料儲存!J389</f>
        <v>0</v>
      </c>
      <c r="AJ37" s="13"/>
    </row>
    <row r="38" spans="1:36" ht="16" thickBot="1">
      <c r="A38" s="48">
        <v>59</v>
      </c>
      <c r="B38" s="49">
        <f>資料儲存!D30</f>
        <v>0</v>
      </c>
      <c r="C38" s="49">
        <f>資料儲存!E30</f>
        <v>0</v>
      </c>
      <c r="D38" s="49">
        <f>資料儲存!F30</f>
        <v>0</v>
      </c>
      <c r="E38" s="49">
        <f>資料儲存!G30</f>
        <v>0</v>
      </c>
      <c r="F38" s="49">
        <f>資料儲存!H30</f>
        <v>0</v>
      </c>
      <c r="G38" s="49">
        <f>資料儲存!I30</f>
        <v>0</v>
      </c>
      <c r="H38" s="49">
        <f>資料儲存!J30</f>
        <v>0</v>
      </c>
      <c r="I38" s="45"/>
      <c r="J38" s="48">
        <v>59</v>
      </c>
      <c r="K38" s="49">
        <f>資料儲存!D150</f>
        <v>0</v>
      </c>
      <c r="L38" s="49">
        <f>資料儲存!E150</f>
        <v>0</v>
      </c>
      <c r="M38" s="49">
        <f>資料儲存!F150</f>
        <v>0</v>
      </c>
      <c r="N38" s="49">
        <f>資料儲存!G150</f>
        <v>0</v>
      </c>
      <c r="O38" s="49">
        <f>資料儲存!H150</f>
        <v>0</v>
      </c>
      <c r="P38" s="49">
        <f>資料儲存!I150</f>
        <v>0</v>
      </c>
      <c r="Q38" s="49">
        <f>資料儲存!J150</f>
        <v>0</v>
      </c>
      <c r="R38" s="45"/>
      <c r="S38" s="48">
        <v>59</v>
      </c>
      <c r="T38" s="49">
        <f>資料儲存!D270</f>
        <v>0</v>
      </c>
      <c r="U38" s="49">
        <f>資料儲存!E270</f>
        <v>0</v>
      </c>
      <c r="V38" s="49">
        <f>資料儲存!F270</f>
        <v>0</v>
      </c>
      <c r="W38" s="49">
        <f>資料儲存!G270</f>
        <v>0</v>
      </c>
      <c r="X38" s="49">
        <f>資料儲存!H270</f>
        <v>0</v>
      </c>
      <c r="Y38" s="49">
        <f>資料儲存!I270</f>
        <v>0</v>
      </c>
      <c r="Z38" s="49">
        <f>資料儲存!J270</f>
        <v>0</v>
      </c>
      <c r="AA38" s="45"/>
      <c r="AB38" s="48">
        <v>59</v>
      </c>
      <c r="AC38" s="49">
        <f>資料儲存!D390</f>
        <v>0</v>
      </c>
      <c r="AD38" s="49">
        <f>資料儲存!E390</f>
        <v>0</v>
      </c>
      <c r="AE38" s="49">
        <f>資料儲存!F390</f>
        <v>0</v>
      </c>
      <c r="AF38" s="49">
        <f>資料儲存!G390</f>
        <v>0</v>
      </c>
      <c r="AG38" s="49">
        <f>資料儲存!H390</f>
        <v>0</v>
      </c>
      <c r="AH38" s="49">
        <f>資料儲存!I390</f>
        <v>0</v>
      </c>
      <c r="AI38" s="49">
        <f>資料儲存!J390</f>
        <v>0</v>
      </c>
      <c r="AJ38" s="13"/>
    </row>
    <row r="39" spans="1:36" ht="16" thickBot="1">
      <c r="A39" s="48">
        <v>60</v>
      </c>
      <c r="B39" s="49">
        <f>資料儲存!D31</f>
        <v>0</v>
      </c>
      <c r="C39" s="49">
        <f>資料儲存!E31</f>
        <v>0</v>
      </c>
      <c r="D39" s="49">
        <f>資料儲存!F31</f>
        <v>0</v>
      </c>
      <c r="E39" s="49">
        <f>資料儲存!G31</f>
        <v>0</v>
      </c>
      <c r="F39" s="49">
        <f>資料儲存!H31</f>
        <v>0</v>
      </c>
      <c r="G39" s="49">
        <f>資料儲存!I31</f>
        <v>0</v>
      </c>
      <c r="H39" s="49">
        <f>資料儲存!J31</f>
        <v>0</v>
      </c>
      <c r="I39" s="45"/>
      <c r="J39" s="48">
        <v>60</v>
      </c>
      <c r="K39" s="49">
        <f>資料儲存!D151</f>
        <v>0</v>
      </c>
      <c r="L39" s="49">
        <f>資料儲存!E151</f>
        <v>0</v>
      </c>
      <c r="M39" s="49">
        <f>資料儲存!F151</f>
        <v>0</v>
      </c>
      <c r="N39" s="49">
        <f>資料儲存!G151</f>
        <v>0</v>
      </c>
      <c r="O39" s="49">
        <f>資料儲存!H151</f>
        <v>0</v>
      </c>
      <c r="P39" s="49">
        <f>資料儲存!I151</f>
        <v>0</v>
      </c>
      <c r="Q39" s="49">
        <f>資料儲存!J151</f>
        <v>0</v>
      </c>
      <c r="R39" s="45"/>
      <c r="S39" s="48">
        <v>60</v>
      </c>
      <c r="T39" s="49">
        <f>資料儲存!D271</f>
        <v>0</v>
      </c>
      <c r="U39" s="49">
        <f>資料儲存!E271</f>
        <v>0</v>
      </c>
      <c r="V39" s="49">
        <f>資料儲存!F271</f>
        <v>0</v>
      </c>
      <c r="W39" s="49">
        <f>資料儲存!G271</f>
        <v>0</v>
      </c>
      <c r="X39" s="49">
        <f>資料儲存!H271</f>
        <v>0</v>
      </c>
      <c r="Y39" s="49">
        <f>資料儲存!I271</f>
        <v>0</v>
      </c>
      <c r="Z39" s="49">
        <f>資料儲存!J271</f>
        <v>0</v>
      </c>
      <c r="AA39" s="45"/>
      <c r="AB39" s="48">
        <v>60</v>
      </c>
      <c r="AC39" s="49">
        <f>資料儲存!D391</f>
        <v>0</v>
      </c>
      <c r="AD39" s="49">
        <f>資料儲存!E391</f>
        <v>0</v>
      </c>
      <c r="AE39" s="49">
        <f>資料儲存!F391</f>
        <v>0</v>
      </c>
      <c r="AF39" s="49">
        <f>資料儲存!G391</f>
        <v>0</v>
      </c>
      <c r="AG39" s="49">
        <f>資料儲存!H391</f>
        <v>0</v>
      </c>
      <c r="AH39" s="49">
        <f>資料儲存!I391</f>
        <v>0</v>
      </c>
      <c r="AI39" s="49">
        <f>資料儲存!J391</f>
        <v>0</v>
      </c>
      <c r="AJ39" s="13"/>
    </row>
    <row r="40" spans="1:36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</row>
    <row r="41" spans="1:36" ht="18.5" thickBot="1">
      <c r="A41" s="250" t="s">
        <v>43</v>
      </c>
      <c r="B41" s="251"/>
      <c r="C41" s="251"/>
      <c r="D41" s="251"/>
      <c r="E41" s="251"/>
      <c r="F41" s="251"/>
      <c r="G41" s="251"/>
      <c r="H41" s="252"/>
      <c r="I41" s="13"/>
      <c r="J41" s="250" t="s">
        <v>43</v>
      </c>
      <c r="K41" s="251"/>
      <c r="L41" s="251"/>
      <c r="M41" s="251"/>
      <c r="N41" s="251"/>
      <c r="O41" s="251"/>
      <c r="P41" s="251"/>
      <c r="Q41" s="252"/>
      <c r="R41" s="13"/>
      <c r="S41" s="250" t="s">
        <v>43</v>
      </c>
      <c r="T41" s="251"/>
      <c r="U41" s="251"/>
      <c r="V41" s="251"/>
      <c r="W41" s="251"/>
      <c r="X41" s="251"/>
      <c r="Y41" s="251"/>
      <c r="Z41" s="252"/>
      <c r="AA41" s="13"/>
      <c r="AB41" s="250" t="s">
        <v>43</v>
      </c>
      <c r="AC41" s="251"/>
      <c r="AD41" s="251"/>
      <c r="AE41" s="251"/>
      <c r="AF41" s="251"/>
      <c r="AG41" s="251"/>
      <c r="AH41" s="251"/>
      <c r="AI41" s="252"/>
      <c r="AJ41" s="13"/>
    </row>
    <row r="42" spans="1:36" ht="17.25" customHeight="1" thickBot="1">
      <c r="A42" s="31" t="s">
        <v>2</v>
      </c>
      <c r="B42" s="32" t="s">
        <v>46</v>
      </c>
      <c r="C42" s="33"/>
      <c r="D42" s="33"/>
      <c r="E42" s="34"/>
      <c r="F42" s="32" t="s">
        <v>47</v>
      </c>
      <c r="G42" s="33"/>
      <c r="H42" s="34"/>
      <c r="I42" s="35"/>
      <c r="J42" s="31" t="s">
        <v>2</v>
      </c>
      <c r="K42" s="32" t="s">
        <v>46</v>
      </c>
      <c r="L42" s="33"/>
      <c r="M42" s="33"/>
      <c r="N42" s="34"/>
      <c r="O42" s="32" t="s">
        <v>47</v>
      </c>
      <c r="P42" s="33"/>
      <c r="Q42" s="34"/>
      <c r="R42" s="35"/>
      <c r="S42" s="31" t="s">
        <v>2</v>
      </c>
      <c r="T42" s="32" t="s">
        <v>46</v>
      </c>
      <c r="U42" s="33"/>
      <c r="V42" s="33"/>
      <c r="W42" s="34"/>
      <c r="X42" s="32" t="s">
        <v>47</v>
      </c>
      <c r="Y42" s="33"/>
      <c r="Z42" s="34"/>
      <c r="AA42" s="35"/>
      <c r="AB42" s="31" t="s">
        <v>2</v>
      </c>
      <c r="AC42" s="32" t="s">
        <v>46</v>
      </c>
      <c r="AD42" s="33"/>
      <c r="AE42" s="33"/>
      <c r="AF42" s="34"/>
      <c r="AG42" s="32" t="s">
        <v>47</v>
      </c>
      <c r="AH42" s="33"/>
      <c r="AI42" s="34"/>
      <c r="AJ42" s="13"/>
    </row>
    <row r="43" spans="1:36" ht="16" thickBot="1">
      <c r="A43" s="36" t="s">
        <v>48</v>
      </c>
      <c r="B43" s="37" t="s">
        <v>49</v>
      </c>
      <c r="C43" s="37" t="s">
        <v>50</v>
      </c>
      <c r="D43" s="37" t="s">
        <v>51</v>
      </c>
      <c r="E43" s="37" t="s">
        <v>52</v>
      </c>
      <c r="F43" s="37" t="s">
        <v>53</v>
      </c>
      <c r="G43" s="37" t="s">
        <v>54</v>
      </c>
      <c r="H43" s="37" t="s">
        <v>55</v>
      </c>
      <c r="I43" s="35"/>
      <c r="J43" s="36" t="s">
        <v>48</v>
      </c>
      <c r="K43" s="37" t="s">
        <v>49</v>
      </c>
      <c r="L43" s="37" t="s">
        <v>50</v>
      </c>
      <c r="M43" s="37" t="s">
        <v>51</v>
      </c>
      <c r="N43" s="37" t="s">
        <v>52</v>
      </c>
      <c r="O43" s="37" t="s">
        <v>53</v>
      </c>
      <c r="P43" s="37" t="s">
        <v>54</v>
      </c>
      <c r="Q43" s="37" t="s">
        <v>55</v>
      </c>
      <c r="R43" s="35"/>
      <c r="S43" s="36" t="s">
        <v>48</v>
      </c>
      <c r="T43" s="37" t="s">
        <v>49</v>
      </c>
      <c r="U43" s="37" t="s">
        <v>50</v>
      </c>
      <c r="V43" s="37" t="s">
        <v>51</v>
      </c>
      <c r="W43" s="37" t="s">
        <v>52</v>
      </c>
      <c r="X43" s="37" t="s">
        <v>53</v>
      </c>
      <c r="Y43" s="37" t="s">
        <v>54</v>
      </c>
      <c r="Z43" s="37" t="s">
        <v>55</v>
      </c>
      <c r="AA43" s="35"/>
      <c r="AB43" s="36" t="s">
        <v>48</v>
      </c>
      <c r="AC43" s="37" t="s">
        <v>49</v>
      </c>
      <c r="AD43" s="37" t="s">
        <v>50</v>
      </c>
      <c r="AE43" s="37" t="s">
        <v>51</v>
      </c>
      <c r="AF43" s="37" t="s">
        <v>52</v>
      </c>
      <c r="AG43" s="37" t="s">
        <v>53</v>
      </c>
      <c r="AH43" s="37" t="s">
        <v>54</v>
      </c>
      <c r="AI43" s="37" t="s">
        <v>55</v>
      </c>
      <c r="AJ43" s="13"/>
    </row>
    <row r="44" spans="1:36" ht="16" thickBot="1">
      <c r="A44" s="38">
        <v>1</v>
      </c>
      <c r="B44" s="39">
        <f>資料儲存!D32</f>
        <v>0</v>
      </c>
      <c r="C44" s="39">
        <f>資料儲存!E32</f>
        <v>0</v>
      </c>
      <c r="D44" s="39">
        <f>資料儲存!F32</f>
        <v>0</v>
      </c>
      <c r="E44" s="39">
        <f>資料儲存!G32</f>
        <v>0</v>
      </c>
      <c r="F44" s="39">
        <f>資料儲存!H32</f>
        <v>0</v>
      </c>
      <c r="G44" s="39">
        <f>資料儲存!I32</f>
        <v>0</v>
      </c>
      <c r="H44" s="39">
        <f>資料儲存!J32</f>
        <v>0</v>
      </c>
      <c r="I44" s="35"/>
      <c r="J44" s="38">
        <v>1</v>
      </c>
      <c r="K44" s="39">
        <f>資料儲存!D152</f>
        <v>0</v>
      </c>
      <c r="L44" s="39">
        <f>資料儲存!E152</f>
        <v>0</v>
      </c>
      <c r="M44" s="39">
        <f>資料儲存!F152</f>
        <v>0</v>
      </c>
      <c r="N44" s="39">
        <f>資料儲存!G152</f>
        <v>0</v>
      </c>
      <c r="O44" s="39">
        <f>資料儲存!H152</f>
        <v>0</v>
      </c>
      <c r="P44" s="39">
        <f>資料儲存!I152</f>
        <v>0</v>
      </c>
      <c r="Q44" s="39">
        <f>資料儲存!J152</f>
        <v>0</v>
      </c>
      <c r="R44" s="35"/>
      <c r="S44" s="38">
        <v>1</v>
      </c>
      <c r="T44" s="39">
        <f>資料儲存!D272</f>
        <v>0</v>
      </c>
      <c r="U44" s="39">
        <f>資料儲存!E272</f>
        <v>0</v>
      </c>
      <c r="V44" s="39">
        <f>資料儲存!F272</f>
        <v>0</v>
      </c>
      <c r="W44" s="39">
        <f>資料儲存!G272</f>
        <v>0</v>
      </c>
      <c r="X44" s="39">
        <f>資料儲存!H272</f>
        <v>0</v>
      </c>
      <c r="Y44" s="39">
        <f>資料儲存!I272</f>
        <v>0</v>
      </c>
      <c r="Z44" s="39">
        <f>資料儲存!J272</f>
        <v>0</v>
      </c>
      <c r="AA44" s="35"/>
      <c r="AB44" s="38">
        <v>1</v>
      </c>
      <c r="AC44" s="39">
        <f>資料儲存!D392</f>
        <v>0</v>
      </c>
      <c r="AD44" s="39">
        <f>資料儲存!E392</f>
        <v>0</v>
      </c>
      <c r="AE44" s="39">
        <f>資料儲存!F392</f>
        <v>0</v>
      </c>
      <c r="AF44" s="39">
        <f>資料儲存!G392</f>
        <v>0</v>
      </c>
      <c r="AG44" s="39">
        <f>資料儲存!H392</f>
        <v>0</v>
      </c>
      <c r="AH44" s="39">
        <f>資料儲存!I392</f>
        <v>0</v>
      </c>
      <c r="AI44" s="39">
        <f>資料儲存!J392</f>
        <v>0</v>
      </c>
      <c r="AJ44" s="13"/>
    </row>
    <row r="45" spans="1:36" ht="16" thickBot="1">
      <c r="A45" s="38">
        <v>2</v>
      </c>
      <c r="B45" s="39">
        <f>資料儲存!D33</f>
        <v>0</v>
      </c>
      <c r="C45" s="39">
        <f>資料儲存!E33</f>
        <v>0</v>
      </c>
      <c r="D45" s="39">
        <f>資料儲存!F33</f>
        <v>0</v>
      </c>
      <c r="E45" s="39">
        <f>資料儲存!G33</f>
        <v>0</v>
      </c>
      <c r="F45" s="39">
        <f>資料儲存!H33</f>
        <v>0</v>
      </c>
      <c r="G45" s="39">
        <f>資料儲存!I33</f>
        <v>0</v>
      </c>
      <c r="H45" s="39">
        <f>資料儲存!J33</f>
        <v>0</v>
      </c>
      <c r="I45" s="35"/>
      <c r="J45" s="38">
        <v>2</v>
      </c>
      <c r="K45" s="39">
        <f>資料儲存!D153</f>
        <v>0</v>
      </c>
      <c r="L45" s="39">
        <f>資料儲存!E153</f>
        <v>0</v>
      </c>
      <c r="M45" s="39">
        <f>資料儲存!F153</f>
        <v>0</v>
      </c>
      <c r="N45" s="39">
        <f>資料儲存!G153</f>
        <v>0</v>
      </c>
      <c r="O45" s="39">
        <f>資料儲存!H153</f>
        <v>0</v>
      </c>
      <c r="P45" s="39">
        <f>資料儲存!I153</f>
        <v>0</v>
      </c>
      <c r="Q45" s="39">
        <f>資料儲存!J153</f>
        <v>0</v>
      </c>
      <c r="R45" s="35"/>
      <c r="S45" s="38">
        <v>2</v>
      </c>
      <c r="T45" s="39">
        <f>資料儲存!D273</f>
        <v>0</v>
      </c>
      <c r="U45" s="39">
        <f>資料儲存!E273</f>
        <v>0</v>
      </c>
      <c r="V45" s="39">
        <f>資料儲存!F273</f>
        <v>0</v>
      </c>
      <c r="W45" s="39">
        <f>資料儲存!G273</f>
        <v>0</v>
      </c>
      <c r="X45" s="39">
        <f>資料儲存!H273</f>
        <v>0</v>
      </c>
      <c r="Y45" s="39">
        <f>資料儲存!I273</f>
        <v>0</v>
      </c>
      <c r="Z45" s="39">
        <f>資料儲存!J273</f>
        <v>0</v>
      </c>
      <c r="AA45" s="35"/>
      <c r="AB45" s="38">
        <v>2</v>
      </c>
      <c r="AC45" s="39">
        <f>資料儲存!D393</f>
        <v>0</v>
      </c>
      <c r="AD45" s="39">
        <f>資料儲存!E393</f>
        <v>0</v>
      </c>
      <c r="AE45" s="39">
        <f>資料儲存!F393</f>
        <v>0</v>
      </c>
      <c r="AF45" s="39">
        <f>資料儲存!G393</f>
        <v>0</v>
      </c>
      <c r="AG45" s="39">
        <f>資料儲存!H393</f>
        <v>0</v>
      </c>
      <c r="AH45" s="39">
        <f>資料儲存!I393</f>
        <v>0</v>
      </c>
      <c r="AI45" s="39">
        <f>資料儲存!J393</f>
        <v>0</v>
      </c>
      <c r="AJ45" s="13"/>
    </row>
    <row r="46" spans="1:36" ht="16" thickBot="1">
      <c r="A46" s="38">
        <v>3</v>
      </c>
      <c r="B46" s="39">
        <f>資料儲存!D34</f>
        <v>0</v>
      </c>
      <c r="C46" s="39">
        <f>資料儲存!E34</f>
        <v>0</v>
      </c>
      <c r="D46" s="39">
        <f>資料儲存!F34</f>
        <v>0</v>
      </c>
      <c r="E46" s="39">
        <f>資料儲存!G34</f>
        <v>0</v>
      </c>
      <c r="F46" s="39">
        <f>資料儲存!H34</f>
        <v>0</v>
      </c>
      <c r="G46" s="39">
        <f>資料儲存!I34</f>
        <v>0</v>
      </c>
      <c r="H46" s="39">
        <f>資料儲存!J34</f>
        <v>0</v>
      </c>
      <c r="I46" s="35"/>
      <c r="J46" s="38">
        <v>3</v>
      </c>
      <c r="K46" s="39">
        <f>資料儲存!D154</f>
        <v>0</v>
      </c>
      <c r="L46" s="39">
        <f>資料儲存!E154</f>
        <v>0</v>
      </c>
      <c r="M46" s="39">
        <f>資料儲存!F154</f>
        <v>0</v>
      </c>
      <c r="N46" s="39">
        <f>資料儲存!G154</f>
        <v>0</v>
      </c>
      <c r="O46" s="39">
        <f>資料儲存!H154</f>
        <v>0</v>
      </c>
      <c r="P46" s="39">
        <f>資料儲存!I154</f>
        <v>0</v>
      </c>
      <c r="Q46" s="39">
        <f>資料儲存!J154</f>
        <v>0</v>
      </c>
      <c r="R46" s="35"/>
      <c r="S46" s="38">
        <v>3</v>
      </c>
      <c r="T46" s="39">
        <f>資料儲存!D274</f>
        <v>0</v>
      </c>
      <c r="U46" s="39">
        <f>資料儲存!E274</f>
        <v>0</v>
      </c>
      <c r="V46" s="39">
        <f>資料儲存!F274</f>
        <v>0</v>
      </c>
      <c r="W46" s="39">
        <f>資料儲存!G274</f>
        <v>0</v>
      </c>
      <c r="X46" s="39">
        <f>資料儲存!H274</f>
        <v>0</v>
      </c>
      <c r="Y46" s="39">
        <f>資料儲存!I274</f>
        <v>0</v>
      </c>
      <c r="Z46" s="39">
        <f>資料儲存!J274</f>
        <v>0</v>
      </c>
      <c r="AA46" s="35"/>
      <c r="AB46" s="38">
        <v>3</v>
      </c>
      <c r="AC46" s="39">
        <f>資料儲存!D394</f>
        <v>0</v>
      </c>
      <c r="AD46" s="39">
        <f>資料儲存!E394</f>
        <v>0</v>
      </c>
      <c r="AE46" s="39">
        <f>資料儲存!F394</f>
        <v>0</v>
      </c>
      <c r="AF46" s="39">
        <f>資料儲存!G394</f>
        <v>0</v>
      </c>
      <c r="AG46" s="39">
        <f>資料儲存!H394</f>
        <v>0</v>
      </c>
      <c r="AH46" s="39">
        <f>資料儲存!I394</f>
        <v>0</v>
      </c>
      <c r="AI46" s="39">
        <f>資料儲存!J394</f>
        <v>0</v>
      </c>
      <c r="AJ46" s="13"/>
    </row>
    <row r="47" spans="1:36" ht="16" thickBot="1">
      <c r="A47" s="38">
        <v>4</v>
      </c>
      <c r="B47" s="39">
        <f>資料儲存!D35</f>
        <v>0</v>
      </c>
      <c r="C47" s="39">
        <f>資料儲存!E35</f>
        <v>0</v>
      </c>
      <c r="D47" s="39">
        <f>資料儲存!F35</f>
        <v>0</v>
      </c>
      <c r="E47" s="39">
        <f>資料儲存!G35</f>
        <v>0</v>
      </c>
      <c r="F47" s="39">
        <f>資料儲存!H35</f>
        <v>0</v>
      </c>
      <c r="G47" s="39">
        <f>資料儲存!I35</f>
        <v>0</v>
      </c>
      <c r="H47" s="39">
        <f>資料儲存!J35</f>
        <v>0</v>
      </c>
      <c r="I47" s="35"/>
      <c r="J47" s="38">
        <v>4</v>
      </c>
      <c r="K47" s="39">
        <f>資料儲存!D155</f>
        <v>0</v>
      </c>
      <c r="L47" s="39">
        <f>資料儲存!E155</f>
        <v>0</v>
      </c>
      <c r="M47" s="39">
        <f>資料儲存!F155</f>
        <v>0</v>
      </c>
      <c r="N47" s="39">
        <f>資料儲存!G155</f>
        <v>0</v>
      </c>
      <c r="O47" s="39">
        <f>資料儲存!H155</f>
        <v>0</v>
      </c>
      <c r="P47" s="39">
        <f>資料儲存!I155</f>
        <v>0</v>
      </c>
      <c r="Q47" s="39">
        <f>資料儲存!J155</f>
        <v>0</v>
      </c>
      <c r="R47" s="35"/>
      <c r="S47" s="38">
        <v>4</v>
      </c>
      <c r="T47" s="39">
        <f>資料儲存!D275</f>
        <v>0</v>
      </c>
      <c r="U47" s="39">
        <f>資料儲存!E275</f>
        <v>0</v>
      </c>
      <c r="V47" s="39">
        <f>資料儲存!F275</f>
        <v>0</v>
      </c>
      <c r="W47" s="39">
        <f>資料儲存!G275</f>
        <v>0</v>
      </c>
      <c r="X47" s="39">
        <f>資料儲存!H275</f>
        <v>0</v>
      </c>
      <c r="Y47" s="39">
        <f>資料儲存!I275</f>
        <v>0</v>
      </c>
      <c r="Z47" s="39">
        <f>資料儲存!J275</f>
        <v>0</v>
      </c>
      <c r="AA47" s="35"/>
      <c r="AB47" s="38">
        <v>4</v>
      </c>
      <c r="AC47" s="39">
        <f>資料儲存!D395</f>
        <v>0</v>
      </c>
      <c r="AD47" s="39">
        <f>資料儲存!E395</f>
        <v>0</v>
      </c>
      <c r="AE47" s="39">
        <f>資料儲存!F395</f>
        <v>0</v>
      </c>
      <c r="AF47" s="39">
        <f>資料儲存!G395</f>
        <v>0</v>
      </c>
      <c r="AG47" s="39">
        <f>資料儲存!H395</f>
        <v>0</v>
      </c>
      <c r="AH47" s="39">
        <f>資料儲存!I395</f>
        <v>0</v>
      </c>
      <c r="AI47" s="39">
        <f>資料儲存!J395</f>
        <v>0</v>
      </c>
      <c r="AJ47" s="13"/>
    </row>
    <row r="48" spans="1:36" ht="16" thickBot="1">
      <c r="A48" s="38">
        <v>5</v>
      </c>
      <c r="B48" s="39">
        <f>資料儲存!D36</f>
        <v>0</v>
      </c>
      <c r="C48" s="39">
        <f>資料儲存!E36</f>
        <v>0</v>
      </c>
      <c r="D48" s="39">
        <f>資料儲存!F36</f>
        <v>0</v>
      </c>
      <c r="E48" s="39">
        <f>資料儲存!G36</f>
        <v>0</v>
      </c>
      <c r="F48" s="39">
        <f>資料儲存!H36</f>
        <v>0</v>
      </c>
      <c r="G48" s="39">
        <f>資料儲存!I36</f>
        <v>0</v>
      </c>
      <c r="H48" s="39">
        <f>資料儲存!J36</f>
        <v>0</v>
      </c>
      <c r="I48" s="35"/>
      <c r="J48" s="38">
        <v>5</v>
      </c>
      <c r="K48" s="39">
        <f>資料儲存!D156</f>
        <v>0</v>
      </c>
      <c r="L48" s="39">
        <f>資料儲存!E156</f>
        <v>0</v>
      </c>
      <c r="M48" s="39">
        <f>資料儲存!F156</f>
        <v>0</v>
      </c>
      <c r="N48" s="39">
        <f>資料儲存!G156</f>
        <v>0</v>
      </c>
      <c r="O48" s="39">
        <f>資料儲存!H156</f>
        <v>0</v>
      </c>
      <c r="P48" s="39">
        <f>資料儲存!I156</f>
        <v>0</v>
      </c>
      <c r="Q48" s="39">
        <f>資料儲存!J156</f>
        <v>0</v>
      </c>
      <c r="R48" s="35"/>
      <c r="S48" s="38">
        <v>5</v>
      </c>
      <c r="T48" s="39">
        <f>資料儲存!D276</f>
        <v>0</v>
      </c>
      <c r="U48" s="39">
        <f>資料儲存!E276</f>
        <v>0</v>
      </c>
      <c r="V48" s="39">
        <f>資料儲存!F276</f>
        <v>0</v>
      </c>
      <c r="W48" s="39">
        <f>資料儲存!G276</f>
        <v>0</v>
      </c>
      <c r="X48" s="39">
        <f>資料儲存!H276</f>
        <v>0</v>
      </c>
      <c r="Y48" s="39">
        <f>資料儲存!I276</f>
        <v>0</v>
      </c>
      <c r="Z48" s="39">
        <f>資料儲存!J276</f>
        <v>0</v>
      </c>
      <c r="AA48" s="35"/>
      <c r="AB48" s="38">
        <v>5</v>
      </c>
      <c r="AC48" s="39">
        <f>資料儲存!D396</f>
        <v>0</v>
      </c>
      <c r="AD48" s="39">
        <f>資料儲存!E396</f>
        <v>0</v>
      </c>
      <c r="AE48" s="39">
        <f>資料儲存!F396</f>
        <v>0</v>
      </c>
      <c r="AF48" s="39">
        <f>資料儲存!G396</f>
        <v>0</v>
      </c>
      <c r="AG48" s="39">
        <f>資料儲存!H396</f>
        <v>0</v>
      </c>
      <c r="AH48" s="39">
        <f>資料儲存!I396</f>
        <v>0</v>
      </c>
      <c r="AI48" s="39">
        <f>資料儲存!J396</f>
        <v>0</v>
      </c>
      <c r="AJ48" s="13"/>
    </row>
    <row r="49" spans="1:36" ht="16" thickBot="1">
      <c r="A49" s="38">
        <v>6</v>
      </c>
      <c r="B49" s="39">
        <f>資料儲存!D37</f>
        <v>0</v>
      </c>
      <c r="C49" s="39">
        <f>資料儲存!E37</f>
        <v>0</v>
      </c>
      <c r="D49" s="39">
        <f>資料儲存!F37</f>
        <v>0</v>
      </c>
      <c r="E49" s="39">
        <f>資料儲存!G37</f>
        <v>0</v>
      </c>
      <c r="F49" s="39">
        <f>資料儲存!H37</f>
        <v>0</v>
      </c>
      <c r="G49" s="39">
        <f>資料儲存!I37</f>
        <v>0</v>
      </c>
      <c r="H49" s="39">
        <f>資料儲存!J37</f>
        <v>0</v>
      </c>
      <c r="I49" s="35"/>
      <c r="J49" s="38">
        <v>6</v>
      </c>
      <c r="K49" s="39">
        <f>資料儲存!D157</f>
        <v>0</v>
      </c>
      <c r="L49" s="39">
        <f>資料儲存!E157</f>
        <v>0</v>
      </c>
      <c r="M49" s="39">
        <f>資料儲存!F157</f>
        <v>0</v>
      </c>
      <c r="N49" s="39">
        <f>資料儲存!G157</f>
        <v>0</v>
      </c>
      <c r="O49" s="39">
        <f>資料儲存!H157</f>
        <v>0</v>
      </c>
      <c r="P49" s="39">
        <f>資料儲存!I157</f>
        <v>0</v>
      </c>
      <c r="Q49" s="39">
        <f>資料儲存!J157</f>
        <v>0</v>
      </c>
      <c r="R49" s="35"/>
      <c r="S49" s="38">
        <v>6</v>
      </c>
      <c r="T49" s="39">
        <f>資料儲存!D277</f>
        <v>0</v>
      </c>
      <c r="U49" s="39">
        <f>資料儲存!E277</f>
        <v>0</v>
      </c>
      <c r="V49" s="39">
        <f>資料儲存!F277</f>
        <v>0</v>
      </c>
      <c r="W49" s="39">
        <f>資料儲存!G277</f>
        <v>0</v>
      </c>
      <c r="X49" s="39">
        <f>資料儲存!H277</f>
        <v>0</v>
      </c>
      <c r="Y49" s="39">
        <f>資料儲存!I277</f>
        <v>0</v>
      </c>
      <c r="Z49" s="39">
        <f>資料儲存!J277</f>
        <v>0</v>
      </c>
      <c r="AA49" s="35"/>
      <c r="AB49" s="38">
        <v>6</v>
      </c>
      <c r="AC49" s="39">
        <f>資料儲存!D397</f>
        <v>0</v>
      </c>
      <c r="AD49" s="39">
        <f>資料儲存!E397</f>
        <v>0</v>
      </c>
      <c r="AE49" s="39">
        <f>資料儲存!F397</f>
        <v>0</v>
      </c>
      <c r="AF49" s="39">
        <f>資料儲存!G397</f>
        <v>0</v>
      </c>
      <c r="AG49" s="39">
        <f>資料儲存!H397</f>
        <v>0</v>
      </c>
      <c r="AH49" s="39">
        <f>資料儲存!I397</f>
        <v>0</v>
      </c>
      <c r="AI49" s="39">
        <f>資料儲存!J397</f>
        <v>0</v>
      </c>
      <c r="AJ49" s="13"/>
    </row>
    <row r="50" spans="1:36" ht="16" thickBot="1">
      <c r="A50" s="38">
        <v>7</v>
      </c>
      <c r="B50" s="39">
        <f>資料儲存!D38</f>
        <v>0</v>
      </c>
      <c r="C50" s="39">
        <f>資料儲存!E38</f>
        <v>0</v>
      </c>
      <c r="D50" s="39">
        <f>資料儲存!F38</f>
        <v>0</v>
      </c>
      <c r="E50" s="39">
        <f>資料儲存!G38</f>
        <v>0</v>
      </c>
      <c r="F50" s="39">
        <f>資料儲存!H38</f>
        <v>0</v>
      </c>
      <c r="G50" s="39">
        <f>資料儲存!I38</f>
        <v>0</v>
      </c>
      <c r="H50" s="39">
        <f>資料儲存!J38</f>
        <v>0</v>
      </c>
      <c r="I50" s="35"/>
      <c r="J50" s="38">
        <v>7</v>
      </c>
      <c r="K50" s="39">
        <f>資料儲存!D158</f>
        <v>0</v>
      </c>
      <c r="L50" s="39">
        <f>資料儲存!E158</f>
        <v>0</v>
      </c>
      <c r="M50" s="39">
        <f>資料儲存!F158</f>
        <v>0</v>
      </c>
      <c r="N50" s="39">
        <f>資料儲存!G158</f>
        <v>0</v>
      </c>
      <c r="O50" s="39">
        <f>資料儲存!H158</f>
        <v>0</v>
      </c>
      <c r="P50" s="39">
        <f>資料儲存!I158</f>
        <v>0</v>
      </c>
      <c r="Q50" s="39">
        <f>資料儲存!J158</f>
        <v>0</v>
      </c>
      <c r="R50" s="35"/>
      <c r="S50" s="38">
        <v>7</v>
      </c>
      <c r="T50" s="39">
        <f>資料儲存!D278</f>
        <v>0</v>
      </c>
      <c r="U50" s="39">
        <f>資料儲存!E278</f>
        <v>0</v>
      </c>
      <c r="V50" s="39">
        <f>資料儲存!F278</f>
        <v>0</v>
      </c>
      <c r="W50" s="39">
        <f>資料儲存!G278</f>
        <v>0</v>
      </c>
      <c r="X50" s="39">
        <f>資料儲存!H278</f>
        <v>0</v>
      </c>
      <c r="Y50" s="39">
        <f>資料儲存!I278</f>
        <v>0</v>
      </c>
      <c r="Z50" s="39">
        <f>資料儲存!J278</f>
        <v>0</v>
      </c>
      <c r="AA50" s="35"/>
      <c r="AB50" s="38">
        <v>7</v>
      </c>
      <c r="AC50" s="39">
        <f>資料儲存!D398</f>
        <v>0</v>
      </c>
      <c r="AD50" s="39">
        <f>資料儲存!E398</f>
        <v>0</v>
      </c>
      <c r="AE50" s="39">
        <f>資料儲存!F398</f>
        <v>0</v>
      </c>
      <c r="AF50" s="39">
        <f>資料儲存!G398</f>
        <v>0</v>
      </c>
      <c r="AG50" s="39">
        <f>資料儲存!H398</f>
        <v>0</v>
      </c>
      <c r="AH50" s="39">
        <f>資料儲存!I398</f>
        <v>0</v>
      </c>
      <c r="AI50" s="39">
        <f>資料儲存!J398</f>
        <v>0</v>
      </c>
      <c r="AJ50" s="13"/>
    </row>
    <row r="51" spans="1:36" ht="16" thickBot="1">
      <c r="A51" s="38">
        <v>8</v>
      </c>
      <c r="B51" s="39">
        <f>資料儲存!D39</f>
        <v>0</v>
      </c>
      <c r="C51" s="39">
        <f>資料儲存!E39</f>
        <v>0</v>
      </c>
      <c r="D51" s="39">
        <f>資料儲存!F39</f>
        <v>0</v>
      </c>
      <c r="E51" s="39">
        <f>資料儲存!G39</f>
        <v>0</v>
      </c>
      <c r="F51" s="39">
        <f>資料儲存!H39</f>
        <v>0</v>
      </c>
      <c r="G51" s="39">
        <f>資料儲存!I39</f>
        <v>0</v>
      </c>
      <c r="H51" s="39">
        <f>資料儲存!J39</f>
        <v>0</v>
      </c>
      <c r="I51" s="35"/>
      <c r="J51" s="38">
        <v>8</v>
      </c>
      <c r="K51" s="39">
        <f>資料儲存!D159</f>
        <v>0</v>
      </c>
      <c r="L51" s="39">
        <f>資料儲存!E159</f>
        <v>0</v>
      </c>
      <c r="M51" s="39">
        <f>資料儲存!F159</f>
        <v>0</v>
      </c>
      <c r="N51" s="39">
        <f>資料儲存!G159</f>
        <v>0</v>
      </c>
      <c r="O51" s="39">
        <f>資料儲存!H159</f>
        <v>0</v>
      </c>
      <c r="P51" s="39">
        <f>資料儲存!I159</f>
        <v>0</v>
      </c>
      <c r="Q51" s="39">
        <f>資料儲存!J159</f>
        <v>0</v>
      </c>
      <c r="R51" s="35"/>
      <c r="S51" s="38">
        <v>8</v>
      </c>
      <c r="T51" s="39">
        <f>資料儲存!D279</f>
        <v>0</v>
      </c>
      <c r="U51" s="39">
        <f>資料儲存!E279</f>
        <v>0</v>
      </c>
      <c r="V51" s="39">
        <f>資料儲存!F279</f>
        <v>0</v>
      </c>
      <c r="W51" s="39">
        <f>資料儲存!G279</f>
        <v>0</v>
      </c>
      <c r="X51" s="39">
        <f>資料儲存!H279</f>
        <v>0</v>
      </c>
      <c r="Y51" s="39">
        <f>資料儲存!I279</f>
        <v>0</v>
      </c>
      <c r="Z51" s="39">
        <f>資料儲存!J279</f>
        <v>0</v>
      </c>
      <c r="AA51" s="35"/>
      <c r="AB51" s="38">
        <v>8</v>
      </c>
      <c r="AC51" s="39">
        <f>資料儲存!D399</f>
        <v>0</v>
      </c>
      <c r="AD51" s="39">
        <f>資料儲存!E399</f>
        <v>0</v>
      </c>
      <c r="AE51" s="39">
        <f>資料儲存!F399</f>
        <v>0</v>
      </c>
      <c r="AF51" s="39">
        <f>資料儲存!G399</f>
        <v>0</v>
      </c>
      <c r="AG51" s="39">
        <f>資料儲存!H399</f>
        <v>0</v>
      </c>
      <c r="AH51" s="39">
        <f>資料儲存!I399</f>
        <v>0</v>
      </c>
      <c r="AI51" s="39">
        <f>資料儲存!J399</f>
        <v>0</v>
      </c>
      <c r="AJ51" s="13"/>
    </row>
    <row r="52" spans="1:36" ht="16" thickBot="1">
      <c r="A52" s="38">
        <v>9</v>
      </c>
      <c r="B52" s="39">
        <f>資料儲存!D40</f>
        <v>0</v>
      </c>
      <c r="C52" s="39">
        <f>資料儲存!E40</f>
        <v>0</v>
      </c>
      <c r="D52" s="39">
        <f>資料儲存!F40</f>
        <v>0</v>
      </c>
      <c r="E52" s="39">
        <f>資料儲存!G40</f>
        <v>0</v>
      </c>
      <c r="F52" s="39">
        <f>資料儲存!H40</f>
        <v>0</v>
      </c>
      <c r="G52" s="39">
        <f>資料儲存!I40</f>
        <v>0</v>
      </c>
      <c r="H52" s="39">
        <f>資料儲存!J40</f>
        <v>0</v>
      </c>
      <c r="I52" s="35"/>
      <c r="J52" s="38">
        <v>9</v>
      </c>
      <c r="K52" s="39">
        <f>資料儲存!D160</f>
        <v>0</v>
      </c>
      <c r="L52" s="39">
        <f>資料儲存!E160</f>
        <v>0</v>
      </c>
      <c r="M52" s="39">
        <f>資料儲存!F160</f>
        <v>0</v>
      </c>
      <c r="N52" s="39">
        <f>資料儲存!G160</f>
        <v>0</v>
      </c>
      <c r="O52" s="39">
        <f>資料儲存!H160</f>
        <v>0</v>
      </c>
      <c r="P52" s="39">
        <f>資料儲存!I160</f>
        <v>0</v>
      </c>
      <c r="Q52" s="39">
        <f>資料儲存!J160</f>
        <v>0</v>
      </c>
      <c r="R52" s="35"/>
      <c r="S52" s="38">
        <v>9</v>
      </c>
      <c r="T52" s="39">
        <f>資料儲存!D280</f>
        <v>0</v>
      </c>
      <c r="U52" s="39">
        <f>資料儲存!E280</f>
        <v>0</v>
      </c>
      <c r="V52" s="39">
        <f>資料儲存!F280</f>
        <v>0</v>
      </c>
      <c r="W52" s="39">
        <f>資料儲存!G280</f>
        <v>0</v>
      </c>
      <c r="X52" s="39">
        <f>資料儲存!H280</f>
        <v>0</v>
      </c>
      <c r="Y52" s="39">
        <f>資料儲存!I280</f>
        <v>0</v>
      </c>
      <c r="Z52" s="39">
        <f>資料儲存!J280</f>
        <v>0</v>
      </c>
      <c r="AA52" s="35"/>
      <c r="AB52" s="38">
        <v>9</v>
      </c>
      <c r="AC52" s="39">
        <f>資料儲存!D400</f>
        <v>0</v>
      </c>
      <c r="AD52" s="39">
        <f>資料儲存!E400</f>
        <v>0</v>
      </c>
      <c r="AE52" s="39">
        <f>資料儲存!F400</f>
        <v>0</v>
      </c>
      <c r="AF52" s="39">
        <f>資料儲存!G400</f>
        <v>0</v>
      </c>
      <c r="AG52" s="39">
        <f>資料儲存!H400</f>
        <v>0</v>
      </c>
      <c r="AH52" s="39">
        <f>資料儲存!I400</f>
        <v>0</v>
      </c>
      <c r="AI52" s="39">
        <f>資料儲存!J400</f>
        <v>0</v>
      </c>
      <c r="AJ52" s="13"/>
    </row>
    <row r="53" spans="1:36" ht="16" thickBot="1">
      <c r="A53" s="38">
        <v>10</v>
      </c>
      <c r="B53" s="39">
        <f>資料儲存!D41</f>
        <v>0</v>
      </c>
      <c r="C53" s="39">
        <f>資料儲存!E41</f>
        <v>0</v>
      </c>
      <c r="D53" s="39">
        <f>資料儲存!F41</f>
        <v>0</v>
      </c>
      <c r="E53" s="39">
        <f>資料儲存!G41</f>
        <v>0</v>
      </c>
      <c r="F53" s="39">
        <f>資料儲存!H41</f>
        <v>0</v>
      </c>
      <c r="G53" s="39">
        <f>資料儲存!I41</f>
        <v>0</v>
      </c>
      <c r="H53" s="39">
        <f>資料儲存!J41</f>
        <v>0</v>
      </c>
      <c r="I53" s="35"/>
      <c r="J53" s="38">
        <v>10</v>
      </c>
      <c r="K53" s="39">
        <f>資料儲存!D161</f>
        <v>0</v>
      </c>
      <c r="L53" s="39">
        <f>資料儲存!E161</f>
        <v>0</v>
      </c>
      <c r="M53" s="39">
        <f>資料儲存!F161</f>
        <v>0</v>
      </c>
      <c r="N53" s="39">
        <f>資料儲存!G161</f>
        <v>0</v>
      </c>
      <c r="O53" s="39">
        <f>資料儲存!H161</f>
        <v>0</v>
      </c>
      <c r="P53" s="39">
        <f>資料儲存!I161</f>
        <v>0</v>
      </c>
      <c r="Q53" s="39">
        <f>資料儲存!J161</f>
        <v>0</v>
      </c>
      <c r="R53" s="35"/>
      <c r="S53" s="38">
        <v>10</v>
      </c>
      <c r="T53" s="39">
        <f>資料儲存!D281</f>
        <v>0</v>
      </c>
      <c r="U53" s="39">
        <f>資料儲存!E281</f>
        <v>0</v>
      </c>
      <c r="V53" s="39">
        <f>資料儲存!F281</f>
        <v>0</v>
      </c>
      <c r="W53" s="39">
        <f>資料儲存!G281</f>
        <v>0</v>
      </c>
      <c r="X53" s="39">
        <f>資料儲存!H281</f>
        <v>0</v>
      </c>
      <c r="Y53" s="39">
        <f>資料儲存!I281</f>
        <v>0</v>
      </c>
      <c r="Z53" s="39">
        <f>資料儲存!J281</f>
        <v>0</v>
      </c>
      <c r="AA53" s="35"/>
      <c r="AB53" s="38">
        <v>10</v>
      </c>
      <c r="AC53" s="39">
        <f>資料儲存!D401</f>
        <v>0</v>
      </c>
      <c r="AD53" s="39">
        <f>資料儲存!E401</f>
        <v>0</v>
      </c>
      <c r="AE53" s="39">
        <f>資料儲存!F401</f>
        <v>0</v>
      </c>
      <c r="AF53" s="39">
        <f>資料儲存!G401</f>
        <v>0</v>
      </c>
      <c r="AG53" s="39">
        <f>資料儲存!H401</f>
        <v>0</v>
      </c>
      <c r="AH53" s="39">
        <f>資料儲存!I401</f>
        <v>0</v>
      </c>
      <c r="AI53" s="39">
        <f>資料儲存!J401</f>
        <v>0</v>
      </c>
      <c r="AJ53" s="13"/>
    </row>
    <row r="54" spans="1:36" ht="16" thickBot="1">
      <c r="A54" s="38">
        <v>11</v>
      </c>
      <c r="B54" s="39">
        <f>資料儲存!D42</f>
        <v>0</v>
      </c>
      <c r="C54" s="39">
        <f>資料儲存!E42</f>
        <v>0</v>
      </c>
      <c r="D54" s="39">
        <f>資料儲存!F42</f>
        <v>0</v>
      </c>
      <c r="E54" s="39">
        <f>資料儲存!G42</f>
        <v>0</v>
      </c>
      <c r="F54" s="39">
        <f>資料儲存!H42</f>
        <v>0</v>
      </c>
      <c r="G54" s="39">
        <f>資料儲存!I42</f>
        <v>0</v>
      </c>
      <c r="H54" s="39">
        <f>資料儲存!J42</f>
        <v>0</v>
      </c>
      <c r="I54" s="35"/>
      <c r="J54" s="38">
        <v>11</v>
      </c>
      <c r="K54" s="39">
        <f>資料儲存!D162</f>
        <v>0</v>
      </c>
      <c r="L54" s="39">
        <f>資料儲存!E162</f>
        <v>0</v>
      </c>
      <c r="M54" s="39">
        <f>資料儲存!F162</f>
        <v>0</v>
      </c>
      <c r="N54" s="39">
        <f>資料儲存!G162</f>
        <v>0</v>
      </c>
      <c r="O54" s="39">
        <f>資料儲存!H162</f>
        <v>0</v>
      </c>
      <c r="P54" s="39">
        <f>資料儲存!I162</f>
        <v>0</v>
      </c>
      <c r="Q54" s="39">
        <f>資料儲存!J162</f>
        <v>0</v>
      </c>
      <c r="R54" s="35"/>
      <c r="S54" s="38">
        <v>11</v>
      </c>
      <c r="T54" s="39">
        <f>資料儲存!D282</f>
        <v>0</v>
      </c>
      <c r="U54" s="39">
        <f>資料儲存!E282</f>
        <v>0</v>
      </c>
      <c r="V54" s="39">
        <f>資料儲存!F282</f>
        <v>0</v>
      </c>
      <c r="W54" s="39">
        <f>資料儲存!G282</f>
        <v>0</v>
      </c>
      <c r="X54" s="39">
        <f>資料儲存!H282</f>
        <v>0</v>
      </c>
      <c r="Y54" s="39">
        <f>資料儲存!I282</f>
        <v>0</v>
      </c>
      <c r="Z54" s="39">
        <f>資料儲存!J282</f>
        <v>0</v>
      </c>
      <c r="AA54" s="35"/>
      <c r="AB54" s="38">
        <v>11</v>
      </c>
      <c r="AC54" s="39">
        <f>資料儲存!D402</f>
        <v>0</v>
      </c>
      <c r="AD54" s="39">
        <f>資料儲存!E402</f>
        <v>0</v>
      </c>
      <c r="AE54" s="39">
        <f>資料儲存!F402</f>
        <v>0</v>
      </c>
      <c r="AF54" s="39">
        <f>資料儲存!G402</f>
        <v>0</v>
      </c>
      <c r="AG54" s="39">
        <f>資料儲存!H402</f>
        <v>0</v>
      </c>
      <c r="AH54" s="39">
        <f>資料儲存!I402</f>
        <v>0</v>
      </c>
      <c r="AI54" s="39">
        <f>資料儲存!J402</f>
        <v>0</v>
      </c>
      <c r="AJ54" s="13"/>
    </row>
    <row r="55" spans="1:36" ht="16" thickBot="1">
      <c r="A55" s="38">
        <v>12</v>
      </c>
      <c r="B55" s="39">
        <f>資料儲存!D43</f>
        <v>0</v>
      </c>
      <c r="C55" s="39">
        <f>資料儲存!E43</f>
        <v>0</v>
      </c>
      <c r="D55" s="39">
        <f>資料儲存!F43</f>
        <v>0</v>
      </c>
      <c r="E55" s="39">
        <f>資料儲存!G43</f>
        <v>0</v>
      </c>
      <c r="F55" s="39">
        <f>資料儲存!H43</f>
        <v>0</v>
      </c>
      <c r="G55" s="39">
        <f>資料儲存!I43</f>
        <v>0</v>
      </c>
      <c r="H55" s="39">
        <f>資料儲存!J43</f>
        <v>0</v>
      </c>
      <c r="I55" s="35"/>
      <c r="J55" s="38">
        <v>12</v>
      </c>
      <c r="K55" s="39">
        <f>資料儲存!D163</f>
        <v>0</v>
      </c>
      <c r="L55" s="39">
        <f>資料儲存!E163</f>
        <v>0</v>
      </c>
      <c r="M55" s="39">
        <f>資料儲存!F163</f>
        <v>0</v>
      </c>
      <c r="N55" s="39">
        <f>資料儲存!G163</f>
        <v>0</v>
      </c>
      <c r="O55" s="39">
        <f>資料儲存!H163</f>
        <v>0</v>
      </c>
      <c r="P55" s="39">
        <f>資料儲存!I163</f>
        <v>0</v>
      </c>
      <c r="Q55" s="39">
        <f>資料儲存!J163</f>
        <v>0</v>
      </c>
      <c r="R55" s="35"/>
      <c r="S55" s="38">
        <v>12</v>
      </c>
      <c r="T55" s="39">
        <f>資料儲存!D283</f>
        <v>0</v>
      </c>
      <c r="U55" s="39">
        <f>資料儲存!E283</f>
        <v>0</v>
      </c>
      <c r="V55" s="39">
        <f>資料儲存!F283</f>
        <v>0</v>
      </c>
      <c r="W55" s="39">
        <f>資料儲存!G283</f>
        <v>0</v>
      </c>
      <c r="X55" s="39">
        <f>資料儲存!H283</f>
        <v>0</v>
      </c>
      <c r="Y55" s="39">
        <f>資料儲存!I283</f>
        <v>0</v>
      </c>
      <c r="Z55" s="39">
        <f>資料儲存!J283</f>
        <v>0</v>
      </c>
      <c r="AA55" s="35"/>
      <c r="AB55" s="38">
        <v>12</v>
      </c>
      <c r="AC55" s="39">
        <f>資料儲存!D403</f>
        <v>0</v>
      </c>
      <c r="AD55" s="39">
        <f>資料儲存!E403</f>
        <v>0</v>
      </c>
      <c r="AE55" s="39">
        <f>資料儲存!F403</f>
        <v>0</v>
      </c>
      <c r="AF55" s="39">
        <f>資料儲存!G403</f>
        <v>0</v>
      </c>
      <c r="AG55" s="39">
        <f>資料儲存!H403</f>
        <v>0</v>
      </c>
      <c r="AH55" s="39">
        <f>資料儲存!I403</f>
        <v>0</v>
      </c>
      <c r="AI55" s="39">
        <f>資料儲存!J403</f>
        <v>0</v>
      </c>
      <c r="AJ55" s="13"/>
    </row>
    <row r="56" spans="1:36" ht="16" thickBot="1">
      <c r="A56" s="38">
        <v>13</v>
      </c>
      <c r="B56" s="39">
        <f>資料儲存!D44</f>
        <v>0</v>
      </c>
      <c r="C56" s="39">
        <f>資料儲存!E44</f>
        <v>0</v>
      </c>
      <c r="D56" s="39">
        <f>資料儲存!F44</f>
        <v>0</v>
      </c>
      <c r="E56" s="39">
        <f>資料儲存!G44</f>
        <v>0</v>
      </c>
      <c r="F56" s="39">
        <f>資料儲存!H44</f>
        <v>0</v>
      </c>
      <c r="G56" s="39">
        <f>資料儲存!I44</f>
        <v>0</v>
      </c>
      <c r="H56" s="39">
        <f>資料儲存!J44</f>
        <v>0</v>
      </c>
      <c r="I56" s="35"/>
      <c r="J56" s="38">
        <v>13</v>
      </c>
      <c r="K56" s="39">
        <f>資料儲存!D164</f>
        <v>0</v>
      </c>
      <c r="L56" s="39">
        <f>資料儲存!E164</f>
        <v>0</v>
      </c>
      <c r="M56" s="39">
        <f>資料儲存!F164</f>
        <v>0</v>
      </c>
      <c r="N56" s="39">
        <f>資料儲存!G164</f>
        <v>0</v>
      </c>
      <c r="O56" s="39">
        <f>資料儲存!H164</f>
        <v>0</v>
      </c>
      <c r="P56" s="39">
        <f>資料儲存!I164</f>
        <v>0</v>
      </c>
      <c r="Q56" s="39">
        <f>資料儲存!J164</f>
        <v>0</v>
      </c>
      <c r="R56" s="35"/>
      <c r="S56" s="38">
        <v>13</v>
      </c>
      <c r="T56" s="39">
        <f>資料儲存!D284</f>
        <v>0</v>
      </c>
      <c r="U56" s="39">
        <f>資料儲存!E284</f>
        <v>0</v>
      </c>
      <c r="V56" s="39">
        <f>資料儲存!F284</f>
        <v>0</v>
      </c>
      <c r="W56" s="39">
        <f>資料儲存!G284</f>
        <v>0</v>
      </c>
      <c r="X56" s="39">
        <f>資料儲存!H284</f>
        <v>0</v>
      </c>
      <c r="Y56" s="39">
        <f>資料儲存!I284</f>
        <v>0</v>
      </c>
      <c r="Z56" s="39">
        <f>資料儲存!J284</f>
        <v>0</v>
      </c>
      <c r="AA56" s="35"/>
      <c r="AB56" s="38">
        <v>13</v>
      </c>
      <c r="AC56" s="39">
        <f>資料儲存!D404</f>
        <v>0</v>
      </c>
      <c r="AD56" s="39">
        <f>資料儲存!E404</f>
        <v>0</v>
      </c>
      <c r="AE56" s="39">
        <f>資料儲存!F404</f>
        <v>0</v>
      </c>
      <c r="AF56" s="39">
        <f>資料儲存!G404</f>
        <v>0</v>
      </c>
      <c r="AG56" s="39">
        <f>資料儲存!H404</f>
        <v>0</v>
      </c>
      <c r="AH56" s="39">
        <f>資料儲存!I404</f>
        <v>0</v>
      </c>
      <c r="AI56" s="39">
        <f>資料儲存!J404</f>
        <v>0</v>
      </c>
      <c r="AJ56" s="13"/>
    </row>
    <row r="57" spans="1:36" ht="16" thickBot="1">
      <c r="A57" s="38">
        <v>14</v>
      </c>
      <c r="B57" s="39">
        <f>資料儲存!D45</f>
        <v>0</v>
      </c>
      <c r="C57" s="39">
        <f>資料儲存!E45</f>
        <v>0</v>
      </c>
      <c r="D57" s="39">
        <f>資料儲存!F45</f>
        <v>0</v>
      </c>
      <c r="E57" s="39">
        <f>資料儲存!G45</f>
        <v>0</v>
      </c>
      <c r="F57" s="39">
        <f>資料儲存!H45</f>
        <v>0</v>
      </c>
      <c r="G57" s="39">
        <f>資料儲存!I45</f>
        <v>0</v>
      </c>
      <c r="H57" s="39">
        <f>資料儲存!J45</f>
        <v>0</v>
      </c>
      <c r="I57" s="35"/>
      <c r="J57" s="38">
        <v>14</v>
      </c>
      <c r="K57" s="39">
        <f>資料儲存!D165</f>
        <v>0</v>
      </c>
      <c r="L57" s="39">
        <f>資料儲存!E165</f>
        <v>0</v>
      </c>
      <c r="M57" s="39">
        <f>資料儲存!F165</f>
        <v>0</v>
      </c>
      <c r="N57" s="39">
        <f>資料儲存!G165</f>
        <v>0</v>
      </c>
      <c r="O57" s="39">
        <f>資料儲存!H165</f>
        <v>0</v>
      </c>
      <c r="P57" s="39">
        <f>資料儲存!I165</f>
        <v>0</v>
      </c>
      <c r="Q57" s="39">
        <f>資料儲存!J165</f>
        <v>0</v>
      </c>
      <c r="R57" s="35"/>
      <c r="S57" s="38">
        <v>14</v>
      </c>
      <c r="T57" s="39">
        <f>資料儲存!D285</f>
        <v>0</v>
      </c>
      <c r="U57" s="39">
        <f>資料儲存!E285</f>
        <v>0</v>
      </c>
      <c r="V57" s="39">
        <f>資料儲存!F285</f>
        <v>0</v>
      </c>
      <c r="W57" s="39">
        <f>資料儲存!G285</f>
        <v>0</v>
      </c>
      <c r="X57" s="39">
        <f>資料儲存!H285</f>
        <v>0</v>
      </c>
      <c r="Y57" s="39">
        <f>資料儲存!I285</f>
        <v>0</v>
      </c>
      <c r="Z57" s="39">
        <f>資料儲存!J285</f>
        <v>0</v>
      </c>
      <c r="AA57" s="35"/>
      <c r="AB57" s="38">
        <v>14</v>
      </c>
      <c r="AC57" s="39">
        <f>資料儲存!D405</f>
        <v>0</v>
      </c>
      <c r="AD57" s="39">
        <f>資料儲存!E405</f>
        <v>0</v>
      </c>
      <c r="AE57" s="39">
        <f>資料儲存!F405</f>
        <v>0</v>
      </c>
      <c r="AF57" s="39">
        <f>資料儲存!G405</f>
        <v>0</v>
      </c>
      <c r="AG57" s="39">
        <f>資料儲存!H405</f>
        <v>0</v>
      </c>
      <c r="AH57" s="39">
        <f>資料儲存!I405</f>
        <v>0</v>
      </c>
      <c r="AI57" s="39">
        <f>資料儲存!J405</f>
        <v>0</v>
      </c>
      <c r="AJ57" s="13"/>
    </row>
    <row r="58" spans="1:36" ht="16" thickBot="1">
      <c r="A58" s="38">
        <v>15</v>
      </c>
      <c r="B58" s="39">
        <f>資料儲存!D46</f>
        <v>0</v>
      </c>
      <c r="C58" s="39">
        <f>資料儲存!E46</f>
        <v>0</v>
      </c>
      <c r="D58" s="39">
        <f>資料儲存!F46</f>
        <v>0</v>
      </c>
      <c r="E58" s="39">
        <f>資料儲存!G46</f>
        <v>0</v>
      </c>
      <c r="F58" s="39">
        <f>資料儲存!H46</f>
        <v>0</v>
      </c>
      <c r="G58" s="39">
        <f>資料儲存!I46</f>
        <v>0</v>
      </c>
      <c r="H58" s="39">
        <f>資料儲存!J46</f>
        <v>0</v>
      </c>
      <c r="I58" s="35"/>
      <c r="J58" s="38">
        <v>15</v>
      </c>
      <c r="K58" s="39">
        <f>資料儲存!D166</f>
        <v>0</v>
      </c>
      <c r="L58" s="39">
        <f>資料儲存!E166</f>
        <v>0</v>
      </c>
      <c r="M58" s="39">
        <f>資料儲存!F166</f>
        <v>0</v>
      </c>
      <c r="N58" s="39">
        <f>資料儲存!G166</f>
        <v>0</v>
      </c>
      <c r="O58" s="39">
        <f>資料儲存!H166</f>
        <v>0</v>
      </c>
      <c r="P58" s="39">
        <f>資料儲存!I166</f>
        <v>0</v>
      </c>
      <c r="Q58" s="39">
        <f>資料儲存!J166</f>
        <v>0</v>
      </c>
      <c r="R58" s="35"/>
      <c r="S58" s="38">
        <v>15</v>
      </c>
      <c r="T58" s="39">
        <f>資料儲存!D286</f>
        <v>0</v>
      </c>
      <c r="U58" s="39">
        <f>資料儲存!E286</f>
        <v>0</v>
      </c>
      <c r="V58" s="39">
        <f>資料儲存!F286</f>
        <v>0</v>
      </c>
      <c r="W58" s="39">
        <f>資料儲存!G286</f>
        <v>0</v>
      </c>
      <c r="X58" s="39">
        <f>資料儲存!H286</f>
        <v>0</v>
      </c>
      <c r="Y58" s="39">
        <f>資料儲存!I286</f>
        <v>0</v>
      </c>
      <c r="Z58" s="39">
        <f>資料儲存!J286</f>
        <v>0</v>
      </c>
      <c r="AA58" s="35"/>
      <c r="AB58" s="38">
        <v>15</v>
      </c>
      <c r="AC58" s="39">
        <f>資料儲存!D406</f>
        <v>0</v>
      </c>
      <c r="AD58" s="39">
        <f>資料儲存!E406</f>
        <v>0</v>
      </c>
      <c r="AE58" s="39">
        <f>資料儲存!F406</f>
        <v>0</v>
      </c>
      <c r="AF58" s="39">
        <f>資料儲存!G406</f>
        <v>0</v>
      </c>
      <c r="AG58" s="39">
        <f>資料儲存!H406</f>
        <v>0</v>
      </c>
      <c r="AH58" s="39">
        <f>資料儲存!I406</f>
        <v>0</v>
      </c>
      <c r="AI58" s="39">
        <f>資料儲存!J406</f>
        <v>0</v>
      </c>
      <c r="AJ58" s="13"/>
    </row>
    <row r="59" spans="1:36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13"/>
    </row>
    <row r="60" spans="1:36" ht="18.5" thickBot="1">
      <c r="A60" s="250" t="s">
        <v>57</v>
      </c>
      <c r="B60" s="251"/>
      <c r="C60" s="251"/>
      <c r="D60" s="251"/>
      <c r="E60" s="251"/>
      <c r="F60" s="251"/>
      <c r="G60" s="251"/>
      <c r="H60" s="252"/>
      <c r="I60" s="13"/>
      <c r="J60" s="250" t="s">
        <v>57</v>
      </c>
      <c r="K60" s="251"/>
      <c r="L60" s="251"/>
      <c r="M60" s="251"/>
      <c r="N60" s="251"/>
      <c r="O60" s="251"/>
      <c r="P60" s="251"/>
      <c r="Q60" s="252"/>
      <c r="R60" s="13"/>
      <c r="S60" s="250" t="s">
        <v>57</v>
      </c>
      <c r="T60" s="251"/>
      <c r="U60" s="251"/>
      <c r="V60" s="251"/>
      <c r="W60" s="251"/>
      <c r="X60" s="251"/>
      <c r="Y60" s="251"/>
      <c r="Z60" s="252"/>
      <c r="AA60" s="13"/>
      <c r="AB60" s="250" t="s">
        <v>57</v>
      </c>
      <c r="AC60" s="251"/>
      <c r="AD60" s="251"/>
      <c r="AE60" s="251"/>
      <c r="AF60" s="251"/>
      <c r="AG60" s="251"/>
      <c r="AH60" s="251"/>
      <c r="AI60" s="252"/>
      <c r="AJ60" s="13"/>
    </row>
    <row r="61" spans="1:36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</row>
    <row r="62" spans="1:36" ht="16" thickBot="1">
      <c r="A62" s="46" t="s">
        <v>58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 t="s">
        <v>58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 t="s">
        <v>58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 t="s">
        <v>58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</row>
    <row r="63" spans="1:36" ht="16" thickBot="1">
      <c r="A63" s="48">
        <v>16</v>
      </c>
      <c r="B63" s="49">
        <f>資料儲存!D47</f>
        <v>0</v>
      </c>
      <c r="C63" s="49">
        <f>資料儲存!E47</f>
        <v>0</v>
      </c>
      <c r="D63" s="49">
        <f>資料儲存!F47</f>
        <v>0</v>
      </c>
      <c r="E63" s="49">
        <f>資料儲存!G47</f>
        <v>0</v>
      </c>
      <c r="F63" s="49">
        <f>資料儲存!H47</f>
        <v>0</v>
      </c>
      <c r="G63" s="49">
        <f>資料儲存!I47</f>
        <v>0</v>
      </c>
      <c r="H63" s="49">
        <f>資料儲存!J47</f>
        <v>0</v>
      </c>
      <c r="I63" s="45"/>
      <c r="J63" s="48">
        <v>16</v>
      </c>
      <c r="K63" s="49">
        <f>資料儲存!D167</f>
        <v>0</v>
      </c>
      <c r="L63" s="49">
        <f>資料儲存!E167</f>
        <v>0</v>
      </c>
      <c r="M63" s="49">
        <f>資料儲存!F167</f>
        <v>0</v>
      </c>
      <c r="N63" s="49">
        <f>資料儲存!G167</f>
        <v>0</v>
      </c>
      <c r="O63" s="49">
        <f>資料儲存!H167</f>
        <v>0</v>
      </c>
      <c r="P63" s="49">
        <f>資料儲存!I167</f>
        <v>0</v>
      </c>
      <c r="Q63" s="49">
        <f>資料儲存!J167</f>
        <v>0</v>
      </c>
      <c r="R63" s="45"/>
      <c r="S63" s="48">
        <v>16</v>
      </c>
      <c r="T63" s="49">
        <f>資料儲存!D287</f>
        <v>0</v>
      </c>
      <c r="U63" s="49">
        <f>資料儲存!E287</f>
        <v>0</v>
      </c>
      <c r="V63" s="49">
        <f>資料儲存!F287</f>
        <v>0</v>
      </c>
      <c r="W63" s="49">
        <f>資料儲存!G287</f>
        <v>0</v>
      </c>
      <c r="X63" s="49">
        <f>資料儲存!H287</f>
        <v>0</v>
      </c>
      <c r="Y63" s="49">
        <f>資料儲存!I287</f>
        <v>0</v>
      </c>
      <c r="Z63" s="49">
        <f>資料儲存!J287</f>
        <v>0</v>
      </c>
      <c r="AA63" s="45"/>
      <c r="AB63" s="48">
        <v>16</v>
      </c>
      <c r="AC63" s="49">
        <f>資料儲存!D407</f>
        <v>0</v>
      </c>
      <c r="AD63" s="49">
        <f>資料儲存!E407</f>
        <v>0</v>
      </c>
      <c r="AE63" s="49">
        <f>資料儲存!F407</f>
        <v>0</v>
      </c>
      <c r="AF63" s="49">
        <f>資料儲存!G407</f>
        <v>0</v>
      </c>
      <c r="AG63" s="49">
        <f>資料儲存!H407</f>
        <v>0</v>
      </c>
      <c r="AH63" s="49">
        <f>資料儲存!I407</f>
        <v>0</v>
      </c>
      <c r="AI63" s="49">
        <f>資料儲存!J407</f>
        <v>0</v>
      </c>
      <c r="AJ63" s="13"/>
    </row>
    <row r="64" spans="1:36" ht="16" thickBot="1">
      <c r="A64" s="48">
        <v>17</v>
      </c>
      <c r="B64" s="49">
        <f>資料儲存!D48</f>
        <v>0</v>
      </c>
      <c r="C64" s="49">
        <f>資料儲存!E48</f>
        <v>0</v>
      </c>
      <c r="D64" s="49">
        <f>資料儲存!F48</f>
        <v>0</v>
      </c>
      <c r="E64" s="49">
        <f>資料儲存!G48</f>
        <v>0</v>
      </c>
      <c r="F64" s="49">
        <f>資料儲存!H48</f>
        <v>0</v>
      </c>
      <c r="G64" s="49">
        <f>資料儲存!I48</f>
        <v>0</v>
      </c>
      <c r="H64" s="49">
        <f>資料儲存!J48</f>
        <v>0</v>
      </c>
      <c r="I64" s="45"/>
      <c r="J64" s="48">
        <v>17</v>
      </c>
      <c r="K64" s="49">
        <f>資料儲存!D168</f>
        <v>0</v>
      </c>
      <c r="L64" s="49">
        <f>資料儲存!E168</f>
        <v>0</v>
      </c>
      <c r="M64" s="49">
        <f>資料儲存!F168</f>
        <v>0</v>
      </c>
      <c r="N64" s="49">
        <f>資料儲存!G168</f>
        <v>0</v>
      </c>
      <c r="O64" s="49">
        <f>資料儲存!H168</f>
        <v>0</v>
      </c>
      <c r="P64" s="49">
        <f>資料儲存!I168</f>
        <v>0</v>
      </c>
      <c r="Q64" s="49">
        <f>資料儲存!J168</f>
        <v>0</v>
      </c>
      <c r="R64" s="45"/>
      <c r="S64" s="48">
        <v>17</v>
      </c>
      <c r="T64" s="49">
        <f>資料儲存!D288</f>
        <v>0</v>
      </c>
      <c r="U64" s="49">
        <f>資料儲存!E288</f>
        <v>0</v>
      </c>
      <c r="V64" s="49">
        <f>資料儲存!F288</f>
        <v>0</v>
      </c>
      <c r="W64" s="49">
        <f>資料儲存!G288</f>
        <v>0</v>
      </c>
      <c r="X64" s="49">
        <f>資料儲存!H288</f>
        <v>0</v>
      </c>
      <c r="Y64" s="49">
        <f>資料儲存!I288</f>
        <v>0</v>
      </c>
      <c r="Z64" s="49">
        <f>資料儲存!J288</f>
        <v>0</v>
      </c>
      <c r="AA64" s="45"/>
      <c r="AB64" s="48">
        <v>17</v>
      </c>
      <c r="AC64" s="49">
        <f>資料儲存!D408</f>
        <v>0</v>
      </c>
      <c r="AD64" s="49">
        <f>資料儲存!E408</f>
        <v>0</v>
      </c>
      <c r="AE64" s="49">
        <f>資料儲存!F408</f>
        <v>0</v>
      </c>
      <c r="AF64" s="49">
        <f>資料儲存!G408</f>
        <v>0</v>
      </c>
      <c r="AG64" s="49">
        <f>資料儲存!H408</f>
        <v>0</v>
      </c>
      <c r="AH64" s="49">
        <f>資料儲存!I408</f>
        <v>0</v>
      </c>
      <c r="AI64" s="49">
        <f>資料儲存!J408</f>
        <v>0</v>
      </c>
      <c r="AJ64" s="13"/>
    </row>
    <row r="65" spans="1:36" ht="16" thickBot="1">
      <c r="A65" s="48">
        <v>18</v>
      </c>
      <c r="B65" s="49">
        <f>資料儲存!D49</f>
        <v>0</v>
      </c>
      <c r="C65" s="49">
        <f>資料儲存!E49</f>
        <v>0</v>
      </c>
      <c r="D65" s="49">
        <f>資料儲存!F49</f>
        <v>0</v>
      </c>
      <c r="E65" s="49">
        <f>資料儲存!G49</f>
        <v>0</v>
      </c>
      <c r="F65" s="49">
        <f>資料儲存!H49</f>
        <v>0</v>
      </c>
      <c r="G65" s="49">
        <f>資料儲存!I49</f>
        <v>0</v>
      </c>
      <c r="H65" s="49">
        <f>資料儲存!J49</f>
        <v>0</v>
      </c>
      <c r="I65" s="45"/>
      <c r="J65" s="48">
        <v>18</v>
      </c>
      <c r="K65" s="49">
        <f>資料儲存!D169</f>
        <v>0</v>
      </c>
      <c r="L65" s="49">
        <f>資料儲存!E169</f>
        <v>0</v>
      </c>
      <c r="M65" s="49">
        <f>資料儲存!F169</f>
        <v>0</v>
      </c>
      <c r="N65" s="49">
        <f>資料儲存!G169</f>
        <v>0</v>
      </c>
      <c r="O65" s="49">
        <f>資料儲存!H169</f>
        <v>0</v>
      </c>
      <c r="P65" s="49">
        <f>資料儲存!I169</f>
        <v>0</v>
      </c>
      <c r="Q65" s="49">
        <f>資料儲存!J169</f>
        <v>0</v>
      </c>
      <c r="R65" s="45"/>
      <c r="S65" s="48">
        <v>18</v>
      </c>
      <c r="T65" s="49">
        <f>資料儲存!D289</f>
        <v>0</v>
      </c>
      <c r="U65" s="49">
        <f>資料儲存!E289</f>
        <v>0</v>
      </c>
      <c r="V65" s="49">
        <f>資料儲存!F289</f>
        <v>0</v>
      </c>
      <c r="W65" s="49">
        <f>資料儲存!G289</f>
        <v>0</v>
      </c>
      <c r="X65" s="49">
        <f>資料儲存!H289</f>
        <v>0</v>
      </c>
      <c r="Y65" s="49">
        <f>資料儲存!I289</f>
        <v>0</v>
      </c>
      <c r="Z65" s="49">
        <f>資料儲存!J289</f>
        <v>0</v>
      </c>
      <c r="AA65" s="45"/>
      <c r="AB65" s="48">
        <v>18</v>
      </c>
      <c r="AC65" s="49">
        <f>資料儲存!D409</f>
        <v>0</v>
      </c>
      <c r="AD65" s="49">
        <f>資料儲存!E409</f>
        <v>0</v>
      </c>
      <c r="AE65" s="49">
        <f>資料儲存!F409</f>
        <v>0</v>
      </c>
      <c r="AF65" s="49">
        <f>資料儲存!G409</f>
        <v>0</v>
      </c>
      <c r="AG65" s="49">
        <f>資料儲存!H409</f>
        <v>0</v>
      </c>
      <c r="AH65" s="49">
        <f>資料儲存!I409</f>
        <v>0</v>
      </c>
      <c r="AI65" s="49">
        <f>資料儲存!J409</f>
        <v>0</v>
      </c>
      <c r="AJ65" s="13"/>
    </row>
    <row r="66" spans="1:36" ht="16" thickBot="1">
      <c r="A66" s="48">
        <v>19</v>
      </c>
      <c r="B66" s="49">
        <f>資料儲存!D50</f>
        <v>0</v>
      </c>
      <c r="C66" s="49">
        <f>資料儲存!E50</f>
        <v>0</v>
      </c>
      <c r="D66" s="49">
        <f>資料儲存!F50</f>
        <v>0</v>
      </c>
      <c r="E66" s="49">
        <f>資料儲存!G50</f>
        <v>0</v>
      </c>
      <c r="F66" s="49">
        <f>資料儲存!H50</f>
        <v>0</v>
      </c>
      <c r="G66" s="49">
        <f>資料儲存!I50</f>
        <v>0</v>
      </c>
      <c r="H66" s="49">
        <f>資料儲存!J50</f>
        <v>0</v>
      </c>
      <c r="I66" s="45"/>
      <c r="J66" s="48">
        <v>19</v>
      </c>
      <c r="K66" s="49">
        <f>資料儲存!D170</f>
        <v>0</v>
      </c>
      <c r="L66" s="49">
        <f>資料儲存!E170</f>
        <v>0</v>
      </c>
      <c r="M66" s="49">
        <f>資料儲存!F170</f>
        <v>0</v>
      </c>
      <c r="N66" s="49">
        <f>資料儲存!G170</f>
        <v>0</v>
      </c>
      <c r="O66" s="49">
        <f>資料儲存!H170</f>
        <v>0</v>
      </c>
      <c r="P66" s="49">
        <f>資料儲存!I170</f>
        <v>0</v>
      </c>
      <c r="Q66" s="49">
        <f>資料儲存!J170</f>
        <v>0</v>
      </c>
      <c r="R66" s="45"/>
      <c r="S66" s="48">
        <v>19</v>
      </c>
      <c r="T66" s="49">
        <f>資料儲存!D290</f>
        <v>0</v>
      </c>
      <c r="U66" s="49">
        <f>資料儲存!E290</f>
        <v>0</v>
      </c>
      <c r="V66" s="49">
        <f>資料儲存!F290</f>
        <v>0</v>
      </c>
      <c r="W66" s="49">
        <f>資料儲存!G290</f>
        <v>0</v>
      </c>
      <c r="X66" s="49">
        <f>資料儲存!H290</f>
        <v>0</v>
      </c>
      <c r="Y66" s="49">
        <f>資料儲存!I290</f>
        <v>0</v>
      </c>
      <c r="Z66" s="49">
        <f>資料儲存!J290</f>
        <v>0</v>
      </c>
      <c r="AA66" s="45"/>
      <c r="AB66" s="48">
        <v>19</v>
      </c>
      <c r="AC66" s="49">
        <f>資料儲存!D410</f>
        <v>0</v>
      </c>
      <c r="AD66" s="49">
        <f>資料儲存!E410</f>
        <v>0</v>
      </c>
      <c r="AE66" s="49">
        <f>資料儲存!F410</f>
        <v>0</v>
      </c>
      <c r="AF66" s="49">
        <f>資料儲存!G410</f>
        <v>0</v>
      </c>
      <c r="AG66" s="49">
        <f>資料儲存!H410</f>
        <v>0</v>
      </c>
      <c r="AH66" s="49">
        <f>資料儲存!I410</f>
        <v>0</v>
      </c>
      <c r="AI66" s="49">
        <f>資料儲存!J410</f>
        <v>0</v>
      </c>
      <c r="AJ66" s="13"/>
    </row>
    <row r="67" spans="1:36" ht="16" thickBot="1">
      <c r="A67" s="48">
        <v>20</v>
      </c>
      <c r="B67" s="49">
        <f>資料儲存!D51</f>
        <v>0</v>
      </c>
      <c r="C67" s="49">
        <f>資料儲存!E51</f>
        <v>0</v>
      </c>
      <c r="D67" s="49">
        <f>資料儲存!F51</f>
        <v>0</v>
      </c>
      <c r="E67" s="49">
        <f>資料儲存!G51</f>
        <v>0</v>
      </c>
      <c r="F67" s="49">
        <f>資料儲存!H51</f>
        <v>0</v>
      </c>
      <c r="G67" s="49">
        <f>資料儲存!I51</f>
        <v>0</v>
      </c>
      <c r="H67" s="49">
        <f>資料儲存!J51</f>
        <v>0</v>
      </c>
      <c r="I67" s="45"/>
      <c r="J67" s="48">
        <v>20</v>
      </c>
      <c r="K67" s="49">
        <f>資料儲存!D171</f>
        <v>0</v>
      </c>
      <c r="L67" s="49">
        <f>資料儲存!E171</f>
        <v>0</v>
      </c>
      <c r="M67" s="49">
        <f>資料儲存!F171</f>
        <v>0</v>
      </c>
      <c r="N67" s="49">
        <f>資料儲存!G171</f>
        <v>0</v>
      </c>
      <c r="O67" s="49">
        <f>資料儲存!H171</f>
        <v>0</v>
      </c>
      <c r="P67" s="49">
        <f>資料儲存!I171</f>
        <v>0</v>
      </c>
      <c r="Q67" s="49">
        <f>資料儲存!J171</f>
        <v>0</v>
      </c>
      <c r="R67" s="45"/>
      <c r="S67" s="48">
        <v>20</v>
      </c>
      <c r="T67" s="49">
        <f>資料儲存!D291</f>
        <v>0</v>
      </c>
      <c r="U67" s="49">
        <f>資料儲存!E291</f>
        <v>0</v>
      </c>
      <c r="V67" s="49">
        <f>資料儲存!F291</f>
        <v>0</v>
      </c>
      <c r="W67" s="49">
        <f>資料儲存!G291</f>
        <v>0</v>
      </c>
      <c r="X67" s="49">
        <f>資料儲存!H291</f>
        <v>0</v>
      </c>
      <c r="Y67" s="49">
        <f>資料儲存!I291</f>
        <v>0</v>
      </c>
      <c r="Z67" s="49">
        <f>資料儲存!J291</f>
        <v>0</v>
      </c>
      <c r="AA67" s="45"/>
      <c r="AB67" s="48">
        <v>20</v>
      </c>
      <c r="AC67" s="49">
        <f>資料儲存!D411</f>
        <v>0</v>
      </c>
      <c r="AD67" s="49">
        <f>資料儲存!E411</f>
        <v>0</v>
      </c>
      <c r="AE67" s="49">
        <f>資料儲存!F411</f>
        <v>0</v>
      </c>
      <c r="AF67" s="49">
        <f>資料儲存!G411</f>
        <v>0</v>
      </c>
      <c r="AG67" s="49">
        <f>資料儲存!H411</f>
        <v>0</v>
      </c>
      <c r="AH67" s="49">
        <f>資料儲存!I411</f>
        <v>0</v>
      </c>
      <c r="AI67" s="49">
        <f>資料儲存!J411</f>
        <v>0</v>
      </c>
      <c r="AJ67" s="13"/>
    </row>
    <row r="68" spans="1:36" ht="16" thickBot="1">
      <c r="A68" s="48">
        <v>21</v>
      </c>
      <c r="B68" s="49">
        <f>資料儲存!D52</f>
        <v>0</v>
      </c>
      <c r="C68" s="49">
        <f>資料儲存!E52</f>
        <v>0</v>
      </c>
      <c r="D68" s="49">
        <f>資料儲存!F52</f>
        <v>0</v>
      </c>
      <c r="E68" s="49">
        <f>資料儲存!G52</f>
        <v>0</v>
      </c>
      <c r="F68" s="49">
        <f>資料儲存!H52</f>
        <v>0</v>
      </c>
      <c r="G68" s="49">
        <f>資料儲存!I52</f>
        <v>0</v>
      </c>
      <c r="H68" s="49">
        <f>資料儲存!J52</f>
        <v>0</v>
      </c>
      <c r="I68" s="45"/>
      <c r="J68" s="48">
        <v>21</v>
      </c>
      <c r="K68" s="49">
        <f>資料儲存!D172</f>
        <v>0</v>
      </c>
      <c r="L68" s="49">
        <f>資料儲存!E172</f>
        <v>0</v>
      </c>
      <c r="M68" s="49">
        <f>資料儲存!F172</f>
        <v>0</v>
      </c>
      <c r="N68" s="49">
        <f>資料儲存!G172</f>
        <v>0</v>
      </c>
      <c r="O68" s="49">
        <f>資料儲存!H172</f>
        <v>0</v>
      </c>
      <c r="P68" s="49">
        <f>資料儲存!I172</f>
        <v>0</v>
      </c>
      <c r="Q68" s="49">
        <f>資料儲存!J172</f>
        <v>0</v>
      </c>
      <c r="R68" s="45"/>
      <c r="S68" s="48">
        <v>21</v>
      </c>
      <c r="T68" s="49">
        <f>資料儲存!D292</f>
        <v>0</v>
      </c>
      <c r="U68" s="49">
        <f>資料儲存!E292</f>
        <v>0</v>
      </c>
      <c r="V68" s="49">
        <f>資料儲存!F292</f>
        <v>0</v>
      </c>
      <c r="W68" s="49">
        <f>資料儲存!G292</f>
        <v>0</v>
      </c>
      <c r="X68" s="49">
        <f>資料儲存!H292</f>
        <v>0</v>
      </c>
      <c r="Y68" s="49">
        <f>資料儲存!I292</f>
        <v>0</v>
      </c>
      <c r="Z68" s="49">
        <f>資料儲存!J292</f>
        <v>0</v>
      </c>
      <c r="AA68" s="45"/>
      <c r="AB68" s="48">
        <v>21</v>
      </c>
      <c r="AC68" s="49">
        <f>資料儲存!D412</f>
        <v>0</v>
      </c>
      <c r="AD68" s="49">
        <f>資料儲存!E412</f>
        <v>0</v>
      </c>
      <c r="AE68" s="49">
        <f>資料儲存!F412</f>
        <v>0</v>
      </c>
      <c r="AF68" s="49">
        <f>資料儲存!G412</f>
        <v>0</v>
      </c>
      <c r="AG68" s="49">
        <f>資料儲存!H412</f>
        <v>0</v>
      </c>
      <c r="AH68" s="49">
        <f>資料儲存!I412</f>
        <v>0</v>
      </c>
      <c r="AI68" s="49">
        <f>資料儲存!J412</f>
        <v>0</v>
      </c>
      <c r="AJ68" s="13"/>
    </row>
    <row r="69" spans="1:36" ht="16" thickBot="1">
      <c r="A69" s="48">
        <v>22</v>
      </c>
      <c r="B69" s="49">
        <f>資料儲存!D53</f>
        <v>0</v>
      </c>
      <c r="C69" s="49">
        <f>資料儲存!E53</f>
        <v>0</v>
      </c>
      <c r="D69" s="49">
        <f>資料儲存!F53</f>
        <v>0</v>
      </c>
      <c r="E69" s="49">
        <f>資料儲存!G53</f>
        <v>0</v>
      </c>
      <c r="F69" s="49">
        <f>資料儲存!H53</f>
        <v>0</v>
      </c>
      <c r="G69" s="49">
        <f>資料儲存!I53</f>
        <v>0</v>
      </c>
      <c r="H69" s="49">
        <f>資料儲存!J53</f>
        <v>0</v>
      </c>
      <c r="I69" s="45"/>
      <c r="J69" s="48">
        <v>22</v>
      </c>
      <c r="K69" s="49">
        <f>資料儲存!D173</f>
        <v>0</v>
      </c>
      <c r="L69" s="49">
        <f>資料儲存!E173</f>
        <v>0</v>
      </c>
      <c r="M69" s="49">
        <f>資料儲存!F173</f>
        <v>0</v>
      </c>
      <c r="N69" s="49">
        <f>資料儲存!G173</f>
        <v>0</v>
      </c>
      <c r="O69" s="49">
        <f>資料儲存!H173</f>
        <v>0</v>
      </c>
      <c r="P69" s="49">
        <f>資料儲存!I173</f>
        <v>0</v>
      </c>
      <c r="Q69" s="49">
        <f>資料儲存!J173</f>
        <v>0</v>
      </c>
      <c r="R69" s="45"/>
      <c r="S69" s="48">
        <v>22</v>
      </c>
      <c r="T69" s="49">
        <f>資料儲存!D293</f>
        <v>0</v>
      </c>
      <c r="U69" s="49">
        <f>資料儲存!E293</f>
        <v>0</v>
      </c>
      <c r="V69" s="49">
        <f>資料儲存!F293</f>
        <v>0</v>
      </c>
      <c r="W69" s="49">
        <f>資料儲存!G293</f>
        <v>0</v>
      </c>
      <c r="X69" s="49">
        <f>資料儲存!H293</f>
        <v>0</v>
      </c>
      <c r="Y69" s="49">
        <f>資料儲存!I293</f>
        <v>0</v>
      </c>
      <c r="Z69" s="49">
        <f>資料儲存!J293</f>
        <v>0</v>
      </c>
      <c r="AA69" s="45"/>
      <c r="AB69" s="48">
        <v>22</v>
      </c>
      <c r="AC69" s="49">
        <f>資料儲存!D413</f>
        <v>0</v>
      </c>
      <c r="AD69" s="49">
        <f>資料儲存!E413</f>
        <v>0</v>
      </c>
      <c r="AE69" s="49">
        <f>資料儲存!F413</f>
        <v>0</v>
      </c>
      <c r="AF69" s="49">
        <f>資料儲存!G413</f>
        <v>0</v>
      </c>
      <c r="AG69" s="49">
        <f>資料儲存!H413</f>
        <v>0</v>
      </c>
      <c r="AH69" s="49">
        <f>資料儲存!I413</f>
        <v>0</v>
      </c>
      <c r="AI69" s="49">
        <f>資料儲存!J413</f>
        <v>0</v>
      </c>
      <c r="AJ69" s="13"/>
    </row>
    <row r="70" spans="1:36" ht="16" thickBot="1">
      <c r="A70" s="48">
        <v>23</v>
      </c>
      <c r="B70" s="49">
        <f>資料儲存!D54</f>
        <v>0</v>
      </c>
      <c r="C70" s="49">
        <f>資料儲存!E54</f>
        <v>0</v>
      </c>
      <c r="D70" s="49">
        <f>資料儲存!F54</f>
        <v>0</v>
      </c>
      <c r="E70" s="49">
        <f>資料儲存!G54</f>
        <v>0</v>
      </c>
      <c r="F70" s="49">
        <f>資料儲存!H54</f>
        <v>0</v>
      </c>
      <c r="G70" s="49">
        <f>資料儲存!I54</f>
        <v>0</v>
      </c>
      <c r="H70" s="49">
        <f>資料儲存!J54</f>
        <v>0</v>
      </c>
      <c r="I70" s="45"/>
      <c r="J70" s="48">
        <v>23</v>
      </c>
      <c r="K70" s="49">
        <f>資料儲存!D174</f>
        <v>0</v>
      </c>
      <c r="L70" s="49">
        <f>資料儲存!E174</f>
        <v>0</v>
      </c>
      <c r="M70" s="49">
        <f>資料儲存!F174</f>
        <v>0</v>
      </c>
      <c r="N70" s="49">
        <f>資料儲存!G174</f>
        <v>0</v>
      </c>
      <c r="O70" s="49">
        <f>資料儲存!H174</f>
        <v>0</v>
      </c>
      <c r="P70" s="49">
        <f>資料儲存!I174</f>
        <v>0</v>
      </c>
      <c r="Q70" s="49">
        <f>資料儲存!J174</f>
        <v>0</v>
      </c>
      <c r="R70" s="45"/>
      <c r="S70" s="48">
        <v>23</v>
      </c>
      <c r="T70" s="49">
        <f>資料儲存!D294</f>
        <v>0</v>
      </c>
      <c r="U70" s="49">
        <f>資料儲存!E294</f>
        <v>0</v>
      </c>
      <c r="V70" s="49">
        <f>資料儲存!F294</f>
        <v>0</v>
      </c>
      <c r="W70" s="49">
        <f>資料儲存!G294</f>
        <v>0</v>
      </c>
      <c r="X70" s="49">
        <f>資料儲存!H294</f>
        <v>0</v>
      </c>
      <c r="Y70" s="49">
        <f>資料儲存!I294</f>
        <v>0</v>
      </c>
      <c r="Z70" s="49">
        <f>資料儲存!J294</f>
        <v>0</v>
      </c>
      <c r="AA70" s="45"/>
      <c r="AB70" s="48">
        <v>23</v>
      </c>
      <c r="AC70" s="49">
        <f>資料儲存!D414</f>
        <v>0</v>
      </c>
      <c r="AD70" s="49">
        <f>資料儲存!E414</f>
        <v>0</v>
      </c>
      <c r="AE70" s="49">
        <f>資料儲存!F414</f>
        <v>0</v>
      </c>
      <c r="AF70" s="49">
        <f>資料儲存!G414</f>
        <v>0</v>
      </c>
      <c r="AG70" s="49">
        <f>資料儲存!H414</f>
        <v>0</v>
      </c>
      <c r="AH70" s="49">
        <f>資料儲存!I414</f>
        <v>0</v>
      </c>
      <c r="AI70" s="49">
        <f>資料儲存!J414</f>
        <v>0</v>
      </c>
      <c r="AJ70" s="13"/>
    </row>
    <row r="71" spans="1:36" ht="16" thickBot="1">
      <c r="A71" s="48">
        <v>24</v>
      </c>
      <c r="B71" s="49">
        <f>資料儲存!D55</f>
        <v>0</v>
      </c>
      <c r="C71" s="49">
        <f>資料儲存!E55</f>
        <v>0</v>
      </c>
      <c r="D71" s="49">
        <f>資料儲存!F55</f>
        <v>0</v>
      </c>
      <c r="E71" s="49">
        <f>資料儲存!G55</f>
        <v>0</v>
      </c>
      <c r="F71" s="49">
        <f>資料儲存!H55</f>
        <v>0</v>
      </c>
      <c r="G71" s="49">
        <f>資料儲存!I55</f>
        <v>0</v>
      </c>
      <c r="H71" s="49">
        <f>資料儲存!J55</f>
        <v>0</v>
      </c>
      <c r="I71" s="45"/>
      <c r="J71" s="48">
        <v>24</v>
      </c>
      <c r="K71" s="49">
        <f>資料儲存!D175</f>
        <v>0</v>
      </c>
      <c r="L71" s="49">
        <f>資料儲存!E175</f>
        <v>0</v>
      </c>
      <c r="M71" s="49">
        <f>資料儲存!F175</f>
        <v>0</v>
      </c>
      <c r="N71" s="49">
        <f>資料儲存!G175</f>
        <v>0</v>
      </c>
      <c r="O71" s="49">
        <f>資料儲存!H175</f>
        <v>0</v>
      </c>
      <c r="P71" s="49">
        <f>資料儲存!I175</f>
        <v>0</v>
      </c>
      <c r="Q71" s="49">
        <f>資料儲存!J175</f>
        <v>0</v>
      </c>
      <c r="R71" s="45"/>
      <c r="S71" s="48">
        <v>24</v>
      </c>
      <c r="T71" s="49">
        <f>資料儲存!D295</f>
        <v>0</v>
      </c>
      <c r="U71" s="49">
        <f>資料儲存!E295</f>
        <v>0</v>
      </c>
      <c r="V71" s="49">
        <f>資料儲存!F295</f>
        <v>0</v>
      </c>
      <c r="W71" s="49">
        <f>資料儲存!G295</f>
        <v>0</v>
      </c>
      <c r="X71" s="49">
        <f>資料儲存!H295</f>
        <v>0</v>
      </c>
      <c r="Y71" s="49">
        <f>資料儲存!I295</f>
        <v>0</v>
      </c>
      <c r="Z71" s="49">
        <f>資料儲存!J295</f>
        <v>0</v>
      </c>
      <c r="AA71" s="45"/>
      <c r="AB71" s="48">
        <v>24</v>
      </c>
      <c r="AC71" s="49">
        <f>資料儲存!D415</f>
        <v>0</v>
      </c>
      <c r="AD71" s="49">
        <f>資料儲存!E415</f>
        <v>0</v>
      </c>
      <c r="AE71" s="49">
        <f>資料儲存!F415</f>
        <v>0</v>
      </c>
      <c r="AF71" s="49">
        <f>資料儲存!G415</f>
        <v>0</v>
      </c>
      <c r="AG71" s="49">
        <f>資料儲存!H415</f>
        <v>0</v>
      </c>
      <c r="AH71" s="49">
        <f>資料儲存!I415</f>
        <v>0</v>
      </c>
      <c r="AI71" s="49">
        <f>資料儲存!J415</f>
        <v>0</v>
      </c>
      <c r="AJ71" s="13"/>
    </row>
    <row r="72" spans="1:36" ht="16" thickBot="1">
      <c r="A72" s="48">
        <v>25</v>
      </c>
      <c r="B72" s="49">
        <f>資料儲存!D56</f>
        <v>0</v>
      </c>
      <c r="C72" s="49">
        <f>資料儲存!E56</f>
        <v>0</v>
      </c>
      <c r="D72" s="49">
        <f>資料儲存!F56</f>
        <v>0</v>
      </c>
      <c r="E72" s="49">
        <f>資料儲存!G56</f>
        <v>0</v>
      </c>
      <c r="F72" s="49">
        <f>資料儲存!H56</f>
        <v>0</v>
      </c>
      <c r="G72" s="49">
        <f>資料儲存!I56</f>
        <v>0</v>
      </c>
      <c r="H72" s="49">
        <f>資料儲存!J56</f>
        <v>0</v>
      </c>
      <c r="I72" s="45"/>
      <c r="J72" s="48">
        <v>25</v>
      </c>
      <c r="K72" s="49">
        <f>資料儲存!D176</f>
        <v>0</v>
      </c>
      <c r="L72" s="49">
        <f>資料儲存!E176</f>
        <v>0</v>
      </c>
      <c r="M72" s="49">
        <f>資料儲存!F176</f>
        <v>0</v>
      </c>
      <c r="N72" s="49">
        <f>資料儲存!G176</f>
        <v>0</v>
      </c>
      <c r="O72" s="49">
        <f>資料儲存!H176</f>
        <v>0</v>
      </c>
      <c r="P72" s="49">
        <f>資料儲存!I176</f>
        <v>0</v>
      </c>
      <c r="Q72" s="49">
        <f>資料儲存!J176</f>
        <v>0</v>
      </c>
      <c r="R72" s="45"/>
      <c r="S72" s="48">
        <v>25</v>
      </c>
      <c r="T72" s="49">
        <f>資料儲存!D296</f>
        <v>0</v>
      </c>
      <c r="U72" s="49">
        <f>資料儲存!E296</f>
        <v>0</v>
      </c>
      <c r="V72" s="49">
        <f>資料儲存!F296</f>
        <v>0</v>
      </c>
      <c r="W72" s="49">
        <f>資料儲存!G296</f>
        <v>0</v>
      </c>
      <c r="X72" s="49">
        <f>資料儲存!H296</f>
        <v>0</v>
      </c>
      <c r="Y72" s="49">
        <f>資料儲存!I296</f>
        <v>0</v>
      </c>
      <c r="Z72" s="49">
        <f>資料儲存!J296</f>
        <v>0</v>
      </c>
      <c r="AA72" s="45"/>
      <c r="AB72" s="48">
        <v>25</v>
      </c>
      <c r="AC72" s="49">
        <f>資料儲存!D416</f>
        <v>0</v>
      </c>
      <c r="AD72" s="49">
        <f>資料儲存!E416</f>
        <v>0</v>
      </c>
      <c r="AE72" s="49">
        <f>資料儲存!F416</f>
        <v>0</v>
      </c>
      <c r="AF72" s="49">
        <f>資料儲存!G416</f>
        <v>0</v>
      </c>
      <c r="AG72" s="49">
        <f>資料儲存!H416</f>
        <v>0</v>
      </c>
      <c r="AH72" s="49">
        <f>資料儲存!I416</f>
        <v>0</v>
      </c>
      <c r="AI72" s="49">
        <f>資料儲存!J416</f>
        <v>0</v>
      </c>
      <c r="AJ72" s="13"/>
    </row>
    <row r="73" spans="1:36" ht="16" thickBot="1">
      <c r="A73" s="48">
        <v>26</v>
      </c>
      <c r="B73" s="49">
        <f>資料儲存!D57</f>
        <v>0</v>
      </c>
      <c r="C73" s="49">
        <f>資料儲存!E57</f>
        <v>0</v>
      </c>
      <c r="D73" s="49">
        <f>資料儲存!F57</f>
        <v>0</v>
      </c>
      <c r="E73" s="49">
        <f>資料儲存!G57</f>
        <v>0</v>
      </c>
      <c r="F73" s="49">
        <f>資料儲存!H57</f>
        <v>0</v>
      </c>
      <c r="G73" s="49">
        <f>資料儲存!I57</f>
        <v>0</v>
      </c>
      <c r="H73" s="49">
        <f>資料儲存!J57</f>
        <v>0</v>
      </c>
      <c r="I73" s="45"/>
      <c r="J73" s="48">
        <v>26</v>
      </c>
      <c r="K73" s="49">
        <f>資料儲存!D177</f>
        <v>0</v>
      </c>
      <c r="L73" s="49">
        <f>資料儲存!E177</f>
        <v>0</v>
      </c>
      <c r="M73" s="49">
        <f>資料儲存!F177</f>
        <v>0</v>
      </c>
      <c r="N73" s="49">
        <f>資料儲存!G177</f>
        <v>0</v>
      </c>
      <c r="O73" s="49">
        <f>資料儲存!H177</f>
        <v>0</v>
      </c>
      <c r="P73" s="49">
        <f>資料儲存!I177</f>
        <v>0</v>
      </c>
      <c r="Q73" s="49">
        <f>資料儲存!J177</f>
        <v>0</v>
      </c>
      <c r="R73" s="45"/>
      <c r="S73" s="48">
        <v>26</v>
      </c>
      <c r="T73" s="49">
        <f>資料儲存!D297</f>
        <v>0</v>
      </c>
      <c r="U73" s="49">
        <f>資料儲存!E297</f>
        <v>0</v>
      </c>
      <c r="V73" s="49">
        <f>資料儲存!F297</f>
        <v>0</v>
      </c>
      <c r="W73" s="49">
        <f>資料儲存!G297</f>
        <v>0</v>
      </c>
      <c r="X73" s="49">
        <f>資料儲存!H297</f>
        <v>0</v>
      </c>
      <c r="Y73" s="49">
        <f>資料儲存!I297</f>
        <v>0</v>
      </c>
      <c r="Z73" s="49">
        <f>資料儲存!J297</f>
        <v>0</v>
      </c>
      <c r="AA73" s="45"/>
      <c r="AB73" s="48">
        <v>26</v>
      </c>
      <c r="AC73" s="49">
        <f>資料儲存!D417</f>
        <v>0</v>
      </c>
      <c r="AD73" s="49">
        <f>資料儲存!E417</f>
        <v>0</v>
      </c>
      <c r="AE73" s="49">
        <f>資料儲存!F417</f>
        <v>0</v>
      </c>
      <c r="AF73" s="49">
        <f>資料儲存!G417</f>
        <v>0</v>
      </c>
      <c r="AG73" s="49">
        <f>資料儲存!H417</f>
        <v>0</v>
      </c>
      <c r="AH73" s="49">
        <f>資料儲存!I417</f>
        <v>0</v>
      </c>
      <c r="AI73" s="49">
        <f>資料儲存!J417</f>
        <v>0</v>
      </c>
      <c r="AJ73" s="13"/>
    </row>
    <row r="74" spans="1:36" ht="16" thickBot="1">
      <c r="A74" s="48">
        <v>27</v>
      </c>
      <c r="B74" s="49">
        <f>資料儲存!D58</f>
        <v>0</v>
      </c>
      <c r="C74" s="49">
        <f>資料儲存!E58</f>
        <v>0</v>
      </c>
      <c r="D74" s="49">
        <f>資料儲存!F58</f>
        <v>0</v>
      </c>
      <c r="E74" s="49">
        <f>資料儲存!G58</f>
        <v>0</v>
      </c>
      <c r="F74" s="49">
        <f>資料儲存!H58</f>
        <v>0</v>
      </c>
      <c r="G74" s="49">
        <f>資料儲存!I58</f>
        <v>0</v>
      </c>
      <c r="H74" s="49">
        <f>資料儲存!J58</f>
        <v>0</v>
      </c>
      <c r="I74" s="45"/>
      <c r="J74" s="48">
        <v>27</v>
      </c>
      <c r="K74" s="49">
        <f>資料儲存!D178</f>
        <v>0</v>
      </c>
      <c r="L74" s="49">
        <f>資料儲存!E178</f>
        <v>0</v>
      </c>
      <c r="M74" s="49">
        <f>資料儲存!F178</f>
        <v>0</v>
      </c>
      <c r="N74" s="49">
        <f>資料儲存!G178</f>
        <v>0</v>
      </c>
      <c r="O74" s="49">
        <f>資料儲存!H178</f>
        <v>0</v>
      </c>
      <c r="P74" s="49">
        <f>資料儲存!I178</f>
        <v>0</v>
      </c>
      <c r="Q74" s="49">
        <f>資料儲存!J178</f>
        <v>0</v>
      </c>
      <c r="R74" s="45"/>
      <c r="S74" s="48">
        <v>27</v>
      </c>
      <c r="T74" s="49">
        <f>資料儲存!D298</f>
        <v>0</v>
      </c>
      <c r="U74" s="49">
        <f>資料儲存!E298</f>
        <v>0</v>
      </c>
      <c r="V74" s="49">
        <f>資料儲存!F298</f>
        <v>0</v>
      </c>
      <c r="W74" s="49">
        <f>資料儲存!G298</f>
        <v>0</v>
      </c>
      <c r="X74" s="49">
        <f>資料儲存!H298</f>
        <v>0</v>
      </c>
      <c r="Y74" s="49">
        <f>資料儲存!I298</f>
        <v>0</v>
      </c>
      <c r="Z74" s="49">
        <f>資料儲存!J298</f>
        <v>0</v>
      </c>
      <c r="AA74" s="45"/>
      <c r="AB74" s="48">
        <v>27</v>
      </c>
      <c r="AC74" s="49">
        <f>資料儲存!D418</f>
        <v>0</v>
      </c>
      <c r="AD74" s="49">
        <f>資料儲存!E418</f>
        <v>0</v>
      </c>
      <c r="AE74" s="49">
        <f>資料儲存!F418</f>
        <v>0</v>
      </c>
      <c r="AF74" s="49">
        <f>資料儲存!G418</f>
        <v>0</v>
      </c>
      <c r="AG74" s="49">
        <f>資料儲存!H418</f>
        <v>0</v>
      </c>
      <c r="AH74" s="49">
        <f>資料儲存!I418</f>
        <v>0</v>
      </c>
      <c r="AI74" s="49">
        <f>資料儲存!J418</f>
        <v>0</v>
      </c>
      <c r="AJ74" s="13"/>
    </row>
    <row r="75" spans="1:36" ht="16" thickBot="1">
      <c r="A75" s="48">
        <v>28</v>
      </c>
      <c r="B75" s="49">
        <f>資料儲存!D59</f>
        <v>0</v>
      </c>
      <c r="C75" s="49">
        <f>資料儲存!E59</f>
        <v>0</v>
      </c>
      <c r="D75" s="49">
        <f>資料儲存!F59</f>
        <v>0</v>
      </c>
      <c r="E75" s="49">
        <f>資料儲存!G59</f>
        <v>0</v>
      </c>
      <c r="F75" s="49">
        <f>資料儲存!H59</f>
        <v>0</v>
      </c>
      <c r="G75" s="49">
        <f>資料儲存!I59</f>
        <v>0</v>
      </c>
      <c r="H75" s="49">
        <f>資料儲存!J59</f>
        <v>0</v>
      </c>
      <c r="I75" s="45"/>
      <c r="J75" s="48">
        <v>28</v>
      </c>
      <c r="K75" s="49">
        <f>資料儲存!D179</f>
        <v>0</v>
      </c>
      <c r="L75" s="49">
        <f>資料儲存!E179</f>
        <v>0</v>
      </c>
      <c r="M75" s="49">
        <f>資料儲存!F179</f>
        <v>0</v>
      </c>
      <c r="N75" s="49">
        <f>資料儲存!G179</f>
        <v>0</v>
      </c>
      <c r="O75" s="49">
        <f>資料儲存!H179</f>
        <v>0</v>
      </c>
      <c r="P75" s="49">
        <f>資料儲存!I179</f>
        <v>0</v>
      </c>
      <c r="Q75" s="49">
        <f>資料儲存!J179</f>
        <v>0</v>
      </c>
      <c r="R75" s="45"/>
      <c r="S75" s="48">
        <v>28</v>
      </c>
      <c r="T75" s="49">
        <f>資料儲存!D299</f>
        <v>0</v>
      </c>
      <c r="U75" s="49">
        <f>資料儲存!E299</f>
        <v>0</v>
      </c>
      <c r="V75" s="49">
        <f>資料儲存!F299</f>
        <v>0</v>
      </c>
      <c r="W75" s="49">
        <f>資料儲存!G299</f>
        <v>0</v>
      </c>
      <c r="X75" s="49">
        <f>資料儲存!H299</f>
        <v>0</v>
      </c>
      <c r="Y75" s="49">
        <f>資料儲存!I299</f>
        <v>0</v>
      </c>
      <c r="Z75" s="49">
        <f>資料儲存!J299</f>
        <v>0</v>
      </c>
      <c r="AA75" s="45"/>
      <c r="AB75" s="48">
        <v>28</v>
      </c>
      <c r="AC75" s="49">
        <f>資料儲存!D419</f>
        <v>0</v>
      </c>
      <c r="AD75" s="49">
        <f>資料儲存!E419</f>
        <v>0</v>
      </c>
      <c r="AE75" s="49">
        <f>資料儲存!F419</f>
        <v>0</v>
      </c>
      <c r="AF75" s="49">
        <f>資料儲存!G419</f>
        <v>0</v>
      </c>
      <c r="AG75" s="49">
        <f>資料儲存!H419</f>
        <v>0</v>
      </c>
      <c r="AH75" s="49">
        <f>資料儲存!I419</f>
        <v>0</v>
      </c>
      <c r="AI75" s="49">
        <f>資料儲存!J419</f>
        <v>0</v>
      </c>
      <c r="AJ75" s="13"/>
    </row>
    <row r="76" spans="1:36" ht="16" thickBot="1">
      <c r="A76" s="48">
        <v>29</v>
      </c>
      <c r="B76" s="49">
        <f>資料儲存!D60</f>
        <v>0</v>
      </c>
      <c r="C76" s="49">
        <f>資料儲存!E60</f>
        <v>0</v>
      </c>
      <c r="D76" s="49">
        <f>資料儲存!F60</f>
        <v>0</v>
      </c>
      <c r="E76" s="49">
        <f>資料儲存!G60</f>
        <v>0</v>
      </c>
      <c r="F76" s="49">
        <f>資料儲存!H60</f>
        <v>0</v>
      </c>
      <c r="G76" s="49">
        <f>資料儲存!I60</f>
        <v>0</v>
      </c>
      <c r="H76" s="49">
        <f>資料儲存!J60</f>
        <v>0</v>
      </c>
      <c r="I76" s="45"/>
      <c r="J76" s="48">
        <v>29</v>
      </c>
      <c r="K76" s="49">
        <f>資料儲存!D180</f>
        <v>0</v>
      </c>
      <c r="L76" s="49">
        <f>資料儲存!E180</f>
        <v>0</v>
      </c>
      <c r="M76" s="49">
        <f>資料儲存!F180</f>
        <v>0</v>
      </c>
      <c r="N76" s="49">
        <f>資料儲存!G180</f>
        <v>0</v>
      </c>
      <c r="O76" s="49">
        <f>資料儲存!H180</f>
        <v>0</v>
      </c>
      <c r="P76" s="49">
        <f>資料儲存!I180</f>
        <v>0</v>
      </c>
      <c r="Q76" s="49">
        <f>資料儲存!J180</f>
        <v>0</v>
      </c>
      <c r="R76" s="45"/>
      <c r="S76" s="48">
        <v>29</v>
      </c>
      <c r="T76" s="49">
        <f>資料儲存!D300</f>
        <v>0</v>
      </c>
      <c r="U76" s="49">
        <f>資料儲存!E300</f>
        <v>0</v>
      </c>
      <c r="V76" s="49">
        <f>資料儲存!F300</f>
        <v>0</v>
      </c>
      <c r="W76" s="49">
        <f>資料儲存!G300</f>
        <v>0</v>
      </c>
      <c r="X76" s="49">
        <f>資料儲存!H300</f>
        <v>0</v>
      </c>
      <c r="Y76" s="49">
        <f>資料儲存!I300</f>
        <v>0</v>
      </c>
      <c r="Z76" s="49">
        <f>資料儲存!J300</f>
        <v>0</v>
      </c>
      <c r="AA76" s="45"/>
      <c r="AB76" s="48">
        <v>29</v>
      </c>
      <c r="AC76" s="49">
        <f>資料儲存!D420</f>
        <v>0</v>
      </c>
      <c r="AD76" s="49">
        <f>資料儲存!E420</f>
        <v>0</v>
      </c>
      <c r="AE76" s="49">
        <f>資料儲存!F420</f>
        <v>0</v>
      </c>
      <c r="AF76" s="49">
        <f>資料儲存!G420</f>
        <v>0</v>
      </c>
      <c r="AG76" s="49">
        <f>資料儲存!H420</f>
        <v>0</v>
      </c>
      <c r="AH76" s="49">
        <f>資料儲存!I420</f>
        <v>0</v>
      </c>
      <c r="AI76" s="49">
        <f>資料儲存!J420</f>
        <v>0</v>
      </c>
      <c r="AJ76" s="13"/>
    </row>
    <row r="77" spans="1:36" ht="16" thickBot="1">
      <c r="A77" s="48">
        <v>30</v>
      </c>
      <c r="B77" s="49">
        <f>資料儲存!D61</f>
        <v>0</v>
      </c>
      <c r="C77" s="49">
        <f>資料儲存!E61</f>
        <v>0</v>
      </c>
      <c r="D77" s="49">
        <f>資料儲存!F61</f>
        <v>0</v>
      </c>
      <c r="E77" s="49">
        <f>資料儲存!G61</f>
        <v>0</v>
      </c>
      <c r="F77" s="49">
        <f>資料儲存!H61</f>
        <v>0</v>
      </c>
      <c r="G77" s="49">
        <f>資料儲存!I61</f>
        <v>0</v>
      </c>
      <c r="H77" s="49">
        <f>資料儲存!J61</f>
        <v>0</v>
      </c>
      <c r="I77" s="45"/>
      <c r="J77" s="48">
        <v>30</v>
      </c>
      <c r="K77" s="49">
        <f>資料儲存!D181</f>
        <v>0</v>
      </c>
      <c r="L77" s="49">
        <f>資料儲存!E181</f>
        <v>0</v>
      </c>
      <c r="M77" s="49">
        <f>資料儲存!F181</f>
        <v>0</v>
      </c>
      <c r="N77" s="49">
        <f>資料儲存!G181</f>
        <v>0</v>
      </c>
      <c r="O77" s="49">
        <f>資料儲存!H181</f>
        <v>0</v>
      </c>
      <c r="P77" s="49">
        <f>資料儲存!I181</f>
        <v>0</v>
      </c>
      <c r="Q77" s="49">
        <f>資料儲存!J181</f>
        <v>0</v>
      </c>
      <c r="R77" s="45"/>
      <c r="S77" s="48">
        <v>30</v>
      </c>
      <c r="T77" s="49">
        <f>資料儲存!D301</f>
        <v>0</v>
      </c>
      <c r="U77" s="49">
        <f>資料儲存!E301</f>
        <v>0</v>
      </c>
      <c r="V77" s="49">
        <f>資料儲存!F301</f>
        <v>0</v>
      </c>
      <c r="W77" s="49">
        <f>資料儲存!G301</f>
        <v>0</v>
      </c>
      <c r="X77" s="49">
        <f>資料儲存!H301</f>
        <v>0</v>
      </c>
      <c r="Y77" s="49">
        <f>資料儲存!I301</f>
        <v>0</v>
      </c>
      <c r="Z77" s="49">
        <f>資料儲存!J301</f>
        <v>0</v>
      </c>
      <c r="AA77" s="45"/>
      <c r="AB77" s="48">
        <v>30</v>
      </c>
      <c r="AC77" s="49">
        <f>資料儲存!D421</f>
        <v>0</v>
      </c>
      <c r="AD77" s="49">
        <f>資料儲存!E421</f>
        <v>0</v>
      </c>
      <c r="AE77" s="49">
        <f>資料儲存!F421</f>
        <v>0</v>
      </c>
      <c r="AF77" s="49">
        <f>資料儲存!G421</f>
        <v>0</v>
      </c>
      <c r="AG77" s="49">
        <f>資料儲存!H421</f>
        <v>0</v>
      </c>
      <c r="AH77" s="49">
        <f>資料儲存!I421</f>
        <v>0</v>
      </c>
      <c r="AI77" s="49">
        <f>資料儲存!J421</f>
        <v>0</v>
      </c>
      <c r="AJ77" s="13"/>
    </row>
    <row r="78" spans="1:36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</row>
    <row r="79" spans="1:36" ht="18.5" thickBot="1">
      <c r="A79" s="250" t="s">
        <v>59</v>
      </c>
      <c r="B79" s="251"/>
      <c r="C79" s="251"/>
      <c r="D79" s="251"/>
      <c r="E79" s="251"/>
      <c r="F79" s="251"/>
      <c r="G79" s="251"/>
      <c r="H79" s="252"/>
      <c r="I79" s="13"/>
      <c r="J79" s="250" t="s">
        <v>59</v>
      </c>
      <c r="K79" s="251"/>
      <c r="L79" s="251"/>
      <c r="M79" s="251"/>
      <c r="N79" s="251"/>
      <c r="O79" s="251"/>
      <c r="P79" s="251"/>
      <c r="Q79" s="252"/>
      <c r="R79" s="13"/>
      <c r="S79" s="250" t="s">
        <v>59</v>
      </c>
      <c r="T79" s="251"/>
      <c r="U79" s="251"/>
      <c r="V79" s="251"/>
      <c r="W79" s="251"/>
      <c r="X79" s="251"/>
      <c r="Y79" s="251"/>
      <c r="Z79" s="252"/>
      <c r="AA79" s="13"/>
      <c r="AB79" s="250" t="s">
        <v>59</v>
      </c>
      <c r="AC79" s="251"/>
      <c r="AD79" s="251"/>
      <c r="AE79" s="251"/>
      <c r="AF79" s="251"/>
      <c r="AG79" s="251"/>
      <c r="AH79" s="251"/>
      <c r="AI79" s="252"/>
      <c r="AJ79" s="13"/>
    </row>
    <row r="80" spans="1:36" ht="17.25" customHeight="1" thickBot="1">
      <c r="A80" s="31" t="s">
        <v>2</v>
      </c>
      <c r="B80" s="32" t="s">
        <v>46</v>
      </c>
      <c r="C80" s="33"/>
      <c r="D80" s="33"/>
      <c r="E80" s="34"/>
      <c r="F80" s="32" t="s">
        <v>47</v>
      </c>
      <c r="G80" s="33"/>
      <c r="H80" s="34"/>
      <c r="I80" s="35"/>
      <c r="J80" s="31" t="s">
        <v>2</v>
      </c>
      <c r="K80" s="32" t="s">
        <v>46</v>
      </c>
      <c r="L80" s="33"/>
      <c r="M80" s="33"/>
      <c r="N80" s="34"/>
      <c r="O80" s="32" t="s">
        <v>47</v>
      </c>
      <c r="P80" s="33"/>
      <c r="Q80" s="34"/>
      <c r="R80" s="35"/>
      <c r="S80" s="31" t="s">
        <v>2</v>
      </c>
      <c r="T80" s="32" t="s">
        <v>46</v>
      </c>
      <c r="U80" s="33"/>
      <c r="V80" s="33"/>
      <c r="W80" s="34"/>
      <c r="X80" s="32" t="s">
        <v>47</v>
      </c>
      <c r="Y80" s="33"/>
      <c r="Z80" s="34"/>
      <c r="AA80" s="35"/>
      <c r="AB80" s="31" t="s">
        <v>2</v>
      </c>
      <c r="AC80" s="32" t="s">
        <v>46</v>
      </c>
      <c r="AD80" s="33"/>
      <c r="AE80" s="33"/>
      <c r="AF80" s="34"/>
      <c r="AG80" s="32" t="s">
        <v>47</v>
      </c>
      <c r="AH80" s="33"/>
      <c r="AI80" s="34"/>
      <c r="AJ80" s="13"/>
    </row>
    <row r="81" spans="1:36" ht="16" thickBot="1">
      <c r="A81" s="36" t="s">
        <v>60</v>
      </c>
      <c r="B81" s="37" t="s">
        <v>49</v>
      </c>
      <c r="C81" s="37" t="s">
        <v>50</v>
      </c>
      <c r="D81" s="37" t="s">
        <v>51</v>
      </c>
      <c r="E81" s="37" t="s">
        <v>52</v>
      </c>
      <c r="F81" s="37" t="s">
        <v>53</v>
      </c>
      <c r="G81" s="37" t="s">
        <v>54</v>
      </c>
      <c r="H81" s="37" t="s">
        <v>55</v>
      </c>
      <c r="I81" s="35"/>
      <c r="J81" s="36" t="s">
        <v>60</v>
      </c>
      <c r="K81" s="37" t="s">
        <v>49</v>
      </c>
      <c r="L81" s="37" t="s">
        <v>50</v>
      </c>
      <c r="M81" s="37" t="s">
        <v>51</v>
      </c>
      <c r="N81" s="37" t="s">
        <v>52</v>
      </c>
      <c r="O81" s="37" t="s">
        <v>53</v>
      </c>
      <c r="P81" s="37" t="s">
        <v>54</v>
      </c>
      <c r="Q81" s="37" t="s">
        <v>55</v>
      </c>
      <c r="R81" s="35"/>
      <c r="S81" s="36" t="s">
        <v>60</v>
      </c>
      <c r="T81" s="37" t="s">
        <v>49</v>
      </c>
      <c r="U81" s="37" t="s">
        <v>50</v>
      </c>
      <c r="V81" s="37" t="s">
        <v>51</v>
      </c>
      <c r="W81" s="37" t="s">
        <v>52</v>
      </c>
      <c r="X81" s="37" t="s">
        <v>53</v>
      </c>
      <c r="Y81" s="37" t="s">
        <v>54</v>
      </c>
      <c r="Z81" s="37" t="s">
        <v>55</v>
      </c>
      <c r="AA81" s="35"/>
      <c r="AB81" s="36" t="s">
        <v>60</v>
      </c>
      <c r="AC81" s="37" t="s">
        <v>49</v>
      </c>
      <c r="AD81" s="37" t="s">
        <v>50</v>
      </c>
      <c r="AE81" s="37" t="s">
        <v>51</v>
      </c>
      <c r="AF81" s="37" t="s">
        <v>52</v>
      </c>
      <c r="AG81" s="37" t="s">
        <v>53</v>
      </c>
      <c r="AH81" s="37" t="s">
        <v>54</v>
      </c>
      <c r="AI81" s="37" t="s">
        <v>55</v>
      </c>
      <c r="AJ81" s="13"/>
    </row>
    <row r="82" spans="1:36" ht="16" thickBot="1">
      <c r="A82" s="38">
        <v>31</v>
      </c>
      <c r="B82" s="39">
        <f>資料儲存!D62</f>
        <v>0</v>
      </c>
      <c r="C82" s="39">
        <f>資料儲存!E62</f>
        <v>0</v>
      </c>
      <c r="D82" s="39">
        <f>資料儲存!F62</f>
        <v>0</v>
      </c>
      <c r="E82" s="39">
        <f>資料儲存!G62</f>
        <v>0</v>
      </c>
      <c r="F82" s="39">
        <f>資料儲存!H62</f>
        <v>0</v>
      </c>
      <c r="G82" s="39">
        <f>資料儲存!I62</f>
        <v>0</v>
      </c>
      <c r="H82" s="39">
        <f>資料儲存!J62</f>
        <v>0</v>
      </c>
      <c r="I82" s="35"/>
      <c r="J82" s="38">
        <v>31</v>
      </c>
      <c r="K82" s="39">
        <f>資料儲存!D182</f>
        <v>0</v>
      </c>
      <c r="L82" s="39">
        <f>資料儲存!E182</f>
        <v>0</v>
      </c>
      <c r="M82" s="39">
        <f>資料儲存!F182</f>
        <v>0</v>
      </c>
      <c r="N82" s="39">
        <f>資料儲存!G182</f>
        <v>0</v>
      </c>
      <c r="O82" s="39">
        <f>資料儲存!H182</f>
        <v>0</v>
      </c>
      <c r="P82" s="39">
        <f>資料儲存!I182</f>
        <v>0</v>
      </c>
      <c r="Q82" s="39">
        <f>資料儲存!J182</f>
        <v>0</v>
      </c>
      <c r="R82" s="35"/>
      <c r="S82" s="38">
        <v>31</v>
      </c>
      <c r="T82" s="39">
        <f>資料儲存!D302</f>
        <v>0</v>
      </c>
      <c r="U82" s="39">
        <f>資料儲存!E302</f>
        <v>0</v>
      </c>
      <c r="V82" s="39">
        <f>資料儲存!F302</f>
        <v>0</v>
      </c>
      <c r="W82" s="39">
        <f>資料儲存!G302</f>
        <v>0</v>
      </c>
      <c r="X82" s="39">
        <f>資料儲存!H302</f>
        <v>0</v>
      </c>
      <c r="Y82" s="39">
        <f>資料儲存!I302</f>
        <v>0</v>
      </c>
      <c r="Z82" s="39">
        <f>資料儲存!J302</f>
        <v>0</v>
      </c>
      <c r="AA82" s="35"/>
      <c r="AB82" s="38">
        <v>31</v>
      </c>
      <c r="AC82" s="39">
        <f>資料儲存!D422</f>
        <v>0</v>
      </c>
      <c r="AD82" s="39">
        <f>資料儲存!E422</f>
        <v>0</v>
      </c>
      <c r="AE82" s="39">
        <f>資料儲存!F422</f>
        <v>0</v>
      </c>
      <c r="AF82" s="39">
        <f>資料儲存!G422</f>
        <v>0</v>
      </c>
      <c r="AG82" s="39">
        <f>資料儲存!H422</f>
        <v>0</v>
      </c>
      <c r="AH82" s="39">
        <f>資料儲存!I422</f>
        <v>0</v>
      </c>
      <c r="AI82" s="39">
        <f>資料儲存!J422</f>
        <v>0</v>
      </c>
      <c r="AJ82" s="13"/>
    </row>
    <row r="83" spans="1:36" ht="16" thickBot="1">
      <c r="A83" s="38">
        <v>32</v>
      </c>
      <c r="B83" s="39">
        <f>資料儲存!D63</f>
        <v>0</v>
      </c>
      <c r="C83" s="39">
        <f>資料儲存!E63</f>
        <v>0</v>
      </c>
      <c r="D83" s="39">
        <f>資料儲存!F63</f>
        <v>0</v>
      </c>
      <c r="E83" s="39">
        <f>資料儲存!G63</f>
        <v>0</v>
      </c>
      <c r="F83" s="39">
        <f>資料儲存!H63</f>
        <v>0</v>
      </c>
      <c r="G83" s="39">
        <f>資料儲存!I63</f>
        <v>0</v>
      </c>
      <c r="H83" s="39">
        <f>資料儲存!J63</f>
        <v>0</v>
      </c>
      <c r="I83" s="35"/>
      <c r="J83" s="38">
        <v>32</v>
      </c>
      <c r="K83" s="39">
        <f>資料儲存!D183</f>
        <v>0</v>
      </c>
      <c r="L83" s="39">
        <f>資料儲存!E183</f>
        <v>0</v>
      </c>
      <c r="M83" s="39">
        <f>資料儲存!F183</f>
        <v>0</v>
      </c>
      <c r="N83" s="39">
        <f>資料儲存!G183</f>
        <v>0</v>
      </c>
      <c r="O83" s="39">
        <f>資料儲存!H183</f>
        <v>0</v>
      </c>
      <c r="P83" s="39">
        <f>資料儲存!I183</f>
        <v>0</v>
      </c>
      <c r="Q83" s="39">
        <f>資料儲存!J183</f>
        <v>0</v>
      </c>
      <c r="R83" s="35"/>
      <c r="S83" s="38">
        <v>32</v>
      </c>
      <c r="T83" s="39">
        <f>資料儲存!D303</f>
        <v>0</v>
      </c>
      <c r="U83" s="39">
        <f>資料儲存!E303</f>
        <v>0</v>
      </c>
      <c r="V83" s="39">
        <f>資料儲存!F303</f>
        <v>0</v>
      </c>
      <c r="W83" s="39">
        <f>資料儲存!G303</f>
        <v>0</v>
      </c>
      <c r="X83" s="39">
        <f>資料儲存!H303</f>
        <v>0</v>
      </c>
      <c r="Y83" s="39">
        <f>資料儲存!I303</f>
        <v>0</v>
      </c>
      <c r="Z83" s="39">
        <f>資料儲存!J303</f>
        <v>0</v>
      </c>
      <c r="AA83" s="35"/>
      <c r="AB83" s="38">
        <v>32</v>
      </c>
      <c r="AC83" s="39">
        <f>資料儲存!D423</f>
        <v>0</v>
      </c>
      <c r="AD83" s="39">
        <f>資料儲存!E423</f>
        <v>0</v>
      </c>
      <c r="AE83" s="39">
        <f>資料儲存!F423</f>
        <v>0</v>
      </c>
      <c r="AF83" s="39">
        <f>資料儲存!G423</f>
        <v>0</v>
      </c>
      <c r="AG83" s="39">
        <f>資料儲存!H423</f>
        <v>0</v>
      </c>
      <c r="AH83" s="39">
        <f>資料儲存!I423</f>
        <v>0</v>
      </c>
      <c r="AI83" s="39">
        <f>資料儲存!J423</f>
        <v>0</v>
      </c>
      <c r="AJ83" s="13"/>
    </row>
    <row r="84" spans="1:36" ht="16" thickBot="1">
      <c r="A84" s="38">
        <v>33</v>
      </c>
      <c r="B84" s="39">
        <f>資料儲存!D64</f>
        <v>0</v>
      </c>
      <c r="C84" s="39">
        <f>資料儲存!E64</f>
        <v>0</v>
      </c>
      <c r="D84" s="39">
        <f>資料儲存!F64</f>
        <v>0</v>
      </c>
      <c r="E84" s="39">
        <f>資料儲存!G64</f>
        <v>0</v>
      </c>
      <c r="F84" s="39">
        <f>資料儲存!H64</f>
        <v>0</v>
      </c>
      <c r="G84" s="39">
        <f>資料儲存!I64</f>
        <v>0</v>
      </c>
      <c r="H84" s="39">
        <f>資料儲存!J64</f>
        <v>0</v>
      </c>
      <c r="I84" s="35"/>
      <c r="J84" s="38">
        <v>33</v>
      </c>
      <c r="K84" s="39">
        <f>資料儲存!D184</f>
        <v>0</v>
      </c>
      <c r="L84" s="39">
        <f>資料儲存!E184</f>
        <v>0</v>
      </c>
      <c r="M84" s="39">
        <f>資料儲存!F184</f>
        <v>0</v>
      </c>
      <c r="N84" s="39">
        <f>資料儲存!G184</f>
        <v>0</v>
      </c>
      <c r="O84" s="39">
        <f>資料儲存!H184</f>
        <v>0</v>
      </c>
      <c r="P84" s="39">
        <f>資料儲存!I184</f>
        <v>0</v>
      </c>
      <c r="Q84" s="39">
        <f>資料儲存!J184</f>
        <v>0</v>
      </c>
      <c r="R84" s="35"/>
      <c r="S84" s="38">
        <v>33</v>
      </c>
      <c r="T84" s="39">
        <f>資料儲存!D304</f>
        <v>0</v>
      </c>
      <c r="U84" s="39">
        <f>資料儲存!E304</f>
        <v>0</v>
      </c>
      <c r="V84" s="39">
        <f>資料儲存!F304</f>
        <v>0</v>
      </c>
      <c r="W84" s="39">
        <f>資料儲存!G304</f>
        <v>0</v>
      </c>
      <c r="X84" s="39">
        <f>資料儲存!H304</f>
        <v>0</v>
      </c>
      <c r="Y84" s="39">
        <f>資料儲存!I304</f>
        <v>0</v>
      </c>
      <c r="Z84" s="39">
        <f>資料儲存!J304</f>
        <v>0</v>
      </c>
      <c r="AA84" s="35"/>
      <c r="AB84" s="38">
        <v>33</v>
      </c>
      <c r="AC84" s="39">
        <f>資料儲存!D424</f>
        <v>0</v>
      </c>
      <c r="AD84" s="39">
        <f>資料儲存!E424</f>
        <v>0</v>
      </c>
      <c r="AE84" s="39">
        <f>資料儲存!F424</f>
        <v>0</v>
      </c>
      <c r="AF84" s="39">
        <f>資料儲存!G424</f>
        <v>0</v>
      </c>
      <c r="AG84" s="39">
        <f>資料儲存!H424</f>
        <v>0</v>
      </c>
      <c r="AH84" s="39">
        <f>資料儲存!I424</f>
        <v>0</v>
      </c>
      <c r="AI84" s="39">
        <f>資料儲存!J424</f>
        <v>0</v>
      </c>
      <c r="AJ84" s="13"/>
    </row>
    <row r="85" spans="1:36" ht="16" thickBot="1">
      <c r="A85" s="38">
        <v>34</v>
      </c>
      <c r="B85" s="39">
        <f>資料儲存!D65</f>
        <v>0</v>
      </c>
      <c r="C85" s="39">
        <f>資料儲存!E65</f>
        <v>0</v>
      </c>
      <c r="D85" s="39">
        <f>資料儲存!F65</f>
        <v>0</v>
      </c>
      <c r="E85" s="39">
        <f>資料儲存!G65</f>
        <v>0</v>
      </c>
      <c r="F85" s="39">
        <f>資料儲存!H65</f>
        <v>0</v>
      </c>
      <c r="G85" s="39">
        <f>資料儲存!I65</f>
        <v>0</v>
      </c>
      <c r="H85" s="39">
        <f>資料儲存!J65</f>
        <v>0</v>
      </c>
      <c r="I85" s="35"/>
      <c r="J85" s="38">
        <v>34</v>
      </c>
      <c r="K85" s="39">
        <f>資料儲存!D185</f>
        <v>0</v>
      </c>
      <c r="L85" s="39">
        <f>資料儲存!E185</f>
        <v>0</v>
      </c>
      <c r="M85" s="39">
        <f>資料儲存!F185</f>
        <v>0</v>
      </c>
      <c r="N85" s="39">
        <f>資料儲存!G185</f>
        <v>0</v>
      </c>
      <c r="O85" s="39">
        <f>資料儲存!H185</f>
        <v>0</v>
      </c>
      <c r="P85" s="39">
        <f>資料儲存!I185</f>
        <v>0</v>
      </c>
      <c r="Q85" s="39">
        <f>資料儲存!J185</f>
        <v>0</v>
      </c>
      <c r="R85" s="35"/>
      <c r="S85" s="38">
        <v>34</v>
      </c>
      <c r="T85" s="39">
        <f>資料儲存!D305</f>
        <v>0</v>
      </c>
      <c r="U85" s="39">
        <f>資料儲存!E305</f>
        <v>0</v>
      </c>
      <c r="V85" s="39">
        <f>資料儲存!F305</f>
        <v>0</v>
      </c>
      <c r="W85" s="39">
        <f>資料儲存!G305</f>
        <v>0</v>
      </c>
      <c r="X85" s="39">
        <f>資料儲存!H305</f>
        <v>0</v>
      </c>
      <c r="Y85" s="39">
        <f>資料儲存!I305</f>
        <v>0</v>
      </c>
      <c r="Z85" s="39">
        <f>資料儲存!J305</f>
        <v>0</v>
      </c>
      <c r="AA85" s="35"/>
      <c r="AB85" s="38">
        <v>34</v>
      </c>
      <c r="AC85" s="39">
        <f>資料儲存!D425</f>
        <v>0</v>
      </c>
      <c r="AD85" s="39">
        <f>資料儲存!E425</f>
        <v>0</v>
      </c>
      <c r="AE85" s="39">
        <f>資料儲存!F425</f>
        <v>0</v>
      </c>
      <c r="AF85" s="39">
        <f>資料儲存!G425</f>
        <v>0</v>
      </c>
      <c r="AG85" s="39">
        <f>資料儲存!H425</f>
        <v>0</v>
      </c>
      <c r="AH85" s="39">
        <f>資料儲存!I425</f>
        <v>0</v>
      </c>
      <c r="AI85" s="39">
        <f>資料儲存!J425</f>
        <v>0</v>
      </c>
      <c r="AJ85" s="13"/>
    </row>
    <row r="86" spans="1:36" ht="16" thickBot="1">
      <c r="A86" s="38">
        <v>35</v>
      </c>
      <c r="B86" s="39">
        <f>資料儲存!D66</f>
        <v>0</v>
      </c>
      <c r="C86" s="39">
        <f>資料儲存!E66</f>
        <v>0</v>
      </c>
      <c r="D86" s="39">
        <f>資料儲存!F66</f>
        <v>0</v>
      </c>
      <c r="E86" s="39">
        <f>資料儲存!G66</f>
        <v>0</v>
      </c>
      <c r="F86" s="39">
        <f>資料儲存!H66</f>
        <v>0</v>
      </c>
      <c r="G86" s="39">
        <f>資料儲存!I66</f>
        <v>0</v>
      </c>
      <c r="H86" s="39">
        <f>資料儲存!J66</f>
        <v>0</v>
      </c>
      <c r="I86" s="35"/>
      <c r="J86" s="38">
        <v>35</v>
      </c>
      <c r="K86" s="39">
        <f>資料儲存!D186</f>
        <v>0</v>
      </c>
      <c r="L86" s="39">
        <f>資料儲存!E186</f>
        <v>0</v>
      </c>
      <c r="M86" s="39">
        <f>資料儲存!F186</f>
        <v>0</v>
      </c>
      <c r="N86" s="39">
        <f>資料儲存!G186</f>
        <v>0</v>
      </c>
      <c r="O86" s="39">
        <f>資料儲存!H186</f>
        <v>0</v>
      </c>
      <c r="P86" s="39">
        <f>資料儲存!I186</f>
        <v>0</v>
      </c>
      <c r="Q86" s="39">
        <f>資料儲存!J186</f>
        <v>0</v>
      </c>
      <c r="R86" s="35"/>
      <c r="S86" s="38">
        <v>35</v>
      </c>
      <c r="T86" s="39">
        <f>資料儲存!D306</f>
        <v>0</v>
      </c>
      <c r="U86" s="39">
        <f>資料儲存!E306</f>
        <v>0</v>
      </c>
      <c r="V86" s="39">
        <f>資料儲存!F306</f>
        <v>0</v>
      </c>
      <c r="W86" s="39">
        <f>資料儲存!G306</f>
        <v>0</v>
      </c>
      <c r="X86" s="39">
        <f>資料儲存!H306</f>
        <v>0</v>
      </c>
      <c r="Y86" s="39">
        <f>資料儲存!I306</f>
        <v>0</v>
      </c>
      <c r="Z86" s="39">
        <f>資料儲存!J306</f>
        <v>0</v>
      </c>
      <c r="AA86" s="35"/>
      <c r="AB86" s="38">
        <v>35</v>
      </c>
      <c r="AC86" s="39">
        <f>資料儲存!D426</f>
        <v>0</v>
      </c>
      <c r="AD86" s="39">
        <f>資料儲存!E426</f>
        <v>0</v>
      </c>
      <c r="AE86" s="39">
        <f>資料儲存!F426</f>
        <v>0</v>
      </c>
      <c r="AF86" s="39">
        <f>資料儲存!G426</f>
        <v>0</v>
      </c>
      <c r="AG86" s="39">
        <f>資料儲存!H426</f>
        <v>0</v>
      </c>
      <c r="AH86" s="39">
        <f>資料儲存!I426</f>
        <v>0</v>
      </c>
      <c r="AI86" s="39">
        <f>資料儲存!J426</f>
        <v>0</v>
      </c>
      <c r="AJ86" s="13"/>
    </row>
    <row r="87" spans="1:36" ht="16" thickBot="1">
      <c r="A87" s="38">
        <v>36</v>
      </c>
      <c r="B87" s="39">
        <f>資料儲存!D67</f>
        <v>0</v>
      </c>
      <c r="C87" s="39">
        <f>資料儲存!E67</f>
        <v>0</v>
      </c>
      <c r="D87" s="39">
        <f>資料儲存!F67</f>
        <v>0</v>
      </c>
      <c r="E87" s="39">
        <f>資料儲存!G67</f>
        <v>0</v>
      </c>
      <c r="F87" s="39">
        <f>資料儲存!H67</f>
        <v>0</v>
      </c>
      <c r="G87" s="39">
        <f>資料儲存!I67</f>
        <v>0</v>
      </c>
      <c r="H87" s="39">
        <f>資料儲存!J67</f>
        <v>0</v>
      </c>
      <c r="I87" s="35"/>
      <c r="J87" s="38">
        <v>36</v>
      </c>
      <c r="K87" s="39">
        <f>資料儲存!D187</f>
        <v>0</v>
      </c>
      <c r="L87" s="39">
        <f>資料儲存!E187</f>
        <v>0</v>
      </c>
      <c r="M87" s="39">
        <f>資料儲存!F187</f>
        <v>0</v>
      </c>
      <c r="N87" s="39">
        <f>資料儲存!G187</f>
        <v>0</v>
      </c>
      <c r="O87" s="39">
        <f>資料儲存!H187</f>
        <v>0</v>
      </c>
      <c r="P87" s="39">
        <f>資料儲存!I187</f>
        <v>0</v>
      </c>
      <c r="Q87" s="39">
        <f>資料儲存!J187</f>
        <v>0</v>
      </c>
      <c r="R87" s="35"/>
      <c r="S87" s="38">
        <v>36</v>
      </c>
      <c r="T87" s="39">
        <f>資料儲存!D307</f>
        <v>0</v>
      </c>
      <c r="U87" s="39">
        <f>資料儲存!E307</f>
        <v>0</v>
      </c>
      <c r="V87" s="39">
        <f>資料儲存!F307</f>
        <v>0</v>
      </c>
      <c r="W87" s="39">
        <f>資料儲存!G307</f>
        <v>0</v>
      </c>
      <c r="X87" s="39">
        <f>資料儲存!H307</f>
        <v>0</v>
      </c>
      <c r="Y87" s="39">
        <f>資料儲存!I307</f>
        <v>0</v>
      </c>
      <c r="Z87" s="39">
        <f>資料儲存!J307</f>
        <v>0</v>
      </c>
      <c r="AA87" s="35"/>
      <c r="AB87" s="38">
        <v>36</v>
      </c>
      <c r="AC87" s="39">
        <f>資料儲存!D427</f>
        <v>0</v>
      </c>
      <c r="AD87" s="39">
        <f>資料儲存!E427</f>
        <v>0</v>
      </c>
      <c r="AE87" s="39">
        <f>資料儲存!F427</f>
        <v>0</v>
      </c>
      <c r="AF87" s="39">
        <f>資料儲存!G427</f>
        <v>0</v>
      </c>
      <c r="AG87" s="39">
        <f>資料儲存!H427</f>
        <v>0</v>
      </c>
      <c r="AH87" s="39">
        <f>資料儲存!I427</f>
        <v>0</v>
      </c>
      <c r="AI87" s="39">
        <f>資料儲存!J427</f>
        <v>0</v>
      </c>
      <c r="AJ87" s="13"/>
    </row>
    <row r="88" spans="1:36" ht="16" thickBot="1">
      <c r="A88" s="38">
        <v>37</v>
      </c>
      <c r="B88" s="39">
        <f>資料儲存!D68</f>
        <v>0</v>
      </c>
      <c r="C88" s="39">
        <f>資料儲存!E68</f>
        <v>0</v>
      </c>
      <c r="D88" s="39">
        <f>資料儲存!F68</f>
        <v>0</v>
      </c>
      <c r="E88" s="39">
        <f>資料儲存!G68</f>
        <v>0</v>
      </c>
      <c r="F88" s="39">
        <f>資料儲存!H68</f>
        <v>0</v>
      </c>
      <c r="G88" s="39">
        <f>資料儲存!I68</f>
        <v>0</v>
      </c>
      <c r="H88" s="39">
        <f>資料儲存!J68</f>
        <v>0</v>
      </c>
      <c r="I88" s="35"/>
      <c r="J88" s="38">
        <v>37</v>
      </c>
      <c r="K88" s="39">
        <f>資料儲存!D188</f>
        <v>0</v>
      </c>
      <c r="L88" s="39">
        <f>資料儲存!E188</f>
        <v>0</v>
      </c>
      <c r="M88" s="39">
        <f>資料儲存!F188</f>
        <v>0</v>
      </c>
      <c r="N88" s="39">
        <f>資料儲存!G188</f>
        <v>0</v>
      </c>
      <c r="O88" s="39">
        <f>資料儲存!H188</f>
        <v>0</v>
      </c>
      <c r="P88" s="39">
        <f>資料儲存!I188</f>
        <v>0</v>
      </c>
      <c r="Q88" s="39">
        <f>資料儲存!J188</f>
        <v>0</v>
      </c>
      <c r="R88" s="35"/>
      <c r="S88" s="38">
        <v>37</v>
      </c>
      <c r="T88" s="39">
        <f>資料儲存!D308</f>
        <v>0</v>
      </c>
      <c r="U88" s="39">
        <f>資料儲存!E308</f>
        <v>0</v>
      </c>
      <c r="V88" s="39">
        <f>資料儲存!F308</f>
        <v>0</v>
      </c>
      <c r="W88" s="39">
        <f>資料儲存!G308</f>
        <v>0</v>
      </c>
      <c r="X88" s="39">
        <f>資料儲存!H308</f>
        <v>0</v>
      </c>
      <c r="Y88" s="39">
        <f>資料儲存!I308</f>
        <v>0</v>
      </c>
      <c r="Z88" s="39">
        <f>資料儲存!J308</f>
        <v>0</v>
      </c>
      <c r="AA88" s="35"/>
      <c r="AB88" s="38">
        <v>37</v>
      </c>
      <c r="AC88" s="39">
        <f>資料儲存!D428</f>
        <v>0</v>
      </c>
      <c r="AD88" s="39">
        <f>資料儲存!E428</f>
        <v>0</v>
      </c>
      <c r="AE88" s="39">
        <f>資料儲存!F428</f>
        <v>0</v>
      </c>
      <c r="AF88" s="39">
        <f>資料儲存!G428</f>
        <v>0</v>
      </c>
      <c r="AG88" s="39">
        <f>資料儲存!H428</f>
        <v>0</v>
      </c>
      <c r="AH88" s="39">
        <f>資料儲存!I428</f>
        <v>0</v>
      </c>
      <c r="AI88" s="39">
        <f>資料儲存!J428</f>
        <v>0</v>
      </c>
      <c r="AJ88" s="13"/>
    </row>
    <row r="89" spans="1:36" ht="16" thickBot="1">
      <c r="A89" s="38">
        <v>38</v>
      </c>
      <c r="B89" s="39">
        <f>資料儲存!D69</f>
        <v>0</v>
      </c>
      <c r="C89" s="39">
        <f>資料儲存!E69</f>
        <v>0</v>
      </c>
      <c r="D89" s="39">
        <f>資料儲存!F69</f>
        <v>0</v>
      </c>
      <c r="E89" s="39">
        <f>資料儲存!G69</f>
        <v>0</v>
      </c>
      <c r="F89" s="39">
        <f>資料儲存!H69</f>
        <v>0</v>
      </c>
      <c r="G89" s="39">
        <f>資料儲存!I69</f>
        <v>0</v>
      </c>
      <c r="H89" s="39">
        <f>資料儲存!J69</f>
        <v>0</v>
      </c>
      <c r="I89" s="35"/>
      <c r="J89" s="38">
        <v>38</v>
      </c>
      <c r="K89" s="39">
        <f>資料儲存!D189</f>
        <v>0</v>
      </c>
      <c r="L89" s="39">
        <f>資料儲存!E189</f>
        <v>0</v>
      </c>
      <c r="M89" s="39">
        <f>資料儲存!F189</f>
        <v>0</v>
      </c>
      <c r="N89" s="39">
        <f>資料儲存!G189</f>
        <v>0</v>
      </c>
      <c r="O89" s="39">
        <f>資料儲存!H189</f>
        <v>0</v>
      </c>
      <c r="P89" s="39">
        <f>資料儲存!I189</f>
        <v>0</v>
      </c>
      <c r="Q89" s="39">
        <f>資料儲存!J189</f>
        <v>0</v>
      </c>
      <c r="R89" s="35"/>
      <c r="S89" s="38">
        <v>38</v>
      </c>
      <c r="T89" s="39">
        <f>資料儲存!D309</f>
        <v>0</v>
      </c>
      <c r="U89" s="39">
        <f>資料儲存!E309</f>
        <v>0</v>
      </c>
      <c r="V89" s="39">
        <f>資料儲存!F309</f>
        <v>0</v>
      </c>
      <c r="W89" s="39">
        <f>資料儲存!G309</f>
        <v>0</v>
      </c>
      <c r="X89" s="39">
        <f>資料儲存!H309</f>
        <v>0</v>
      </c>
      <c r="Y89" s="39">
        <f>資料儲存!I309</f>
        <v>0</v>
      </c>
      <c r="Z89" s="39">
        <f>資料儲存!J309</f>
        <v>0</v>
      </c>
      <c r="AA89" s="35"/>
      <c r="AB89" s="38">
        <v>38</v>
      </c>
      <c r="AC89" s="39">
        <f>資料儲存!D429</f>
        <v>0</v>
      </c>
      <c r="AD89" s="39">
        <f>資料儲存!E429</f>
        <v>0</v>
      </c>
      <c r="AE89" s="39">
        <f>資料儲存!F429</f>
        <v>0</v>
      </c>
      <c r="AF89" s="39">
        <f>資料儲存!G429</f>
        <v>0</v>
      </c>
      <c r="AG89" s="39">
        <f>資料儲存!H429</f>
        <v>0</v>
      </c>
      <c r="AH89" s="39">
        <f>資料儲存!I429</f>
        <v>0</v>
      </c>
      <c r="AI89" s="39">
        <f>資料儲存!J429</f>
        <v>0</v>
      </c>
      <c r="AJ89" s="13"/>
    </row>
    <row r="90" spans="1:36" ht="16" thickBot="1">
      <c r="A90" s="38">
        <v>39</v>
      </c>
      <c r="B90" s="39">
        <f>資料儲存!D70</f>
        <v>0</v>
      </c>
      <c r="C90" s="39">
        <f>資料儲存!E70</f>
        <v>0</v>
      </c>
      <c r="D90" s="39">
        <f>資料儲存!F70</f>
        <v>0</v>
      </c>
      <c r="E90" s="39">
        <f>資料儲存!G70</f>
        <v>0</v>
      </c>
      <c r="F90" s="39">
        <f>資料儲存!H70</f>
        <v>0</v>
      </c>
      <c r="G90" s="39">
        <f>資料儲存!I70</f>
        <v>0</v>
      </c>
      <c r="H90" s="39">
        <f>資料儲存!J70</f>
        <v>0</v>
      </c>
      <c r="I90" s="35"/>
      <c r="J90" s="38">
        <v>39</v>
      </c>
      <c r="K90" s="39">
        <f>資料儲存!D190</f>
        <v>0</v>
      </c>
      <c r="L90" s="39">
        <f>資料儲存!E190</f>
        <v>0</v>
      </c>
      <c r="M90" s="39">
        <f>資料儲存!F190</f>
        <v>0</v>
      </c>
      <c r="N90" s="39">
        <f>資料儲存!G190</f>
        <v>0</v>
      </c>
      <c r="O90" s="39">
        <f>資料儲存!H190</f>
        <v>0</v>
      </c>
      <c r="P90" s="39">
        <f>資料儲存!I190</f>
        <v>0</v>
      </c>
      <c r="Q90" s="39">
        <f>資料儲存!J190</f>
        <v>0</v>
      </c>
      <c r="R90" s="35"/>
      <c r="S90" s="38">
        <v>39</v>
      </c>
      <c r="T90" s="39">
        <f>資料儲存!D310</f>
        <v>0</v>
      </c>
      <c r="U90" s="39">
        <f>資料儲存!E310</f>
        <v>0</v>
      </c>
      <c r="V90" s="39">
        <f>資料儲存!F310</f>
        <v>0</v>
      </c>
      <c r="W90" s="39">
        <f>資料儲存!G310</f>
        <v>0</v>
      </c>
      <c r="X90" s="39">
        <f>資料儲存!H310</f>
        <v>0</v>
      </c>
      <c r="Y90" s="39">
        <f>資料儲存!I310</f>
        <v>0</v>
      </c>
      <c r="Z90" s="39">
        <f>資料儲存!J310</f>
        <v>0</v>
      </c>
      <c r="AA90" s="35"/>
      <c r="AB90" s="38">
        <v>39</v>
      </c>
      <c r="AC90" s="39">
        <f>資料儲存!D430</f>
        <v>0</v>
      </c>
      <c r="AD90" s="39">
        <f>資料儲存!E430</f>
        <v>0</v>
      </c>
      <c r="AE90" s="39">
        <f>資料儲存!F430</f>
        <v>0</v>
      </c>
      <c r="AF90" s="39">
        <f>資料儲存!G430</f>
        <v>0</v>
      </c>
      <c r="AG90" s="39">
        <f>資料儲存!H430</f>
        <v>0</v>
      </c>
      <c r="AH90" s="39">
        <f>資料儲存!I430</f>
        <v>0</v>
      </c>
      <c r="AI90" s="39">
        <f>資料儲存!J430</f>
        <v>0</v>
      </c>
      <c r="AJ90" s="13"/>
    </row>
    <row r="91" spans="1:36" ht="16" thickBot="1">
      <c r="A91" s="38">
        <v>40</v>
      </c>
      <c r="B91" s="39">
        <f>資料儲存!D71</f>
        <v>0</v>
      </c>
      <c r="C91" s="39">
        <f>資料儲存!E71</f>
        <v>0</v>
      </c>
      <c r="D91" s="39">
        <f>資料儲存!F71</f>
        <v>0</v>
      </c>
      <c r="E91" s="39">
        <f>資料儲存!G71</f>
        <v>0</v>
      </c>
      <c r="F91" s="39">
        <f>資料儲存!H71</f>
        <v>0</v>
      </c>
      <c r="G91" s="39">
        <f>資料儲存!I71</f>
        <v>0</v>
      </c>
      <c r="H91" s="39">
        <f>資料儲存!J71</f>
        <v>0</v>
      </c>
      <c r="I91" s="35"/>
      <c r="J91" s="38">
        <v>40</v>
      </c>
      <c r="K91" s="39">
        <f>資料儲存!D191</f>
        <v>0</v>
      </c>
      <c r="L91" s="39">
        <f>資料儲存!E191</f>
        <v>0</v>
      </c>
      <c r="M91" s="39">
        <f>資料儲存!F191</f>
        <v>0</v>
      </c>
      <c r="N91" s="39">
        <f>資料儲存!G191</f>
        <v>0</v>
      </c>
      <c r="O91" s="39">
        <f>資料儲存!H191</f>
        <v>0</v>
      </c>
      <c r="P91" s="39">
        <f>資料儲存!I191</f>
        <v>0</v>
      </c>
      <c r="Q91" s="39">
        <f>資料儲存!J191</f>
        <v>0</v>
      </c>
      <c r="R91" s="35"/>
      <c r="S91" s="38">
        <v>40</v>
      </c>
      <c r="T91" s="39">
        <f>資料儲存!D311</f>
        <v>0</v>
      </c>
      <c r="U91" s="39">
        <f>資料儲存!E311</f>
        <v>0</v>
      </c>
      <c r="V91" s="39">
        <f>資料儲存!F311</f>
        <v>0</v>
      </c>
      <c r="W91" s="39">
        <f>資料儲存!G311</f>
        <v>0</v>
      </c>
      <c r="X91" s="39">
        <f>資料儲存!H311</f>
        <v>0</v>
      </c>
      <c r="Y91" s="39">
        <f>資料儲存!I311</f>
        <v>0</v>
      </c>
      <c r="Z91" s="39">
        <f>資料儲存!J311</f>
        <v>0</v>
      </c>
      <c r="AA91" s="35"/>
      <c r="AB91" s="38">
        <v>40</v>
      </c>
      <c r="AC91" s="39">
        <f>資料儲存!D431</f>
        <v>0</v>
      </c>
      <c r="AD91" s="39">
        <f>資料儲存!E431</f>
        <v>0</v>
      </c>
      <c r="AE91" s="39">
        <f>資料儲存!F431</f>
        <v>0</v>
      </c>
      <c r="AF91" s="39">
        <f>資料儲存!G431</f>
        <v>0</v>
      </c>
      <c r="AG91" s="39">
        <f>資料儲存!H431</f>
        <v>0</v>
      </c>
      <c r="AH91" s="39">
        <f>資料儲存!I431</f>
        <v>0</v>
      </c>
      <c r="AI91" s="39">
        <f>資料儲存!J431</f>
        <v>0</v>
      </c>
      <c r="AJ91" s="13"/>
    </row>
    <row r="92" spans="1:36" ht="16" thickBot="1">
      <c r="A92" s="38">
        <v>41</v>
      </c>
      <c r="B92" s="39">
        <f>資料儲存!D72</f>
        <v>0</v>
      </c>
      <c r="C92" s="39">
        <f>資料儲存!E72</f>
        <v>0</v>
      </c>
      <c r="D92" s="39">
        <f>資料儲存!F72</f>
        <v>0</v>
      </c>
      <c r="E92" s="39">
        <f>資料儲存!G72</f>
        <v>0</v>
      </c>
      <c r="F92" s="39">
        <f>資料儲存!H72</f>
        <v>0</v>
      </c>
      <c r="G92" s="39">
        <f>資料儲存!I72</f>
        <v>0</v>
      </c>
      <c r="H92" s="39">
        <f>資料儲存!J72</f>
        <v>0</v>
      </c>
      <c r="I92" s="35"/>
      <c r="J92" s="38">
        <v>41</v>
      </c>
      <c r="K92" s="39">
        <f>資料儲存!D192</f>
        <v>0</v>
      </c>
      <c r="L92" s="39">
        <f>資料儲存!E192</f>
        <v>0</v>
      </c>
      <c r="M92" s="39">
        <f>資料儲存!F192</f>
        <v>0</v>
      </c>
      <c r="N92" s="39">
        <f>資料儲存!G192</f>
        <v>0</v>
      </c>
      <c r="O92" s="39">
        <f>資料儲存!H192</f>
        <v>0</v>
      </c>
      <c r="P92" s="39">
        <f>資料儲存!I192</f>
        <v>0</v>
      </c>
      <c r="Q92" s="39">
        <f>資料儲存!J192</f>
        <v>0</v>
      </c>
      <c r="R92" s="35"/>
      <c r="S92" s="38">
        <v>41</v>
      </c>
      <c r="T92" s="39">
        <f>資料儲存!D312</f>
        <v>0</v>
      </c>
      <c r="U92" s="39">
        <f>資料儲存!E312</f>
        <v>0</v>
      </c>
      <c r="V92" s="39">
        <f>資料儲存!F312</f>
        <v>0</v>
      </c>
      <c r="W92" s="39">
        <f>資料儲存!G312</f>
        <v>0</v>
      </c>
      <c r="X92" s="39">
        <f>資料儲存!H312</f>
        <v>0</v>
      </c>
      <c r="Y92" s="39">
        <f>資料儲存!I312</f>
        <v>0</v>
      </c>
      <c r="Z92" s="39">
        <f>資料儲存!J312</f>
        <v>0</v>
      </c>
      <c r="AA92" s="35"/>
      <c r="AB92" s="38">
        <v>41</v>
      </c>
      <c r="AC92" s="39">
        <f>資料儲存!D432</f>
        <v>0</v>
      </c>
      <c r="AD92" s="39">
        <f>資料儲存!E432</f>
        <v>0</v>
      </c>
      <c r="AE92" s="39">
        <f>資料儲存!F432</f>
        <v>0</v>
      </c>
      <c r="AF92" s="39">
        <f>資料儲存!G432</f>
        <v>0</v>
      </c>
      <c r="AG92" s="39">
        <f>資料儲存!H432</f>
        <v>0</v>
      </c>
      <c r="AH92" s="39">
        <f>資料儲存!I432</f>
        <v>0</v>
      </c>
      <c r="AI92" s="39">
        <f>資料儲存!J432</f>
        <v>0</v>
      </c>
      <c r="AJ92" s="13"/>
    </row>
    <row r="93" spans="1:36" ht="16" thickBot="1">
      <c r="A93" s="38">
        <v>42</v>
      </c>
      <c r="B93" s="39">
        <f>資料儲存!D73</f>
        <v>0</v>
      </c>
      <c r="C93" s="39">
        <f>資料儲存!E73</f>
        <v>0</v>
      </c>
      <c r="D93" s="39">
        <f>資料儲存!F73</f>
        <v>0</v>
      </c>
      <c r="E93" s="39">
        <f>資料儲存!G73</f>
        <v>0</v>
      </c>
      <c r="F93" s="39">
        <f>資料儲存!H73</f>
        <v>0</v>
      </c>
      <c r="G93" s="39">
        <f>資料儲存!I73</f>
        <v>0</v>
      </c>
      <c r="H93" s="39">
        <f>資料儲存!J73</f>
        <v>0</v>
      </c>
      <c r="I93" s="35"/>
      <c r="J93" s="38">
        <v>42</v>
      </c>
      <c r="K93" s="39">
        <f>資料儲存!D193</f>
        <v>0</v>
      </c>
      <c r="L93" s="39">
        <f>資料儲存!E193</f>
        <v>0</v>
      </c>
      <c r="M93" s="39">
        <f>資料儲存!F193</f>
        <v>0</v>
      </c>
      <c r="N93" s="39">
        <f>資料儲存!G193</f>
        <v>0</v>
      </c>
      <c r="O93" s="39">
        <f>資料儲存!H193</f>
        <v>0</v>
      </c>
      <c r="P93" s="39">
        <f>資料儲存!I193</f>
        <v>0</v>
      </c>
      <c r="Q93" s="39">
        <f>資料儲存!J193</f>
        <v>0</v>
      </c>
      <c r="R93" s="35"/>
      <c r="S93" s="38">
        <v>42</v>
      </c>
      <c r="T93" s="39">
        <f>資料儲存!D313</f>
        <v>0</v>
      </c>
      <c r="U93" s="39">
        <f>資料儲存!E313</f>
        <v>0</v>
      </c>
      <c r="V93" s="39">
        <f>資料儲存!F313</f>
        <v>0</v>
      </c>
      <c r="W93" s="39">
        <f>資料儲存!G313</f>
        <v>0</v>
      </c>
      <c r="X93" s="39">
        <f>資料儲存!H313</f>
        <v>0</v>
      </c>
      <c r="Y93" s="39">
        <f>資料儲存!I313</f>
        <v>0</v>
      </c>
      <c r="Z93" s="39">
        <f>資料儲存!J313</f>
        <v>0</v>
      </c>
      <c r="AA93" s="35"/>
      <c r="AB93" s="38">
        <v>42</v>
      </c>
      <c r="AC93" s="39">
        <f>資料儲存!D433</f>
        <v>0</v>
      </c>
      <c r="AD93" s="39">
        <f>資料儲存!E433</f>
        <v>0</v>
      </c>
      <c r="AE93" s="39">
        <f>資料儲存!F433</f>
        <v>0</v>
      </c>
      <c r="AF93" s="39">
        <f>資料儲存!G433</f>
        <v>0</v>
      </c>
      <c r="AG93" s="39">
        <f>資料儲存!H433</f>
        <v>0</v>
      </c>
      <c r="AH93" s="39">
        <f>資料儲存!I433</f>
        <v>0</v>
      </c>
      <c r="AI93" s="39">
        <f>資料儲存!J433</f>
        <v>0</v>
      </c>
      <c r="AJ93" s="13"/>
    </row>
    <row r="94" spans="1:36" ht="16" thickBot="1">
      <c r="A94" s="38">
        <v>43</v>
      </c>
      <c r="B94" s="39">
        <f>資料儲存!D74</f>
        <v>0</v>
      </c>
      <c r="C94" s="39">
        <f>資料儲存!E74</f>
        <v>0</v>
      </c>
      <c r="D94" s="39">
        <f>資料儲存!F74</f>
        <v>0</v>
      </c>
      <c r="E94" s="39">
        <f>資料儲存!G74</f>
        <v>0</v>
      </c>
      <c r="F94" s="39">
        <f>資料儲存!H74</f>
        <v>0</v>
      </c>
      <c r="G94" s="39">
        <f>資料儲存!I74</f>
        <v>0</v>
      </c>
      <c r="H94" s="39">
        <f>資料儲存!J74</f>
        <v>0</v>
      </c>
      <c r="I94" s="35"/>
      <c r="J94" s="38">
        <v>43</v>
      </c>
      <c r="K94" s="39">
        <f>資料儲存!D194</f>
        <v>0</v>
      </c>
      <c r="L94" s="39">
        <f>資料儲存!E194</f>
        <v>0</v>
      </c>
      <c r="M94" s="39">
        <f>資料儲存!F194</f>
        <v>0</v>
      </c>
      <c r="N94" s="39">
        <f>資料儲存!G194</f>
        <v>0</v>
      </c>
      <c r="O94" s="39">
        <f>資料儲存!H194</f>
        <v>0</v>
      </c>
      <c r="P94" s="39">
        <f>資料儲存!I194</f>
        <v>0</v>
      </c>
      <c r="Q94" s="39">
        <f>資料儲存!J194</f>
        <v>0</v>
      </c>
      <c r="R94" s="35"/>
      <c r="S94" s="38">
        <v>43</v>
      </c>
      <c r="T94" s="39">
        <f>資料儲存!D314</f>
        <v>0</v>
      </c>
      <c r="U94" s="39">
        <f>資料儲存!E314</f>
        <v>0</v>
      </c>
      <c r="V94" s="39">
        <f>資料儲存!F314</f>
        <v>0</v>
      </c>
      <c r="W94" s="39">
        <f>資料儲存!G314</f>
        <v>0</v>
      </c>
      <c r="X94" s="39">
        <f>資料儲存!H314</f>
        <v>0</v>
      </c>
      <c r="Y94" s="39">
        <f>資料儲存!I314</f>
        <v>0</v>
      </c>
      <c r="Z94" s="39">
        <f>資料儲存!J314</f>
        <v>0</v>
      </c>
      <c r="AA94" s="35"/>
      <c r="AB94" s="38">
        <v>43</v>
      </c>
      <c r="AC94" s="39">
        <f>資料儲存!D434</f>
        <v>0</v>
      </c>
      <c r="AD94" s="39">
        <f>資料儲存!E434</f>
        <v>0</v>
      </c>
      <c r="AE94" s="39">
        <f>資料儲存!F434</f>
        <v>0</v>
      </c>
      <c r="AF94" s="39">
        <f>資料儲存!G434</f>
        <v>0</v>
      </c>
      <c r="AG94" s="39">
        <f>資料儲存!H434</f>
        <v>0</v>
      </c>
      <c r="AH94" s="39">
        <f>資料儲存!I434</f>
        <v>0</v>
      </c>
      <c r="AI94" s="39">
        <f>資料儲存!J434</f>
        <v>0</v>
      </c>
      <c r="AJ94" s="13"/>
    </row>
    <row r="95" spans="1:36" ht="16" thickBot="1">
      <c r="A95" s="38">
        <v>44</v>
      </c>
      <c r="B95" s="39">
        <f>資料儲存!D75</f>
        <v>0</v>
      </c>
      <c r="C95" s="39">
        <f>資料儲存!E75</f>
        <v>0</v>
      </c>
      <c r="D95" s="39">
        <f>資料儲存!F75</f>
        <v>0</v>
      </c>
      <c r="E95" s="39">
        <f>資料儲存!G75</f>
        <v>0</v>
      </c>
      <c r="F95" s="39">
        <f>資料儲存!H75</f>
        <v>0</v>
      </c>
      <c r="G95" s="39">
        <f>資料儲存!I75</f>
        <v>0</v>
      </c>
      <c r="H95" s="39">
        <f>資料儲存!J75</f>
        <v>0</v>
      </c>
      <c r="I95" s="35"/>
      <c r="J95" s="38">
        <v>44</v>
      </c>
      <c r="K95" s="39">
        <f>資料儲存!D195</f>
        <v>0</v>
      </c>
      <c r="L95" s="39">
        <f>資料儲存!E195</f>
        <v>0</v>
      </c>
      <c r="M95" s="39">
        <f>資料儲存!F195</f>
        <v>0</v>
      </c>
      <c r="N95" s="39">
        <f>資料儲存!G195</f>
        <v>0</v>
      </c>
      <c r="O95" s="39">
        <f>資料儲存!H195</f>
        <v>0</v>
      </c>
      <c r="P95" s="39">
        <f>資料儲存!I195</f>
        <v>0</v>
      </c>
      <c r="Q95" s="39">
        <f>資料儲存!J195</f>
        <v>0</v>
      </c>
      <c r="R95" s="35"/>
      <c r="S95" s="38">
        <v>44</v>
      </c>
      <c r="T95" s="39">
        <f>資料儲存!D315</f>
        <v>0</v>
      </c>
      <c r="U95" s="39">
        <f>資料儲存!E315</f>
        <v>0</v>
      </c>
      <c r="V95" s="39">
        <f>資料儲存!F315</f>
        <v>0</v>
      </c>
      <c r="W95" s="39">
        <f>資料儲存!G315</f>
        <v>0</v>
      </c>
      <c r="X95" s="39">
        <f>資料儲存!H315</f>
        <v>0</v>
      </c>
      <c r="Y95" s="39">
        <f>資料儲存!I315</f>
        <v>0</v>
      </c>
      <c r="Z95" s="39">
        <f>資料儲存!J315</f>
        <v>0</v>
      </c>
      <c r="AA95" s="35"/>
      <c r="AB95" s="38">
        <v>44</v>
      </c>
      <c r="AC95" s="39">
        <f>資料儲存!D435</f>
        <v>0</v>
      </c>
      <c r="AD95" s="39">
        <f>資料儲存!E435</f>
        <v>0</v>
      </c>
      <c r="AE95" s="39">
        <f>資料儲存!F435</f>
        <v>0</v>
      </c>
      <c r="AF95" s="39">
        <f>資料儲存!G435</f>
        <v>0</v>
      </c>
      <c r="AG95" s="39">
        <f>資料儲存!H435</f>
        <v>0</v>
      </c>
      <c r="AH95" s="39">
        <f>資料儲存!I435</f>
        <v>0</v>
      </c>
      <c r="AI95" s="39">
        <f>資料儲存!J435</f>
        <v>0</v>
      </c>
      <c r="AJ95" s="13"/>
    </row>
    <row r="96" spans="1:36" ht="16" thickBot="1">
      <c r="A96" s="38">
        <v>45</v>
      </c>
      <c r="B96" s="39">
        <f>資料儲存!D76</f>
        <v>0</v>
      </c>
      <c r="C96" s="39">
        <f>資料儲存!E76</f>
        <v>0</v>
      </c>
      <c r="D96" s="39">
        <f>資料儲存!F76</f>
        <v>0</v>
      </c>
      <c r="E96" s="39">
        <f>資料儲存!G76</f>
        <v>0</v>
      </c>
      <c r="F96" s="39">
        <f>資料儲存!H76</f>
        <v>0</v>
      </c>
      <c r="G96" s="39">
        <f>資料儲存!I76</f>
        <v>0</v>
      </c>
      <c r="H96" s="39">
        <f>資料儲存!J76</f>
        <v>0</v>
      </c>
      <c r="I96" s="35"/>
      <c r="J96" s="38">
        <v>45</v>
      </c>
      <c r="K96" s="39">
        <f>資料儲存!D196</f>
        <v>0</v>
      </c>
      <c r="L96" s="39">
        <f>資料儲存!E196</f>
        <v>0</v>
      </c>
      <c r="M96" s="39">
        <f>資料儲存!F196</f>
        <v>0</v>
      </c>
      <c r="N96" s="39">
        <f>資料儲存!G196</f>
        <v>0</v>
      </c>
      <c r="O96" s="39">
        <f>資料儲存!H196</f>
        <v>0</v>
      </c>
      <c r="P96" s="39">
        <f>資料儲存!I196</f>
        <v>0</v>
      </c>
      <c r="Q96" s="39">
        <f>資料儲存!J196</f>
        <v>0</v>
      </c>
      <c r="R96" s="35"/>
      <c r="S96" s="38">
        <v>45</v>
      </c>
      <c r="T96" s="39">
        <f>資料儲存!D316</f>
        <v>0</v>
      </c>
      <c r="U96" s="39">
        <f>資料儲存!E316</f>
        <v>0</v>
      </c>
      <c r="V96" s="39">
        <f>資料儲存!F316</f>
        <v>0</v>
      </c>
      <c r="W96" s="39">
        <f>資料儲存!G316</f>
        <v>0</v>
      </c>
      <c r="X96" s="39">
        <f>資料儲存!H316</f>
        <v>0</v>
      </c>
      <c r="Y96" s="39">
        <f>資料儲存!I316</f>
        <v>0</v>
      </c>
      <c r="Z96" s="39">
        <f>資料儲存!J316</f>
        <v>0</v>
      </c>
      <c r="AA96" s="35"/>
      <c r="AB96" s="38">
        <v>45</v>
      </c>
      <c r="AC96" s="39">
        <f>資料儲存!D436</f>
        <v>0</v>
      </c>
      <c r="AD96" s="39">
        <f>資料儲存!E436</f>
        <v>0</v>
      </c>
      <c r="AE96" s="39">
        <f>資料儲存!F436</f>
        <v>0</v>
      </c>
      <c r="AF96" s="39">
        <f>資料儲存!G436</f>
        <v>0</v>
      </c>
      <c r="AG96" s="39">
        <f>資料儲存!H436</f>
        <v>0</v>
      </c>
      <c r="AH96" s="39">
        <f>資料儲存!I436</f>
        <v>0</v>
      </c>
      <c r="AI96" s="39">
        <f>資料儲存!J436</f>
        <v>0</v>
      </c>
      <c r="AJ96" s="13"/>
    </row>
    <row r="97" spans="1:36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13"/>
    </row>
    <row r="98" spans="1:36" ht="18.5" thickBot="1">
      <c r="A98" s="250" t="s">
        <v>61</v>
      </c>
      <c r="B98" s="251"/>
      <c r="C98" s="251"/>
      <c r="D98" s="251"/>
      <c r="E98" s="251"/>
      <c r="F98" s="251"/>
      <c r="G98" s="251"/>
      <c r="H98" s="252"/>
      <c r="I98" s="13"/>
      <c r="J98" s="250" t="s">
        <v>61</v>
      </c>
      <c r="K98" s="251"/>
      <c r="L98" s="251"/>
      <c r="M98" s="251"/>
      <c r="N98" s="251"/>
      <c r="O98" s="251"/>
      <c r="P98" s="251"/>
      <c r="Q98" s="252"/>
      <c r="R98" s="13"/>
      <c r="S98" s="250" t="s">
        <v>61</v>
      </c>
      <c r="T98" s="251"/>
      <c r="U98" s="251"/>
      <c r="V98" s="251"/>
      <c r="W98" s="251"/>
      <c r="X98" s="251"/>
      <c r="Y98" s="251"/>
      <c r="Z98" s="252"/>
      <c r="AA98" s="13"/>
      <c r="AB98" s="250" t="s">
        <v>61</v>
      </c>
      <c r="AC98" s="251"/>
      <c r="AD98" s="251"/>
      <c r="AE98" s="251"/>
      <c r="AF98" s="251"/>
      <c r="AG98" s="251"/>
      <c r="AH98" s="251"/>
      <c r="AI98" s="252"/>
      <c r="AJ98" s="13"/>
    </row>
    <row r="99" spans="1:36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</row>
    <row r="100" spans="1:36" ht="16" thickBot="1">
      <c r="A100" s="46" t="s">
        <v>62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 t="s">
        <v>62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 t="s">
        <v>62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 t="s">
        <v>62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</row>
    <row r="101" spans="1:36" ht="16" thickBot="1">
      <c r="A101" s="48">
        <v>46</v>
      </c>
      <c r="B101" s="49">
        <f>資料儲存!D77</f>
        <v>0</v>
      </c>
      <c r="C101" s="49">
        <f>資料儲存!E77</f>
        <v>0</v>
      </c>
      <c r="D101" s="49">
        <f>資料儲存!F77</f>
        <v>0</v>
      </c>
      <c r="E101" s="49">
        <f>資料儲存!G77</f>
        <v>0</v>
      </c>
      <c r="F101" s="49">
        <f>資料儲存!H77</f>
        <v>0</v>
      </c>
      <c r="G101" s="49">
        <f>資料儲存!I77</f>
        <v>0</v>
      </c>
      <c r="H101" s="49">
        <f>資料儲存!J77</f>
        <v>0</v>
      </c>
      <c r="I101" s="49"/>
      <c r="J101" s="48">
        <v>46</v>
      </c>
      <c r="K101" s="49">
        <f>資料儲存!D197</f>
        <v>0</v>
      </c>
      <c r="L101" s="49">
        <f>資料儲存!E197</f>
        <v>0</v>
      </c>
      <c r="M101" s="49">
        <f>資料儲存!F197</f>
        <v>0</v>
      </c>
      <c r="N101" s="49">
        <f>資料儲存!G197</f>
        <v>0</v>
      </c>
      <c r="O101" s="49">
        <f>資料儲存!H197</f>
        <v>0</v>
      </c>
      <c r="P101" s="49">
        <f>資料儲存!I197</f>
        <v>0</v>
      </c>
      <c r="Q101" s="49">
        <f>資料儲存!J197</f>
        <v>0</v>
      </c>
      <c r="R101" s="45"/>
      <c r="S101" s="48">
        <v>46</v>
      </c>
      <c r="T101" s="49">
        <f>資料儲存!D317</f>
        <v>0</v>
      </c>
      <c r="U101" s="49">
        <f>資料儲存!E317</f>
        <v>0</v>
      </c>
      <c r="V101" s="49">
        <f>資料儲存!F317</f>
        <v>0</v>
      </c>
      <c r="W101" s="49">
        <f>資料儲存!G317</f>
        <v>0</v>
      </c>
      <c r="X101" s="49">
        <f>資料儲存!H317</f>
        <v>0</v>
      </c>
      <c r="Y101" s="49">
        <f>資料儲存!I317</f>
        <v>0</v>
      </c>
      <c r="Z101" s="49">
        <f>資料儲存!J317</f>
        <v>0</v>
      </c>
      <c r="AA101" s="45"/>
      <c r="AB101" s="48">
        <v>46</v>
      </c>
      <c r="AC101" s="49">
        <f>資料儲存!D437</f>
        <v>0</v>
      </c>
      <c r="AD101" s="49">
        <f>資料儲存!E437</f>
        <v>0</v>
      </c>
      <c r="AE101" s="49">
        <f>資料儲存!F437</f>
        <v>0</v>
      </c>
      <c r="AF101" s="49">
        <f>資料儲存!G437</f>
        <v>0</v>
      </c>
      <c r="AG101" s="49">
        <f>資料儲存!H437</f>
        <v>0</v>
      </c>
      <c r="AH101" s="49">
        <f>資料儲存!I437</f>
        <v>0</v>
      </c>
      <c r="AI101" s="49">
        <f>資料儲存!J437</f>
        <v>0</v>
      </c>
      <c r="AJ101" s="13"/>
    </row>
    <row r="102" spans="1:36" ht="16" thickBot="1">
      <c r="A102" s="48">
        <v>47</v>
      </c>
      <c r="B102" s="49">
        <f>資料儲存!D78</f>
        <v>0</v>
      </c>
      <c r="C102" s="49">
        <f>資料儲存!E78</f>
        <v>0</v>
      </c>
      <c r="D102" s="49">
        <f>資料儲存!F78</f>
        <v>0</v>
      </c>
      <c r="E102" s="49">
        <f>資料儲存!G78</f>
        <v>0</v>
      </c>
      <c r="F102" s="49">
        <f>資料儲存!H78</f>
        <v>0</v>
      </c>
      <c r="G102" s="49">
        <f>資料儲存!I78</f>
        <v>0</v>
      </c>
      <c r="H102" s="49">
        <f>資料儲存!J78</f>
        <v>0</v>
      </c>
      <c r="I102" s="45"/>
      <c r="J102" s="48">
        <v>47</v>
      </c>
      <c r="K102" s="49">
        <f>資料儲存!D198</f>
        <v>0</v>
      </c>
      <c r="L102" s="49">
        <f>資料儲存!E198</f>
        <v>0</v>
      </c>
      <c r="M102" s="49">
        <f>資料儲存!F198</f>
        <v>0</v>
      </c>
      <c r="N102" s="49">
        <f>資料儲存!G198</f>
        <v>0</v>
      </c>
      <c r="O102" s="49">
        <f>資料儲存!H198</f>
        <v>0</v>
      </c>
      <c r="P102" s="49">
        <f>資料儲存!I198</f>
        <v>0</v>
      </c>
      <c r="Q102" s="49">
        <f>資料儲存!J198</f>
        <v>0</v>
      </c>
      <c r="R102" s="45"/>
      <c r="S102" s="48">
        <v>47</v>
      </c>
      <c r="T102" s="49">
        <f>資料儲存!D318</f>
        <v>0</v>
      </c>
      <c r="U102" s="49">
        <f>資料儲存!E318</f>
        <v>0</v>
      </c>
      <c r="V102" s="49">
        <f>資料儲存!F318</f>
        <v>0</v>
      </c>
      <c r="W102" s="49">
        <f>資料儲存!G318</f>
        <v>0</v>
      </c>
      <c r="X102" s="49">
        <f>資料儲存!H318</f>
        <v>0</v>
      </c>
      <c r="Y102" s="49">
        <f>資料儲存!I318</f>
        <v>0</v>
      </c>
      <c r="Z102" s="49">
        <f>資料儲存!J318</f>
        <v>0</v>
      </c>
      <c r="AA102" s="45"/>
      <c r="AB102" s="48">
        <v>47</v>
      </c>
      <c r="AC102" s="49">
        <f>資料儲存!D438</f>
        <v>0</v>
      </c>
      <c r="AD102" s="49">
        <f>資料儲存!E438</f>
        <v>0</v>
      </c>
      <c r="AE102" s="49">
        <f>資料儲存!F438</f>
        <v>0</v>
      </c>
      <c r="AF102" s="49">
        <f>資料儲存!G438</f>
        <v>0</v>
      </c>
      <c r="AG102" s="49">
        <f>資料儲存!H438</f>
        <v>0</v>
      </c>
      <c r="AH102" s="49">
        <f>資料儲存!I438</f>
        <v>0</v>
      </c>
      <c r="AI102" s="49">
        <f>資料儲存!J438</f>
        <v>0</v>
      </c>
      <c r="AJ102" s="13"/>
    </row>
    <row r="103" spans="1:36" ht="16" thickBot="1">
      <c r="A103" s="48">
        <v>48</v>
      </c>
      <c r="B103" s="49">
        <f>資料儲存!D79</f>
        <v>0</v>
      </c>
      <c r="C103" s="49">
        <f>資料儲存!E79</f>
        <v>0</v>
      </c>
      <c r="D103" s="49">
        <f>資料儲存!F79</f>
        <v>0</v>
      </c>
      <c r="E103" s="49">
        <f>資料儲存!G79</f>
        <v>0</v>
      </c>
      <c r="F103" s="49">
        <f>資料儲存!H79</f>
        <v>0</v>
      </c>
      <c r="G103" s="49">
        <f>資料儲存!I79</f>
        <v>0</v>
      </c>
      <c r="H103" s="49">
        <f>資料儲存!J79</f>
        <v>0</v>
      </c>
      <c r="I103" s="45"/>
      <c r="J103" s="48">
        <v>48</v>
      </c>
      <c r="K103" s="49">
        <f>資料儲存!D199</f>
        <v>0</v>
      </c>
      <c r="L103" s="49">
        <f>資料儲存!E199</f>
        <v>0</v>
      </c>
      <c r="M103" s="49">
        <f>資料儲存!F199</f>
        <v>0</v>
      </c>
      <c r="N103" s="49">
        <f>資料儲存!G199</f>
        <v>0</v>
      </c>
      <c r="O103" s="49">
        <f>資料儲存!H199</f>
        <v>0</v>
      </c>
      <c r="P103" s="49">
        <f>資料儲存!I199</f>
        <v>0</v>
      </c>
      <c r="Q103" s="49">
        <f>資料儲存!J199</f>
        <v>0</v>
      </c>
      <c r="R103" s="45"/>
      <c r="S103" s="48">
        <v>48</v>
      </c>
      <c r="T103" s="49">
        <f>資料儲存!D319</f>
        <v>0</v>
      </c>
      <c r="U103" s="49">
        <f>資料儲存!E319</f>
        <v>0</v>
      </c>
      <c r="V103" s="49">
        <f>資料儲存!F319</f>
        <v>0</v>
      </c>
      <c r="W103" s="49">
        <f>資料儲存!G319</f>
        <v>0</v>
      </c>
      <c r="X103" s="49">
        <f>資料儲存!H319</f>
        <v>0</v>
      </c>
      <c r="Y103" s="49">
        <f>資料儲存!I319</f>
        <v>0</v>
      </c>
      <c r="Z103" s="49">
        <f>資料儲存!J319</f>
        <v>0</v>
      </c>
      <c r="AA103" s="45"/>
      <c r="AB103" s="48">
        <v>48</v>
      </c>
      <c r="AC103" s="49">
        <f>資料儲存!D439</f>
        <v>0</v>
      </c>
      <c r="AD103" s="49">
        <f>資料儲存!E439</f>
        <v>0</v>
      </c>
      <c r="AE103" s="49">
        <f>資料儲存!F439</f>
        <v>0</v>
      </c>
      <c r="AF103" s="49">
        <f>資料儲存!G439</f>
        <v>0</v>
      </c>
      <c r="AG103" s="49">
        <f>資料儲存!H439</f>
        <v>0</v>
      </c>
      <c r="AH103" s="49">
        <f>資料儲存!I439</f>
        <v>0</v>
      </c>
      <c r="AI103" s="49">
        <f>資料儲存!J439</f>
        <v>0</v>
      </c>
      <c r="AJ103" s="13"/>
    </row>
    <row r="104" spans="1:36" ht="16" thickBot="1">
      <c r="A104" s="48">
        <v>49</v>
      </c>
      <c r="B104" s="49">
        <f>資料儲存!D80</f>
        <v>0</v>
      </c>
      <c r="C104" s="49">
        <f>資料儲存!E80</f>
        <v>0</v>
      </c>
      <c r="D104" s="49">
        <f>資料儲存!F80</f>
        <v>0</v>
      </c>
      <c r="E104" s="49">
        <f>資料儲存!G80</f>
        <v>0</v>
      </c>
      <c r="F104" s="49">
        <f>資料儲存!H80</f>
        <v>0</v>
      </c>
      <c r="G104" s="49">
        <f>資料儲存!I80</f>
        <v>0</v>
      </c>
      <c r="H104" s="49">
        <f>資料儲存!J80</f>
        <v>0</v>
      </c>
      <c r="I104" s="45"/>
      <c r="J104" s="48">
        <v>49</v>
      </c>
      <c r="K104" s="49">
        <f>資料儲存!D200</f>
        <v>0</v>
      </c>
      <c r="L104" s="49">
        <f>資料儲存!E200</f>
        <v>0</v>
      </c>
      <c r="M104" s="49">
        <f>資料儲存!F200</f>
        <v>0</v>
      </c>
      <c r="N104" s="49">
        <f>資料儲存!G200</f>
        <v>0</v>
      </c>
      <c r="O104" s="49">
        <f>資料儲存!H200</f>
        <v>0</v>
      </c>
      <c r="P104" s="49">
        <f>資料儲存!I200</f>
        <v>0</v>
      </c>
      <c r="Q104" s="49">
        <f>資料儲存!J200</f>
        <v>0</v>
      </c>
      <c r="R104" s="45"/>
      <c r="S104" s="48">
        <v>49</v>
      </c>
      <c r="T104" s="49">
        <f>資料儲存!D320</f>
        <v>0</v>
      </c>
      <c r="U104" s="49">
        <f>資料儲存!E320</f>
        <v>0</v>
      </c>
      <c r="V104" s="49">
        <f>資料儲存!F320</f>
        <v>0</v>
      </c>
      <c r="W104" s="49">
        <f>資料儲存!G320</f>
        <v>0</v>
      </c>
      <c r="X104" s="49">
        <f>資料儲存!H320</f>
        <v>0</v>
      </c>
      <c r="Y104" s="49">
        <f>資料儲存!I320</f>
        <v>0</v>
      </c>
      <c r="Z104" s="49">
        <f>資料儲存!J320</f>
        <v>0</v>
      </c>
      <c r="AA104" s="45"/>
      <c r="AB104" s="48">
        <v>49</v>
      </c>
      <c r="AC104" s="49">
        <f>資料儲存!D440</f>
        <v>0</v>
      </c>
      <c r="AD104" s="49">
        <f>資料儲存!E440</f>
        <v>0</v>
      </c>
      <c r="AE104" s="49">
        <f>資料儲存!F440</f>
        <v>0</v>
      </c>
      <c r="AF104" s="49">
        <f>資料儲存!G440</f>
        <v>0</v>
      </c>
      <c r="AG104" s="49">
        <f>資料儲存!H440</f>
        <v>0</v>
      </c>
      <c r="AH104" s="49">
        <f>資料儲存!I440</f>
        <v>0</v>
      </c>
      <c r="AI104" s="49">
        <f>資料儲存!J440</f>
        <v>0</v>
      </c>
      <c r="AJ104" s="13"/>
    </row>
    <row r="105" spans="1:36" ht="16" thickBot="1">
      <c r="A105" s="48">
        <v>50</v>
      </c>
      <c r="B105" s="49">
        <f>資料儲存!D81</f>
        <v>0</v>
      </c>
      <c r="C105" s="49">
        <f>資料儲存!E81</f>
        <v>0</v>
      </c>
      <c r="D105" s="49">
        <f>資料儲存!F81</f>
        <v>0</v>
      </c>
      <c r="E105" s="49">
        <f>資料儲存!G81</f>
        <v>0</v>
      </c>
      <c r="F105" s="49">
        <f>資料儲存!H81</f>
        <v>0</v>
      </c>
      <c r="G105" s="49">
        <f>資料儲存!I81</f>
        <v>0</v>
      </c>
      <c r="H105" s="49">
        <f>資料儲存!J81</f>
        <v>0</v>
      </c>
      <c r="I105" s="45"/>
      <c r="J105" s="48">
        <v>50</v>
      </c>
      <c r="K105" s="49">
        <f>資料儲存!D201</f>
        <v>0</v>
      </c>
      <c r="L105" s="49">
        <f>資料儲存!E201</f>
        <v>0</v>
      </c>
      <c r="M105" s="49">
        <f>資料儲存!F201</f>
        <v>0</v>
      </c>
      <c r="N105" s="49">
        <f>資料儲存!G201</f>
        <v>0</v>
      </c>
      <c r="O105" s="49">
        <f>資料儲存!H201</f>
        <v>0</v>
      </c>
      <c r="P105" s="49">
        <f>資料儲存!I201</f>
        <v>0</v>
      </c>
      <c r="Q105" s="49">
        <f>資料儲存!J201</f>
        <v>0</v>
      </c>
      <c r="R105" s="45"/>
      <c r="S105" s="48">
        <v>50</v>
      </c>
      <c r="T105" s="49">
        <f>資料儲存!D321</f>
        <v>0</v>
      </c>
      <c r="U105" s="49">
        <f>資料儲存!E321</f>
        <v>0</v>
      </c>
      <c r="V105" s="49">
        <f>資料儲存!F321</f>
        <v>0</v>
      </c>
      <c r="W105" s="49">
        <f>資料儲存!G321</f>
        <v>0</v>
      </c>
      <c r="X105" s="49">
        <f>資料儲存!H321</f>
        <v>0</v>
      </c>
      <c r="Y105" s="49">
        <f>資料儲存!I321</f>
        <v>0</v>
      </c>
      <c r="Z105" s="49">
        <f>資料儲存!J321</f>
        <v>0</v>
      </c>
      <c r="AA105" s="45"/>
      <c r="AB105" s="48">
        <v>50</v>
      </c>
      <c r="AC105" s="49">
        <f>資料儲存!D441</f>
        <v>0</v>
      </c>
      <c r="AD105" s="49">
        <f>資料儲存!E441</f>
        <v>0</v>
      </c>
      <c r="AE105" s="49">
        <f>資料儲存!F441</f>
        <v>0</v>
      </c>
      <c r="AF105" s="49">
        <f>資料儲存!G441</f>
        <v>0</v>
      </c>
      <c r="AG105" s="49">
        <f>資料儲存!H441</f>
        <v>0</v>
      </c>
      <c r="AH105" s="49">
        <f>資料儲存!I441</f>
        <v>0</v>
      </c>
      <c r="AI105" s="49">
        <f>資料儲存!J441</f>
        <v>0</v>
      </c>
      <c r="AJ105" s="13"/>
    </row>
    <row r="106" spans="1:36" ht="16" thickBot="1">
      <c r="A106" s="48">
        <v>51</v>
      </c>
      <c r="B106" s="49">
        <f>資料儲存!D82</f>
        <v>0</v>
      </c>
      <c r="C106" s="49">
        <f>資料儲存!E82</f>
        <v>0</v>
      </c>
      <c r="D106" s="49">
        <f>資料儲存!F82</f>
        <v>0</v>
      </c>
      <c r="E106" s="49">
        <f>資料儲存!G82</f>
        <v>0</v>
      </c>
      <c r="F106" s="49">
        <f>資料儲存!H82</f>
        <v>0</v>
      </c>
      <c r="G106" s="49">
        <f>資料儲存!I82</f>
        <v>0</v>
      </c>
      <c r="H106" s="49">
        <f>資料儲存!J82</f>
        <v>0</v>
      </c>
      <c r="I106" s="45"/>
      <c r="J106" s="48">
        <v>51</v>
      </c>
      <c r="K106" s="49">
        <f>資料儲存!D202</f>
        <v>0</v>
      </c>
      <c r="L106" s="49">
        <f>資料儲存!E202</f>
        <v>0</v>
      </c>
      <c r="M106" s="49">
        <f>資料儲存!F202</f>
        <v>0</v>
      </c>
      <c r="N106" s="49">
        <f>資料儲存!G202</f>
        <v>0</v>
      </c>
      <c r="O106" s="49">
        <f>資料儲存!H202</f>
        <v>0</v>
      </c>
      <c r="P106" s="49">
        <f>資料儲存!I202</f>
        <v>0</v>
      </c>
      <c r="Q106" s="49">
        <f>資料儲存!J202</f>
        <v>0</v>
      </c>
      <c r="R106" s="45"/>
      <c r="S106" s="48">
        <v>51</v>
      </c>
      <c r="T106" s="49">
        <f>資料儲存!D322</f>
        <v>0</v>
      </c>
      <c r="U106" s="49">
        <f>資料儲存!E322</f>
        <v>0</v>
      </c>
      <c r="V106" s="49">
        <f>資料儲存!F322</f>
        <v>0</v>
      </c>
      <c r="W106" s="49">
        <f>資料儲存!G322</f>
        <v>0</v>
      </c>
      <c r="X106" s="49">
        <f>資料儲存!H322</f>
        <v>0</v>
      </c>
      <c r="Y106" s="49">
        <f>資料儲存!I322</f>
        <v>0</v>
      </c>
      <c r="Z106" s="49">
        <f>資料儲存!J322</f>
        <v>0</v>
      </c>
      <c r="AA106" s="45"/>
      <c r="AB106" s="48">
        <v>51</v>
      </c>
      <c r="AC106" s="49">
        <f>資料儲存!D442</f>
        <v>0</v>
      </c>
      <c r="AD106" s="49">
        <f>資料儲存!E442</f>
        <v>0</v>
      </c>
      <c r="AE106" s="49">
        <f>資料儲存!F442</f>
        <v>0</v>
      </c>
      <c r="AF106" s="49">
        <f>資料儲存!G442</f>
        <v>0</v>
      </c>
      <c r="AG106" s="49">
        <f>資料儲存!H442</f>
        <v>0</v>
      </c>
      <c r="AH106" s="49">
        <f>資料儲存!I442</f>
        <v>0</v>
      </c>
      <c r="AI106" s="49">
        <f>資料儲存!J442</f>
        <v>0</v>
      </c>
      <c r="AJ106" s="13"/>
    </row>
    <row r="107" spans="1:36" ht="16" thickBot="1">
      <c r="A107" s="48">
        <v>52</v>
      </c>
      <c r="B107" s="49">
        <f>資料儲存!D83</f>
        <v>0</v>
      </c>
      <c r="C107" s="49">
        <f>資料儲存!E83</f>
        <v>0</v>
      </c>
      <c r="D107" s="49">
        <f>資料儲存!F83</f>
        <v>0</v>
      </c>
      <c r="E107" s="49">
        <f>資料儲存!G83</f>
        <v>0</v>
      </c>
      <c r="F107" s="49">
        <f>資料儲存!H83</f>
        <v>0</v>
      </c>
      <c r="G107" s="49">
        <f>資料儲存!I83</f>
        <v>0</v>
      </c>
      <c r="H107" s="49">
        <f>資料儲存!J83</f>
        <v>0</v>
      </c>
      <c r="I107" s="45"/>
      <c r="J107" s="48">
        <v>52</v>
      </c>
      <c r="K107" s="49">
        <f>資料儲存!D203</f>
        <v>0</v>
      </c>
      <c r="L107" s="49">
        <f>資料儲存!E203</f>
        <v>0</v>
      </c>
      <c r="M107" s="49">
        <f>資料儲存!F203</f>
        <v>0</v>
      </c>
      <c r="N107" s="49">
        <f>資料儲存!G203</f>
        <v>0</v>
      </c>
      <c r="O107" s="49">
        <f>資料儲存!H203</f>
        <v>0</v>
      </c>
      <c r="P107" s="49">
        <f>資料儲存!I203</f>
        <v>0</v>
      </c>
      <c r="Q107" s="49">
        <f>資料儲存!J203</f>
        <v>0</v>
      </c>
      <c r="R107" s="45"/>
      <c r="S107" s="48">
        <v>52</v>
      </c>
      <c r="T107" s="49">
        <f>資料儲存!D323</f>
        <v>0</v>
      </c>
      <c r="U107" s="49">
        <f>資料儲存!E323</f>
        <v>0</v>
      </c>
      <c r="V107" s="49">
        <f>資料儲存!F323</f>
        <v>0</v>
      </c>
      <c r="W107" s="49">
        <f>資料儲存!G323</f>
        <v>0</v>
      </c>
      <c r="X107" s="49">
        <f>資料儲存!H323</f>
        <v>0</v>
      </c>
      <c r="Y107" s="49">
        <f>資料儲存!I323</f>
        <v>0</v>
      </c>
      <c r="Z107" s="49">
        <f>資料儲存!J323</f>
        <v>0</v>
      </c>
      <c r="AA107" s="45"/>
      <c r="AB107" s="48">
        <v>52</v>
      </c>
      <c r="AC107" s="49">
        <f>資料儲存!D443</f>
        <v>0</v>
      </c>
      <c r="AD107" s="49">
        <f>資料儲存!E443</f>
        <v>0</v>
      </c>
      <c r="AE107" s="49">
        <f>資料儲存!F443</f>
        <v>0</v>
      </c>
      <c r="AF107" s="49">
        <f>資料儲存!G443</f>
        <v>0</v>
      </c>
      <c r="AG107" s="49">
        <f>資料儲存!H443</f>
        <v>0</v>
      </c>
      <c r="AH107" s="49">
        <f>資料儲存!I443</f>
        <v>0</v>
      </c>
      <c r="AI107" s="49">
        <f>資料儲存!J443</f>
        <v>0</v>
      </c>
      <c r="AJ107" s="13"/>
    </row>
    <row r="108" spans="1:36" ht="16" thickBot="1">
      <c r="A108" s="48">
        <v>53</v>
      </c>
      <c r="B108" s="49">
        <f>資料儲存!D84</f>
        <v>0</v>
      </c>
      <c r="C108" s="49">
        <f>資料儲存!E84</f>
        <v>0</v>
      </c>
      <c r="D108" s="49">
        <f>資料儲存!F84</f>
        <v>0</v>
      </c>
      <c r="E108" s="49">
        <f>資料儲存!G84</f>
        <v>0</v>
      </c>
      <c r="F108" s="49">
        <f>資料儲存!H84</f>
        <v>0</v>
      </c>
      <c r="G108" s="49">
        <f>資料儲存!I84</f>
        <v>0</v>
      </c>
      <c r="H108" s="49">
        <f>資料儲存!J84</f>
        <v>0</v>
      </c>
      <c r="I108" s="45"/>
      <c r="J108" s="48">
        <v>53</v>
      </c>
      <c r="K108" s="49">
        <f>資料儲存!D204</f>
        <v>0</v>
      </c>
      <c r="L108" s="49">
        <f>資料儲存!E204</f>
        <v>0</v>
      </c>
      <c r="M108" s="49">
        <f>資料儲存!F204</f>
        <v>0</v>
      </c>
      <c r="N108" s="49">
        <f>資料儲存!G204</f>
        <v>0</v>
      </c>
      <c r="O108" s="49">
        <f>資料儲存!H204</f>
        <v>0</v>
      </c>
      <c r="P108" s="49">
        <f>資料儲存!I204</f>
        <v>0</v>
      </c>
      <c r="Q108" s="49">
        <f>資料儲存!J204</f>
        <v>0</v>
      </c>
      <c r="R108" s="45"/>
      <c r="S108" s="48">
        <v>53</v>
      </c>
      <c r="T108" s="49">
        <f>資料儲存!D324</f>
        <v>0</v>
      </c>
      <c r="U108" s="49">
        <f>資料儲存!E324</f>
        <v>0</v>
      </c>
      <c r="V108" s="49">
        <f>資料儲存!F324</f>
        <v>0</v>
      </c>
      <c r="W108" s="49">
        <f>資料儲存!G324</f>
        <v>0</v>
      </c>
      <c r="X108" s="49">
        <f>資料儲存!H324</f>
        <v>0</v>
      </c>
      <c r="Y108" s="49">
        <f>資料儲存!I324</f>
        <v>0</v>
      </c>
      <c r="Z108" s="49">
        <f>資料儲存!J324</f>
        <v>0</v>
      </c>
      <c r="AA108" s="45"/>
      <c r="AB108" s="48">
        <v>53</v>
      </c>
      <c r="AC108" s="49">
        <f>資料儲存!D444</f>
        <v>0</v>
      </c>
      <c r="AD108" s="49">
        <f>資料儲存!E444</f>
        <v>0</v>
      </c>
      <c r="AE108" s="49">
        <f>資料儲存!F444</f>
        <v>0</v>
      </c>
      <c r="AF108" s="49">
        <f>資料儲存!G444</f>
        <v>0</v>
      </c>
      <c r="AG108" s="49">
        <f>資料儲存!H444</f>
        <v>0</v>
      </c>
      <c r="AH108" s="49">
        <f>資料儲存!I444</f>
        <v>0</v>
      </c>
      <c r="AI108" s="49">
        <f>資料儲存!J444</f>
        <v>0</v>
      </c>
      <c r="AJ108" s="13"/>
    </row>
    <row r="109" spans="1:36" ht="16" thickBot="1">
      <c r="A109" s="48">
        <v>54</v>
      </c>
      <c r="B109" s="49">
        <f>資料儲存!D85</f>
        <v>0</v>
      </c>
      <c r="C109" s="49">
        <f>資料儲存!E85</f>
        <v>0</v>
      </c>
      <c r="D109" s="49">
        <f>資料儲存!F85</f>
        <v>0</v>
      </c>
      <c r="E109" s="49">
        <f>資料儲存!G85</f>
        <v>0</v>
      </c>
      <c r="F109" s="49">
        <f>資料儲存!H85</f>
        <v>0</v>
      </c>
      <c r="G109" s="49">
        <f>資料儲存!I85</f>
        <v>0</v>
      </c>
      <c r="H109" s="49">
        <f>資料儲存!J85</f>
        <v>0</v>
      </c>
      <c r="I109" s="45"/>
      <c r="J109" s="48">
        <v>54</v>
      </c>
      <c r="K109" s="49">
        <f>資料儲存!D205</f>
        <v>0</v>
      </c>
      <c r="L109" s="49">
        <f>資料儲存!E205</f>
        <v>0</v>
      </c>
      <c r="M109" s="49">
        <f>資料儲存!F205</f>
        <v>0</v>
      </c>
      <c r="N109" s="49">
        <f>資料儲存!G205</f>
        <v>0</v>
      </c>
      <c r="O109" s="49">
        <f>資料儲存!H205</f>
        <v>0</v>
      </c>
      <c r="P109" s="49">
        <f>資料儲存!I205</f>
        <v>0</v>
      </c>
      <c r="Q109" s="49">
        <f>資料儲存!J205</f>
        <v>0</v>
      </c>
      <c r="R109" s="45"/>
      <c r="S109" s="48">
        <v>54</v>
      </c>
      <c r="T109" s="49">
        <f>資料儲存!D325</f>
        <v>0</v>
      </c>
      <c r="U109" s="49">
        <f>資料儲存!E325</f>
        <v>0</v>
      </c>
      <c r="V109" s="49">
        <f>資料儲存!F325</f>
        <v>0</v>
      </c>
      <c r="W109" s="49">
        <f>資料儲存!G325</f>
        <v>0</v>
      </c>
      <c r="X109" s="49">
        <f>資料儲存!H325</f>
        <v>0</v>
      </c>
      <c r="Y109" s="49">
        <f>資料儲存!I325</f>
        <v>0</v>
      </c>
      <c r="Z109" s="49">
        <f>資料儲存!J325</f>
        <v>0</v>
      </c>
      <c r="AA109" s="45"/>
      <c r="AB109" s="48">
        <v>54</v>
      </c>
      <c r="AC109" s="49">
        <f>資料儲存!D445</f>
        <v>0</v>
      </c>
      <c r="AD109" s="49">
        <f>資料儲存!E445</f>
        <v>0</v>
      </c>
      <c r="AE109" s="49">
        <f>資料儲存!F445</f>
        <v>0</v>
      </c>
      <c r="AF109" s="49">
        <f>資料儲存!G445</f>
        <v>0</v>
      </c>
      <c r="AG109" s="49">
        <f>資料儲存!H445</f>
        <v>0</v>
      </c>
      <c r="AH109" s="49">
        <f>資料儲存!I445</f>
        <v>0</v>
      </c>
      <c r="AI109" s="49">
        <f>資料儲存!J445</f>
        <v>0</v>
      </c>
      <c r="AJ109" s="13"/>
    </row>
    <row r="110" spans="1:36" ht="16" thickBot="1">
      <c r="A110" s="48">
        <v>55</v>
      </c>
      <c r="B110" s="49">
        <f>資料儲存!D86</f>
        <v>0</v>
      </c>
      <c r="C110" s="49">
        <f>資料儲存!E86</f>
        <v>0</v>
      </c>
      <c r="D110" s="49">
        <f>資料儲存!F86</f>
        <v>0</v>
      </c>
      <c r="E110" s="49">
        <f>資料儲存!G86</f>
        <v>0</v>
      </c>
      <c r="F110" s="49">
        <f>資料儲存!H86</f>
        <v>0</v>
      </c>
      <c r="G110" s="49">
        <f>資料儲存!I86</f>
        <v>0</v>
      </c>
      <c r="H110" s="49">
        <f>資料儲存!J86</f>
        <v>0</v>
      </c>
      <c r="I110" s="45"/>
      <c r="J110" s="48">
        <v>55</v>
      </c>
      <c r="K110" s="49">
        <f>資料儲存!D206</f>
        <v>0</v>
      </c>
      <c r="L110" s="49">
        <f>資料儲存!E206</f>
        <v>0</v>
      </c>
      <c r="M110" s="49">
        <f>資料儲存!F206</f>
        <v>0</v>
      </c>
      <c r="N110" s="49">
        <f>資料儲存!G206</f>
        <v>0</v>
      </c>
      <c r="O110" s="49">
        <f>資料儲存!H206</f>
        <v>0</v>
      </c>
      <c r="P110" s="49">
        <f>資料儲存!I206</f>
        <v>0</v>
      </c>
      <c r="Q110" s="49">
        <f>資料儲存!J206</f>
        <v>0</v>
      </c>
      <c r="R110" s="45"/>
      <c r="S110" s="48">
        <v>55</v>
      </c>
      <c r="T110" s="49">
        <f>資料儲存!D326</f>
        <v>0</v>
      </c>
      <c r="U110" s="49">
        <f>資料儲存!E326</f>
        <v>0</v>
      </c>
      <c r="V110" s="49">
        <f>資料儲存!F326</f>
        <v>0</v>
      </c>
      <c r="W110" s="49">
        <f>資料儲存!G326</f>
        <v>0</v>
      </c>
      <c r="X110" s="49">
        <f>資料儲存!H326</f>
        <v>0</v>
      </c>
      <c r="Y110" s="49">
        <f>資料儲存!I326</f>
        <v>0</v>
      </c>
      <c r="Z110" s="49">
        <f>資料儲存!J326</f>
        <v>0</v>
      </c>
      <c r="AA110" s="45"/>
      <c r="AB110" s="48">
        <v>55</v>
      </c>
      <c r="AC110" s="49">
        <f>資料儲存!D446</f>
        <v>0</v>
      </c>
      <c r="AD110" s="49">
        <f>資料儲存!E446</f>
        <v>0</v>
      </c>
      <c r="AE110" s="49">
        <f>資料儲存!F446</f>
        <v>0</v>
      </c>
      <c r="AF110" s="49">
        <f>資料儲存!G446</f>
        <v>0</v>
      </c>
      <c r="AG110" s="49">
        <f>資料儲存!H446</f>
        <v>0</v>
      </c>
      <c r="AH110" s="49">
        <f>資料儲存!I446</f>
        <v>0</v>
      </c>
      <c r="AI110" s="49">
        <f>資料儲存!J446</f>
        <v>0</v>
      </c>
      <c r="AJ110" s="13"/>
    </row>
    <row r="111" spans="1:36" ht="16" thickBot="1">
      <c r="A111" s="48">
        <v>56</v>
      </c>
      <c r="B111" s="49">
        <f>資料儲存!D87</f>
        <v>0</v>
      </c>
      <c r="C111" s="49">
        <f>資料儲存!E87</f>
        <v>0</v>
      </c>
      <c r="D111" s="49">
        <f>資料儲存!F87</f>
        <v>0</v>
      </c>
      <c r="E111" s="49">
        <f>資料儲存!G87</f>
        <v>0</v>
      </c>
      <c r="F111" s="49">
        <f>資料儲存!H87</f>
        <v>0</v>
      </c>
      <c r="G111" s="49">
        <f>資料儲存!I87</f>
        <v>0</v>
      </c>
      <c r="H111" s="49">
        <f>資料儲存!J87</f>
        <v>0</v>
      </c>
      <c r="I111" s="45"/>
      <c r="J111" s="48">
        <v>56</v>
      </c>
      <c r="K111" s="49">
        <f>資料儲存!D207</f>
        <v>0</v>
      </c>
      <c r="L111" s="49">
        <f>資料儲存!E207</f>
        <v>0</v>
      </c>
      <c r="M111" s="49">
        <f>資料儲存!F207</f>
        <v>0</v>
      </c>
      <c r="N111" s="49">
        <f>資料儲存!G207</f>
        <v>0</v>
      </c>
      <c r="O111" s="49">
        <f>資料儲存!H207</f>
        <v>0</v>
      </c>
      <c r="P111" s="49">
        <f>資料儲存!I207</f>
        <v>0</v>
      </c>
      <c r="Q111" s="49">
        <f>資料儲存!J207</f>
        <v>0</v>
      </c>
      <c r="R111" s="45"/>
      <c r="S111" s="48">
        <v>56</v>
      </c>
      <c r="T111" s="49">
        <f>資料儲存!D327</f>
        <v>0</v>
      </c>
      <c r="U111" s="49">
        <f>資料儲存!E327</f>
        <v>0</v>
      </c>
      <c r="V111" s="49">
        <f>資料儲存!F327</f>
        <v>0</v>
      </c>
      <c r="W111" s="49">
        <f>資料儲存!G327</f>
        <v>0</v>
      </c>
      <c r="X111" s="49">
        <f>資料儲存!H327</f>
        <v>0</v>
      </c>
      <c r="Y111" s="49">
        <f>資料儲存!I327</f>
        <v>0</v>
      </c>
      <c r="Z111" s="49">
        <f>資料儲存!J327</f>
        <v>0</v>
      </c>
      <c r="AA111" s="45"/>
      <c r="AB111" s="48">
        <v>56</v>
      </c>
      <c r="AC111" s="49">
        <f>資料儲存!D447</f>
        <v>0</v>
      </c>
      <c r="AD111" s="49">
        <f>資料儲存!E447</f>
        <v>0</v>
      </c>
      <c r="AE111" s="49">
        <f>資料儲存!F447</f>
        <v>0</v>
      </c>
      <c r="AF111" s="49">
        <f>資料儲存!G447</f>
        <v>0</v>
      </c>
      <c r="AG111" s="49">
        <f>資料儲存!H447</f>
        <v>0</v>
      </c>
      <c r="AH111" s="49">
        <f>資料儲存!I447</f>
        <v>0</v>
      </c>
      <c r="AI111" s="49">
        <f>資料儲存!J447</f>
        <v>0</v>
      </c>
      <c r="AJ111" s="13"/>
    </row>
    <row r="112" spans="1:36" ht="16" thickBot="1">
      <c r="A112" s="48">
        <v>57</v>
      </c>
      <c r="B112" s="49">
        <f>資料儲存!D88</f>
        <v>0</v>
      </c>
      <c r="C112" s="49">
        <f>資料儲存!E88</f>
        <v>0</v>
      </c>
      <c r="D112" s="49">
        <f>資料儲存!F88</f>
        <v>0</v>
      </c>
      <c r="E112" s="49">
        <f>資料儲存!G88</f>
        <v>0</v>
      </c>
      <c r="F112" s="49">
        <f>資料儲存!H88</f>
        <v>0</v>
      </c>
      <c r="G112" s="49">
        <f>資料儲存!I88</f>
        <v>0</v>
      </c>
      <c r="H112" s="49">
        <f>資料儲存!J88</f>
        <v>0</v>
      </c>
      <c r="I112" s="45"/>
      <c r="J112" s="48">
        <v>57</v>
      </c>
      <c r="K112" s="49">
        <f>資料儲存!D208</f>
        <v>0</v>
      </c>
      <c r="L112" s="49">
        <f>資料儲存!E208</f>
        <v>0</v>
      </c>
      <c r="M112" s="49">
        <f>資料儲存!F208</f>
        <v>0</v>
      </c>
      <c r="N112" s="49">
        <f>資料儲存!G208</f>
        <v>0</v>
      </c>
      <c r="O112" s="49">
        <f>資料儲存!H208</f>
        <v>0</v>
      </c>
      <c r="P112" s="49">
        <f>資料儲存!I208</f>
        <v>0</v>
      </c>
      <c r="Q112" s="49">
        <f>資料儲存!J208</f>
        <v>0</v>
      </c>
      <c r="R112" s="45"/>
      <c r="S112" s="48">
        <v>57</v>
      </c>
      <c r="T112" s="49">
        <f>資料儲存!D328</f>
        <v>0</v>
      </c>
      <c r="U112" s="49">
        <f>資料儲存!E328</f>
        <v>0</v>
      </c>
      <c r="V112" s="49">
        <f>資料儲存!F328</f>
        <v>0</v>
      </c>
      <c r="W112" s="49">
        <f>資料儲存!G328</f>
        <v>0</v>
      </c>
      <c r="X112" s="49">
        <f>資料儲存!H328</f>
        <v>0</v>
      </c>
      <c r="Y112" s="49">
        <f>資料儲存!I328</f>
        <v>0</v>
      </c>
      <c r="Z112" s="49">
        <f>資料儲存!J328</f>
        <v>0</v>
      </c>
      <c r="AA112" s="45"/>
      <c r="AB112" s="48">
        <v>57</v>
      </c>
      <c r="AC112" s="49">
        <f>資料儲存!D448</f>
        <v>0</v>
      </c>
      <c r="AD112" s="49">
        <f>資料儲存!E448</f>
        <v>0</v>
      </c>
      <c r="AE112" s="49">
        <f>資料儲存!F448</f>
        <v>0</v>
      </c>
      <c r="AF112" s="49">
        <f>資料儲存!G448</f>
        <v>0</v>
      </c>
      <c r="AG112" s="49">
        <f>資料儲存!H448</f>
        <v>0</v>
      </c>
      <c r="AH112" s="49">
        <f>資料儲存!I448</f>
        <v>0</v>
      </c>
      <c r="AI112" s="49">
        <f>資料儲存!J448</f>
        <v>0</v>
      </c>
      <c r="AJ112" s="13"/>
    </row>
    <row r="113" spans="1:36" ht="16" thickBot="1">
      <c r="A113" s="48">
        <v>58</v>
      </c>
      <c r="B113" s="49">
        <f>資料儲存!D89</f>
        <v>0</v>
      </c>
      <c r="C113" s="49">
        <f>資料儲存!E89</f>
        <v>0</v>
      </c>
      <c r="D113" s="49">
        <f>資料儲存!F89</f>
        <v>0</v>
      </c>
      <c r="E113" s="49">
        <f>資料儲存!G89</f>
        <v>0</v>
      </c>
      <c r="F113" s="49">
        <f>資料儲存!H89</f>
        <v>0</v>
      </c>
      <c r="G113" s="49">
        <f>資料儲存!I89</f>
        <v>0</v>
      </c>
      <c r="H113" s="49">
        <f>資料儲存!J89</f>
        <v>0</v>
      </c>
      <c r="I113" s="45"/>
      <c r="J113" s="48">
        <v>58</v>
      </c>
      <c r="K113" s="49">
        <f>資料儲存!D209</f>
        <v>0</v>
      </c>
      <c r="L113" s="49">
        <f>資料儲存!E209</f>
        <v>0</v>
      </c>
      <c r="M113" s="49">
        <f>資料儲存!F209</f>
        <v>0</v>
      </c>
      <c r="N113" s="49">
        <f>資料儲存!G209</f>
        <v>0</v>
      </c>
      <c r="O113" s="49">
        <f>資料儲存!H209</f>
        <v>0</v>
      </c>
      <c r="P113" s="49">
        <f>資料儲存!I209</f>
        <v>0</v>
      </c>
      <c r="Q113" s="49">
        <f>資料儲存!J209</f>
        <v>0</v>
      </c>
      <c r="R113" s="45"/>
      <c r="S113" s="48">
        <v>58</v>
      </c>
      <c r="T113" s="49">
        <f>資料儲存!D329</f>
        <v>0</v>
      </c>
      <c r="U113" s="49">
        <f>資料儲存!E329</f>
        <v>0</v>
      </c>
      <c r="V113" s="49">
        <f>資料儲存!F329</f>
        <v>0</v>
      </c>
      <c r="W113" s="49">
        <f>資料儲存!G329</f>
        <v>0</v>
      </c>
      <c r="X113" s="49">
        <f>資料儲存!H329</f>
        <v>0</v>
      </c>
      <c r="Y113" s="49">
        <f>資料儲存!I329</f>
        <v>0</v>
      </c>
      <c r="Z113" s="49">
        <f>資料儲存!J329</f>
        <v>0</v>
      </c>
      <c r="AA113" s="45"/>
      <c r="AB113" s="48">
        <v>58</v>
      </c>
      <c r="AC113" s="49">
        <f>資料儲存!D449</f>
        <v>0</v>
      </c>
      <c r="AD113" s="49">
        <f>資料儲存!E449</f>
        <v>0</v>
      </c>
      <c r="AE113" s="49">
        <f>資料儲存!F449</f>
        <v>0</v>
      </c>
      <c r="AF113" s="49">
        <f>資料儲存!G449</f>
        <v>0</v>
      </c>
      <c r="AG113" s="49">
        <f>資料儲存!H449</f>
        <v>0</v>
      </c>
      <c r="AH113" s="49">
        <f>資料儲存!I449</f>
        <v>0</v>
      </c>
      <c r="AI113" s="49">
        <f>資料儲存!J449</f>
        <v>0</v>
      </c>
      <c r="AJ113" s="13"/>
    </row>
    <row r="114" spans="1:36" ht="16" thickBot="1">
      <c r="A114" s="48">
        <v>59</v>
      </c>
      <c r="B114" s="49">
        <f>資料儲存!D90</f>
        <v>0</v>
      </c>
      <c r="C114" s="49">
        <f>資料儲存!E90</f>
        <v>0</v>
      </c>
      <c r="D114" s="49">
        <f>資料儲存!F90</f>
        <v>0</v>
      </c>
      <c r="E114" s="49">
        <f>資料儲存!G90</f>
        <v>0</v>
      </c>
      <c r="F114" s="49">
        <f>資料儲存!H90</f>
        <v>0</v>
      </c>
      <c r="G114" s="49">
        <f>資料儲存!I90</f>
        <v>0</v>
      </c>
      <c r="H114" s="49">
        <f>資料儲存!J90</f>
        <v>0</v>
      </c>
      <c r="I114" s="45"/>
      <c r="J114" s="48">
        <v>59</v>
      </c>
      <c r="K114" s="49">
        <f>資料儲存!D210</f>
        <v>0</v>
      </c>
      <c r="L114" s="49">
        <f>資料儲存!E210</f>
        <v>0</v>
      </c>
      <c r="M114" s="49">
        <f>資料儲存!F210</f>
        <v>0</v>
      </c>
      <c r="N114" s="49">
        <f>資料儲存!G210</f>
        <v>0</v>
      </c>
      <c r="O114" s="49">
        <f>資料儲存!H210</f>
        <v>0</v>
      </c>
      <c r="P114" s="49">
        <f>資料儲存!I210</f>
        <v>0</v>
      </c>
      <c r="Q114" s="49">
        <f>資料儲存!J210</f>
        <v>0</v>
      </c>
      <c r="R114" s="45"/>
      <c r="S114" s="48">
        <v>59</v>
      </c>
      <c r="T114" s="49">
        <f>資料儲存!D330</f>
        <v>0</v>
      </c>
      <c r="U114" s="49">
        <f>資料儲存!E330</f>
        <v>0</v>
      </c>
      <c r="V114" s="49">
        <f>資料儲存!F330</f>
        <v>0</v>
      </c>
      <c r="W114" s="49">
        <f>資料儲存!G330</f>
        <v>0</v>
      </c>
      <c r="X114" s="49">
        <f>資料儲存!H330</f>
        <v>0</v>
      </c>
      <c r="Y114" s="49">
        <f>資料儲存!I330</f>
        <v>0</v>
      </c>
      <c r="Z114" s="49">
        <f>資料儲存!J330</f>
        <v>0</v>
      </c>
      <c r="AA114" s="45"/>
      <c r="AB114" s="48">
        <v>59</v>
      </c>
      <c r="AC114" s="49">
        <f>資料儲存!D450</f>
        <v>0</v>
      </c>
      <c r="AD114" s="49">
        <f>資料儲存!E450</f>
        <v>0</v>
      </c>
      <c r="AE114" s="49">
        <f>資料儲存!F450</f>
        <v>0</v>
      </c>
      <c r="AF114" s="49">
        <f>資料儲存!G450</f>
        <v>0</v>
      </c>
      <c r="AG114" s="49">
        <f>資料儲存!H450</f>
        <v>0</v>
      </c>
      <c r="AH114" s="49">
        <f>資料儲存!I450</f>
        <v>0</v>
      </c>
      <c r="AI114" s="49">
        <f>資料儲存!J450</f>
        <v>0</v>
      </c>
      <c r="AJ114" s="13"/>
    </row>
    <row r="115" spans="1:36" ht="16" thickBot="1">
      <c r="A115" s="48">
        <v>60</v>
      </c>
      <c r="B115" s="49">
        <f>資料儲存!D91</f>
        <v>0</v>
      </c>
      <c r="C115" s="49">
        <f>資料儲存!E91</f>
        <v>0</v>
      </c>
      <c r="D115" s="49">
        <f>資料儲存!F91</f>
        <v>0</v>
      </c>
      <c r="E115" s="49">
        <f>資料儲存!G91</f>
        <v>0</v>
      </c>
      <c r="F115" s="49">
        <f>資料儲存!H91</f>
        <v>0</v>
      </c>
      <c r="G115" s="49">
        <f>資料儲存!I91</f>
        <v>0</v>
      </c>
      <c r="H115" s="49">
        <f>資料儲存!J91</f>
        <v>0</v>
      </c>
      <c r="I115" s="45"/>
      <c r="J115" s="48">
        <v>60</v>
      </c>
      <c r="K115" s="49">
        <f>資料儲存!D211</f>
        <v>0</v>
      </c>
      <c r="L115" s="49">
        <f>資料儲存!E211</f>
        <v>0</v>
      </c>
      <c r="M115" s="49">
        <f>資料儲存!F211</f>
        <v>0</v>
      </c>
      <c r="N115" s="49">
        <f>資料儲存!G211</f>
        <v>0</v>
      </c>
      <c r="O115" s="49">
        <f>資料儲存!H211</f>
        <v>0</v>
      </c>
      <c r="P115" s="49">
        <f>資料儲存!I211</f>
        <v>0</v>
      </c>
      <c r="Q115" s="49">
        <f>資料儲存!J211</f>
        <v>0</v>
      </c>
      <c r="R115" s="45"/>
      <c r="S115" s="48">
        <v>60</v>
      </c>
      <c r="T115" s="49">
        <f>資料儲存!D331</f>
        <v>0</v>
      </c>
      <c r="U115" s="49">
        <f>資料儲存!E331</f>
        <v>0</v>
      </c>
      <c r="V115" s="49">
        <f>資料儲存!F331</f>
        <v>0</v>
      </c>
      <c r="W115" s="49">
        <f>資料儲存!G331</f>
        <v>0</v>
      </c>
      <c r="X115" s="49">
        <f>資料儲存!H331</f>
        <v>0</v>
      </c>
      <c r="Y115" s="49">
        <f>資料儲存!I331</f>
        <v>0</v>
      </c>
      <c r="Z115" s="49">
        <f>資料儲存!J331</f>
        <v>0</v>
      </c>
      <c r="AA115" s="45"/>
      <c r="AB115" s="48">
        <v>60</v>
      </c>
      <c r="AC115" s="49">
        <f>資料儲存!D451</f>
        <v>0</v>
      </c>
      <c r="AD115" s="49">
        <f>資料儲存!E451</f>
        <v>0</v>
      </c>
      <c r="AE115" s="49">
        <f>資料儲存!F451</f>
        <v>0</v>
      </c>
      <c r="AF115" s="49">
        <f>資料儲存!G451</f>
        <v>0</v>
      </c>
      <c r="AG115" s="49">
        <f>資料儲存!H451</f>
        <v>0</v>
      </c>
      <c r="AH115" s="49">
        <f>資料儲存!I451</f>
        <v>0</v>
      </c>
      <c r="AI115" s="49">
        <f>資料儲存!J451</f>
        <v>0</v>
      </c>
      <c r="AJ115" s="13"/>
    </row>
    <row r="116" spans="1:36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</row>
    <row r="117" spans="1:36" ht="18.5" thickBot="1">
      <c r="A117" s="250" t="s">
        <v>63</v>
      </c>
      <c r="B117" s="251"/>
      <c r="C117" s="251"/>
      <c r="D117" s="251"/>
      <c r="E117" s="251"/>
      <c r="F117" s="251"/>
      <c r="G117" s="251"/>
      <c r="H117" s="252"/>
      <c r="I117" s="13"/>
      <c r="J117" s="250" t="s">
        <v>63</v>
      </c>
      <c r="K117" s="251"/>
      <c r="L117" s="251"/>
      <c r="M117" s="251"/>
      <c r="N117" s="251"/>
      <c r="O117" s="251"/>
      <c r="P117" s="251"/>
      <c r="Q117" s="252"/>
      <c r="R117" s="13"/>
      <c r="S117" s="250" t="s">
        <v>63</v>
      </c>
      <c r="T117" s="251"/>
      <c r="U117" s="251"/>
      <c r="V117" s="251"/>
      <c r="W117" s="251"/>
      <c r="X117" s="251"/>
      <c r="Y117" s="251"/>
      <c r="Z117" s="252"/>
      <c r="AA117" s="13"/>
      <c r="AB117" s="250" t="s">
        <v>63</v>
      </c>
      <c r="AC117" s="251"/>
      <c r="AD117" s="251"/>
      <c r="AE117" s="251"/>
      <c r="AF117" s="251"/>
      <c r="AG117" s="251"/>
      <c r="AH117" s="251"/>
      <c r="AI117" s="252"/>
      <c r="AJ117" s="13"/>
    </row>
    <row r="118" spans="1:36" ht="17.25" customHeight="1" thickBot="1">
      <c r="A118" s="31" t="s">
        <v>2</v>
      </c>
      <c r="B118" s="32" t="s">
        <v>46</v>
      </c>
      <c r="C118" s="33"/>
      <c r="D118" s="33"/>
      <c r="E118" s="34"/>
      <c r="F118" s="32" t="s">
        <v>47</v>
      </c>
      <c r="G118" s="33"/>
      <c r="H118" s="34"/>
      <c r="I118" s="35"/>
      <c r="J118" s="31" t="s">
        <v>2</v>
      </c>
      <c r="K118" s="32" t="s">
        <v>46</v>
      </c>
      <c r="L118" s="33"/>
      <c r="M118" s="33"/>
      <c r="N118" s="34"/>
      <c r="O118" s="32" t="s">
        <v>47</v>
      </c>
      <c r="P118" s="33"/>
      <c r="Q118" s="34"/>
      <c r="R118" s="35"/>
      <c r="S118" s="31" t="s">
        <v>2</v>
      </c>
      <c r="T118" s="32" t="s">
        <v>46</v>
      </c>
      <c r="U118" s="33"/>
      <c r="V118" s="33"/>
      <c r="W118" s="34"/>
      <c r="X118" s="32" t="s">
        <v>47</v>
      </c>
      <c r="Y118" s="33"/>
      <c r="Z118" s="34"/>
      <c r="AA118" s="35"/>
      <c r="AB118" s="31" t="s">
        <v>2</v>
      </c>
      <c r="AC118" s="32" t="s">
        <v>46</v>
      </c>
      <c r="AD118" s="33"/>
      <c r="AE118" s="33"/>
      <c r="AF118" s="34"/>
      <c r="AG118" s="32" t="s">
        <v>47</v>
      </c>
      <c r="AH118" s="33"/>
      <c r="AI118" s="34"/>
      <c r="AJ118" s="13"/>
    </row>
    <row r="119" spans="1:36" ht="16" thickBot="1">
      <c r="A119" s="36" t="s">
        <v>64</v>
      </c>
      <c r="B119" s="37" t="s">
        <v>49</v>
      </c>
      <c r="C119" s="37" t="s">
        <v>50</v>
      </c>
      <c r="D119" s="37" t="s">
        <v>51</v>
      </c>
      <c r="E119" s="37" t="s">
        <v>52</v>
      </c>
      <c r="F119" s="37" t="s">
        <v>53</v>
      </c>
      <c r="G119" s="37" t="s">
        <v>54</v>
      </c>
      <c r="H119" s="37" t="s">
        <v>55</v>
      </c>
      <c r="I119" s="35"/>
      <c r="J119" s="36" t="s">
        <v>64</v>
      </c>
      <c r="K119" s="37" t="s">
        <v>49</v>
      </c>
      <c r="L119" s="37" t="s">
        <v>50</v>
      </c>
      <c r="M119" s="37" t="s">
        <v>51</v>
      </c>
      <c r="N119" s="37" t="s">
        <v>52</v>
      </c>
      <c r="O119" s="37" t="s">
        <v>53</v>
      </c>
      <c r="P119" s="37" t="s">
        <v>54</v>
      </c>
      <c r="Q119" s="37" t="s">
        <v>55</v>
      </c>
      <c r="R119" s="35"/>
      <c r="S119" s="36" t="s">
        <v>64</v>
      </c>
      <c r="T119" s="37" t="s">
        <v>49</v>
      </c>
      <c r="U119" s="37" t="s">
        <v>50</v>
      </c>
      <c r="V119" s="37" t="s">
        <v>51</v>
      </c>
      <c r="W119" s="37" t="s">
        <v>52</v>
      </c>
      <c r="X119" s="37" t="s">
        <v>53</v>
      </c>
      <c r="Y119" s="37" t="s">
        <v>54</v>
      </c>
      <c r="Z119" s="37" t="s">
        <v>55</v>
      </c>
      <c r="AA119" s="35"/>
      <c r="AB119" s="36" t="s">
        <v>64</v>
      </c>
      <c r="AC119" s="37" t="s">
        <v>49</v>
      </c>
      <c r="AD119" s="37" t="s">
        <v>50</v>
      </c>
      <c r="AE119" s="37" t="s">
        <v>51</v>
      </c>
      <c r="AF119" s="37" t="s">
        <v>52</v>
      </c>
      <c r="AG119" s="37" t="s">
        <v>53</v>
      </c>
      <c r="AH119" s="37" t="s">
        <v>54</v>
      </c>
      <c r="AI119" s="37" t="s">
        <v>55</v>
      </c>
      <c r="AJ119" s="13"/>
    </row>
    <row r="120" spans="1:36" ht="16" thickBot="1">
      <c r="A120" s="38">
        <v>1</v>
      </c>
      <c r="B120" s="39">
        <f>資料儲存!D92</f>
        <v>0</v>
      </c>
      <c r="C120" s="39">
        <f>資料儲存!E92</f>
        <v>0</v>
      </c>
      <c r="D120" s="39">
        <f>資料儲存!F92</f>
        <v>0</v>
      </c>
      <c r="E120" s="39">
        <f>資料儲存!G92</f>
        <v>0</v>
      </c>
      <c r="F120" s="39">
        <f>資料儲存!H92</f>
        <v>0</v>
      </c>
      <c r="G120" s="39">
        <f>資料儲存!I92</f>
        <v>0</v>
      </c>
      <c r="H120" s="39">
        <f>資料儲存!J92</f>
        <v>0</v>
      </c>
      <c r="I120" s="35"/>
      <c r="J120" s="38">
        <v>1</v>
      </c>
      <c r="K120" s="39">
        <f>資料儲存!D212</f>
        <v>0</v>
      </c>
      <c r="L120" s="39">
        <f>資料儲存!E212</f>
        <v>0</v>
      </c>
      <c r="M120" s="39">
        <f>資料儲存!F212</f>
        <v>0</v>
      </c>
      <c r="N120" s="39">
        <f>資料儲存!G212</f>
        <v>0</v>
      </c>
      <c r="O120" s="39">
        <f>資料儲存!H212</f>
        <v>0</v>
      </c>
      <c r="P120" s="39">
        <f>資料儲存!I212</f>
        <v>0</v>
      </c>
      <c r="Q120" s="39">
        <f>資料儲存!J212</f>
        <v>0</v>
      </c>
      <c r="R120" s="35"/>
      <c r="S120" s="38">
        <v>1</v>
      </c>
      <c r="T120" s="39">
        <f>資料儲存!D332</f>
        <v>0</v>
      </c>
      <c r="U120" s="39">
        <f>資料儲存!E332</f>
        <v>0</v>
      </c>
      <c r="V120" s="39">
        <f>資料儲存!F332</f>
        <v>0</v>
      </c>
      <c r="W120" s="39">
        <f>資料儲存!G332</f>
        <v>0</v>
      </c>
      <c r="X120" s="39">
        <f>資料儲存!H332</f>
        <v>0</v>
      </c>
      <c r="Y120" s="39">
        <f>資料儲存!I332</f>
        <v>0</v>
      </c>
      <c r="Z120" s="39">
        <f>資料儲存!J332</f>
        <v>0</v>
      </c>
      <c r="AA120" s="35"/>
      <c r="AB120" s="38">
        <v>1</v>
      </c>
      <c r="AC120" s="39">
        <f>資料儲存!D452</f>
        <v>0</v>
      </c>
      <c r="AD120" s="39">
        <f>資料儲存!E452</f>
        <v>0</v>
      </c>
      <c r="AE120" s="39">
        <f>資料儲存!F452</f>
        <v>0</v>
      </c>
      <c r="AF120" s="39">
        <f>資料儲存!G452</f>
        <v>0</v>
      </c>
      <c r="AG120" s="39">
        <f>資料儲存!H452</f>
        <v>0</v>
      </c>
      <c r="AH120" s="39">
        <f>資料儲存!I452</f>
        <v>0</v>
      </c>
      <c r="AI120" s="39">
        <f>資料儲存!J452</f>
        <v>0</v>
      </c>
      <c r="AJ120" s="13"/>
    </row>
    <row r="121" spans="1:36" ht="16" thickBot="1">
      <c r="A121" s="38">
        <v>2</v>
      </c>
      <c r="B121" s="39">
        <f>資料儲存!D93</f>
        <v>0</v>
      </c>
      <c r="C121" s="39">
        <f>資料儲存!E93</f>
        <v>0</v>
      </c>
      <c r="D121" s="39">
        <f>資料儲存!F93</f>
        <v>0</v>
      </c>
      <c r="E121" s="39">
        <f>資料儲存!G93</f>
        <v>0</v>
      </c>
      <c r="F121" s="39">
        <f>資料儲存!H93</f>
        <v>0</v>
      </c>
      <c r="G121" s="39">
        <f>資料儲存!I93</f>
        <v>0</v>
      </c>
      <c r="H121" s="39">
        <f>資料儲存!J93</f>
        <v>0</v>
      </c>
      <c r="I121" s="35"/>
      <c r="J121" s="38">
        <v>2</v>
      </c>
      <c r="K121" s="39">
        <f>資料儲存!D213</f>
        <v>0</v>
      </c>
      <c r="L121" s="39">
        <f>資料儲存!E213</f>
        <v>0</v>
      </c>
      <c r="M121" s="39">
        <f>資料儲存!F213</f>
        <v>0</v>
      </c>
      <c r="N121" s="39">
        <f>資料儲存!G213</f>
        <v>0</v>
      </c>
      <c r="O121" s="39">
        <f>資料儲存!H213</f>
        <v>0</v>
      </c>
      <c r="P121" s="39">
        <f>資料儲存!I213</f>
        <v>0</v>
      </c>
      <c r="Q121" s="39">
        <f>資料儲存!J213</f>
        <v>0</v>
      </c>
      <c r="R121" s="35"/>
      <c r="S121" s="38">
        <v>2</v>
      </c>
      <c r="T121" s="39">
        <f>資料儲存!D333</f>
        <v>0</v>
      </c>
      <c r="U121" s="39">
        <f>資料儲存!E333</f>
        <v>0</v>
      </c>
      <c r="V121" s="39">
        <f>資料儲存!F333</f>
        <v>0</v>
      </c>
      <c r="W121" s="39">
        <f>資料儲存!G333</f>
        <v>0</v>
      </c>
      <c r="X121" s="39">
        <f>資料儲存!H333</f>
        <v>0</v>
      </c>
      <c r="Y121" s="39">
        <f>資料儲存!I333</f>
        <v>0</v>
      </c>
      <c r="Z121" s="39">
        <f>資料儲存!J333</f>
        <v>0</v>
      </c>
      <c r="AA121" s="35"/>
      <c r="AB121" s="38">
        <v>2</v>
      </c>
      <c r="AC121" s="39">
        <f>資料儲存!D453</f>
        <v>0</v>
      </c>
      <c r="AD121" s="39">
        <f>資料儲存!E453</f>
        <v>0</v>
      </c>
      <c r="AE121" s="39">
        <f>資料儲存!F453</f>
        <v>0</v>
      </c>
      <c r="AF121" s="39">
        <f>資料儲存!G453</f>
        <v>0</v>
      </c>
      <c r="AG121" s="39">
        <f>資料儲存!H453</f>
        <v>0</v>
      </c>
      <c r="AH121" s="39">
        <f>資料儲存!I453</f>
        <v>0</v>
      </c>
      <c r="AI121" s="39">
        <f>資料儲存!J453</f>
        <v>0</v>
      </c>
      <c r="AJ121" s="13"/>
    </row>
    <row r="122" spans="1:36" ht="16" thickBot="1">
      <c r="A122" s="38">
        <v>3</v>
      </c>
      <c r="B122" s="39">
        <f>資料儲存!D94</f>
        <v>0</v>
      </c>
      <c r="C122" s="39">
        <f>資料儲存!E94</f>
        <v>0</v>
      </c>
      <c r="D122" s="39">
        <f>資料儲存!F94</f>
        <v>0</v>
      </c>
      <c r="E122" s="39">
        <f>資料儲存!G94</f>
        <v>0</v>
      </c>
      <c r="F122" s="39">
        <f>資料儲存!H94</f>
        <v>0</v>
      </c>
      <c r="G122" s="39">
        <f>資料儲存!I94</f>
        <v>0</v>
      </c>
      <c r="H122" s="39">
        <f>資料儲存!J94</f>
        <v>0</v>
      </c>
      <c r="I122" s="35"/>
      <c r="J122" s="38">
        <v>3</v>
      </c>
      <c r="K122" s="39">
        <f>資料儲存!D214</f>
        <v>0</v>
      </c>
      <c r="L122" s="39">
        <f>資料儲存!E214</f>
        <v>0</v>
      </c>
      <c r="M122" s="39">
        <f>資料儲存!F214</f>
        <v>0</v>
      </c>
      <c r="N122" s="39">
        <f>資料儲存!G214</f>
        <v>0</v>
      </c>
      <c r="O122" s="39">
        <f>資料儲存!H214</f>
        <v>0</v>
      </c>
      <c r="P122" s="39">
        <f>資料儲存!I214</f>
        <v>0</v>
      </c>
      <c r="Q122" s="39">
        <f>資料儲存!J214</f>
        <v>0</v>
      </c>
      <c r="R122" s="35"/>
      <c r="S122" s="38">
        <v>3</v>
      </c>
      <c r="T122" s="39">
        <f>資料儲存!D334</f>
        <v>0</v>
      </c>
      <c r="U122" s="39">
        <f>資料儲存!E334</f>
        <v>0</v>
      </c>
      <c r="V122" s="39">
        <f>資料儲存!F334</f>
        <v>0</v>
      </c>
      <c r="W122" s="39">
        <f>資料儲存!G334</f>
        <v>0</v>
      </c>
      <c r="X122" s="39">
        <f>資料儲存!H334</f>
        <v>0</v>
      </c>
      <c r="Y122" s="39">
        <f>資料儲存!I334</f>
        <v>0</v>
      </c>
      <c r="Z122" s="39">
        <f>資料儲存!J334</f>
        <v>0</v>
      </c>
      <c r="AA122" s="35"/>
      <c r="AB122" s="38">
        <v>3</v>
      </c>
      <c r="AC122" s="39">
        <f>資料儲存!D454</f>
        <v>0</v>
      </c>
      <c r="AD122" s="39">
        <f>資料儲存!E454</f>
        <v>0</v>
      </c>
      <c r="AE122" s="39">
        <f>資料儲存!F454</f>
        <v>0</v>
      </c>
      <c r="AF122" s="39">
        <f>資料儲存!G454</f>
        <v>0</v>
      </c>
      <c r="AG122" s="39">
        <f>資料儲存!H454</f>
        <v>0</v>
      </c>
      <c r="AH122" s="39">
        <f>資料儲存!I454</f>
        <v>0</v>
      </c>
      <c r="AI122" s="39">
        <f>資料儲存!J454</f>
        <v>0</v>
      </c>
      <c r="AJ122" s="13"/>
    </row>
    <row r="123" spans="1:36" ht="16" thickBot="1">
      <c r="A123" s="38">
        <v>4</v>
      </c>
      <c r="B123" s="39">
        <f>資料儲存!D95</f>
        <v>0</v>
      </c>
      <c r="C123" s="39">
        <f>資料儲存!E95</f>
        <v>0</v>
      </c>
      <c r="D123" s="39">
        <f>資料儲存!F95</f>
        <v>0</v>
      </c>
      <c r="E123" s="39">
        <f>資料儲存!G95</f>
        <v>0</v>
      </c>
      <c r="F123" s="39">
        <f>資料儲存!H95</f>
        <v>0</v>
      </c>
      <c r="G123" s="39">
        <f>資料儲存!I95</f>
        <v>0</v>
      </c>
      <c r="H123" s="39">
        <f>資料儲存!J95</f>
        <v>0</v>
      </c>
      <c r="I123" s="35"/>
      <c r="J123" s="38">
        <v>4</v>
      </c>
      <c r="K123" s="39">
        <f>資料儲存!D215</f>
        <v>0</v>
      </c>
      <c r="L123" s="39">
        <f>資料儲存!E215</f>
        <v>0</v>
      </c>
      <c r="M123" s="39">
        <f>資料儲存!F215</f>
        <v>0</v>
      </c>
      <c r="N123" s="39">
        <f>資料儲存!G215</f>
        <v>0</v>
      </c>
      <c r="O123" s="39">
        <f>資料儲存!H215</f>
        <v>0</v>
      </c>
      <c r="P123" s="39">
        <f>資料儲存!I215</f>
        <v>0</v>
      </c>
      <c r="Q123" s="39">
        <f>資料儲存!J215</f>
        <v>0</v>
      </c>
      <c r="R123" s="35"/>
      <c r="S123" s="38">
        <v>4</v>
      </c>
      <c r="T123" s="39">
        <f>資料儲存!D335</f>
        <v>0</v>
      </c>
      <c r="U123" s="39">
        <f>資料儲存!E335</f>
        <v>0</v>
      </c>
      <c r="V123" s="39">
        <f>資料儲存!F335</f>
        <v>0</v>
      </c>
      <c r="W123" s="39">
        <f>資料儲存!G335</f>
        <v>0</v>
      </c>
      <c r="X123" s="39">
        <f>資料儲存!H335</f>
        <v>0</v>
      </c>
      <c r="Y123" s="39">
        <f>資料儲存!I335</f>
        <v>0</v>
      </c>
      <c r="Z123" s="39">
        <f>資料儲存!J335</f>
        <v>0</v>
      </c>
      <c r="AA123" s="35"/>
      <c r="AB123" s="38">
        <v>4</v>
      </c>
      <c r="AC123" s="39">
        <f>資料儲存!D455</f>
        <v>0</v>
      </c>
      <c r="AD123" s="39">
        <f>資料儲存!E455</f>
        <v>0</v>
      </c>
      <c r="AE123" s="39">
        <f>資料儲存!F455</f>
        <v>0</v>
      </c>
      <c r="AF123" s="39">
        <f>資料儲存!G455</f>
        <v>0</v>
      </c>
      <c r="AG123" s="39">
        <f>資料儲存!H455</f>
        <v>0</v>
      </c>
      <c r="AH123" s="39">
        <f>資料儲存!I455</f>
        <v>0</v>
      </c>
      <c r="AI123" s="39">
        <f>資料儲存!J455</f>
        <v>0</v>
      </c>
      <c r="AJ123" s="13"/>
    </row>
    <row r="124" spans="1:36" ht="16" thickBot="1">
      <c r="A124" s="38">
        <v>5</v>
      </c>
      <c r="B124" s="39">
        <f>資料儲存!D96</f>
        <v>0</v>
      </c>
      <c r="C124" s="39">
        <f>資料儲存!E96</f>
        <v>0</v>
      </c>
      <c r="D124" s="39">
        <f>資料儲存!F96</f>
        <v>0</v>
      </c>
      <c r="E124" s="39">
        <f>資料儲存!G96</f>
        <v>0</v>
      </c>
      <c r="F124" s="39">
        <f>資料儲存!H96</f>
        <v>0</v>
      </c>
      <c r="G124" s="39">
        <f>資料儲存!I96</f>
        <v>0</v>
      </c>
      <c r="H124" s="39">
        <f>資料儲存!J96</f>
        <v>0</v>
      </c>
      <c r="I124" s="35"/>
      <c r="J124" s="38">
        <v>5</v>
      </c>
      <c r="K124" s="39">
        <f>資料儲存!D216</f>
        <v>0</v>
      </c>
      <c r="L124" s="39">
        <f>資料儲存!E216</f>
        <v>0</v>
      </c>
      <c r="M124" s="39">
        <f>資料儲存!F216</f>
        <v>0</v>
      </c>
      <c r="N124" s="39">
        <f>資料儲存!G216</f>
        <v>0</v>
      </c>
      <c r="O124" s="39">
        <f>資料儲存!H216</f>
        <v>0</v>
      </c>
      <c r="P124" s="39">
        <f>資料儲存!I216</f>
        <v>0</v>
      </c>
      <c r="Q124" s="39">
        <f>資料儲存!J216</f>
        <v>0</v>
      </c>
      <c r="R124" s="35"/>
      <c r="S124" s="38">
        <v>5</v>
      </c>
      <c r="T124" s="39">
        <f>資料儲存!D336</f>
        <v>0</v>
      </c>
      <c r="U124" s="39">
        <f>資料儲存!E336</f>
        <v>0</v>
      </c>
      <c r="V124" s="39">
        <f>資料儲存!F336</f>
        <v>0</v>
      </c>
      <c r="W124" s="39">
        <f>資料儲存!G336</f>
        <v>0</v>
      </c>
      <c r="X124" s="39">
        <f>資料儲存!H336</f>
        <v>0</v>
      </c>
      <c r="Y124" s="39">
        <f>資料儲存!I336</f>
        <v>0</v>
      </c>
      <c r="Z124" s="39">
        <f>資料儲存!J336</f>
        <v>0</v>
      </c>
      <c r="AA124" s="35"/>
      <c r="AB124" s="38">
        <v>5</v>
      </c>
      <c r="AC124" s="39">
        <f>資料儲存!D456</f>
        <v>0</v>
      </c>
      <c r="AD124" s="39">
        <f>資料儲存!E456</f>
        <v>0</v>
      </c>
      <c r="AE124" s="39">
        <f>資料儲存!F456</f>
        <v>0</v>
      </c>
      <c r="AF124" s="39">
        <f>資料儲存!G456</f>
        <v>0</v>
      </c>
      <c r="AG124" s="39">
        <f>資料儲存!H456</f>
        <v>0</v>
      </c>
      <c r="AH124" s="39">
        <f>資料儲存!I456</f>
        <v>0</v>
      </c>
      <c r="AI124" s="39">
        <f>資料儲存!J456</f>
        <v>0</v>
      </c>
      <c r="AJ124" s="13"/>
    </row>
    <row r="125" spans="1:36" ht="16" thickBot="1">
      <c r="A125" s="38">
        <v>6</v>
      </c>
      <c r="B125" s="39">
        <f>資料儲存!D97</f>
        <v>0</v>
      </c>
      <c r="C125" s="39">
        <f>資料儲存!E97</f>
        <v>0</v>
      </c>
      <c r="D125" s="39">
        <f>資料儲存!F97</f>
        <v>0</v>
      </c>
      <c r="E125" s="39">
        <f>資料儲存!G97</f>
        <v>0</v>
      </c>
      <c r="F125" s="39">
        <f>資料儲存!H97</f>
        <v>0</v>
      </c>
      <c r="G125" s="39">
        <f>資料儲存!I97</f>
        <v>0</v>
      </c>
      <c r="H125" s="39">
        <f>資料儲存!J97</f>
        <v>0</v>
      </c>
      <c r="I125" s="35"/>
      <c r="J125" s="38">
        <v>6</v>
      </c>
      <c r="K125" s="39">
        <f>資料儲存!D217</f>
        <v>0</v>
      </c>
      <c r="L125" s="39">
        <f>資料儲存!E217</f>
        <v>0</v>
      </c>
      <c r="M125" s="39">
        <f>資料儲存!F217</f>
        <v>0</v>
      </c>
      <c r="N125" s="39">
        <f>資料儲存!G217</f>
        <v>0</v>
      </c>
      <c r="O125" s="39">
        <f>資料儲存!H217</f>
        <v>0</v>
      </c>
      <c r="P125" s="39">
        <f>資料儲存!I217</f>
        <v>0</v>
      </c>
      <c r="Q125" s="39">
        <f>資料儲存!J217</f>
        <v>0</v>
      </c>
      <c r="R125" s="35"/>
      <c r="S125" s="38">
        <v>6</v>
      </c>
      <c r="T125" s="39">
        <f>資料儲存!D337</f>
        <v>0</v>
      </c>
      <c r="U125" s="39">
        <f>資料儲存!E337</f>
        <v>0</v>
      </c>
      <c r="V125" s="39">
        <f>資料儲存!F337</f>
        <v>0</v>
      </c>
      <c r="W125" s="39">
        <f>資料儲存!G337</f>
        <v>0</v>
      </c>
      <c r="X125" s="39">
        <f>資料儲存!H337</f>
        <v>0</v>
      </c>
      <c r="Y125" s="39">
        <f>資料儲存!I337</f>
        <v>0</v>
      </c>
      <c r="Z125" s="39">
        <f>資料儲存!J337</f>
        <v>0</v>
      </c>
      <c r="AA125" s="35"/>
      <c r="AB125" s="38">
        <v>6</v>
      </c>
      <c r="AC125" s="39">
        <f>資料儲存!D457</f>
        <v>0</v>
      </c>
      <c r="AD125" s="39">
        <f>資料儲存!E457</f>
        <v>0</v>
      </c>
      <c r="AE125" s="39">
        <f>資料儲存!F457</f>
        <v>0</v>
      </c>
      <c r="AF125" s="39">
        <f>資料儲存!G457</f>
        <v>0</v>
      </c>
      <c r="AG125" s="39">
        <f>資料儲存!H457</f>
        <v>0</v>
      </c>
      <c r="AH125" s="39">
        <f>資料儲存!I457</f>
        <v>0</v>
      </c>
      <c r="AI125" s="39">
        <f>資料儲存!J457</f>
        <v>0</v>
      </c>
      <c r="AJ125" s="13"/>
    </row>
    <row r="126" spans="1:36" ht="16" thickBot="1">
      <c r="A126" s="38">
        <v>7</v>
      </c>
      <c r="B126" s="39">
        <f>資料儲存!D98</f>
        <v>0</v>
      </c>
      <c r="C126" s="39">
        <f>資料儲存!E98</f>
        <v>0</v>
      </c>
      <c r="D126" s="39">
        <f>資料儲存!F98</f>
        <v>0</v>
      </c>
      <c r="E126" s="39">
        <f>資料儲存!G98</f>
        <v>0</v>
      </c>
      <c r="F126" s="39">
        <f>資料儲存!H98</f>
        <v>0</v>
      </c>
      <c r="G126" s="39">
        <f>資料儲存!I98</f>
        <v>0</v>
      </c>
      <c r="H126" s="39">
        <f>資料儲存!J98</f>
        <v>0</v>
      </c>
      <c r="I126" s="35"/>
      <c r="J126" s="38">
        <v>7</v>
      </c>
      <c r="K126" s="39">
        <f>資料儲存!D218</f>
        <v>0</v>
      </c>
      <c r="L126" s="39">
        <f>資料儲存!E218</f>
        <v>0</v>
      </c>
      <c r="M126" s="39">
        <f>資料儲存!F218</f>
        <v>0</v>
      </c>
      <c r="N126" s="39">
        <f>資料儲存!G218</f>
        <v>0</v>
      </c>
      <c r="O126" s="39">
        <f>資料儲存!H218</f>
        <v>0</v>
      </c>
      <c r="P126" s="39">
        <f>資料儲存!I218</f>
        <v>0</v>
      </c>
      <c r="Q126" s="39">
        <f>資料儲存!J218</f>
        <v>0</v>
      </c>
      <c r="R126" s="35"/>
      <c r="S126" s="38">
        <v>7</v>
      </c>
      <c r="T126" s="39">
        <f>資料儲存!D338</f>
        <v>0</v>
      </c>
      <c r="U126" s="39">
        <f>資料儲存!E338</f>
        <v>0</v>
      </c>
      <c r="V126" s="39">
        <f>資料儲存!F338</f>
        <v>0</v>
      </c>
      <c r="W126" s="39">
        <f>資料儲存!G338</f>
        <v>0</v>
      </c>
      <c r="X126" s="39">
        <f>資料儲存!H338</f>
        <v>0</v>
      </c>
      <c r="Y126" s="39">
        <f>資料儲存!I338</f>
        <v>0</v>
      </c>
      <c r="Z126" s="39">
        <f>資料儲存!J338</f>
        <v>0</v>
      </c>
      <c r="AA126" s="35"/>
      <c r="AB126" s="38">
        <v>7</v>
      </c>
      <c r="AC126" s="39">
        <f>資料儲存!D458</f>
        <v>0</v>
      </c>
      <c r="AD126" s="39">
        <f>資料儲存!E458</f>
        <v>0</v>
      </c>
      <c r="AE126" s="39">
        <f>資料儲存!F458</f>
        <v>0</v>
      </c>
      <c r="AF126" s="39">
        <f>資料儲存!G458</f>
        <v>0</v>
      </c>
      <c r="AG126" s="39">
        <f>資料儲存!H458</f>
        <v>0</v>
      </c>
      <c r="AH126" s="39">
        <f>資料儲存!I458</f>
        <v>0</v>
      </c>
      <c r="AI126" s="39">
        <f>資料儲存!J458</f>
        <v>0</v>
      </c>
      <c r="AJ126" s="13"/>
    </row>
    <row r="127" spans="1:36" ht="16" thickBot="1">
      <c r="A127" s="38">
        <v>8</v>
      </c>
      <c r="B127" s="39">
        <f>資料儲存!D99</f>
        <v>0</v>
      </c>
      <c r="C127" s="39">
        <f>資料儲存!E99</f>
        <v>0</v>
      </c>
      <c r="D127" s="39">
        <f>資料儲存!F99</f>
        <v>0</v>
      </c>
      <c r="E127" s="39">
        <f>資料儲存!G99</f>
        <v>0</v>
      </c>
      <c r="F127" s="39">
        <f>資料儲存!H99</f>
        <v>0</v>
      </c>
      <c r="G127" s="39">
        <f>資料儲存!I99</f>
        <v>0</v>
      </c>
      <c r="H127" s="39">
        <f>資料儲存!J99</f>
        <v>0</v>
      </c>
      <c r="I127" s="35"/>
      <c r="J127" s="38">
        <v>8</v>
      </c>
      <c r="K127" s="39">
        <f>資料儲存!D219</f>
        <v>0</v>
      </c>
      <c r="L127" s="39">
        <f>資料儲存!E219</f>
        <v>0</v>
      </c>
      <c r="M127" s="39">
        <f>資料儲存!F219</f>
        <v>0</v>
      </c>
      <c r="N127" s="39">
        <f>資料儲存!G219</f>
        <v>0</v>
      </c>
      <c r="O127" s="39">
        <f>資料儲存!H219</f>
        <v>0</v>
      </c>
      <c r="P127" s="39">
        <f>資料儲存!I219</f>
        <v>0</v>
      </c>
      <c r="Q127" s="39">
        <f>資料儲存!J219</f>
        <v>0</v>
      </c>
      <c r="R127" s="35"/>
      <c r="S127" s="38">
        <v>8</v>
      </c>
      <c r="T127" s="39">
        <f>資料儲存!D339</f>
        <v>0</v>
      </c>
      <c r="U127" s="39">
        <f>資料儲存!E339</f>
        <v>0</v>
      </c>
      <c r="V127" s="39">
        <f>資料儲存!F339</f>
        <v>0</v>
      </c>
      <c r="W127" s="39">
        <f>資料儲存!G339</f>
        <v>0</v>
      </c>
      <c r="X127" s="39">
        <f>資料儲存!H339</f>
        <v>0</v>
      </c>
      <c r="Y127" s="39">
        <f>資料儲存!I339</f>
        <v>0</v>
      </c>
      <c r="Z127" s="39">
        <f>資料儲存!J339</f>
        <v>0</v>
      </c>
      <c r="AA127" s="35"/>
      <c r="AB127" s="38">
        <v>8</v>
      </c>
      <c r="AC127" s="39">
        <f>資料儲存!D459</f>
        <v>0</v>
      </c>
      <c r="AD127" s="39">
        <f>資料儲存!E459</f>
        <v>0</v>
      </c>
      <c r="AE127" s="39">
        <f>資料儲存!F459</f>
        <v>0</v>
      </c>
      <c r="AF127" s="39">
        <f>資料儲存!G459</f>
        <v>0</v>
      </c>
      <c r="AG127" s="39">
        <f>資料儲存!H459</f>
        <v>0</v>
      </c>
      <c r="AH127" s="39">
        <f>資料儲存!I459</f>
        <v>0</v>
      </c>
      <c r="AI127" s="39">
        <f>資料儲存!J459</f>
        <v>0</v>
      </c>
      <c r="AJ127" s="13"/>
    </row>
    <row r="128" spans="1:36" ht="16" thickBot="1">
      <c r="A128" s="38">
        <v>9</v>
      </c>
      <c r="B128" s="39">
        <f>資料儲存!D100</f>
        <v>0</v>
      </c>
      <c r="C128" s="39">
        <f>資料儲存!E100</f>
        <v>0</v>
      </c>
      <c r="D128" s="39">
        <f>資料儲存!F100</f>
        <v>0</v>
      </c>
      <c r="E128" s="39">
        <f>資料儲存!G100</f>
        <v>0</v>
      </c>
      <c r="F128" s="39">
        <f>資料儲存!H100</f>
        <v>0</v>
      </c>
      <c r="G128" s="39">
        <f>資料儲存!I100</f>
        <v>0</v>
      </c>
      <c r="H128" s="39">
        <f>資料儲存!J100</f>
        <v>0</v>
      </c>
      <c r="I128" s="35"/>
      <c r="J128" s="38">
        <v>9</v>
      </c>
      <c r="K128" s="39">
        <f>資料儲存!D220</f>
        <v>0</v>
      </c>
      <c r="L128" s="39">
        <f>資料儲存!E220</f>
        <v>0</v>
      </c>
      <c r="M128" s="39">
        <f>資料儲存!F220</f>
        <v>0</v>
      </c>
      <c r="N128" s="39">
        <f>資料儲存!G220</f>
        <v>0</v>
      </c>
      <c r="O128" s="39">
        <f>資料儲存!H220</f>
        <v>0</v>
      </c>
      <c r="P128" s="39">
        <f>資料儲存!I220</f>
        <v>0</v>
      </c>
      <c r="Q128" s="39">
        <f>資料儲存!J220</f>
        <v>0</v>
      </c>
      <c r="R128" s="35"/>
      <c r="S128" s="38">
        <v>9</v>
      </c>
      <c r="T128" s="39">
        <f>資料儲存!D340</f>
        <v>0</v>
      </c>
      <c r="U128" s="39">
        <f>資料儲存!E340</f>
        <v>0</v>
      </c>
      <c r="V128" s="39">
        <f>資料儲存!F340</f>
        <v>0</v>
      </c>
      <c r="W128" s="39">
        <f>資料儲存!G340</f>
        <v>0</v>
      </c>
      <c r="X128" s="39">
        <f>資料儲存!H340</f>
        <v>0</v>
      </c>
      <c r="Y128" s="39">
        <f>資料儲存!I340</f>
        <v>0</v>
      </c>
      <c r="Z128" s="39">
        <f>資料儲存!J340</f>
        <v>0</v>
      </c>
      <c r="AA128" s="35"/>
      <c r="AB128" s="38">
        <v>9</v>
      </c>
      <c r="AC128" s="39">
        <f>資料儲存!D460</f>
        <v>0</v>
      </c>
      <c r="AD128" s="39">
        <f>資料儲存!E460</f>
        <v>0</v>
      </c>
      <c r="AE128" s="39">
        <f>資料儲存!F460</f>
        <v>0</v>
      </c>
      <c r="AF128" s="39">
        <f>資料儲存!G460</f>
        <v>0</v>
      </c>
      <c r="AG128" s="39">
        <f>資料儲存!H460</f>
        <v>0</v>
      </c>
      <c r="AH128" s="39">
        <f>資料儲存!I460</f>
        <v>0</v>
      </c>
      <c r="AI128" s="39">
        <f>資料儲存!J460</f>
        <v>0</v>
      </c>
      <c r="AJ128" s="13"/>
    </row>
    <row r="129" spans="1:36" ht="16" thickBot="1">
      <c r="A129" s="38">
        <v>10</v>
      </c>
      <c r="B129" s="39">
        <f>資料儲存!D101</f>
        <v>0</v>
      </c>
      <c r="C129" s="39">
        <f>資料儲存!E101</f>
        <v>0</v>
      </c>
      <c r="D129" s="39">
        <f>資料儲存!F101</f>
        <v>0</v>
      </c>
      <c r="E129" s="39">
        <f>資料儲存!G101</f>
        <v>0</v>
      </c>
      <c r="F129" s="39">
        <f>資料儲存!H101</f>
        <v>0</v>
      </c>
      <c r="G129" s="39">
        <f>資料儲存!I101</f>
        <v>0</v>
      </c>
      <c r="H129" s="39">
        <f>資料儲存!J101</f>
        <v>0</v>
      </c>
      <c r="I129" s="35"/>
      <c r="J129" s="38">
        <v>10</v>
      </c>
      <c r="K129" s="39">
        <f>資料儲存!D221</f>
        <v>0</v>
      </c>
      <c r="L129" s="39">
        <f>資料儲存!E221</f>
        <v>0</v>
      </c>
      <c r="M129" s="39">
        <f>資料儲存!F221</f>
        <v>0</v>
      </c>
      <c r="N129" s="39">
        <f>資料儲存!G221</f>
        <v>0</v>
      </c>
      <c r="O129" s="39">
        <f>資料儲存!H221</f>
        <v>0</v>
      </c>
      <c r="P129" s="39">
        <f>資料儲存!I221</f>
        <v>0</v>
      </c>
      <c r="Q129" s="39">
        <f>資料儲存!J221</f>
        <v>0</v>
      </c>
      <c r="R129" s="35"/>
      <c r="S129" s="38">
        <v>10</v>
      </c>
      <c r="T129" s="39">
        <f>資料儲存!D341</f>
        <v>0</v>
      </c>
      <c r="U129" s="39">
        <f>資料儲存!E341</f>
        <v>0</v>
      </c>
      <c r="V129" s="39">
        <f>資料儲存!F341</f>
        <v>0</v>
      </c>
      <c r="W129" s="39">
        <f>資料儲存!G341</f>
        <v>0</v>
      </c>
      <c r="X129" s="39">
        <f>資料儲存!H341</f>
        <v>0</v>
      </c>
      <c r="Y129" s="39">
        <f>資料儲存!I341</f>
        <v>0</v>
      </c>
      <c r="Z129" s="39">
        <f>資料儲存!J341</f>
        <v>0</v>
      </c>
      <c r="AA129" s="35"/>
      <c r="AB129" s="38">
        <v>10</v>
      </c>
      <c r="AC129" s="39">
        <f>資料儲存!D461</f>
        <v>0</v>
      </c>
      <c r="AD129" s="39">
        <f>資料儲存!E461</f>
        <v>0</v>
      </c>
      <c r="AE129" s="39">
        <f>資料儲存!F461</f>
        <v>0</v>
      </c>
      <c r="AF129" s="39">
        <f>資料儲存!G461</f>
        <v>0</v>
      </c>
      <c r="AG129" s="39">
        <f>資料儲存!H461</f>
        <v>0</v>
      </c>
      <c r="AH129" s="39">
        <f>資料儲存!I461</f>
        <v>0</v>
      </c>
      <c r="AI129" s="39">
        <f>資料儲存!J461</f>
        <v>0</v>
      </c>
      <c r="AJ129" s="13"/>
    </row>
    <row r="130" spans="1:36" ht="16" thickBot="1">
      <c r="A130" s="38">
        <v>11</v>
      </c>
      <c r="B130" s="39">
        <f>資料儲存!D102</f>
        <v>0</v>
      </c>
      <c r="C130" s="39">
        <f>資料儲存!E102</f>
        <v>0</v>
      </c>
      <c r="D130" s="39">
        <f>資料儲存!F102</f>
        <v>0</v>
      </c>
      <c r="E130" s="39">
        <f>資料儲存!G102</f>
        <v>0</v>
      </c>
      <c r="F130" s="39">
        <f>資料儲存!H102</f>
        <v>0</v>
      </c>
      <c r="G130" s="39">
        <f>資料儲存!I102</f>
        <v>0</v>
      </c>
      <c r="H130" s="39">
        <f>資料儲存!J102</f>
        <v>0</v>
      </c>
      <c r="I130" s="35"/>
      <c r="J130" s="38">
        <v>11</v>
      </c>
      <c r="K130" s="39">
        <f>資料儲存!D222</f>
        <v>0</v>
      </c>
      <c r="L130" s="39">
        <f>資料儲存!E222</f>
        <v>0</v>
      </c>
      <c r="M130" s="39">
        <f>資料儲存!F222</f>
        <v>0</v>
      </c>
      <c r="N130" s="39">
        <f>資料儲存!G222</f>
        <v>0</v>
      </c>
      <c r="O130" s="39">
        <f>資料儲存!H222</f>
        <v>0</v>
      </c>
      <c r="P130" s="39">
        <f>資料儲存!I222</f>
        <v>0</v>
      </c>
      <c r="Q130" s="39">
        <f>資料儲存!J222</f>
        <v>0</v>
      </c>
      <c r="R130" s="35"/>
      <c r="S130" s="38">
        <v>11</v>
      </c>
      <c r="T130" s="39">
        <f>資料儲存!D342</f>
        <v>0</v>
      </c>
      <c r="U130" s="39">
        <f>資料儲存!E342</f>
        <v>0</v>
      </c>
      <c r="V130" s="39">
        <f>資料儲存!F342</f>
        <v>0</v>
      </c>
      <c r="W130" s="39">
        <f>資料儲存!G342</f>
        <v>0</v>
      </c>
      <c r="X130" s="39">
        <f>資料儲存!H342</f>
        <v>0</v>
      </c>
      <c r="Y130" s="39">
        <f>資料儲存!I342</f>
        <v>0</v>
      </c>
      <c r="Z130" s="39">
        <f>資料儲存!J342</f>
        <v>0</v>
      </c>
      <c r="AA130" s="35"/>
      <c r="AB130" s="38">
        <v>11</v>
      </c>
      <c r="AC130" s="39">
        <f>資料儲存!D462</f>
        <v>0</v>
      </c>
      <c r="AD130" s="39">
        <f>資料儲存!E462</f>
        <v>0</v>
      </c>
      <c r="AE130" s="39">
        <f>資料儲存!F462</f>
        <v>0</v>
      </c>
      <c r="AF130" s="39">
        <f>資料儲存!G462</f>
        <v>0</v>
      </c>
      <c r="AG130" s="39">
        <f>資料儲存!H462</f>
        <v>0</v>
      </c>
      <c r="AH130" s="39">
        <f>資料儲存!I462</f>
        <v>0</v>
      </c>
      <c r="AI130" s="39">
        <f>資料儲存!J462</f>
        <v>0</v>
      </c>
      <c r="AJ130" s="13"/>
    </row>
    <row r="131" spans="1:36" ht="16" thickBot="1">
      <c r="A131" s="38">
        <v>12</v>
      </c>
      <c r="B131" s="39">
        <f>資料儲存!D103</f>
        <v>0</v>
      </c>
      <c r="C131" s="39">
        <f>資料儲存!E103</f>
        <v>0</v>
      </c>
      <c r="D131" s="39">
        <f>資料儲存!F103</f>
        <v>0</v>
      </c>
      <c r="E131" s="39">
        <f>資料儲存!G103</f>
        <v>0</v>
      </c>
      <c r="F131" s="39">
        <f>資料儲存!H103</f>
        <v>0</v>
      </c>
      <c r="G131" s="39">
        <f>資料儲存!I103</f>
        <v>0</v>
      </c>
      <c r="H131" s="39">
        <f>資料儲存!J103</f>
        <v>0</v>
      </c>
      <c r="I131" s="35"/>
      <c r="J131" s="38">
        <v>12</v>
      </c>
      <c r="K131" s="39">
        <f>資料儲存!D223</f>
        <v>0</v>
      </c>
      <c r="L131" s="39">
        <f>資料儲存!E223</f>
        <v>0</v>
      </c>
      <c r="M131" s="39">
        <f>資料儲存!F223</f>
        <v>0</v>
      </c>
      <c r="N131" s="39">
        <f>資料儲存!G223</f>
        <v>0</v>
      </c>
      <c r="O131" s="39">
        <f>資料儲存!H223</f>
        <v>0</v>
      </c>
      <c r="P131" s="39">
        <f>資料儲存!I223</f>
        <v>0</v>
      </c>
      <c r="Q131" s="39">
        <f>資料儲存!J223</f>
        <v>0</v>
      </c>
      <c r="R131" s="35"/>
      <c r="S131" s="38">
        <v>12</v>
      </c>
      <c r="T131" s="39">
        <f>資料儲存!D343</f>
        <v>0</v>
      </c>
      <c r="U131" s="39">
        <f>資料儲存!E343</f>
        <v>0</v>
      </c>
      <c r="V131" s="39">
        <f>資料儲存!F343</f>
        <v>0</v>
      </c>
      <c r="W131" s="39">
        <f>資料儲存!G343</f>
        <v>0</v>
      </c>
      <c r="X131" s="39">
        <f>資料儲存!H343</f>
        <v>0</v>
      </c>
      <c r="Y131" s="39">
        <f>資料儲存!I343</f>
        <v>0</v>
      </c>
      <c r="Z131" s="39">
        <f>資料儲存!J343</f>
        <v>0</v>
      </c>
      <c r="AA131" s="35"/>
      <c r="AB131" s="38">
        <v>12</v>
      </c>
      <c r="AC131" s="39">
        <f>資料儲存!D463</f>
        <v>0</v>
      </c>
      <c r="AD131" s="39">
        <f>資料儲存!E463</f>
        <v>0</v>
      </c>
      <c r="AE131" s="39">
        <f>資料儲存!F463</f>
        <v>0</v>
      </c>
      <c r="AF131" s="39">
        <f>資料儲存!G463</f>
        <v>0</v>
      </c>
      <c r="AG131" s="39">
        <f>資料儲存!H463</f>
        <v>0</v>
      </c>
      <c r="AH131" s="39">
        <f>資料儲存!I463</f>
        <v>0</v>
      </c>
      <c r="AI131" s="39">
        <f>資料儲存!J463</f>
        <v>0</v>
      </c>
      <c r="AJ131" s="13"/>
    </row>
    <row r="132" spans="1:36" ht="16" thickBot="1">
      <c r="A132" s="38">
        <v>13</v>
      </c>
      <c r="B132" s="39">
        <f>資料儲存!D104</f>
        <v>0</v>
      </c>
      <c r="C132" s="39">
        <f>資料儲存!E104</f>
        <v>0</v>
      </c>
      <c r="D132" s="39">
        <f>資料儲存!F104</f>
        <v>0</v>
      </c>
      <c r="E132" s="39">
        <f>資料儲存!G104</f>
        <v>0</v>
      </c>
      <c r="F132" s="39">
        <f>資料儲存!H104</f>
        <v>0</v>
      </c>
      <c r="G132" s="39">
        <f>資料儲存!I104</f>
        <v>0</v>
      </c>
      <c r="H132" s="39">
        <f>資料儲存!J104</f>
        <v>0</v>
      </c>
      <c r="I132" s="35"/>
      <c r="J132" s="38">
        <v>13</v>
      </c>
      <c r="K132" s="39">
        <f>資料儲存!D224</f>
        <v>0</v>
      </c>
      <c r="L132" s="39">
        <f>資料儲存!E224</f>
        <v>0</v>
      </c>
      <c r="M132" s="39">
        <f>資料儲存!F224</f>
        <v>0</v>
      </c>
      <c r="N132" s="39">
        <f>資料儲存!G224</f>
        <v>0</v>
      </c>
      <c r="O132" s="39">
        <f>資料儲存!H224</f>
        <v>0</v>
      </c>
      <c r="P132" s="39">
        <f>資料儲存!I224</f>
        <v>0</v>
      </c>
      <c r="Q132" s="39">
        <f>資料儲存!J224</f>
        <v>0</v>
      </c>
      <c r="R132" s="35"/>
      <c r="S132" s="38">
        <v>13</v>
      </c>
      <c r="T132" s="39">
        <f>資料儲存!D344</f>
        <v>0</v>
      </c>
      <c r="U132" s="39">
        <f>資料儲存!E344</f>
        <v>0</v>
      </c>
      <c r="V132" s="39">
        <f>資料儲存!F344</f>
        <v>0</v>
      </c>
      <c r="W132" s="39">
        <f>資料儲存!G344</f>
        <v>0</v>
      </c>
      <c r="X132" s="39">
        <f>資料儲存!H344</f>
        <v>0</v>
      </c>
      <c r="Y132" s="39">
        <f>資料儲存!I344</f>
        <v>0</v>
      </c>
      <c r="Z132" s="39">
        <f>資料儲存!J344</f>
        <v>0</v>
      </c>
      <c r="AA132" s="35"/>
      <c r="AB132" s="38">
        <v>13</v>
      </c>
      <c r="AC132" s="39">
        <f>資料儲存!D464</f>
        <v>0</v>
      </c>
      <c r="AD132" s="39">
        <f>資料儲存!E464</f>
        <v>0</v>
      </c>
      <c r="AE132" s="39">
        <f>資料儲存!F464</f>
        <v>0</v>
      </c>
      <c r="AF132" s="39">
        <f>資料儲存!G464</f>
        <v>0</v>
      </c>
      <c r="AG132" s="39">
        <f>資料儲存!H464</f>
        <v>0</v>
      </c>
      <c r="AH132" s="39">
        <f>資料儲存!I464</f>
        <v>0</v>
      </c>
      <c r="AI132" s="39">
        <f>資料儲存!J464</f>
        <v>0</v>
      </c>
      <c r="AJ132" s="13"/>
    </row>
    <row r="133" spans="1:36" ht="16" thickBot="1">
      <c r="A133" s="38">
        <v>14</v>
      </c>
      <c r="B133" s="39">
        <f>資料儲存!D105</f>
        <v>0</v>
      </c>
      <c r="C133" s="39">
        <f>資料儲存!E105</f>
        <v>0</v>
      </c>
      <c r="D133" s="39">
        <f>資料儲存!F105</f>
        <v>0</v>
      </c>
      <c r="E133" s="39">
        <f>資料儲存!G105</f>
        <v>0</v>
      </c>
      <c r="F133" s="39">
        <f>資料儲存!H105</f>
        <v>0</v>
      </c>
      <c r="G133" s="39">
        <f>資料儲存!I105</f>
        <v>0</v>
      </c>
      <c r="H133" s="39">
        <f>資料儲存!J105</f>
        <v>0</v>
      </c>
      <c r="I133" s="35"/>
      <c r="J133" s="38">
        <v>14</v>
      </c>
      <c r="K133" s="39">
        <f>資料儲存!D225</f>
        <v>0</v>
      </c>
      <c r="L133" s="39">
        <f>資料儲存!E225</f>
        <v>0</v>
      </c>
      <c r="M133" s="39">
        <f>資料儲存!F225</f>
        <v>0</v>
      </c>
      <c r="N133" s="39">
        <f>資料儲存!G225</f>
        <v>0</v>
      </c>
      <c r="O133" s="39">
        <f>資料儲存!H225</f>
        <v>0</v>
      </c>
      <c r="P133" s="39">
        <f>資料儲存!I225</f>
        <v>0</v>
      </c>
      <c r="Q133" s="39">
        <f>資料儲存!J225</f>
        <v>0</v>
      </c>
      <c r="R133" s="35"/>
      <c r="S133" s="38">
        <v>14</v>
      </c>
      <c r="T133" s="39">
        <f>資料儲存!D345</f>
        <v>0</v>
      </c>
      <c r="U133" s="39">
        <f>資料儲存!E345</f>
        <v>0</v>
      </c>
      <c r="V133" s="39">
        <f>資料儲存!F345</f>
        <v>0</v>
      </c>
      <c r="W133" s="39">
        <f>資料儲存!G345</f>
        <v>0</v>
      </c>
      <c r="X133" s="39">
        <f>資料儲存!H345</f>
        <v>0</v>
      </c>
      <c r="Y133" s="39">
        <f>資料儲存!I345</f>
        <v>0</v>
      </c>
      <c r="Z133" s="39">
        <f>資料儲存!J345</f>
        <v>0</v>
      </c>
      <c r="AA133" s="35"/>
      <c r="AB133" s="38">
        <v>14</v>
      </c>
      <c r="AC133" s="39">
        <f>資料儲存!D465</f>
        <v>0</v>
      </c>
      <c r="AD133" s="39">
        <f>資料儲存!E465</f>
        <v>0</v>
      </c>
      <c r="AE133" s="39">
        <f>資料儲存!F465</f>
        <v>0</v>
      </c>
      <c r="AF133" s="39">
        <f>資料儲存!G465</f>
        <v>0</v>
      </c>
      <c r="AG133" s="39">
        <f>資料儲存!H465</f>
        <v>0</v>
      </c>
      <c r="AH133" s="39">
        <f>資料儲存!I465</f>
        <v>0</v>
      </c>
      <c r="AI133" s="39">
        <f>資料儲存!J465</f>
        <v>0</v>
      </c>
      <c r="AJ133" s="13"/>
    </row>
    <row r="134" spans="1:36" ht="16" thickBot="1">
      <c r="A134" s="38">
        <v>15</v>
      </c>
      <c r="B134" s="39">
        <f>資料儲存!D106</f>
        <v>0</v>
      </c>
      <c r="C134" s="39">
        <f>資料儲存!E106</f>
        <v>0</v>
      </c>
      <c r="D134" s="39">
        <f>資料儲存!F106</f>
        <v>0</v>
      </c>
      <c r="E134" s="39">
        <f>資料儲存!G106</f>
        <v>0</v>
      </c>
      <c r="F134" s="39">
        <f>資料儲存!H106</f>
        <v>0</v>
      </c>
      <c r="G134" s="39">
        <f>資料儲存!I106</f>
        <v>0</v>
      </c>
      <c r="H134" s="39">
        <f>資料儲存!J106</f>
        <v>0</v>
      </c>
      <c r="I134" s="35"/>
      <c r="J134" s="38">
        <v>15</v>
      </c>
      <c r="K134" s="39">
        <f>資料儲存!D226</f>
        <v>0</v>
      </c>
      <c r="L134" s="39">
        <f>資料儲存!E226</f>
        <v>0</v>
      </c>
      <c r="M134" s="39">
        <f>資料儲存!F226</f>
        <v>0</v>
      </c>
      <c r="N134" s="39">
        <f>資料儲存!G226</f>
        <v>0</v>
      </c>
      <c r="O134" s="39">
        <f>資料儲存!H226</f>
        <v>0</v>
      </c>
      <c r="P134" s="39">
        <f>資料儲存!I226</f>
        <v>0</v>
      </c>
      <c r="Q134" s="39">
        <f>資料儲存!J226</f>
        <v>0</v>
      </c>
      <c r="R134" s="35"/>
      <c r="S134" s="38">
        <v>15</v>
      </c>
      <c r="T134" s="39">
        <f>資料儲存!D346</f>
        <v>0</v>
      </c>
      <c r="U134" s="39">
        <f>資料儲存!E346</f>
        <v>0</v>
      </c>
      <c r="V134" s="39">
        <f>資料儲存!F346</f>
        <v>0</v>
      </c>
      <c r="W134" s="39">
        <f>資料儲存!G346</f>
        <v>0</v>
      </c>
      <c r="X134" s="39">
        <f>資料儲存!H346</f>
        <v>0</v>
      </c>
      <c r="Y134" s="39">
        <f>資料儲存!I346</f>
        <v>0</v>
      </c>
      <c r="Z134" s="39">
        <f>資料儲存!J346</f>
        <v>0</v>
      </c>
      <c r="AA134" s="35"/>
      <c r="AB134" s="38">
        <v>15</v>
      </c>
      <c r="AC134" s="39">
        <f>資料儲存!D466</f>
        <v>0</v>
      </c>
      <c r="AD134" s="39">
        <f>資料儲存!E466</f>
        <v>0</v>
      </c>
      <c r="AE134" s="39">
        <f>資料儲存!F466</f>
        <v>0</v>
      </c>
      <c r="AF134" s="39">
        <f>資料儲存!G466</f>
        <v>0</v>
      </c>
      <c r="AG134" s="39">
        <f>資料儲存!H466</f>
        <v>0</v>
      </c>
      <c r="AH134" s="39">
        <f>資料儲存!I466</f>
        <v>0</v>
      </c>
      <c r="AI134" s="39">
        <f>資料儲存!J466</f>
        <v>0</v>
      </c>
      <c r="AJ134" s="13"/>
    </row>
    <row r="135" spans="1:36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13"/>
    </row>
    <row r="136" spans="1:36" ht="18.5" thickBot="1">
      <c r="A136" s="250" t="s">
        <v>65</v>
      </c>
      <c r="B136" s="251"/>
      <c r="C136" s="251"/>
      <c r="D136" s="251"/>
      <c r="E136" s="251"/>
      <c r="F136" s="251"/>
      <c r="G136" s="251"/>
      <c r="H136" s="252"/>
      <c r="I136" s="13"/>
      <c r="J136" s="250" t="s">
        <v>65</v>
      </c>
      <c r="K136" s="251"/>
      <c r="L136" s="251"/>
      <c r="M136" s="251"/>
      <c r="N136" s="251"/>
      <c r="O136" s="251"/>
      <c r="P136" s="251"/>
      <c r="Q136" s="252"/>
      <c r="R136" s="13"/>
      <c r="S136" s="250" t="s">
        <v>65</v>
      </c>
      <c r="T136" s="251"/>
      <c r="U136" s="251"/>
      <c r="V136" s="251"/>
      <c r="W136" s="251"/>
      <c r="X136" s="251"/>
      <c r="Y136" s="251"/>
      <c r="Z136" s="252"/>
      <c r="AA136" s="13"/>
      <c r="AB136" s="250" t="s">
        <v>65</v>
      </c>
      <c r="AC136" s="251"/>
      <c r="AD136" s="251"/>
      <c r="AE136" s="251"/>
      <c r="AF136" s="251"/>
      <c r="AG136" s="251"/>
      <c r="AH136" s="251"/>
      <c r="AI136" s="252"/>
      <c r="AJ136" s="13"/>
    </row>
    <row r="137" spans="1:36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</row>
    <row r="138" spans="1:36" ht="16" thickBot="1">
      <c r="A138" s="46" t="s">
        <v>66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 t="s">
        <v>66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 t="s">
        <v>66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 t="s">
        <v>66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</row>
    <row r="139" spans="1:36" ht="16" thickBot="1">
      <c r="A139" s="48">
        <v>16</v>
      </c>
      <c r="B139" s="49">
        <f>資料儲存!D107</f>
        <v>0</v>
      </c>
      <c r="C139" s="49">
        <f>資料儲存!E107</f>
        <v>0</v>
      </c>
      <c r="D139" s="49">
        <f>資料儲存!F107</f>
        <v>0</v>
      </c>
      <c r="E139" s="49">
        <f>資料儲存!G107</f>
        <v>0</v>
      </c>
      <c r="F139" s="49">
        <f>資料儲存!H107</f>
        <v>0</v>
      </c>
      <c r="G139" s="49">
        <f>資料儲存!I107</f>
        <v>0</v>
      </c>
      <c r="H139" s="49">
        <f>資料儲存!J107</f>
        <v>0</v>
      </c>
      <c r="I139" s="45"/>
      <c r="J139" s="48">
        <v>16</v>
      </c>
      <c r="K139" s="49">
        <f>資料儲存!D227</f>
        <v>0</v>
      </c>
      <c r="L139" s="49">
        <f>資料儲存!E227</f>
        <v>0</v>
      </c>
      <c r="M139" s="49">
        <f>資料儲存!F227</f>
        <v>0</v>
      </c>
      <c r="N139" s="49">
        <f>資料儲存!G227</f>
        <v>0</v>
      </c>
      <c r="O139" s="49">
        <f>資料儲存!H227</f>
        <v>0</v>
      </c>
      <c r="P139" s="49">
        <f>資料儲存!I227</f>
        <v>0</v>
      </c>
      <c r="Q139" s="49">
        <f>資料儲存!J227</f>
        <v>0</v>
      </c>
      <c r="R139" s="45"/>
      <c r="S139" s="48">
        <v>16</v>
      </c>
      <c r="T139" s="49">
        <f>資料儲存!D347</f>
        <v>0</v>
      </c>
      <c r="U139" s="49">
        <f>資料儲存!E347</f>
        <v>0</v>
      </c>
      <c r="V139" s="49">
        <f>資料儲存!F347</f>
        <v>0</v>
      </c>
      <c r="W139" s="49">
        <f>資料儲存!G347</f>
        <v>0</v>
      </c>
      <c r="X139" s="49">
        <f>資料儲存!H347</f>
        <v>0</v>
      </c>
      <c r="Y139" s="49">
        <f>資料儲存!I347</f>
        <v>0</v>
      </c>
      <c r="Z139" s="49">
        <f>資料儲存!J347</f>
        <v>0</v>
      </c>
      <c r="AA139" s="45"/>
      <c r="AB139" s="48">
        <v>16</v>
      </c>
      <c r="AC139" s="49">
        <f>資料儲存!D467</f>
        <v>0</v>
      </c>
      <c r="AD139" s="49">
        <f>資料儲存!E467</f>
        <v>0</v>
      </c>
      <c r="AE139" s="49">
        <f>資料儲存!F467</f>
        <v>0</v>
      </c>
      <c r="AF139" s="49">
        <f>資料儲存!G467</f>
        <v>0</v>
      </c>
      <c r="AG139" s="49">
        <f>資料儲存!H467</f>
        <v>0</v>
      </c>
      <c r="AH139" s="49">
        <f>資料儲存!I467</f>
        <v>0</v>
      </c>
      <c r="AI139" s="49">
        <f>資料儲存!J467</f>
        <v>0</v>
      </c>
      <c r="AJ139" s="13"/>
    </row>
    <row r="140" spans="1:36" ht="16" thickBot="1">
      <c r="A140" s="48">
        <v>17</v>
      </c>
      <c r="B140" s="49">
        <f>資料儲存!D108</f>
        <v>0</v>
      </c>
      <c r="C140" s="49">
        <f>資料儲存!E108</f>
        <v>0</v>
      </c>
      <c r="D140" s="49">
        <f>資料儲存!F108</f>
        <v>0</v>
      </c>
      <c r="E140" s="49">
        <f>資料儲存!G108</f>
        <v>0</v>
      </c>
      <c r="F140" s="49">
        <f>資料儲存!H108</f>
        <v>0</v>
      </c>
      <c r="G140" s="49">
        <f>資料儲存!I108</f>
        <v>0</v>
      </c>
      <c r="H140" s="49">
        <f>資料儲存!J108</f>
        <v>0</v>
      </c>
      <c r="I140" s="45"/>
      <c r="J140" s="48">
        <v>17</v>
      </c>
      <c r="K140" s="49">
        <f>資料儲存!D228</f>
        <v>0</v>
      </c>
      <c r="L140" s="49">
        <f>資料儲存!E228</f>
        <v>0</v>
      </c>
      <c r="M140" s="49">
        <f>資料儲存!F228</f>
        <v>0</v>
      </c>
      <c r="N140" s="49">
        <f>資料儲存!G228</f>
        <v>0</v>
      </c>
      <c r="O140" s="49">
        <f>資料儲存!H228</f>
        <v>0</v>
      </c>
      <c r="P140" s="49">
        <f>資料儲存!I228</f>
        <v>0</v>
      </c>
      <c r="Q140" s="49">
        <f>資料儲存!J228</f>
        <v>0</v>
      </c>
      <c r="R140" s="45"/>
      <c r="S140" s="48">
        <v>17</v>
      </c>
      <c r="T140" s="49">
        <f>資料儲存!D348</f>
        <v>0</v>
      </c>
      <c r="U140" s="49">
        <f>資料儲存!E348</f>
        <v>0</v>
      </c>
      <c r="V140" s="49">
        <f>資料儲存!F348</f>
        <v>0</v>
      </c>
      <c r="W140" s="49">
        <f>資料儲存!G348</f>
        <v>0</v>
      </c>
      <c r="X140" s="49">
        <f>資料儲存!H348</f>
        <v>0</v>
      </c>
      <c r="Y140" s="49">
        <f>資料儲存!I348</f>
        <v>0</v>
      </c>
      <c r="Z140" s="49">
        <f>資料儲存!J348</f>
        <v>0</v>
      </c>
      <c r="AA140" s="45"/>
      <c r="AB140" s="48">
        <v>17</v>
      </c>
      <c r="AC140" s="49">
        <f>資料儲存!D468</f>
        <v>0</v>
      </c>
      <c r="AD140" s="49">
        <f>資料儲存!E468</f>
        <v>0</v>
      </c>
      <c r="AE140" s="49">
        <f>資料儲存!F468</f>
        <v>0</v>
      </c>
      <c r="AF140" s="49">
        <f>資料儲存!G468</f>
        <v>0</v>
      </c>
      <c r="AG140" s="49">
        <f>資料儲存!H468</f>
        <v>0</v>
      </c>
      <c r="AH140" s="49">
        <f>資料儲存!I468</f>
        <v>0</v>
      </c>
      <c r="AI140" s="49">
        <f>資料儲存!J468</f>
        <v>0</v>
      </c>
      <c r="AJ140" s="13"/>
    </row>
    <row r="141" spans="1:36" ht="16" thickBot="1">
      <c r="A141" s="48">
        <v>18</v>
      </c>
      <c r="B141" s="49">
        <f>資料儲存!D109</f>
        <v>0</v>
      </c>
      <c r="C141" s="49">
        <f>資料儲存!E109</f>
        <v>0</v>
      </c>
      <c r="D141" s="49">
        <f>資料儲存!F109</f>
        <v>0</v>
      </c>
      <c r="E141" s="49">
        <f>資料儲存!G109</f>
        <v>0</v>
      </c>
      <c r="F141" s="49">
        <f>資料儲存!H109</f>
        <v>0</v>
      </c>
      <c r="G141" s="49">
        <f>資料儲存!I109</f>
        <v>0</v>
      </c>
      <c r="H141" s="49">
        <f>資料儲存!J109</f>
        <v>0</v>
      </c>
      <c r="I141" s="45"/>
      <c r="J141" s="48">
        <v>18</v>
      </c>
      <c r="K141" s="49">
        <f>資料儲存!D229</f>
        <v>0</v>
      </c>
      <c r="L141" s="49">
        <f>資料儲存!E229</f>
        <v>0</v>
      </c>
      <c r="M141" s="49">
        <f>資料儲存!F229</f>
        <v>0</v>
      </c>
      <c r="N141" s="49">
        <f>資料儲存!G229</f>
        <v>0</v>
      </c>
      <c r="O141" s="49">
        <f>資料儲存!H229</f>
        <v>0</v>
      </c>
      <c r="P141" s="49">
        <f>資料儲存!I229</f>
        <v>0</v>
      </c>
      <c r="Q141" s="49">
        <f>資料儲存!J229</f>
        <v>0</v>
      </c>
      <c r="R141" s="45"/>
      <c r="S141" s="48">
        <v>18</v>
      </c>
      <c r="T141" s="49">
        <f>資料儲存!D349</f>
        <v>0</v>
      </c>
      <c r="U141" s="49">
        <f>資料儲存!E349</f>
        <v>0</v>
      </c>
      <c r="V141" s="49">
        <f>資料儲存!F349</f>
        <v>0</v>
      </c>
      <c r="W141" s="49">
        <f>資料儲存!G349</f>
        <v>0</v>
      </c>
      <c r="X141" s="49">
        <f>資料儲存!H349</f>
        <v>0</v>
      </c>
      <c r="Y141" s="49">
        <f>資料儲存!I349</f>
        <v>0</v>
      </c>
      <c r="Z141" s="49">
        <f>資料儲存!J349</f>
        <v>0</v>
      </c>
      <c r="AA141" s="45"/>
      <c r="AB141" s="48">
        <v>18</v>
      </c>
      <c r="AC141" s="49">
        <f>資料儲存!D469</f>
        <v>0</v>
      </c>
      <c r="AD141" s="49">
        <f>資料儲存!E469</f>
        <v>0</v>
      </c>
      <c r="AE141" s="49">
        <f>資料儲存!F469</f>
        <v>0</v>
      </c>
      <c r="AF141" s="49">
        <f>資料儲存!G469</f>
        <v>0</v>
      </c>
      <c r="AG141" s="49">
        <f>資料儲存!H469</f>
        <v>0</v>
      </c>
      <c r="AH141" s="49">
        <f>資料儲存!I469</f>
        <v>0</v>
      </c>
      <c r="AI141" s="49">
        <f>資料儲存!J469</f>
        <v>0</v>
      </c>
      <c r="AJ141" s="13"/>
    </row>
    <row r="142" spans="1:36" ht="16" thickBot="1">
      <c r="A142" s="48">
        <v>19</v>
      </c>
      <c r="B142" s="49">
        <f>資料儲存!D110</f>
        <v>0</v>
      </c>
      <c r="C142" s="49">
        <f>資料儲存!E110</f>
        <v>0</v>
      </c>
      <c r="D142" s="49">
        <f>資料儲存!F110</f>
        <v>0</v>
      </c>
      <c r="E142" s="49">
        <f>資料儲存!G110</f>
        <v>0</v>
      </c>
      <c r="F142" s="49">
        <f>資料儲存!H110</f>
        <v>0</v>
      </c>
      <c r="G142" s="49">
        <f>資料儲存!I110</f>
        <v>0</v>
      </c>
      <c r="H142" s="49">
        <f>資料儲存!J110</f>
        <v>0</v>
      </c>
      <c r="I142" s="45"/>
      <c r="J142" s="48">
        <v>19</v>
      </c>
      <c r="K142" s="49">
        <f>資料儲存!D230</f>
        <v>0</v>
      </c>
      <c r="L142" s="49">
        <f>資料儲存!E230</f>
        <v>0</v>
      </c>
      <c r="M142" s="49">
        <f>資料儲存!F230</f>
        <v>0</v>
      </c>
      <c r="N142" s="49">
        <f>資料儲存!G230</f>
        <v>0</v>
      </c>
      <c r="O142" s="49">
        <f>資料儲存!H230</f>
        <v>0</v>
      </c>
      <c r="P142" s="49">
        <f>資料儲存!I230</f>
        <v>0</v>
      </c>
      <c r="Q142" s="49">
        <f>資料儲存!J230</f>
        <v>0</v>
      </c>
      <c r="R142" s="45"/>
      <c r="S142" s="48">
        <v>19</v>
      </c>
      <c r="T142" s="49">
        <f>資料儲存!D350</f>
        <v>0</v>
      </c>
      <c r="U142" s="49">
        <f>資料儲存!E350</f>
        <v>0</v>
      </c>
      <c r="V142" s="49">
        <f>資料儲存!F350</f>
        <v>0</v>
      </c>
      <c r="W142" s="49">
        <f>資料儲存!G350</f>
        <v>0</v>
      </c>
      <c r="X142" s="49">
        <f>資料儲存!H350</f>
        <v>0</v>
      </c>
      <c r="Y142" s="49">
        <f>資料儲存!I350</f>
        <v>0</v>
      </c>
      <c r="Z142" s="49">
        <f>資料儲存!J350</f>
        <v>0</v>
      </c>
      <c r="AA142" s="45"/>
      <c r="AB142" s="48">
        <v>19</v>
      </c>
      <c r="AC142" s="49">
        <f>資料儲存!D470</f>
        <v>0</v>
      </c>
      <c r="AD142" s="49">
        <f>資料儲存!E470</f>
        <v>0</v>
      </c>
      <c r="AE142" s="49">
        <f>資料儲存!F470</f>
        <v>0</v>
      </c>
      <c r="AF142" s="49">
        <f>資料儲存!G470</f>
        <v>0</v>
      </c>
      <c r="AG142" s="49">
        <f>資料儲存!H470</f>
        <v>0</v>
      </c>
      <c r="AH142" s="49">
        <f>資料儲存!I470</f>
        <v>0</v>
      </c>
      <c r="AI142" s="49">
        <f>資料儲存!J470</f>
        <v>0</v>
      </c>
      <c r="AJ142" s="13"/>
    </row>
    <row r="143" spans="1:36" ht="16" thickBot="1">
      <c r="A143" s="48">
        <v>20</v>
      </c>
      <c r="B143" s="49">
        <f>資料儲存!D111</f>
        <v>0</v>
      </c>
      <c r="C143" s="49">
        <f>資料儲存!E111</f>
        <v>0</v>
      </c>
      <c r="D143" s="49">
        <f>資料儲存!F111</f>
        <v>0</v>
      </c>
      <c r="E143" s="49">
        <f>資料儲存!G111</f>
        <v>0</v>
      </c>
      <c r="F143" s="49">
        <f>資料儲存!H111</f>
        <v>0</v>
      </c>
      <c r="G143" s="49">
        <f>資料儲存!I111</f>
        <v>0</v>
      </c>
      <c r="H143" s="49">
        <f>資料儲存!J111</f>
        <v>0</v>
      </c>
      <c r="I143" s="45"/>
      <c r="J143" s="48">
        <v>20</v>
      </c>
      <c r="K143" s="49">
        <f>資料儲存!D231</f>
        <v>0</v>
      </c>
      <c r="L143" s="49">
        <f>資料儲存!E231</f>
        <v>0</v>
      </c>
      <c r="M143" s="49">
        <f>資料儲存!F231</f>
        <v>0</v>
      </c>
      <c r="N143" s="49">
        <f>資料儲存!G231</f>
        <v>0</v>
      </c>
      <c r="O143" s="49">
        <f>資料儲存!H231</f>
        <v>0</v>
      </c>
      <c r="P143" s="49">
        <f>資料儲存!I231</f>
        <v>0</v>
      </c>
      <c r="Q143" s="49">
        <f>資料儲存!J231</f>
        <v>0</v>
      </c>
      <c r="R143" s="45"/>
      <c r="S143" s="48">
        <v>20</v>
      </c>
      <c r="T143" s="49">
        <f>資料儲存!D351</f>
        <v>0</v>
      </c>
      <c r="U143" s="49">
        <f>資料儲存!E351</f>
        <v>0</v>
      </c>
      <c r="V143" s="49">
        <f>資料儲存!F351</f>
        <v>0</v>
      </c>
      <c r="W143" s="49">
        <f>資料儲存!G351</f>
        <v>0</v>
      </c>
      <c r="X143" s="49">
        <f>資料儲存!H351</f>
        <v>0</v>
      </c>
      <c r="Y143" s="49">
        <f>資料儲存!I351</f>
        <v>0</v>
      </c>
      <c r="Z143" s="49">
        <f>資料儲存!J351</f>
        <v>0</v>
      </c>
      <c r="AA143" s="45"/>
      <c r="AB143" s="48">
        <v>20</v>
      </c>
      <c r="AC143" s="49">
        <f>資料儲存!D471</f>
        <v>0</v>
      </c>
      <c r="AD143" s="49">
        <f>資料儲存!E471</f>
        <v>0</v>
      </c>
      <c r="AE143" s="49">
        <f>資料儲存!F471</f>
        <v>0</v>
      </c>
      <c r="AF143" s="49">
        <f>資料儲存!G471</f>
        <v>0</v>
      </c>
      <c r="AG143" s="49">
        <f>資料儲存!H471</f>
        <v>0</v>
      </c>
      <c r="AH143" s="49">
        <f>資料儲存!I471</f>
        <v>0</v>
      </c>
      <c r="AI143" s="49">
        <f>資料儲存!J471</f>
        <v>0</v>
      </c>
      <c r="AJ143" s="13"/>
    </row>
    <row r="144" spans="1:36" ht="16" thickBot="1">
      <c r="A144" s="48">
        <v>21</v>
      </c>
      <c r="B144" s="49">
        <f>資料儲存!D112</f>
        <v>0</v>
      </c>
      <c r="C144" s="49">
        <f>資料儲存!E112</f>
        <v>0</v>
      </c>
      <c r="D144" s="49">
        <f>資料儲存!F112</f>
        <v>0</v>
      </c>
      <c r="E144" s="49">
        <f>資料儲存!G112</f>
        <v>0</v>
      </c>
      <c r="F144" s="49">
        <f>資料儲存!H112</f>
        <v>0</v>
      </c>
      <c r="G144" s="49">
        <f>資料儲存!I112</f>
        <v>0</v>
      </c>
      <c r="H144" s="49">
        <f>資料儲存!J112</f>
        <v>0</v>
      </c>
      <c r="I144" s="45"/>
      <c r="J144" s="48">
        <v>21</v>
      </c>
      <c r="K144" s="49">
        <f>資料儲存!D232</f>
        <v>0</v>
      </c>
      <c r="L144" s="49">
        <f>資料儲存!E232</f>
        <v>0</v>
      </c>
      <c r="M144" s="49">
        <f>資料儲存!F232</f>
        <v>0</v>
      </c>
      <c r="N144" s="49">
        <f>資料儲存!G232</f>
        <v>0</v>
      </c>
      <c r="O144" s="49">
        <f>資料儲存!H232</f>
        <v>0</v>
      </c>
      <c r="P144" s="49">
        <f>資料儲存!I232</f>
        <v>0</v>
      </c>
      <c r="Q144" s="49">
        <f>資料儲存!J232</f>
        <v>0</v>
      </c>
      <c r="R144" s="45"/>
      <c r="S144" s="48">
        <v>21</v>
      </c>
      <c r="T144" s="49">
        <f>資料儲存!D352</f>
        <v>0</v>
      </c>
      <c r="U144" s="49">
        <f>資料儲存!E352</f>
        <v>0</v>
      </c>
      <c r="V144" s="49">
        <f>資料儲存!F352</f>
        <v>0</v>
      </c>
      <c r="W144" s="49">
        <f>資料儲存!G352</f>
        <v>0</v>
      </c>
      <c r="X144" s="49">
        <f>資料儲存!H352</f>
        <v>0</v>
      </c>
      <c r="Y144" s="49">
        <f>資料儲存!I352</f>
        <v>0</v>
      </c>
      <c r="Z144" s="49">
        <f>資料儲存!J352</f>
        <v>0</v>
      </c>
      <c r="AA144" s="45"/>
      <c r="AB144" s="48">
        <v>21</v>
      </c>
      <c r="AC144" s="49">
        <f>資料儲存!D472</f>
        <v>0</v>
      </c>
      <c r="AD144" s="49">
        <f>資料儲存!E472</f>
        <v>0</v>
      </c>
      <c r="AE144" s="49">
        <f>資料儲存!F472</f>
        <v>0</v>
      </c>
      <c r="AF144" s="49">
        <f>資料儲存!G472</f>
        <v>0</v>
      </c>
      <c r="AG144" s="49">
        <f>資料儲存!H472</f>
        <v>0</v>
      </c>
      <c r="AH144" s="49">
        <f>資料儲存!I472</f>
        <v>0</v>
      </c>
      <c r="AI144" s="49">
        <f>資料儲存!J472</f>
        <v>0</v>
      </c>
      <c r="AJ144" s="13"/>
    </row>
    <row r="145" spans="1:36" ht="16" thickBot="1">
      <c r="A145" s="48">
        <v>22</v>
      </c>
      <c r="B145" s="49">
        <f>資料儲存!D113</f>
        <v>0</v>
      </c>
      <c r="C145" s="49">
        <f>資料儲存!E113</f>
        <v>0</v>
      </c>
      <c r="D145" s="49">
        <f>資料儲存!F113</f>
        <v>0</v>
      </c>
      <c r="E145" s="49">
        <f>資料儲存!G113</f>
        <v>0</v>
      </c>
      <c r="F145" s="49">
        <f>資料儲存!H113</f>
        <v>0</v>
      </c>
      <c r="G145" s="49">
        <f>資料儲存!I113</f>
        <v>0</v>
      </c>
      <c r="H145" s="49">
        <f>資料儲存!J113</f>
        <v>0</v>
      </c>
      <c r="I145" s="45"/>
      <c r="J145" s="48">
        <v>22</v>
      </c>
      <c r="K145" s="49">
        <f>資料儲存!D233</f>
        <v>0</v>
      </c>
      <c r="L145" s="49">
        <f>資料儲存!E233</f>
        <v>0</v>
      </c>
      <c r="M145" s="49">
        <f>資料儲存!F233</f>
        <v>0</v>
      </c>
      <c r="N145" s="49">
        <f>資料儲存!G233</f>
        <v>0</v>
      </c>
      <c r="O145" s="49">
        <f>資料儲存!H233</f>
        <v>0</v>
      </c>
      <c r="P145" s="49">
        <f>資料儲存!I233</f>
        <v>0</v>
      </c>
      <c r="Q145" s="49">
        <f>資料儲存!J233</f>
        <v>0</v>
      </c>
      <c r="R145" s="45"/>
      <c r="S145" s="48">
        <v>22</v>
      </c>
      <c r="T145" s="49">
        <f>資料儲存!D353</f>
        <v>0</v>
      </c>
      <c r="U145" s="49">
        <f>資料儲存!E353</f>
        <v>0</v>
      </c>
      <c r="V145" s="49">
        <f>資料儲存!F353</f>
        <v>0</v>
      </c>
      <c r="W145" s="49">
        <f>資料儲存!G353</f>
        <v>0</v>
      </c>
      <c r="X145" s="49">
        <f>資料儲存!H353</f>
        <v>0</v>
      </c>
      <c r="Y145" s="49">
        <f>資料儲存!I353</f>
        <v>0</v>
      </c>
      <c r="Z145" s="49">
        <f>資料儲存!J353</f>
        <v>0</v>
      </c>
      <c r="AA145" s="45"/>
      <c r="AB145" s="48">
        <v>22</v>
      </c>
      <c r="AC145" s="49">
        <f>資料儲存!D473</f>
        <v>0</v>
      </c>
      <c r="AD145" s="49">
        <f>資料儲存!E473</f>
        <v>0</v>
      </c>
      <c r="AE145" s="49">
        <f>資料儲存!F473</f>
        <v>0</v>
      </c>
      <c r="AF145" s="49">
        <f>資料儲存!G473</f>
        <v>0</v>
      </c>
      <c r="AG145" s="49">
        <f>資料儲存!H473</f>
        <v>0</v>
      </c>
      <c r="AH145" s="49">
        <f>資料儲存!I473</f>
        <v>0</v>
      </c>
      <c r="AI145" s="49">
        <f>資料儲存!J473</f>
        <v>0</v>
      </c>
      <c r="AJ145" s="13"/>
    </row>
    <row r="146" spans="1:36" ht="16" thickBot="1">
      <c r="A146" s="48">
        <v>23</v>
      </c>
      <c r="B146" s="49">
        <f>資料儲存!D114</f>
        <v>0</v>
      </c>
      <c r="C146" s="49">
        <f>資料儲存!E114</f>
        <v>0</v>
      </c>
      <c r="D146" s="49">
        <f>資料儲存!F114</f>
        <v>0</v>
      </c>
      <c r="E146" s="49">
        <f>資料儲存!G114</f>
        <v>0</v>
      </c>
      <c r="F146" s="49">
        <f>資料儲存!H114</f>
        <v>0</v>
      </c>
      <c r="G146" s="49">
        <f>資料儲存!I114</f>
        <v>0</v>
      </c>
      <c r="H146" s="49">
        <f>資料儲存!J114</f>
        <v>0</v>
      </c>
      <c r="I146" s="45"/>
      <c r="J146" s="48">
        <v>23</v>
      </c>
      <c r="K146" s="49">
        <f>資料儲存!D234</f>
        <v>0</v>
      </c>
      <c r="L146" s="49">
        <f>資料儲存!E234</f>
        <v>0</v>
      </c>
      <c r="M146" s="49">
        <f>資料儲存!F234</f>
        <v>0</v>
      </c>
      <c r="N146" s="49">
        <f>資料儲存!G234</f>
        <v>0</v>
      </c>
      <c r="O146" s="49">
        <f>資料儲存!H234</f>
        <v>0</v>
      </c>
      <c r="P146" s="49">
        <f>資料儲存!I234</f>
        <v>0</v>
      </c>
      <c r="Q146" s="49">
        <f>資料儲存!J234</f>
        <v>0</v>
      </c>
      <c r="R146" s="45"/>
      <c r="S146" s="48">
        <v>23</v>
      </c>
      <c r="T146" s="49">
        <f>資料儲存!D354</f>
        <v>0</v>
      </c>
      <c r="U146" s="49">
        <f>資料儲存!E354</f>
        <v>0</v>
      </c>
      <c r="V146" s="49">
        <f>資料儲存!F354</f>
        <v>0</v>
      </c>
      <c r="W146" s="49">
        <f>資料儲存!G354</f>
        <v>0</v>
      </c>
      <c r="X146" s="49">
        <f>資料儲存!H354</f>
        <v>0</v>
      </c>
      <c r="Y146" s="49">
        <f>資料儲存!I354</f>
        <v>0</v>
      </c>
      <c r="Z146" s="49">
        <f>資料儲存!J354</f>
        <v>0</v>
      </c>
      <c r="AA146" s="45"/>
      <c r="AB146" s="48">
        <v>23</v>
      </c>
      <c r="AC146" s="49">
        <f>資料儲存!D474</f>
        <v>0</v>
      </c>
      <c r="AD146" s="49">
        <f>資料儲存!E474</f>
        <v>0</v>
      </c>
      <c r="AE146" s="49">
        <f>資料儲存!F474</f>
        <v>0</v>
      </c>
      <c r="AF146" s="49">
        <f>資料儲存!G474</f>
        <v>0</v>
      </c>
      <c r="AG146" s="49">
        <f>資料儲存!H474</f>
        <v>0</v>
      </c>
      <c r="AH146" s="49">
        <f>資料儲存!I474</f>
        <v>0</v>
      </c>
      <c r="AI146" s="49">
        <f>資料儲存!J474</f>
        <v>0</v>
      </c>
      <c r="AJ146" s="13"/>
    </row>
    <row r="147" spans="1:36" ht="16" thickBot="1">
      <c r="A147" s="48">
        <v>24</v>
      </c>
      <c r="B147" s="49">
        <f>資料儲存!D115</f>
        <v>0</v>
      </c>
      <c r="C147" s="49">
        <f>資料儲存!E115</f>
        <v>0</v>
      </c>
      <c r="D147" s="49">
        <f>資料儲存!F115</f>
        <v>0</v>
      </c>
      <c r="E147" s="49">
        <f>資料儲存!G115</f>
        <v>0</v>
      </c>
      <c r="F147" s="49">
        <f>資料儲存!H115</f>
        <v>0</v>
      </c>
      <c r="G147" s="49">
        <f>資料儲存!I115</f>
        <v>0</v>
      </c>
      <c r="H147" s="49">
        <f>資料儲存!J115</f>
        <v>0</v>
      </c>
      <c r="I147" s="45"/>
      <c r="J147" s="48">
        <v>24</v>
      </c>
      <c r="K147" s="49">
        <f>資料儲存!D235</f>
        <v>0</v>
      </c>
      <c r="L147" s="49">
        <f>資料儲存!E235</f>
        <v>0</v>
      </c>
      <c r="M147" s="49">
        <f>資料儲存!F235</f>
        <v>0</v>
      </c>
      <c r="N147" s="49">
        <f>資料儲存!G235</f>
        <v>0</v>
      </c>
      <c r="O147" s="49">
        <f>資料儲存!H235</f>
        <v>0</v>
      </c>
      <c r="P147" s="49">
        <f>資料儲存!I235</f>
        <v>0</v>
      </c>
      <c r="Q147" s="49">
        <f>資料儲存!J235</f>
        <v>0</v>
      </c>
      <c r="R147" s="45"/>
      <c r="S147" s="48">
        <v>24</v>
      </c>
      <c r="T147" s="49">
        <f>資料儲存!D355</f>
        <v>0</v>
      </c>
      <c r="U147" s="49">
        <f>資料儲存!E355</f>
        <v>0</v>
      </c>
      <c r="V147" s="49">
        <f>資料儲存!F355</f>
        <v>0</v>
      </c>
      <c r="W147" s="49">
        <f>資料儲存!G355</f>
        <v>0</v>
      </c>
      <c r="X147" s="49">
        <f>資料儲存!H355</f>
        <v>0</v>
      </c>
      <c r="Y147" s="49">
        <f>資料儲存!I355</f>
        <v>0</v>
      </c>
      <c r="Z147" s="49">
        <f>資料儲存!J355</f>
        <v>0</v>
      </c>
      <c r="AA147" s="45"/>
      <c r="AB147" s="48">
        <v>24</v>
      </c>
      <c r="AC147" s="49">
        <f>資料儲存!D475</f>
        <v>0</v>
      </c>
      <c r="AD147" s="49">
        <f>資料儲存!E475</f>
        <v>0</v>
      </c>
      <c r="AE147" s="49">
        <f>資料儲存!F475</f>
        <v>0</v>
      </c>
      <c r="AF147" s="49">
        <f>資料儲存!G475</f>
        <v>0</v>
      </c>
      <c r="AG147" s="49">
        <f>資料儲存!H475</f>
        <v>0</v>
      </c>
      <c r="AH147" s="49">
        <f>資料儲存!I475</f>
        <v>0</v>
      </c>
      <c r="AI147" s="49">
        <f>資料儲存!J475</f>
        <v>0</v>
      </c>
      <c r="AJ147" s="13"/>
    </row>
    <row r="148" spans="1:36" ht="16" thickBot="1">
      <c r="A148" s="48">
        <v>25</v>
      </c>
      <c r="B148" s="49">
        <f>資料儲存!D116</f>
        <v>0</v>
      </c>
      <c r="C148" s="49">
        <f>資料儲存!E116</f>
        <v>0</v>
      </c>
      <c r="D148" s="49">
        <f>資料儲存!F116</f>
        <v>0</v>
      </c>
      <c r="E148" s="49">
        <f>資料儲存!G116</f>
        <v>0</v>
      </c>
      <c r="F148" s="49">
        <f>資料儲存!H116</f>
        <v>0</v>
      </c>
      <c r="G148" s="49">
        <f>資料儲存!I116</f>
        <v>0</v>
      </c>
      <c r="H148" s="49">
        <f>資料儲存!J116</f>
        <v>0</v>
      </c>
      <c r="I148" s="45"/>
      <c r="J148" s="48">
        <v>25</v>
      </c>
      <c r="K148" s="49">
        <f>資料儲存!D236</f>
        <v>0</v>
      </c>
      <c r="L148" s="49">
        <f>資料儲存!E236</f>
        <v>0</v>
      </c>
      <c r="M148" s="49">
        <f>資料儲存!F236</f>
        <v>0</v>
      </c>
      <c r="N148" s="49">
        <f>資料儲存!G236</f>
        <v>0</v>
      </c>
      <c r="O148" s="49">
        <f>資料儲存!H236</f>
        <v>0</v>
      </c>
      <c r="P148" s="49">
        <f>資料儲存!I236</f>
        <v>0</v>
      </c>
      <c r="Q148" s="49">
        <f>資料儲存!J236</f>
        <v>0</v>
      </c>
      <c r="R148" s="45"/>
      <c r="S148" s="48">
        <v>25</v>
      </c>
      <c r="T148" s="49">
        <f>資料儲存!D356</f>
        <v>0</v>
      </c>
      <c r="U148" s="49">
        <f>資料儲存!E356</f>
        <v>0</v>
      </c>
      <c r="V148" s="49">
        <f>資料儲存!F356</f>
        <v>0</v>
      </c>
      <c r="W148" s="49">
        <f>資料儲存!G356</f>
        <v>0</v>
      </c>
      <c r="X148" s="49">
        <f>資料儲存!H356</f>
        <v>0</v>
      </c>
      <c r="Y148" s="49">
        <f>資料儲存!I356</f>
        <v>0</v>
      </c>
      <c r="Z148" s="49">
        <f>資料儲存!J356</f>
        <v>0</v>
      </c>
      <c r="AA148" s="45"/>
      <c r="AB148" s="48">
        <v>25</v>
      </c>
      <c r="AC148" s="49">
        <f>資料儲存!D476</f>
        <v>0</v>
      </c>
      <c r="AD148" s="49">
        <f>資料儲存!E476</f>
        <v>0</v>
      </c>
      <c r="AE148" s="49">
        <f>資料儲存!F476</f>
        <v>0</v>
      </c>
      <c r="AF148" s="49">
        <f>資料儲存!G476</f>
        <v>0</v>
      </c>
      <c r="AG148" s="49">
        <f>資料儲存!H476</f>
        <v>0</v>
      </c>
      <c r="AH148" s="49">
        <f>資料儲存!I476</f>
        <v>0</v>
      </c>
      <c r="AI148" s="49">
        <f>資料儲存!J476</f>
        <v>0</v>
      </c>
      <c r="AJ148" s="13"/>
    </row>
    <row r="149" spans="1:36" ht="16" thickBot="1">
      <c r="A149" s="48">
        <v>26</v>
      </c>
      <c r="B149" s="49">
        <f>資料儲存!D117</f>
        <v>0</v>
      </c>
      <c r="C149" s="49">
        <f>資料儲存!E117</f>
        <v>0</v>
      </c>
      <c r="D149" s="49">
        <f>資料儲存!F117</f>
        <v>0</v>
      </c>
      <c r="E149" s="49">
        <f>資料儲存!G117</f>
        <v>0</v>
      </c>
      <c r="F149" s="49">
        <f>資料儲存!H117</f>
        <v>0</v>
      </c>
      <c r="G149" s="49">
        <f>資料儲存!I117</f>
        <v>0</v>
      </c>
      <c r="H149" s="49">
        <f>資料儲存!J117</f>
        <v>0</v>
      </c>
      <c r="I149" s="45"/>
      <c r="J149" s="48">
        <v>26</v>
      </c>
      <c r="K149" s="49">
        <f>資料儲存!D237</f>
        <v>0</v>
      </c>
      <c r="L149" s="49">
        <f>資料儲存!E237</f>
        <v>0</v>
      </c>
      <c r="M149" s="49">
        <f>資料儲存!F237</f>
        <v>0</v>
      </c>
      <c r="N149" s="49">
        <f>資料儲存!G237</f>
        <v>0</v>
      </c>
      <c r="O149" s="49">
        <f>資料儲存!H237</f>
        <v>0</v>
      </c>
      <c r="P149" s="49">
        <f>資料儲存!I237</f>
        <v>0</v>
      </c>
      <c r="Q149" s="49">
        <f>資料儲存!J237</f>
        <v>0</v>
      </c>
      <c r="R149" s="45"/>
      <c r="S149" s="48">
        <v>26</v>
      </c>
      <c r="T149" s="49">
        <f>資料儲存!D357</f>
        <v>0</v>
      </c>
      <c r="U149" s="49">
        <f>資料儲存!E357</f>
        <v>0</v>
      </c>
      <c r="V149" s="49">
        <f>資料儲存!F357</f>
        <v>0</v>
      </c>
      <c r="W149" s="49">
        <f>資料儲存!G357</f>
        <v>0</v>
      </c>
      <c r="X149" s="49">
        <f>資料儲存!H357</f>
        <v>0</v>
      </c>
      <c r="Y149" s="49">
        <f>資料儲存!I357</f>
        <v>0</v>
      </c>
      <c r="Z149" s="49">
        <f>資料儲存!J357</f>
        <v>0</v>
      </c>
      <c r="AA149" s="45"/>
      <c r="AB149" s="48">
        <v>26</v>
      </c>
      <c r="AC149" s="49">
        <f>資料儲存!D477</f>
        <v>0</v>
      </c>
      <c r="AD149" s="49">
        <f>資料儲存!E477</f>
        <v>0</v>
      </c>
      <c r="AE149" s="49">
        <f>資料儲存!F477</f>
        <v>0</v>
      </c>
      <c r="AF149" s="49">
        <f>資料儲存!G477</f>
        <v>0</v>
      </c>
      <c r="AG149" s="49">
        <f>資料儲存!H477</f>
        <v>0</v>
      </c>
      <c r="AH149" s="49">
        <f>資料儲存!I477</f>
        <v>0</v>
      </c>
      <c r="AI149" s="49">
        <f>資料儲存!J477</f>
        <v>0</v>
      </c>
      <c r="AJ149" s="13"/>
    </row>
    <row r="150" spans="1:36" ht="16" thickBot="1">
      <c r="A150" s="48">
        <v>27</v>
      </c>
      <c r="B150" s="49">
        <f>資料儲存!D118</f>
        <v>0</v>
      </c>
      <c r="C150" s="49">
        <f>資料儲存!E118</f>
        <v>0</v>
      </c>
      <c r="D150" s="49">
        <f>資料儲存!F118</f>
        <v>0</v>
      </c>
      <c r="E150" s="49">
        <f>資料儲存!G118</f>
        <v>0</v>
      </c>
      <c r="F150" s="49">
        <f>資料儲存!H118</f>
        <v>0</v>
      </c>
      <c r="G150" s="49">
        <f>資料儲存!I118</f>
        <v>0</v>
      </c>
      <c r="H150" s="49">
        <f>資料儲存!J118</f>
        <v>0</v>
      </c>
      <c r="I150" s="45"/>
      <c r="J150" s="48">
        <v>27</v>
      </c>
      <c r="K150" s="49">
        <f>資料儲存!D238</f>
        <v>0</v>
      </c>
      <c r="L150" s="49">
        <f>資料儲存!E238</f>
        <v>0</v>
      </c>
      <c r="M150" s="49">
        <f>資料儲存!F238</f>
        <v>0</v>
      </c>
      <c r="N150" s="49">
        <f>資料儲存!G238</f>
        <v>0</v>
      </c>
      <c r="O150" s="49">
        <f>資料儲存!H238</f>
        <v>0</v>
      </c>
      <c r="P150" s="49">
        <f>資料儲存!I238</f>
        <v>0</v>
      </c>
      <c r="Q150" s="49">
        <f>資料儲存!J238</f>
        <v>0</v>
      </c>
      <c r="R150" s="45"/>
      <c r="S150" s="48">
        <v>27</v>
      </c>
      <c r="T150" s="49">
        <f>資料儲存!D358</f>
        <v>0</v>
      </c>
      <c r="U150" s="49">
        <f>資料儲存!E358</f>
        <v>0</v>
      </c>
      <c r="V150" s="49">
        <f>資料儲存!F358</f>
        <v>0</v>
      </c>
      <c r="W150" s="49">
        <f>資料儲存!G358</f>
        <v>0</v>
      </c>
      <c r="X150" s="49">
        <f>資料儲存!H358</f>
        <v>0</v>
      </c>
      <c r="Y150" s="49">
        <f>資料儲存!I358</f>
        <v>0</v>
      </c>
      <c r="Z150" s="49">
        <f>資料儲存!J358</f>
        <v>0</v>
      </c>
      <c r="AA150" s="45"/>
      <c r="AB150" s="48">
        <v>27</v>
      </c>
      <c r="AC150" s="49">
        <f>資料儲存!D478</f>
        <v>0</v>
      </c>
      <c r="AD150" s="49">
        <f>資料儲存!E478</f>
        <v>0</v>
      </c>
      <c r="AE150" s="49">
        <f>資料儲存!F478</f>
        <v>0</v>
      </c>
      <c r="AF150" s="49">
        <f>資料儲存!G478</f>
        <v>0</v>
      </c>
      <c r="AG150" s="49">
        <f>資料儲存!H478</f>
        <v>0</v>
      </c>
      <c r="AH150" s="49">
        <f>資料儲存!I478</f>
        <v>0</v>
      </c>
      <c r="AI150" s="49">
        <f>資料儲存!J478</f>
        <v>0</v>
      </c>
      <c r="AJ150" s="13"/>
    </row>
    <row r="151" spans="1:36" ht="16" thickBot="1">
      <c r="A151" s="48">
        <v>28</v>
      </c>
      <c r="B151" s="49">
        <f>資料儲存!D119</f>
        <v>0</v>
      </c>
      <c r="C151" s="49">
        <f>資料儲存!E119</f>
        <v>0</v>
      </c>
      <c r="D151" s="49">
        <f>資料儲存!F119</f>
        <v>0</v>
      </c>
      <c r="E151" s="49">
        <f>資料儲存!G119</f>
        <v>0</v>
      </c>
      <c r="F151" s="49">
        <f>資料儲存!H119</f>
        <v>0</v>
      </c>
      <c r="G151" s="49">
        <f>資料儲存!I119</f>
        <v>0</v>
      </c>
      <c r="H151" s="49">
        <f>資料儲存!J119</f>
        <v>0</v>
      </c>
      <c r="I151" s="45"/>
      <c r="J151" s="48">
        <v>28</v>
      </c>
      <c r="K151" s="49">
        <f>資料儲存!D239</f>
        <v>0</v>
      </c>
      <c r="L151" s="49">
        <f>資料儲存!E239</f>
        <v>0</v>
      </c>
      <c r="M151" s="49">
        <f>資料儲存!F239</f>
        <v>0</v>
      </c>
      <c r="N151" s="49">
        <f>資料儲存!G239</f>
        <v>0</v>
      </c>
      <c r="O151" s="49">
        <f>資料儲存!H239</f>
        <v>0</v>
      </c>
      <c r="P151" s="49">
        <f>資料儲存!I239</f>
        <v>0</v>
      </c>
      <c r="Q151" s="49">
        <f>資料儲存!J239</f>
        <v>0</v>
      </c>
      <c r="R151" s="45"/>
      <c r="S151" s="48">
        <v>28</v>
      </c>
      <c r="T151" s="49">
        <f>資料儲存!D359</f>
        <v>0</v>
      </c>
      <c r="U151" s="49">
        <f>資料儲存!E359</f>
        <v>0</v>
      </c>
      <c r="V151" s="49">
        <f>資料儲存!F359</f>
        <v>0</v>
      </c>
      <c r="W151" s="49">
        <f>資料儲存!G359</f>
        <v>0</v>
      </c>
      <c r="X151" s="49">
        <f>資料儲存!H359</f>
        <v>0</v>
      </c>
      <c r="Y151" s="49">
        <f>資料儲存!I359</f>
        <v>0</v>
      </c>
      <c r="Z151" s="49">
        <f>資料儲存!J359</f>
        <v>0</v>
      </c>
      <c r="AA151" s="45"/>
      <c r="AB151" s="48">
        <v>28</v>
      </c>
      <c r="AC151" s="49">
        <f>資料儲存!D479</f>
        <v>0</v>
      </c>
      <c r="AD151" s="49">
        <f>資料儲存!E479</f>
        <v>0</v>
      </c>
      <c r="AE151" s="49">
        <f>資料儲存!F479</f>
        <v>0</v>
      </c>
      <c r="AF151" s="49">
        <f>資料儲存!G479</f>
        <v>0</v>
      </c>
      <c r="AG151" s="49">
        <f>資料儲存!H479</f>
        <v>0</v>
      </c>
      <c r="AH151" s="49">
        <f>資料儲存!I479</f>
        <v>0</v>
      </c>
      <c r="AI151" s="49">
        <f>資料儲存!J479</f>
        <v>0</v>
      </c>
      <c r="AJ151" s="13"/>
    </row>
    <row r="152" spans="1:36" ht="16" thickBot="1">
      <c r="A152" s="48">
        <v>29</v>
      </c>
      <c r="B152" s="49">
        <f>資料儲存!D120</f>
        <v>0</v>
      </c>
      <c r="C152" s="49">
        <f>資料儲存!E120</f>
        <v>0</v>
      </c>
      <c r="D152" s="49">
        <f>資料儲存!F120</f>
        <v>0</v>
      </c>
      <c r="E152" s="49">
        <f>資料儲存!G120</f>
        <v>0</v>
      </c>
      <c r="F152" s="49">
        <f>資料儲存!H120</f>
        <v>0</v>
      </c>
      <c r="G152" s="49">
        <f>資料儲存!I120</f>
        <v>0</v>
      </c>
      <c r="H152" s="49">
        <f>資料儲存!J120</f>
        <v>0</v>
      </c>
      <c r="I152" s="45"/>
      <c r="J152" s="48">
        <v>29</v>
      </c>
      <c r="K152" s="49">
        <f>資料儲存!D240</f>
        <v>0</v>
      </c>
      <c r="L152" s="49">
        <f>資料儲存!E240</f>
        <v>0</v>
      </c>
      <c r="M152" s="49">
        <f>資料儲存!F240</f>
        <v>0</v>
      </c>
      <c r="N152" s="49">
        <f>資料儲存!G240</f>
        <v>0</v>
      </c>
      <c r="O152" s="49">
        <f>資料儲存!H240</f>
        <v>0</v>
      </c>
      <c r="P152" s="49">
        <f>資料儲存!I240</f>
        <v>0</v>
      </c>
      <c r="Q152" s="49">
        <f>資料儲存!J240</f>
        <v>0</v>
      </c>
      <c r="R152" s="45"/>
      <c r="S152" s="48">
        <v>29</v>
      </c>
      <c r="T152" s="49">
        <f>資料儲存!D360</f>
        <v>0</v>
      </c>
      <c r="U152" s="49">
        <f>資料儲存!E360</f>
        <v>0</v>
      </c>
      <c r="V152" s="49">
        <f>資料儲存!F360</f>
        <v>0</v>
      </c>
      <c r="W152" s="49">
        <f>資料儲存!G360</f>
        <v>0</v>
      </c>
      <c r="X152" s="49">
        <f>資料儲存!H360</f>
        <v>0</v>
      </c>
      <c r="Y152" s="49">
        <f>資料儲存!I360</f>
        <v>0</v>
      </c>
      <c r="Z152" s="49">
        <f>資料儲存!J360</f>
        <v>0</v>
      </c>
      <c r="AA152" s="45"/>
      <c r="AB152" s="48">
        <v>29</v>
      </c>
      <c r="AC152" s="49">
        <f>資料儲存!D480</f>
        <v>0</v>
      </c>
      <c r="AD152" s="49">
        <f>資料儲存!E480</f>
        <v>0</v>
      </c>
      <c r="AE152" s="49">
        <f>資料儲存!F480</f>
        <v>0</v>
      </c>
      <c r="AF152" s="49">
        <f>資料儲存!G480</f>
        <v>0</v>
      </c>
      <c r="AG152" s="49">
        <f>資料儲存!H480</f>
        <v>0</v>
      </c>
      <c r="AH152" s="49">
        <f>資料儲存!I480</f>
        <v>0</v>
      </c>
      <c r="AI152" s="49">
        <f>資料儲存!J480</f>
        <v>0</v>
      </c>
      <c r="AJ152" s="13"/>
    </row>
    <row r="153" spans="1:36" ht="16" thickBot="1">
      <c r="A153" s="48">
        <v>30</v>
      </c>
      <c r="B153" s="49">
        <f>資料儲存!D121</f>
        <v>0</v>
      </c>
      <c r="C153" s="49">
        <f>資料儲存!E121</f>
        <v>0</v>
      </c>
      <c r="D153" s="49">
        <f>資料儲存!F121</f>
        <v>0</v>
      </c>
      <c r="E153" s="49">
        <f>資料儲存!G121</f>
        <v>0</v>
      </c>
      <c r="F153" s="49">
        <f>資料儲存!H121</f>
        <v>0</v>
      </c>
      <c r="G153" s="49">
        <f>資料儲存!I121</f>
        <v>0</v>
      </c>
      <c r="H153" s="49">
        <f>資料儲存!J121</f>
        <v>0</v>
      </c>
      <c r="I153" s="45"/>
      <c r="J153" s="48">
        <v>30</v>
      </c>
      <c r="K153" s="49">
        <f>資料儲存!D241</f>
        <v>0</v>
      </c>
      <c r="L153" s="49">
        <f>資料儲存!E241</f>
        <v>0</v>
      </c>
      <c r="M153" s="49">
        <f>資料儲存!F241</f>
        <v>0</v>
      </c>
      <c r="N153" s="49">
        <f>資料儲存!G241</f>
        <v>0</v>
      </c>
      <c r="O153" s="49">
        <f>資料儲存!H241</f>
        <v>0</v>
      </c>
      <c r="P153" s="49">
        <f>資料儲存!I241</f>
        <v>0</v>
      </c>
      <c r="Q153" s="49">
        <f>資料儲存!J241</f>
        <v>0</v>
      </c>
      <c r="R153" s="45"/>
      <c r="S153" s="48">
        <v>30</v>
      </c>
      <c r="T153" s="49">
        <f>資料儲存!D361</f>
        <v>0</v>
      </c>
      <c r="U153" s="49">
        <f>資料儲存!E361</f>
        <v>0</v>
      </c>
      <c r="V153" s="49">
        <f>資料儲存!F361</f>
        <v>0</v>
      </c>
      <c r="W153" s="49">
        <f>資料儲存!G361</f>
        <v>0</v>
      </c>
      <c r="X153" s="49">
        <f>資料儲存!H361</f>
        <v>0</v>
      </c>
      <c r="Y153" s="49">
        <f>資料儲存!I361</f>
        <v>0</v>
      </c>
      <c r="Z153" s="49">
        <f>資料儲存!J361</f>
        <v>0</v>
      </c>
      <c r="AA153" s="45"/>
      <c r="AB153" s="48">
        <v>30</v>
      </c>
      <c r="AC153" s="49">
        <f>資料儲存!D481</f>
        <v>0</v>
      </c>
      <c r="AD153" s="49">
        <f>資料儲存!E481</f>
        <v>0</v>
      </c>
      <c r="AE153" s="49">
        <f>資料儲存!F481</f>
        <v>0</v>
      </c>
      <c r="AF153" s="49">
        <f>資料儲存!G481</f>
        <v>0</v>
      </c>
      <c r="AG153" s="49">
        <f>資料儲存!H481</f>
        <v>0</v>
      </c>
      <c r="AH153" s="49">
        <f>資料儲存!I481</f>
        <v>0</v>
      </c>
      <c r="AI153" s="49">
        <f>資料儲存!J481</f>
        <v>0</v>
      </c>
      <c r="AJ153" s="13"/>
    </row>
    <row r="154" spans="1:36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</row>
    <row r="155" spans="1:36">
      <c r="A155" s="51" t="s">
        <v>71</v>
      </c>
      <c r="B155" s="45"/>
      <c r="C155" s="45"/>
      <c r="D155" s="45"/>
      <c r="E155" s="45"/>
      <c r="F155" s="52"/>
      <c r="G155" s="45"/>
      <c r="H155" s="45"/>
      <c r="I155" s="45"/>
      <c r="J155" s="53" t="s">
        <v>71</v>
      </c>
      <c r="K155" s="45"/>
      <c r="L155" s="45"/>
      <c r="M155" s="45"/>
      <c r="N155" s="45"/>
      <c r="O155" s="45"/>
      <c r="P155" s="45"/>
      <c r="Q155" s="45"/>
      <c r="R155" s="45"/>
      <c r="S155" s="53" t="s">
        <v>71</v>
      </c>
      <c r="T155" s="45"/>
      <c r="U155" s="45"/>
      <c r="V155" s="45"/>
      <c r="W155" s="45"/>
      <c r="X155" s="45"/>
      <c r="Y155" s="45"/>
      <c r="Z155" s="45"/>
      <c r="AA155" s="45"/>
      <c r="AB155" s="53" t="s">
        <v>71</v>
      </c>
      <c r="AC155" s="45"/>
      <c r="AD155" s="45"/>
      <c r="AE155" s="45"/>
      <c r="AF155" s="45"/>
      <c r="AG155" s="45"/>
      <c r="AH155" s="45"/>
      <c r="AI155" s="45"/>
      <c r="AJ155" s="13"/>
    </row>
  </sheetData>
  <mergeCells count="40">
    <mergeCell ref="A2:H2"/>
    <mergeCell ref="J2:Q2"/>
    <mergeCell ref="S2:Z2"/>
    <mergeCell ref="AB2:AI2"/>
    <mergeCell ref="A1:H1"/>
    <mergeCell ref="J1:Q1"/>
    <mergeCell ref="S1:Z1"/>
    <mergeCell ref="AB1:AI1"/>
    <mergeCell ref="A22:H22"/>
    <mergeCell ref="J22:Q22"/>
    <mergeCell ref="S22:Z22"/>
    <mergeCell ref="AB22:AI22"/>
    <mergeCell ref="A3:H3"/>
    <mergeCell ref="J3:Q3"/>
    <mergeCell ref="S3:Z3"/>
    <mergeCell ref="AB3:AI3"/>
    <mergeCell ref="A60:H60"/>
    <mergeCell ref="J60:Q60"/>
    <mergeCell ref="S60:Z60"/>
    <mergeCell ref="AB60:AI60"/>
    <mergeCell ref="A41:H41"/>
    <mergeCell ref="J41:Q41"/>
    <mergeCell ref="S41:Z41"/>
    <mergeCell ref="AB41:AI41"/>
    <mergeCell ref="A98:H98"/>
    <mergeCell ref="J98:Q98"/>
    <mergeCell ref="S98:Z98"/>
    <mergeCell ref="AB98:AI98"/>
    <mergeCell ref="A79:H79"/>
    <mergeCell ref="J79:Q79"/>
    <mergeCell ref="S79:Z79"/>
    <mergeCell ref="AB79:AI79"/>
    <mergeCell ref="A136:H136"/>
    <mergeCell ref="J136:Q136"/>
    <mergeCell ref="S136:Z136"/>
    <mergeCell ref="AB136:AI136"/>
    <mergeCell ref="A117:H117"/>
    <mergeCell ref="J117:Q117"/>
    <mergeCell ref="S117:Z117"/>
    <mergeCell ref="AB117:AI117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theme="7" tint="0.39997558519241921"/>
  </sheetPr>
  <dimension ref="A1:AJ155"/>
  <sheetViews>
    <sheetView topLeftCell="AC1" zoomScale="70" zoomScaleNormal="70" zoomScaleSheetLayoutView="70" workbookViewId="0">
      <pane ySplit="2" topLeftCell="A3" activePane="bottomLeft" state="frozen"/>
      <selection pane="bottomLeft" activeCell="AK4" sqref="AK1:AR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37" width="2.08984375" style="1" customWidth="1"/>
    <col min="38" max="16384" width="10.08984375" style="1"/>
  </cols>
  <sheetData>
    <row r="1" spans="1:36" s="11" customFormat="1" ht="18.5" thickBot="1">
      <c r="A1" s="253" t="str">
        <f>基本資料!$C$11</f>
        <v>平日晨峰(07-09)</v>
      </c>
      <c r="B1" s="254"/>
      <c r="C1" s="254"/>
      <c r="D1" s="254"/>
      <c r="E1" s="254"/>
      <c r="F1" s="254"/>
      <c r="G1" s="254"/>
      <c r="H1" s="255"/>
      <c r="J1" s="253" t="str">
        <f>基本資料!$C$11</f>
        <v>平日晨峰(07-09)</v>
      </c>
      <c r="K1" s="254"/>
      <c r="L1" s="254"/>
      <c r="M1" s="254"/>
      <c r="N1" s="254"/>
      <c r="O1" s="254"/>
      <c r="P1" s="254"/>
      <c r="Q1" s="255"/>
      <c r="S1" s="253" t="str">
        <f>基本資料!$C$11</f>
        <v>平日晨峰(07-09)</v>
      </c>
      <c r="T1" s="254"/>
      <c r="U1" s="254"/>
      <c r="V1" s="254"/>
      <c r="W1" s="254"/>
      <c r="X1" s="254"/>
      <c r="Y1" s="254"/>
      <c r="Z1" s="255"/>
      <c r="AB1" s="253" t="str">
        <f>基本資料!$C$11</f>
        <v>平日晨峰(07-09)</v>
      </c>
      <c r="AC1" s="254"/>
      <c r="AD1" s="254"/>
      <c r="AE1" s="254"/>
      <c r="AF1" s="254"/>
      <c r="AG1" s="254"/>
      <c r="AH1" s="254"/>
      <c r="AI1" s="255"/>
    </row>
    <row r="2" spans="1:36" ht="18.5" thickBot="1">
      <c r="A2" s="256" t="str">
        <f>CONCATENATE(基本資料!B18,"方向：",基本資料!B19,基本資料!B20)</f>
        <v>A方向：</v>
      </c>
      <c r="B2" s="257"/>
      <c r="C2" s="257"/>
      <c r="D2" s="257"/>
      <c r="E2" s="257"/>
      <c r="F2" s="257"/>
      <c r="G2" s="257"/>
      <c r="H2" s="258"/>
      <c r="I2" s="1"/>
      <c r="J2" s="256" t="str">
        <f>CONCATENATE(基本資料!C18,"方向：",基本資料!C19,基本資料!C20)</f>
        <v>B方向：</v>
      </c>
      <c r="K2" s="257"/>
      <c r="L2" s="257"/>
      <c r="M2" s="257"/>
      <c r="N2" s="257"/>
      <c r="O2" s="257"/>
      <c r="P2" s="257"/>
      <c r="Q2" s="258"/>
      <c r="R2" s="1"/>
      <c r="S2" s="256" t="str">
        <f>CONCATENATE(基本資料!D18,"方向：",基本資料!D19,基本資料!D20)</f>
        <v>C方向：</v>
      </c>
      <c r="T2" s="257"/>
      <c r="U2" s="257"/>
      <c r="V2" s="257"/>
      <c r="W2" s="257"/>
      <c r="X2" s="257"/>
      <c r="Y2" s="257"/>
      <c r="Z2" s="258"/>
      <c r="AA2" s="1"/>
      <c r="AB2" s="256" t="str">
        <f>CONCATENATE(基本資料!E18,"方向：",基本資料!E19,基本資料!E20)</f>
        <v>D方向：</v>
      </c>
      <c r="AC2" s="257"/>
      <c r="AD2" s="257"/>
      <c r="AE2" s="257"/>
      <c r="AF2" s="257"/>
      <c r="AG2" s="257"/>
      <c r="AH2" s="257"/>
      <c r="AI2" s="258"/>
      <c r="AJ2" s="1"/>
    </row>
    <row r="3" spans="1:36" ht="18.5" thickBot="1">
      <c r="A3" s="250" t="s">
        <v>43</v>
      </c>
      <c r="B3" s="251"/>
      <c r="C3" s="251"/>
      <c r="D3" s="251"/>
      <c r="E3" s="251"/>
      <c r="F3" s="251"/>
      <c r="G3" s="251"/>
      <c r="H3" s="252"/>
      <c r="I3" s="13"/>
      <c r="J3" s="250" t="s">
        <v>43</v>
      </c>
      <c r="K3" s="251"/>
      <c r="L3" s="251"/>
      <c r="M3" s="251"/>
      <c r="N3" s="251"/>
      <c r="O3" s="251"/>
      <c r="P3" s="251"/>
      <c r="Q3" s="252"/>
      <c r="R3" s="13"/>
      <c r="S3" s="250" t="s">
        <v>43</v>
      </c>
      <c r="T3" s="251"/>
      <c r="U3" s="251"/>
      <c r="V3" s="251"/>
      <c r="W3" s="251"/>
      <c r="X3" s="251"/>
      <c r="Y3" s="251"/>
      <c r="Z3" s="252"/>
      <c r="AA3" s="13"/>
      <c r="AB3" s="250" t="s">
        <v>43</v>
      </c>
      <c r="AC3" s="251"/>
      <c r="AD3" s="251"/>
      <c r="AE3" s="251"/>
      <c r="AF3" s="251"/>
      <c r="AG3" s="251"/>
      <c r="AH3" s="251"/>
      <c r="AI3" s="252"/>
      <c r="AJ3" s="13"/>
    </row>
    <row r="4" spans="1:36" ht="17.25" customHeight="1" thickBot="1">
      <c r="A4" s="31" t="s">
        <v>2</v>
      </c>
      <c r="B4" s="32" t="s">
        <v>44</v>
      </c>
      <c r="C4" s="33"/>
      <c r="D4" s="33"/>
      <c r="E4" s="34"/>
      <c r="F4" s="32" t="s">
        <v>45</v>
      </c>
      <c r="G4" s="33"/>
      <c r="H4" s="34"/>
      <c r="I4" s="35"/>
      <c r="J4" s="31" t="s">
        <v>2</v>
      </c>
      <c r="K4" s="32" t="s">
        <v>46</v>
      </c>
      <c r="L4" s="33"/>
      <c r="M4" s="33"/>
      <c r="N4" s="34"/>
      <c r="O4" s="32" t="s">
        <v>47</v>
      </c>
      <c r="P4" s="33"/>
      <c r="Q4" s="34"/>
      <c r="R4" s="35"/>
      <c r="S4" s="31" t="s">
        <v>2</v>
      </c>
      <c r="T4" s="32" t="s">
        <v>46</v>
      </c>
      <c r="U4" s="33"/>
      <c r="V4" s="33"/>
      <c r="W4" s="34"/>
      <c r="X4" s="32" t="s">
        <v>47</v>
      </c>
      <c r="Y4" s="33"/>
      <c r="Z4" s="34"/>
      <c r="AA4" s="35"/>
      <c r="AB4" s="31" t="s">
        <v>2</v>
      </c>
      <c r="AC4" s="32" t="s">
        <v>46</v>
      </c>
      <c r="AD4" s="33"/>
      <c r="AE4" s="33"/>
      <c r="AF4" s="34"/>
      <c r="AG4" s="32" t="s">
        <v>47</v>
      </c>
      <c r="AH4" s="33"/>
      <c r="AI4" s="34"/>
      <c r="AJ4" s="13"/>
    </row>
    <row r="5" spans="1:36" ht="16" thickBot="1">
      <c r="A5" s="36" t="s">
        <v>48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5"/>
      <c r="J5" s="36" t="s">
        <v>48</v>
      </c>
      <c r="K5" s="37" t="s">
        <v>49</v>
      </c>
      <c r="L5" s="37" t="s">
        <v>50</v>
      </c>
      <c r="M5" s="37" t="s">
        <v>51</v>
      </c>
      <c r="N5" s="37" t="s">
        <v>52</v>
      </c>
      <c r="O5" s="37" t="s">
        <v>53</v>
      </c>
      <c r="P5" s="37" t="s">
        <v>54</v>
      </c>
      <c r="Q5" s="37" t="s">
        <v>55</v>
      </c>
      <c r="R5" s="35"/>
      <c r="S5" s="36" t="s">
        <v>48</v>
      </c>
      <c r="T5" s="37" t="s">
        <v>49</v>
      </c>
      <c r="U5" s="37" t="s">
        <v>50</v>
      </c>
      <c r="V5" s="37" t="s">
        <v>51</v>
      </c>
      <c r="W5" s="37" t="s">
        <v>52</v>
      </c>
      <c r="X5" s="37" t="s">
        <v>53</v>
      </c>
      <c r="Y5" s="37" t="s">
        <v>54</v>
      </c>
      <c r="Z5" s="37" t="s">
        <v>55</v>
      </c>
      <c r="AA5" s="35"/>
      <c r="AB5" s="36" t="s">
        <v>48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13"/>
    </row>
    <row r="6" spans="1:36" ht="16" thickBot="1">
      <c r="A6" s="38">
        <v>1</v>
      </c>
      <c r="B6" s="39">
        <f>資料儲存!D482</f>
        <v>0</v>
      </c>
      <c r="C6" s="39">
        <f>資料儲存!E482</f>
        <v>0</v>
      </c>
      <c r="D6" s="39">
        <f>資料儲存!F482</f>
        <v>0</v>
      </c>
      <c r="E6" s="39">
        <f>資料儲存!G482</f>
        <v>0</v>
      </c>
      <c r="F6" s="39">
        <f>資料儲存!H482</f>
        <v>0</v>
      </c>
      <c r="G6" s="39">
        <f>資料儲存!I482</f>
        <v>0</v>
      </c>
      <c r="H6" s="39">
        <f>資料儲存!J482</f>
        <v>0</v>
      </c>
      <c r="I6" s="35"/>
      <c r="J6" s="38">
        <v>1</v>
      </c>
      <c r="K6" s="39">
        <f>資料儲存!D602</f>
        <v>0</v>
      </c>
      <c r="L6" s="39">
        <f>資料儲存!E602</f>
        <v>0</v>
      </c>
      <c r="M6" s="39">
        <f>資料儲存!F602</f>
        <v>0</v>
      </c>
      <c r="N6" s="39">
        <f>資料儲存!G602</f>
        <v>0</v>
      </c>
      <c r="O6" s="39">
        <f>資料儲存!H602</f>
        <v>0</v>
      </c>
      <c r="P6" s="39">
        <f>資料儲存!I602</f>
        <v>0</v>
      </c>
      <c r="Q6" s="39">
        <f>資料儲存!J602</f>
        <v>0</v>
      </c>
      <c r="R6" s="35"/>
      <c r="S6" s="38">
        <v>1</v>
      </c>
      <c r="T6" s="39">
        <f>資料儲存!D722</f>
        <v>0</v>
      </c>
      <c r="U6" s="39">
        <f>資料儲存!E722</f>
        <v>0</v>
      </c>
      <c r="V6" s="39">
        <f>資料儲存!F722</f>
        <v>0</v>
      </c>
      <c r="W6" s="39">
        <f>資料儲存!G722</f>
        <v>0</v>
      </c>
      <c r="X6" s="39">
        <f>資料儲存!H722</f>
        <v>0</v>
      </c>
      <c r="Y6" s="39">
        <f>資料儲存!I722</f>
        <v>0</v>
      </c>
      <c r="Z6" s="39">
        <f>資料儲存!J722</f>
        <v>0</v>
      </c>
      <c r="AA6" s="35"/>
      <c r="AB6" s="38">
        <v>1</v>
      </c>
      <c r="AC6" s="39">
        <f>資料儲存!D842</f>
        <v>0</v>
      </c>
      <c r="AD6" s="39">
        <f>資料儲存!E842</f>
        <v>0</v>
      </c>
      <c r="AE6" s="39">
        <f>資料儲存!F842</f>
        <v>0</v>
      </c>
      <c r="AF6" s="39">
        <f>資料儲存!G842</f>
        <v>0</v>
      </c>
      <c r="AG6" s="39">
        <f>資料儲存!H842</f>
        <v>0</v>
      </c>
      <c r="AH6" s="39">
        <f>資料儲存!I842</f>
        <v>0</v>
      </c>
      <c r="AI6" s="39">
        <f>資料儲存!J842</f>
        <v>0</v>
      </c>
      <c r="AJ6" s="13"/>
    </row>
    <row r="7" spans="1:36" ht="16" thickBot="1">
      <c r="A7" s="38">
        <v>2</v>
      </c>
      <c r="B7" s="39">
        <f>資料儲存!D483</f>
        <v>0</v>
      </c>
      <c r="C7" s="39">
        <f>資料儲存!E483</f>
        <v>0</v>
      </c>
      <c r="D7" s="39">
        <f>資料儲存!F483</f>
        <v>0</v>
      </c>
      <c r="E7" s="39">
        <f>資料儲存!G483</f>
        <v>0</v>
      </c>
      <c r="F7" s="39">
        <f>資料儲存!H483</f>
        <v>0</v>
      </c>
      <c r="G7" s="39">
        <f>資料儲存!I483</f>
        <v>0</v>
      </c>
      <c r="H7" s="39">
        <f>資料儲存!J483</f>
        <v>0</v>
      </c>
      <c r="I7" s="35"/>
      <c r="J7" s="38">
        <v>2</v>
      </c>
      <c r="K7" s="39">
        <f>資料儲存!D603</f>
        <v>0</v>
      </c>
      <c r="L7" s="39">
        <f>資料儲存!E603</f>
        <v>0</v>
      </c>
      <c r="M7" s="39">
        <f>資料儲存!F603</f>
        <v>0</v>
      </c>
      <c r="N7" s="39">
        <f>資料儲存!G603</f>
        <v>0</v>
      </c>
      <c r="O7" s="39">
        <f>資料儲存!H603</f>
        <v>0</v>
      </c>
      <c r="P7" s="39">
        <f>資料儲存!I603</f>
        <v>0</v>
      </c>
      <c r="Q7" s="39">
        <f>資料儲存!J603</f>
        <v>0</v>
      </c>
      <c r="R7" s="35"/>
      <c r="S7" s="38">
        <v>2</v>
      </c>
      <c r="T7" s="39">
        <f>資料儲存!D723</f>
        <v>0</v>
      </c>
      <c r="U7" s="39">
        <f>資料儲存!E723</f>
        <v>0</v>
      </c>
      <c r="V7" s="39">
        <f>資料儲存!F723</f>
        <v>0</v>
      </c>
      <c r="W7" s="39">
        <f>資料儲存!G723</f>
        <v>0</v>
      </c>
      <c r="X7" s="39">
        <f>資料儲存!H723</f>
        <v>0</v>
      </c>
      <c r="Y7" s="39">
        <f>資料儲存!I723</f>
        <v>0</v>
      </c>
      <c r="Z7" s="39">
        <f>資料儲存!J723</f>
        <v>0</v>
      </c>
      <c r="AA7" s="35"/>
      <c r="AB7" s="38">
        <v>2</v>
      </c>
      <c r="AC7" s="39">
        <f>資料儲存!D843</f>
        <v>0</v>
      </c>
      <c r="AD7" s="39">
        <f>資料儲存!E843</f>
        <v>0</v>
      </c>
      <c r="AE7" s="39">
        <f>資料儲存!F843</f>
        <v>0</v>
      </c>
      <c r="AF7" s="39">
        <f>資料儲存!G843</f>
        <v>0</v>
      </c>
      <c r="AG7" s="39">
        <f>資料儲存!H843</f>
        <v>0</v>
      </c>
      <c r="AH7" s="39">
        <f>資料儲存!I843</f>
        <v>0</v>
      </c>
      <c r="AI7" s="39">
        <f>資料儲存!J843</f>
        <v>0</v>
      </c>
      <c r="AJ7" s="13"/>
    </row>
    <row r="8" spans="1:36" ht="16" thickBot="1">
      <c r="A8" s="38">
        <v>3</v>
      </c>
      <c r="B8" s="39">
        <f>資料儲存!D484</f>
        <v>0</v>
      </c>
      <c r="C8" s="39">
        <f>資料儲存!E484</f>
        <v>0</v>
      </c>
      <c r="D8" s="39">
        <f>資料儲存!F484</f>
        <v>0</v>
      </c>
      <c r="E8" s="39">
        <f>資料儲存!G484</f>
        <v>0</v>
      </c>
      <c r="F8" s="39">
        <f>資料儲存!H484</f>
        <v>0</v>
      </c>
      <c r="G8" s="39">
        <f>資料儲存!I484</f>
        <v>0</v>
      </c>
      <c r="H8" s="39">
        <f>資料儲存!J484</f>
        <v>0</v>
      </c>
      <c r="I8" s="35"/>
      <c r="J8" s="38">
        <v>3</v>
      </c>
      <c r="K8" s="39">
        <f>資料儲存!D604</f>
        <v>0</v>
      </c>
      <c r="L8" s="39">
        <f>資料儲存!E604</f>
        <v>0</v>
      </c>
      <c r="M8" s="39">
        <f>資料儲存!F604</f>
        <v>0</v>
      </c>
      <c r="N8" s="39">
        <f>資料儲存!G604</f>
        <v>0</v>
      </c>
      <c r="O8" s="39">
        <f>資料儲存!H604</f>
        <v>0</v>
      </c>
      <c r="P8" s="39">
        <f>資料儲存!I604</f>
        <v>0</v>
      </c>
      <c r="Q8" s="39">
        <f>資料儲存!J604</f>
        <v>0</v>
      </c>
      <c r="R8" s="35"/>
      <c r="S8" s="38">
        <v>3</v>
      </c>
      <c r="T8" s="39">
        <f>資料儲存!D724</f>
        <v>0</v>
      </c>
      <c r="U8" s="39">
        <f>資料儲存!E724</f>
        <v>0</v>
      </c>
      <c r="V8" s="39">
        <f>資料儲存!F724</f>
        <v>0</v>
      </c>
      <c r="W8" s="39">
        <f>資料儲存!G724</f>
        <v>0</v>
      </c>
      <c r="X8" s="39">
        <f>資料儲存!H724</f>
        <v>0</v>
      </c>
      <c r="Y8" s="39">
        <f>資料儲存!I724</f>
        <v>0</v>
      </c>
      <c r="Z8" s="39">
        <f>資料儲存!J724</f>
        <v>0</v>
      </c>
      <c r="AA8" s="35"/>
      <c r="AB8" s="38">
        <v>3</v>
      </c>
      <c r="AC8" s="39">
        <f>資料儲存!D844</f>
        <v>0</v>
      </c>
      <c r="AD8" s="39">
        <f>資料儲存!E844</f>
        <v>0</v>
      </c>
      <c r="AE8" s="39">
        <f>資料儲存!F844</f>
        <v>0</v>
      </c>
      <c r="AF8" s="39">
        <f>資料儲存!G844</f>
        <v>0</v>
      </c>
      <c r="AG8" s="39">
        <f>資料儲存!H844</f>
        <v>0</v>
      </c>
      <c r="AH8" s="39">
        <f>資料儲存!I844</f>
        <v>0</v>
      </c>
      <c r="AI8" s="39">
        <f>資料儲存!J844</f>
        <v>0</v>
      </c>
      <c r="AJ8" s="13"/>
    </row>
    <row r="9" spans="1:36" ht="16" thickBot="1">
      <c r="A9" s="38">
        <v>4</v>
      </c>
      <c r="B9" s="39">
        <f>資料儲存!D485</f>
        <v>0</v>
      </c>
      <c r="C9" s="39">
        <f>資料儲存!E485</f>
        <v>0</v>
      </c>
      <c r="D9" s="39">
        <f>資料儲存!F485</f>
        <v>0</v>
      </c>
      <c r="E9" s="39">
        <f>資料儲存!G485</f>
        <v>0</v>
      </c>
      <c r="F9" s="39">
        <f>資料儲存!H485</f>
        <v>0</v>
      </c>
      <c r="G9" s="39">
        <f>資料儲存!I485</f>
        <v>0</v>
      </c>
      <c r="H9" s="39">
        <f>資料儲存!J485</f>
        <v>0</v>
      </c>
      <c r="I9" s="35"/>
      <c r="J9" s="38">
        <v>4</v>
      </c>
      <c r="K9" s="39">
        <f>資料儲存!D605</f>
        <v>0</v>
      </c>
      <c r="L9" s="39">
        <f>資料儲存!E605</f>
        <v>0</v>
      </c>
      <c r="M9" s="39">
        <f>資料儲存!F605</f>
        <v>0</v>
      </c>
      <c r="N9" s="39">
        <f>資料儲存!G605</f>
        <v>0</v>
      </c>
      <c r="O9" s="39">
        <f>資料儲存!H605</f>
        <v>0</v>
      </c>
      <c r="P9" s="39">
        <f>資料儲存!I605</f>
        <v>0</v>
      </c>
      <c r="Q9" s="39">
        <f>資料儲存!J605</f>
        <v>0</v>
      </c>
      <c r="R9" s="35"/>
      <c r="S9" s="38">
        <v>4</v>
      </c>
      <c r="T9" s="39">
        <f>資料儲存!D725</f>
        <v>0</v>
      </c>
      <c r="U9" s="39">
        <f>資料儲存!E725</f>
        <v>0</v>
      </c>
      <c r="V9" s="39">
        <f>資料儲存!F725</f>
        <v>0</v>
      </c>
      <c r="W9" s="39">
        <f>資料儲存!G725</f>
        <v>0</v>
      </c>
      <c r="X9" s="39">
        <f>資料儲存!H725</f>
        <v>0</v>
      </c>
      <c r="Y9" s="39">
        <f>資料儲存!I725</f>
        <v>0</v>
      </c>
      <c r="Z9" s="39">
        <f>資料儲存!J725</f>
        <v>0</v>
      </c>
      <c r="AA9" s="35"/>
      <c r="AB9" s="38">
        <v>4</v>
      </c>
      <c r="AC9" s="39">
        <f>資料儲存!D845</f>
        <v>0</v>
      </c>
      <c r="AD9" s="39">
        <f>資料儲存!E845</f>
        <v>0</v>
      </c>
      <c r="AE9" s="39">
        <f>資料儲存!F845</f>
        <v>0</v>
      </c>
      <c r="AF9" s="39">
        <f>資料儲存!G845</f>
        <v>0</v>
      </c>
      <c r="AG9" s="39">
        <f>資料儲存!H845</f>
        <v>0</v>
      </c>
      <c r="AH9" s="39">
        <f>資料儲存!I845</f>
        <v>0</v>
      </c>
      <c r="AI9" s="39">
        <f>資料儲存!J845</f>
        <v>0</v>
      </c>
      <c r="AJ9" s="13"/>
    </row>
    <row r="10" spans="1:36" ht="16" thickBot="1">
      <c r="A10" s="38">
        <v>5</v>
      </c>
      <c r="B10" s="39">
        <f>資料儲存!D486</f>
        <v>0</v>
      </c>
      <c r="C10" s="39">
        <f>資料儲存!E486</f>
        <v>0</v>
      </c>
      <c r="D10" s="39">
        <f>資料儲存!F486</f>
        <v>0</v>
      </c>
      <c r="E10" s="39">
        <f>資料儲存!G486</f>
        <v>0</v>
      </c>
      <c r="F10" s="39">
        <f>資料儲存!H486</f>
        <v>0</v>
      </c>
      <c r="G10" s="39">
        <f>資料儲存!I486</f>
        <v>0</v>
      </c>
      <c r="H10" s="39">
        <f>資料儲存!J486</f>
        <v>0</v>
      </c>
      <c r="I10" s="35"/>
      <c r="J10" s="38">
        <v>5</v>
      </c>
      <c r="K10" s="39">
        <f>資料儲存!D606</f>
        <v>0</v>
      </c>
      <c r="L10" s="39">
        <f>資料儲存!E606</f>
        <v>0</v>
      </c>
      <c r="M10" s="39">
        <f>資料儲存!F606</f>
        <v>0</v>
      </c>
      <c r="N10" s="39">
        <f>資料儲存!G606</f>
        <v>0</v>
      </c>
      <c r="O10" s="39">
        <f>資料儲存!H606</f>
        <v>0</v>
      </c>
      <c r="P10" s="39">
        <f>資料儲存!I606</f>
        <v>0</v>
      </c>
      <c r="Q10" s="39">
        <f>資料儲存!J606</f>
        <v>0</v>
      </c>
      <c r="R10" s="35"/>
      <c r="S10" s="38">
        <v>5</v>
      </c>
      <c r="T10" s="39">
        <f>資料儲存!D726</f>
        <v>0</v>
      </c>
      <c r="U10" s="39">
        <f>資料儲存!E726</f>
        <v>0</v>
      </c>
      <c r="V10" s="39">
        <f>資料儲存!F726</f>
        <v>0</v>
      </c>
      <c r="W10" s="39">
        <f>資料儲存!G726</f>
        <v>0</v>
      </c>
      <c r="X10" s="39">
        <f>資料儲存!H726</f>
        <v>0</v>
      </c>
      <c r="Y10" s="39">
        <f>資料儲存!I726</f>
        <v>0</v>
      </c>
      <c r="Z10" s="39">
        <f>資料儲存!J726</f>
        <v>0</v>
      </c>
      <c r="AA10" s="35"/>
      <c r="AB10" s="38">
        <v>5</v>
      </c>
      <c r="AC10" s="39">
        <f>資料儲存!D846</f>
        <v>0</v>
      </c>
      <c r="AD10" s="39">
        <f>資料儲存!E846</f>
        <v>0</v>
      </c>
      <c r="AE10" s="39">
        <f>資料儲存!F846</f>
        <v>0</v>
      </c>
      <c r="AF10" s="39">
        <f>資料儲存!G846</f>
        <v>0</v>
      </c>
      <c r="AG10" s="39">
        <f>資料儲存!H846</f>
        <v>0</v>
      </c>
      <c r="AH10" s="39">
        <f>資料儲存!I846</f>
        <v>0</v>
      </c>
      <c r="AI10" s="39">
        <f>資料儲存!J846</f>
        <v>0</v>
      </c>
      <c r="AJ10" s="13"/>
    </row>
    <row r="11" spans="1:36" ht="16" thickBot="1">
      <c r="A11" s="38">
        <v>6</v>
      </c>
      <c r="B11" s="39">
        <f>資料儲存!D487</f>
        <v>0</v>
      </c>
      <c r="C11" s="39">
        <f>資料儲存!E487</f>
        <v>0</v>
      </c>
      <c r="D11" s="39">
        <f>資料儲存!F487</f>
        <v>0</v>
      </c>
      <c r="E11" s="39">
        <f>資料儲存!G487</f>
        <v>0</v>
      </c>
      <c r="F11" s="39">
        <f>資料儲存!H487</f>
        <v>0</v>
      </c>
      <c r="G11" s="39">
        <f>資料儲存!I487</f>
        <v>0</v>
      </c>
      <c r="H11" s="39">
        <f>資料儲存!J487</f>
        <v>0</v>
      </c>
      <c r="I11" s="35"/>
      <c r="J11" s="38">
        <v>6</v>
      </c>
      <c r="K11" s="39">
        <f>資料儲存!D607</f>
        <v>0</v>
      </c>
      <c r="L11" s="39">
        <f>資料儲存!E607</f>
        <v>0</v>
      </c>
      <c r="M11" s="39">
        <f>資料儲存!F607</f>
        <v>0</v>
      </c>
      <c r="N11" s="39">
        <f>資料儲存!G607</f>
        <v>0</v>
      </c>
      <c r="O11" s="39">
        <f>資料儲存!H607</f>
        <v>0</v>
      </c>
      <c r="P11" s="39">
        <f>資料儲存!I607</f>
        <v>0</v>
      </c>
      <c r="Q11" s="39">
        <f>資料儲存!J607</f>
        <v>0</v>
      </c>
      <c r="R11" s="35"/>
      <c r="S11" s="38">
        <v>6</v>
      </c>
      <c r="T11" s="39">
        <f>資料儲存!D727</f>
        <v>0</v>
      </c>
      <c r="U11" s="39">
        <f>資料儲存!E727</f>
        <v>0</v>
      </c>
      <c r="V11" s="39">
        <f>資料儲存!F727</f>
        <v>0</v>
      </c>
      <c r="W11" s="39">
        <f>資料儲存!G727</f>
        <v>0</v>
      </c>
      <c r="X11" s="39">
        <f>資料儲存!H727</f>
        <v>0</v>
      </c>
      <c r="Y11" s="39">
        <f>資料儲存!I727</f>
        <v>0</v>
      </c>
      <c r="Z11" s="39">
        <f>資料儲存!J727</f>
        <v>0</v>
      </c>
      <c r="AA11" s="35"/>
      <c r="AB11" s="38">
        <v>6</v>
      </c>
      <c r="AC11" s="39">
        <f>資料儲存!D847</f>
        <v>0</v>
      </c>
      <c r="AD11" s="39">
        <f>資料儲存!E847</f>
        <v>0</v>
      </c>
      <c r="AE11" s="39">
        <f>資料儲存!F847</f>
        <v>0</v>
      </c>
      <c r="AF11" s="39">
        <f>資料儲存!G847</f>
        <v>0</v>
      </c>
      <c r="AG11" s="39">
        <f>資料儲存!H847</f>
        <v>0</v>
      </c>
      <c r="AH11" s="39">
        <f>資料儲存!I847</f>
        <v>0</v>
      </c>
      <c r="AI11" s="39">
        <f>資料儲存!J847</f>
        <v>0</v>
      </c>
      <c r="AJ11" s="13"/>
    </row>
    <row r="12" spans="1:36" ht="16" thickBot="1">
      <c r="A12" s="38">
        <v>7</v>
      </c>
      <c r="B12" s="39">
        <f>資料儲存!D488</f>
        <v>0</v>
      </c>
      <c r="C12" s="39">
        <f>資料儲存!E488</f>
        <v>0</v>
      </c>
      <c r="D12" s="39">
        <f>資料儲存!F488</f>
        <v>0</v>
      </c>
      <c r="E12" s="39">
        <f>資料儲存!G488</f>
        <v>0</v>
      </c>
      <c r="F12" s="39">
        <f>資料儲存!H488</f>
        <v>0</v>
      </c>
      <c r="G12" s="39">
        <f>資料儲存!I488</f>
        <v>0</v>
      </c>
      <c r="H12" s="39">
        <f>資料儲存!J488</f>
        <v>0</v>
      </c>
      <c r="I12" s="35"/>
      <c r="J12" s="38">
        <v>7</v>
      </c>
      <c r="K12" s="39">
        <f>資料儲存!D608</f>
        <v>0</v>
      </c>
      <c r="L12" s="39">
        <f>資料儲存!E608</f>
        <v>0</v>
      </c>
      <c r="M12" s="39">
        <f>資料儲存!F608</f>
        <v>0</v>
      </c>
      <c r="N12" s="39">
        <f>資料儲存!G608</f>
        <v>0</v>
      </c>
      <c r="O12" s="39">
        <f>資料儲存!H608</f>
        <v>0</v>
      </c>
      <c r="P12" s="39">
        <f>資料儲存!I608</f>
        <v>0</v>
      </c>
      <c r="Q12" s="39">
        <f>資料儲存!J608</f>
        <v>0</v>
      </c>
      <c r="R12" s="35"/>
      <c r="S12" s="38">
        <v>7</v>
      </c>
      <c r="T12" s="39">
        <f>資料儲存!D728</f>
        <v>0</v>
      </c>
      <c r="U12" s="39">
        <f>資料儲存!E728</f>
        <v>0</v>
      </c>
      <c r="V12" s="39">
        <f>資料儲存!F728</f>
        <v>0</v>
      </c>
      <c r="W12" s="39">
        <f>資料儲存!G728</f>
        <v>0</v>
      </c>
      <c r="X12" s="39">
        <f>資料儲存!H728</f>
        <v>0</v>
      </c>
      <c r="Y12" s="39">
        <f>資料儲存!I728</f>
        <v>0</v>
      </c>
      <c r="Z12" s="39">
        <f>資料儲存!J728</f>
        <v>0</v>
      </c>
      <c r="AA12" s="35"/>
      <c r="AB12" s="38">
        <v>7</v>
      </c>
      <c r="AC12" s="39">
        <f>資料儲存!D848</f>
        <v>0</v>
      </c>
      <c r="AD12" s="39">
        <f>資料儲存!E848</f>
        <v>0</v>
      </c>
      <c r="AE12" s="39">
        <f>資料儲存!F848</f>
        <v>0</v>
      </c>
      <c r="AF12" s="39">
        <f>資料儲存!G848</f>
        <v>0</v>
      </c>
      <c r="AG12" s="39">
        <f>資料儲存!H848</f>
        <v>0</v>
      </c>
      <c r="AH12" s="39">
        <f>資料儲存!I848</f>
        <v>0</v>
      </c>
      <c r="AI12" s="39">
        <f>資料儲存!J848</f>
        <v>0</v>
      </c>
      <c r="AJ12" s="13"/>
    </row>
    <row r="13" spans="1:36" ht="16" thickBot="1">
      <c r="A13" s="38">
        <v>8</v>
      </c>
      <c r="B13" s="39">
        <f>資料儲存!D489</f>
        <v>0</v>
      </c>
      <c r="C13" s="39">
        <f>資料儲存!E489</f>
        <v>0</v>
      </c>
      <c r="D13" s="39">
        <f>資料儲存!F489</f>
        <v>0</v>
      </c>
      <c r="E13" s="39">
        <f>資料儲存!G489</f>
        <v>0</v>
      </c>
      <c r="F13" s="39">
        <f>資料儲存!H489</f>
        <v>0</v>
      </c>
      <c r="G13" s="39">
        <f>資料儲存!I489</f>
        <v>0</v>
      </c>
      <c r="H13" s="39">
        <f>資料儲存!J489</f>
        <v>0</v>
      </c>
      <c r="I13" s="35"/>
      <c r="J13" s="38">
        <v>8</v>
      </c>
      <c r="K13" s="39">
        <f>資料儲存!D609</f>
        <v>0</v>
      </c>
      <c r="L13" s="39">
        <f>資料儲存!E609</f>
        <v>0</v>
      </c>
      <c r="M13" s="39">
        <f>資料儲存!F609</f>
        <v>0</v>
      </c>
      <c r="N13" s="39">
        <f>資料儲存!G609</f>
        <v>0</v>
      </c>
      <c r="O13" s="39">
        <f>資料儲存!H609</f>
        <v>0</v>
      </c>
      <c r="P13" s="39">
        <f>資料儲存!I609</f>
        <v>0</v>
      </c>
      <c r="Q13" s="39">
        <f>資料儲存!J609</f>
        <v>0</v>
      </c>
      <c r="R13" s="35"/>
      <c r="S13" s="38">
        <v>8</v>
      </c>
      <c r="T13" s="39">
        <f>資料儲存!D729</f>
        <v>0</v>
      </c>
      <c r="U13" s="39">
        <f>資料儲存!E729</f>
        <v>0</v>
      </c>
      <c r="V13" s="39">
        <f>資料儲存!F729</f>
        <v>0</v>
      </c>
      <c r="W13" s="39">
        <f>資料儲存!G729</f>
        <v>0</v>
      </c>
      <c r="X13" s="39">
        <f>資料儲存!H729</f>
        <v>0</v>
      </c>
      <c r="Y13" s="39">
        <f>資料儲存!I729</f>
        <v>0</v>
      </c>
      <c r="Z13" s="39">
        <f>資料儲存!J729</f>
        <v>0</v>
      </c>
      <c r="AA13" s="35"/>
      <c r="AB13" s="38">
        <v>8</v>
      </c>
      <c r="AC13" s="39">
        <f>資料儲存!D849</f>
        <v>0</v>
      </c>
      <c r="AD13" s="39">
        <f>資料儲存!E849</f>
        <v>0</v>
      </c>
      <c r="AE13" s="39">
        <f>資料儲存!F849</f>
        <v>0</v>
      </c>
      <c r="AF13" s="39">
        <f>資料儲存!G849</f>
        <v>0</v>
      </c>
      <c r="AG13" s="39">
        <f>資料儲存!H849</f>
        <v>0</v>
      </c>
      <c r="AH13" s="39">
        <f>資料儲存!I849</f>
        <v>0</v>
      </c>
      <c r="AI13" s="39">
        <f>資料儲存!J849</f>
        <v>0</v>
      </c>
      <c r="AJ13" s="13"/>
    </row>
    <row r="14" spans="1:36" ht="16" thickBot="1">
      <c r="A14" s="38">
        <v>9</v>
      </c>
      <c r="B14" s="39">
        <f>資料儲存!D490</f>
        <v>0</v>
      </c>
      <c r="C14" s="39">
        <f>資料儲存!E490</f>
        <v>0</v>
      </c>
      <c r="D14" s="39">
        <f>資料儲存!F490</f>
        <v>0</v>
      </c>
      <c r="E14" s="39">
        <f>資料儲存!G490</f>
        <v>0</v>
      </c>
      <c r="F14" s="39">
        <f>資料儲存!H490</f>
        <v>0</v>
      </c>
      <c r="G14" s="39">
        <f>資料儲存!I490</f>
        <v>0</v>
      </c>
      <c r="H14" s="39">
        <f>資料儲存!J490</f>
        <v>0</v>
      </c>
      <c r="I14" s="35"/>
      <c r="J14" s="38">
        <v>9</v>
      </c>
      <c r="K14" s="39">
        <f>資料儲存!D610</f>
        <v>0</v>
      </c>
      <c r="L14" s="39">
        <f>資料儲存!E610</f>
        <v>0</v>
      </c>
      <c r="M14" s="39">
        <f>資料儲存!F610</f>
        <v>0</v>
      </c>
      <c r="N14" s="39">
        <f>資料儲存!G610</f>
        <v>0</v>
      </c>
      <c r="O14" s="39">
        <f>資料儲存!H610</f>
        <v>0</v>
      </c>
      <c r="P14" s="39">
        <f>資料儲存!I610</f>
        <v>0</v>
      </c>
      <c r="Q14" s="39">
        <f>資料儲存!J610</f>
        <v>0</v>
      </c>
      <c r="R14" s="35"/>
      <c r="S14" s="38">
        <v>9</v>
      </c>
      <c r="T14" s="39">
        <f>資料儲存!D730</f>
        <v>0</v>
      </c>
      <c r="U14" s="39">
        <f>資料儲存!E730</f>
        <v>0</v>
      </c>
      <c r="V14" s="39">
        <f>資料儲存!F730</f>
        <v>0</v>
      </c>
      <c r="W14" s="39">
        <f>資料儲存!G730</f>
        <v>0</v>
      </c>
      <c r="X14" s="39">
        <f>資料儲存!H730</f>
        <v>0</v>
      </c>
      <c r="Y14" s="39">
        <f>資料儲存!I730</f>
        <v>0</v>
      </c>
      <c r="Z14" s="39">
        <f>資料儲存!J730</f>
        <v>0</v>
      </c>
      <c r="AA14" s="35"/>
      <c r="AB14" s="38">
        <v>9</v>
      </c>
      <c r="AC14" s="39">
        <f>資料儲存!D850</f>
        <v>0</v>
      </c>
      <c r="AD14" s="39">
        <f>資料儲存!E850</f>
        <v>0</v>
      </c>
      <c r="AE14" s="39">
        <f>資料儲存!F850</f>
        <v>0</v>
      </c>
      <c r="AF14" s="39">
        <f>資料儲存!G850</f>
        <v>0</v>
      </c>
      <c r="AG14" s="39">
        <f>資料儲存!H850</f>
        <v>0</v>
      </c>
      <c r="AH14" s="39">
        <f>資料儲存!I850</f>
        <v>0</v>
      </c>
      <c r="AI14" s="39">
        <f>資料儲存!J850</f>
        <v>0</v>
      </c>
      <c r="AJ14" s="13"/>
    </row>
    <row r="15" spans="1:36" ht="16" thickBot="1">
      <c r="A15" s="38">
        <v>10</v>
      </c>
      <c r="B15" s="39">
        <f>資料儲存!D491</f>
        <v>0</v>
      </c>
      <c r="C15" s="39">
        <f>資料儲存!E491</f>
        <v>0</v>
      </c>
      <c r="D15" s="39">
        <f>資料儲存!F491</f>
        <v>0</v>
      </c>
      <c r="E15" s="39">
        <f>資料儲存!G491</f>
        <v>0</v>
      </c>
      <c r="F15" s="39">
        <f>資料儲存!H491</f>
        <v>0</v>
      </c>
      <c r="G15" s="39">
        <f>資料儲存!I491</f>
        <v>0</v>
      </c>
      <c r="H15" s="39">
        <f>資料儲存!J491</f>
        <v>0</v>
      </c>
      <c r="I15" s="35"/>
      <c r="J15" s="38">
        <v>10</v>
      </c>
      <c r="K15" s="39">
        <f>資料儲存!D611</f>
        <v>0</v>
      </c>
      <c r="L15" s="39">
        <f>資料儲存!E611</f>
        <v>0</v>
      </c>
      <c r="M15" s="39">
        <f>資料儲存!F611</f>
        <v>0</v>
      </c>
      <c r="N15" s="39">
        <f>資料儲存!G611</f>
        <v>0</v>
      </c>
      <c r="O15" s="39">
        <f>資料儲存!H611</f>
        <v>0</v>
      </c>
      <c r="P15" s="39">
        <f>資料儲存!I611</f>
        <v>0</v>
      </c>
      <c r="Q15" s="39">
        <f>資料儲存!J611</f>
        <v>0</v>
      </c>
      <c r="R15" s="35"/>
      <c r="S15" s="38">
        <v>10</v>
      </c>
      <c r="T15" s="39">
        <f>資料儲存!D731</f>
        <v>0</v>
      </c>
      <c r="U15" s="39">
        <f>資料儲存!E731</f>
        <v>0</v>
      </c>
      <c r="V15" s="39">
        <f>資料儲存!F731</f>
        <v>0</v>
      </c>
      <c r="W15" s="39">
        <f>資料儲存!G731</f>
        <v>0</v>
      </c>
      <c r="X15" s="39">
        <f>資料儲存!H731</f>
        <v>0</v>
      </c>
      <c r="Y15" s="39">
        <f>資料儲存!I731</f>
        <v>0</v>
      </c>
      <c r="Z15" s="39">
        <f>資料儲存!J731</f>
        <v>0</v>
      </c>
      <c r="AA15" s="35"/>
      <c r="AB15" s="38">
        <v>10</v>
      </c>
      <c r="AC15" s="39">
        <f>資料儲存!D851</f>
        <v>0</v>
      </c>
      <c r="AD15" s="39">
        <f>資料儲存!E851</f>
        <v>0</v>
      </c>
      <c r="AE15" s="39">
        <f>資料儲存!F851</f>
        <v>0</v>
      </c>
      <c r="AF15" s="39">
        <f>資料儲存!G851</f>
        <v>0</v>
      </c>
      <c r="AG15" s="39">
        <f>資料儲存!H851</f>
        <v>0</v>
      </c>
      <c r="AH15" s="39">
        <f>資料儲存!I851</f>
        <v>0</v>
      </c>
      <c r="AI15" s="39">
        <f>資料儲存!J851</f>
        <v>0</v>
      </c>
      <c r="AJ15" s="13"/>
    </row>
    <row r="16" spans="1:36" ht="16" thickBot="1">
      <c r="A16" s="38">
        <v>11</v>
      </c>
      <c r="B16" s="39">
        <f>資料儲存!D492</f>
        <v>0</v>
      </c>
      <c r="C16" s="39">
        <f>資料儲存!E492</f>
        <v>0</v>
      </c>
      <c r="D16" s="39">
        <f>資料儲存!F492</f>
        <v>0</v>
      </c>
      <c r="E16" s="39">
        <f>資料儲存!G492</f>
        <v>0</v>
      </c>
      <c r="F16" s="39">
        <f>資料儲存!H492</f>
        <v>0</v>
      </c>
      <c r="G16" s="39">
        <f>資料儲存!I492</f>
        <v>0</v>
      </c>
      <c r="H16" s="39">
        <f>資料儲存!J492</f>
        <v>0</v>
      </c>
      <c r="I16" s="35"/>
      <c r="J16" s="38">
        <v>11</v>
      </c>
      <c r="K16" s="39">
        <f>資料儲存!D612</f>
        <v>0</v>
      </c>
      <c r="L16" s="39">
        <f>資料儲存!E612</f>
        <v>0</v>
      </c>
      <c r="M16" s="39">
        <f>資料儲存!F612</f>
        <v>0</v>
      </c>
      <c r="N16" s="39">
        <f>資料儲存!G612</f>
        <v>0</v>
      </c>
      <c r="O16" s="39">
        <f>資料儲存!H612</f>
        <v>0</v>
      </c>
      <c r="P16" s="39">
        <f>資料儲存!I612</f>
        <v>0</v>
      </c>
      <c r="Q16" s="39">
        <f>資料儲存!J612</f>
        <v>0</v>
      </c>
      <c r="R16" s="35"/>
      <c r="S16" s="38">
        <v>11</v>
      </c>
      <c r="T16" s="39">
        <f>資料儲存!D732</f>
        <v>0</v>
      </c>
      <c r="U16" s="39">
        <f>資料儲存!E732</f>
        <v>0</v>
      </c>
      <c r="V16" s="39">
        <f>資料儲存!F732</f>
        <v>0</v>
      </c>
      <c r="W16" s="39">
        <f>資料儲存!G732</f>
        <v>0</v>
      </c>
      <c r="X16" s="39">
        <f>資料儲存!H732</f>
        <v>0</v>
      </c>
      <c r="Y16" s="39">
        <f>資料儲存!I732</f>
        <v>0</v>
      </c>
      <c r="Z16" s="39">
        <f>資料儲存!J732</f>
        <v>0</v>
      </c>
      <c r="AA16" s="35"/>
      <c r="AB16" s="38">
        <v>11</v>
      </c>
      <c r="AC16" s="39">
        <f>資料儲存!D852</f>
        <v>0</v>
      </c>
      <c r="AD16" s="39">
        <f>資料儲存!E852</f>
        <v>0</v>
      </c>
      <c r="AE16" s="39">
        <f>資料儲存!F852</f>
        <v>0</v>
      </c>
      <c r="AF16" s="39">
        <f>資料儲存!G852</f>
        <v>0</v>
      </c>
      <c r="AG16" s="39">
        <f>資料儲存!H852</f>
        <v>0</v>
      </c>
      <c r="AH16" s="39">
        <f>資料儲存!I852</f>
        <v>0</v>
      </c>
      <c r="AI16" s="39">
        <f>資料儲存!J852</f>
        <v>0</v>
      </c>
      <c r="AJ16" s="13"/>
    </row>
    <row r="17" spans="1:36" ht="16" thickBot="1">
      <c r="A17" s="38">
        <v>12</v>
      </c>
      <c r="B17" s="39">
        <f>資料儲存!D493</f>
        <v>0</v>
      </c>
      <c r="C17" s="39">
        <f>資料儲存!E493</f>
        <v>0</v>
      </c>
      <c r="D17" s="39">
        <f>資料儲存!F493</f>
        <v>0</v>
      </c>
      <c r="E17" s="39">
        <f>資料儲存!G493</f>
        <v>0</v>
      </c>
      <c r="F17" s="39">
        <f>資料儲存!H493</f>
        <v>0</v>
      </c>
      <c r="G17" s="39">
        <f>資料儲存!I493</f>
        <v>0</v>
      </c>
      <c r="H17" s="39">
        <f>資料儲存!J493</f>
        <v>0</v>
      </c>
      <c r="I17" s="35"/>
      <c r="J17" s="38">
        <v>12</v>
      </c>
      <c r="K17" s="39">
        <f>資料儲存!D613</f>
        <v>0</v>
      </c>
      <c r="L17" s="39">
        <f>資料儲存!E613</f>
        <v>0</v>
      </c>
      <c r="M17" s="39">
        <f>資料儲存!F613</f>
        <v>0</v>
      </c>
      <c r="N17" s="39">
        <f>資料儲存!G613</f>
        <v>0</v>
      </c>
      <c r="O17" s="39">
        <f>資料儲存!H613</f>
        <v>0</v>
      </c>
      <c r="P17" s="39">
        <f>資料儲存!I613</f>
        <v>0</v>
      </c>
      <c r="Q17" s="39">
        <f>資料儲存!J613</f>
        <v>0</v>
      </c>
      <c r="R17" s="35"/>
      <c r="S17" s="38">
        <v>12</v>
      </c>
      <c r="T17" s="39">
        <f>資料儲存!D733</f>
        <v>0</v>
      </c>
      <c r="U17" s="39">
        <f>資料儲存!E733</f>
        <v>0</v>
      </c>
      <c r="V17" s="39">
        <f>資料儲存!F733</f>
        <v>0</v>
      </c>
      <c r="W17" s="39">
        <f>資料儲存!G733</f>
        <v>0</v>
      </c>
      <c r="X17" s="39">
        <f>資料儲存!H733</f>
        <v>0</v>
      </c>
      <c r="Y17" s="39">
        <f>資料儲存!I733</f>
        <v>0</v>
      </c>
      <c r="Z17" s="39">
        <f>資料儲存!J733</f>
        <v>0</v>
      </c>
      <c r="AA17" s="35"/>
      <c r="AB17" s="38">
        <v>12</v>
      </c>
      <c r="AC17" s="39">
        <f>資料儲存!D853</f>
        <v>0</v>
      </c>
      <c r="AD17" s="39">
        <f>資料儲存!E853</f>
        <v>0</v>
      </c>
      <c r="AE17" s="39">
        <f>資料儲存!F853</f>
        <v>0</v>
      </c>
      <c r="AF17" s="39">
        <f>資料儲存!G853</f>
        <v>0</v>
      </c>
      <c r="AG17" s="39">
        <f>資料儲存!H853</f>
        <v>0</v>
      </c>
      <c r="AH17" s="39">
        <f>資料儲存!I853</f>
        <v>0</v>
      </c>
      <c r="AI17" s="39">
        <f>資料儲存!J853</f>
        <v>0</v>
      </c>
      <c r="AJ17" s="13"/>
    </row>
    <row r="18" spans="1:36" ht="16" thickBot="1">
      <c r="A18" s="38">
        <v>13</v>
      </c>
      <c r="B18" s="39">
        <f>資料儲存!D494</f>
        <v>0</v>
      </c>
      <c r="C18" s="39">
        <f>資料儲存!E494</f>
        <v>0</v>
      </c>
      <c r="D18" s="39">
        <f>資料儲存!F494</f>
        <v>0</v>
      </c>
      <c r="E18" s="39">
        <f>資料儲存!G494</f>
        <v>0</v>
      </c>
      <c r="F18" s="39">
        <f>資料儲存!H494</f>
        <v>0</v>
      </c>
      <c r="G18" s="39">
        <f>資料儲存!I494</f>
        <v>0</v>
      </c>
      <c r="H18" s="39">
        <f>資料儲存!J494</f>
        <v>0</v>
      </c>
      <c r="I18" s="35"/>
      <c r="J18" s="38">
        <v>13</v>
      </c>
      <c r="K18" s="39">
        <f>資料儲存!D614</f>
        <v>0</v>
      </c>
      <c r="L18" s="39">
        <f>資料儲存!E614</f>
        <v>0</v>
      </c>
      <c r="M18" s="39">
        <f>資料儲存!F614</f>
        <v>0</v>
      </c>
      <c r="N18" s="39">
        <f>資料儲存!G614</f>
        <v>0</v>
      </c>
      <c r="O18" s="39">
        <f>資料儲存!H614</f>
        <v>0</v>
      </c>
      <c r="P18" s="39">
        <f>資料儲存!I614</f>
        <v>0</v>
      </c>
      <c r="Q18" s="39">
        <f>資料儲存!J614</f>
        <v>0</v>
      </c>
      <c r="R18" s="35"/>
      <c r="S18" s="38">
        <v>13</v>
      </c>
      <c r="T18" s="39">
        <f>資料儲存!D734</f>
        <v>0</v>
      </c>
      <c r="U18" s="39">
        <f>資料儲存!E734</f>
        <v>0</v>
      </c>
      <c r="V18" s="39">
        <f>資料儲存!F734</f>
        <v>0</v>
      </c>
      <c r="W18" s="39">
        <f>資料儲存!G734</f>
        <v>0</v>
      </c>
      <c r="X18" s="39">
        <f>資料儲存!H734</f>
        <v>0</v>
      </c>
      <c r="Y18" s="39">
        <f>資料儲存!I734</f>
        <v>0</v>
      </c>
      <c r="Z18" s="39">
        <f>資料儲存!J734</f>
        <v>0</v>
      </c>
      <c r="AA18" s="35"/>
      <c r="AB18" s="38">
        <v>13</v>
      </c>
      <c r="AC18" s="39">
        <f>資料儲存!D854</f>
        <v>0</v>
      </c>
      <c r="AD18" s="39">
        <f>資料儲存!E854</f>
        <v>0</v>
      </c>
      <c r="AE18" s="39">
        <f>資料儲存!F854</f>
        <v>0</v>
      </c>
      <c r="AF18" s="39">
        <f>資料儲存!G854</f>
        <v>0</v>
      </c>
      <c r="AG18" s="39">
        <f>資料儲存!H854</f>
        <v>0</v>
      </c>
      <c r="AH18" s="39">
        <f>資料儲存!I854</f>
        <v>0</v>
      </c>
      <c r="AI18" s="39">
        <f>資料儲存!J854</f>
        <v>0</v>
      </c>
      <c r="AJ18" s="13"/>
    </row>
    <row r="19" spans="1:36" ht="16" thickBot="1">
      <c r="A19" s="38">
        <v>14</v>
      </c>
      <c r="B19" s="39">
        <f>資料儲存!D495</f>
        <v>0</v>
      </c>
      <c r="C19" s="39">
        <f>資料儲存!E495</f>
        <v>0</v>
      </c>
      <c r="D19" s="39">
        <f>資料儲存!F495</f>
        <v>0</v>
      </c>
      <c r="E19" s="39">
        <f>資料儲存!G495</f>
        <v>0</v>
      </c>
      <c r="F19" s="39">
        <f>資料儲存!H495</f>
        <v>0</v>
      </c>
      <c r="G19" s="39">
        <f>資料儲存!I495</f>
        <v>0</v>
      </c>
      <c r="H19" s="39">
        <f>資料儲存!J495</f>
        <v>0</v>
      </c>
      <c r="I19" s="35"/>
      <c r="J19" s="38">
        <v>14</v>
      </c>
      <c r="K19" s="39">
        <f>資料儲存!D615</f>
        <v>0</v>
      </c>
      <c r="L19" s="39">
        <f>資料儲存!E615</f>
        <v>0</v>
      </c>
      <c r="M19" s="39">
        <f>資料儲存!F615</f>
        <v>0</v>
      </c>
      <c r="N19" s="39">
        <f>資料儲存!G615</f>
        <v>0</v>
      </c>
      <c r="O19" s="39">
        <f>資料儲存!H615</f>
        <v>0</v>
      </c>
      <c r="P19" s="39">
        <f>資料儲存!I615</f>
        <v>0</v>
      </c>
      <c r="Q19" s="39">
        <f>資料儲存!J615</f>
        <v>0</v>
      </c>
      <c r="R19" s="35"/>
      <c r="S19" s="38">
        <v>14</v>
      </c>
      <c r="T19" s="39">
        <f>資料儲存!D735</f>
        <v>0</v>
      </c>
      <c r="U19" s="39">
        <f>資料儲存!E735</f>
        <v>0</v>
      </c>
      <c r="V19" s="39">
        <f>資料儲存!F735</f>
        <v>0</v>
      </c>
      <c r="W19" s="39">
        <f>資料儲存!G735</f>
        <v>0</v>
      </c>
      <c r="X19" s="39">
        <f>資料儲存!H735</f>
        <v>0</v>
      </c>
      <c r="Y19" s="39">
        <f>資料儲存!I735</f>
        <v>0</v>
      </c>
      <c r="Z19" s="39">
        <f>資料儲存!J735</f>
        <v>0</v>
      </c>
      <c r="AA19" s="35"/>
      <c r="AB19" s="38">
        <v>14</v>
      </c>
      <c r="AC19" s="39">
        <f>資料儲存!D855</f>
        <v>0</v>
      </c>
      <c r="AD19" s="39">
        <f>資料儲存!E855</f>
        <v>0</v>
      </c>
      <c r="AE19" s="39">
        <f>資料儲存!F855</f>
        <v>0</v>
      </c>
      <c r="AF19" s="39">
        <f>資料儲存!G855</f>
        <v>0</v>
      </c>
      <c r="AG19" s="39">
        <f>資料儲存!H855</f>
        <v>0</v>
      </c>
      <c r="AH19" s="39">
        <f>資料儲存!I855</f>
        <v>0</v>
      </c>
      <c r="AI19" s="39">
        <f>資料儲存!J855</f>
        <v>0</v>
      </c>
      <c r="AJ19" s="13"/>
    </row>
    <row r="20" spans="1:36" ht="16" thickBot="1">
      <c r="A20" s="38">
        <v>15</v>
      </c>
      <c r="B20" s="39">
        <f>資料儲存!D496</f>
        <v>0</v>
      </c>
      <c r="C20" s="39">
        <f>資料儲存!E496</f>
        <v>0</v>
      </c>
      <c r="D20" s="39">
        <f>資料儲存!F496</f>
        <v>0</v>
      </c>
      <c r="E20" s="39">
        <f>資料儲存!G496</f>
        <v>0</v>
      </c>
      <c r="F20" s="39">
        <f>資料儲存!H496</f>
        <v>0</v>
      </c>
      <c r="G20" s="39">
        <f>資料儲存!I496</f>
        <v>0</v>
      </c>
      <c r="H20" s="39">
        <f>資料儲存!J496</f>
        <v>0</v>
      </c>
      <c r="I20" s="35"/>
      <c r="J20" s="38">
        <v>15</v>
      </c>
      <c r="K20" s="39">
        <f>資料儲存!D616</f>
        <v>0</v>
      </c>
      <c r="L20" s="39">
        <f>資料儲存!E616</f>
        <v>0</v>
      </c>
      <c r="M20" s="39">
        <f>資料儲存!F616</f>
        <v>0</v>
      </c>
      <c r="N20" s="39">
        <f>資料儲存!G616</f>
        <v>0</v>
      </c>
      <c r="O20" s="39">
        <f>資料儲存!H616</f>
        <v>0</v>
      </c>
      <c r="P20" s="39">
        <f>資料儲存!I616</f>
        <v>0</v>
      </c>
      <c r="Q20" s="39">
        <f>資料儲存!J616</f>
        <v>0</v>
      </c>
      <c r="R20" s="35"/>
      <c r="S20" s="38">
        <v>15</v>
      </c>
      <c r="T20" s="39">
        <f>資料儲存!D736</f>
        <v>0</v>
      </c>
      <c r="U20" s="39">
        <f>資料儲存!E736</f>
        <v>0</v>
      </c>
      <c r="V20" s="39">
        <f>資料儲存!F736</f>
        <v>0</v>
      </c>
      <c r="W20" s="39">
        <f>資料儲存!G736</f>
        <v>0</v>
      </c>
      <c r="X20" s="39">
        <f>資料儲存!H736</f>
        <v>0</v>
      </c>
      <c r="Y20" s="39">
        <f>資料儲存!I736</f>
        <v>0</v>
      </c>
      <c r="Z20" s="39">
        <f>資料儲存!J736</f>
        <v>0</v>
      </c>
      <c r="AA20" s="35"/>
      <c r="AB20" s="38">
        <v>15</v>
      </c>
      <c r="AC20" s="39">
        <f>資料儲存!D856</f>
        <v>0</v>
      </c>
      <c r="AD20" s="39">
        <f>資料儲存!E856</f>
        <v>0</v>
      </c>
      <c r="AE20" s="39">
        <f>資料儲存!F856</f>
        <v>0</v>
      </c>
      <c r="AF20" s="39">
        <f>資料儲存!G856</f>
        <v>0</v>
      </c>
      <c r="AG20" s="39">
        <f>資料儲存!H856</f>
        <v>0</v>
      </c>
      <c r="AH20" s="39">
        <f>資料儲存!I856</f>
        <v>0</v>
      </c>
      <c r="AI20" s="39">
        <f>資料儲存!J856</f>
        <v>0</v>
      </c>
      <c r="AJ20" s="13"/>
    </row>
    <row r="21" spans="1:36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13"/>
    </row>
    <row r="22" spans="1:36" ht="18.5" thickBot="1">
      <c r="A22" s="250" t="s">
        <v>57</v>
      </c>
      <c r="B22" s="251"/>
      <c r="C22" s="251"/>
      <c r="D22" s="251"/>
      <c r="E22" s="251"/>
      <c r="F22" s="251"/>
      <c r="G22" s="251"/>
      <c r="H22" s="252"/>
      <c r="I22" s="13"/>
      <c r="J22" s="250" t="s">
        <v>57</v>
      </c>
      <c r="K22" s="251"/>
      <c r="L22" s="251"/>
      <c r="M22" s="251"/>
      <c r="N22" s="251"/>
      <c r="O22" s="251"/>
      <c r="P22" s="251"/>
      <c r="Q22" s="252"/>
      <c r="R22" s="13"/>
      <c r="S22" s="250" t="s">
        <v>57</v>
      </c>
      <c r="T22" s="251"/>
      <c r="U22" s="251"/>
      <c r="V22" s="251"/>
      <c r="W22" s="251"/>
      <c r="X22" s="251"/>
      <c r="Y22" s="251"/>
      <c r="Z22" s="252"/>
      <c r="AA22" s="13"/>
      <c r="AB22" s="250" t="s">
        <v>57</v>
      </c>
      <c r="AC22" s="251"/>
      <c r="AD22" s="251"/>
      <c r="AE22" s="251"/>
      <c r="AF22" s="251"/>
      <c r="AG22" s="251"/>
      <c r="AH22" s="251"/>
      <c r="AI22" s="252"/>
      <c r="AJ22" s="13"/>
    </row>
    <row r="23" spans="1:36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</row>
    <row r="24" spans="1:36" ht="16" thickBot="1">
      <c r="A24" s="46" t="s">
        <v>58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 t="s">
        <v>58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 t="s">
        <v>58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 t="s">
        <v>58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</row>
    <row r="25" spans="1:36" ht="16" thickBot="1">
      <c r="A25" s="48">
        <v>16</v>
      </c>
      <c r="B25" s="49">
        <f>資料儲存!D497</f>
        <v>0</v>
      </c>
      <c r="C25" s="49">
        <f>資料儲存!E497</f>
        <v>0</v>
      </c>
      <c r="D25" s="49">
        <f>資料儲存!F497</f>
        <v>0</v>
      </c>
      <c r="E25" s="49">
        <f>資料儲存!G497</f>
        <v>0</v>
      </c>
      <c r="F25" s="49">
        <f>資料儲存!H497</f>
        <v>0</v>
      </c>
      <c r="G25" s="49">
        <f>資料儲存!I497</f>
        <v>0</v>
      </c>
      <c r="H25" s="49">
        <f>資料儲存!J497</f>
        <v>0</v>
      </c>
      <c r="I25" s="45"/>
      <c r="J25" s="48">
        <v>16</v>
      </c>
      <c r="K25" s="49">
        <f>資料儲存!D617</f>
        <v>0</v>
      </c>
      <c r="L25" s="49">
        <f>資料儲存!E617</f>
        <v>0</v>
      </c>
      <c r="M25" s="49">
        <f>資料儲存!F617</f>
        <v>0</v>
      </c>
      <c r="N25" s="49">
        <f>資料儲存!G617</f>
        <v>0</v>
      </c>
      <c r="O25" s="49">
        <f>資料儲存!H617</f>
        <v>0</v>
      </c>
      <c r="P25" s="49">
        <f>資料儲存!I617</f>
        <v>0</v>
      </c>
      <c r="Q25" s="49">
        <f>資料儲存!J617</f>
        <v>0</v>
      </c>
      <c r="R25" s="45"/>
      <c r="S25" s="48">
        <v>16</v>
      </c>
      <c r="T25" s="49">
        <f>資料儲存!D737</f>
        <v>0</v>
      </c>
      <c r="U25" s="49">
        <f>資料儲存!E737</f>
        <v>0</v>
      </c>
      <c r="V25" s="49">
        <f>資料儲存!F737</f>
        <v>0</v>
      </c>
      <c r="W25" s="49">
        <f>資料儲存!G737</f>
        <v>0</v>
      </c>
      <c r="X25" s="49">
        <f>資料儲存!H737</f>
        <v>0</v>
      </c>
      <c r="Y25" s="49">
        <f>資料儲存!I737</f>
        <v>0</v>
      </c>
      <c r="Z25" s="49">
        <f>資料儲存!J737</f>
        <v>0</v>
      </c>
      <c r="AA25" s="45"/>
      <c r="AB25" s="48">
        <v>16</v>
      </c>
      <c r="AC25" s="49">
        <f>資料儲存!D857</f>
        <v>0</v>
      </c>
      <c r="AD25" s="49">
        <f>資料儲存!E857</f>
        <v>0</v>
      </c>
      <c r="AE25" s="49">
        <f>資料儲存!F857</f>
        <v>0</v>
      </c>
      <c r="AF25" s="49">
        <f>資料儲存!G857</f>
        <v>0</v>
      </c>
      <c r="AG25" s="49">
        <f>資料儲存!H857</f>
        <v>0</v>
      </c>
      <c r="AH25" s="49">
        <f>資料儲存!I857</f>
        <v>0</v>
      </c>
      <c r="AI25" s="49">
        <f>資料儲存!J857</f>
        <v>0</v>
      </c>
      <c r="AJ25" s="13"/>
    </row>
    <row r="26" spans="1:36" ht="16" thickBot="1">
      <c r="A26" s="48">
        <v>17</v>
      </c>
      <c r="B26" s="49">
        <f>資料儲存!D498</f>
        <v>0</v>
      </c>
      <c r="C26" s="49">
        <f>資料儲存!E498</f>
        <v>0</v>
      </c>
      <c r="D26" s="49">
        <f>資料儲存!F498</f>
        <v>0</v>
      </c>
      <c r="E26" s="49">
        <f>資料儲存!G498</f>
        <v>0</v>
      </c>
      <c r="F26" s="49">
        <f>資料儲存!H498</f>
        <v>0</v>
      </c>
      <c r="G26" s="49">
        <f>資料儲存!I498</f>
        <v>0</v>
      </c>
      <c r="H26" s="49">
        <f>資料儲存!J498</f>
        <v>0</v>
      </c>
      <c r="I26" s="45"/>
      <c r="J26" s="48">
        <v>17</v>
      </c>
      <c r="K26" s="49">
        <f>資料儲存!D618</f>
        <v>0</v>
      </c>
      <c r="L26" s="49">
        <f>資料儲存!E618</f>
        <v>0</v>
      </c>
      <c r="M26" s="49">
        <f>資料儲存!F618</f>
        <v>0</v>
      </c>
      <c r="N26" s="49">
        <f>資料儲存!G618</f>
        <v>0</v>
      </c>
      <c r="O26" s="49">
        <f>資料儲存!H618</f>
        <v>0</v>
      </c>
      <c r="P26" s="49">
        <f>資料儲存!I618</f>
        <v>0</v>
      </c>
      <c r="Q26" s="49">
        <f>資料儲存!J618</f>
        <v>0</v>
      </c>
      <c r="R26" s="45"/>
      <c r="S26" s="48">
        <v>17</v>
      </c>
      <c r="T26" s="49">
        <f>資料儲存!D738</f>
        <v>0</v>
      </c>
      <c r="U26" s="49">
        <f>資料儲存!E738</f>
        <v>0</v>
      </c>
      <c r="V26" s="49">
        <f>資料儲存!F738</f>
        <v>0</v>
      </c>
      <c r="W26" s="49">
        <f>資料儲存!G738</f>
        <v>0</v>
      </c>
      <c r="X26" s="49">
        <f>資料儲存!H738</f>
        <v>0</v>
      </c>
      <c r="Y26" s="49">
        <f>資料儲存!I738</f>
        <v>0</v>
      </c>
      <c r="Z26" s="49">
        <f>資料儲存!J738</f>
        <v>0</v>
      </c>
      <c r="AA26" s="45"/>
      <c r="AB26" s="48">
        <v>17</v>
      </c>
      <c r="AC26" s="49">
        <f>資料儲存!D858</f>
        <v>0</v>
      </c>
      <c r="AD26" s="49">
        <f>資料儲存!E858</f>
        <v>0</v>
      </c>
      <c r="AE26" s="49">
        <f>資料儲存!F858</f>
        <v>0</v>
      </c>
      <c r="AF26" s="49">
        <f>資料儲存!G858</f>
        <v>0</v>
      </c>
      <c r="AG26" s="49">
        <f>資料儲存!H858</f>
        <v>0</v>
      </c>
      <c r="AH26" s="49">
        <f>資料儲存!I858</f>
        <v>0</v>
      </c>
      <c r="AI26" s="49">
        <f>資料儲存!J858</f>
        <v>0</v>
      </c>
      <c r="AJ26" s="13"/>
    </row>
    <row r="27" spans="1:36" ht="16" thickBot="1">
      <c r="A27" s="48">
        <v>18</v>
      </c>
      <c r="B27" s="49">
        <f>資料儲存!D499</f>
        <v>0</v>
      </c>
      <c r="C27" s="49">
        <f>資料儲存!E499</f>
        <v>0</v>
      </c>
      <c r="D27" s="49">
        <f>資料儲存!F499</f>
        <v>0</v>
      </c>
      <c r="E27" s="49">
        <f>資料儲存!G499</f>
        <v>0</v>
      </c>
      <c r="F27" s="49">
        <f>資料儲存!H499</f>
        <v>0</v>
      </c>
      <c r="G27" s="49">
        <f>資料儲存!I499</f>
        <v>0</v>
      </c>
      <c r="H27" s="49">
        <f>資料儲存!J499</f>
        <v>0</v>
      </c>
      <c r="I27" s="45"/>
      <c r="J27" s="48">
        <v>18</v>
      </c>
      <c r="K27" s="49">
        <f>資料儲存!D619</f>
        <v>0</v>
      </c>
      <c r="L27" s="49">
        <f>資料儲存!E619</f>
        <v>0</v>
      </c>
      <c r="M27" s="49">
        <f>資料儲存!F619</f>
        <v>0</v>
      </c>
      <c r="N27" s="49">
        <f>資料儲存!G619</f>
        <v>0</v>
      </c>
      <c r="O27" s="49">
        <f>資料儲存!H619</f>
        <v>0</v>
      </c>
      <c r="P27" s="49">
        <f>資料儲存!I619</f>
        <v>0</v>
      </c>
      <c r="Q27" s="49">
        <f>資料儲存!J619</f>
        <v>0</v>
      </c>
      <c r="R27" s="45"/>
      <c r="S27" s="48">
        <v>18</v>
      </c>
      <c r="T27" s="49">
        <f>資料儲存!D739</f>
        <v>0</v>
      </c>
      <c r="U27" s="49">
        <f>資料儲存!E739</f>
        <v>0</v>
      </c>
      <c r="V27" s="49">
        <f>資料儲存!F739</f>
        <v>0</v>
      </c>
      <c r="W27" s="49">
        <f>資料儲存!G739</f>
        <v>0</v>
      </c>
      <c r="X27" s="49">
        <f>資料儲存!H739</f>
        <v>0</v>
      </c>
      <c r="Y27" s="49">
        <f>資料儲存!I739</f>
        <v>0</v>
      </c>
      <c r="Z27" s="49">
        <f>資料儲存!J739</f>
        <v>0</v>
      </c>
      <c r="AA27" s="45"/>
      <c r="AB27" s="48">
        <v>18</v>
      </c>
      <c r="AC27" s="49">
        <f>資料儲存!D859</f>
        <v>0</v>
      </c>
      <c r="AD27" s="49">
        <f>資料儲存!E859</f>
        <v>0</v>
      </c>
      <c r="AE27" s="49">
        <f>資料儲存!F859</f>
        <v>0</v>
      </c>
      <c r="AF27" s="49">
        <f>資料儲存!G859</f>
        <v>0</v>
      </c>
      <c r="AG27" s="49">
        <f>資料儲存!H859</f>
        <v>0</v>
      </c>
      <c r="AH27" s="49">
        <f>資料儲存!I859</f>
        <v>0</v>
      </c>
      <c r="AI27" s="49">
        <f>資料儲存!J859</f>
        <v>0</v>
      </c>
      <c r="AJ27" s="13"/>
    </row>
    <row r="28" spans="1:36" ht="16" thickBot="1">
      <c r="A28" s="48">
        <v>19</v>
      </c>
      <c r="B28" s="49">
        <f>資料儲存!D500</f>
        <v>0</v>
      </c>
      <c r="C28" s="49">
        <f>資料儲存!E500</f>
        <v>0</v>
      </c>
      <c r="D28" s="49">
        <f>資料儲存!F500</f>
        <v>0</v>
      </c>
      <c r="E28" s="49">
        <f>資料儲存!G500</f>
        <v>0</v>
      </c>
      <c r="F28" s="49">
        <f>資料儲存!H500</f>
        <v>0</v>
      </c>
      <c r="G28" s="49">
        <f>資料儲存!I500</f>
        <v>0</v>
      </c>
      <c r="H28" s="49">
        <f>資料儲存!J500</f>
        <v>0</v>
      </c>
      <c r="I28" s="45"/>
      <c r="J28" s="48">
        <v>19</v>
      </c>
      <c r="K28" s="49">
        <f>資料儲存!D620</f>
        <v>0</v>
      </c>
      <c r="L28" s="49">
        <f>資料儲存!E620</f>
        <v>0</v>
      </c>
      <c r="M28" s="49">
        <f>資料儲存!F620</f>
        <v>0</v>
      </c>
      <c r="N28" s="49">
        <f>資料儲存!G620</f>
        <v>0</v>
      </c>
      <c r="O28" s="49">
        <f>資料儲存!H620</f>
        <v>0</v>
      </c>
      <c r="P28" s="49">
        <f>資料儲存!I620</f>
        <v>0</v>
      </c>
      <c r="Q28" s="49">
        <f>資料儲存!J620</f>
        <v>0</v>
      </c>
      <c r="R28" s="45"/>
      <c r="S28" s="48">
        <v>19</v>
      </c>
      <c r="T28" s="49">
        <f>資料儲存!D740</f>
        <v>0</v>
      </c>
      <c r="U28" s="49">
        <f>資料儲存!E740</f>
        <v>0</v>
      </c>
      <c r="V28" s="49">
        <f>資料儲存!F740</f>
        <v>0</v>
      </c>
      <c r="W28" s="49">
        <f>資料儲存!G740</f>
        <v>0</v>
      </c>
      <c r="X28" s="49">
        <f>資料儲存!H740</f>
        <v>0</v>
      </c>
      <c r="Y28" s="49">
        <f>資料儲存!I740</f>
        <v>0</v>
      </c>
      <c r="Z28" s="49">
        <f>資料儲存!J740</f>
        <v>0</v>
      </c>
      <c r="AA28" s="45"/>
      <c r="AB28" s="48">
        <v>19</v>
      </c>
      <c r="AC28" s="49">
        <f>資料儲存!D860</f>
        <v>0</v>
      </c>
      <c r="AD28" s="49">
        <f>資料儲存!E860</f>
        <v>0</v>
      </c>
      <c r="AE28" s="49">
        <f>資料儲存!F860</f>
        <v>0</v>
      </c>
      <c r="AF28" s="49">
        <f>資料儲存!G860</f>
        <v>0</v>
      </c>
      <c r="AG28" s="49">
        <f>資料儲存!H860</f>
        <v>0</v>
      </c>
      <c r="AH28" s="49">
        <f>資料儲存!I860</f>
        <v>0</v>
      </c>
      <c r="AI28" s="49">
        <f>資料儲存!J860</f>
        <v>0</v>
      </c>
      <c r="AJ28" s="13"/>
    </row>
    <row r="29" spans="1:36" ht="16" thickBot="1">
      <c r="A29" s="48">
        <v>20</v>
      </c>
      <c r="B29" s="49">
        <f>資料儲存!D501</f>
        <v>0</v>
      </c>
      <c r="C29" s="49">
        <f>資料儲存!E501</f>
        <v>0</v>
      </c>
      <c r="D29" s="49">
        <f>資料儲存!F501</f>
        <v>0</v>
      </c>
      <c r="E29" s="49">
        <f>資料儲存!G501</f>
        <v>0</v>
      </c>
      <c r="F29" s="49">
        <f>資料儲存!H501</f>
        <v>0</v>
      </c>
      <c r="G29" s="49">
        <f>資料儲存!I501</f>
        <v>0</v>
      </c>
      <c r="H29" s="49">
        <f>資料儲存!J501</f>
        <v>0</v>
      </c>
      <c r="I29" s="45"/>
      <c r="J29" s="48">
        <v>20</v>
      </c>
      <c r="K29" s="49">
        <f>資料儲存!D621</f>
        <v>0</v>
      </c>
      <c r="L29" s="49">
        <f>資料儲存!E621</f>
        <v>0</v>
      </c>
      <c r="M29" s="49">
        <f>資料儲存!F621</f>
        <v>0</v>
      </c>
      <c r="N29" s="49">
        <f>資料儲存!G621</f>
        <v>0</v>
      </c>
      <c r="O29" s="49">
        <f>資料儲存!H621</f>
        <v>0</v>
      </c>
      <c r="P29" s="49">
        <f>資料儲存!I621</f>
        <v>0</v>
      </c>
      <c r="Q29" s="49">
        <f>資料儲存!J621</f>
        <v>0</v>
      </c>
      <c r="R29" s="45"/>
      <c r="S29" s="48">
        <v>20</v>
      </c>
      <c r="T29" s="49">
        <f>資料儲存!D741</f>
        <v>0</v>
      </c>
      <c r="U29" s="49">
        <f>資料儲存!E741</f>
        <v>0</v>
      </c>
      <c r="V29" s="49">
        <f>資料儲存!F741</f>
        <v>0</v>
      </c>
      <c r="W29" s="49">
        <f>資料儲存!G741</f>
        <v>0</v>
      </c>
      <c r="X29" s="49">
        <f>資料儲存!H741</f>
        <v>0</v>
      </c>
      <c r="Y29" s="49">
        <f>資料儲存!I741</f>
        <v>0</v>
      </c>
      <c r="Z29" s="49">
        <f>資料儲存!J741</f>
        <v>0</v>
      </c>
      <c r="AA29" s="45"/>
      <c r="AB29" s="48">
        <v>20</v>
      </c>
      <c r="AC29" s="49">
        <f>資料儲存!D861</f>
        <v>0</v>
      </c>
      <c r="AD29" s="49">
        <f>資料儲存!E861</f>
        <v>0</v>
      </c>
      <c r="AE29" s="49">
        <f>資料儲存!F861</f>
        <v>0</v>
      </c>
      <c r="AF29" s="49">
        <f>資料儲存!G861</f>
        <v>0</v>
      </c>
      <c r="AG29" s="49">
        <f>資料儲存!H861</f>
        <v>0</v>
      </c>
      <c r="AH29" s="49">
        <f>資料儲存!I861</f>
        <v>0</v>
      </c>
      <c r="AI29" s="49">
        <f>資料儲存!J861</f>
        <v>0</v>
      </c>
      <c r="AJ29" s="13"/>
    </row>
    <row r="30" spans="1:36" ht="16" thickBot="1">
      <c r="A30" s="48">
        <v>21</v>
      </c>
      <c r="B30" s="49">
        <f>資料儲存!D502</f>
        <v>0</v>
      </c>
      <c r="C30" s="49">
        <f>資料儲存!E502</f>
        <v>0</v>
      </c>
      <c r="D30" s="49">
        <f>資料儲存!F502</f>
        <v>0</v>
      </c>
      <c r="E30" s="49">
        <f>資料儲存!G502</f>
        <v>0</v>
      </c>
      <c r="F30" s="49">
        <f>資料儲存!H502</f>
        <v>0</v>
      </c>
      <c r="G30" s="49">
        <f>資料儲存!I502</f>
        <v>0</v>
      </c>
      <c r="H30" s="49">
        <f>資料儲存!J502</f>
        <v>0</v>
      </c>
      <c r="I30" s="45"/>
      <c r="J30" s="48">
        <v>21</v>
      </c>
      <c r="K30" s="49">
        <f>資料儲存!D622</f>
        <v>0</v>
      </c>
      <c r="L30" s="49">
        <f>資料儲存!E622</f>
        <v>0</v>
      </c>
      <c r="M30" s="49">
        <f>資料儲存!F622</f>
        <v>0</v>
      </c>
      <c r="N30" s="49">
        <f>資料儲存!G622</f>
        <v>0</v>
      </c>
      <c r="O30" s="49">
        <f>資料儲存!H622</f>
        <v>0</v>
      </c>
      <c r="P30" s="49">
        <f>資料儲存!I622</f>
        <v>0</v>
      </c>
      <c r="Q30" s="49">
        <f>資料儲存!J622</f>
        <v>0</v>
      </c>
      <c r="R30" s="45"/>
      <c r="S30" s="48">
        <v>21</v>
      </c>
      <c r="T30" s="49">
        <f>資料儲存!D742</f>
        <v>0</v>
      </c>
      <c r="U30" s="49">
        <f>資料儲存!E742</f>
        <v>0</v>
      </c>
      <c r="V30" s="49">
        <f>資料儲存!F742</f>
        <v>0</v>
      </c>
      <c r="W30" s="49">
        <f>資料儲存!G742</f>
        <v>0</v>
      </c>
      <c r="X30" s="49">
        <f>資料儲存!H742</f>
        <v>0</v>
      </c>
      <c r="Y30" s="49">
        <f>資料儲存!I742</f>
        <v>0</v>
      </c>
      <c r="Z30" s="49">
        <f>資料儲存!J742</f>
        <v>0</v>
      </c>
      <c r="AA30" s="45"/>
      <c r="AB30" s="48">
        <v>21</v>
      </c>
      <c r="AC30" s="49">
        <f>資料儲存!D862</f>
        <v>0</v>
      </c>
      <c r="AD30" s="49">
        <f>資料儲存!E862</f>
        <v>0</v>
      </c>
      <c r="AE30" s="49">
        <f>資料儲存!F862</f>
        <v>0</v>
      </c>
      <c r="AF30" s="49">
        <f>資料儲存!G862</f>
        <v>0</v>
      </c>
      <c r="AG30" s="49">
        <f>資料儲存!H862</f>
        <v>0</v>
      </c>
      <c r="AH30" s="49">
        <f>資料儲存!I862</f>
        <v>0</v>
      </c>
      <c r="AI30" s="49">
        <f>資料儲存!J862</f>
        <v>0</v>
      </c>
      <c r="AJ30" s="13"/>
    </row>
    <row r="31" spans="1:36" ht="16" thickBot="1">
      <c r="A31" s="48">
        <v>22</v>
      </c>
      <c r="B31" s="49">
        <f>資料儲存!D503</f>
        <v>0</v>
      </c>
      <c r="C31" s="49">
        <f>資料儲存!E503</f>
        <v>0</v>
      </c>
      <c r="D31" s="49">
        <f>資料儲存!F503</f>
        <v>0</v>
      </c>
      <c r="E31" s="49">
        <f>資料儲存!G503</f>
        <v>0</v>
      </c>
      <c r="F31" s="49">
        <f>資料儲存!H503</f>
        <v>0</v>
      </c>
      <c r="G31" s="49">
        <f>資料儲存!I503</f>
        <v>0</v>
      </c>
      <c r="H31" s="49">
        <f>資料儲存!J503</f>
        <v>0</v>
      </c>
      <c r="I31" s="45"/>
      <c r="J31" s="48">
        <v>22</v>
      </c>
      <c r="K31" s="49">
        <f>資料儲存!D623</f>
        <v>0</v>
      </c>
      <c r="L31" s="49">
        <f>資料儲存!E623</f>
        <v>0</v>
      </c>
      <c r="M31" s="49">
        <f>資料儲存!F623</f>
        <v>0</v>
      </c>
      <c r="N31" s="49">
        <f>資料儲存!G623</f>
        <v>0</v>
      </c>
      <c r="O31" s="49">
        <f>資料儲存!H623</f>
        <v>0</v>
      </c>
      <c r="P31" s="49">
        <f>資料儲存!I623</f>
        <v>0</v>
      </c>
      <c r="Q31" s="49">
        <f>資料儲存!J623</f>
        <v>0</v>
      </c>
      <c r="R31" s="45"/>
      <c r="S31" s="48">
        <v>22</v>
      </c>
      <c r="T31" s="49">
        <f>資料儲存!D743</f>
        <v>0</v>
      </c>
      <c r="U31" s="49">
        <f>資料儲存!E743</f>
        <v>0</v>
      </c>
      <c r="V31" s="49">
        <f>資料儲存!F743</f>
        <v>0</v>
      </c>
      <c r="W31" s="49">
        <f>資料儲存!G743</f>
        <v>0</v>
      </c>
      <c r="X31" s="49">
        <f>資料儲存!H743</f>
        <v>0</v>
      </c>
      <c r="Y31" s="49">
        <f>資料儲存!I743</f>
        <v>0</v>
      </c>
      <c r="Z31" s="49">
        <f>資料儲存!J743</f>
        <v>0</v>
      </c>
      <c r="AA31" s="45"/>
      <c r="AB31" s="48">
        <v>22</v>
      </c>
      <c r="AC31" s="49">
        <f>資料儲存!D863</f>
        <v>0</v>
      </c>
      <c r="AD31" s="49">
        <f>資料儲存!E863</f>
        <v>0</v>
      </c>
      <c r="AE31" s="49">
        <f>資料儲存!F863</f>
        <v>0</v>
      </c>
      <c r="AF31" s="49">
        <f>資料儲存!G863</f>
        <v>0</v>
      </c>
      <c r="AG31" s="49">
        <f>資料儲存!H863</f>
        <v>0</v>
      </c>
      <c r="AH31" s="49">
        <f>資料儲存!I863</f>
        <v>0</v>
      </c>
      <c r="AI31" s="49">
        <f>資料儲存!J863</f>
        <v>0</v>
      </c>
      <c r="AJ31" s="13"/>
    </row>
    <row r="32" spans="1:36" ht="16" thickBot="1">
      <c r="A32" s="48">
        <v>23</v>
      </c>
      <c r="B32" s="49">
        <f>資料儲存!D504</f>
        <v>0</v>
      </c>
      <c r="C32" s="49">
        <f>資料儲存!E504</f>
        <v>0</v>
      </c>
      <c r="D32" s="49">
        <f>資料儲存!F504</f>
        <v>0</v>
      </c>
      <c r="E32" s="49">
        <f>資料儲存!G504</f>
        <v>0</v>
      </c>
      <c r="F32" s="49">
        <f>資料儲存!H504</f>
        <v>0</v>
      </c>
      <c r="G32" s="49">
        <f>資料儲存!I504</f>
        <v>0</v>
      </c>
      <c r="H32" s="49">
        <f>資料儲存!J504</f>
        <v>0</v>
      </c>
      <c r="I32" s="45"/>
      <c r="J32" s="48">
        <v>23</v>
      </c>
      <c r="K32" s="49">
        <f>資料儲存!D624</f>
        <v>0</v>
      </c>
      <c r="L32" s="49">
        <f>資料儲存!E624</f>
        <v>0</v>
      </c>
      <c r="M32" s="49">
        <f>資料儲存!F624</f>
        <v>0</v>
      </c>
      <c r="N32" s="49">
        <f>資料儲存!G624</f>
        <v>0</v>
      </c>
      <c r="O32" s="49">
        <f>資料儲存!H624</f>
        <v>0</v>
      </c>
      <c r="P32" s="49">
        <f>資料儲存!I624</f>
        <v>0</v>
      </c>
      <c r="Q32" s="49">
        <f>資料儲存!J624</f>
        <v>0</v>
      </c>
      <c r="R32" s="45"/>
      <c r="S32" s="48">
        <v>23</v>
      </c>
      <c r="T32" s="49">
        <f>資料儲存!D744</f>
        <v>0</v>
      </c>
      <c r="U32" s="49">
        <f>資料儲存!E744</f>
        <v>0</v>
      </c>
      <c r="V32" s="49">
        <f>資料儲存!F744</f>
        <v>0</v>
      </c>
      <c r="W32" s="49">
        <f>資料儲存!G744</f>
        <v>0</v>
      </c>
      <c r="X32" s="49">
        <f>資料儲存!H744</f>
        <v>0</v>
      </c>
      <c r="Y32" s="49">
        <f>資料儲存!I744</f>
        <v>0</v>
      </c>
      <c r="Z32" s="49">
        <f>資料儲存!J744</f>
        <v>0</v>
      </c>
      <c r="AA32" s="45"/>
      <c r="AB32" s="48">
        <v>23</v>
      </c>
      <c r="AC32" s="49">
        <f>資料儲存!D864</f>
        <v>0</v>
      </c>
      <c r="AD32" s="49">
        <f>資料儲存!E864</f>
        <v>0</v>
      </c>
      <c r="AE32" s="49">
        <f>資料儲存!F864</f>
        <v>0</v>
      </c>
      <c r="AF32" s="49">
        <f>資料儲存!G864</f>
        <v>0</v>
      </c>
      <c r="AG32" s="49">
        <f>資料儲存!H864</f>
        <v>0</v>
      </c>
      <c r="AH32" s="49">
        <f>資料儲存!I864</f>
        <v>0</v>
      </c>
      <c r="AI32" s="49">
        <f>資料儲存!J864</f>
        <v>0</v>
      </c>
      <c r="AJ32" s="13"/>
    </row>
    <row r="33" spans="1:36" ht="16" thickBot="1">
      <c r="A33" s="48">
        <v>24</v>
      </c>
      <c r="B33" s="49">
        <f>資料儲存!D505</f>
        <v>0</v>
      </c>
      <c r="C33" s="49">
        <f>資料儲存!E505</f>
        <v>0</v>
      </c>
      <c r="D33" s="49">
        <f>資料儲存!F505</f>
        <v>0</v>
      </c>
      <c r="E33" s="49">
        <f>資料儲存!G505</f>
        <v>0</v>
      </c>
      <c r="F33" s="49">
        <f>資料儲存!H505</f>
        <v>0</v>
      </c>
      <c r="G33" s="49">
        <f>資料儲存!I505</f>
        <v>0</v>
      </c>
      <c r="H33" s="49">
        <f>資料儲存!J505</f>
        <v>0</v>
      </c>
      <c r="I33" s="45"/>
      <c r="J33" s="48">
        <v>24</v>
      </c>
      <c r="K33" s="49">
        <f>資料儲存!D625</f>
        <v>0</v>
      </c>
      <c r="L33" s="49">
        <f>資料儲存!E625</f>
        <v>0</v>
      </c>
      <c r="M33" s="49">
        <f>資料儲存!F625</f>
        <v>0</v>
      </c>
      <c r="N33" s="49">
        <f>資料儲存!G625</f>
        <v>0</v>
      </c>
      <c r="O33" s="49">
        <f>資料儲存!H625</f>
        <v>0</v>
      </c>
      <c r="P33" s="49">
        <f>資料儲存!I625</f>
        <v>0</v>
      </c>
      <c r="Q33" s="49">
        <f>資料儲存!J625</f>
        <v>0</v>
      </c>
      <c r="R33" s="45"/>
      <c r="S33" s="48">
        <v>24</v>
      </c>
      <c r="T33" s="49">
        <f>資料儲存!D745</f>
        <v>0</v>
      </c>
      <c r="U33" s="49">
        <f>資料儲存!E745</f>
        <v>0</v>
      </c>
      <c r="V33" s="49">
        <f>資料儲存!F745</f>
        <v>0</v>
      </c>
      <c r="W33" s="49">
        <f>資料儲存!G745</f>
        <v>0</v>
      </c>
      <c r="X33" s="49">
        <f>資料儲存!H745</f>
        <v>0</v>
      </c>
      <c r="Y33" s="49">
        <f>資料儲存!I745</f>
        <v>0</v>
      </c>
      <c r="Z33" s="49">
        <f>資料儲存!J745</f>
        <v>0</v>
      </c>
      <c r="AA33" s="45"/>
      <c r="AB33" s="48">
        <v>24</v>
      </c>
      <c r="AC33" s="49">
        <f>資料儲存!D865</f>
        <v>0</v>
      </c>
      <c r="AD33" s="49">
        <f>資料儲存!E865</f>
        <v>0</v>
      </c>
      <c r="AE33" s="49">
        <f>資料儲存!F865</f>
        <v>0</v>
      </c>
      <c r="AF33" s="49">
        <f>資料儲存!G865</f>
        <v>0</v>
      </c>
      <c r="AG33" s="49">
        <f>資料儲存!H865</f>
        <v>0</v>
      </c>
      <c r="AH33" s="49">
        <f>資料儲存!I865</f>
        <v>0</v>
      </c>
      <c r="AI33" s="49">
        <f>資料儲存!J865</f>
        <v>0</v>
      </c>
      <c r="AJ33" s="13"/>
    </row>
    <row r="34" spans="1:36" ht="16" thickBot="1">
      <c r="A34" s="48">
        <v>25</v>
      </c>
      <c r="B34" s="49">
        <f>資料儲存!D506</f>
        <v>0</v>
      </c>
      <c r="C34" s="49">
        <f>資料儲存!E506</f>
        <v>0</v>
      </c>
      <c r="D34" s="49">
        <f>資料儲存!F506</f>
        <v>0</v>
      </c>
      <c r="E34" s="49">
        <f>資料儲存!G506</f>
        <v>0</v>
      </c>
      <c r="F34" s="49">
        <f>資料儲存!H506</f>
        <v>0</v>
      </c>
      <c r="G34" s="49">
        <f>資料儲存!I506</f>
        <v>0</v>
      </c>
      <c r="H34" s="49">
        <f>資料儲存!J506</f>
        <v>0</v>
      </c>
      <c r="I34" s="45"/>
      <c r="J34" s="48">
        <v>25</v>
      </c>
      <c r="K34" s="49">
        <f>資料儲存!D626</f>
        <v>0</v>
      </c>
      <c r="L34" s="49">
        <f>資料儲存!E626</f>
        <v>0</v>
      </c>
      <c r="M34" s="49">
        <f>資料儲存!F626</f>
        <v>0</v>
      </c>
      <c r="N34" s="49">
        <f>資料儲存!G626</f>
        <v>0</v>
      </c>
      <c r="O34" s="49">
        <f>資料儲存!H626</f>
        <v>0</v>
      </c>
      <c r="P34" s="49">
        <f>資料儲存!I626</f>
        <v>0</v>
      </c>
      <c r="Q34" s="49">
        <f>資料儲存!J626</f>
        <v>0</v>
      </c>
      <c r="R34" s="45"/>
      <c r="S34" s="48">
        <v>25</v>
      </c>
      <c r="T34" s="49">
        <f>資料儲存!D746</f>
        <v>0</v>
      </c>
      <c r="U34" s="49">
        <f>資料儲存!E746</f>
        <v>0</v>
      </c>
      <c r="V34" s="49">
        <f>資料儲存!F746</f>
        <v>0</v>
      </c>
      <c r="W34" s="49">
        <f>資料儲存!G746</f>
        <v>0</v>
      </c>
      <c r="X34" s="49">
        <f>資料儲存!H746</f>
        <v>0</v>
      </c>
      <c r="Y34" s="49">
        <f>資料儲存!I746</f>
        <v>0</v>
      </c>
      <c r="Z34" s="49">
        <f>資料儲存!J746</f>
        <v>0</v>
      </c>
      <c r="AA34" s="45"/>
      <c r="AB34" s="48">
        <v>25</v>
      </c>
      <c r="AC34" s="49">
        <f>資料儲存!D866</f>
        <v>0</v>
      </c>
      <c r="AD34" s="49">
        <f>資料儲存!E866</f>
        <v>0</v>
      </c>
      <c r="AE34" s="49">
        <f>資料儲存!F866</f>
        <v>0</v>
      </c>
      <c r="AF34" s="49">
        <f>資料儲存!G866</f>
        <v>0</v>
      </c>
      <c r="AG34" s="49">
        <f>資料儲存!H866</f>
        <v>0</v>
      </c>
      <c r="AH34" s="49">
        <f>資料儲存!I866</f>
        <v>0</v>
      </c>
      <c r="AI34" s="49">
        <f>資料儲存!J866</f>
        <v>0</v>
      </c>
      <c r="AJ34" s="13"/>
    </row>
    <row r="35" spans="1:36" ht="16" thickBot="1">
      <c r="A35" s="48">
        <v>26</v>
      </c>
      <c r="B35" s="49">
        <f>資料儲存!D507</f>
        <v>0</v>
      </c>
      <c r="C35" s="49">
        <f>資料儲存!E507</f>
        <v>0</v>
      </c>
      <c r="D35" s="49">
        <f>資料儲存!F507</f>
        <v>0</v>
      </c>
      <c r="E35" s="49">
        <f>資料儲存!G507</f>
        <v>0</v>
      </c>
      <c r="F35" s="49">
        <f>資料儲存!H507</f>
        <v>0</v>
      </c>
      <c r="G35" s="49">
        <f>資料儲存!I507</f>
        <v>0</v>
      </c>
      <c r="H35" s="49">
        <f>資料儲存!J507</f>
        <v>0</v>
      </c>
      <c r="I35" s="45"/>
      <c r="J35" s="48">
        <v>26</v>
      </c>
      <c r="K35" s="49">
        <f>資料儲存!D627</f>
        <v>0</v>
      </c>
      <c r="L35" s="49">
        <f>資料儲存!E627</f>
        <v>0</v>
      </c>
      <c r="M35" s="49">
        <f>資料儲存!F627</f>
        <v>0</v>
      </c>
      <c r="N35" s="49">
        <f>資料儲存!G627</f>
        <v>0</v>
      </c>
      <c r="O35" s="49">
        <f>資料儲存!H627</f>
        <v>0</v>
      </c>
      <c r="P35" s="49">
        <f>資料儲存!I627</f>
        <v>0</v>
      </c>
      <c r="Q35" s="49">
        <f>資料儲存!J627</f>
        <v>0</v>
      </c>
      <c r="R35" s="45"/>
      <c r="S35" s="48">
        <v>26</v>
      </c>
      <c r="T35" s="49">
        <f>資料儲存!D747</f>
        <v>0</v>
      </c>
      <c r="U35" s="49">
        <f>資料儲存!E747</f>
        <v>0</v>
      </c>
      <c r="V35" s="49">
        <f>資料儲存!F747</f>
        <v>0</v>
      </c>
      <c r="W35" s="49">
        <f>資料儲存!G747</f>
        <v>0</v>
      </c>
      <c r="X35" s="49">
        <f>資料儲存!H747</f>
        <v>0</v>
      </c>
      <c r="Y35" s="49">
        <f>資料儲存!I747</f>
        <v>0</v>
      </c>
      <c r="Z35" s="49">
        <f>資料儲存!J747</f>
        <v>0</v>
      </c>
      <c r="AA35" s="45"/>
      <c r="AB35" s="48">
        <v>26</v>
      </c>
      <c r="AC35" s="49">
        <f>資料儲存!D867</f>
        <v>0</v>
      </c>
      <c r="AD35" s="49">
        <f>資料儲存!E867</f>
        <v>0</v>
      </c>
      <c r="AE35" s="49">
        <f>資料儲存!F867</f>
        <v>0</v>
      </c>
      <c r="AF35" s="49">
        <f>資料儲存!G867</f>
        <v>0</v>
      </c>
      <c r="AG35" s="49">
        <f>資料儲存!H867</f>
        <v>0</v>
      </c>
      <c r="AH35" s="49">
        <f>資料儲存!I867</f>
        <v>0</v>
      </c>
      <c r="AI35" s="49">
        <f>資料儲存!J867</f>
        <v>0</v>
      </c>
      <c r="AJ35" s="13"/>
    </row>
    <row r="36" spans="1:36" ht="16" thickBot="1">
      <c r="A36" s="48">
        <v>27</v>
      </c>
      <c r="B36" s="49">
        <f>資料儲存!D508</f>
        <v>0</v>
      </c>
      <c r="C36" s="49">
        <f>資料儲存!E508</f>
        <v>0</v>
      </c>
      <c r="D36" s="49">
        <f>資料儲存!F508</f>
        <v>0</v>
      </c>
      <c r="E36" s="49">
        <f>資料儲存!G508</f>
        <v>0</v>
      </c>
      <c r="F36" s="49">
        <f>資料儲存!H508</f>
        <v>0</v>
      </c>
      <c r="G36" s="49">
        <f>資料儲存!I508</f>
        <v>0</v>
      </c>
      <c r="H36" s="49">
        <f>資料儲存!J508</f>
        <v>0</v>
      </c>
      <c r="I36" s="45"/>
      <c r="J36" s="48">
        <v>27</v>
      </c>
      <c r="K36" s="49">
        <f>資料儲存!D628</f>
        <v>0</v>
      </c>
      <c r="L36" s="49">
        <f>資料儲存!E628</f>
        <v>0</v>
      </c>
      <c r="M36" s="49">
        <f>資料儲存!F628</f>
        <v>0</v>
      </c>
      <c r="N36" s="49">
        <f>資料儲存!G628</f>
        <v>0</v>
      </c>
      <c r="O36" s="49">
        <f>資料儲存!H628</f>
        <v>0</v>
      </c>
      <c r="P36" s="49">
        <f>資料儲存!I628</f>
        <v>0</v>
      </c>
      <c r="Q36" s="49">
        <f>資料儲存!J628</f>
        <v>0</v>
      </c>
      <c r="R36" s="45"/>
      <c r="S36" s="48">
        <v>27</v>
      </c>
      <c r="T36" s="49">
        <f>資料儲存!D748</f>
        <v>0</v>
      </c>
      <c r="U36" s="49">
        <f>資料儲存!E748</f>
        <v>0</v>
      </c>
      <c r="V36" s="49">
        <f>資料儲存!F748</f>
        <v>0</v>
      </c>
      <c r="W36" s="49">
        <f>資料儲存!G748</f>
        <v>0</v>
      </c>
      <c r="X36" s="49">
        <f>資料儲存!H748</f>
        <v>0</v>
      </c>
      <c r="Y36" s="49">
        <f>資料儲存!I748</f>
        <v>0</v>
      </c>
      <c r="Z36" s="49">
        <f>資料儲存!J748</f>
        <v>0</v>
      </c>
      <c r="AA36" s="45"/>
      <c r="AB36" s="48">
        <v>27</v>
      </c>
      <c r="AC36" s="49">
        <f>資料儲存!D868</f>
        <v>0</v>
      </c>
      <c r="AD36" s="49">
        <f>資料儲存!E868</f>
        <v>0</v>
      </c>
      <c r="AE36" s="49">
        <f>資料儲存!F868</f>
        <v>0</v>
      </c>
      <c r="AF36" s="49">
        <f>資料儲存!G868</f>
        <v>0</v>
      </c>
      <c r="AG36" s="49">
        <f>資料儲存!H868</f>
        <v>0</v>
      </c>
      <c r="AH36" s="49">
        <f>資料儲存!I868</f>
        <v>0</v>
      </c>
      <c r="AI36" s="49">
        <f>資料儲存!J868</f>
        <v>0</v>
      </c>
      <c r="AJ36" s="13"/>
    </row>
    <row r="37" spans="1:36" ht="16" thickBot="1">
      <c r="A37" s="48">
        <v>28</v>
      </c>
      <c r="B37" s="49">
        <f>資料儲存!D509</f>
        <v>0</v>
      </c>
      <c r="C37" s="49">
        <f>資料儲存!E509</f>
        <v>0</v>
      </c>
      <c r="D37" s="49">
        <f>資料儲存!F509</f>
        <v>0</v>
      </c>
      <c r="E37" s="49">
        <f>資料儲存!G509</f>
        <v>0</v>
      </c>
      <c r="F37" s="49">
        <f>資料儲存!H509</f>
        <v>0</v>
      </c>
      <c r="G37" s="49">
        <f>資料儲存!I509</f>
        <v>0</v>
      </c>
      <c r="H37" s="49">
        <f>資料儲存!J509</f>
        <v>0</v>
      </c>
      <c r="I37" s="45"/>
      <c r="J37" s="48">
        <v>28</v>
      </c>
      <c r="K37" s="49">
        <f>資料儲存!D629</f>
        <v>0</v>
      </c>
      <c r="L37" s="49">
        <f>資料儲存!E629</f>
        <v>0</v>
      </c>
      <c r="M37" s="49">
        <f>資料儲存!F629</f>
        <v>0</v>
      </c>
      <c r="N37" s="49">
        <f>資料儲存!G629</f>
        <v>0</v>
      </c>
      <c r="O37" s="49">
        <f>資料儲存!H629</f>
        <v>0</v>
      </c>
      <c r="P37" s="49">
        <f>資料儲存!I629</f>
        <v>0</v>
      </c>
      <c r="Q37" s="49">
        <f>資料儲存!J629</f>
        <v>0</v>
      </c>
      <c r="R37" s="45"/>
      <c r="S37" s="48">
        <v>28</v>
      </c>
      <c r="T37" s="49">
        <f>資料儲存!D749</f>
        <v>0</v>
      </c>
      <c r="U37" s="49">
        <f>資料儲存!E749</f>
        <v>0</v>
      </c>
      <c r="V37" s="49">
        <f>資料儲存!F749</f>
        <v>0</v>
      </c>
      <c r="W37" s="49">
        <f>資料儲存!G749</f>
        <v>0</v>
      </c>
      <c r="X37" s="49">
        <f>資料儲存!H749</f>
        <v>0</v>
      </c>
      <c r="Y37" s="49">
        <f>資料儲存!I749</f>
        <v>0</v>
      </c>
      <c r="Z37" s="49">
        <f>資料儲存!J749</f>
        <v>0</v>
      </c>
      <c r="AA37" s="45"/>
      <c r="AB37" s="48">
        <v>28</v>
      </c>
      <c r="AC37" s="49">
        <f>資料儲存!D869</f>
        <v>0</v>
      </c>
      <c r="AD37" s="49">
        <f>資料儲存!E869</f>
        <v>0</v>
      </c>
      <c r="AE37" s="49">
        <f>資料儲存!F869</f>
        <v>0</v>
      </c>
      <c r="AF37" s="49">
        <f>資料儲存!G869</f>
        <v>0</v>
      </c>
      <c r="AG37" s="49">
        <f>資料儲存!H869</f>
        <v>0</v>
      </c>
      <c r="AH37" s="49">
        <f>資料儲存!I869</f>
        <v>0</v>
      </c>
      <c r="AI37" s="49">
        <f>資料儲存!J869</f>
        <v>0</v>
      </c>
      <c r="AJ37" s="13"/>
    </row>
    <row r="38" spans="1:36" ht="16" thickBot="1">
      <c r="A38" s="48">
        <v>29</v>
      </c>
      <c r="B38" s="49">
        <f>資料儲存!D510</f>
        <v>0</v>
      </c>
      <c r="C38" s="49">
        <f>資料儲存!E510</f>
        <v>0</v>
      </c>
      <c r="D38" s="49">
        <f>資料儲存!F510</f>
        <v>0</v>
      </c>
      <c r="E38" s="49">
        <f>資料儲存!G510</f>
        <v>0</v>
      </c>
      <c r="F38" s="49">
        <f>資料儲存!H510</f>
        <v>0</v>
      </c>
      <c r="G38" s="49">
        <f>資料儲存!I510</f>
        <v>0</v>
      </c>
      <c r="H38" s="49">
        <f>資料儲存!J510</f>
        <v>0</v>
      </c>
      <c r="I38" s="45"/>
      <c r="J38" s="48">
        <v>29</v>
      </c>
      <c r="K38" s="49">
        <f>資料儲存!D630</f>
        <v>0</v>
      </c>
      <c r="L38" s="49">
        <f>資料儲存!E630</f>
        <v>0</v>
      </c>
      <c r="M38" s="49">
        <f>資料儲存!F630</f>
        <v>0</v>
      </c>
      <c r="N38" s="49">
        <f>資料儲存!G630</f>
        <v>0</v>
      </c>
      <c r="O38" s="49">
        <f>資料儲存!H630</f>
        <v>0</v>
      </c>
      <c r="P38" s="49">
        <f>資料儲存!I630</f>
        <v>0</v>
      </c>
      <c r="Q38" s="49">
        <f>資料儲存!J630</f>
        <v>0</v>
      </c>
      <c r="R38" s="45"/>
      <c r="S38" s="48">
        <v>29</v>
      </c>
      <c r="T38" s="49">
        <f>資料儲存!D750</f>
        <v>0</v>
      </c>
      <c r="U38" s="49">
        <f>資料儲存!E750</f>
        <v>0</v>
      </c>
      <c r="V38" s="49">
        <f>資料儲存!F750</f>
        <v>0</v>
      </c>
      <c r="W38" s="49">
        <f>資料儲存!G750</f>
        <v>0</v>
      </c>
      <c r="X38" s="49">
        <f>資料儲存!H750</f>
        <v>0</v>
      </c>
      <c r="Y38" s="49">
        <f>資料儲存!I750</f>
        <v>0</v>
      </c>
      <c r="Z38" s="49">
        <f>資料儲存!J750</f>
        <v>0</v>
      </c>
      <c r="AA38" s="45"/>
      <c r="AB38" s="48">
        <v>29</v>
      </c>
      <c r="AC38" s="49">
        <f>資料儲存!D870</f>
        <v>0</v>
      </c>
      <c r="AD38" s="49">
        <f>資料儲存!E870</f>
        <v>0</v>
      </c>
      <c r="AE38" s="49">
        <f>資料儲存!F870</f>
        <v>0</v>
      </c>
      <c r="AF38" s="49">
        <f>資料儲存!G870</f>
        <v>0</v>
      </c>
      <c r="AG38" s="49">
        <f>資料儲存!H870</f>
        <v>0</v>
      </c>
      <c r="AH38" s="49">
        <f>資料儲存!I870</f>
        <v>0</v>
      </c>
      <c r="AI38" s="49">
        <f>資料儲存!J870</f>
        <v>0</v>
      </c>
      <c r="AJ38" s="13"/>
    </row>
    <row r="39" spans="1:36" ht="16" thickBot="1">
      <c r="A39" s="48">
        <v>30</v>
      </c>
      <c r="B39" s="49">
        <f>資料儲存!D511</f>
        <v>0</v>
      </c>
      <c r="C39" s="49">
        <f>資料儲存!E511</f>
        <v>0</v>
      </c>
      <c r="D39" s="49">
        <f>資料儲存!F511</f>
        <v>0</v>
      </c>
      <c r="E39" s="49">
        <f>資料儲存!G511</f>
        <v>0</v>
      </c>
      <c r="F39" s="49">
        <f>資料儲存!H511</f>
        <v>0</v>
      </c>
      <c r="G39" s="49">
        <f>資料儲存!I511</f>
        <v>0</v>
      </c>
      <c r="H39" s="49">
        <f>資料儲存!J511</f>
        <v>0</v>
      </c>
      <c r="I39" s="45"/>
      <c r="J39" s="48">
        <v>30</v>
      </c>
      <c r="K39" s="49">
        <f>資料儲存!D631</f>
        <v>0</v>
      </c>
      <c r="L39" s="49">
        <f>資料儲存!E631</f>
        <v>0</v>
      </c>
      <c r="M39" s="49">
        <f>資料儲存!F631</f>
        <v>0</v>
      </c>
      <c r="N39" s="49">
        <f>資料儲存!G631</f>
        <v>0</v>
      </c>
      <c r="O39" s="49">
        <f>資料儲存!H631</f>
        <v>0</v>
      </c>
      <c r="P39" s="49">
        <f>資料儲存!I631</f>
        <v>0</v>
      </c>
      <c r="Q39" s="49">
        <f>資料儲存!J631</f>
        <v>0</v>
      </c>
      <c r="R39" s="45"/>
      <c r="S39" s="48">
        <v>30</v>
      </c>
      <c r="T39" s="49">
        <f>資料儲存!D751</f>
        <v>0</v>
      </c>
      <c r="U39" s="49">
        <f>資料儲存!E751</f>
        <v>0</v>
      </c>
      <c r="V39" s="49">
        <f>資料儲存!F751</f>
        <v>0</v>
      </c>
      <c r="W39" s="49">
        <f>資料儲存!G751</f>
        <v>0</v>
      </c>
      <c r="X39" s="49">
        <f>資料儲存!H751</f>
        <v>0</v>
      </c>
      <c r="Y39" s="49">
        <f>資料儲存!I751</f>
        <v>0</v>
      </c>
      <c r="Z39" s="49">
        <f>資料儲存!J751</f>
        <v>0</v>
      </c>
      <c r="AA39" s="45"/>
      <c r="AB39" s="48">
        <v>30</v>
      </c>
      <c r="AC39" s="49">
        <f>資料儲存!D871</f>
        <v>0</v>
      </c>
      <c r="AD39" s="49">
        <f>資料儲存!E871</f>
        <v>0</v>
      </c>
      <c r="AE39" s="49">
        <f>資料儲存!F871</f>
        <v>0</v>
      </c>
      <c r="AF39" s="49">
        <f>資料儲存!G871</f>
        <v>0</v>
      </c>
      <c r="AG39" s="49">
        <f>資料儲存!H871</f>
        <v>0</v>
      </c>
      <c r="AH39" s="49">
        <f>資料儲存!I871</f>
        <v>0</v>
      </c>
      <c r="AI39" s="49">
        <f>資料儲存!J871</f>
        <v>0</v>
      </c>
      <c r="AJ39" s="13"/>
    </row>
    <row r="40" spans="1:36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</row>
    <row r="41" spans="1:36" ht="18.5" thickBot="1">
      <c r="A41" s="250" t="s">
        <v>59</v>
      </c>
      <c r="B41" s="251"/>
      <c r="C41" s="251"/>
      <c r="D41" s="251"/>
      <c r="E41" s="251"/>
      <c r="F41" s="251"/>
      <c r="G41" s="251"/>
      <c r="H41" s="252"/>
      <c r="I41" s="13"/>
      <c r="J41" s="250" t="s">
        <v>59</v>
      </c>
      <c r="K41" s="251"/>
      <c r="L41" s="251"/>
      <c r="M41" s="251"/>
      <c r="N41" s="251"/>
      <c r="O41" s="251"/>
      <c r="P41" s="251"/>
      <c r="Q41" s="252"/>
      <c r="R41" s="13"/>
      <c r="S41" s="250" t="s">
        <v>59</v>
      </c>
      <c r="T41" s="251"/>
      <c r="U41" s="251"/>
      <c r="V41" s="251"/>
      <c r="W41" s="251"/>
      <c r="X41" s="251"/>
      <c r="Y41" s="251"/>
      <c r="Z41" s="252"/>
      <c r="AA41" s="13"/>
      <c r="AB41" s="250" t="s">
        <v>59</v>
      </c>
      <c r="AC41" s="251"/>
      <c r="AD41" s="251"/>
      <c r="AE41" s="251"/>
      <c r="AF41" s="251"/>
      <c r="AG41" s="251"/>
      <c r="AH41" s="251"/>
      <c r="AI41" s="252"/>
      <c r="AJ41" s="13"/>
    </row>
    <row r="42" spans="1:36" ht="17.25" customHeight="1" thickBot="1">
      <c r="A42" s="31" t="s">
        <v>2</v>
      </c>
      <c r="B42" s="32" t="s">
        <v>46</v>
      </c>
      <c r="C42" s="33"/>
      <c r="D42" s="33"/>
      <c r="E42" s="34"/>
      <c r="F42" s="32" t="s">
        <v>47</v>
      </c>
      <c r="G42" s="33"/>
      <c r="H42" s="34"/>
      <c r="I42" s="35"/>
      <c r="J42" s="31" t="s">
        <v>2</v>
      </c>
      <c r="K42" s="32" t="s">
        <v>46</v>
      </c>
      <c r="L42" s="33"/>
      <c r="M42" s="33"/>
      <c r="N42" s="34"/>
      <c r="O42" s="32" t="s">
        <v>47</v>
      </c>
      <c r="P42" s="33"/>
      <c r="Q42" s="34"/>
      <c r="R42" s="35"/>
      <c r="S42" s="31" t="s">
        <v>2</v>
      </c>
      <c r="T42" s="32" t="s">
        <v>46</v>
      </c>
      <c r="U42" s="33"/>
      <c r="V42" s="33"/>
      <c r="W42" s="34"/>
      <c r="X42" s="32" t="s">
        <v>47</v>
      </c>
      <c r="Y42" s="33"/>
      <c r="Z42" s="34"/>
      <c r="AA42" s="35"/>
      <c r="AB42" s="31" t="s">
        <v>2</v>
      </c>
      <c r="AC42" s="32" t="s">
        <v>46</v>
      </c>
      <c r="AD42" s="33"/>
      <c r="AE42" s="33"/>
      <c r="AF42" s="34"/>
      <c r="AG42" s="32" t="s">
        <v>47</v>
      </c>
      <c r="AH42" s="33"/>
      <c r="AI42" s="34"/>
      <c r="AJ42" s="13"/>
    </row>
    <row r="43" spans="1:36" ht="16" thickBot="1">
      <c r="A43" s="36" t="s">
        <v>60</v>
      </c>
      <c r="B43" s="37" t="s">
        <v>49</v>
      </c>
      <c r="C43" s="37" t="s">
        <v>50</v>
      </c>
      <c r="D43" s="37" t="s">
        <v>51</v>
      </c>
      <c r="E43" s="37" t="s">
        <v>52</v>
      </c>
      <c r="F43" s="37" t="s">
        <v>53</v>
      </c>
      <c r="G43" s="37" t="s">
        <v>54</v>
      </c>
      <c r="H43" s="37" t="s">
        <v>55</v>
      </c>
      <c r="I43" s="35"/>
      <c r="J43" s="36" t="s">
        <v>60</v>
      </c>
      <c r="K43" s="37" t="s">
        <v>49</v>
      </c>
      <c r="L43" s="37" t="s">
        <v>50</v>
      </c>
      <c r="M43" s="37" t="s">
        <v>51</v>
      </c>
      <c r="N43" s="37" t="s">
        <v>52</v>
      </c>
      <c r="O43" s="37" t="s">
        <v>53</v>
      </c>
      <c r="P43" s="37" t="s">
        <v>54</v>
      </c>
      <c r="Q43" s="37" t="s">
        <v>55</v>
      </c>
      <c r="R43" s="35"/>
      <c r="S43" s="36" t="s">
        <v>60</v>
      </c>
      <c r="T43" s="37" t="s">
        <v>49</v>
      </c>
      <c r="U43" s="37" t="s">
        <v>50</v>
      </c>
      <c r="V43" s="37" t="s">
        <v>51</v>
      </c>
      <c r="W43" s="37" t="s">
        <v>52</v>
      </c>
      <c r="X43" s="37" t="s">
        <v>53</v>
      </c>
      <c r="Y43" s="37" t="s">
        <v>54</v>
      </c>
      <c r="Z43" s="37" t="s">
        <v>55</v>
      </c>
      <c r="AA43" s="35"/>
      <c r="AB43" s="36" t="s">
        <v>60</v>
      </c>
      <c r="AC43" s="37" t="s">
        <v>49</v>
      </c>
      <c r="AD43" s="37" t="s">
        <v>50</v>
      </c>
      <c r="AE43" s="37" t="s">
        <v>51</v>
      </c>
      <c r="AF43" s="37" t="s">
        <v>52</v>
      </c>
      <c r="AG43" s="37" t="s">
        <v>53</v>
      </c>
      <c r="AH43" s="37" t="s">
        <v>54</v>
      </c>
      <c r="AI43" s="37" t="s">
        <v>55</v>
      </c>
      <c r="AJ43" s="13"/>
    </row>
    <row r="44" spans="1:36" ht="16" thickBot="1">
      <c r="A44" s="38">
        <v>31</v>
      </c>
      <c r="B44" s="39">
        <f>資料儲存!D512</f>
        <v>0</v>
      </c>
      <c r="C44" s="39">
        <f>資料儲存!E512</f>
        <v>0</v>
      </c>
      <c r="D44" s="39">
        <f>資料儲存!F512</f>
        <v>0</v>
      </c>
      <c r="E44" s="39">
        <f>資料儲存!G512</f>
        <v>0</v>
      </c>
      <c r="F44" s="39">
        <f>資料儲存!H512</f>
        <v>0</v>
      </c>
      <c r="G44" s="39">
        <f>資料儲存!I512</f>
        <v>0</v>
      </c>
      <c r="H44" s="39">
        <f>資料儲存!J512</f>
        <v>0</v>
      </c>
      <c r="I44" s="35"/>
      <c r="J44" s="38">
        <v>31</v>
      </c>
      <c r="K44" s="39">
        <f>資料儲存!D632</f>
        <v>0</v>
      </c>
      <c r="L44" s="39">
        <f>資料儲存!E632</f>
        <v>0</v>
      </c>
      <c r="M44" s="39">
        <f>資料儲存!F632</f>
        <v>0</v>
      </c>
      <c r="N44" s="39">
        <f>資料儲存!G632</f>
        <v>0</v>
      </c>
      <c r="O44" s="39">
        <f>資料儲存!H632</f>
        <v>0</v>
      </c>
      <c r="P44" s="39">
        <f>資料儲存!I632</f>
        <v>0</v>
      </c>
      <c r="Q44" s="39">
        <f>資料儲存!J632</f>
        <v>0</v>
      </c>
      <c r="R44" s="35"/>
      <c r="S44" s="38">
        <v>31</v>
      </c>
      <c r="T44" s="39">
        <f>資料儲存!D752</f>
        <v>0</v>
      </c>
      <c r="U44" s="39">
        <f>資料儲存!E752</f>
        <v>0</v>
      </c>
      <c r="V44" s="39">
        <f>資料儲存!F752</f>
        <v>0</v>
      </c>
      <c r="W44" s="39">
        <f>資料儲存!G752</f>
        <v>0</v>
      </c>
      <c r="X44" s="39">
        <f>資料儲存!H752</f>
        <v>0</v>
      </c>
      <c r="Y44" s="39">
        <f>資料儲存!I752</f>
        <v>0</v>
      </c>
      <c r="Z44" s="39">
        <f>資料儲存!J752</f>
        <v>0</v>
      </c>
      <c r="AA44" s="35"/>
      <c r="AB44" s="38">
        <v>31</v>
      </c>
      <c r="AC44" s="39">
        <f>資料儲存!D872</f>
        <v>0</v>
      </c>
      <c r="AD44" s="39">
        <f>資料儲存!E872</f>
        <v>0</v>
      </c>
      <c r="AE44" s="39">
        <f>資料儲存!F872</f>
        <v>0</v>
      </c>
      <c r="AF44" s="39">
        <f>資料儲存!G872</f>
        <v>0</v>
      </c>
      <c r="AG44" s="39">
        <f>資料儲存!H872</f>
        <v>0</v>
      </c>
      <c r="AH44" s="39">
        <f>資料儲存!I872</f>
        <v>0</v>
      </c>
      <c r="AI44" s="39">
        <f>資料儲存!J872</f>
        <v>0</v>
      </c>
      <c r="AJ44" s="13"/>
    </row>
    <row r="45" spans="1:36" ht="16" thickBot="1">
      <c r="A45" s="38">
        <v>32</v>
      </c>
      <c r="B45" s="39">
        <f>資料儲存!D513</f>
        <v>0</v>
      </c>
      <c r="C45" s="39">
        <f>資料儲存!E513</f>
        <v>0</v>
      </c>
      <c r="D45" s="39">
        <f>資料儲存!F513</f>
        <v>0</v>
      </c>
      <c r="E45" s="39">
        <f>資料儲存!G513</f>
        <v>0</v>
      </c>
      <c r="F45" s="39">
        <f>資料儲存!H513</f>
        <v>0</v>
      </c>
      <c r="G45" s="39">
        <f>資料儲存!I513</f>
        <v>0</v>
      </c>
      <c r="H45" s="39">
        <f>資料儲存!J513</f>
        <v>0</v>
      </c>
      <c r="I45" s="35"/>
      <c r="J45" s="38">
        <v>32</v>
      </c>
      <c r="K45" s="39">
        <f>資料儲存!D633</f>
        <v>0</v>
      </c>
      <c r="L45" s="39">
        <f>資料儲存!E633</f>
        <v>0</v>
      </c>
      <c r="M45" s="39">
        <f>資料儲存!F633</f>
        <v>0</v>
      </c>
      <c r="N45" s="39">
        <f>資料儲存!G633</f>
        <v>0</v>
      </c>
      <c r="O45" s="39">
        <f>資料儲存!H633</f>
        <v>0</v>
      </c>
      <c r="P45" s="39">
        <f>資料儲存!I633</f>
        <v>0</v>
      </c>
      <c r="Q45" s="39">
        <f>資料儲存!J633</f>
        <v>0</v>
      </c>
      <c r="R45" s="35"/>
      <c r="S45" s="38">
        <v>32</v>
      </c>
      <c r="T45" s="39">
        <f>資料儲存!D753</f>
        <v>0</v>
      </c>
      <c r="U45" s="39">
        <f>資料儲存!E753</f>
        <v>0</v>
      </c>
      <c r="V45" s="39">
        <f>資料儲存!F753</f>
        <v>0</v>
      </c>
      <c r="W45" s="39">
        <f>資料儲存!G753</f>
        <v>0</v>
      </c>
      <c r="X45" s="39">
        <f>資料儲存!H753</f>
        <v>0</v>
      </c>
      <c r="Y45" s="39">
        <f>資料儲存!I753</f>
        <v>0</v>
      </c>
      <c r="Z45" s="39">
        <f>資料儲存!J753</f>
        <v>0</v>
      </c>
      <c r="AA45" s="35"/>
      <c r="AB45" s="38">
        <v>32</v>
      </c>
      <c r="AC45" s="39">
        <f>資料儲存!D873</f>
        <v>0</v>
      </c>
      <c r="AD45" s="39">
        <f>資料儲存!E873</f>
        <v>0</v>
      </c>
      <c r="AE45" s="39">
        <f>資料儲存!F873</f>
        <v>0</v>
      </c>
      <c r="AF45" s="39">
        <f>資料儲存!G873</f>
        <v>0</v>
      </c>
      <c r="AG45" s="39">
        <f>資料儲存!H873</f>
        <v>0</v>
      </c>
      <c r="AH45" s="39">
        <f>資料儲存!I873</f>
        <v>0</v>
      </c>
      <c r="AI45" s="39">
        <f>資料儲存!J873</f>
        <v>0</v>
      </c>
      <c r="AJ45" s="13"/>
    </row>
    <row r="46" spans="1:36" ht="16" thickBot="1">
      <c r="A46" s="38">
        <v>33</v>
      </c>
      <c r="B46" s="39">
        <f>資料儲存!D514</f>
        <v>0</v>
      </c>
      <c r="C46" s="39">
        <f>資料儲存!E514</f>
        <v>0</v>
      </c>
      <c r="D46" s="39">
        <f>資料儲存!F514</f>
        <v>0</v>
      </c>
      <c r="E46" s="39">
        <f>資料儲存!G514</f>
        <v>0</v>
      </c>
      <c r="F46" s="39">
        <f>資料儲存!H514</f>
        <v>0</v>
      </c>
      <c r="G46" s="39">
        <f>資料儲存!I514</f>
        <v>0</v>
      </c>
      <c r="H46" s="39">
        <f>資料儲存!J514</f>
        <v>0</v>
      </c>
      <c r="I46" s="35"/>
      <c r="J46" s="38">
        <v>33</v>
      </c>
      <c r="K46" s="39">
        <f>資料儲存!D634</f>
        <v>0</v>
      </c>
      <c r="L46" s="39">
        <f>資料儲存!E634</f>
        <v>0</v>
      </c>
      <c r="M46" s="39">
        <f>資料儲存!F634</f>
        <v>0</v>
      </c>
      <c r="N46" s="39">
        <f>資料儲存!G634</f>
        <v>0</v>
      </c>
      <c r="O46" s="39">
        <f>資料儲存!H634</f>
        <v>0</v>
      </c>
      <c r="P46" s="39">
        <f>資料儲存!I634</f>
        <v>0</v>
      </c>
      <c r="Q46" s="39">
        <f>資料儲存!J634</f>
        <v>0</v>
      </c>
      <c r="R46" s="35"/>
      <c r="S46" s="38">
        <v>33</v>
      </c>
      <c r="T46" s="39">
        <f>資料儲存!D754</f>
        <v>0</v>
      </c>
      <c r="U46" s="39">
        <f>資料儲存!E754</f>
        <v>0</v>
      </c>
      <c r="V46" s="39">
        <f>資料儲存!F754</f>
        <v>0</v>
      </c>
      <c r="W46" s="39">
        <f>資料儲存!G754</f>
        <v>0</v>
      </c>
      <c r="X46" s="39">
        <f>資料儲存!H754</f>
        <v>0</v>
      </c>
      <c r="Y46" s="39">
        <f>資料儲存!I754</f>
        <v>0</v>
      </c>
      <c r="Z46" s="39">
        <f>資料儲存!J754</f>
        <v>0</v>
      </c>
      <c r="AA46" s="35"/>
      <c r="AB46" s="38">
        <v>33</v>
      </c>
      <c r="AC46" s="39">
        <f>資料儲存!D874</f>
        <v>0</v>
      </c>
      <c r="AD46" s="39">
        <f>資料儲存!E874</f>
        <v>0</v>
      </c>
      <c r="AE46" s="39">
        <f>資料儲存!F874</f>
        <v>0</v>
      </c>
      <c r="AF46" s="39">
        <f>資料儲存!G874</f>
        <v>0</v>
      </c>
      <c r="AG46" s="39">
        <f>資料儲存!H874</f>
        <v>0</v>
      </c>
      <c r="AH46" s="39">
        <f>資料儲存!I874</f>
        <v>0</v>
      </c>
      <c r="AI46" s="39">
        <f>資料儲存!J874</f>
        <v>0</v>
      </c>
      <c r="AJ46" s="13"/>
    </row>
    <row r="47" spans="1:36" ht="16" thickBot="1">
      <c r="A47" s="38">
        <v>34</v>
      </c>
      <c r="B47" s="39">
        <f>資料儲存!D515</f>
        <v>0</v>
      </c>
      <c r="C47" s="39">
        <f>資料儲存!E515</f>
        <v>0</v>
      </c>
      <c r="D47" s="39">
        <f>資料儲存!F515</f>
        <v>0</v>
      </c>
      <c r="E47" s="39">
        <f>資料儲存!G515</f>
        <v>0</v>
      </c>
      <c r="F47" s="39">
        <f>資料儲存!H515</f>
        <v>0</v>
      </c>
      <c r="G47" s="39">
        <f>資料儲存!I515</f>
        <v>0</v>
      </c>
      <c r="H47" s="39">
        <f>資料儲存!J515</f>
        <v>0</v>
      </c>
      <c r="I47" s="35"/>
      <c r="J47" s="38">
        <v>34</v>
      </c>
      <c r="K47" s="39">
        <f>資料儲存!D635</f>
        <v>0</v>
      </c>
      <c r="L47" s="39">
        <f>資料儲存!E635</f>
        <v>0</v>
      </c>
      <c r="M47" s="39">
        <f>資料儲存!F635</f>
        <v>0</v>
      </c>
      <c r="N47" s="39">
        <f>資料儲存!G635</f>
        <v>0</v>
      </c>
      <c r="O47" s="39">
        <f>資料儲存!H635</f>
        <v>0</v>
      </c>
      <c r="P47" s="39">
        <f>資料儲存!I635</f>
        <v>0</v>
      </c>
      <c r="Q47" s="39">
        <f>資料儲存!J635</f>
        <v>0</v>
      </c>
      <c r="R47" s="35"/>
      <c r="S47" s="38">
        <v>34</v>
      </c>
      <c r="T47" s="39">
        <f>資料儲存!D755</f>
        <v>0</v>
      </c>
      <c r="U47" s="39">
        <f>資料儲存!E755</f>
        <v>0</v>
      </c>
      <c r="V47" s="39">
        <f>資料儲存!F755</f>
        <v>0</v>
      </c>
      <c r="W47" s="39">
        <f>資料儲存!G755</f>
        <v>0</v>
      </c>
      <c r="X47" s="39">
        <f>資料儲存!H755</f>
        <v>0</v>
      </c>
      <c r="Y47" s="39">
        <f>資料儲存!I755</f>
        <v>0</v>
      </c>
      <c r="Z47" s="39">
        <f>資料儲存!J755</f>
        <v>0</v>
      </c>
      <c r="AA47" s="35"/>
      <c r="AB47" s="38">
        <v>34</v>
      </c>
      <c r="AC47" s="39">
        <f>資料儲存!D875</f>
        <v>0</v>
      </c>
      <c r="AD47" s="39">
        <f>資料儲存!E875</f>
        <v>0</v>
      </c>
      <c r="AE47" s="39">
        <f>資料儲存!F875</f>
        <v>0</v>
      </c>
      <c r="AF47" s="39">
        <f>資料儲存!G875</f>
        <v>0</v>
      </c>
      <c r="AG47" s="39">
        <f>資料儲存!H875</f>
        <v>0</v>
      </c>
      <c r="AH47" s="39">
        <f>資料儲存!I875</f>
        <v>0</v>
      </c>
      <c r="AI47" s="39">
        <f>資料儲存!J875</f>
        <v>0</v>
      </c>
      <c r="AJ47" s="13"/>
    </row>
    <row r="48" spans="1:36" ht="16" thickBot="1">
      <c r="A48" s="38">
        <v>35</v>
      </c>
      <c r="B48" s="39">
        <f>資料儲存!D516</f>
        <v>0</v>
      </c>
      <c r="C48" s="39">
        <f>資料儲存!E516</f>
        <v>0</v>
      </c>
      <c r="D48" s="39">
        <f>資料儲存!F516</f>
        <v>0</v>
      </c>
      <c r="E48" s="39">
        <f>資料儲存!G516</f>
        <v>0</v>
      </c>
      <c r="F48" s="39">
        <f>資料儲存!H516</f>
        <v>0</v>
      </c>
      <c r="G48" s="39">
        <f>資料儲存!I516</f>
        <v>0</v>
      </c>
      <c r="H48" s="39">
        <f>資料儲存!J516</f>
        <v>0</v>
      </c>
      <c r="I48" s="35"/>
      <c r="J48" s="38">
        <v>35</v>
      </c>
      <c r="K48" s="39">
        <f>資料儲存!D636</f>
        <v>0</v>
      </c>
      <c r="L48" s="39">
        <f>資料儲存!E636</f>
        <v>0</v>
      </c>
      <c r="M48" s="39">
        <f>資料儲存!F636</f>
        <v>0</v>
      </c>
      <c r="N48" s="39">
        <f>資料儲存!G636</f>
        <v>0</v>
      </c>
      <c r="O48" s="39">
        <f>資料儲存!H636</f>
        <v>0</v>
      </c>
      <c r="P48" s="39">
        <f>資料儲存!I636</f>
        <v>0</v>
      </c>
      <c r="Q48" s="39">
        <f>資料儲存!J636</f>
        <v>0</v>
      </c>
      <c r="R48" s="35"/>
      <c r="S48" s="38">
        <v>35</v>
      </c>
      <c r="T48" s="39">
        <f>資料儲存!D756</f>
        <v>0</v>
      </c>
      <c r="U48" s="39">
        <f>資料儲存!E756</f>
        <v>0</v>
      </c>
      <c r="V48" s="39">
        <f>資料儲存!F756</f>
        <v>0</v>
      </c>
      <c r="W48" s="39">
        <f>資料儲存!G756</f>
        <v>0</v>
      </c>
      <c r="X48" s="39">
        <f>資料儲存!H756</f>
        <v>0</v>
      </c>
      <c r="Y48" s="39">
        <f>資料儲存!I756</f>
        <v>0</v>
      </c>
      <c r="Z48" s="39">
        <f>資料儲存!J756</f>
        <v>0</v>
      </c>
      <c r="AA48" s="35"/>
      <c r="AB48" s="38">
        <v>35</v>
      </c>
      <c r="AC48" s="39">
        <f>資料儲存!D876</f>
        <v>0</v>
      </c>
      <c r="AD48" s="39">
        <f>資料儲存!E876</f>
        <v>0</v>
      </c>
      <c r="AE48" s="39">
        <f>資料儲存!F876</f>
        <v>0</v>
      </c>
      <c r="AF48" s="39">
        <f>資料儲存!G876</f>
        <v>0</v>
      </c>
      <c r="AG48" s="39">
        <f>資料儲存!H876</f>
        <v>0</v>
      </c>
      <c r="AH48" s="39">
        <f>資料儲存!I876</f>
        <v>0</v>
      </c>
      <c r="AI48" s="39">
        <f>資料儲存!J876</f>
        <v>0</v>
      </c>
      <c r="AJ48" s="13"/>
    </row>
    <row r="49" spans="1:36" ht="16" thickBot="1">
      <c r="A49" s="38">
        <v>36</v>
      </c>
      <c r="B49" s="39">
        <f>資料儲存!D517</f>
        <v>0</v>
      </c>
      <c r="C49" s="39">
        <f>資料儲存!E517</f>
        <v>0</v>
      </c>
      <c r="D49" s="39">
        <f>資料儲存!F517</f>
        <v>0</v>
      </c>
      <c r="E49" s="39">
        <f>資料儲存!G517</f>
        <v>0</v>
      </c>
      <c r="F49" s="39">
        <f>資料儲存!H517</f>
        <v>0</v>
      </c>
      <c r="G49" s="39">
        <f>資料儲存!I517</f>
        <v>0</v>
      </c>
      <c r="H49" s="39">
        <f>資料儲存!J517</f>
        <v>0</v>
      </c>
      <c r="I49" s="35"/>
      <c r="J49" s="38">
        <v>36</v>
      </c>
      <c r="K49" s="39">
        <f>資料儲存!D637</f>
        <v>0</v>
      </c>
      <c r="L49" s="39">
        <f>資料儲存!E637</f>
        <v>0</v>
      </c>
      <c r="M49" s="39">
        <f>資料儲存!F637</f>
        <v>0</v>
      </c>
      <c r="N49" s="39">
        <f>資料儲存!G637</f>
        <v>0</v>
      </c>
      <c r="O49" s="39">
        <f>資料儲存!H637</f>
        <v>0</v>
      </c>
      <c r="P49" s="39">
        <f>資料儲存!I637</f>
        <v>0</v>
      </c>
      <c r="Q49" s="39">
        <f>資料儲存!J637</f>
        <v>0</v>
      </c>
      <c r="R49" s="35"/>
      <c r="S49" s="38">
        <v>36</v>
      </c>
      <c r="T49" s="39">
        <f>資料儲存!D757</f>
        <v>0</v>
      </c>
      <c r="U49" s="39">
        <f>資料儲存!E757</f>
        <v>0</v>
      </c>
      <c r="V49" s="39">
        <f>資料儲存!F757</f>
        <v>0</v>
      </c>
      <c r="W49" s="39">
        <f>資料儲存!G757</f>
        <v>0</v>
      </c>
      <c r="X49" s="39">
        <f>資料儲存!H757</f>
        <v>0</v>
      </c>
      <c r="Y49" s="39">
        <f>資料儲存!I757</f>
        <v>0</v>
      </c>
      <c r="Z49" s="39">
        <f>資料儲存!J757</f>
        <v>0</v>
      </c>
      <c r="AA49" s="35"/>
      <c r="AB49" s="38">
        <v>36</v>
      </c>
      <c r="AC49" s="39">
        <f>資料儲存!D877</f>
        <v>0</v>
      </c>
      <c r="AD49" s="39">
        <f>資料儲存!E877</f>
        <v>0</v>
      </c>
      <c r="AE49" s="39">
        <f>資料儲存!F877</f>
        <v>0</v>
      </c>
      <c r="AF49" s="39">
        <f>資料儲存!G877</f>
        <v>0</v>
      </c>
      <c r="AG49" s="39">
        <f>資料儲存!H877</f>
        <v>0</v>
      </c>
      <c r="AH49" s="39">
        <f>資料儲存!I877</f>
        <v>0</v>
      </c>
      <c r="AI49" s="39">
        <f>資料儲存!J877</f>
        <v>0</v>
      </c>
      <c r="AJ49" s="13"/>
    </row>
    <row r="50" spans="1:36" ht="16" thickBot="1">
      <c r="A50" s="38">
        <v>37</v>
      </c>
      <c r="B50" s="39">
        <f>資料儲存!D518</f>
        <v>0</v>
      </c>
      <c r="C50" s="39">
        <f>資料儲存!E518</f>
        <v>0</v>
      </c>
      <c r="D50" s="39">
        <f>資料儲存!F518</f>
        <v>0</v>
      </c>
      <c r="E50" s="39">
        <f>資料儲存!G518</f>
        <v>0</v>
      </c>
      <c r="F50" s="39">
        <f>資料儲存!H518</f>
        <v>0</v>
      </c>
      <c r="G50" s="39">
        <f>資料儲存!I518</f>
        <v>0</v>
      </c>
      <c r="H50" s="39">
        <f>資料儲存!J518</f>
        <v>0</v>
      </c>
      <c r="I50" s="35"/>
      <c r="J50" s="38">
        <v>37</v>
      </c>
      <c r="K50" s="39">
        <f>資料儲存!D638</f>
        <v>0</v>
      </c>
      <c r="L50" s="39">
        <f>資料儲存!E638</f>
        <v>0</v>
      </c>
      <c r="M50" s="39">
        <f>資料儲存!F638</f>
        <v>0</v>
      </c>
      <c r="N50" s="39">
        <f>資料儲存!G638</f>
        <v>0</v>
      </c>
      <c r="O50" s="39">
        <f>資料儲存!H638</f>
        <v>0</v>
      </c>
      <c r="P50" s="39">
        <f>資料儲存!I638</f>
        <v>0</v>
      </c>
      <c r="Q50" s="39">
        <f>資料儲存!J638</f>
        <v>0</v>
      </c>
      <c r="R50" s="35"/>
      <c r="S50" s="38">
        <v>37</v>
      </c>
      <c r="T50" s="39">
        <f>資料儲存!D758</f>
        <v>0</v>
      </c>
      <c r="U50" s="39">
        <f>資料儲存!E758</f>
        <v>0</v>
      </c>
      <c r="V50" s="39">
        <f>資料儲存!F758</f>
        <v>0</v>
      </c>
      <c r="W50" s="39">
        <f>資料儲存!G758</f>
        <v>0</v>
      </c>
      <c r="X50" s="39">
        <f>資料儲存!H758</f>
        <v>0</v>
      </c>
      <c r="Y50" s="39">
        <f>資料儲存!I758</f>
        <v>0</v>
      </c>
      <c r="Z50" s="39">
        <f>資料儲存!J758</f>
        <v>0</v>
      </c>
      <c r="AA50" s="35"/>
      <c r="AB50" s="38">
        <v>37</v>
      </c>
      <c r="AC50" s="39">
        <f>資料儲存!D878</f>
        <v>0</v>
      </c>
      <c r="AD50" s="39">
        <f>資料儲存!E878</f>
        <v>0</v>
      </c>
      <c r="AE50" s="39">
        <f>資料儲存!F878</f>
        <v>0</v>
      </c>
      <c r="AF50" s="39">
        <f>資料儲存!G878</f>
        <v>0</v>
      </c>
      <c r="AG50" s="39">
        <f>資料儲存!H878</f>
        <v>0</v>
      </c>
      <c r="AH50" s="39">
        <f>資料儲存!I878</f>
        <v>0</v>
      </c>
      <c r="AI50" s="39">
        <f>資料儲存!J878</f>
        <v>0</v>
      </c>
      <c r="AJ50" s="13"/>
    </row>
    <row r="51" spans="1:36" ht="16" thickBot="1">
      <c r="A51" s="38">
        <v>38</v>
      </c>
      <c r="B51" s="39">
        <f>資料儲存!D519</f>
        <v>0</v>
      </c>
      <c r="C51" s="39">
        <f>資料儲存!E519</f>
        <v>0</v>
      </c>
      <c r="D51" s="39">
        <f>資料儲存!F519</f>
        <v>0</v>
      </c>
      <c r="E51" s="39">
        <f>資料儲存!G519</f>
        <v>0</v>
      </c>
      <c r="F51" s="39">
        <f>資料儲存!H519</f>
        <v>0</v>
      </c>
      <c r="G51" s="39">
        <f>資料儲存!I519</f>
        <v>0</v>
      </c>
      <c r="H51" s="39">
        <f>資料儲存!J519</f>
        <v>0</v>
      </c>
      <c r="I51" s="35"/>
      <c r="J51" s="38">
        <v>38</v>
      </c>
      <c r="K51" s="39">
        <f>資料儲存!D639</f>
        <v>0</v>
      </c>
      <c r="L51" s="39">
        <f>資料儲存!E639</f>
        <v>0</v>
      </c>
      <c r="M51" s="39">
        <f>資料儲存!F639</f>
        <v>0</v>
      </c>
      <c r="N51" s="39">
        <f>資料儲存!G639</f>
        <v>0</v>
      </c>
      <c r="O51" s="39">
        <f>資料儲存!H639</f>
        <v>0</v>
      </c>
      <c r="P51" s="39">
        <f>資料儲存!I639</f>
        <v>0</v>
      </c>
      <c r="Q51" s="39">
        <f>資料儲存!J639</f>
        <v>0</v>
      </c>
      <c r="R51" s="35"/>
      <c r="S51" s="38">
        <v>38</v>
      </c>
      <c r="T51" s="39">
        <f>資料儲存!D759</f>
        <v>0</v>
      </c>
      <c r="U51" s="39">
        <f>資料儲存!E759</f>
        <v>0</v>
      </c>
      <c r="V51" s="39">
        <f>資料儲存!F759</f>
        <v>0</v>
      </c>
      <c r="W51" s="39">
        <f>資料儲存!G759</f>
        <v>0</v>
      </c>
      <c r="X51" s="39">
        <f>資料儲存!H759</f>
        <v>0</v>
      </c>
      <c r="Y51" s="39">
        <f>資料儲存!I759</f>
        <v>0</v>
      </c>
      <c r="Z51" s="39">
        <f>資料儲存!J759</f>
        <v>0</v>
      </c>
      <c r="AA51" s="35"/>
      <c r="AB51" s="38">
        <v>38</v>
      </c>
      <c r="AC51" s="39">
        <f>資料儲存!D879</f>
        <v>0</v>
      </c>
      <c r="AD51" s="39">
        <f>資料儲存!E879</f>
        <v>0</v>
      </c>
      <c r="AE51" s="39">
        <f>資料儲存!F879</f>
        <v>0</v>
      </c>
      <c r="AF51" s="39">
        <f>資料儲存!G879</f>
        <v>0</v>
      </c>
      <c r="AG51" s="39">
        <f>資料儲存!H879</f>
        <v>0</v>
      </c>
      <c r="AH51" s="39">
        <f>資料儲存!I879</f>
        <v>0</v>
      </c>
      <c r="AI51" s="39">
        <f>資料儲存!J879</f>
        <v>0</v>
      </c>
      <c r="AJ51" s="13"/>
    </row>
    <row r="52" spans="1:36" ht="16" thickBot="1">
      <c r="A52" s="38">
        <v>39</v>
      </c>
      <c r="B52" s="39">
        <f>資料儲存!D520</f>
        <v>0</v>
      </c>
      <c r="C52" s="39">
        <f>資料儲存!E520</f>
        <v>0</v>
      </c>
      <c r="D52" s="39">
        <f>資料儲存!F520</f>
        <v>0</v>
      </c>
      <c r="E52" s="39">
        <f>資料儲存!G520</f>
        <v>0</v>
      </c>
      <c r="F52" s="39">
        <f>資料儲存!H520</f>
        <v>0</v>
      </c>
      <c r="G52" s="39">
        <f>資料儲存!I520</f>
        <v>0</v>
      </c>
      <c r="H52" s="39">
        <f>資料儲存!J520</f>
        <v>0</v>
      </c>
      <c r="I52" s="35"/>
      <c r="J52" s="38">
        <v>39</v>
      </c>
      <c r="K52" s="39">
        <f>資料儲存!D640</f>
        <v>0</v>
      </c>
      <c r="L52" s="39">
        <f>資料儲存!E640</f>
        <v>0</v>
      </c>
      <c r="M52" s="39">
        <f>資料儲存!F640</f>
        <v>0</v>
      </c>
      <c r="N52" s="39">
        <f>資料儲存!G640</f>
        <v>0</v>
      </c>
      <c r="O52" s="39">
        <f>資料儲存!H640</f>
        <v>0</v>
      </c>
      <c r="P52" s="39">
        <f>資料儲存!I640</f>
        <v>0</v>
      </c>
      <c r="Q52" s="39">
        <f>資料儲存!J640</f>
        <v>0</v>
      </c>
      <c r="R52" s="35"/>
      <c r="S52" s="38">
        <v>39</v>
      </c>
      <c r="T52" s="39">
        <f>資料儲存!D760</f>
        <v>0</v>
      </c>
      <c r="U52" s="39">
        <f>資料儲存!E760</f>
        <v>0</v>
      </c>
      <c r="V52" s="39">
        <f>資料儲存!F760</f>
        <v>0</v>
      </c>
      <c r="W52" s="39">
        <f>資料儲存!G760</f>
        <v>0</v>
      </c>
      <c r="X52" s="39">
        <f>資料儲存!H760</f>
        <v>0</v>
      </c>
      <c r="Y52" s="39">
        <f>資料儲存!I760</f>
        <v>0</v>
      </c>
      <c r="Z52" s="39">
        <f>資料儲存!J760</f>
        <v>0</v>
      </c>
      <c r="AA52" s="35"/>
      <c r="AB52" s="38">
        <v>39</v>
      </c>
      <c r="AC52" s="39">
        <f>資料儲存!D880</f>
        <v>0</v>
      </c>
      <c r="AD52" s="39">
        <f>資料儲存!E880</f>
        <v>0</v>
      </c>
      <c r="AE52" s="39">
        <f>資料儲存!F880</f>
        <v>0</v>
      </c>
      <c r="AF52" s="39">
        <f>資料儲存!G880</f>
        <v>0</v>
      </c>
      <c r="AG52" s="39">
        <f>資料儲存!H880</f>
        <v>0</v>
      </c>
      <c r="AH52" s="39">
        <f>資料儲存!I880</f>
        <v>0</v>
      </c>
      <c r="AI52" s="39">
        <f>資料儲存!J880</f>
        <v>0</v>
      </c>
      <c r="AJ52" s="13"/>
    </row>
    <row r="53" spans="1:36" ht="16" thickBot="1">
      <c r="A53" s="38">
        <v>40</v>
      </c>
      <c r="B53" s="39">
        <f>資料儲存!D521</f>
        <v>0</v>
      </c>
      <c r="C53" s="39">
        <f>資料儲存!E521</f>
        <v>0</v>
      </c>
      <c r="D53" s="39">
        <f>資料儲存!F521</f>
        <v>0</v>
      </c>
      <c r="E53" s="39">
        <f>資料儲存!G521</f>
        <v>0</v>
      </c>
      <c r="F53" s="39">
        <f>資料儲存!H521</f>
        <v>0</v>
      </c>
      <c r="G53" s="39">
        <f>資料儲存!I521</f>
        <v>0</v>
      </c>
      <c r="H53" s="39">
        <f>資料儲存!J521</f>
        <v>0</v>
      </c>
      <c r="I53" s="35"/>
      <c r="J53" s="38">
        <v>40</v>
      </c>
      <c r="K53" s="39">
        <f>資料儲存!D641</f>
        <v>0</v>
      </c>
      <c r="L53" s="39">
        <f>資料儲存!E641</f>
        <v>0</v>
      </c>
      <c r="M53" s="39">
        <f>資料儲存!F641</f>
        <v>0</v>
      </c>
      <c r="N53" s="39">
        <f>資料儲存!G641</f>
        <v>0</v>
      </c>
      <c r="O53" s="39">
        <f>資料儲存!H641</f>
        <v>0</v>
      </c>
      <c r="P53" s="39">
        <f>資料儲存!I641</f>
        <v>0</v>
      </c>
      <c r="Q53" s="39">
        <f>資料儲存!J641</f>
        <v>0</v>
      </c>
      <c r="R53" s="35"/>
      <c r="S53" s="38">
        <v>40</v>
      </c>
      <c r="T53" s="39">
        <f>資料儲存!D761</f>
        <v>0</v>
      </c>
      <c r="U53" s="39">
        <f>資料儲存!E761</f>
        <v>0</v>
      </c>
      <c r="V53" s="39">
        <f>資料儲存!F761</f>
        <v>0</v>
      </c>
      <c r="W53" s="39">
        <f>資料儲存!G761</f>
        <v>0</v>
      </c>
      <c r="X53" s="39">
        <f>資料儲存!H761</f>
        <v>0</v>
      </c>
      <c r="Y53" s="39">
        <f>資料儲存!I761</f>
        <v>0</v>
      </c>
      <c r="Z53" s="39">
        <f>資料儲存!J761</f>
        <v>0</v>
      </c>
      <c r="AA53" s="35"/>
      <c r="AB53" s="38">
        <v>40</v>
      </c>
      <c r="AC53" s="39">
        <f>資料儲存!D881</f>
        <v>0</v>
      </c>
      <c r="AD53" s="39">
        <f>資料儲存!E881</f>
        <v>0</v>
      </c>
      <c r="AE53" s="39">
        <f>資料儲存!F881</f>
        <v>0</v>
      </c>
      <c r="AF53" s="39">
        <f>資料儲存!G881</f>
        <v>0</v>
      </c>
      <c r="AG53" s="39">
        <f>資料儲存!H881</f>
        <v>0</v>
      </c>
      <c r="AH53" s="39">
        <f>資料儲存!I881</f>
        <v>0</v>
      </c>
      <c r="AI53" s="39">
        <f>資料儲存!J881</f>
        <v>0</v>
      </c>
      <c r="AJ53" s="13"/>
    </row>
    <row r="54" spans="1:36" ht="16" thickBot="1">
      <c r="A54" s="38">
        <v>41</v>
      </c>
      <c r="B54" s="39">
        <f>資料儲存!D522</f>
        <v>0</v>
      </c>
      <c r="C54" s="39">
        <f>資料儲存!E522</f>
        <v>0</v>
      </c>
      <c r="D54" s="39">
        <f>資料儲存!F522</f>
        <v>0</v>
      </c>
      <c r="E54" s="39">
        <f>資料儲存!G522</f>
        <v>0</v>
      </c>
      <c r="F54" s="39">
        <f>資料儲存!H522</f>
        <v>0</v>
      </c>
      <c r="G54" s="39">
        <f>資料儲存!I522</f>
        <v>0</v>
      </c>
      <c r="H54" s="39">
        <f>資料儲存!J522</f>
        <v>0</v>
      </c>
      <c r="I54" s="35"/>
      <c r="J54" s="38">
        <v>41</v>
      </c>
      <c r="K54" s="39">
        <f>資料儲存!D642</f>
        <v>0</v>
      </c>
      <c r="L54" s="39">
        <f>資料儲存!E642</f>
        <v>0</v>
      </c>
      <c r="M54" s="39">
        <f>資料儲存!F642</f>
        <v>0</v>
      </c>
      <c r="N54" s="39">
        <f>資料儲存!G642</f>
        <v>0</v>
      </c>
      <c r="O54" s="39">
        <f>資料儲存!H642</f>
        <v>0</v>
      </c>
      <c r="P54" s="39">
        <f>資料儲存!I642</f>
        <v>0</v>
      </c>
      <c r="Q54" s="39">
        <f>資料儲存!J642</f>
        <v>0</v>
      </c>
      <c r="R54" s="35"/>
      <c r="S54" s="38">
        <v>41</v>
      </c>
      <c r="T54" s="39">
        <f>資料儲存!D762</f>
        <v>0</v>
      </c>
      <c r="U54" s="39">
        <f>資料儲存!E762</f>
        <v>0</v>
      </c>
      <c r="V54" s="39">
        <f>資料儲存!F762</f>
        <v>0</v>
      </c>
      <c r="W54" s="39">
        <f>資料儲存!G762</f>
        <v>0</v>
      </c>
      <c r="X54" s="39">
        <f>資料儲存!H762</f>
        <v>0</v>
      </c>
      <c r="Y54" s="39">
        <f>資料儲存!I762</f>
        <v>0</v>
      </c>
      <c r="Z54" s="39">
        <f>資料儲存!J762</f>
        <v>0</v>
      </c>
      <c r="AA54" s="35"/>
      <c r="AB54" s="38">
        <v>41</v>
      </c>
      <c r="AC54" s="39">
        <f>資料儲存!D882</f>
        <v>0</v>
      </c>
      <c r="AD54" s="39">
        <f>資料儲存!E882</f>
        <v>0</v>
      </c>
      <c r="AE54" s="39">
        <f>資料儲存!F882</f>
        <v>0</v>
      </c>
      <c r="AF54" s="39">
        <f>資料儲存!G882</f>
        <v>0</v>
      </c>
      <c r="AG54" s="39">
        <f>資料儲存!H882</f>
        <v>0</v>
      </c>
      <c r="AH54" s="39">
        <f>資料儲存!I882</f>
        <v>0</v>
      </c>
      <c r="AI54" s="39">
        <f>資料儲存!J882</f>
        <v>0</v>
      </c>
      <c r="AJ54" s="13"/>
    </row>
    <row r="55" spans="1:36" ht="16" thickBot="1">
      <c r="A55" s="38">
        <v>42</v>
      </c>
      <c r="B55" s="39">
        <f>資料儲存!D523</f>
        <v>0</v>
      </c>
      <c r="C55" s="39">
        <f>資料儲存!E523</f>
        <v>0</v>
      </c>
      <c r="D55" s="39">
        <f>資料儲存!F523</f>
        <v>0</v>
      </c>
      <c r="E55" s="39">
        <f>資料儲存!G523</f>
        <v>0</v>
      </c>
      <c r="F55" s="39">
        <f>資料儲存!H523</f>
        <v>0</v>
      </c>
      <c r="G55" s="39">
        <f>資料儲存!I523</f>
        <v>0</v>
      </c>
      <c r="H55" s="39">
        <f>資料儲存!J523</f>
        <v>0</v>
      </c>
      <c r="I55" s="35"/>
      <c r="J55" s="38">
        <v>42</v>
      </c>
      <c r="K55" s="39">
        <f>資料儲存!D643</f>
        <v>0</v>
      </c>
      <c r="L55" s="39">
        <f>資料儲存!E643</f>
        <v>0</v>
      </c>
      <c r="M55" s="39">
        <f>資料儲存!F643</f>
        <v>0</v>
      </c>
      <c r="N55" s="39">
        <f>資料儲存!G643</f>
        <v>0</v>
      </c>
      <c r="O55" s="39">
        <f>資料儲存!H643</f>
        <v>0</v>
      </c>
      <c r="P55" s="39">
        <f>資料儲存!I643</f>
        <v>0</v>
      </c>
      <c r="Q55" s="39">
        <f>資料儲存!J643</f>
        <v>0</v>
      </c>
      <c r="R55" s="35"/>
      <c r="S55" s="38">
        <v>42</v>
      </c>
      <c r="T55" s="39">
        <f>資料儲存!D763</f>
        <v>0</v>
      </c>
      <c r="U55" s="39">
        <f>資料儲存!E763</f>
        <v>0</v>
      </c>
      <c r="V55" s="39">
        <f>資料儲存!F763</f>
        <v>0</v>
      </c>
      <c r="W55" s="39">
        <f>資料儲存!G763</f>
        <v>0</v>
      </c>
      <c r="X55" s="39">
        <f>資料儲存!H763</f>
        <v>0</v>
      </c>
      <c r="Y55" s="39">
        <f>資料儲存!I763</f>
        <v>0</v>
      </c>
      <c r="Z55" s="39">
        <f>資料儲存!J763</f>
        <v>0</v>
      </c>
      <c r="AA55" s="35"/>
      <c r="AB55" s="38">
        <v>42</v>
      </c>
      <c r="AC55" s="39">
        <f>資料儲存!D883</f>
        <v>0</v>
      </c>
      <c r="AD55" s="39">
        <f>資料儲存!E883</f>
        <v>0</v>
      </c>
      <c r="AE55" s="39">
        <f>資料儲存!F883</f>
        <v>0</v>
      </c>
      <c r="AF55" s="39">
        <f>資料儲存!G883</f>
        <v>0</v>
      </c>
      <c r="AG55" s="39">
        <f>資料儲存!H883</f>
        <v>0</v>
      </c>
      <c r="AH55" s="39">
        <f>資料儲存!I883</f>
        <v>0</v>
      </c>
      <c r="AI55" s="39">
        <f>資料儲存!J883</f>
        <v>0</v>
      </c>
      <c r="AJ55" s="13"/>
    </row>
    <row r="56" spans="1:36" ht="16" thickBot="1">
      <c r="A56" s="38">
        <v>43</v>
      </c>
      <c r="B56" s="39">
        <f>資料儲存!D524</f>
        <v>0</v>
      </c>
      <c r="C56" s="39">
        <f>資料儲存!E524</f>
        <v>0</v>
      </c>
      <c r="D56" s="39">
        <f>資料儲存!F524</f>
        <v>0</v>
      </c>
      <c r="E56" s="39">
        <f>資料儲存!G524</f>
        <v>0</v>
      </c>
      <c r="F56" s="39">
        <f>資料儲存!H524</f>
        <v>0</v>
      </c>
      <c r="G56" s="39">
        <f>資料儲存!I524</f>
        <v>0</v>
      </c>
      <c r="H56" s="39">
        <f>資料儲存!J524</f>
        <v>0</v>
      </c>
      <c r="I56" s="35"/>
      <c r="J56" s="38">
        <v>43</v>
      </c>
      <c r="K56" s="39">
        <f>資料儲存!D644</f>
        <v>0</v>
      </c>
      <c r="L56" s="39">
        <f>資料儲存!E644</f>
        <v>0</v>
      </c>
      <c r="M56" s="39">
        <f>資料儲存!F644</f>
        <v>0</v>
      </c>
      <c r="N56" s="39">
        <f>資料儲存!G644</f>
        <v>0</v>
      </c>
      <c r="O56" s="39">
        <f>資料儲存!H644</f>
        <v>0</v>
      </c>
      <c r="P56" s="39">
        <f>資料儲存!I644</f>
        <v>0</v>
      </c>
      <c r="Q56" s="39">
        <f>資料儲存!J644</f>
        <v>0</v>
      </c>
      <c r="R56" s="35"/>
      <c r="S56" s="38">
        <v>43</v>
      </c>
      <c r="T56" s="39">
        <f>資料儲存!D764</f>
        <v>0</v>
      </c>
      <c r="U56" s="39">
        <f>資料儲存!E764</f>
        <v>0</v>
      </c>
      <c r="V56" s="39">
        <f>資料儲存!F764</f>
        <v>0</v>
      </c>
      <c r="W56" s="39">
        <f>資料儲存!G764</f>
        <v>0</v>
      </c>
      <c r="X56" s="39">
        <f>資料儲存!H764</f>
        <v>0</v>
      </c>
      <c r="Y56" s="39">
        <f>資料儲存!I764</f>
        <v>0</v>
      </c>
      <c r="Z56" s="39">
        <f>資料儲存!J764</f>
        <v>0</v>
      </c>
      <c r="AA56" s="35"/>
      <c r="AB56" s="38">
        <v>43</v>
      </c>
      <c r="AC56" s="39">
        <f>資料儲存!D884</f>
        <v>0</v>
      </c>
      <c r="AD56" s="39">
        <f>資料儲存!E884</f>
        <v>0</v>
      </c>
      <c r="AE56" s="39">
        <f>資料儲存!F884</f>
        <v>0</v>
      </c>
      <c r="AF56" s="39">
        <f>資料儲存!G884</f>
        <v>0</v>
      </c>
      <c r="AG56" s="39">
        <f>資料儲存!H884</f>
        <v>0</v>
      </c>
      <c r="AH56" s="39">
        <f>資料儲存!I884</f>
        <v>0</v>
      </c>
      <c r="AI56" s="39">
        <f>資料儲存!J884</f>
        <v>0</v>
      </c>
      <c r="AJ56" s="13"/>
    </row>
    <row r="57" spans="1:36" ht="16" thickBot="1">
      <c r="A57" s="38">
        <v>44</v>
      </c>
      <c r="B57" s="39">
        <f>資料儲存!D525</f>
        <v>0</v>
      </c>
      <c r="C57" s="39">
        <f>資料儲存!E525</f>
        <v>0</v>
      </c>
      <c r="D57" s="39">
        <f>資料儲存!F525</f>
        <v>0</v>
      </c>
      <c r="E57" s="39">
        <f>資料儲存!G525</f>
        <v>0</v>
      </c>
      <c r="F57" s="39">
        <f>資料儲存!H525</f>
        <v>0</v>
      </c>
      <c r="G57" s="39">
        <f>資料儲存!I525</f>
        <v>0</v>
      </c>
      <c r="H57" s="39">
        <f>資料儲存!J525</f>
        <v>0</v>
      </c>
      <c r="I57" s="35"/>
      <c r="J57" s="38">
        <v>44</v>
      </c>
      <c r="K57" s="39">
        <f>資料儲存!D645</f>
        <v>0</v>
      </c>
      <c r="L57" s="39">
        <f>資料儲存!E645</f>
        <v>0</v>
      </c>
      <c r="M57" s="39">
        <f>資料儲存!F645</f>
        <v>0</v>
      </c>
      <c r="N57" s="39">
        <f>資料儲存!G645</f>
        <v>0</v>
      </c>
      <c r="O57" s="39">
        <f>資料儲存!H645</f>
        <v>0</v>
      </c>
      <c r="P57" s="39">
        <f>資料儲存!I645</f>
        <v>0</v>
      </c>
      <c r="Q57" s="39">
        <f>資料儲存!J645</f>
        <v>0</v>
      </c>
      <c r="R57" s="35"/>
      <c r="S57" s="38">
        <v>44</v>
      </c>
      <c r="T57" s="39">
        <f>資料儲存!D765</f>
        <v>0</v>
      </c>
      <c r="U57" s="39">
        <f>資料儲存!E765</f>
        <v>0</v>
      </c>
      <c r="V57" s="39">
        <f>資料儲存!F765</f>
        <v>0</v>
      </c>
      <c r="W57" s="39">
        <f>資料儲存!G765</f>
        <v>0</v>
      </c>
      <c r="X57" s="39">
        <f>資料儲存!H765</f>
        <v>0</v>
      </c>
      <c r="Y57" s="39">
        <f>資料儲存!I765</f>
        <v>0</v>
      </c>
      <c r="Z57" s="39">
        <f>資料儲存!J765</f>
        <v>0</v>
      </c>
      <c r="AA57" s="35"/>
      <c r="AB57" s="38">
        <v>44</v>
      </c>
      <c r="AC57" s="39">
        <f>資料儲存!D885</f>
        <v>0</v>
      </c>
      <c r="AD57" s="39">
        <f>資料儲存!E885</f>
        <v>0</v>
      </c>
      <c r="AE57" s="39">
        <f>資料儲存!F885</f>
        <v>0</v>
      </c>
      <c r="AF57" s="39">
        <f>資料儲存!G885</f>
        <v>0</v>
      </c>
      <c r="AG57" s="39">
        <f>資料儲存!H885</f>
        <v>0</v>
      </c>
      <c r="AH57" s="39">
        <f>資料儲存!I885</f>
        <v>0</v>
      </c>
      <c r="AI57" s="39">
        <f>資料儲存!J885</f>
        <v>0</v>
      </c>
      <c r="AJ57" s="13"/>
    </row>
    <row r="58" spans="1:36" ht="16" thickBot="1">
      <c r="A58" s="38">
        <v>45</v>
      </c>
      <c r="B58" s="39">
        <f>資料儲存!D526</f>
        <v>0</v>
      </c>
      <c r="C58" s="39">
        <f>資料儲存!E526</f>
        <v>0</v>
      </c>
      <c r="D58" s="39">
        <f>資料儲存!F526</f>
        <v>0</v>
      </c>
      <c r="E58" s="39">
        <f>資料儲存!G526</f>
        <v>0</v>
      </c>
      <c r="F58" s="39">
        <f>資料儲存!H526</f>
        <v>0</v>
      </c>
      <c r="G58" s="39">
        <f>資料儲存!I526</f>
        <v>0</v>
      </c>
      <c r="H58" s="39">
        <f>資料儲存!J526</f>
        <v>0</v>
      </c>
      <c r="I58" s="35"/>
      <c r="J58" s="38">
        <v>45</v>
      </c>
      <c r="K58" s="39">
        <f>資料儲存!D646</f>
        <v>0</v>
      </c>
      <c r="L58" s="39">
        <f>資料儲存!E646</f>
        <v>0</v>
      </c>
      <c r="M58" s="39">
        <f>資料儲存!F646</f>
        <v>0</v>
      </c>
      <c r="N58" s="39">
        <f>資料儲存!G646</f>
        <v>0</v>
      </c>
      <c r="O58" s="39">
        <f>資料儲存!H646</f>
        <v>0</v>
      </c>
      <c r="P58" s="39">
        <f>資料儲存!I646</f>
        <v>0</v>
      </c>
      <c r="Q58" s="39">
        <f>資料儲存!J646</f>
        <v>0</v>
      </c>
      <c r="R58" s="35"/>
      <c r="S58" s="38">
        <v>45</v>
      </c>
      <c r="T58" s="39">
        <f>資料儲存!D766</f>
        <v>0</v>
      </c>
      <c r="U58" s="39">
        <f>資料儲存!E766</f>
        <v>0</v>
      </c>
      <c r="V58" s="39">
        <f>資料儲存!F766</f>
        <v>0</v>
      </c>
      <c r="W58" s="39">
        <f>資料儲存!G766</f>
        <v>0</v>
      </c>
      <c r="X58" s="39">
        <f>資料儲存!H766</f>
        <v>0</v>
      </c>
      <c r="Y58" s="39">
        <f>資料儲存!I766</f>
        <v>0</v>
      </c>
      <c r="Z58" s="39">
        <f>資料儲存!J766</f>
        <v>0</v>
      </c>
      <c r="AA58" s="35"/>
      <c r="AB58" s="38">
        <v>45</v>
      </c>
      <c r="AC58" s="39">
        <f>資料儲存!D886</f>
        <v>0</v>
      </c>
      <c r="AD58" s="39">
        <f>資料儲存!E886</f>
        <v>0</v>
      </c>
      <c r="AE58" s="39">
        <f>資料儲存!F886</f>
        <v>0</v>
      </c>
      <c r="AF58" s="39">
        <f>資料儲存!G886</f>
        <v>0</v>
      </c>
      <c r="AG58" s="39">
        <f>資料儲存!H886</f>
        <v>0</v>
      </c>
      <c r="AH58" s="39">
        <f>資料儲存!I886</f>
        <v>0</v>
      </c>
      <c r="AI58" s="39">
        <f>資料儲存!J886</f>
        <v>0</v>
      </c>
      <c r="AJ58" s="13"/>
    </row>
    <row r="59" spans="1:36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13"/>
    </row>
    <row r="60" spans="1:36" ht="18.5" thickBot="1">
      <c r="A60" s="250" t="s">
        <v>61</v>
      </c>
      <c r="B60" s="251"/>
      <c r="C60" s="251"/>
      <c r="D60" s="251"/>
      <c r="E60" s="251"/>
      <c r="F60" s="251"/>
      <c r="G60" s="251"/>
      <c r="H60" s="252"/>
      <c r="I60" s="13"/>
      <c r="J60" s="250" t="s">
        <v>61</v>
      </c>
      <c r="K60" s="251"/>
      <c r="L60" s="251"/>
      <c r="M60" s="251"/>
      <c r="N60" s="251"/>
      <c r="O60" s="251"/>
      <c r="P60" s="251"/>
      <c r="Q60" s="252"/>
      <c r="R60" s="13"/>
      <c r="S60" s="250" t="s">
        <v>61</v>
      </c>
      <c r="T60" s="251"/>
      <c r="U60" s="251"/>
      <c r="V60" s="251"/>
      <c r="W60" s="251"/>
      <c r="X60" s="251"/>
      <c r="Y60" s="251"/>
      <c r="Z60" s="252"/>
      <c r="AA60" s="13"/>
      <c r="AB60" s="250" t="s">
        <v>61</v>
      </c>
      <c r="AC60" s="251"/>
      <c r="AD60" s="251"/>
      <c r="AE60" s="251"/>
      <c r="AF60" s="251"/>
      <c r="AG60" s="251"/>
      <c r="AH60" s="251"/>
      <c r="AI60" s="252"/>
      <c r="AJ60" s="13"/>
    </row>
    <row r="61" spans="1:36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</row>
    <row r="62" spans="1:36" ht="16" thickBot="1">
      <c r="A62" s="46" t="s">
        <v>62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 t="s">
        <v>62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 t="s">
        <v>62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 t="s">
        <v>62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</row>
    <row r="63" spans="1:36" ht="16" thickBot="1">
      <c r="A63" s="48">
        <v>46</v>
      </c>
      <c r="B63" s="49">
        <f>資料儲存!D527</f>
        <v>0</v>
      </c>
      <c r="C63" s="49">
        <f>資料儲存!E527</f>
        <v>0</v>
      </c>
      <c r="D63" s="49">
        <f>資料儲存!F527</f>
        <v>0</v>
      </c>
      <c r="E63" s="49">
        <f>資料儲存!G527</f>
        <v>0</v>
      </c>
      <c r="F63" s="49">
        <f>資料儲存!H527</f>
        <v>0</v>
      </c>
      <c r="G63" s="49">
        <f>資料儲存!I527</f>
        <v>0</v>
      </c>
      <c r="H63" s="49">
        <f>資料儲存!J527</f>
        <v>0</v>
      </c>
      <c r="I63" s="45"/>
      <c r="J63" s="48">
        <v>46</v>
      </c>
      <c r="K63" s="49">
        <f>資料儲存!D647</f>
        <v>0</v>
      </c>
      <c r="L63" s="49">
        <f>資料儲存!E647</f>
        <v>0</v>
      </c>
      <c r="M63" s="49">
        <f>資料儲存!F647</f>
        <v>0</v>
      </c>
      <c r="N63" s="49">
        <f>資料儲存!G647</f>
        <v>0</v>
      </c>
      <c r="O63" s="49">
        <f>資料儲存!H647</f>
        <v>0</v>
      </c>
      <c r="P63" s="49">
        <f>資料儲存!I647</f>
        <v>0</v>
      </c>
      <c r="Q63" s="49">
        <f>資料儲存!J647</f>
        <v>0</v>
      </c>
      <c r="R63" s="45"/>
      <c r="S63" s="48">
        <v>46</v>
      </c>
      <c r="T63" s="49">
        <f>資料儲存!D767</f>
        <v>0</v>
      </c>
      <c r="U63" s="49">
        <f>資料儲存!E767</f>
        <v>0</v>
      </c>
      <c r="V63" s="49">
        <f>資料儲存!F767</f>
        <v>0</v>
      </c>
      <c r="W63" s="49">
        <f>資料儲存!G767</f>
        <v>0</v>
      </c>
      <c r="X63" s="49">
        <f>資料儲存!H767</f>
        <v>0</v>
      </c>
      <c r="Y63" s="49">
        <f>資料儲存!I767</f>
        <v>0</v>
      </c>
      <c r="Z63" s="49">
        <f>資料儲存!J767</f>
        <v>0</v>
      </c>
      <c r="AA63" s="45"/>
      <c r="AB63" s="48">
        <v>46</v>
      </c>
      <c r="AC63" s="49">
        <f>資料儲存!D887</f>
        <v>0</v>
      </c>
      <c r="AD63" s="49">
        <f>資料儲存!E887</f>
        <v>0</v>
      </c>
      <c r="AE63" s="49">
        <f>資料儲存!F887</f>
        <v>0</v>
      </c>
      <c r="AF63" s="49">
        <f>資料儲存!G887</f>
        <v>0</v>
      </c>
      <c r="AG63" s="49">
        <f>資料儲存!H887</f>
        <v>0</v>
      </c>
      <c r="AH63" s="49">
        <f>資料儲存!I887</f>
        <v>0</v>
      </c>
      <c r="AI63" s="49">
        <f>資料儲存!J887</f>
        <v>0</v>
      </c>
      <c r="AJ63" s="13"/>
    </row>
    <row r="64" spans="1:36" ht="16" thickBot="1">
      <c r="A64" s="48">
        <v>47</v>
      </c>
      <c r="B64" s="49">
        <f>資料儲存!D528</f>
        <v>0</v>
      </c>
      <c r="C64" s="49">
        <f>資料儲存!E528</f>
        <v>0</v>
      </c>
      <c r="D64" s="49">
        <f>資料儲存!F528</f>
        <v>0</v>
      </c>
      <c r="E64" s="49">
        <f>資料儲存!G528</f>
        <v>0</v>
      </c>
      <c r="F64" s="49">
        <f>資料儲存!H528</f>
        <v>0</v>
      </c>
      <c r="G64" s="49">
        <f>資料儲存!I528</f>
        <v>0</v>
      </c>
      <c r="H64" s="49">
        <f>資料儲存!J528</f>
        <v>0</v>
      </c>
      <c r="I64" s="45"/>
      <c r="J64" s="48">
        <v>47</v>
      </c>
      <c r="K64" s="49">
        <f>資料儲存!D648</f>
        <v>0</v>
      </c>
      <c r="L64" s="49">
        <f>資料儲存!E648</f>
        <v>0</v>
      </c>
      <c r="M64" s="49">
        <f>資料儲存!F648</f>
        <v>0</v>
      </c>
      <c r="N64" s="49">
        <f>資料儲存!G648</f>
        <v>0</v>
      </c>
      <c r="O64" s="49">
        <f>資料儲存!H648</f>
        <v>0</v>
      </c>
      <c r="P64" s="49">
        <f>資料儲存!I648</f>
        <v>0</v>
      </c>
      <c r="Q64" s="49">
        <f>資料儲存!J648</f>
        <v>0</v>
      </c>
      <c r="R64" s="45"/>
      <c r="S64" s="48">
        <v>47</v>
      </c>
      <c r="T64" s="49">
        <f>資料儲存!D768</f>
        <v>0</v>
      </c>
      <c r="U64" s="49">
        <f>資料儲存!E768</f>
        <v>0</v>
      </c>
      <c r="V64" s="49">
        <f>資料儲存!F768</f>
        <v>0</v>
      </c>
      <c r="W64" s="49">
        <f>資料儲存!G768</f>
        <v>0</v>
      </c>
      <c r="X64" s="49">
        <f>資料儲存!H768</f>
        <v>0</v>
      </c>
      <c r="Y64" s="49">
        <f>資料儲存!I768</f>
        <v>0</v>
      </c>
      <c r="Z64" s="49">
        <f>資料儲存!J768</f>
        <v>0</v>
      </c>
      <c r="AA64" s="45"/>
      <c r="AB64" s="48">
        <v>47</v>
      </c>
      <c r="AC64" s="49">
        <f>資料儲存!D888</f>
        <v>0</v>
      </c>
      <c r="AD64" s="49">
        <f>資料儲存!E888</f>
        <v>0</v>
      </c>
      <c r="AE64" s="49">
        <f>資料儲存!F888</f>
        <v>0</v>
      </c>
      <c r="AF64" s="49">
        <f>資料儲存!G888</f>
        <v>0</v>
      </c>
      <c r="AG64" s="49">
        <f>資料儲存!H888</f>
        <v>0</v>
      </c>
      <c r="AH64" s="49">
        <f>資料儲存!I888</f>
        <v>0</v>
      </c>
      <c r="AI64" s="49">
        <f>資料儲存!J888</f>
        <v>0</v>
      </c>
      <c r="AJ64" s="13"/>
    </row>
    <row r="65" spans="1:36" ht="16" thickBot="1">
      <c r="A65" s="48">
        <v>48</v>
      </c>
      <c r="B65" s="49">
        <f>資料儲存!D529</f>
        <v>0</v>
      </c>
      <c r="C65" s="49">
        <f>資料儲存!E529</f>
        <v>0</v>
      </c>
      <c r="D65" s="49">
        <f>資料儲存!F529</f>
        <v>0</v>
      </c>
      <c r="E65" s="49">
        <f>資料儲存!G529</f>
        <v>0</v>
      </c>
      <c r="F65" s="49">
        <f>資料儲存!H529</f>
        <v>0</v>
      </c>
      <c r="G65" s="49">
        <f>資料儲存!I529</f>
        <v>0</v>
      </c>
      <c r="H65" s="49">
        <f>資料儲存!J529</f>
        <v>0</v>
      </c>
      <c r="I65" s="45"/>
      <c r="J65" s="48">
        <v>48</v>
      </c>
      <c r="K65" s="49">
        <f>資料儲存!D649</f>
        <v>0</v>
      </c>
      <c r="L65" s="49">
        <f>資料儲存!E649</f>
        <v>0</v>
      </c>
      <c r="M65" s="49">
        <f>資料儲存!F649</f>
        <v>0</v>
      </c>
      <c r="N65" s="49">
        <f>資料儲存!G649</f>
        <v>0</v>
      </c>
      <c r="O65" s="49">
        <f>資料儲存!H649</f>
        <v>0</v>
      </c>
      <c r="P65" s="49">
        <f>資料儲存!I649</f>
        <v>0</v>
      </c>
      <c r="Q65" s="49">
        <f>資料儲存!J649</f>
        <v>0</v>
      </c>
      <c r="R65" s="45"/>
      <c r="S65" s="48">
        <v>48</v>
      </c>
      <c r="T65" s="49">
        <f>資料儲存!D769</f>
        <v>0</v>
      </c>
      <c r="U65" s="49">
        <f>資料儲存!E769</f>
        <v>0</v>
      </c>
      <c r="V65" s="49">
        <f>資料儲存!F769</f>
        <v>0</v>
      </c>
      <c r="W65" s="49">
        <f>資料儲存!G769</f>
        <v>0</v>
      </c>
      <c r="X65" s="49">
        <f>資料儲存!H769</f>
        <v>0</v>
      </c>
      <c r="Y65" s="49">
        <f>資料儲存!I769</f>
        <v>0</v>
      </c>
      <c r="Z65" s="49">
        <f>資料儲存!J769</f>
        <v>0</v>
      </c>
      <c r="AA65" s="45"/>
      <c r="AB65" s="48">
        <v>48</v>
      </c>
      <c r="AC65" s="49">
        <f>資料儲存!D889</f>
        <v>0</v>
      </c>
      <c r="AD65" s="49">
        <f>資料儲存!E889</f>
        <v>0</v>
      </c>
      <c r="AE65" s="49">
        <f>資料儲存!F889</f>
        <v>0</v>
      </c>
      <c r="AF65" s="49">
        <f>資料儲存!G889</f>
        <v>0</v>
      </c>
      <c r="AG65" s="49">
        <f>資料儲存!H889</f>
        <v>0</v>
      </c>
      <c r="AH65" s="49">
        <f>資料儲存!I889</f>
        <v>0</v>
      </c>
      <c r="AI65" s="49">
        <f>資料儲存!J889</f>
        <v>0</v>
      </c>
      <c r="AJ65" s="13"/>
    </row>
    <row r="66" spans="1:36" ht="16" thickBot="1">
      <c r="A66" s="48">
        <v>49</v>
      </c>
      <c r="B66" s="49">
        <f>資料儲存!D530</f>
        <v>0</v>
      </c>
      <c r="C66" s="49">
        <f>資料儲存!E530</f>
        <v>0</v>
      </c>
      <c r="D66" s="49">
        <f>資料儲存!F530</f>
        <v>0</v>
      </c>
      <c r="E66" s="49">
        <f>資料儲存!G530</f>
        <v>0</v>
      </c>
      <c r="F66" s="49">
        <f>資料儲存!H530</f>
        <v>0</v>
      </c>
      <c r="G66" s="49">
        <f>資料儲存!I530</f>
        <v>0</v>
      </c>
      <c r="H66" s="49">
        <f>資料儲存!J530</f>
        <v>0</v>
      </c>
      <c r="I66" s="45"/>
      <c r="J66" s="48">
        <v>49</v>
      </c>
      <c r="K66" s="49">
        <f>資料儲存!D650</f>
        <v>0</v>
      </c>
      <c r="L66" s="49">
        <f>資料儲存!E650</f>
        <v>0</v>
      </c>
      <c r="M66" s="49">
        <f>資料儲存!F650</f>
        <v>0</v>
      </c>
      <c r="N66" s="49">
        <f>資料儲存!G650</f>
        <v>0</v>
      </c>
      <c r="O66" s="49">
        <f>資料儲存!H650</f>
        <v>0</v>
      </c>
      <c r="P66" s="49">
        <f>資料儲存!I650</f>
        <v>0</v>
      </c>
      <c r="Q66" s="49">
        <f>資料儲存!J650</f>
        <v>0</v>
      </c>
      <c r="R66" s="45"/>
      <c r="S66" s="48">
        <v>49</v>
      </c>
      <c r="T66" s="49">
        <f>資料儲存!D770</f>
        <v>0</v>
      </c>
      <c r="U66" s="49">
        <f>資料儲存!E770</f>
        <v>0</v>
      </c>
      <c r="V66" s="49">
        <f>資料儲存!F770</f>
        <v>0</v>
      </c>
      <c r="W66" s="49">
        <f>資料儲存!G770</f>
        <v>0</v>
      </c>
      <c r="X66" s="49">
        <f>資料儲存!H770</f>
        <v>0</v>
      </c>
      <c r="Y66" s="49">
        <f>資料儲存!I770</f>
        <v>0</v>
      </c>
      <c r="Z66" s="49">
        <f>資料儲存!J770</f>
        <v>0</v>
      </c>
      <c r="AA66" s="45"/>
      <c r="AB66" s="48">
        <v>49</v>
      </c>
      <c r="AC66" s="49">
        <f>資料儲存!D890</f>
        <v>0</v>
      </c>
      <c r="AD66" s="49">
        <f>資料儲存!E890</f>
        <v>0</v>
      </c>
      <c r="AE66" s="49">
        <f>資料儲存!F890</f>
        <v>0</v>
      </c>
      <c r="AF66" s="49">
        <f>資料儲存!G890</f>
        <v>0</v>
      </c>
      <c r="AG66" s="49">
        <f>資料儲存!H890</f>
        <v>0</v>
      </c>
      <c r="AH66" s="49">
        <f>資料儲存!I890</f>
        <v>0</v>
      </c>
      <c r="AI66" s="49">
        <f>資料儲存!J890</f>
        <v>0</v>
      </c>
      <c r="AJ66" s="13"/>
    </row>
    <row r="67" spans="1:36" ht="16" thickBot="1">
      <c r="A67" s="48">
        <v>50</v>
      </c>
      <c r="B67" s="49">
        <f>資料儲存!D531</f>
        <v>0</v>
      </c>
      <c r="C67" s="49">
        <f>資料儲存!E531</f>
        <v>0</v>
      </c>
      <c r="D67" s="49">
        <f>資料儲存!F531</f>
        <v>0</v>
      </c>
      <c r="E67" s="49">
        <f>資料儲存!G531</f>
        <v>0</v>
      </c>
      <c r="F67" s="49">
        <f>資料儲存!H531</f>
        <v>0</v>
      </c>
      <c r="G67" s="49">
        <f>資料儲存!I531</f>
        <v>0</v>
      </c>
      <c r="H67" s="49">
        <f>資料儲存!J531</f>
        <v>0</v>
      </c>
      <c r="I67" s="45"/>
      <c r="J67" s="48">
        <v>50</v>
      </c>
      <c r="K67" s="49">
        <f>資料儲存!D651</f>
        <v>0</v>
      </c>
      <c r="L67" s="49">
        <f>資料儲存!E651</f>
        <v>0</v>
      </c>
      <c r="M67" s="49">
        <f>資料儲存!F651</f>
        <v>0</v>
      </c>
      <c r="N67" s="49">
        <f>資料儲存!G651</f>
        <v>0</v>
      </c>
      <c r="O67" s="49">
        <f>資料儲存!H651</f>
        <v>0</v>
      </c>
      <c r="P67" s="49">
        <f>資料儲存!I651</f>
        <v>0</v>
      </c>
      <c r="Q67" s="49">
        <f>資料儲存!J651</f>
        <v>0</v>
      </c>
      <c r="R67" s="45"/>
      <c r="S67" s="48">
        <v>50</v>
      </c>
      <c r="T67" s="49">
        <f>資料儲存!D771</f>
        <v>0</v>
      </c>
      <c r="U67" s="49">
        <f>資料儲存!E771</f>
        <v>0</v>
      </c>
      <c r="V67" s="49">
        <f>資料儲存!F771</f>
        <v>0</v>
      </c>
      <c r="W67" s="49">
        <f>資料儲存!G771</f>
        <v>0</v>
      </c>
      <c r="X67" s="49">
        <f>資料儲存!H771</f>
        <v>0</v>
      </c>
      <c r="Y67" s="49">
        <f>資料儲存!I771</f>
        <v>0</v>
      </c>
      <c r="Z67" s="49">
        <f>資料儲存!J771</f>
        <v>0</v>
      </c>
      <c r="AA67" s="45"/>
      <c r="AB67" s="48">
        <v>50</v>
      </c>
      <c r="AC67" s="49">
        <f>資料儲存!D891</f>
        <v>0</v>
      </c>
      <c r="AD67" s="49">
        <f>資料儲存!E891</f>
        <v>0</v>
      </c>
      <c r="AE67" s="49">
        <f>資料儲存!F891</f>
        <v>0</v>
      </c>
      <c r="AF67" s="49">
        <f>資料儲存!G891</f>
        <v>0</v>
      </c>
      <c r="AG67" s="49">
        <f>資料儲存!H891</f>
        <v>0</v>
      </c>
      <c r="AH67" s="49">
        <f>資料儲存!I891</f>
        <v>0</v>
      </c>
      <c r="AI67" s="49">
        <f>資料儲存!J891</f>
        <v>0</v>
      </c>
      <c r="AJ67" s="13"/>
    </row>
    <row r="68" spans="1:36" ht="16" thickBot="1">
      <c r="A68" s="48">
        <v>51</v>
      </c>
      <c r="B68" s="49">
        <f>資料儲存!D532</f>
        <v>0</v>
      </c>
      <c r="C68" s="49">
        <f>資料儲存!E532</f>
        <v>0</v>
      </c>
      <c r="D68" s="49">
        <f>資料儲存!F532</f>
        <v>0</v>
      </c>
      <c r="E68" s="49">
        <f>資料儲存!G532</f>
        <v>0</v>
      </c>
      <c r="F68" s="49">
        <f>資料儲存!H532</f>
        <v>0</v>
      </c>
      <c r="G68" s="49">
        <f>資料儲存!I532</f>
        <v>0</v>
      </c>
      <c r="H68" s="49">
        <f>資料儲存!J532</f>
        <v>0</v>
      </c>
      <c r="I68" s="45"/>
      <c r="J68" s="48">
        <v>51</v>
      </c>
      <c r="K68" s="49">
        <f>資料儲存!D652</f>
        <v>0</v>
      </c>
      <c r="L68" s="49">
        <f>資料儲存!E652</f>
        <v>0</v>
      </c>
      <c r="M68" s="49">
        <f>資料儲存!F652</f>
        <v>0</v>
      </c>
      <c r="N68" s="49">
        <f>資料儲存!G652</f>
        <v>0</v>
      </c>
      <c r="O68" s="49">
        <f>資料儲存!H652</f>
        <v>0</v>
      </c>
      <c r="P68" s="49">
        <f>資料儲存!I652</f>
        <v>0</v>
      </c>
      <c r="Q68" s="49">
        <f>資料儲存!J652</f>
        <v>0</v>
      </c>
      <c r="R68" s="45"/>
      <c r="S68" s="48">
        <v>51</v>
      </c>
      <c r="T68" s="49">
        <f>資料儲存!D772</f>
        <v>0</v>
      </c>
      <c r="U68" s="49">
        <f>資料儲存!E772</f>
        <v>0</v>
      </c>
      <c r="V68" s="49">
        <f>資料儲存!F772</f>
        <v>0</v>
      </c>
      <c r="W68" s="49">
        <f>資料儲存!G772</f>
        <v>0</v>
      </c>
      <c r="X68" s="49">
        <f>資料儲存!H772</f>
        <v>0</v>
      </c>
      <c r="Y68" s="49">
        <f>資料儲存!I772</f>
        <v>0</v>
      </c>
      <c r="Z68" s="49">
        <f>資料儲存!J772</f>
        <v>0</v>
      </c>
      <c r="AA68" s="45"/>
      <c r="AB68" s="48">
        <v>51</v>
      </c>
      <c r="AC68" s="49">
        <f>資料儲存!D892</f>
        <v>0</v>
      </c>
      <c r="AD68" s="49">
        <f>資料儲存!E892</f>
        <v>0</v>
      </c>
      <c r="AE68" s="49">
        <f>資料儲存!F892</f>
        <v>0</v>
      </c>
      <c r="AF68" s="49">
        <f>資料儲存!G892</f>
        <v>0</v>
      </c>
      <c r="AG68" s="49">
        <f>資料儲存!H892</f>
        <v>0</v>
      </c>
      <c r="AH68" s="49">
        <f>資料儲存!I892</f>
        <v>0</v>
      </c>
      <c r="AI68" s="49">
        <f>資料儲存!J892</f>
        <v>0</v>
      </c>
      <c r="AJ68" s="13"/>
    </row>
    <row r="69" spans="1:36" ht="16" thickBot="1">
      <c r="A69" s="48">
        <v>52</v>
      </c>
      <c r="B69" s="49">
        <f>資料儲存!D533</f>
        <v>0</v>
      </c>
      <c r="C69" s="49">
        <f>資料儲存!E533</f>
        <v>0</v>
      </c>
      <c r="D69" s="49">
        <f>資料儲存!F533</f>
        <v>0</v>
      </c>
      <c r="E69" s="49">
        <f>資料儲存!G533</f>
        <v>0</v>
      </c>
      <c r="F69" s="49">
        <f>資料儲存!H533</f>
        <v>0</v>
      </c>
      <c r="G69" s="49">
        <f>資料儲存!I533</f>
        <v>0</v>
      </c>
      <c r="H69" s="49">
        <f>資料儲存!J533</f>
        <v>0</v>
      </c>
      <c r="I69" s="45"/>
      <c r="J69" s="48">
        <v>52</v>
      </c>
      <c r="K69" s="49">
        <f>資料儲存!D653</f>
        <v>0</v>
      </c>
      <c r="L69" s="49">
        <f>資料儲存!E653</f>
        <v>0</v>
      </c>
      <c r="M69" s="49">
        <f>資料儲存!F653</f>
        <v>0</v>
      </c>
      <c r="N69" s="49">
        <f>資料儲存!G653</f>
        <v>0</v>
      </c>
      <c r="O69" s="49">
        <f>資料儲存!H653</f>
        <v>0</v>
      </c>
      <c r="P69" s="49">
        <f>資料儲存!I653</f>
        <v>0</v>
      </c>
      <c r="Q69" s="49">
        <f>資料儲存!J653</f>
        <v>0</v>
      </c>
      <c r="R69" s="45"/>
      <c r="S69" s="48">
        <v>52</v>
      </c>
      <c r="T69" s="49">
        <f>資料儲存!D773</f>
        <v>0</v>
      </c>
      <c r="U69" s="49">
        <f>資料儲存!E773</f>
        <v>0</v>
      </c>
      <c r="V69" s="49">
        <f>資料儲存!F773</f>
        <v>0</v>
      </c>
      <c r="W69" s="49">
        <f>資料儲存!G773</f>
        <v>0</v>
      </c>
      <c r="X69" s="49">
        <f>資料儲存!H773</f>
        <v>0</v>
      </c>
      <c r="Y69" s="49">
        <f>資料儲存!I773</f>
        <v>0</v>
      </c>
      <c r="Z69" s="49">
        <f>資料儲存!J773</f>
        <v>0</v>
      </c>
      <c r="AA69" s="45"/>
      <c r="AB69" s="48">
        <v>52</v>
      </c>
      <c r="AC69" s="49">
        <f>資料儲存!D893</f>
        <v>0</v>
      </c>
      <c r="AD69" s="49">
        <f>資料儲存!E893</f>
        <v>0</v>
      </c>
      <c r="AE69" s="49">
        <f>資料儲存!F893</f>
        <v>0</v>
      </c>
      <c r="AF69" s="49">
        <f>資料儲存!G893</f>
        <v>0</v>
      </c>
      <c r="AG69" s="49">
        <f>資料儲存!H893</f>
        <v>0</v>
      </c>
      <c r="AH69" s="49">
        <f>資料儲存!I893</f>
        <v>0</v>
      </c>
      <c r="AI69" s="49">
        <f>資料儲存!J893</f>
        <v>0</v>
      </c>
      <c r="AJ69" s="13"/>
    </row>
    <row r="70" spans="1:36" ht="16" thickBot="1">
      <c r="A70" s="48">
        <v>53</v>
      </c>
      <c r="B70" s="49">
        <f>資料儲存!D534</f>
        <v>0</v>
      </c>
      <c r="C70" s="49">
        <f>資料儲存!E534</f>
        <v>0</v>
      </c>
      <c r="D70" s="49">
        <f>資料儲存!F534</f>
        <v>0</v>
      </c>
      <c r="E70" s="49">
        <f>資料儲存!G534</f>
        <v>0</v>
      </c>
      <c r="F70" s="49">
        <f>資料儲存!H534</f>
        <v>0</v>
      </c>
      <c r="G70" s="49">
        <f>資料儲存!I534</f>
        <v>0</v>
      </c>
      <c r="H70" s="49">
        <f>資料儲存!J534</f>
        <v>0</v>
      </c>
      <c r="I70" s="45"/>
      <c r="J70" s="48">
        <v>53</v>
      </c>
      <c r="K70" s="49">
        <f>資料儲存!D654</f>
        <v>0</v>
      </c>
      <c r="L70" s="49">
        <f>資料儲存!E654</f>
        <v>0</v>
      </c>
      <c r="M70" s="49">
        <f>資料儲存!F654</f>
        <v>0</v>
      </c>
      <c r="N70" s="49">
        <f>資料儲存!G654</f>
        <v>0</v>
      </c>
      <c r="O70" s="49">
        <f>資料儲存!H654</f>
        <v>0</v>
      </c>
      <c r="P70" s="49">
        <f>資料儲存!I654</f>
        <v>0</v>
      </c>
      <c r="Q70" s="49">
        <f>資料儲存!J654</f>
        <v>0</v>
      </c>
      <c r="R70" s="45"/>
      <c r="S70" s="48">
        <v>53</v>
      </c>
      <c r="T70" s="49">
        <f>資料儲存!D774</f>
        <v>0</v>
      </c>
      <c r="U70" s="49">
        <f>資料儲存!E774</f>
        <v>0</v>
      </c>
      <c r="V70" s="49">
        <f>資料儲存!F774</f>
        <v>0</v>
      </c>
      <c r="W70" s="49">
        <f>資料儲存!G774</f>
        <v>0</v>
      </c>
      <c r="X70" s="49">
        <f>資料儲存!H774</f>
        <v>0</v>
      </c>
      <c r="Y70" s="49">
        <f>資料儲存!I774</f>
        <v>0</v>
      </c>
      <c r="Z70" s="49">
        <f>資料儲存!J774</f>
        <v>0</v>
      </c>
      <c r="AA70" s="45"/>
      <c r="AB70" s="48">
        <v>53</v>
      </c>
      <c r="AC70" s="49">
        <f>資料儲存!D894</f>
        <v>0</v>
      </c>
      <c r="AD70" s="49">
        <f>資料儲存!E894</f>
        <v>0</v>
      </c>
      <c r="AE70" s="49">
        <f>資料儲存!F894</f>
        <v>0</v>
      </c>
      <c r="AF70" s="49">
        <f>資料儲存!G894</f>
        <v>0</v>
      </c>
      <c r="AG70" s="49">
        <f>資料儲存!H894</f>
        <v>0</v>
      </c>
      <c r="AH70" s="49">
        <f>資料儲存!I894</f>
        <v>0</v>
      </c>
      <c r="AI70" s="49">
        <f>資料儲存!J894</f>
        <v>0</v>
      </c>
      <c r="AJ70" s="13"/>
    </row>
    <row r="71" spans="1:36" ht="16" thickBot="1">
      <c r="A71" s="48">
        <v>54</v>
      </c>
      <c r="B71" s="49">
        <f>資料儲存!D535</f>
        <v>0</v>
      </c>
      <c r="C71" s="49">
        <f>資料儲存!E535</f>
        <v>0</v>
      </c>
      <c r="D71" s="49">
        <f>資料儲存!F535</f>
        <v>0</v>
      </c>
      <c r="E71" s="49">
        <f>資料儲存!G535</f>
        <v>0</v>
      </c>
      <c r="F71" s="49">
        <f>資料儲存!H535</f>
        <v>0</v>
      </c>
      <c r="G71" s="49">
        <f>資料儲存!I535</f>
        <v>0</v>
      </c>
      <c r="H71" s="49">
        <f>資料儲存!J535</f>
        <v>0</v>
      </c>
      <c r="I71" s="45"/>
      <c r="J71" s="48">
        <v>54</v>
      </c>
      <c r="K71" s="49">
        <f>資料儲存!D655</f>
        <v>0</v>
      </c>
      <c r="L71" s="49">
        <f>資料儲存!E655</f>
        <v>0</v>
      </c>
      <c r="M71" s="49">
        <f>資料儲存!F655</f>
        <v>0</v>
      </c>
      <c r="N71" s="49">
        <f>資料儲存!G655</f>
        <v>0</v>
      </c>
      <c r="O71" s="49">
        <f>資料儲存!H655</f>
        <v>0</v>
      </c>
      <c r="P71" s="49">
        <f>資料儲存!I655</f>
        <v>0</v>
      </c>
      <c r="Q71" s="49">
        <f>資料儲存!J655</f>
        <v>0</v>
      </c>
      <c r="R71" s="45"/>
      <c r="S71" s="48">
        <v>54</v>
      </c>
      <c r="T71" s="49">
        <f>資料儲存!D775</f>
        <v>0</v>
      </c>
      <c r="U71" s="49">
        <f>資料儲存!E775</f>
        <v>0</v>
      </c>
      <c r="V71" s="49">
        <f>資料儲存!F775</f>
        <v>0</v>
      </c>
      <c r="W71" s="49">
        <f>資料儲存!G775</f>
        <v>0</v>
      </c>
      <c r="X71" s="49">
        <f>資料儲存!H775</f>
        <v>0</v>
      </c>
      <c r="Y71" s="49">
        <f>資料儲存!I775</f>
        <v>0</v>
      </c>
      <c r="Z71" s="49">
        <f>資料儲存!J775</f>
        <v>0</v>
      </c>
      <c r="AA71" s="45"/>
      <c r="AB71" s="48">
        <v>54</v>
      </c>
      <c r="AC71" s="49">
        <f>資料儲存!D895</f>
        <v>0</v>
      </c>
      <c r="AD71" s="49">
        <f>資料儲存!E895</f>
        <v>0</v>
      </c>
      <c r="AE71" s="49">
        <f>資料儲存!F895</f>
        <v>0</v>
      </c>
      <c r="AF71" s="49">
        <f>資料儲存!G895</f>
        <v>0</v>
      </c>
      <c r="AG71" s="49">
        <f>資料儲存!H895</f>
        <v>0</v>
      </c>
      <c r="AH71" s="49">
        <f>資料儲存!I895</f>
        <v>0</v>
      </c>
      <c r="AI71" s="49">
        <f>資料儲存!J895</f>
        <v>0</v>
      </c>
      <c r="AJ71" s="13"/>
    </row>
    <row r="72" spans="1:36" ht="16" thickBot="1">
      <c r="A72" s="48">
        <v>55</v>
      </c>
      <c r="B72" s="49">
        <f>資料儲存!D536</f>
        <v>0</v>
      </c>
      <c r="C72" s="49">
        <f>資料儲存!E536</f>
        <v>0</v>
      </c>
      <c r="D72" s="49">
        <f>資料儲存!F536</f>
        <v>0</v>
      </c>
      <c r="E72" s="49">
        <f>資料儲存!G536</f>
        <v>0</v>
      </c>
      <c r="F72" s="49">
        <f>資料儲存!H536</f>
        <v>0</v>
      </c>
      <c r="G72" s="49">
        <f>資料儲存!I536</f>
        <v>0</v>
      </c>
      <c r="H72" s="49">
        <f>資料儲存!J536</f>
        <v>0</v>
      </c>
      <c r="I72" s="45"/>
      <c r="J72" s="48">
        <v>55</v>
      </c>
      <c r="K72" s="49">
        <f>資料儲存!D656</f>
        <v>0</v>
      </c>
      <c r="L72" s="49">
        <f>資料儲存!E656</f>
        <v>0</v>
      </c>
      <c r="M72" s="49">
        <f>資料儲存!F656</f>
        <v>0</v>
      </c>
      <c r="N72" s="49">
        <f>資料儲存!G656</f>
        <v>0</v>
      </c>
      <c r="O72" s="49">
        <f>資料儲存!H656</f>
        <v>0</v>
      </c>
      <c r="P72" s="49">
        <f>資料儲存!I656</f>
        <v>0</v>
      </c>
      <c r="Q72" s="49">
        <f>資料儲存!J656</f>
        <v>0</v>
      </c>
      <c r="R72" s="45"/>
      <c r="S72" s="48">
        <v>55</v>
      </c>
      <c r="T72" s="49">
        <f>資料儲存!D776</f>
        <v>0</v>
      </c>
      <c r="U72" s="49">
        <f>資料儲存!E776</f>
        <v>0</v>
      </c>
      <c r="V72" s="49">
        <f>資料儲存!F776</f>
        <v>0</v>
      </c>
      <c r="W72" s="49">
        <f>資料儲存!G776</f>
        <v>0</v>
      </c>
      <c r="X72" s="49">
        <f>資料儲存!H776</f>
        <v>0</v>
      </c>
      <c r="Y72" s="49">
        <f>資料儲存!I776</f>
        <v>0</v>
      </c>
      <c r="Z72" s="49">
        <f>資料儲存!J776</f>
        <v>0</v>
      </c>
      <c r="AA72" s="45"/>
      <c r="AB72" s="48">
        <v>55</v>
      </c>
      <c r="AC72" s="49">
        <f>資料儲存!D896</f>
        <v>0</v>
      </c>
      <c r="AD72" s="49">
        <f>資料儲存!E896</f>
        <v>0</v>
      </c>
      <c r="AE72" s="49">
        <f>資料儲存!F896</f>
        <v>0</v>
      </c>
      <c r="AF72" s="49">
        <f>資料儲存!G896</f>
        <v>0</v>
      </c>
      <c r="AG72" s="49">
        <f>資料儲存!H896</f>
        <v>0</v>
      </c>
      <c r="AH72" s="49">
        <f>資料儲存!I896</f>
        <v>0</v>
      </c>
      <c r="AI72" s="49">
        <f>資料儲存!J896</f>
        <v>0</v>
      </c>
      <c r="AJ72" s="13"/>
    </row>
    <row r="73" spans="1:36" ht="16" thickBot="1">
      <c r="A73" s="48">
        <v>56</v>
      </c>
      <c r="B73" s="49">
        <f>資料儲存!D537</f>
        <v>0</v>
      </c>
      <c r="C73" s="49">
        <f>資料儲存!E537</f>
        <v>0</v>
      </c>
      <c r="D73" s="49">
        <f>資料儲存!F537</f>
        <v>0</v>
      </c>
      <c r="E73" s="49">
        <f>資料儲存!G537</f>
        <v>0</v>
      </c>
      <c r="F73" s="49">
        <f>資料儲存!H537</f>
        <v>0</v>
      </c>
      <c r="G73" s="49">
        <f>資料儲存!I537</f>
        <v>0</v>
      </c>
      <c r="H73" s="49">
        <f>資料儲存!J537</f>
        <v>0</v>
      </c>
      <c r="I73" s="45"/>
      <c r="J73" s="48">
        <v>56</v>
      </c>
      <c r="K73" s="49">
        <f>資料儲存!D657</f>
        <v>0</v>
      </c>
      <c r="L73" s="49">
        <f>資料儲存!E657</f>
        <v>0</v>
      </c>
      <c r="M73" s="49">
        <f>資料儲存!F657</f>
        <v>0</v>
      </c>
      <c r="N73" s="49">
        <f>資料儲存!G657</f>
        <v>0</v>
      </c>
      <c r="O73" s="49">
        <f>資料儲存!H657</f>
        <v>0</v>
      </c>
      <c r="P73" s="49">
        <f>資料儲存!I657</f>
        <v>0</v>
      </c>
      <c r="Q73" s="49">
        <f>資料儲存!J657</f>
        <v>0</v>
      </c>
      <c r="R73" s="45"/>
      <c r="S73" s="48">
        <v>56</v>
      </c>
      <c r="T73" s="49">
        <f>資料儲存!D777</f>
        <v>0</v>
      </c>
      <c r="U73" s="49">
        <f>資料儲存!E777</f>
        <v>0</v>
      </c>
      <c r="V73" s="49">
        <f>資料儲存!F777</f>
        <v>0</v>
      </c>
      <c r="W73" s="49">
        <f>資料儲存!G777</f>
        <v>0</v>
      </c>
      <c r="X73" s="49">
        <f>資料儲存!H777</f>
        <v>0</v>
      </c>
      <c r="Y73" s="49">
        <f>資料儲存!I777</f>
        <v>0</v>
      </c>
      <c r="Z73" s="49">
        <f>資料儲存!J777</f>
        <v>0</v>
      </c>
      <c r="AA73" s="45"/>
      <c r="AB73" s="48">
        <v>56</v>
      </c>
      <c r="AC73" s="49">
        <f>資料儲存!D897</f>
        <v>0</v>
      </c>
      <c r="AD73" s="49">
        <f>資料儲存!E897</f>
        <v>0</v>
      </c>
      <c r="AE73" s="49">
        <f>資料儲存!F897</f>
        <v>0</v>
      </c>
      <c r="AF73" s="49">
        <f>資料儲存!G897</f>
        <v>0</v>
      </c>
      <c r="AG73" s="49">
        <f>資料儲存!H897</f>
        <v>0</v>
      </c>
      <c r="AH73" s="49">
        <f>資料儲存!I897</f>
        <v>0</v>
      </c>
      <c r="AI73" s="49">
        <f>資料儲存!J897</f>
        <v>0</v>
      </c>
      <c r="AJ73" s="13"/>
    </row>
    <row r="74" spans="1:36" ht="16" thickBot="1">
      <c r="A74" s="48">
        <v>57</v>
      </c>
      <c r="B74" s="49">
        <f>資料儲存!D538</f>
        <v>0</v>
      </c>
      <c r="C74" s="49">
        <f>資料儲存!E538</f>
        <v>0</v>
      </c>
      <c r="D74" s="49">
        <f>資料儲存!F538</f>
        <v>0</v>
      </c>
      <c r="E74" s="49">
        <f>資料儲存!G538</f>
        <v>0</v>
      </c>
      <c r="F74" s="49">
        <f>資料儲存!H538</f>
        <v>0</v>
      </c>
      <c r="G74" s="49">
        <f>資料儲存!I538</f>
        <v>0</v>
      </c>
      <c r="H74" s="49">
        <f>資料儲存!J538</f>
        <v>0</v>
      </c>
      <c r="I74" s="45"/>
      <c r="J74" s="48">
        <v>57</v>
      </c>
      <c r="K74" s="49">
        <f>資料儲存!D658</f>
        <v>0</v>
      </c>
      <c r="L74" s="49">
        <f>資料儲存!E658</f>
        <v>0</v>
      </c>
      <c r="M74" s="49">
        <f>資料儲存!F658</f>
        <v>0</v>
      </c>
      <c r="N74" s="49">
        <f>資料儲存!G658</f>
        <v>0</v>
      </c>
      <c r="O74" s="49">
        <f>資料儲存!H658</f>
        <v>0</v>
      </c>
      <c r="P74" s="49">
        <f>資料儲存!I658</f>
        <v>0</v>
      </c>
      <c r="Q74" s="49">
        <f>資料儲存!J658</f>
        <v>0</v>
      </c>
      <c r="R74" s="45"/>
      <c r="S74" s="48">
        <v>57</v>
      </c>
      <c r="T74" s="49">
        <f>資料儲存!D778</f>
        <v>0</v>
      </c>
      <c r="U74" s="49">
        <f>資料儲存!E778</f>
        <v>0</v>
      </c>
      <c r="V74" s="49">
        <f>資料儲存!F778</f>
        <v>0</v>
      </c>
      <c r="W74" s="49">
        <f>資料儲存!G778</f>
        <v>0</v>
      </c>
      <c r="X74" s="49">
        <f>資料儲存!H778</f>
        <v>0</v>
      </c>
      <c r="Y74" s="49">
        <f>資料儲存!I778</f>
        <v>0</v>
      </c>
      <c r="Z74" s="49">
        <f>資料儲存!J778</f>
        <v>0</v>
      </c>
      <c r="AA74" s="45"/>
      <c r="AB74" s="48">
        <v>57</v>
      </c>
      <c r="AC74" s="49">
        <f>資料儲存!D898</f>
        <v>0</v>
      </c>
      <c r="AD74" s="49">
        <f>資料儲存!E898</f>
        <v>0</v>
      </c>
      <c r="AE74" s="49">
        <f>資料儲存!F898</f>
        <v>0</v>
      </c>
      <c r="AF74" s="49">
        <f>資料儲存!G898</f>
        <v>0</v>
      </c>
      <c r="AG74" s="49">
        <f>資料儲存!H898</f>
        <v>0</v>
      </c>
      <c r="AH74" s="49">
        <f>資料儲存!I898</f>
        <v>0</v>
      </c>
      <c r="AI74" s="49">
        <f>資料儲存!J898</f>
        <v>0</v>
      </c>
      <c r="AJ74" s="13"/>
    </row>
    <row r="75" spans="1:36" ht="16" thickBot="1">
      <c r="A75" s="48">
        <v>58</v>
      </c>
      <c r="B75" s="49">
        <f>資料儲存!D539</f>
        <v>0</v>
      </c>
      <c r="C75" s="49">
        <f>資料儲存!E539</f>
        <v>0</v>
      </c>
      <c r="D75" s="49">
        <f>資料儲存!F539</f>
        <v>0</v>
      </c>
      <c r="E75" s="49">
        <f>資料儲存!G539</f>
        <v>0</v>
      </c>
      <c r="F75" s="49">
        <f>資料儲存!H539</f>
        <v>0</v>
      </c>
      <c r="G75" s="49">
        <f>資料儲存!I539</f>
        <v>0</v>
      </c>
      <c r="H75" s="49">
        <f>資料儲存!J539</f>
        <v>0</v>
      </c>
      <c r="I75" s="45"/>
      <c r="J75" s="48">
        <v>58</v>
      </c>
      <c r="K75" s="49">
        <f>資料儲存!D659</f>
        <v>0</v>
      </c>
      <c r="L75" s="49">
        <f>資料儲存!E659</f>
        <v>0</v>
      </c>
      <c r="M75" s="49">
        <f>資料儲存!F659</f>
        <v>0</v>
      </c>
      <c r="N75" s="49">
        <f>資料儲存!G659</f>
        <v>0</v>
      </c>
      <c r="O75" s="49">
        <f>資料儲存!H659</f>
        <v>0</v>
      </c>
      <c r="P75" s="49">
        <f>資料儲存!I659</f>
        <v>0</v>
      </c>
      <c r="Q75" s="49">
        <f>資料儲存!J659</f>
        <v>0</v>
      </c>
      <c r="R75" s="45"/>
      <c r="S75" s="48">
        <v>58</v>
      </c>
      <c r="T75" s="49">
        <f>資料儲存!D779</f>
        <v>0</v>
      </c>
      <c r="U75" s="49">
        <f>資料儲存!E779</f>
        <v>0</v>
      </c>
      <c r="V75" s="49">
        <f>資料儲存!F779</f>
        <v>0</v>
      </c>
      <c r="W75" s="49">
        <f>資料儲存!G779</f>
        <v>0</v>
      </c>
      <c r="X75" s="49">
        <f>資料儲存!H779</f>
        <v>0</v>
      </c>
      <c r="Y75" s="49">
        <f>資料儲存!I779</f>
        <v>0</v>
      </c>
      <c r="Z75" s="49">
        <f>資料儲存!J779</f>
        <v>0</v>
      </c>
      <c r="AA75" s="45"/>
      <c r="AB75" s="48">
        <v>58</v>
      </c>
      <c r="AC75" s="49">
        <f>資料儲存!D899</f>
        <v>0</v>
      </c>
      <c r="AD75" s="49">
        <f>資料儲存!E899</f>
        <v>0</v>
      </c>
      <c r="AE75" s="49">
        <f>資料儲存!F899</f>
        <v>0</v>
      </c>
      <c r="AF75" s="49">
        <f>資料儲存!G899</f>
        <v>0</v>
      </c>
      <c r="AG75" s="49">
        <f>資料儲存!H899</f>
        <v>0</v>
      </c>
      <c r="AH75" s="49">
        <f>資料儲存!I899</f>
        <v>0</v>
      </c>
      <c r="AI75" s="49">
        <f>資料儲存!J899</f>
        <v>0</v>
      </c>
      <c r="AJ75" s="13"/>
    </row>
    <row r="76" spans="1:36" ht="16" thickBot="1">
      <c r="A76" s="48">
        <v>59</v>
      </c>
      <c r="B76" s="49">
        <f>資料儲存!D540</f>
        <v>0</v>
      </c>
      <c r="C76" s="49">
        <f>資料儲存!E540</f>
        <v>0</v>
      </c>
      <c r="D76" s="49">
        <f>資料儲存!F540</f>
        <v>0</v>
      </c>
      <c r="E76" s="49">
        <f>資料儲存!G540</f>
        <v>0</v>
      </c>
      <c r="F76" s="49">
        <f>資料儲存!H540</f>
        <v>0</v>
      </c>
      <c r="G76" s="49">
        <f>資料儲存!I540</f>
        <v>0</v>
      </c>
      <c r="H76" s="49">
        <f>資料儲存!J540</f>
        <v>0</v>
      </c>
      <c r="I76" s="45"/>
      <c r="J76" s="48">
        <v>59</v>
      </c>
      <c r="K76" s="49">
        <f>資料儲存!D660</f>
        <v>0</v>
      </c>
      <c r="L76" s="49">
        <f>資料儲存!E660</f>
        <v>0</v>
      </c>
      <c r="M76" s="49">
        <f>資料儲存!F660</f>
        <v>0</v>
      </c>
      <c r="N76" s="49">
        <f>資料儲存!G660</f>
        <v>0</v>
      </c>
      <c r="O76" s="49">
        <f>資料儲存!H660</f>
        <v>0</v>
      </c>
      <c r="P76" s="49">
        <f>資料儲存!I660</f>
        <v>0</v>
      </c>
      <c r="Q76" s="49">
        <f>資料儲存!J660</f>
        <v>0</v>
      </c>
      <c r="R76" s="45"/>
      <c r="S76" s="48">
        <v>59</v>
      </c>
      <c r="T76" s="49">
        <f>資料儲存!D780</f>
        <v>0</v>
      </c>
      <c r="U76" s="49">
        <f>資料儲存!E780</f>
        <v>0</v>
      </c>
      <c r="V76" s="49">
        <f>資料儲存!F780</f>
        <v>0</v>
      </c>
      <c r="W76" s="49">
        <f>資料儲存!G780</f>
        <v>0</v>
      </c>
      <c r="X76" s="49">
        <f>資料儲存!H780</f>
        <v>0</v>
      </c>
      <c r="Y76" s="49">
        <f>資料儲存!I780</f>
        <v>0</v>
      </c>
      <c r="Z76" s="49">
        <f>資料儲存!J780</f>
        <v>0</v>
      </c>
      <c r="AA76" s="45"/>
      <c r="AB76" s="48">
        <v>59</v>
      </c>
      <c r="AC76" s="49">
        <f>資料儲存!D900</f>
        <v>0</v>
      </c>
      <c r="AD76" s="49">
        <f>資料儲存!E900</f>
        <v>0</v>
      </c>
      <c r="AE76" s="49">
        <f>資料儲存!F900</f>
        <v>0</v>
      </c>
      <c r="AF76" s="49">
        <f>資料儲存!G900</f>
        <v>0</v>
      </c>
      <c r="AG76" s="49">
        <f>資料儲存!H900</f>
        <v>0</v>
      </c>
      <c r="AH76" s="49">
        <f>資料儲存!I900</f>
        <v>0</v>
      </c>
      <c r="AI76" s="49">
        <f>資料儲存!J900</f>
        <v>0</v>
      </c>
      <c r="AJ76" s="13"/>
    </row>
    <row r="77" spans="1:36" ht="16" thickBot="1">
      <c r="A77" s="48">
        <v>60</v>
      </c>
      <c r="B77" s="49">
        <f>資料儲存!D541</f>
        <v>0</v>
      </c>
      <c r="C77" s="49">
        <f>資料儲存!E541</f>
        <v>0</v>
      </c>
      <c r="D77" s="49">
        <f>資料儲存!F541</f>
        <v>0</v>
      </c>
      <c r="E77" s="49">
        <f>資料儲存!G541</f>
        <v>0</v>
      </c>
      <c r="F77" s="49">
        <f>資料儲存!H541</f>
        <v>0</v>
      </c>
      <c r="G77" s="49">
        <f>資料儲存!I541</f>
        <v>0</v>
      </c>
      <c r="H77" s="49">
        <f>資料儲存!J541</f>
        <v>0</v>
      </c>
      <c r="I77" s="45"/>
      <c r="J77" s="48">
        <v>60</v>
      </c>
      <c r="K77" s="49">
        <f>資料儲存!D661</f>
        <v>0</v>
      </c>
      <c r="L77" s="49">
        <f>資料儲存!E661</f>
        <v>0</v>
      </c>
      <c r="M77" s="49">
        <f>資料儲存!F661</f>
        <v>0</v>
      </c>
      <c r="N77" s="49">
        <f>資料儲存!G661</f>
        <v>0</v>
      </c>
      <c r="O77" s="49">
        <f>資料儲存!H661</f>
        <v>0</v>
      </c>
      <c r="P77" s="49">
        <f>資料儲存!I661</f>
        <v>0</v>
      </c>
      <c r="Q77" s="49">
        <f>資料儲存!J661</f>
        <v>0</v>
      </c>
      <c r="R77" s="45"/>
      <c r="S77" s="48">
        <v>60</v>
      </c>
      <c r="T77" s="49">
        <f>資料儲存!D781</f>
        <v>0</v>
      </c>
      <c r="U77" s="49">
        <f>資料儲存!E781</f>
        <v>0</v>
      </c>
      <c r="V77" s="49">
        <f>資料儲存!F781</f>
        <v>0</v>
      </c>
      <c r="W77" s="49">
        <f>資料儲存!G781</f>
        <v>0</v>
      </c>
      <c r="X77" s="49">
        <f>資料儲存!H781</f>
        <v>0</v>
      </c>
      <c r="Y77" s="49">
        <f>資料儲存!I781</f>
        <v>0</v>
      </c>
      <c r="Z77" s="49">
        <f>資料儲存!J781</f>
        <v>0</v>
      </c>
      <c r="AA77" s="45"/>
      <c r="AB77" s="48">
        <v>60</v>
      </c>
      <c r="AC77" s="49">
        <f>資料儲存!D901</f>
        <v>0</v>
      </c>
      <c r="AD77" s="49">
        <f>資料儲存!E901</f>
        <v>0</v>
      </c>
      <c r="AE77" s="49">
        <f>資料儲存!F901</f>
        <v>0</v>
      </c>
      <c r="AF77" s="49">
        <f>資料儲存!G901</f>
        <v>0</v>
      </c>
      <c r="AG77" s="49">
        <f>資料儲存!H901</f>
        <v>0</v>
      </c>
      <c r="AH77" s="49">
        <f>資料儲存!I901</f>
        <v>0</v>
      </c>
      <c r="AI77" s="49">
        <f>資料儲存!J901</f>
        <v>0</v>
      </c>
      <c r="AJ77" s="13"/>
    </row>
    <row r="78" spans="1:36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</row>
    <row r="79" spans="1:36" ht="18.5" thickBot="1">
      <c r="A79" s="250" t="s">
        <v>63</v>
      </c>
      <c r="B79" s="251"/>
      <c r="C79" s="251"/>
      <c r="D79" s="251"/>
      <c r="E79" s="251"/>
      <c r="F79" s="251"/>
      <c r="G79" s="251"/>
      <c r="H79" s="252"/>
      <c r="I79" s="13"/>
      <c r="J79" s="250" t="s">
        <v>63</v>
      </c>
      <c r="K79" s="251"/>
      <c r="L79" s="251"/>
      <c r="M79" s="251"/>
      <c r="N79" s="251"/>
      <c r="O79" s="251"/>
      <c r="P79" s="251"/>
      <c r="Q79" s="252"/>
      <c r="R79" s="13"/>
      <c r="S79" s="250" t="s">
        <v>63</v>
      </c>
      <c r="T79" s="251"/>
      <c r="U79" s="251"/>
      <c r="V79" s="251"/>
      <c r="W79" s="251"/>
      <c r="X79" s="251"/>
      <c r="Y79" s="251"/>
      <c r="Z79" s="252"/>
      <c r="AA79" s="13"/>
      <c r="AB79" s="250" t="s">
        <v>63</v>
      </c>
      <c r="AC79" s="251"/>
      <c r="AD79" s="251"/>
      <c r="AE79" s="251"/>
      <c r="AF79" s="251"/>
      <c r="AG79" s="251"/>
      <c r="AH79" s="251"/>
      <c r="AI79" s="252"/>
      <c r="AJ79" s="13"/>
    </row>
    <row r="80" spans="1:36" ht="17.25" customHeight="1" thickBot="1">
      <c r="A80" s="31" t="s">
        <v>2</v>
      </c>
      <c r="B80" s="32" t="s">
        <v>46</v>
      </c>
      <c r="C80" s="33"/>
      <c r="D80" s="33"/>
      <c r="E80" s="34"/>
      <c r="F80" s="32" t="s">
        <v>47</v>
      </c>
      <c r="G80" s="33"/>
      <c r="H80" s="34"/>
      <c r="I80" s="35"/>
      <c r="J80" s="31" t="s">
        <v>2</v>
      </c>
      <c r="K80" s="32" t="s">
        <v>46</v>
      </c>
      <c r="L80" s="33"/>
      <c r="M80" s="33"/>
      <c r="N80" s="34"/>
      <c r="O80" s="32" t="s">
        <v>47</v>
      </c>
      <c r="P80" s="33"/>
      <c r="Q80" s="34"/>
      <c r="R80" s="35"/>
      <c r="S80" s="31" t="s">
        <v>2</v>
      </c>
      <c r="T80" s="32" t="s">
        <v>46</v>
      </c>
      <c r="U80" s="33"/>
      <c r="V80" s="33"/>
      <c r="W80" s="34"/>
      <c r="X80" s="32" t="s">
        <v>47</v>
      </c>
      <c r="Y80" s="33"/>
      <c r="Z80" s="34"/>
      <c r="AA80" s="35"/>
      <c r="AB80" s="31" t="s">
        <v>2</v>
      </c>
      <c r="AC80" s="32" t="s">
        <v>46</v>
      </c>
      <c r="AD80" s="33"/>
      <c r="AE80" s="33"/>
      <c r="AF80" s="34"/>
      <c r="AG80" s="32" t="s">
        <v>47</v>
      </c>
      <c r="AH80" s="33"/>
      <c r="AI80" s="34"/>
      <c r="AJ80" s="13"/>
    </row>
    <row r="81" spans="1:36" ht="16" thickBot="1">
      <c r="A81" s="36" t="s">
        <v>64</v>
      </c>
      <c r="B81" s="37" t="s">
        <v>49</v>
      </c>
      <c r="C81" s="37" t="s">
        <v>50</v>
      </c>
      <c r="D81" s="37" t="s">
        <v>51</v>
      </c>
      <c r="E81" s="37" t="s">
        <v>52</v>
      </c>
      <c r="F81" s="37" t="s">
        <v>53</v>
      </c>
      <c r="G81" s="37" t="s">
        <v>54</v>
      </c>
      <c r="H81" s="37" t="s">
        <v>55</v>
      </c>
      <c r="I81" s="35"/>
      <c r="J81" s="36" t="s">
        <v>64</v>
      </c>
      <c r="K81" s="37" t="s">
        <v>49</v>
      </c>
      <c r="L81" s="37" t="s">
        <v>50</v>
      </c>
      <c r="M81" s="37" t="s">
        <v>51</v>
      </c>
      <c r="N81" s="37" t="s">
        <v>52</v>
      </c>
      <c r="O81" s="37" t="s">
        <v>53</v>
      </c>
      <c r="P81" s="37" t="s">
        <v>54</v>
      </c>
      <c r="Q81" s="37" t="s">
        <v>55</v>
      </c>
      <c r="R81" s="35"/>
      <c r="S81" s="36" t="s">
        <v>64</v>
      </c>
      <c r="T81" s="37" t="s">
        <v>49</v>
      </c>
      <c r="U81" s="37" t="s">
        <v>50</v>
      </c>
      <c r="V81" s="37" t="s">
        <v>51</v>
      </c>
      <c r="W81" s="37" t="s">
        <v>52</v>
      </c>
      <c r="X81" s="37" t="s">
        <v>53</v>
      </c>
      <c r="Y81" s="37" t="s">
        <v>54</v>
      </c>
      <c r="Z81" s="37" t="s">
        <v>55</v>
      </c>
      <c r="AA81" s="35"/>
      <c r="AB81" s="36" t="s">
        <v>64</v>
      </c>
      <c r="AC81" s="37" t="s">
        <v>49</v>
      </c>
      <c r="AD81" s="37" t="s">
        <v>50</v>
      </c>
      <c r="AE81" s="37" t="s">
        <v>51</v>
      </c>
      <c r="AF81" s="37" t="s">
        <v>52</v>
      </c>
      <c r="AG81" s="37" t="s">
        <v>53</v>
      </c>
      <c r="AH81" s="37" t="s">
        <v>54</v>
      </c>
      <c r="AI81" s="37" t="s">
        <v>55</v>
      </c>
      <c r="AJ81" s="13"/>
    </row>
    <row r="82" spans="1:36" ht="16" thickBot="1">
      <c r="A82" s="38">
        <v>1</v>
      </c>
      <c r="B82" s="39">
        <f>資料儲存!D542</f>
        <v>0</v>
      </c>
      <c r="C82" s="39">
        <f>資料儲存!E542</f>
        <v>0</v>
      </c>
      <c r="D82" s="39">
        <f>資料儲存!F542</f>
        <v>0</v>
      </c>
      <c r="E82" s="39">
        <f>資料儲存!G542</f>
        <v>0</v>
      </c>
      <c r="F82" s="39">
        <f>資料儲存!H542</f>
        <v>0</v>
      </c>
      <c r="G82" s="39">
        <f>資料儲存!I542</f>
        <v>0</v>
      </c>
      <c r="H82" s="39">
        <f>資料儲存!J542</f>
        <v>0</v>
      </c>
      <c r="I82" s="35"/>
      <c r="J82" s="38">
        <v>1</v>
      </c>
      <c r="K82" s="39">
        <f>資料儲存!D662</f>
        <v>0</v>
      </c>
      <c r="L82" s="39">
        <f>資料儲存!E662</f>
        <v>0</v>
      </c>
      <c r="M82" s="39">
        <f>資料儲存!F662</f>
        <v>0</v>
      </c>
      <c r="N82" s="39">
        <f>資料儲存!G662</f>
        <v>0</v>
      </c>
      <c r="O82" s="39">
        <f>資料儲存!H662</f>
        <v>0</v>
      </c>
      <c r="P82" s="39">
        <f>資料儲存!I662</f>
        <v>0</v>
      </c>
      <c r="Q82" s="39">
        <f>資料儲存!J662</f>
        <v>0</v>
      </c>
      <c r="R82" s="35"/>
      <c r="S82" s="38">
        <v>1</v>
      </c>
      <c r="T82" s="39">
        <f>資料儲存!D782</f>
        <v>0</v>
      </c>
      <c r="U82" s="39">
        <f>資料儲存!E782</f>
        <v>0</v>
      </c>
      <c r="V82" s="39">
        <f>資料儲存!F782</f>
        <v>0</v>
      </c>
      <c r="W82" s="39">
        <f>資料儲存!G782</f>
        <v>0</v>
      </c>
      <c r="X82" s="39">
        <f>資料儲存!H782</f>
        <v>0</v>
      </c>
      <c r="Y82" s="39">
        <f>資料儲存!I782</f>
        <v>0</v>
      </c>
      <c r="Z82" s="39">
        <f>資料儲存!J782</f>
        <v>0</v>
      </c>
      <c r="AA82" s="35"/>
      <c r="AB82" s="38">
        <v>1</v>
      </c>
      <c r="AC82" s="39">
        <f>資料儲存!D902</f>
        <v>0</v>
      </c>
      <c r="AD82" s="39">
        <f>資料儲存!E902</f>
        <v>0</v>
      </c>
      <c r="AE82" s="39">
        <f>資料儲存!F902</f>
        <v>0</v>
      </c>
      <c r="AF82" s="39">
        <f>資料儲存!G902</f>
        <v>0</v>
      </c>
      <c r="AG82" s="39">
        <f>資料儲存!H902</f>
        <v>0</v>
      </c>
      <c r="AH82" s="39">
        <f>資料儲存!I902</f>
        <v>0</v>
      </c>
      <c r="AI82" s="39">
        <f>資料儲存!J902</f>
        <v>0</v>
      </c>
      <c r="AJ82" s="13"/>
    </row>
    <row r="83" spans="1:36" ht="16" thickBot="1">
      <c r="A83" s="38">
        <v>2</v>
      </c>
      <c r="B83" s="39">
        <f>資料儲存!D543</f>
        <v>0</v>
      </c>
      <c r="C83" s="39">
        <f>資料儲存!E543</f>
        <v>0</v>
      </c>
      <c r="D83" s="39">
        <f>資料儲存!F543</f>
        <v>0</v>
      </c>
      <c r="E83" s="39">
        <f>資料儲存!G543</f>
        <v>0</v>
      </c>
      <c r="F83" s="39">
        <f>資料儲存!H543</f>
        <v>0</v>
      </c>
      <c r="G83" s="39">
        <f>資料儲存!I543</f>
        <v>0</v>
      </c>
      <c r="H83" s="39">
        <f>資料儲存!J543</f>
        <v>0</v>
      </c>
      <c r="I83" s="35"/>
      <c r="J83" s="38">
        <v>2</v>
      </c>
      <c r="K83" s="39">
        <f>資料儲存!D663</f>
        <v>0</v>
      </c>
      <c r="L83" s="39">
        <f>資料儲存!E663</f>
        <v>0</v>
      </c>
      <c r="M83" s="39">
        <f>資料儲存!F663</f>
        <v>0</v>
      </c>
      <c r="N83" s="39">
        <f>資料儲存!G663</f>
        <v>0</v>
      </c>
      <c r="O83" s="39">
        <f>資料儲存!H663</f>
        <v>0</v>
      </c>
      <c r="P83" s="39">
        <f>資料儲存!I663</f>
        <v>0</v>
      </c>
      <c r="Q83" s="39">
        <f>資料儲存!J663</f>
        <v>0</v>
      </c>
      <c r="R83" s="35"/>
      <c r="S83" s="38">
        <v>2</v>
      </c>
      <c r="T83" s="39">
        <f>資料儲存!D783</f>
        <v>0</v>
      </c>
      <c r="U83" s="39">
        <f>資料儲存!E783</f>
        <v>0</v>
      </c>
      <c r="V83" s="39">
        <f>資料儲存!F783</f>
        <v>0</v>
      </c>
      <c r="W83" s="39">
        <f>資料儲存!G783</f>
        <v>0</v>
      </c>
      <c r="X83" s="39">
        <f>資料儲存!H783</f>
        <v>0</v>
      </c>
      <c r="Y83" s="39">
        <f>資料儲存!I783</f>
        <v>0</v>
      </c>
      <c r="Z83" s="39">
        <f>資料儲存!J783</f>
        <v>0</v>
      </c>
      <c r="AA83" s="35"/>
      <c r="AB83" s="38">
        <v>2</v>
      </c>
      <c r="AC83" s="39">
        <f>資料儲存!D903</f>
        <v>0</v>
      </c>
      <c r="AD83" s="39">
        <f>資料儲存!E903</f>
        <v>0</v>
      </c>
      <c r="AE83" s="39">
        <f>資料儲存!F903</f>
        <v>0</v>
      </c>
      <c r="AF83" s="39">
        <f>資料儲存!G903</f>
        <v>0</v>
      </c>
      <c r="AG83" s="39">
        <f>資料儲存!H903</f>
        <v>0</v>
      </c>
      <c r="AH83" s="39">
        <f>資料儲存!I903</f>
        <v>0</v>
      </c>
      <c r="AI83" s="39">
        <f>資料儲存!J903</f>
        <v>0</v>
      </c>
      <c r="AJ83" s="13"/>
    </row>
    <row r="84" spans="1:36" ht="16" thickBot="1">
      <c r="A84" s="38">
        <v>3</v>
      </c>
      <c r="B84" s="39">
        <f>資料儲存!D544</f>
        <v>0</v>
      </c>
      <c r="C84" s="39">
        <f>資料儲存!E544</f>
        <v>0</v>
      </c>
      <c r="D84" s="39">
        <f>資料儲存!F544</f>
        <v>0</v>
      </c>
      <c r="E84" s="39">
        <f>資料儲存!G544</f>
        <v>0</v>
      </c>
      <c r="F84" s="39">
        <f>資料儲存!H544</f>
        <v>0</v>
      </c>
      <c r="G84" s="39">
        <f>資料儲存!I544</f>
        <v>0</v>
      </c>
      <c r="H84" s="39">
        <f>資料儲存!J544</f>
        <v>0</v>
      </c>
      <c r="I84" s="35"/>
      <c r="J84" s="38">
        <v>3</v>
      </c>
      <c r="K84" s="39">
        <f>資料儲存!D664</f>
        <v>0</v>
      </c>
      <c r="L84" s="39">
        <f>資料儲存!E664</f>
        <v>0</v>
      </c>
      <c r="M84" s="39">
        <f>資料儲存!F664</f>
        <v>0</v>
      </c>
      <c r="N84" s="39">
        <f>資料儲存!G664</f>
        <v>0</v>
      </c>
      <c r="O84" s="39">
        <f>資料儲存!H664</f>
        <v>0</v>
      </c>
      <c r="P84" s="39">
        <f>資料儲存!I664</f>
        <v>0</v>
      </c>
      <c r="Q84" s="39">
        <f>資料儲存!J664</f>
        <v>0</v>
      </c>
      <c r="R84" s="35"/>
      <c r="S84" s="38">
        <v>3</v>
      </c>
      <c r="T84" s="39">
        <f>資料儲存!D784</f>
        <v>0</v>
      </c>
      <c r="U84" s="39">
        <f>資料儲存!E784</f>
        <v>0</v>
      </c>
      <c r="V84" s="39">
        <f>資料儲存!F784</f>
        <v>0</v>
      </c>
      <c r="W84" s="39">
        <f>資料儲存!G784</f>
        <v>0</v>
      </c>
      <c r="X84" s="39">
        <f>資料儲存!H784</f>
        <v>0</v>
      </c>
      <c r="Y84" s="39">
        <f>資料儲存!I784</f>
        <v>0</v>
      </c>
      <c r="Z84" s="39">
        <f>資料儲存!J784</f>
        <v>0</v>
      </c>
      <c r="AA84" s="35"/>
      <c r="AB84" s="38">
        <v>3</v>
      </c>
      <c r="AC84" s="39">
        <f>資料儲存!D904</f>
        <v>0</v>
      </c>
      <c r="AD84" s="39">
        <f>資料儲存!E904</f>
        <v>0</v>
      </c>
      <c r="AE84" s="39">
        <f>資料儲存!F904</f>
        <v>0</v>
      </c>
      <c r="AF84" s="39">
        <f>資料儲存!G904</f>
        <v>0</v>
      </c>
      <c r="AG84" s="39">
        <f>資料儲存!H904</f>
        <v>0</v>
      </c>
      <c r="AH84" s="39">
        <f>資料儲存!I904</f>
        <v>0</v>
      </c>
      <c r="AI84" s="39">
        <f>資料儲存!J904</f>
        <v>0</v>
      </c>
      <c r="AJ84" s="13"/>
    </row>
    <row r="85" spans="1:36" ht="16" thickBot="1">
      <c r="A85" s="38">
        <v>4</v>
      </c>
      <c r="B85" s="39">
        <f>資料儲存!D545</f>
        <v>0</v>
      </c>
      <c r="C85" s="39">
        <f>資料儲存!E545</f>
        <v>0</v>
      </c>
      <c r="D85" s="39">
        <f>資料儲存!F545</f>
        <v>0</v>
      </c>
      <c r="E85" s="39">
        <f>資料儲存!G545</f>
        <v>0</v>
      </c>
      <c r="F85" s="39">
        <f>資料儲存!H545</f>
        <v>0</v>
      </c>
      <c r="G85" s="39">
        <f>資料儲存!I545</f>
        <v>0</v>
      </c>
      <c r="H85" s="39">
        <f>資料儲存!J545</f>
        <v>0</v>
      </c>
      <c r="I85" s="35"/>
      <c r="J85" s="38">
        <v>4</v>
      </c>
      <c r="K85" s="39">
        <f>資料儲存!D665</f>
        <v>0</v>
      </c>
      <c r="L85" s="39">
        <f>資料儲存!E665</f>
        <v>0</v>
      </c>
      <c r="M85" s="39">
        <f>資料儲存!F665</f>
        <v>0</v>
      </c>
      <c r="N85" s="39">
        <f>資料儲存!G665</f>
        <v>0</v>
      </c>
      <c r="O85" s="39">
        <f>資料儲存!H665</f>
        <v>0</v>
      </c>
      <c r="P85" s="39">
        <f>資料儲存!I665</f>
        <v>0</v>
      </c>
      <c r="Q85" s="39">
        <f>資料儲存!J665</f>
        <v>0</v>
      </c>
      <c r="R85" s="35"/>
      <c r="S85" s="38">
        <v>4</v>
      </c>
      <c r="T85" s="39">
        <f>資料儲存!D785</f>
        <v>0</v>
      </c>
      <c r="U85" s="39">
        <f>資料儲存!E785</f>
        <v>0</v>
      </c>
      <c r="V85" s="39">
        <f>資料儲存!F785</f>
        <v>0</v>
      </c>
      <c r="W85" s="39">
        <f>資料儲存!G785</f>
        <v>0</v>
      </c>
      <c r="X85" s="39">
        <f>資料儲存!H785</f>
        <v>0</v>
      </c>
      <c r="Y85" s="39">
        <f>資料儲存!I785</f>
        <v>0</v>
      </c>
      <c r="Z85" s="39">
        <f>資料儲存!J785</f>
        <v>0</v>
      </c>
      <c r="AA85" s="35"/>
      <c r="AB85" s="38">
        <v>4</v>
      </c>
      <c r="AC85" s="39">
        <f>資料儲存!D905</f>
        <v>0</v>
      </c>
      <c r="AD85" s="39">
        <f>資料儲存!E905</f>
        <v>0</v>
      </c>
      <c r="AE85" s="39">
        <f>資料儲存!F905</f>
        <v>0</v>
      </c>
      <c r="AF85" s="39">
        <f>資料儲存!G905</f>
        <v>0</v>
      </c>
      <c r="AG85" s="39">
        <f>資料儲存!H905</f>
        <v>0</v>
      </c>
      <c r="AH85" s="39">
        <f>資料儲存!I905</f>
        <v>0</v>
      </c>
      <c r="AI85" s="39">
        <f>資料儲存!J905</f>
        <v>0</v>
      </c>
      <c r="AJ85" s="13"/>
    </row>
    <row r="86" spans="1:36" ht="16" thickBot="1">
      <c r="A86" s="38">
        <v>5</v>
      </c>
      <c r="B86" s="39">
        <f>資料儲存!D546</f>
        <v>0</v>
      </c>
      <c r="C86" s="39">
        <f>資料儲存!E546</f>
        <v>0</v>
      </c>
      <c r="D86" s="39">
        <f>資料儲存!F546</f>
        <v>0</v>
      </c>
      <c r="E86" s="39">
        <f>資料儲存!G546</f>
        <v>0</v>
      </c>
      <c r="F86" s="39">
        <f>資料儲存!H546</f>
        <v>0</v>
      </c>
      <c r="G86" s="39">
        <f>資料儲存!I546</f>
        <v>0</v>
      </c>
      <c r="H86" s="39">
        <f>資料儲存!J546</f>
        <v>0</v>
      </c>
      <c r="I86" s="35"/>
      <c r="J86" s="38">
        <v>5</v>
      </c>
      <c r="K86" s="39">
        <f>資料儲存!D666</f>
        <v>0</v>
      </c>
      <c r="L86" s="39">
        <f>資料儲存!E666</f>
        <v>0</v>
      </c>
      <c r="M86" s="39">
        <f>資料儲存!F666</f>
        <v>0</v>
      </c>
      <c r="N86" s="39">
        <f>資料儲存!G666</f>
        <v>0</v>
      </c>
      <c r="O86" s="39">
        <f>資料儲存!H666</f>
        <v>0</v>
      </c>
      <c r="P86" s="39">
        <f>資料儲存!I666</f>
        <v>0</v>
      </c>
      <c r="Q86" s="39">
        <f>資料儲存!J666</f>
        <v>0</v>
      </c>
      <c r="R86" s="35"/>
      <c r="S86" s="38">
        <v>5</v>
      </c>
      <c r="T86" s="39">
        <f>資料儲存!D786</f>
        <v>0</v>
      </c>
      <c r="U86" s="39">
        <f>資料儲存!E786</f>
        <v>0</v>
      </c>
      <c r="V86" s="39">
        <f>資料儲存!F786</f>
        <v>0</v>
      </c>
      <c r="W86" s="39">
        <f>資料儲存!G786</f>
        <v>0</v>
      </c>
      <c r="X86" s="39">
        <f>資料儲存!H786</f>
        <v>0</v>
      </c>
      <c r="Y86" s="39">
        <f>資料儲存!I786</f>
        <v>0</v>
      </c>
      <c r="Z86" s="39">
        <f>資料儲存!J786</f>
        <v>0</v>
      </c>
      <c r="AA86" s="35"/>
      <c r="AB86" s="38">
        <v>5</v>
      </c>
      <c r="AC86" s="39">
        <f>資料儲存!D906</f>
        <v>0</v>
      </c>
      <c r="AD86" s="39">
        <f>資料儲存!E906</f>
        <v>0</v>
      </c>
      <c r="AE86" s="39">
        <f>資料儲存!F906</f>
        <v>0</v>
      </c>
      <c r="AF86" s="39">
        <f>資料儲存!G906</f>
        <v>0</v>
      </c>
      <c r="AG86" s="39">
        <f>資料儲存!H906</f>
        <v>0</v>
      </c>
      <c r="AH86" s="39">
        <f>資料儲存!I906</f>
        <v>0</v>
      </c>
      <c r="AI86" s="39">
        <f>資料儲存!J906</f>
        <v>0</v>
      </c>
      <c r="AJ86" s="13"/>
    </row>
    <row r="87" spans="1:36" ht="16" thickBot="1">
      <c r="A87" s="38">
        <v>6</v>
      </c>
      <c r="B87" s="39">
        <f>資料儲存!D547</f>
        <v>0</v>
      </c>
      <c r="C87" s="39">
        <f>資料儲存!E547</f>
        <v>0</v>
      </c>
      <c r="D87" s="39">
        <f>資料儲存!F547</f>
        <v>0</v>
      </c>
      <c r="E87" s="39">
        <f>資料儲存!G547</f>
        <v>0</v>
      </c>
      <c r="F87" s="39">
        <f>資料儲存!H547</f>
        <v>0</v>
      </c>
      <c r="G87" s="39">
        <f>資料儲存!I547</f>
        <v>0</v>
      </c>
      <c r="H87" s="39">
        <f>資料儲存!J547</f>
        <v>0</v>
      </c>
      <c r="I87" s="35"/>
      <c r="J87" s="38">
        <v>6</v>
      </c>
      <c r="K87" s="39">
        <f>資料儲存!D667</f>
        <v>0</v>
      </c>
      <c r="L87" s="39">
        <f>資料儲存!E667</f>
        <v>0</v>
      </c>
      <c r="M87" s="39">
        <f>資料儲存!F667</f>
        <v>0</v>
      </c>
      <c r="N87" s="39">
        <f>資料儲存!G667</f>
        <v>0</v>
      </c>
      <c r="O87" s="39">
        <f>資料儲存!H667</f>
        <v>0</v>
      </c>
      <c r="P87" s="39">
        <f>資料儲存!I667</f>
        <v>0</v>
      </c>
      <c r="Q87" s="39">
        <f>資料儲存!J667</f>
        <v>0</v>
      </c>
      <c r="R87" s="35"/>
      <c r="S87" s="38">
        <v>6</v>
      </c>
      <c r="T87" s="39">
        <f>資料儲存!D787</f>
        <v>0</v>
      </c>
      <c r="U87" s="39">
        <f>資料儲存!E787</f>
        <v>0</v>
      </c>
      <c r="V87" s="39">
        <f>資料儲存!F787</f>
        <v>0</v>
      </c>
      <c r="W87" s="39">
        <f>資料儲存!G787</f>
        <v>0</v>
      </c>
      <c r="X87" s="39">
        <f>資料儲存!H787</f>
        <v>0</v>
      </c>
      <c r="Y87" s="39">
        <f>資料儲存!I787</f>
        <v>0</v>
      </c>
      <c r="Z87" s="39">
        <f>資料儲存!J787</f>
        <v>0</v>
      </c>
      <c r="AA87" s="35"/>
      <c r="AB87" s="38">
        <v>6</v>
      </c>
      <c r="AC87" s="39">
        <f>資料儲存!D907</f>
        <v>0</v>
      </c>
      <c r="AD87" s="39">
        <f>資料儲存!E907</f>
        <v>0</v>
      </c>
      <c r="AE87" s="39">
        <f>資料儲存!F907</f>
        <v>0</v>
      </c>
      <c r="AF87" s="39">
        <f>資料儲存!G907</f>
        <v>0</v>
      </c>
      <c r="AG87" s="39">
        <f>資料儲存!H907</f>
        <v>0</v>
      </c>
      <c r="AH87" s="39">
        <f>資料儲存!I907</f>
        <v>0</v>
      </c>
      <c r="AI87" s="39">
        <f>資料儲存!J907</f>
        <v>0</v>
      </c>
      <c r="AJ87" s="13"/>
    </row>
    <row r="88" spans="1:36" ht="16" thickBot="1">
      <c r="A88" s="38">
        <v>7</v>
      </c>
      <c r="B88" s="39">
        <f>資料儲存!D548</f>
        <v>0</v>
      </c>
      <c r="C88" s="39">
        <f>資料儲存!E548</f>
        <v>0</v>
      </c>
      <c r="D88" s="39">
        <f>資料儲存!F548</f>
        <v>0</v>
      </c>
      <c r="E88" s="39">
        <f>資料儲存!G548</f>
        <v>0</v>
      </c>
      <c r="F88" s="39">
        <f>資料儲存!H548</f>
        <v>0</v>
      </c>
      <c r="G88" s="39">
        <f>資料儲存!I548</f>
        <v>0</v>
      </c>
      <c r="H88" s="39">
        <f>資料儲存!J548</f>
        <v>0</v>
      </c>
      <c r="I88" s="35"/>
      <c r="J88" s="38">
        <v>7</v>
      </c>
      <c r="K88" s="39">
        <f>資料儲存!D668</f>
        <v>0</v>
      </c>
      <c r="L88" s="39">
        <f>資料儲存!E668</f>
        <v>0</v>
      </c>
      <c r="M88" s="39">
        <f>資料儲存!F668</f>
        <v>0</v>
      </c>
      <c r="N88" s="39">
        <f>資料儲存!G668</f>
        <v>0</v>
      </c>
      <c r="O88" s="39">
        <f>資料儲存!H668</f>
        <v>0</v>
      </c>
      <c r="P88" s="39">
        <f>資料儲存!I668</f>
        <v>0</v>
      </c>
      <c r="Q88" s="39">
        <f>資料儲存!J668</f>
        <v>0</v>
      </c>
      <c r="R88" s="35"/>
      <c r="S88" s="38">
        <v>7</v>
      </c>
      <c r="T88" s="39">
        <f>資料儲存!D788</f>
        <v>0</v>
      </c>
      <c r="U88" s="39">
        <f>資料儲存!E788</f>
        <v>0</v>
      </c>
      <c r="V88" s="39">
        <f>資料儲存!F788</f>
        <v>0</v>
      </c>
      <c r="W88" s="39">
        <f>資料儲存!G788</f>
        <v>0</v>
      </c>
      <c r="X88" s="39">
        <f>資料儲存!H788</f>
        <v>0</v>
      </c>
      <c r="Y88" s="39">
        <f>資料儲存!I788</f>
        <v>0</v>
      </c>
      <c r="Z88" s="39">
        <f>資料儲存!J788</f>
        <v>0</v>
      </c>
      <c r="AA88" s="35"/>
      <c r="AB88" s="38">
        <v>7</v>
      </c>
      <c r="AC88" s="39">
        <f>資料儲存!D908</f>
        <v>0</v>
      </c>
      <c r="AD88" s="39">
        <f>資料儲存!E908</f>
        <v>0</v>
      </c>
      <c r="AE88" s="39">
        <f>資料儲存!F908</f>
        <v>0</v>
      </c>
      <c r="AF88" s="39">
        <f>資料儲存!G908</f>
        <v>0</v>
      </c>
      <c r="AG88" s="39">
        <f>資料儲存!H908</f>
        <v>0</v>
      </c>
      <c r="AH88" s="39">
        <f>資料儲存!I908</f>
        <v>0</v>
      </c>
      <c r="AI88" s="39">
        <f>資料儲存!J908</f>
        <v>0</v>
      </c>
      <c r="AJ88" s="13"/>
    </row>
    <row r="89" spans="1:36" ht="16" thickBot="1">
      <c r="A89" s="38">
        <v>8</v>
      </c>
      <c r="B89" s="39">
        <f>資料儲存!D549</f>
        <v>0</v>
      </c>
      <c r="C89" s="39">
        <f>資料儲存!E549</f>
        <v>0</v>
      </c>
      <c r="D89" s="39">
        <f>資料儲存!F549</f>
        <v>0</v>
      </c>
      <c r="E89" s="39">
        <f>資料儲存!G549</f>
        <v>0</v>
      </c>
      <c r="F89" s="39">
        <f>資料儲存!H549</f>
        <v>0</v>
      </c>
      <c r="G89" s="39">
        <f>資料儲存!I549</f>
        <v>0</v>
      </c>
      <c r="H89" s="39">
        <f>資料儲存!J549</f>
        <v>0</v>
      </c>
      <c r="I89" s="35"/>
      <c r="J89" s="38">
        <v>8</v>
      </c>
      <c r="K89" s="39">
        <f>資料儲存!D669</f>
        <v>0</v>
      </c>
      <c r="L89" s="39">
        <f>資料儲存!E669</f>
        <v>0</v>
      </c>
      <c r="M89" s="39">
        <f>資料儲存!F669</f>
        <v>0</v>
      </c>
      <c r="N89" s="39">
        <f>資料儲存!G669</f>
        <v>0</v>
      </c>
      <c r="O89" s="39">
        <f>資料儲存!H669</f>
        <v>0</v>
      </c>
      <c r="P89" s="39">
        <f>資料儲存!I669</f>
        <v>0</v>
      </c>
      <c r="Q89" s="39">
        <f>資料儲存!J669</f>
        <v>0</v>
      </c>
      <c r="R89" s="35"/>
      <c r="S89" s="38">
        <v>8</v>
      </c>
      <c r="T89" s="39">
        <f>資料儲存!D789</f>
        <v>0</v>
      </c>
      <c r="U89" s="39">
        <f>資料儲存!E789</f>
        <v>0</v>
      </c>
      <c r="V89" s="39">
        <f>資料儲存!F789</f>
        <v>0</v>
      </c>
      <c r="W89" s="39">
        <f>資料儲存!G789</f>
        <v>0</v>
      </c>
      <c r="X89" s="39">
        <f>資料儲存!H789</f>
        <v>0</v>
      </c>
      <c r="Y89" s="39">
        <f>資料儲存!I789</f>
        <v>0</v>
      </c>
      <c r="Z89" s="39">
        <f>資料儲存!J789</f>
        <v>0</v>
      </c>
      <c r="AA89" s="35"/>
      <c r="AB89" s="38">
        <v>8</v>
      </c>
      <c r="AC89" s="39">
        <f>資料儲存!D909</f>
        <v>0</v>
      </c>
      <c r="AD89" s="39">
        <f>資料儲存!E909</f>
        <v>0</v>
      </c>
      <c r="AE89" s="39">
        <f>資料儲存!F909</f>
        <v>0</v>
      </c>
      <c r="AF89" s="39">
        <f>資料儲存!G909</f>
        <v>0</v>
      </c>
      <c r="AG89" s="39">
        <f>資料儲存!H909</f>
        <v>0</v>
      </c>
      <c r="AH89" s="39">
        <f>資料儲存!I909</f>
        <v>0</v>
      </c>
      <c r="AI89" s="39">
        <f>資料儲存!J909</f>
        <v>0</v>
      </c>
      <c r="AJ89" s="13"/>
    </row>
    <row r="90" spans="1:36" ht="16" thickBot="1">
      <c r="A90" s="38">
        <v>9</v>
      </c>
      <c r="B90" s="39">
        <f>資料儲存!D550</f>
        <v>0</v>
      </c>
      <c r="C90" s="39">
        <f>資料儲存!E550</f>
        <v>0</v>
      </c>
      <c r="D90" s="39">
        <f>資料儲存!F550</f>
        <v>0</v>
      </c>
      <c r="E90" s="39">
        <f>資料儲存!G550</f>
        <v>0</v>
      </c>
      <c r="F90" s="39">
        <f>資料儲存!H550</f>
        <v>0</v>
      </c>
      <c r="G90" s="39">
        <f>資料儲存!I550</f>
        <v>0</v>
      </c>
      <c r="H90" s="39">
        <f>資料儲存!J550</f>
        <v>0</v>
      </c>
      <c r="I90" s="35"/>
      <c r="J90" s="38">
        <v>9</v>
      </c>
      <c r="K90" s="39">
        <f>資料儲存!D670</f>
        <v>0</v>
      </c>
      <c r="L90" s="39">
        <f>資料儲存!E670</f>
        <v>0</v>
      </c>
      <c r="M90" s="39">
        <f>資料儲存!F670</f>
        <v>0</v>
      </c>
      <c r="N90" s="39">
        <f>資料儲存!G670</f>
        <v>0</v>
      </c>
      <c r="O90" s="39">
        <f>資料儲存!H670</f>
        <v>0</v>
      </c>
      <c r="P90" s="39">
        <f>資料儲存!I670</f>
        <v>0</v>
      </c>
      <c r="Q90" s="39">
        <f>資料儲存!J670</f>
        <v>0</v>
      </c>
      <c r="R90" s="35"/>
      <c r="S90" s="38">
        <v>9</v>
      </c>
      <c r="T90" s="39">
        <f>資料儲存!D790</f>
        <v>0</v>
      </c>
      <c r="U90" s="39">
        <f>資料儲存!E790</f>
        <v>0</v>
      </c>
      <c r="V90" s="39">
        <f>資料儲存!F790</f>
        <v>0</v>
      </c>
      <c r="W90" s="39">
        <f>資料儲存!G790</f>
        <v>0</v>
      </c>
      <c r="X90" s="39">
        <f>資料儲存!H790</f>
        <v>0</v>
      </c>
      <c r="Y90" s="39">
        <f>資料儲存!I790</f>
        <v>0</v>
      </c>
      <c r="Z90" s="39">
        <f>資料儲存!J790</f>
        <v>0</v>
      </c>
      <c r="AA90" s="35"/>
      <c r="AB90" s="38">
        <v>9</v>
      </c>
      <c r="AC90" s="39">
        <f>資料儲存!D910</f>
        <v>0</v>
      </c>
      <c r="AD90" s="39">
        <f>資料儲存!E910</f>
        <v>0</v>
      </c>
      <c r="AE90" s="39">
        <f>資料儲存!F910</f>
        <v>0</v>
      </c>
      <c r="AF90" s="39">
        <f>資料儲存!G910</f>
        <v>0</v>
      </c>
      <c r="AG90" s="39">
        <f>資料儲存!H910</f>
        <v>0</v>
      </c>
      <c r="AH90" s="39">
        <f>資料儲存!I910</f>
        <v>0</v>
      </c>
      <c r="AI90" s="39">
        <f>資料儲存!J910</f>
        <v>0</v>
      </c>
      <c r="AJ90" s="13"/>
    </row>
    <row r="91" spans="1:36" ht="16" thickBot="1">
      <c r="A91" s="38">
        <v>10</v>
      </c>
      <c r="B91" s="39">
        <f>資料儲存!D551</f>
        <v>0</v>
      </c>
      <c r="C91" s="39">
        <f>資料儲存!E551</f>
        <v>0</v>
      </c>
      <c r="D91" s="39">
        <f>資料儲存!F551</f>
        <v>0</v>
      </c>
      <c r="E91" s="39">
        <f>資料儲存!G551</f>
        <v>0</v>
      </c>
      <c r="F91" s="39">
        <f>資料儲存!H551</f>
        <v>0</v>
      </c>
      <c r="G91" s="39">
        <f>資料儲存!I551</f>
        <v>0</v>
      </c>
      <c r="H91" s="39">
        <f>資料儲存!J551</f>
        <v>0</v>
      </c>
      <c r="I91" s="35"/>
      <c r="J91" s="38">
        <v>10</v>
      </c>
      <c r="K91" s="39">
        <f>資料儲存!D671</f>
        <v>0</v>
      </c>
      <c r="L91" s="39">
        <f>資料儲存!E671</f>
        <v>0</v>
      </c>
      <c r="M91" s="39">
        <f>資料儲存!F671</f>
        <v>0</v>
      </c>
      <c r="N91" s="39">
        <f>資料儲存!G671</f>
        <v>0</v>
      </c>
      <c r="O91" s="39">
        <f>資料儲存!H671</f>
        <v>0</v>
      </c>
      <c r="P91" s="39">
        <f>資料儲存!I671</f>
        <v>0</v>
      </c>
      <c r="Q91" s="39">
        <f>資料儲存!J671</f>
        <v>0</v>
      </c>
      <c r="R91" s="35"/>
      <c r="S91" s="38">
        <v>10</v>
      </c>
      <c r="T91" s="39">
        <f>資料儲存!D791</f>
        <v>0</v>
      </c>
      <c r="U91" s="39">
        <f>資料儲存!E791</f>
        <v>0</v>
      </c>
      <c r="V91" s="39">
        <f>資料儲存!F791</f>
        <v>0</v>
      </c>
      <c r="W91" s="39">
        <f>資料儲存!G791</f>
        <v>0</v>
      </c>
      <c r="X91" s="39">
        <f>資料儲存!H791</f>
        <v>0</v>
      </c>
      <c r="Y91" s="39">
        <f>資料儲存!I791</f>
        <v>0</v>
      </c>
      <c r="Z91" s="39">
        <f>資料儲存!J791</f>
        <v>0</v>
      </c>
      <c r="AA91" s="35"/>
      <c r="AB91" s="38">
        <v>10</v>
      </c>
      <c r="AC91" s="39">
        <f>資料儲存!D911</f>
        <v>0</v>
      </c>
      <c r="AD91" s="39">
        <f>資料儲存!E911</f>
        <v>0</v>
      </c>
      <c r="AE91" s="39">
        <f>資料儲存!F911</f>
        <v>0</v>
      </c>
      <c r="AF91" s="39">
        <f>資料儲存!G911</f>
        <v>0</v>
      </c>
      <c r="AG91" s="39">
        <f>資料儲存!H911</f>
        <v>0</v>
      </c>
      <c r="AH91" s="39">
        <f>資料儲存!I911</f>
        <v>0</v>
      </c>
      <c r="AI91" s="39">
        <f>資料儲存!J911</f>
        <v>0</v>
      </c>
      <c r="AJ91" s="13"/>
    </row>
    <row r="92" spans="1:36" ht="16" thickBot="1">
      <c r="A92" s="38">
        <v>11</v>
      </c>
      <c r="B92" s="39">
        <f>資料儲存!D552</f>
        <v>0</v>
      </c>
      <c r="C92" s="39">
        <f>資料儲存!E552</f>
        <v>0</v>
      </c>
      <c r="D92" s="39">
        <f>資料儲存!F552</f>
        <v>0</v>
      </c>
      <c r="E92" s="39">
        <f>資料儲存!G552</f>
        <v>0</v>
      </c>
      <c r="F92" s="39">
        <f>資料儲存!H552</f>
        <v>0</v>
      </c>
      <c r="G92" s="39">
        <f>資料儲存!I552</f>
        <v>0</v>
      </c>
      <c r="H92" s="39">
        <f>資料儲存!J552</f>
        <v>0</v>
      </c>
      <c r="I92" s="35"/>
      <c r="J92" s="38">
        <v>11</v>
      </c>
      <c r="K92" s="39">
        <f>資料儲存!D672</f>
        <v>0</v>
      </c>
      <c r="L92" s="39">
        <f>資料儲存!E672</f>
        <v>0</v>
      </c>
      <c r="M92" s="39">
        <f>資料儲存!F672</f>
        <v>0</v>
      </c>
      <c r="N92" s="39">
        <f>資料儲存!G672</f>
        <v>0</v>
      </c>
      <c r="O92" s="39">
        <f>資料儲存!H672</f>
        <v>0</v>
      </c>
      <c r="P92" s="39">
        <f>資料儲存!I672</f>
        <v>0</v>
      </c>
      <c r="Q92" s="39">
        <f>資料儲存!J672</f>
        <v>0</v>
      </c>
      <c r="R92" s="35"/>
      <c r="S92" s="38">
        <v>11</v>
      </c>
      <c r="T92" s="39">
        <f>資料儲存!D792</f>
        <v>0</v>
      </c>
      <c r="U92" s="39">
        <f>資料儲存!E792</f>
        <v>0</v>
      </c>
      <c r="V92" s="39">
        <f>資料儲存!F792</f>
        <v>0</v>
      </c>
      <c r="W92" s="39">
        <f>資料儲存!G792</f>
        <v>0</v>
      </c>
      <c r="X92" s="39">
        <f>資料儲存!H792</f>
        <v>0</v>
      </c>
      <c r="Y92" s="39">
        <f>資料儲存!I792</f>
        <v>0</v>
      </c>
      <c r="Z92" s="39">
        <f>資料儲存!J792</f>
        <v>0</v>
      </c>
      <c r="AA92" s="35"/>
      <c r="AB92" s="38">
        <v>11</v>
      </c>
      <c r="AC92" s="39">
        <f>資料儲存!D912</f>
        <v>0</v>
      </c>
      <c r="AD92" s="39">
        <f>資料儲存!E912</f>
        <v>0</v>
      </c>
      <c r="AE92" s="39">
        <f>資料儲存!F912</f>
        <v>0</v>
      </c>
      <c r="AF92" s="39">
        <f>資料儲存!G912</f>
        <v>0</v>
      </c>
      <c r="AG92" s="39">
        <f>資料儲存!H912</f>
        <v>0</v>
      </c>
      <c r="AH92" s="39">
        <f>資料儲存!I912</f>
        <v>0</v>
      </c>
      <c r="AI92" s="39">
        <f>資料儲存!J912</f>
        <v>0</v>
      </c>
      <c r="AJ92" s="13"/>
    </row>
    <row r="93" spans="1:36" ht="16" thickBot="1">
      <c r="A93" s="38">
        <v>12</v>
      </c>
      <c r="B93" s="39">
        <f>資料儲存!D553</f>
        <v>0</v>
      </c>
      <c r="C93" s="39">
        <f>資料儲存!E553</f>
        <v>0</v>
      </c>
      <c r="D93" s="39">
        <f>資料儲存!F553</f>
        <v>0</v>
      </c>
      <c r="E93" s="39">
        <f>資料儲存!G553</f>
        <v>0</v>
      </c>
      <c r="F93" s="39">
        <f>資料儲存!H553</f>
        <v>0</v>
      </c>
      <c r="G93" s="39">
        <f>資料儲存!I553</f>
        <v>0</v>
      </c>
      <c r="H93" s="39">
        <f>資料儲存!J553</f>
        <v>0</v>
      </c>
      <c r="I93" s="35"/>
      <c r="J93" s="38">
        <v>12</v>
      </c>
      <c r="K93" s="39">
        <f>資料儲存!D673</f>
        <v>0</v>
      </c>
      <c r="L93" s="39">
        <f>資料儲存!E673</f>
        <v>0</v>
      </c>
      <c r="M93" s="39">
        <f>資料儲存!F673</f>
        <v>0</v>
      </c>
      <c r="N93" s="39">
        <f>資料儲存!G673</f>
        <v>0</v>
      </c>
      <c r="O93" s="39">
        <f>資料儲存!H673</f>
        <v>0</v>
      </c>
      <c r="P93" s="39">
        <f>資料儲存!I673</f>
        <v>0</v>
      </c>
      <c r="Q93" s="39">
        <f>資料儲存!J673</f>
        <v>0</v>
      </c>
      <c r="R93" s="35"/>
      <c r="S93" s="38">
        <v>12</v>
      </c>
      <c r="T93" s="39">
        <f>資料儲存!D793</f>
        <v>0</v>
      </c>
      <c r="U93" s="39">
        <f>資料儲存!E793</f>
        <v>0</v>
      </c>
      <c r="V93" s="39">
        <f>資料儲存!F793</f>
        <v>0</v>
      </c>
      <c r="W93" s="39">
        <f>資料儲存!G793</f>
        <v>0</v>
      </c>
      <c r="X93" s="39">
        <f>資料儲存!H793</f>
        <v>0</v>
      </c>
      <c r="Y93" s="39">
        <f>資料儲存!I793</f>
        <v>0</v>
      </c>
      <c r="Z93" s="39">
        <f>資料儲存!J793</f>
        <v>0</v>
      </c>
      <c r="AA93" s="35"/>
      <c r="AB93" s="38">
        <v>12</v>
      </c>
      <c r="AC93" s="39">
        <f>資料儲存!D913</f>
        <v>0</v>
      </c>
      <c r="AD93" s="39">
        <f>資料儲存!E913</f>
        <v>0</v>
      </c>
      <c r="AE93" s="39">
        <f>資料儲存!F913</f>
        <v>0</v>
      </c>
      <c r="AF93" s="39">
        <f>資料儲存!G913</f>
        <v>0</v>
      </c>
      <c r="AG93" s="39">
        <f>資料儲存!H913</f>
        <v>0</v>
      </c>
      <c r="AH93" s="39">
        <f>資料儲存!I913</f>
        <v>0</v>
      </c>
      <c r="AI93" s="39">
        <f>資料儲存!J913</f>
        <v>0</v>
      </c>
      <c r="AJ93" s="13"/>
    </row>
    <row r="94" spans="1:36" ht="16" thickBot="1">
      <c r="A94" s="38">
        <v>13</v>
      </c>
      <c r="B94" s="39">
        <f>資料儲存!D554</f>
        <v>0</v>
      </c>
      <c r="C94" s="39">
        <f>資料儲存!E554</f>
        <v>0</v>
      </c>
      <c r="D94" s="39">
        <f>資料儲存!F554</f>
        <v>0</v>
      </c>
      <c r="E94" s="39">
        <f>資料儲存!G554</f>
        <v>0</v>
      </c>
      <c r="F94" s="39">
        <f>資料儲存!H554</f>
        <v>0</v>
      </c>
      <c r="G94" s="39">
        <f>資料儲存!I554</f>
        <v>0</v>
      </c>
      <c r="H94" s="39">
        <f>資料儲存!J554</f>
        <v>0</v>
      </c>
      <c r="I94" s="35"/>
      <c r="J94" s="38">
        <v>13</v>
      </c>
      <c r="K94" s="39">
        <f>資料儲存!D674</f>
        <v>0</v>
      </c>
      <c r="L94" s="39">
        <f>資料儲存!E674</f>
        <v>0</v>
      </c>
      <c r="M94" s="39">
        <f>資料儲存!F674</f>
        <v>0</v>
      </c>
      <c r="N94" s="39">
        <f>資料儲存!G674</f>
        <v>0</v>
      </c>
      <c r="O94" s="39">
        <f>資料儲存!H674</f>
        <v>0</v>
      </c>
      <c r="P94" s="39">
        <f>資料儲存!I674</f>
        <v>0</v>
      </c>
      <c r="Q94" s="39">
        <f>資料儲存!J674</f>
        <v>0</v>
      </c>
      <c r="R94" s="35"/>
      <c r="S94" s="38">
        <v>13</v>
      </c>
      <c r="T94" s="39">
        <f>資料儲存!D794</f>
        <v>0</v>
      </c>
      <c r="U94" s="39">
        <f>資料儲存!E794</f>
        <v>0</v>
      </c>
      <c r="V94" s="39">
        <f>資料儲存!F794</f>
        <v>0</v>
      </c>
      <c r="W94" s="39">
        <f>資料儲存!G794</f>
        <v>0</v>
      </c>
      <c r="X94" s="39">
        <f>資料儲存!H794</f>
        <v>0</v>
      </c>
      <c r="Y94" s="39">
        <f>資料儲存!I794</f>
        <v>0</v>
      </c>
      <c r="Z94" s="39">
        <f>資料儲存!J794</f>
        <v>0</v>
      </c>
      <c r="AA94" s="35"/>
      <c r="AB94" s="38">
        <v>13</v>
      </c>
      <c r="AC94" s="39">
        <f>資料儲存!D914</f>
        <v>0</v>
      </c>
      <c r="AD94" s="39">
        <f>資料儲存!E914</f>
        <v>0</v>
      </c>
      <c r="AE94" s="39">
        <f>資料儲存!F914</f>
        <v>0</v>
      </c>
      <c r="AF94" s="39">
        <f>資料儲存!G914</f>
        <v>0</v>
      </c>
      <c r="AG94" s="39">
        <f>資料儲存!H914</f>
        <v>0</v>
      </c>
      <c r="AH94" s="39">
        <f>資料儲存!I914</f>
        <v>0</v>
      </c>
      <c r="AI94" s="39">
        <f>資料儲存!J914</f>
        <v>0</v>
      </c>
      <c r="AJ94" s="13"/>
    </row>
    <row r="95" spans="1:36" ht="16" thickBot="1">
      <c r="A95" s="38">
        <v>14</v>
      </c>
      <c r="B95" s="39">
        <f>資料儲存!D555</f>
        <v>0</v>
      </c>
      <c r="C95" s="39">
        <f>資料儲存!E555</f>
        <v>0</v>
      </c>
      <c r="D95" s="39">
        <f>資料儲存!F555</f>
        <v>0</v>
      </c>
      <c r="E95" s="39">
        <f>資料儲存!G555</f>
        <v>0</v>
      </c>
      <c r="F95" s="39">
        <f>資料儲存!H555</f>
        <v>0</v>
      </c>
      <c r="G95" s="39">
        <f>資料儲存!I555</f>
        <v>0</v>
      </c>
      <c r="H95" s="39">
        <f>資料儲存!J555</f>
        <v>0</v>
      </c>
      <c r="I95" s="35"/>
      <c r="J95" s="38">
        <v>14</v>
      </c>
      <c r="K95" s="39">
        <f>資料儲存!D675</f>
        <v>0</v>
      </c>
      <c r="L95" s="39">
        <f>資料儲存!E675</f>
        <v>0</v>
      </c>
      <c r="M95" s="39">
        <f>資料儲存!F675</f>
        <v>0</v>
      </c>
      <c r="N95" s="39">
        <f>資料儲存!G675</f>
        <v>0</v>
      </c>
      <c r="O95" s="39">
        <f>資料儲存!H675</f>
        <v>0</v>
      </c>
      <c r="P95" s="39">
        <f>資料儲存!I675</f>
        <v>0</v>
      </c>
      <c r="Q95" s="39">
        <f>資料儲存!J675</f>
        <v>0</v>
      </c>
      <c r="R95" s="35"/>
      <c r="S95" s="38">
        <v>14</v>
      </c>
      <c r="T95" s="39">
        <f>資料儲存!D795</f>
        <v>0</v>
      </c>
      <c r="U95" s="39">
        <f>資料儲存!E795</f>
        <v>0</v>
      </c>
      <c r="V95" s="39">
        <f>資料儲存!F795</f>
        <v>0</v>
      </c>
      <c r="W95" s="39">
        <f>資料儲存!G795</f>
        <v>0</v>
      </c>
      <c r="X95" s="39">
        <f>資料儲存!H795</f>
        <v>0</v>
      </c>
      <c r="Y95" s="39">
        <f>資料儲存!I795</f>
        <v>0</v>
      </c>
      <c r="Z95" s="39">
        <f>資料儲存!J795</f>
        <v>0</v>
      </c>
      <c r="AA95" s="35"/>
      <c r="AB95" s="38">
        <v>14</v>
      </c>
      <c r="AC95" s="39">
        <f>資料儲存!D915</f>
        <v>0</v>
      </c>
      <c r="AD95" s="39">
        <f>資料儲存!E915</f>
        <v>0</v>
      </c>
      <c r="AE95" s="39">
        <f>資料儲存!F915</f>
        <v>0</v>
      </c>
      <c r="AF95" s="39">
        <f>資料儲存!G915</f>
        <v>0</v>
      </c>
      <c r="AG95" s="39">
        <f>資料儲存!H915</f>
        <v>0</v>
      </c>
      <c r="AH95" s="39">
        <f>資料儲存!I915</f>
        <v>0</v>
      </c>
      <c r="AI95" s="39">
        <f>資料儲存!J915</f>
        <v>0</v>
      </c>
      <c r="AJ95" s="13"/>
    </row>
    <row r="96" spans="1:36" ht="16" thickBot="1">
      <c r="A96" s="38">
        <v>15</v>
      </c>
      <c r="B96" s="39">
        <f>資料儲存!D556</f>
        <v>0</v>
      </c>
      <c r="C96" s="39">
        <f>資料儲存!E556</f>
        <v>0</v>
      </c>
      <c r="D96" s="39">
        <f>資料儲存!F556</f>
        <v>0</v>
      </c>
      <c r="E96" s="39">
        <f>資料儲存!G556</f>
        <v>0</v>
      </c>
      <c r="F96" s="39">
        <f>資料儲存!H556</f>
        <v>0</v>
      </c>
      <c r="G96" s="39">
        <f>資料儲存!I556</f>
        <v>0</v>
      </c>
      <c r="H96" s="39">
        <f>資料儲存!J556</f>
        <v>0</v>
      </c>
      <c r="I96" s="35"/>
      <c r="J96" s="38">
        <v>15</v>
      </c>
      <c r="K96" s="39">
        <f>資料儲存!D676</f>
        <v>0</v>
      </c>
      <c r="L96" s="39">
        <f>資料儲存!E676</f>
        <v>0</v>
      </c>
      <c r="M96" s="39">
        <f>資料儲存!F676</f>
        <v>0</v>
      </c>
      <c r="N96" s="39">
        <f>資料儲存!G676</f>
        <v>0</v>
      </c>
      <c r="O96" s="39">
        <f>資料儲存!H676</f>
        <v>0</v>
      </c>
      <c r="P96" s="39">
        <f>資料儲存!I676</f>
        <v>0</v>
      </c>
      <c r="Q96" s="39">
        <f>資料儲存!J676</f>
        <v>0</v>
      </c>
      <c r="R96" s="35"/>
      <c r="S96" s="38">
        <v>15</v>
      </c>
      <c r="T96" s="39">
        <f>資料儲存!D796</f>
        <v>0</v>
      </c>
      <c r="U96" s="39">
        <f>資料儲存!E796</f>
        <v>0</v>
      </c>
      <c r="V96" s="39">
        <f>資料儲存!F796</f>
        <v>0</v>
      </c>
      <c r="W96" s="39">
        <f>資料儲存!G796</f>
        <v>0</v>
      </c>
      <c r="X96" s="39">
        <f>資料儲存!H796</f>
        <v>0</v>
      </c>
      <c r="Y96" s="39">
        <f>資料儲存!I796</f>
        <v>0</v>
      </c>
      <c r="Z96" s="39">
        <f>資料儲存!J796</f>
        <v>0</v>
      </c>
      <c r="AA96" s="35"/>
      <c r="AB96" s="38">
        <v>15</v>
      </c>
      <c r="AC96" s="39">
        <f>資料儲存!D916</f>
        <v>0</v>
      </c>
      <c r="AD96" s="39">
        <f>資料儲存!E916</f>
        <v>0</v>
      </c>
      <c r="AE96" s="39">
        <f>資料儲存!F916</f>
        <v>0</v>
      </c>
      <c r="AF96" s="39">
        <f>資料儲存!G916</f>
        <v>0</v>
      </c>
      <c r="AG96" s="39">
        <f>資料儲存!H916</f>
        <v>0</v>
      </c>
      <c r="AH96" s="39">
        <f>資料儲存!I916</f>
        <v>0</v>
      </c>
      <c r="AI96" s="39">
        <f>資料儲存!J916</f>
        <v>0</v>
      </c>
      <c r="AJ96" s="13"/>
    </row>
    <row r="97" spans="1:36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13"/>
    </row>
    <row r="98" spans="1:36" ht="18.5" thickBot="1">
      <c r="A98" s="250" t="s">
        <v>65</v>
      </c>
      <c r="B98" s="251"/>
      <c r="C98" s="251"/>
      <c r="D98" s="251"/>
      <c r="E98" s="251"/>
      <c r="F98" s="251"/>
      <c r="G98" s="251"/>
      <c r="H98" s="252"/>
      <c r="I98" s="13"/>
      <c r="J98" s="250" t="s">
        <v>65</v>
      </c>
      <c r="K98" s="251"/>
      <c r="L98" s="251"/>
      <c r="M98" s="251"/>
      <c r="N98" s="251"/>
      <c r="O98" s="251"/>
      <c r="P98" s="251"/>
      <c r="Q98" s="252"/>
      <c r="R98" s="13"/>
      <c r="S98" s="250" t="s">
        <v>65</v>
      </c>
      <c r="T98" s="251"/>
      <c r="U98" s="251"/>
      <c r="V98" s="251"/>
      <c r="W98" s="251"/>
      <c r="X98" s="251"/>
      <c r="Y98" s="251"/>
      <c r="Z98" s="252"/>
      <c r="AA98" s="13"/>
      <c r="AB98" s="250" t="s">
        <v>65</v>
      </c>
      <c r="AC98" s="251"/>
      <c r="AD98" s="251"/>
      <c r="AE98" s="251"/>
      <c r="AF98" s="251"/>
      <c r="AG98" s="251"/>
      <c r="AH98" s="251"/>
      <c r="AI98" s="252"/>
      <c r="AJ98" s="13"/>
    </row>
    <row r="99" spans="1:36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</row>
    <row r="100" spans="1:36" ht="16" thickBot="1">
      <c r="A100" s="46" t="s">
        <v>66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 t="s">
        <v>66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 t="s">
        <v>66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 t="s">
        <v>66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</row>
    <row r="101" spans="1:36" ht="16" thickBot="1">
      <c r="A101" s="48">
        <v>16</v>
      </c>
      <c r="B101" s="49">
        <f>資料儲存!D557</f>
        <v>0</v>
      </c>
      <c r="C101" s="49">
        <f>資料儲存!E557</f>
        <v>0</v>
      </c>
      <c r="D101" s="49">
        <f>資料儲存!F557</f>
        <v>0</v>
      </c>
      <c r="E101" s="49">
        <f>資料儲存!G557</f>
        <v>0</v>
      </c>
      <c r="F101" s="49">
        <f>資料儲存!H557</f>
        <v>0</v>
      </c>
      <c r="G101" s="49">
        <f>資料儲存!I557</f>
        <v>0</v>
      </c>
      <c r="H101" s="49">
        <f>資料儲存!J557</f>
        <v>0</v>
      </c>
      <c r="I101" s="49"/>
      <c r="J101" s="48">
        <v>16</v>
      </c>
      <c r="K101" s="49">
        <f>資料儲存!D677</f>
        <v>0</v>
      </c>
      <c r="L101" s="49">
        <f>資料儲存!E677</f>
        <v>0</v>
      </c>
      <c r="M101" s="49">
        <f>資料儲存!F677</f>
        <v>0</v>
      </c>
      <c r="N101" s="49">
        <f>資料儲存!G677</f>
        <v>0</v>
      </c>
      <c r="O101" s="49">
        <f>資料儲存!H677</f>
        <v>0</v>
      </c>
      <c r="P101" s="49">
        <f>資料儲存!I677</f>
        <v>0</v>
      </c>
      <c r="Q101" s="49">
        <f>資料儲存!J677</f>
        <v>0</v>
      </c>
      <c r="R101" s="45"/>
      <c r="S101" s="48">
        <v>16</v>
      </c>
      <c r="T101" s="49">
        <f>資料儲存!D797</f>
        <v>0</v>
      </c>
      <c r="U101" s="49">
        <f>資料儲存!E797</f>
        <v>0</v>
      </c>
      <c r="V101" s="49">
        <f>資料儲存!F797</f>
        <v>0</v>
      </c>
      <c r="W101" s="49">
        <f>資料儲存!G797</f>
        <v>0</v>
      </c>
      <c r="X101" s="49">
        <f>資料儲存!H797</f>
        <v>0</v>
      </c>
      <c r="Y101" s="49">
        <f>資料儲存!I797</f>
        <v>0</v>
      </c>
      <c r="Z101" s="49">
        <f>資料儲存!J797</f>
        <v>0</v>
      </c>
      <c r="AA101" s="45"/>
      <c r="AB101" s="48">
        <v>16</v>
      </c>
      <c r="AC101" s="49">
        <f>資料儲存!D917</f>
        <v>0</v>
      </c>
      <c r="AD101" s="49">
        <f>資料儲存!E917</f>
        <v>0</v>
      </c>
      <c r="AE101" s="49">
        <f>資料儲存!F917</f>
        <v>0</v>
      </c>
      <c r="AF101" s="49">
        <f>資料儲存!G917</f>
        <v>0</v>
      </c>
      <c r="AG101" s="49">
        <f>資料儲存!H917</f>
        <v>0</v>
      </c>
      <c r="AH101" s="49">
        <f>資料儲存!I917</f>
        <v>0</v>
      </c>
      <c r="AI101" s="49">
        <f>資料儲存!J917</f>
        <v>0</v>
      </c>
      <c r="AJ101" s="13"/>
    </row>
    <row r="102" spans="1:36" ht="16" thickBot="1">
      <c r="A102" s="48">
        <v>17</v>
      </c>
      <c r="B102" s="49">
        <f>資料儲存!D558</f>
        <v>0</v>
      </c>
      <c r="C102" s="49">
        <f>資料儲存!E558</f>
        <v>0</v>
      </c>
      <c r="D102" s="49">
        <f>資料儲存!F558</f>
        <v>0</v>
      </c>
      <c r="E102" s="49">
        <f>資料儲存!G558</f>
        <v>0</v>
      </c>
      <c r="F102" s="49">
        <f>資料儲存!H558</f>
        <v>0</v>
      </c>
      <c r="G102" s="49">
        <f>資料儲存!I558</f>
        <v>0</v>
      </c>
      <c r="H102" s="49">
        <f>資料儲存!J558</f>
        <v>0</v>
      </c>
      <c r="I102" s="45"/>
      <c r="J102" s="48">
        <v>17</v>
      </c>
      <c r="K102" s="49">
        <f>資料儲存!D678</f>
        <v>0</v>
      </c>
      <c r="L102" s="49">
        <f>資料儲存!E678</f>
        <v>0</v>
      </c>
      <c r="M102" s="49">
        <f>資料儲存!F678</f>
        <v>0</v>
      </c>
      <c r="N102" s="49">
        <f>資料儲存!G678</f>
        <v>0</v>
      </c>
      <c r="O102" s="49">
        <f>資料儲存!H678</f>
        <v>0</v>
      </c>
      <c r="P102" s="49">
        <f>資料儲存!I678</f>
        <v>0</v>
      </c>
      <c r="Q102" s="49">
        <f>資料儲存!J678</f>
        <v>0</v>
      </c>
      <c r="R102" s="45"/>
      <c r="S102" s="48">
        <v>17</v>
      </c>
      <c r="T102" s="49">
        <f>資料儲存!D798</f>
        <v>0</v>
      </c>
      <c r="U102" s="49">
        <f>資料儲存!E798</f>
        <v>0</v>
      </c>
      <c r="V102" s="49">
        <f>資料儲存!F798</f>
        <v>0</v>
      </c>
      <c r="W102" s="49">
        <f>資料儲存!G798</f>
        <v>0</v>
      </c>
      <c r="X102" s="49">
        <f>資料儲存!H798</f>
        <v>0</v>
      </c>
      <c r="Y102" s="49">
        <f>資料儲存!I798</f>
        <v>0</v>
      </c>
      <c r="Z102" s="49">
        <f>資料儲存!J798</f>
        <v>0</v>
      </c>
      <c r="AA102" s="45"/>
      <c r="AB102" s="48">
        <v>17</v>
      </c>
      <c r="AC102" s="49">
        <f>資料儲存!D918</f>
        <v>0</v>
      </c>
      <c r="AD102" s="49">
        <f>資料儲存!E918</f>
        <v>0</v>
      </c>
      <c r="AE102" s="49">
        <f>資料儲存!F918</f>
        <v>0</v>
      </c>
      <c r="AF102" s="49">
        <f>資料儲存!G918</f>
        <v>0</v>
      </c>
      <c r="AG102" s="49">
        <f>資料儲存!H918</f>
        <v>0</v>
      </c>
      <c r="AH102" s="49">
        <f>資料儲存!I918</f>
        <v>0</v>
      </c>
      <c r="AI102" s="49">
        <f>資料儲存!J918</f>
        <v>0</v>
      </c>
      <c r="AJ102" s="13"/>
    </row>
    <row r="103" spans="1:36" ht="16" thickBot="1">
      <c r="A103" s="48">
        <v>18</v>
      </c>
      <c r="B103" s="49">
        <f>資料儲存!D559</f>
        <v>0</v>
      </c>
      <c r="C103" s="49">
        <f>資料儲存!E559</f>
        <v>0</v>
      </c>
      <c r="D103" s="49">
        <f>資料儲存!F559</f>
        <v>0</v>
      </c>
      <c r="E103" s="49">
        <f>資料儲存!G559</f>
        <v>0</v>
      </c>
      <c r="F103" s="49">
        <f>資料儲存!H559</f>
        <v>0</v>
      </c>
      <c r="G103" s="49">
        <f>資料儲存!I559</f>
        <v>0</v>
      </c>
      <c r="H103" s="49">
        <f>資料儲存!J559</f>
        <v>0</v>
      </c>
      <c r="I103" s="45"/>
      <c r="J103" s="48">
        <v>18</v>
      </c>
      <c r="K103" s="49">
        <f>資料儲存!D679</f>
        <v>0</v>
      </c>
      <c r="L103" s="49">
        <f>資料儲存!E679</f>
        <v>0</v>
      </c>
      <c r="M103" s="49">
        <f>資料儲存!F679</f>
        <v>0</v>
      </c>
      <c r="N103" s="49">
        <f>資料儲存!G679</f>
        <v>0</v>
      </c>
      <c r="O103" s="49">
        <f>資料儲存!H679</f>
        <v>0</v>
      </c>
      <c r="P103" s="49">
        <f>資料儲存!I679</f>
        <v>0</v>
      </c>
      <c r="Q103" s="49">
        <f>資料儲存!J679</f>
        <v>0</v>
      </c>
      <c r="R103" s="45"/>
      <c r="S103" s="48">
        <v>18</v>
      </c>
      <c r="T103" s="49">
        <f>資料儲存!D799</f>
        <v>0</v>
      </c>
      <c r="U103" s="49">
        <f>資料儲存!E799</f>
        <v>0</v>
      </c>
      <c r="V103" s="49">
        <f>資料儲存!F799</f>
        <v>0</v>
      </c>
      <c r="W103" s="49">
        <f>資料儲存!G799</f>
        <v>0</v>
      </c>
      <c r="X103" s="49">
        <f>資料儲存!H799</f>
        <v>0</v>
      </c>
      <c r="Y103" s="49">
        <f>資料儲存!I799</f>
        <v>0</v>
      </c>
      <c r="Z103" s="49">
        <f>資料儲存!J799</f>
        <v>0</v>
      </c>
      <c r="AA103" s="45"/>
      <c r="AB103" s="48">
        <v>18</v>
      </c>
      <c r="AC103" s="49">
        <f>資料儲存!D919</f>
        <v>0</v>
      </c>
      <c r="AD103" s="49">
        <f>資料儲存!E919</f>
        <v>0</v>
      </c>
      <c r="AE103" s="49">
        <f>資料儲存!F919</f>
        <v>0</v>
      </c>
      <c r="AF103" s="49">
        <f>資料儲存!G919</f>
        <v>0</v>
      </c>
      <c r="AG103" s="49">
        <f>資料儲存!H919</f>
        <v>0</v>
      </c>
      <c r="AH103" s="49">
        <f>資料儲存!I919</f>
        <v>0</v>
      </c>
      <c r="AI103" s="49">
        <f>資料儲存!J919</f>
        <v>0</v>
      </c>
      <c r="AJ103" s="13"/>
    </row>
    <row r="104" spans="1:36" ht="16" thickBot="1">
      <c r="A104" s="48">
        <v>19</v>
      </c>
      <c r="B104" s="49">
        <f>資料儲存!D560</f>
        <v>0</v>
      </c>
      <c r="C104" s="49">
        <f>資料儲存!E560</f>
        <v>0</v>
      </c>
      <c r="D104" s="49">
        <f>資料儲存!F560</f>
        <v>0</v>
      </c>
      <c r="E104" s="49">
        <f>資料儲存!G560</f>
        <v>0</v>
      </c>
      <c r="F104" s="49">
        <f>資料儲存!H560</f>
        <v>0</v>
      </c>
      <c r="G104" s="49">
        <f>資料儲存!I560</f>
        <v>0</v>
      </c>
      <c r="H104" s="49">
        <f>資料儲存!J560</f>
        <v>0</v>
      </c>
      <c r="I104" s="45"/>
      <c r="J104" s="48">
        <v>19</v>
      </c>
      <c r="K104" s="49">
        <f>資料儲存!D680</f>
        <v>0</v>
      </c>
      <c r="L104" s="49">
        <f>資料儲存!E680</f>
        <v>0</v>
      </c>
      <c r="M104" s="49">
        <f>資料儲存!F680</f>
        <v>0</v>
      </c>
      <c r="N104" s="49">
        <f>資料儲存!G680</f>
        <v>0</v>
      </c>
      <c r="O104" s="49">
        <f>資料儲存!H680</f>
        <v>0</v>
      </c>
      <c r="P104" s="49">
        <f>資料儲存!I680</f>
        <v>0</v>
      </c>
      <c r="Q104" s="49">
        <f>資料儲存!J680</f>
        <v>0</v>
      </c>
      <c r="R104" s="45"/>
      <c r="S104" s="48">
        <v>19</v>
      </c>
      <c r="T104" s="49">
        <f>資料儲存!D800</f>
        <v>0</v>
      </c>
      <c r="U104" s="49">
        <f>資料儲存!E800</f>
        <v>0</v>
      </c>
      <c r="V104" s="49">
        <f>資料儲存!F800</f>
        <v>0</v>
      </c>
      <c r="W104" s="49">
        <f>資料儲存!G800</f>
        <v>0</v>
      </c>
      <c r="X104" s="49">
        <f>資料儲存!H800</f>
        <v>0</v>
      </c>
      <c r="Y104" s="49">
        <f>資料儲存!I800</f>
        <v>0</v>
      </c>
      <c r="Z104" s="49">
        <f>資料儲存!J800</f>
        <v>0</v>
      </c>
      <c r="AA104" s="45"/>
      <c r="AB104" s="48">
        <v>19</v>
      </c>
      <c r="AC104" s="49">
        <f>資料儲存!D920</f>
        <v>0</v>
      </c>
      <c r="AD104" s="49">
        <f>資料儲存!E920</f>
        <v>0</v>
      </c>
      <c r="AE104" s="49">
        <f>資料儲存!F920</f>
        <v>0</v>
      </c>
      <c r="AF104" s="49">
        <f>資料儲存!G920</f>
        <v>0</v>
      </c>
      <c r="AG104" s="49">
        <f>資料儲存!H920</f>
        <v>0</v>
      </c>
      <c r="AH104" s="49">
        <f>資料儲存!I920</f>
        <v>0</v>
      </c>
      <c r="AI104" s="49">
        <f>資料儲存!J920</f>
        <v>0</v>
      </c>
      <c r="AJ104" s="13"/>
    </row>
    <row r="105" spans="1:36" ht="16" thickBot="1">
      <c r="A105" s="48">
        <v>20</v>
      </c>
      <c r="B105" s="49">
        <f>資料儲存!D561</f>
        <v>0</v>
      </c>
      <c r="C105" s="49">
        <f>資料儲存!E561</f>
        <v>0</v>
      </c>
      <c r="D105" s="49">
        <f>資料儲存!F561</f>
        <v>0</v>
      </c>
      <c r="E105" s="49">
        <f>資料儲存!G561</f>
        <v>0</v>
      </c>
      <c r="F105" s="49">
        <f>資料儲存!H561</f>
        <v>0</v>
      </c>
      <c r="G105" s="49">
        <f>資料儲存!I561</f>
        <v>0</v>
      </c>
      <c r="H105" s="49">
        <f>資料儲存!J561</f>
        <v>0</v>
      </c>
      <c r="I105" s="45"/>
      <c r="J105" s="48">
        <v>20</v>
      </c>
      <c r="K105" s="49">
        <f>資料儲存!D681</f>
        <v>0</v>
      </c>
      <c r="L105" s="49">
        <f>資料儲存!E681</f>
        <v>0</v>
      </c>
      <c r="M105" s="49">
        <f>資料儲存!F681</f>
        <v>0</v>
      </c>
      <c r="N105" s="49">
        <f>資料儲存!G681</f>
        <v>0</v>
      </c>
      <c r="O105" s="49">
        <f>資料儲存!H681</f>
        <v>0</v>
      </c>
      <c r="P105" s="49">
        <f>資料儲存!I681</f>
        <v>0</v>
      </c>
      <c r="Q105" s="49">
        <f>資料儲存!J681</f>
        <v>0</v>
      </c>
      <c r="R105" s="45"/>
      <c r="S105" s="48">
        <v>20</v>
      </c>
      <c r="T105" s="49">
        <f>資料儲存!D801</f>
        <v>0</v>
      </c>
      <c r="U105" s="49">
        <f>資料儲存!E801</f>
        <v>0</v>
      </c>
      <c r="V105" s="49">
        <f>資料儲存!F801</f>
        <v>0</v>
      </c>
      <c r="W105" s="49">
        <f>資料儲存!G801</f>
        <v>0</v>
      </c>
      <c r="X105" s="49">
        <f>資料儲存!H801</f>
        <v>0</v>
      </c>
      <c r="Y105" s="49">
        <f>資料儲存!I801</f>
        <v>0</v>
      </c>
      <c r="Z105" s="49">
        <f>資料儲存!J801</f>
        <v>0</v>
      </c>
      <c r="AA105" s="45"/>
      <c r="AB105" s="48">
        <v>20</v>
      </c>
      <c r="AC105" s="49">
        <f>資料儲存!D921</f>
        <v>0</v>
      </c>
      <c r="AD105" s="49">
        <f>資料儲存!E921</f>
        <v>0</v>
      </c>
      <c r="AE105" s="49">
        <f>資料儲存!F921</f>
        <v>0</v>
      </c>
      <c r="AF105" s="49">
        <f>資料儲存!G921</f>
        <v>0</v>
      </c>
      <c r="AG105" s="49">
        <f>資料儲存!H921</f>
        <v>0</v>
      </c>
      <c r="AH105" s="49">
        <f>資料儲存!I921</f>
        <v>0</v>
      </c>
      <c r="AI105" s="49">
        <f>資料儲存!J921</f>
        <v>0</v>
      </c>
      <c r="AJ105" s="13"/>
    </row>
    <row r="106" spans="1:36" ht="16" thickBot="1">
      <c r="A106" s="48">
        <v>21</v>
      </c>
      <c r="B106" s="49">
        <f>資料儲存!D562</f>
        <v>0</v>
      </c>
      <c r="C106" s="49">
        <f>資料儲存!E562</f>
        <v>0</v>
      </c>
      <c r="D106" s="49">
        <f>資料儲存!F562</f>
        <v>0</v>
      </c>
      <c r="E106" s="49">
        <f>資料儲存!G562</f>
        <v>0</v>
      </c>
      <c r="F106" s="49">
        <f>資料儲存!H562</f>
        <v>0</v>
      </c>
      <c r="G106" s="49">
        <f>資料儲存!I562</f>
        <v>0</v>
      </c>
      <c r="H106" s="49">
        <f>資料儲存!J562</f>
        <v>0</v>
      </c>
      <c r="I106" s="45"/>
      <c r="J106" s="48">
        <v>21</v>
      </c>
      <c r="K106" s="49">
        <f>資料儲存!D682</f>
        <v>0</v>
      </c>
      <c r="L106" s="49">
        <f>資料儲存!E682</f>
        <v>0</v>
      </c>
      <c r="M106" s="49">
        <f>資料儲存!F682</f>
        <v>0</v>
      </c>
      <c r="N106" s="49">
        <f>資料儲存!G682</f>
        <v>0</v>
      </c>
      <c r="O106" s="49">
        <f>資料儲存!H682</f>
        <v>0</v>
      </c>
      <c r="P106" s="49">
        <f>資料儲存!I682</f>
        <v>0</v>
      </c>
      <c r="Q106" s="49">
        <f>資料儲存!J682</f>
        <v>0</v>
      </c>
      <c r="R106" s="45"/>
      <c r="S106" s="48">
        <v>21</v>
      </c>
      <c r="T106" s="49">
        <f>資料儲存!D802</f>
        <v>0</v>
      </c>
      <c r="U106" s="49">
        <f>資料儲存!E802</f>
        <v>0</v>
      </c>
      <c r="V106" s="49">
        <f>資料儲存!F802</f>
        <v>0</v>
      </c>
      <c r="W106" s="49">
        <f>資料儲存!G802</f>
        <v>0</v>
      </c>
      <c r="X106" s="49">
        <f>資料儲存!H802</f>
        <v>0</v>
      </c>
      <c r="Y106" s="49">
        <f>資料儲存!I802</f>
        <v>0</v>
      </c>
      <c r="Z106" s="49">
        <f>資料儲存!J802</f>
        <v>0</v>
      </c>
      <c r="AA106" s="45"/>
      <c r="AB106" s="48">
        <v>21</v>
      </c>
      <c r="AC106" s="49">
        <f>資料儲存!D922</f>
        <v>0</v>
      </c>
      <c r="AD106" s="49">
        <f>資料儲存!E922</f>
        <v>0</v>
      </c>
      <c r="AE106" s="49">
        <f>資料儲存!F922</f>
        <v>0</v>
      </c>
      <c r="AF106" s="49">
        <f>資料儲存!G922</f>
        <v>0</v>
      </c>
      <c r="AG106" s="49">
        <f>資料儲存!H922</f>
        <v>0</v>
      </c>
      <c r="AH106" s="49">
        <f>資料儲存!I922</f>
        <v>0</v>
      </c>
      <c r="AI106" s="49">
        <f>資料儲存!J922</f>
        <v>0</v>
      </c>
      <c r="AJ106" s="13"/>
    </row>
    <row r="107" spans="1:36" ht="16" thickBot="1">
      <c r="A107" s="48">
        <v>22</v>
      </c>
      <c r="B107" s="49">
        <f>資料儲存!D563</f>
        <v>0</v>
      </c>
      <c r="C107" s="49">
        <f>資料儲存!E563</f>
        <v>0</v>
      </c>
      <c r="D107" s="49">
        <f>資料儲存!F563</f>
        <v>0</v>
      </c>
      <c r="E107" s="49">
        <f>資料儲存!G563</f>
        <v>0</v>
      </c>
      <c r="F107" s="49">
        <f>資料儲存!H563</f>
        <v>0</v>
      </c>
      <c r="G107" s="49">
        <f>資料儲存!I563</f>
        <v>0</v>
      </c>
      <c r="H107" s="49">
        <f>資料儲存!J563</f>
        <v>0</v>
      </c>
      <c r="I107" s="45"/>
      <c r="J107" s="48">
        <v>22</v>
      </c>
      <c r="K107" s="49">
        <f>資料儲存!D683</f>
        <v>0</v>
      </c>
      <c r="L107" s="49">
        <f>資料儲存!E683</f>
        <v>0</v>
      </c>
      <c r="M107" s="49">
        <f>資料儲存!F683</f>
        <v>0</v>
      </c>
      <c r="N107" s="49">
        <f>資料儲存!G683</f>
        <v>0</v>
      </c>
      <c r="O107" s="49">
        <f>資料儲存!H683</f>
        <v>0</v>
      </c>
      <c r="P107" s="49">
        <f>資料儲存!I683</f>
        <v>0</v>
      </c>
      <c r="Q107" s="49">
        <f>資料儲存!J683</f>
        <v>0</v>
      </c>
      <c r="R107" s="45"/>
      <c r="S107" s="48">
        <v>22</v>
      </c>
      <c r="T107" s="49">
        <f>資料儲存!D803</f>
        <v>0</v>
      </c>
      <c r="U107" s="49">
        <f>資料儲存!E803</f>
        <v>0</v>
      </c>
      <c r="V107" s="49">
        <f>資料儲存!F803</f>
        <v>0</v>
      </c>
      <c r="W107" s="49">
        <f>資料儲存!G803</f>
        <v>0</v>
      </c>
      <c r="X107" s="49">
        <f>資料儲存!H803</f>
        <v>0</v>
      </c>
      <c r="Y107" s="49">
        <f>資料儲存!I803</f>
        <v>0</v>
      </c>
      <c r="Z107" s="49">
        <f>資料儲存!J803</f>
        <v>0</v>
      </c>
      <c r="AA107" s="45"/>
      <c r="AB107" s="48">
        <v>22</v>
      </c>
      <c r="AC107" s="49">
        <f>資料儲存!D923</f>
        <v>0</v>
      </c>
      <c r="AD107" s="49">
        <f>資料儲存!E923</f>
        <v>0</v>
      </c>
      <c r="AE107" s="49">
        <f>資料儲存!F923</f>
        <v>0</v>
      </c>
      <c r="AF107" s="49">
        <f>資料儲存!G923</f>
        <v>0</v>
      </c>
      <c r="AG107" s="49">
        <f>資料儲存!H923</f>
        <v>0</v>
      </c>
      <c r="AH107" s="49">
        <f>資料儲存!I923</f>
        <v>0</v>
      </c>
      <c r="AI107" s="49">
        <f>資料儲存!J923</f>
        <v>0</v>
      </c>
      <c r="AJ107" s="13"/>
    </row>
    <row r="108" spans="1:36" ht="16" thickBot="1">
      <c r="A108" s="48">
        <v>23</v>
      </c>
      <c r="B108" s="49">
        <f>資料儲存!D564</f>
        <v>0</v>
      </c>
      <c r="C108" s="49">
        <f>資料儲存!E564</f>
        <v>0</v>
      </c>
      <c r="D108" s="49">
        <f>資料儲存!F564</f>
        <v>0</v>
      </c>
      <c r="E108" s="49">
        <f>資料儲存!G564</f>
        <v>0</v>
      </c>
      <c r="F108" s="49">
        <f>資料儲存!H564</f>
        <v>0</v>
      </c>
      <c r="G108" s="49">
        <f>資料儲存!I564</f>
        <v>0</v>
      </c>
      <c r="H108" s="49">
        <f>資料儲存!J564</f>
        <v>0</v>
      </c>
      <c r="I108" s="45"/>
      <c r="J108" s="48">
        <v>23</v>
      </c>
      <c r="K108" s="49">
        <f>資料儲存!D684</f>
        <v>0</v>
      </c>
      <c r="L108" s="49">
        <f>資料儲存!E684</f>
        <v>0</v>
      </c>
      <c r="M108" s="49">
        <f>資料儲存!F684</f>
        <v>0</v>
      </c>
      <c r="N108" s="49">
        <f>資料儲存!G684</f>
        <v>0</v>
      </c>
      <c r="O108" s="49">
        <f>資料儲存!H684</f>
        <v>0</v>
      </c>
      <c r="P108" s="49">
        <f>資料儲存!I684</f>
        <v>0</v>
      </c>
      <c r="Q108" s="49">
        <f>資料儲存!J684</f>
        <v>0</v>
      </c>
      <c r="R108" s="45"/>
      <c r="S108" s="48">
        <v>23</v>
      </c>
      <c r="T108" s="49">
        <f>資料儲存!D804</f>
        <v>0</v>
      </c>
      <c r="U108" s="49">
        <f>資料儲存!E804</f>
        <v>0</v>
      </c>
      <c r="V108" s="49">
        <f>資料儲存!F804</f>
        <v>0</v>
      </c>
      <c r="W108" s="49">
        <f>資料儲存!G804</f>
        <v>0</v>
      </c>
      <c r="X108" s="49">
        <f>資料儲存!H804</f>
        <v>0</v>
      </c>
      <c r="Y108" s="49">
        <f>資料儲存!I804</f>
        <v>0</v>
      </c>
      <c r="Z108" s="49">
        <f>資料儲存!J804</f>
        <v>0</v>
      </c>
      <c r="AA108" s="45"/>
      <c r="AB108" s="48">
        <v>23</v>
      </c>
      <c r="AC108" s="49">
        <f>資料儲存!D924</f>
        <v>0</v>
      </c>
      <c r="AD108" s="49">
        <f>資料儲存!E924</f>
        <v>0</v>
      </c>
      <c r="AE108" s="49">
        <f>資料儲存!F924</f>
        <v>0</v>
      </c>
      <c r="AF108" s="49">
        <f>資料儲存!G924</f>
        <v>0</v>
      </c>
      <c r="AG108" s="49">
        <f>資料儲存!H924</f>
        <v>0</v>
      </c>
      <c r="AH108" s="49">
        <f>資料儲存!I924</f>
        <v>0</v>
      </c>
      <c r="AI108" s="49">
        <f>資料儲存!J924</f>
        <v>0</v>
      </c>
      <c r="AJ108" s="13"/>
    </row>
    <row r="109" spans="1:36" ht="16" thickBot="1">
      <c r="A109" s="48">
        <v>24</v>
      </c>
      <c r="B109" s="49">
        <f>資料儲存!D565</f>
        <v>0</v>
      </c>
      <c r="C109" s="49">
        <f>資料儲存!E565</f>
        <v>0</v>
      </c>
      <c r="D109" s="49">
        <f>資料儲存!F565</f>
        <v>0</v>
      </c>
      <c r="E109" s="49">
        <f>資料儲存!G565</f>
        <v>0</v>
      </c>
      <c r="F109" s="49">
        <f>資料儲存!H565</f>
        <v>0</v>
      </c>
      <c r="G109" s="49">
        <f>資料儲存!I565</f>
        <v>0</v>
      </c>
      <c r="H109" s="49">
        <f>資料儲存!J565</f>
        <v>0</v>
      </c>
      <c r="I109" s="45"/>
      <c r="J109" s="48">
        <v>24</v>
      </c>
      <c r="K109" s="49">
        <f>資料儲存!D685</f>
        <v>0</v>
      </c>
      <c r="L109" s="49">
        <f>資料儲存!E685</f>
        <v>0</v>
      </c>
      <c r="M109" s="49">
        <f>資料儲存!F685</f>
        <v>0</v>
      </c>
      <c r="N109" s="49">
        <f>資料儲存!G685</f>
        <v>0</v>
      </c>
      <c r="O109" s="49">
        <f>資料儲存!H685</f>
        <v>0</v>
      </c>
      <c r="P109" s="49">
        <f>資料儲存!I685</f>
        <v>0</v>
      </c>
      <c r="Q109" s="49">
        <f>資料儲存!J685</f>
        <v>0</v>
      </c>
      <c r="R109" s="45"/>
      <c r="S109" s="48">
        <v>24</v>
      </c>
      <c r="T109" s="49">
        <f>資料儲存!D805</f>
        <v>0</v>
      </c>
      <c r="U109" s="49">
        <f>資料儲存!E805</f>
        <v>0</v>
      </c>
      <c r="V109" s="49">
        <f>資料儲存!F805</f>
        <v>0</v>
      </c>
      <c r="W109" s="49">
        <f>資料儲存!G805</f>
        <v>0</v>
      </c>
      <c r="X109" s="49">
        <f>資料儲存!H805</f>
        <v>0</v>
      </c>
      <c r="Y109" s="49">
        <f>資料儲存!I805</f>
        <v>0</v>
      </c>
      <c r="Z109" s="49">
        <f>資料儲存!J805</f>
        <v>0</v>
      </c>
      <c r="AA109" s="45"/>
      <c r="AB109" s="48">
        <v>24</v>
      </c>
      <c r="AC109" s="49">
        <f>資料儲存!D925</f>
        <v>0</v>
      </c>
      <c r="AD109" s="49">
        <f>資料儲存!E925</f>
        <v>0</v>
      </c>
      <c r="AE109" s="49">
        <f>資料儲存!F925</f>
        <v>0</v>
      </c>
      <c r="AF109" s="49">
        <f>資料儲存!G925</f>
        <v>0</v>
      </c>
      <c r="AG109" s="49">
        <f>資料儲存!H925</f>
        <v>0</v>
      </c>
      <c r="AH109" s="49">
        <f>資料儲存!I925</f>
        <v>0</v>
      </c>
      <c r="AI109" s="49">
        <f>資料儲存!J925</f>
        <v>0</v>
      </c>
      <c r="AJ109" s="13"/>
    </row>
    <row r="110" spans="1:36" ht="16" thickBot="1">
      <c r="A110" s="48">
        <v>25</v>
      </c>
      <c r="B110" s="49">
        <f>資料儲存!D566</f>
        <v>0</v>
      </c>
      <c r="C110" s="49">
        <f>資料儲存!E566</f>
        <v>0</v>
      </c>
      <c r="D110" s="49">
        <f>資料儲存!F566</f>
        <v>0</v>
      </c>
      <c r="E110" s="49">
        <f>資料儲存!G566</f>
        <v>0</v>
      </c>
      <c r="F110" s="49">
        <f>資料儲存!H566</f>
        <v>0</v>
      </c>
      <c r="G110" s="49">
        <f>資料儲存!I566</f>
        <v>0</v>
      </c>
      <c r="H110" s="49">
        <f>資料儲存!J566</f>
        <v>0</v>
      </c>
      <c r="I110" s="45"/>
      <c r="J110" s="48">
        <v>25</v>
      </c>
      <c r="K110" s="49">
        <f>資料儲存!D686</f>
        <v>0</v>
      </c>
      <c r="L110" s="49">
        <f>資料儲存!E686</f>
        <v>0</v>
      </c>
      <c r="M110" s="49">
        <f>資料儲存!F686</f>
        <v>0</v>
      </c>
      <c r="N110" s="49">
        <f>資料儲存!G686</f>
        <v>0</v>
      </c>
      <c r="O110" s="49">
        <f>資料儲存!H686</f>
        <v>0</v>
      </c>
      <c r="P110" s="49">
        <f>資料儲存!I686</f>
        <v>0</v>
      </c>
      <c r="Q110" s="49">
        <f>資料儲存!J686</f>
        <v>0</v>
      </c>
      <c r="R110" s="45"/>
      <c r="S110" s="48">
        <v>25</v>
      </c>
      <c r="T110" s="49">
        <f>資料儲存!D806</f>
        <v>0</v>
      </c>
      <c r="U110" s="49">
        <f>資料儲存!E806</f>
        <v>0</v>
      </c>
      <c r="V110" s="49">
        <f>資料儲存!F806</f>
        <v>0</v>
      </c>
      <c r="W110" s="49">
        <f>資料儲存!G806</f>
        <v>0</v>
      </c>
      <c r="X110" s="49">
        <f>資料儲存!H806</f>
        <v>0</v>
      </c>
      <c r="Y110" s="49">
        <f>資料儲存!I806</f>
        <v>0</v>
      </c>
      <c r="Z110" s="49">
        <f>資料儲存!J806</f>
        <v>0</v>
      </c>
      <c r="AA110" s="45"/>
      <c r="AB110" s="48">
        <v>25</v>
      </c>
      <c r="AC110" s="49">
        <f>資料儲存!D926</f>
        <v>0</v>
      </c>
      <c r="AD110" s="49">
        <f>資料儲存!E926</f>
        <v>0</v>
      </c>
      <c r="AE110" s="49">
        <f>資料儲存!F926</f>
        <v>0</v>
      </c>
      <c r="AF110" s="49">
        <f>資料儲存!G926</f>
        <v>0</v>
      </c>
      <c r="AG110" s="49">
        <f>資料儲存!H926</f>
        <v>0</v>
      </c>
      <c r="AH110" s="49">
        <f>資料儲存!I926</f>
        <v>0</v>
      </c>
      <c r="AI110" s="49">
        <f>資料儲存!J926</f>
        <v>0</v>
      </c>
      <c r="AJ110" s="13"/>
    </row>
    <row r="111" spans="1:36" ht="16" thickBot="1">
      <c r="A111" s="48">
        <v>26</v>
      </c>
      <c r="B111" s="49">
        <f>資料儲存!D567</f>
        <v>0</v>
      </c>
      <c r="C111" s="49">
        <f>資料儲存!E567</f>
        <v>0</v>
      </c>
      <c r="D111" s="49">
        <f>資料儲存!F567</f>
        <v>0</v>
      </c>
      <c r="E111" s="49">
        <f>資料儲存!G567</f>
        <v>0</v>
      </c>
      <c r="F111" s="49">
        <f>資料儲存!H567</f>
        <v>0</v>
      </c>
      <c r="G111" s="49">
        <f>資料儲存!I567</f>
        <v>0</v>
      </c>
      <c r="H111" s="49">
        <f>資料儲存!J567</f>
        <v>0</v>
      </c>
      <c r="I111" s="45"/>
      <c r="J111" s="48">
        <v>26</v>
      </c>
      <c r="K111" s="49">
        <f>資料儲存!D687</f>
        <v>0</v>
      </c>
      <c r="L111" s="49">
        <f>資料儲存!E687</f>
        <v>0</v>
      </c>
      <c r="M111" s="49">
        <f>資料儲存!F687</f>
        <v>0</v>
      </c>
      <c r="N111" s="49">
        <f>資料儲存!G687</f>
        <v>0</v>
      </c>
      <c r="O111" s="49">
        <f>資料儲存!H687</f>
        <v>0</v>
      </c>
      <c r="P111" s="49">
        <f>資料儲存!I687</f>
        <v>0</v>
      </c>
      <c r="Q111" s="49">
        <f>資料儲存!J687</f>
        <v>0</v>
      </c>
      <c r="R111" s="45"/>
      <c r="S111" s="48">
        <v>26</v>
      </c>
      <c r="T111" s="49">
        <f>資料儲存!D807</f>
        <v>0</v>
      </c>
      <c r="U111" s="49">
        <f>資料儲存!E807</f>
        <v>0</v>
      </c>
      <c r="V111" s="49">
        <f>資料儲存!F807</f>
        <v>0</v>
      </c>
      <c r="W111" s="49">
        <f>資料儲存!G807</f>
        <v>0</v>
      </c>
      <c r="X111" s="49">
        <f>資料儲存!H807</f>
        <v>0</v>
      </c>
      <c r="Y111" s="49">
        <f>資料儲存!I807</f>
        <v>0</v>
      </c>
      <c r="Z111" s="49">
        <f>資料儲存!J807</f>
        <v>0</v>
      </c>
      <c r="AA111" s="45"/>
      <c r="AB111" s="48">
        <v>26</v>
      </c>
      <c r="AC111" s="49">
        <f>資料儲存!D927</f>
        <v>0</v>
      </c>
      <c r="AD111" s="49">
        <f>資料儲存!E927</f>
        <v>0</v>
      </c>
      <c r="AE111" s="49">
        <f>資料儲存!F927</f>
        <v>0</v>
      </c>
      <c r="AF111" s="49">
        <f>資料儲存!G927</f>
        <v>0</v>
      </c>
      <c r="AG111" s="49">
        <f>資料儲存!H927</f>
        <v>0</v>
      </c>
      <c r="AH111" s="49">
        <f>資料儲存!I927</f>
        <v>0</v>
      </c>
      <c r="AI111" s="49">
        <f>資料儲存!J927</f>
        <v>0</v>
      </c>
      <c r="AJ111" s="13"/>
    </row>
    <row r="112" spans="1:36" ht="16" thickBot="1">
      <c r="A112" s="48">
        <v>27</v>
      </c>
      <c r="B112" s="49">
        <f>資料儲存!D568</f>
        <v>0</v>
      </c>
      <c r="C112" s="49">
        <f>資料儲存!E568</f>
        <v>0</v>
      </c>
      <c r="D112" s="49">
        <f>資料儲存!F568</f>
        <v>0</v>
      </c>
      <c r="E112" s="49">
        <f>資料儲存!G568</f>
        <v>0</v>
      </c>
      <c r="F112" s="49">
        <f>資料儲存!H568</f>
        <v>0</v>
      </c>
      <c r="G112" s="49">
        <f>資料儲存!I568</f>
        <v>0</v>
      </c>
      <c r="H112" s="49">
        <f>資料儲存!J568</f>
        <v>0</v>
      </c>
      <c r="I112" s="45"/>
      <c r="J112" s="48">
        <v>27</v>
      </c>
      <c r="K112" s="49">
        <f>資料儲存!D688</f>
        <v>0</v>
      </c>
      <c r="L112" s="49">
        <f>資料儲存!E688</f>
        <v>0</v>
      </c>
      <c r="M112" s="49">
        <f>資料儲存!F688</f>
        <v>0</v>
      </c>
      <c r="N112" s="49">
        <f>資料儲存!G688</f>
        <v>0</v>
      </c>
      <c r="O112" s="49">
        <f>資料儲存!H688</f>
        <v>0</v>
      </c>
      <c r="P112" s="49">
        <f>資料儲存!I688</f>
        <v>0</v>
      </c>
      <c r="Q112" s="49">
        <f>資料儲存!J688</f>
        <v>0</v>
      </c>
      <c r="R112" s="45"/>
      <c r="S112" s="48">
        <v>27</v>
      </c>
      <c r="T112" s="49">
        <f>資料儲存!D808</f>
        <v>0</v>
      </c>
      <c r="U112" s="49">
        <f>資料儲存!E808</f>
        <v>0</v>
      </c>
      <c r="V112" s="49">
        <f>資料儲存!F808</f>
        <v>0</v>
      </c>
      <c r="W112" s="49">
        <f>資料儲存!G808</f>
        <v>0</v>
      </c>
      <c r="X112" s="49">
        <f>資料儲存!H808</f>
        <v>0</v>
      </c>
      <c r="Y112" s="49">
        <f>資料儲存!I808</f>
        <v>0</v>
      </c>
      <c r="Z112" s="49">
        <f>資料儲存!J808</f>
        <v>0</v>
      </c>
      <c r="AA112" s="45"/>
      <c r="AB112" s="48">
        <v>27</v>
      </c>
      <c r="AC112" s="49">
        <f>資料儲存!D928</f>
        <v>0</v>
      </c>
      <c r="AD112" s="49">
        <f>資料儲存!E928</f>
        <v>0</v>
      </c>
      <c r="AE112" s="49">
        <f>資料儲存!F928</f>
        <v>0</v>
      </c>
      <c r="AF112" s="49">
        <f>資料儲存!G928</f>
        <v>0</v>
      </c>
      <c r="AG112" s="49">
        <f>資料儲存!H928</f>
        <v>0</v>
      </c>
      <c r="AH112" s="49">
        <f>資料儲存!I928</f>
        <v>0</v>
      </c>
      <c r="AI112" s="49">
        <f>資料儲存!J928</f>
        <v>0</v>
      </c>
      <c r="AJ112" s="13"/>
    </row>
    <row r="113" spans="1:36" ht="16" thickBot="1">
      <c r="A113" s="48">
        <v>28</v>
      </c>
      <c r="B113" s="49">
        <f>資料儲存!D569</f>
        <v>0</v>
      </c>
      <c r="C113" s="49">
        <f>資料儲存!E569</f>
        <v>0</v>
      </c>
      <c r="D113" s="49">
        <f>資料儲存!F569</f>
        <v>0</v>
      </c>
      <c r="E113" s="49">
        <f>資料儲存!G569</f>
        <v>0</v>
      </c>
      <c r="F113" s="49">
        <f>資料儲存!H569</f>
        <v>0</v>
      </c>
      <c r="G113" s="49">
        <f>資料儲存!I569</f>
        <v>0</v>
      </c>
      <c r="H113" s="49">
        <f>資料儲存!J569</f>
        <v>0</v>
      </c>
      <c r="I113" s="45"/>
      <c r="J113" s="48">
        <v>28</v>
      </c>
      <c r="K113" s="49">
        <f>資料儲存!D689</f>
        <v>0</v>
      </c>
      <c r="L113" s="49">
        <f>資料儲存!E689</f>
        <v>0</v>
      </c>
      <c r="M113" s="49">
        <f>資料儲存!F689</f>
        <v>0</v>
      </c>
      <c r="N113" s="49">
        <f>資料儲存!G689</f>
        <v>0</v>
      </c>
      <c r="O113" s="49">
        <f>資料儲存!H689</f>
        <v>0</v>
      </c>
      <c r="P113" s="49">
        <f>資料儲存!I689</f>
        <v>0</v>
      </c>
      <c r="Q113" s="49">
        <f>資料儲存!J689</f>
        <v>0</v>
      </c>
      <c r="R113" s="45"/>
      <c r="S113" s="48">
        <v>28</v>
      </c>
      <c r="T113" s="49">
        <f>資料儲存!D809</f>
        <v>0</v>
      </c>
      <c r="U113" s="49">
        <f>資料儲存!E809</f>
        <v>0</v>
      </c>
      <c r="V113" s="49">
        <f>資料儲存!F809</f>
        <v>0</v>
      </c>
      <c r="W113" s="49">
        <f>資料儲存!G809</f>
        <v>0</v>
      </c>
      <c r="X113" s="49">
        <f>資料儲存!H809</f>
        <v>0</v>
      </c>
      <c r="Y113" s="49">
        <f>資料儲存!I809</f>
        <v>0</v>
      </c>
      <c r="Z113" s="49">
        <f>資料儲存!J809</f>
        <v>0</v>
      </c>
      <c r="AA113" s="45"/>
      <c r="AB113" s="48">
        <v>28</v>
      </c>
      <c r="AC113" s="49">
        <f>資料儲存!D929</f>
        <v>0</v>
      </c>
      <c r="AD113" s="49">
        <f>資料儲存!E929</f>
        <v>0</v>
      </c>
      <c r="AE113" s="49">
        <f>資料儲存!F929</f>
        <v>0</v>
      </c>
      <c r="AF113" s="49">
        <f>資料儲存!G929</f>
        <v>0</v>
      </c>
      <c r="AG113" s="49">
        <f>資料儲存!H929</f>
        <v>0</v>
      </c>
      <c r="AH113" s="49">
        <f>資料儲存!I929</f>
        <v>0</v>
      </c>
      <c r="AI113" s="49">
        <f>資料儲存!J929</f>
        <v>0</v>
      </c>
      <c r="AJ113" s="13"/>
    </row>
    <row r="114" spans="1:36" ht="16" thickBot="1">
      <c r="A114" s="48">
        <v>29</v>
      </c>
      <c r="B114" s="49">
        <f>資料儲存!D570</f>
        <v>0</v>
      </c>
      <c r="C114" s="49">
        <f>資料儲存!E570</f>
        <v>0</v>
      </c>
      <c r="D114" s="49">
        <f>資料儲存!F570</f>
        <v>0</v>
      </c>
      <c r="E114" s="49">
        <f>資料儲存!G570</f>
        <v>0</v>
      </c>
      <c r="F114" s="49">
        <f>資料儲存!H570</f>
        <v>0</v>
      </c>
      <c r="G114" s="49">
        <f>資料儲存!I570</f>
        <v>0</v>
      </c>
      <c r="H114" s="49">
        <f>資料儲存!J570</f>
        <v>0</v>
      </c>
      <c r="I114" s="45"/>
      <c r="J114" s="48">
        <v>29</v>
      </c>
      <c r="K114" s="49">
        <f>資料儲存!D690</f>
        <v>0</v>
      </c>
      <c r="L114" s="49">
        <f>資料儲存!E690</f>
        <v>0</v>
      </c>
      <c r="M114" s="49">
        <f>資料儲存!F690</f>
        <v>0</v>
      </c>
      <c r="N114" s="49">
        <f>資料儲存!G690</f>
        <v>0</v>
      </c>
      <c r="O114" s="49">
        <f>資料儲存!H690</f>
        <v>0</v>
      </c>
      <c r="P114" s="49">
        <f>資料儲存!I690</f>
        <v>0</v>
      </c>
      <c r="Q114" s="49">
        <f>資料儲存!J690</f>
        <v>0</v>
      </c>
      <c r="R114" s="45"/>
      <c r="S114" s="48">
        <v>29</v>
      </c>
      <c r="T114" s="49">
        <f>資料儲存!D810</f>
        <v>0</v>
      </c>
      <c r="U114" s="49">
        <f>資料儲存!E810</f>
        <v>0</v>
      </c>
      <c r="V114" s="49">
        <f>資料儲存!F810</f>
        <v>0</v>
      </c>
      <c r="W114" s="49">
        <f>資料儲存!G810</f>
        <v>0</v>
      </c>
      <c r="X114" s="49">
        <f>資料儲存!H810</f>
        <v>0</v>
      </c>
      <c r="Y114" s="49">
        <f>資料儲存!I810</f>
        <v>0</v>
      </c>
      <c r="Z114" s="49">
        <f>資料儲存!J810</f>
        <v>0</v>
      </c>
      <c r="AA114" s="45"/>
      <c r="AB114" s="48">
        <v>29</v>
      </c>
      <c r="AC114" s="49">
        <f>資料儲存!D930</f>
        <v>0</v>
      </c>
      <c r="AD114" s="49">
        <f>資料儲存!E930</f>
        <v>0</v>
      </c>
      <c r="AE114" s="49">
        <f>資料儲存!F930</f>
        <v>0</v>
      </c>
      <c r="AF114" s="49">
        <f>資料儲存!G930</f>
        <v>0</v>
      </c>
      <c r="AG114" s="49">
        <f>資料儲存!H930</f>
        <v>0</v>
      </c>
      <c r="AH114" s="49">
        <f>資料儲存!I930</f>
        <v>0</v>
      </c>
      <c r="AI114" s="49">
        <f>資料儲存!J930</f>
        <v>0</v>
      </c>
      <c r="AJ114" s="13"/>
    </row>
    <row r="115" spans="1:36" ht="16" thickBot="1">
      <c r="A115" s="48">
        <v>30</v>
      </c>
      <c r="B115" s="49">
        <f>資料儲存!D571</f>
        <v>0</v>
      </c>
      <c r="C115" s="49">
        <f>資料儲存!E571</f>
        <v>0</v>
      </c>
      <c r="D115" s="49">
        <f>資料儲存!F571</f>
        <v>0</v>
      </c>
      <c r="E115" s="49">
        <f>資料儲存!G571</f>
        <v>0</v>
      </c>
      <c r="F115" s="49">
        <f>資料儲存!H571</f>
        <v>0</v>
      </c>
      <c r="G115" s="49">
        <f>資料儲存!I571</f>
        <v>0</v>
      </c>
      <c r="H115" s="49">
        <f>資料儲存!J571</f>
        <v>0</v>
      </c>
      <c r="I115" s="45"/>
      <c r="J115" s="48">
        <v>30</v>
      </c>
      <c r="K115" s="49">
        <f>資料儲存!D691</f>
        <v>0</v>
      </c>
      <c r="L115" s="49">
        <f>資料儲存!E691</f>
        <v>0</v>
      </c>
      <c r="M115" s="49">
        <f>資料儲存!F691</f>
        <v>0</v>
      </c>
      <c r="N115" s="49">
        <f>資料儲存!G691</f>
        <v>0</v>
      </c>
      <c r="O115" s="49">
        <f>資料儲存!H691</f>
        <v>0</v>
      </c>
      <c r="P115" s="49">
        <f>資料儲存!I691</f>
        <v>0</v>
      </c>
      <c r="Q115" s="49">
        <f>資料儲存!J691</f>
        <v>0</v>
      </c>
      <c r="R115" s="45"/>
      <c r="S115" s="48">
        <v>30</v>
      </c>
      <c r="T115" s="49">
        <f>資料儲存!D811</f>
        <v>0</v>
      </c>
      <c r="U115" s="49">
        <f>資料儲存!E811</f>
        <v>0</v>
      </c>
      <c r="V115" s="49">
        <f>資料儲存!F811</f>
        <v>0</v>
      </c>
      <c r="W115" s="49">
        <f>資料儲存!G811</f>
        <v>0</v>
      </c>
      <c r="X115" s="49">
        <f>資料儲存!H811</f>
        <v>0</v>
      </c>
      <c r="Y115" s="49">
        <f>資料儲存!I811</f>
        <v>0</v>
      </c>
      <c r="Z115" s="49">
        <f>資料儲存!J811</f>
        <v>0</v>
      </c>
      <c r="AA115" s="45"/>
      <c r="AB115" s="48">
        <v>30</v>
      </c>
      <c r="AC115" s="49">
        <f>資料儲存!D931</f>
        <v>0</v>
      </c>
      <c r="AD115" s="49">
        <f>資料儲存!E931</f>
        <v>0</v>
      </c>
      <c r="AE115" s="49">
        <f>資料儲存!F931</f>
        <v>0</v>
      </c>
      <c r="AF115" s="49">
        <f>資料儲存!G931</f>
        <v>0</v>
      </c>
      <c r="AG115" s="49">
        <f>資料儲存!H931</f>
        <v>0</v>
      </c>
      <c r="AH115" s="49">
        <f>資料儲存!I931</f>
        <v>0</v>
      </c>
      <c r="AI115" s="49">
        <f>資料儲存!J931</f>
        <v>0</v>
      </c>
      <c r="AJ115" s="13"/>
    </row>
    <row r="116" spans="1:36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</row>
    <row r="117" spans="1:36" ht="18.5" thickBot="1">
      <c r="A117" s="250" t="s">
        <v>67</v>
      </c>
      <c r="B117" s="251"/>
      <c r="C117" s="251"/>
      <c r="D117" s="251"/>
      <c r="E117" s="251"/>
      <c r="F117" s="251"/>
      <c r="G117" s="251"/>
      <c r="H117" s="252"/>
      <c r="I117" s="13"/>
      <c r="J117" s="250" t="s">
        <v>67</v>
      </c>
      <c r="K117" s="251"/>
      <c r="L117" s="251"/>
      <c r="M117" s="251"/>
      <c r="N117" s="251"/>
      <c r="O117" s="251"/>
      <c r="P117" s="251"/>
      <c r="Q117" s="252"/>
      <c r="R117" s="13"/>
      <c r="S117" s="250" t="s">
        <v>67</v>
      </c>
      <c r="T117" s="251"/>
      <c r="U117" s="251"/>
      <c r="V117" s="251"/>
      <c r="W117" s="251"/>
      <c r="X117" s="251"/>
      <c r="Y117" s="251"/>
      <c r="Z117" s="252"/>
      <c r="AA117" s="13"/>
      <c r="AB117" s="250" t="s">
        <v>67</v>
      </c>
      <c r="AC117" s="251"/>
      <c r="AD117" s="251"/>
      <c r="AE117" s="251"/>
      <c r="AF117" s="251"/>
      <c r="AG117" s="251"/>
      <c r="AH117" s="251"/>
      <c r="AI117" s="252"/>
      <c r="AJ117" s="13"/>
    </row>
    <row r="118" spans="1:36" ht="17.25" customHeight="1" thickBot="1">
      <c r="A118" s="31" t="s">
        <v>2</v>
      </c>
      <c r="B118" s="32" t="s">
        <v>46</v>
      </c>
      <c r="C118" s="33"/>
      <c r="D118" s="33"/>
      <c r="E118" s="34"/>
      <c r="F118" s="32" t="s">
        <v>47</v>
      </c>
      <c r="G118" s="33"/>
      <c r="H118" s="34"/>
      <c r="I118" s="35"/>
      <c r="J118" s="31" t="s">
        <v>2</v>
      </c>
      <c r="K118" s="32" t="s">
        <v>46</v>
      </c>
      <c r="L118" s="33"/>
      <c r="M118" s="33"/>
      <c r="N118" s="34"/>
      <c r="O118" s="32" t="s">
        <v>47</v>
      </c>
      <c r="P118" s="33"/>
      <c r="Q118" s="34"/>
      <c r="R118" s="35"/>
      <c r="S118" s="31" t="s">
        <v>2</v>
      </c>
      <c r="T118" s="32" t="s">
        <v>46</v>
      </c>
      <c r="U118" s="33"/>
      <c r="V118" s="33"/>
      <c r="W118" s="34"/>
      <c r="X118" s="32" t="s">
        <v>47</v>
      </c>
      <c r="Y118" s="33"/>
      <c r="Z118" s="34"/>
      <c r="AA118" s="35"/>
      <c r="AB118" s="31" t="s">
        <v>2</v>
      </c>
      <c r="AC118" s="32" t="s">
        <v>46</v>
      </c>
      <c r="AD118" s="33"/>
      <c r="AE118" s="33"/>
      <c r="AF118" s="34"/>
      <c r="AG118" s="32" t="s">
        <v>47</v>
      </c>
      <c r="AH118" s="33"/>
      <c r="AI118" s="34"/>
      <c r="AJ118" s="13"/>
    </row>
    <row r="119" spans="1:36" ht="16" thickBot="1">
      <c r="A119" s="36" t="s">
        <v>68</v>
      </c>
      <c r="B119" s="37" t="s">
        <v>49</v>
      </c>
      <c r="C119" s="37" t="s">
        <v>50</v>
      </c>
      <c r="D119" s="37" t="s">
        <v>51</v>
      </c>
      <c r="E119" s="37" t="s">
        <v>52</v>
      </c>
      <c r="F119" s="37" t="s">
        <v>53</v>
      </c>
      <c r="G119" s="37" t="s">
        <v>54</v>
      </c>
      <c r="H119" s="37" t="s">
        <v>55</v>
      </c>
      <c r="I119" s="35"/>
      <c r="J119" s="36" t="s">
        <v>68</v>
      </c>
      <c r="K119" s="37" t="s">
        <v>49</v>
      </c>
      <c r="L119" s="37" t="s">
        <v>50</v>
      </c>
      <c r="M119" s="37" t="s">
        <v>51</v>
      </c>
      <c r="N119" s="37" t="s">
        <v>52</v>
      </c>
      <c r="O119" s="37" t="s">
        <v>53</v>
      </c>
      <c r="P119" s="37" t="s">
        <v>54</v>
      </c>
      <c r="Q119" s="37" t="s">
        <v>55</v>
      </c>
      <c r="R119" s="35"/>
      <c r="S119" s="36" t="s">
        <v>68</v>
      </c>
      <c r="T119" s="37" t="s">
        <v>49</v>
      </c>
      <c r="U119" s="37" t="s">
        <v>50</v>
      </c>
      <c r="V119" s="37" t="s">
        <v>51</v>
      </c>
      <c r="W119" s="37" t="s">
        <v>52</v>
      </c>
      <c r="X119" s="37" t="s">
        <v>53</v>
      </c>
      <c r="Y119" s="37" t="s">
        <v>54</v>
      </c>
      <c r="Z119" s="37" t="s">
        <v>55</v>
      </c>
      <c r="AA119" s="35"/>
      <c r="AB119" s="36" t="s">
        <v>68</v>
      </c>
      <c r="AC119" s="37" t="s">
        <v>49</v>
      </c>
      <c r="AD119" s="37" t="s">
        <v>50</v>
      </c>
      <c r="AE119" s="37" t="s">
        <v>51</v>
      </c>
      <c r="AF119" s="37" t="s">
        <v>52</v>
      </c>
      <c r="AG119" s="37" t="s">
        <v>53</v>
      </c>
      <c r="AH119" s="37" t="s">
        <v>54</v>
      </c>
      <c r="AI119" s="37" t="s">
        <v>55</v>
      </c>
      <c r="AJ119" s="13"/>
    </row>
    <row r="120" spans="1:36" ht="16" thickBot="1">
      <c r="A120" s="38">
        <v>31</v>
      </c>
      <c r="B120" s="39">
        <f>資料儲存!D572</f>
        <v>0</v>
      </c>
      <c r="C120" s="39">
        <f>資料儲存!E572</f>
        <v>0</v>
      </c>
      <c r="D120" s="39">
        <f>資料儲存!F572</f>
        <v>0</v>
      </c>
      <c r="E120" s="39">
        <f>資料儲存!G572</f>
        <v>0</v>
      </c>
      <c r="F120" s="39">
        <f>資料儲存!H572</f>
        <v>0</v>
      </c>
      <c r="G120" s="39">
        <f>資料儲存!I572</f>
        <v>0</v>
      </c>
      <c r="H120" s="39">
        <f>資料儲存!J572</f>
        <v>0</v>
      </c>
      <c r="I120" s="35"/>
      <c r="J120" s="38">
        <v>31</v>
      </c>
      <c r="K120" s="39">
        <f>資料儲存!D692</f>
        <v>0</v>
      </c>
      <c r="L120" s="39">
        <f>資料儲存!E692</f>
        <v>0</v>
      </c>
      <c r="M120" s="39">
        <f>資料儲存!F692</f>
        <v>0</v>
      </c>
      <c r="N120" s="39">
        <f>資料儲存!G692</f>
        <v>0</v>
      </c>
      <c r="O120" s="39">
        <f>資料儲存!H692</f>
        <v>0</v>
      </c>
      <c r="P120" s="39">
        <f>資料儲存!I692</f>
        <v>0</v>
      </c>
      <c r="Q120" s="39">
        <f>資料儲存!J692</f>
        <v>0</v>
      </c>
      <c r="R120" s="35"/>
      <c r="S120" s="38">
        <v>31</v>
      </c>
      <c r="T120" s="39">
        <f>資料儲存!D812</f>
        <v>0</v>
      </c>
      <c r="U120" s="39">
        <f>資料儲存!E812</f>
        <v>0</v>
      </c>
      <c r="V120" s="39">
        <f>資料儲存!F812</f>
        <v>0</v>
      </c>
      <c r="W120" s="39">
        <f>資料儲存!G812</f>
        <v>0</v>
      </c>
      <c r="X120" s="39">
        <f>資料儲存!H812</f>
        <v>0</v>
      </c>
      <c r="Y120" s="39">
        <f>資料儲存!I812</f>
        <v>0</v>
      </c>
      <c r="Z120" s="39">
        <f>資料儲存!J812</f>
        <v>0</v>
      </c>
      <c r="AA120" s="35"/>
      <c r="AB120" s="38">
        <v>31</v>
      </c>
      <c r="AC120" s="39">
        <f>資料儲存!D932</f>
        <v>0</v>
      </c>
      <c r="AD120" s="39">
        <f>資料儲存!E932</f>
        <v>0</v>
      </c>
      <c r="AE120" s="39">
        <f>資料儲存!F932</f>
        <v>0</v>
      </c>
      <c r="AF120" s="39">
        <f>資料儲存!G932</f>
        <v>0</v>
      </c>
      <c r="AG120" s="39">
        <f>資料儲存!H932</f>
        <v>0</v>
      </c>
      <c r="AH120" s="39">
        <f>資料儲存!I932</f>
        <v>0</v>
      </c>
      <c r="AI120" s="39">
        <f>資料儲存!J932</f>
        <v>0</v>
      </c>
      <c r="AJ120" s="13"/>
    </row>
    <row r="121" spans="1:36" ht="16" thickBot="1">
      <c r="A121" s="38">
        <v>32</v>
      </c>
      <c r="B121" s="39">
        <f>資料儲存!D573</f>
        <v>0</v>
      </c>
      <c r="C121" s="39">
        <f>資料儲存!E573</f>
        <v>0</v>
      </c>
      <c r="D121" s="39">
        <f>資料儲存!F573</f>
        <v>0</v>
      </c>
      <c r="E121" s="39">
        <f>資料儲存!G573</f>
        <v>0</v>
      </c>
      <c r="F121" s="39">
        <f>資料儲存!H573</f>
        <v>0</v>
      </c>
      <c r="G121" s="39">
        <f>資料儲存!I573</f>
        <v>0</v>
      </c>
      <c r="H121" s="39">
        <f>資料儲存!J573</f>
        <v>0</v>
      </c>
      <c r="I121" s="35"/>
      <c r="J121" s="38">
        <v>32</v>
      </c>
      <c r="K121" s="39">
        <f>資料儲存!D693</f>
        <v>0</v>
      </c>
      <c r="L121" s="39">
        <f>資料儲存!E693</f>
        <v>0</v>
      </c>
      <c r="M121" s="39">
        <f>資料儲存!F693</f>
        <v>0</v>
      </c>
      <c r="N121" s="39">
        <f>資料儲存!G693</f>
        <v>0</v>
      </c>
      <c r="O121" s="39">
        <f>資料儲存!H693</f>
        <v>0</v>
      </c>
      <c r="P121" s="39">
        <f>資料儲存!I693</f>
        <v>0</v>
      </c>
      <c r="Q121" s="39">
        <f>資料儲存!J693</f>
        <v>0</v>
      </c>
      <c r="R121" s="35"/>
      <c r="S121" s="38">
        <v>32</v>
      </c>
      <c r="T121" s="39">
        <f>資料儲存!D813</f>
        <v>0</v>
      </c>
      <c r="U121" s="39">
        <f>資料儲存!E813</f>
        <v>0</v>
      </c>
      <c r="V121" s="39">
        <f>資料儲存!F813</f>
        <v>0</v>
      </c>
      <c r="W121" s="39">
        <f>資料儲存!G813</f>
        <v>0</v>
      </c>
      <c r="X121" s="39">
        <f>資料儲存!H813</f>
        <v>0</v>
      </c>
      <c r="Y121" s="39">
        <f>資料儲存!I813</f>
        <v>0</v>
      </c>
      <c r="Z121" s="39">
        <f>資料儲存!J813</f>
        <v>0</v>
      </c>
      <c r="AA121" s="35"/>
      <c r="AB121" s="38">
        <v>32</v>
      </c>
      <c r="AC121" s="39">
        <f>資料儲存!D933</f>
        <v>0</v>
      </c>
      <c r="AD121" s="39">
        <f>資料儲存!E933</f>
        <v>0</v>
      </c>
      <c r="AE121" s="39">
        <f>資料儲存!F933</f>
        <v>0</v>
      </c>
      <c r="AF121" s="39">
        <f>資料儲存!G933</f>
        <v>0</v>
      </c>
      <c r="AG121" s="39">
        <f>資料儲存!H933</f>
        <v>0</v>
      </c>
      <c r="AH121" s="39">
        <f>資料儲存!I933</f>
        <v>0</v>
      </c>
      <c r="AI121" s="39">
        <f>資料儲存!J933</f>
        <v>0</v>
      </c>
      <c r="AJ121" s="13"/>
    </row>
    <row r="122" spans="1:36" ht="16" thickBot="1">
      <c r="A122" s="38">
        <v>33</v>
      </c>
      <c r="B122" s="39">
        <f>資料儲存!D574</f>
        <v>0</v>
      </c>
      <c r="C122" s="39">
        <f>資料儲存!E574</f>
        <v>0</v>
      </c>
      <c r="D122" s="39">
        <f>資料儲存!F574</f>
        <v>0</v>
      </c>
      <c r="E122" s="39">
        <f>資料儲存!G574</f>
        <v>0</v>
      </c>
      <c r="F122" s="39">
        <f>資料儲存!H574</f>
        <v>0</v>
      </c>
      <c r="G122" s="39">
        <f>資料儲存!I574</f>
        <v>0</v>
      </c>
      <c r="H122" s="39">
        <f>資料儲存!J574</f>
        <v>0</v>
      </c>
      <c r="I122" s="35"/>
      <c r="J122" s="38">
        <v>33</v>
      </c>
      <c r="K122" s="39">
        <f>資料儲存!D694</f>
        <v>0</v>
      </c>
      <c r="L122" s="39">
        <f>資料儲存!E694</f>
        <v>0</v>
      </c>
      <c r="M122" s="39">
        <f>資料儲存!F694</f>
        <v>0</v>
      </c>
      <c r="N122" s="39">
        <f>資料儲存!G694</f>
        <v>0</v>
      </c>
      <c r="O122" s="39">
        <f>資料儲存!H694</f>
        <v>0</v>
      </c>
      <c r="P122" s="39">
        <f>資料儲存!I694</f>
        <v>0</v>
      </c>
      <c r="Q122" s="39">
        <f>資料儲存!J694</f>
        <v>0</v>
      </c>
      <c r="R122" s="35"/>
      <c r="S122" s="38">
        <v>33</v>
      </c>
      <c r="T122" s="39">
        <f>資料儲存!D814</f>
        <v>0</v>
      </c>
      <c r="U122" s="39">
        <f>資料儲存!E814</f>
        <v>0</v>
      </c>
      <c r="V122" s="39">
        <f>資料儲存!F814</f>
        <v>0</v>
      </c>
      <c r="W122" s="39">
        <f>資料儲存!G814</f>
        <v>0</v>
      </c>
      <c r="X122" s="39">
        <f>資料儲存!H814</f>
        <v>0</v>
      </c>
      <c r="Y122" s="39">
        <f>資料儲存!I814</f>
        <v>0</v>
      </c>
      <c r="Z122" s="39">
        <f>資料儲存!J814</f>
        <v>0</v>
      </c>
      <c r="AA122" s="35"/>
      <c r="AB122" s="38">
        <v>33</v>
      </c>
      <c r="AC122" s="39">
        <f>資料儲存!D934</f>
        <v>0</v>
      </c>
      <c r="AD122" s="39">
        <f>資料儲存!E934</f>
        <v>0</v>
      </c>
      <c r="AE122" s="39">
        <f>資料儲存!F934</f>
        <v>0</v>
      </c>
      <c r="AF122" s="39">
        <f>資料儲存!G934</f>
        <v>0</v>
      </c>
      <c r="AG122" s="39">
        <f>資料儲存!H934</f>
        <v>0</v>
      </c>
      <c r="AH122" s="39">
        <f>資料儲存!I934</f>
        <v>0</v>
      </c>
      <c r="AI122" s="39">
        <f>資料儲存!J934</f>
        <v>0</v>
      </c>
      <c r="AJ122" s="13"/>
    </row>
    <row r="123" spans="1:36" ht="16" thickBot="1">
      <c r="A123" s="38">
        <v>34</v>
      </c>
      <c r="B123" s="39">
        <f>資料儲存!D575</f>
        <v>0</v>
      </c>
      <c r="C123" s="39">
        <f>資料儲存!E575</f>
        <v>0</v>
      </c>
      <c r="D123" s="39">
        <f>資料儲存!F575</f>
        <v>0</v>
      </c>
      <c r="E123" s="39">
        <f>資料儲存!G575</f>
        <v>0</v>
      </c>
      <c r="F123" s="39">
        <f>資料儲存!H575</f>
        <v>0</v>
      </c>
      <c r="G123" s="39">
        <f>資料儲存!I575</f>
        <v>0</v>
      </c>
      <c r="H123" s="39">
        <f>資料儲存!J575</f>
        <v>0</v>
      </c>
      <c r="I123" s="35"/>
      <c r="J123" s="38">
        <v>34</v>
      </c>
      <c r="K123" s="39">
        <f>資料儲存!D695</f>
        <v>0</v>
      </c>
      <c r="L123" s="39">
        <f>資料儲存!E695</f>
        <v>0</v>
      </c>
      <c r="M123" s="39">
        <f>資料儲存!F695</f>
        <v>0</v>
      </c>
      <c r="N123" s="39">
        <f>資料儲存!G695</f>
        <v>0</v>
      </c>
      <c r="O123" s="39">
        <f>資料儲存!H695</f>
        <v>0</v>
      </c>
      <c r="P123" s="39">
        <f>資料儲存!I695</f>
        <v>0</v>
      </c>
      <c r="Q123" s="39">
        <f>資料儲存!J695</f>
        <v>0</v>
      </c>
      <c r="R123" s="35"/>
      <c r="S123" s="38">
        <v>34</v>
      </c>
      <c r="T123" s="39">
        <f>資料儲存!D815</f>
        <v>0</v>
      </c>
      <c r="U123" s="39">
        <f>資料儲存!E815</f>
        <v>0</v>
      </c>
      <c r="V123" s="39">
        <f>資料儲存!F815</f>
        <v>0</v>
      </c>
      <c r="W123" s="39">
        <f>資料儲存!G815</f>
        <v>0</v>
      </c>
      <c r="X123" s="39">
        <f>資料儲存!H815</f>
        <v>0</v>
      </c>
      <c r="Y123" s="39">
        <f>資料儲存!I815</f>
        <v>0</v>
      </c>
      <c r="Z123" s="39">
        <f>資料儲存!J815</f>
        <v>0</v>
      </c>
      <c r="AA123" s="35"/>
      <c r="AB123" s="38">
        <v>34</v>
      </c>
      <c r="AC123" s="39">
        <f>資料儲存!D935</f>
        <v>0</v>
      </c>
      <c r="AD123" s="39">
        <f>資料儲存!E935</f>
        <v>0</v>
      </c>
      <c r="AE123" s="39">
        <f>資料儲存!F935</f>
        <v>0</v>
      </c>
      <c r="AF123" s="39">
        <f>資料儲存!G935</f>
        <v>0</v>
      </c>
      <c r="AG123" s="39">
        <f>資料儲存!H935</f>
        <v>0</v>
      </c>
      <c r="AH123" s="39">
        <f>資料儲存!I935</f>
        <v>0</v>
      </c>
      <c r="AI123" s="39">
        <f>資料儲存!J935</f>
        <v>0</v>
      </c>
      <c r="AJ123" s="13"/>
    </row>
    <row r="124" spans="1:36" ht="16" thickBot="1">
      <c r="A124" s="38">
        <v>35</v>
      </c>
      <c r="B124" s="39">
        <f>資料儲存!D576</f>
        <v>0</v>
      </c>
      <c r="C124" s="39">
        <f>資料儲存!E576</f>
        <v>0</v>
      </c>
      <c r="D124" s="39">
        <f>資料儲存!F576</f>
        <v>0</v>
      </c>
      <c r="E124" s="39">
        <f>資料儲存!G576</f>
        <v>0</v>
      </c>
      <c r="F124" s="39">
        <f>資料儲存!H576</f>
        <v>0</v>
      </c>
      <c r="G124" s="39">
        <f>資料儲存!I576</f>
        <v>0</v>
      </c>
      <c r="H124" s="39">
        <f>資料儲存!J576</f>
        <v>0</v>
      </c>
      <c r="I124" s="35"/>
      <c r="J124" s="38">
        <v>35</v>
      </c>
      <c r="K124" s="39">
        <f>資料儲存!D696</f>
        <v>0</v>
      </c>
      <c r="L124" s="39">
        <f>資料儲存!E696</f>
        <v>0</v>
      </c>
      <c r="M124" s="39">
        <f>資料儲存!F696</f>
        <v>0</v>
      </c>
      <c r="N124" s="39">
        <f>資料儲存!G696</f>
        <v>0</v>
      </c>
      <c r="O124" s="39">
        <f>資料儲存!H696</f>
        <v>0</v>
      </c>
      <c r="P124" s="39">
        <f>資料儲存!I696</f>
        <v>0</v>
      </c>
      <c r="Q124" s="39">
        <f>資料儲存!J696</f>
        <v>0</v>
      </c>
      <c r="R124" s="35"/>
      <c r="S124" s="38">
        <v>35</v>
      </c>
      <c r="T124" s="39">
        <f>資料儲存!D816</f>
        <v>0</v>
      </c>
      <c r="U124" s="39">
        <f>資料儲存!E816</f>
        <v>0</v>
      </c>
      <c r="V124" s="39">
        <f>資料儲存!F816</f>
        <v>0</v>
      </c>
      <c r="W124" s="39">
        <f>資料儲存!G816</f>
        <v>0</v>
      </c>
      <c r="X124" s="39">
        <f>資料儲存!H816</f>
        <v>0</v>
      </c>
      <c r="Y124" s="39">
        <f>資料儲存!I816</f>
        <v>0</v>
      </c>
      <c r="Z124" s="39">
        <f>資料儲存!J816</f>
        <v>0</v>
      </c>
      <c r="AA124" s="35"/>
      <c r="AB124" s="38">
        <v>35</v>
      </c>
      <c r="AC124" s="39">
        <f>資料儲存!D936</f>
        <v>0</v>
      </c>
      <c r="AD124" s="39">
        <f>資料儲存!E936</f>
        <v>0</v>
      </c>
      <c r="AE124" s="39">
        <f>資料儲存!F936</f>
        <v>0</v>
      </c>
      <c r="AF124" s="39">
        <f>資料儲存!G936</f>
        <v>0</v>
      </c>
      <c r="AG124" s="39">
        <f>資料儲存!H936</f>
        <v>0</v>
      </c>
      <c r="AH124" s="39">
        <f>資料儲存!I936</f>
        <v>0</v>
      </c>
      <c r="AI124" s="39">
        <f>資料儲存!J936</f>
        <v>0</v>
      </c>
      <c r="AJ124" s="13"/>
    </row>
    <row r="125" spans="1:36" ht="16" thickBot="1">
      <c r="A125" s="38">
        <v>36</v>
      </c>
      <c r="B125" s="39">
        <f>資料儲存!D577</f>
        <v>0</v>
      </c>
      <c r="C125" s="39">
        <f>資料儲存!E577</f>
        <v>0</v>
      </c>
      <c r="D125" s="39">
        <f>資料儲存!F577</f>
        <v>0</v>
      </c>
      <c r="E125" s="39">
        <f>資料儲存!G577</f>
        <v>0</v>
      </c>
      <c r="F125" s="39">
        <f>資料儲存!H577</f>
        <v>0</v>
      </c>
      <c r="G125" s="39">
        <f>資料儲存!I577</f>
        <v>0</v>
      </c>
      <c r="H125" s="39">
        <f>資料儲存!J577</f>
        <v>0</v>
      </c>
      <c r="I125" s="35"/>
      <c r="J125" s="38">
        <v>36</v>
      </c>
      <c r="K125" s="39">
        <f>資料儲存!D697</f>
        <v>0</v>
      </c>
      <c r="L125" s="39">
        <f>資料儲存!E697</f>
        <v>0</v>
      </c>
      <c r="M125" s="39">
        <f>資料儲存!F697</f>
        <v>0</v>
      </c>
      <c r="N125" s="39">
        <f>資料儲存!G697</f>
        <v>0</v>
      </c>
      <c r="O125" s="39">
        <f>資料儲存!H697</f>
        <v>0</v>
      </c>
      <c r="P125" s="39">
        <f>資料儲存!I697</f>
        <v>0</v>
      </c>
      <c r="Q125" s="39">
        <f>資料儲存!J697</f>
        <v>0</v>
      </c>
      <c r="R125" s="35"/>
      <c r="S125" s="38">
        <v>36</v>
      </c>
      <c r="T125" s="39">
        <f>資料儲存!D817</f>
        <v>0</v>
      </c>
      <c r="U125" s="39">
        <f>資料儲存!E817</f>
        <v>0</v>
      </c>
      <c r="V125" s="39">
        <f>資料儲存!F817</f>
        <v>0</v>
      </c>
      <c r="W125" s="39">
        <f>資料儲存!G817</f>
        <v>0</v>
      </c>
      <c r="X125" s="39">
        <f>資料儲存!H817</f>
        <v>0</v>
      </c>
      <c r="Y125" s="39">
        <f>資料儲存!I817</f>
        <v>0</v>
      </c>
      <c r="Z125" s="39">
        <f>資料儲存!J817</f>
        <v>0</v>
      </c>
      <c r="AA125" s="35"/>
      <c r="AB125" s="38">
        <v>36</v>
      </c>
      <c r="AC125" s="39">
        <f>資料儲存!D937</f>
        <v>0</v>
      </c>
      <c r="AD125" s="39">
        <f>資料儲存!E937</f>
        <v>0</v>
      </c>
      <c r="AE125" s="39">
        <f>資料儲存!F937</f>
        <v>0</v>
      </c>
      <c r="AF125" s="39">
        <f>資料儲存!G937</f>
        <v>0</v>
      </c>
      <c r="AG125" s="39">
        <f>資料儲存!H937</f>
        <v>0</v>
      </c>
      <c r="AH125" s="39">
        <f>資料儲存!I937</f>
        <v>0</v>
      </c>
      <c r="AI125" s="39">
        <f>資料儲存!J937</f>
        <v>0</v>
      </c>
      <c r="AJ125" s="13"/>
    </row>
    <row r="126" spans="1:36" ht="16" thickBot="1">
      <c r="A126" s="38">
        <v>37</v>
      </c>
      <c r="B126" s="39">
        <f>資料儲存!D578</f>
        <v>0</v>
      </c>
      <c r="C126" s="39">
        <f>資料儲存!E578</f>
        <v>0</v>
      </c>
      <c r="D126" s="39">
        <f>資料儲存!F578</f>
        <v>0</v>
      </c>
      <c r="E126" s="39">
        <f>資料儲存!G578</f>
        <v>0</v>
      </c>
      <c r="F126" s="39">
        <f>資料儲存!H578</f>
        <v>0</v>
      </c>
      <c r="G126" s="39">
        <f>資料儲存!I578</f>
        <v>0</v>
      </c>
      <c r="H126" s="39">
        <f>資料儲存!J578</f>
        <v>0</v>
      </c>
      <c r="I126" s="35"/>
      <c r="J126" s="38">
        <v>37</v>
      </c>
      <c r="K126" s="39">
        <f>資料儲存!D698</f>
        <v>0</v>
      </c>
      <c r="L126" s="39">
        <f>資料儲存!E698</f>
        <v>0</v>
      </c>
      <c r="M126" s="39">
        <f>資料儲存!F698</f>
        <v>0</v>
      </c>
      <c r="N126" s="39">
        <f>資料儲存!G698</f>
        <v>0</v>
      </c>
      <c r="O126" s="39">
        <f>資料儲存!H698</f>
        <v>0</v>
      </c>
      <c r="P126" s="39">
        <f>資料儲存!I698</f>
        <v>0</v>
      </c>
      <c r="Q126" s="39">
        <f>資料儲存!J698</f>
        <v>0</v>
      </c>
      <c r="R126" s="35"/>
      <c r="S126" s="38">
        <v>37</v>
      </c>
      <c r="T126" s="39">
        <f>資料儲存!D818</f>
        <v>0</v>
      </c>
      <c r="U126" s="39">
        <f>資料儲存!E818</f>
        <v>0</v>
      </c>
      <c r="V126" s="39">
        <f>資料儲存!F818</f>
        <v>0</v>
      </c>
      <c r="W126" s="39">
        <f>資料儲存!G818</f>
        <v>0</v>
      </c>
      <c r="X126" s="39">
        <f>資料儲存!H818</f>
        <v>0</v>
      </c>
      <c r="Y126" s="39">
        <f>資料儲存!I818</f>
        <v>0</v>
      </c>
      <c r="Z126" s="39">
        <f>資料儲存!J818</f>
        <v>0</v>
      </c>
      <c r="AA126" s="35"/>
      <c r="AB126" s="38">
        <v>37</v>
      </c>
      <c r="AC126" s="39">
        <f>資料儲存!D938</f>
        <v>0</v>
      </c>
      <c r="AD126" s="39">
        <f>資料儲存!E938</f>
        <v>0</v>
      </c>
      <c r="AE126" s="39">
        <f>資料儲存!F938</f>
        <v>0</v>
      </c>
      <c r="AF126" s="39">
        <f>資料儲存!G938</f>
        <v>0</v>
      </c>
      <c r="AG126" s="39">
        <f>資料儲存!H938</f>
        <v>0</v>
      </c>
      <c r="AH126" s="39">
        <f>資料儲存!I938</f>
        <v>0</v>
      </c>
      <c r="AI126" s="39">
        <f>資料儲存!J938</f>
        <v>0</v>
      </c>
      <c r="AJ126" s="13"/>
    </row>
    <row r="127" spans="1:36" ht="16" thickBot="1">
      <c r="A127" s="38">
        <v>38</v>
      </c>
      <c r="B127" s="39">
        <f>資料儲存!D579</f>
        <v>0</v>
      </c>
      <c r="C127" s="39">
        <f>資料儲存!E579</f>
        <v>0</v>
      </c>
      <c r="D127" s="39">
        <f>資料儲存!F579</f>
        <v>0</v>
      </c>
      <c r="E127" s="39">
        <f>資料儲存!G579</f>
        <v>0</v>
      </c>
      <c r="F127" s="39">
        <f>資料儲存!H579</f>
        <v>0</v>
      </c>
      <c r="G127" s="39">
        <f>資料儲存!I579</f>
        <v>0</v>
      </c>
      <c r="H127" s="39">
        <f>資料儲存!J579</f>
        <v>0</v>
      </c>
      <c r="I127" s="35"/>
      <c r="J127" s="38">
        <v>38</v>
      </c>
      <c r="K127" s="39">
        <f>資料儲存!D699</f>
        <v>0</v>
      </c>
      <c r="L127" s="39">
        <f>資料儲存!E699</f>
        <v>0</v>
      </c>
      <c r="M127" s="39">
        <f>資料儲存!F699</f>
        <v>0</v>
      </c>
      <c r="N127" s="39">
        <f>資料儲存!G699</f>
        <v>0</v>
      </c>
      <c r="O127" s="39">
        <f>資料儲存!H699</f>
        <v>0</v>
      </c>
      <c r="P127" s="39">
        <f>資料儲存!I699</f>
        <v>0</v>
      </c>
      <c r="Q127" s="39">
        <f>資料儲存!J699</f>
        <v>0</v>
      </c>
      <c r="R127" s="35"/>
      <c r="S127" s="38">
        <v>38</v>
      </c>
      <c r="T127" s="39">
        <f>資料儲存!D819</f>
        <v>0</v>
      </c>
      <c r="U127" s="39">
        <f>資料儲存!E819</f>
        <v>0</v>
      </c>
      <c r="V127" s="39">
        <f>資料儲存!F819</f>
        <v>0</v>
      </c>
      <c r="W127" s="39">
        <f>資料儲存!G819</f>
        <v>0</v>
      </c>
      <c r="X127" s="39">
        <f>資料儲存!H819</f>
        <v>0</v>
      </c>
      <c r="Y127" s="39">
        <f>資料儲存!I819</f>
        <v>0</v>
      </c>
      <c r="Z127" s="39">
        <f>資料儲存!J819</f>
        <v>0</v>
      </c>
      <c r="AA127" s="35"/>
      <c r="AB127" s="38">
        <v>38</v>
      </c>
      <c r="AC127" s="39">
        <f>資料儲存!D939</f>
        <v>0</v>
      </c>
      <c r="AD127" s="39">
        <f>資料儲存!E939</f>
        <v>0</v>
      </c>
      <c r="AE127" s="39">
        <f>資料儲存!F939</f>
        <v>0</v>
      </c>
      <c r="AF127" s="39">
        <f>資料儲存!G939</f>
        <v>0</v>
      </c>
      <c r="AG127" s="39">
        <f>資料儲存!H939</f>
        <v>0</v>
      </c>
      <c r="AH127" s="39">
        <f>資料儲存!I939</f>
        <v>0</v>
      </c>
      <c r="AI127" s="39">
        <f>資料儲存!J939</f>
        <v>0</v>
      </c>
      <c r="AJ127" s="13"/>
    </row>
    <row r="128" spans="1:36" ht="16" thickBot="1">
      <c r="A128" s="38">
        <v>39</v>
      </c>
      <c r="B128" s="39">
        <f>資料儲存!D580</f>
        <v>0</v>
      </c>
      <c r="C128" s="39">
        <f>資料儲存!E580</f>
        <v>0</v>
      </c>
      <c r="D128" s="39">
        <f>資料儲存!F580</f>
        <v>0</v>
      </c>
      <c r="E128" s="39">
        <f>資料儲存!G580</f>
        <v>0</v>
      </c>
      <c r="F128" s="39">
        <f>資料儲存!H580</f>
        <v>0</v>
      </c>
      <c r="G128" s="39">
        <f>資料儲存!I580</f>
        <v>0</v>
      </c>
      <c r="H128" s="39">
        <f>資料儲存!J580</f>
        <v>0</v>
      </c>
      <c r="I128" s="35"/>
      <c r="J128" s="38">
        <v>39</v>
      </c>
      <c r="K128" s="39">
        <f>資料儲存!D700</f>
        <v>0</v>
      </c>
      <c r="L128" s="39">
        <f>資料儲存!E700</f>
        <v>0</v>
      </c>
      <c r="M128" s="39">
        <f>資料儲存!F700</f>
        <v>0</v>
      </c>
      <c r="N128" s="39">
        <f>資料儲存!G700</f>
        <v>0</v>
      </c>
      <c r="O128" s="39">
        <f>資料儲存!H700</f>
        <v>0</v>
      </c>
      <c r="P128" s="39">
        <f>資料儲存!I700</f>
        <v>0</v>
      </c>
      <c r="Q128" s="39">
        <f>資料儲存!J700</f>
        <v>0</v>
      </c>
      <c r="R128" s="35"/>
      <c r="S128" s="38">
        <v>39</v>
      </c>
      <c r="T128" s="39">
        <f>資料儲存!D820</f>
        <v>0</v>
      </c>
      <c r="U128" s="39">
        <f>資料儲存!E820</f>
        <v>0</v>
      </c>
      <c r="V128" s="39">
        <f>資料儲存!F820</f>
        <v>0</v>
      </c>
      <c r="W128" s="39">
        <f>資料儲存!G820</f>
        <v>0</v>
      </c>
      <c r="X128" s="39">
        <f>資料儲存!H820</f>
        <v>0</v>
      </c>
      <c r="Y128" s="39">
        <f>資料儲存!I820</f>
        <v>0</v>
      </c>
      <c r="Z128" s="39">
        <f>資料儲存!J820</f>
        <v>0</v>
      </c>
      <c r="AA128" s="35"/>
      <c r="AB128" s="38">
        <v>39</v>
      </c>
      <c r="AC128" s="39">
        <f>資料儲存!D940</f>
        <v>0</v>
      </c>
      <c r="AD128" s="39">
        <f>資料儲存!E940</f>
        <v>0</v>
      </c>
      <c r="AE128" s="39">
        <f>資料儲存!F940</f>
        <v>0</v>
      </c>
      <c r="AF128" s="39">
        <f>資料儲存!G940</f>
        <v>0</v>
      </c>
      <c r="AG128" s="39">
        <f>資料儲存!H940</f>
        <v>0</v>
      </c>
      <c r="AH128" s="39">
        <f>資料儲存!I940</f>
        <v>0</v>
      </c>
      <c r="AI128" s="39">
        <f>資料儲存!J940</f>
        <v>0</v>
      </c>
      <c r="AJ128" s="13"/>
    </row>
    <row r="129" spans="1:36" ht="16" thickBot="1">
      <c r="A129" s="38">
        <v>40</v>
      </c>
      <c r="B129" s="39">
        <f>資料儲存!D581</f>
        <v>0</v>
      </c>
      <c r="C129" s="39">
        <f>資料儲存!E581</f>
        <v>0</v>
      </c>
      <c r="D129" s="39">
        <f>資料儲存!F581</f>
        <v>0</v>
      </c>
      <c r="E129" s="39">
        <f>資料儲存!G581</f>
        <v>0</v>
      </c>
      <c r="F129" s="39">
        <f>資料儲存!H581</f>
        <v>0</v>
      </c>
      <c r="G129" s="39">
        <f>資料儲存!I581</f>
        <v>0</v>
      </c>
      <c r="H129" s="39">
        <f>資料儲存!J581</f>
        <v>0</v>
      </c>
      <c r="I129" s="35"/>
      <c r="J129" s="38">
        <v>40</v>
      </c>
      <c r="K129" s="39">
        <f>資料儲存!D701</f>
        <v>0</v>
      </c>
      <c r="L129" s="39">
        <f>資料儲存!E701</f>
        <v>0</v>
      </c>
      <c r="M129" s="39">
        <f>資料儲存!F701</f>
        <v>0</v>
      </c>
      <c r="N129" s="39">
        <f>資料儲存!G701</f>
        <v>0</v>
      </c>
      <c r="O129" s="39">
        <f>資料儲存!H701</f>
        <v>0</v>
      </c>
      <c r="P129" s="39">
        <f>資料儲存!I701</f>
        <v>0</v>
      </c>
      <c r="Q129" s="39">
        <f>資料儲存!J701</f>
        <v>0</v>
      </c>
      <c r="R129" s="35"/>
      <c r="S129" s="38">
        <v>40</v>
      </c>
      <c r="T129" s="39">
        <f>資料儲存!D821</f>
        <v>0</v>
      </c>
      <c r="U129" s="39">
        <f>資料儲存!E821</f>
        <v>0</v>
      </c>
      <c r="V129" s="39">
        <f>資料儲存!F821</f>
        <v>0</v>
      </c>
      <c r="W129" s="39">
        <f>資料儲存!G821</f>
        <v>0</v>
      </c>
      <c r="X129" s="39">
        <f>資料儲存!H821</f>
        <v>0</v>
      </c>
      <c r="Y129" s="39">
        <f>資料儲存!I821</f>
        <v>0</v>
      </c>
      <c r="Z129" s="39">
        <f>資料儲存!J821</f>
        <v>0</v>
      </c>
      <c r="AA129" s="35"/>
      <c r="AB129" s="38">
        <v>40</v>
      </c>
      <c r="AC129" s="39">
        <f>資料儲存!D941</f>
        <v>0</v>
      </c>
      <c r="AD129" s="39">
        <f>資料儲存!E941</f>
        <v>0</v>
      </c>
      <c r="AE129" s="39">
        <f>資料儲存!F941</f>
        <v>0</v>
      </c>
      <c r="AF129" s="39">
        <f>資料儲存!G941</f>
        <v>0</v>
      </c>
      <c r="AG129" s="39">
        <f>資料儲存!H941</f>
        <v>0</v>
      </c>
      <c r="AH129" s="39">
        <f>資料儲存!I941</f>
        <v>0</v>
      </c>
      <c r="AI129" s="39">
        <f>資料儲存!J941</f>
        <v>0</v>
      </c>
      <c r="AJ129" s="13"/>
    </row>
    <row r="130" spans="1:36" ht="16" thickBot="1">
      <c r="A130" s="38">
        <v>41</v>
      </c>
      <c r="B130" s="39">
        <f>資料儲存!D582</f>
        <v>0</v>
      </c>
      <c r="C130" s="39">
        <f>資料儲存!E582</f>
        <v>0</v>
      </c>
      <c r="D130" s="39">
        <f>資料儲存!F582</f>
        <v>0</v>
      </c>
      <c r="E130" s="39">
        <f>資料儲存!G582</f>
        <v>0</v>
      </c>
      <c r="F130" s="39">
        <f>資料儲存!H582</f>
        <v>0</v>
      </c>
      <c r="G130" s="39">
        <f>資料儲存!I582</f>
        <v>0</v>
      </c>
      <c r="H130" s="39">
        <f>資料儲存!J582</f>
        <v>0</v>
      </c>
      <c r="I130" s="35"/>
      <c r="J130" s="38">
        <v>41</v>
      </c>
      <c r="K130" s="39">
        <f>資料儲存!D702</f>
        <v>0</v>
      </c>
      <c r="L130" s="39">
        <f>資料儲存!E702</f>
        <v>0</v>
      </c>
      <c r="M130" s="39">
        <f>資料儲存!F702</f>
        <v>0</v>
      </c>
      <c r="N130" s="39">
        <f>資料儲存!G702</f>
        <v>0</v>
      </c>
      <c r="O130" s="39">
        <f>資料儲存!H702</f>
        <v>0</v>
      </c>
      <c r="P130" s="39">
        <f>資料儲存!I702</f>
        <v>0</v>
      </c>
      <c r="Q130" s="39">
        <f>資料儲存!J702</f>
        <v>0</v>
      </c>
      <c r="R130" s="35"/>
      <c r="S130" s="38">
        <v>41</v>
      </c>
      <c r="T130" s="39">
        <f>資料儲存!D822</f>
        <v>0</v>
      </c>
      <c r="U130" s="39">
        <f>資料儲存!E822</f>
        <v>0</v>
      </c>
      <c r="V130" s="39">
        <f>資料儲存!F822</f>
        <v>0</v>
      </c>
      <c r="W130" s="39">
        <f>資料儲存!G822</f>
        <v>0</v>
      </c>
      <c r="X130" s="39">
        <f>資料儲存!H822</f>
        <v>0</v>
      </c>
      <c r="Y130" s="39">
        <f>資料儲存!I822</f>
        <v>0</v>
      </c>
      <c r="Z130" s="39">
        <f>資料儲存!J822</f>
        <v>0</v>
      </c>
      <c r="AA130" s="35"/>
      <c r="AB130" s="38">
        <v>41</v>
      </c>
      <c r="AC130" s="39">
        <f>資料儲存!D942</f>
        <v>0</v>
      </c>
      <c r="AD130" s="39">
        <f>資料儲存!E942</f>
        <v>0</v>
      </c>
      <c r="AE130" s="39">
        <f>資料儲存!F942</f>
        <v>0</v>
      </c>
      <c r="AF130" s="39">
        <f>資料儲存!G942</f>
        <v>0</v>
      </c>
      <c r="AG130" s="39">
        <f>資料儲存!H942</f>
        <v>0</v>
      </c>
      <c r="AH130" s="39">
        <f>資料儲存!I942</f>
        <v>0</v>
      </c>
      <c r="AI130" s="39">
        <f>資料儲存!J942</f>
        <v>0</v>
      </c>
      <c r="AJ130" s="13"/>
    </row>
    <row r="131" spans="1:36" ht="16" thickBot="1">
      <c r="A131" s="38">
        <v>42</v>
      </c>
      <c r="B131" s="39">
        <f>資料儲存!D583</f>
        <v>0</v>
      </c>
      <c r="C131" s="39">
        <f>資料儲存!E583</f>
        <v>0</v>
      </c>
      <c r="D131" s="39">
        <f>資料儲存!F583</f>
        <v>0</v>
      </c>
      <c r="E131" s="39">
        <f>資料儲存!G583</f>
        <v>0</v>
      </c>
      <c r="F131" s="39">
        <f>資料儲存!H583</f>
        <v>0</v>
      </c>
      <c r="G131" s="39">
        <f>資料儲存!I583</f>
        <v>0</v>
      </c>
      <c r="H131" s="39">
        <f>資料儲存!J583</f>
        <v>0</v>
      </c>
      <c r="I131" s="35"/>
      <c r="J131" s="38">
        <v>42</v>
      </c>
      <c r="K131" s="39">
        <f>資料儲存!D703</f>
        <v>0</v>
      </c>
      <c r="L131" s="39">
        <f>資料儲存!E703</f>
        <v>0</v>
      </c>
      <c r="M131" s="39">
        <f>資料儲存!F703</f>
        <v>0</v>
      </c>
      <c r="N131" s="39">
        <f>資料儲存!G703</f>
        <v>0</v>
      </c>
      <c r="O131" s="39">
        <f>資料儲存!H703</f>
        <v>0</v>
      </c>
      <c r="P131" s="39">
        <f>資料儲存!I703</f>
        <v>0</v>
      </c>
      <c r="Q131" s="39">
        <f>資料儲存!J703</f>
        <v>0</v>
      </c>
      <c r="R131" s="35"/>
      <c r="S131" s="38">
        <v>42</v>
      </c>
      <c r="T131" s="39">
        <f>資料儲存!D823</f>
        <v>0</v>
      </c>
      <c r="U131" s="39">
        <f>資料儲存!E823</f>
        <v>0</v>
      </c>
      <c r="V131" s="39">
        <f>資料儲存!F823</f>
        <v>0</v>
      </c>
      <c r="W131" s="39">
        <f>資料儲存!G823</f>
        <v>0</v>
      </c>
      <c r="X131" s="39">
        <f>資料儲存!H823</f>
        <v>0</v>
      </c>
      <c r="Y131" s="39">
        <f>資料儲存!I823</f>
        <v>0</v>
      </c>
      <c r="Z131" s="39">
        <f>資料儲存!J823</f>
        <v>0</v>
      </c>
      <c r="AA131" s="35"/>
      <c r="AB131" s="38">
        <v>42</v>
      </c>
      <c r="AC131" s="39">
        <f>資料儲存!D943</f>
        <v>0</v>
      </c>
      <c r="AD131" s="39">
        <f>資料儲存!E943</f>
        <v>0</v>
      </c>
      <c r="AE131" s="39">
        <f>資料儲存!F943</f>
        <v>0</v>
      </c>
      <c r="AF131" s="39">
        <f>資料儲存!G943</f>
        <v>0</v>
      </c>
      <c r="AG131" s="39">
        <f>資料儲存!H943</f>
        <v>0</v>
      </c>
      <c r="AH131" s="39">
        <f>資料儲存!I943</f>
        <v>0</v>
      </c>
      <c r="AI131" s="39">
        <f>資料儲存!J943</f>
        <v>0</v>
      </c>
      <c r="AJ131" s="13"/>
    </row>
    <row r="132" spans="1:36" ht="16" thickBot="1">
      <c r="A132" s="38">
        <v>43</v>
      </c>
      <c r="B132" s="39">
        <f>資料儲存!D584</f>
        <v>0</v>
      </c>
      <c r="C132" s="39">
        <f>資料儲存!E584</f>
        <v>0</v>
      </c>
      <c r="D132" s="39">
        <f>資料儲存!F584</f>
        <v>0</v>
      </c>
      <c r="E132" s="39">
        <f>資料儲存!G584</f>
        <v>0</v>
      </c>
      <c r="F132" s="39">
        <f>資料儲存!H584</f>
        <v>0</v>
      </c>
      <c r="G132" s="39">
        <f>資料儲存!I584</f>
        <v>0</v>
      </c>
      <c r="H132" s="39">
        <f>資料儲存!J584</f>
        <v>0</v>
      </c>
      <c r="I132" s="35"/>
      <c r="J132" s="38">
        <v>43</v>
      </c>
      <c r="K132" s="39">
        <f>資料儲存!D704</f>
        <v>0</v>
      </c>
      <c r="L132" s="39">
        <f>資料儲存!E704</f>
        <v>0</v>
      </c>
      <c r="M132" s="39">
        <f>資料儲存!F704</f>
        <v>0</v>
      </c>
      <c r="N132" s="39">
        <f>資料儲存!G704</f>
        <v>0</v>
      </c>
      <c r="O132" s="39">
        <f>資料儲存!H704</f>
        <v>0</v>
      </c>
      <c r="P132" s="39">
        <f>資料儲存!I704</f>
        <v>0</v>
      </c>
      <c r="Q132" s="39">
        <f>資料儲存!J704</f>
        <v>0</v>
      </c>
      <c r="R132" s="35"/>
      <c r="S132" s="38">
        <v>43</v>
      </c>
      <c r="T132" s="39">
        <f>資料儲存!D824</f>
        <v>0</v>
      </c>
      <c r="U132" s="39">
        <f>資料儲存!E824</f>
        <v>0</v>
      </c>
      <c r="V132" s="39">
        <f>資料儲存!F824</f>
        <v>0</v>
      </c>
      <c r="W132" s="39">
        <f>資料儲存!G824</f>
        <v>0</v>
      </c>
      <c r="X132" s="39">
        <f>資料儲存!H824</f>
        <v>0</v>
      </c>
      <c r="Y132" s="39">
        <f>資料儲存!I824</f>
        <v>0</v>
      </c>
      <c r="Z132" s="39">
        <f>資料儲存!J824</f>
        <v>0</v>
      </c>
      <c r="AA132" s="35"/>
      <c r="AB132" s="38">
        <v>43</v>
      </c>
      <c r="AC132" s="39">
        <f>資料儲存!D944</f>
        <v>0</v>
      </c>
      <c r="AD132" s="39">
        <f>資料儲存!E944</f>
        <v>0</v>
      </c>
      <c r="AE132" s="39">
        <f>資料儲存!F944</f>
        <v>0</v>
      </c>
      <c r="AF132" s="39">
        <f>資料儲存!G944</f>
        <v>0</v>
      </c>
      <c r="AG132" s="39">
        <f>資料儲存!H944</f>
        <v>0</v>
      </c>
      <c r="AH132" s="39">
        <f>資料儲存!I944</f>
        <v>0</v>
      </c>
      <c r="AI132" s="39">
        <f>資料儲存!J944</f>
        <v>0</v>
      </c>
      <c r="AJ132" s="13"/>
    </row>
    <row r="133" spans="1:36" ht="16" thickBot="1">
      <c r="A133" s="38">
        <v>44</v>
      </c>
      <c r="B133" s="39">
        <f>資料儲存!D585</f>
        <v>0</v>
      </c>
      <c r="C133" s="39">
        <f>資料儲存!E585</f>
        <v>0</v>
      </c>
      <c r="D133" s="39">
        <f>資料儲存!F585</f>
        <v>0</v>
      </c>
      <c r="E133" s="39">
        <f>資料儲存!G585</f>
        <v>0</v>
      </c>
      <c r="F133" s="39">
        <f>資料儲存!H585</f>
        <v>0</v>
      </c>
      <c r="G133" s="39">
        <f>資料儲存!I585</f>
        <v>0</v>
      </c>
      <c r="H133" s="39">
        <f>資料儲存!J585</f>
        <v>0</v>
      </c>
      <c r="I133" s="35"/>
      <c r="J133" s="38">
        <v>44</v>
      </c>
      <c r="K133" s="39">
        <f>資料儲存!D705</f>
        <v>0</v>
      </c>
      <c r="L133" s="39">
        <f>資料儲存!E705</f>
        <v>0</v>
      </c>
      <c r="M133" s="39">
        <f>資料儲存!F705</f>
        <v>0</v>
      </c>
      <c r="N133" s="39">
        <f>資料儲存!G705</f>
        <v>0</v>
      </c>
      <c r="O133" s="39">
        <f>資料儲存!H705</f>
        <v>0</v>
      </c>
      <c r="P133" s="39">
        <f>資料儲存!I705</f>
        <v>0</v>
      </c>
      <c r="Q133" s="39">
        <f>資料儲存!J705</f>
        <v>0</v>
      </c>
      <c r="R133" s="35"/>
      <c r="S133" s="38">
        <v>44</v>
      </c>
      <c r="T133" s="39">
        <f>資料儲存!D825</f>
        <v>0</v>
      </c>
      <c r="U133" s="39">
        <f>資料儲存!E825</f>
        <v>0</v>
      </c>
      <c r="V133" s="39">
        <f>資料儲存!F825</f>
        <v>0</v>
      </c>
      <c r="W133" s="39">
        <f>資料儲存!G825</f>
        <v>0</v>
      </c>
      <c r="X133" s="39">
        <f>資料儲存!H825</f>
        <v>0</v>
      </c>
      <c r="Y133" s="39">
        <f>資料儲存!I825</f>
        <v>0</v>
      </c>
      <c r="Z133" s="39">
        <f>資料儲存!J825</f>
        <v>0</v>
      </c>
      <c r="AA133" s="35"/>
      <c r="AB133" s="38">
        <v>44</v>
      </c>
      <c r="AC133" s="39">
        <f>資料儲存!D945</f>
        <v>0</v>
      </c>
      <c r="AD133" s="39">
        <f>資料儲存!E945</f>
        <v>0</v>
      </c>
      <c r="AE133" s="39">
        <f>資料儲存!F945</f>
        <v>0</v>
      </c>
      <c r="AF133" s="39">
        <f>資料儲存!G945</f>
        <v>0</v>
      </c>
      <c r="AG133" s="39">
        <f>資料儲存!H945</f>
        <v>0</v>
      </c>
      <c r="AH133" s="39">
        <f>資料儲存!I945</f>
        <v>0</v>
      </c>
      <c r="AI133" s="39">
        <f>資料儲存!J945</f>
        <v>0</v>
      </c>
      <c r="AJ133" s="13"/>
    </row>
    <row r="134" spans="1:36" ht="16" thickBot="1">
      <c r="A134" s="38">
        <v>45</v>
      </c>
      <c r="B134" s="39">
        <f>資料儲存!D586</f>
        <v>0</v>
      </c>
      <c r="C134" s="39">
        <f>資料儲存!E586</f>
        <v>0</v>
      </c>
      <c r="D134" s="39">
        <f>資料儲存!F586</f>
        <v>0</v>
      </c>
      <c r="E134" s="39">
        <f>資料儲存!G586</f>
        <v>0</v>
      </c>
      <c r="F134" s="39">
        <f>資料儲存!H586</f>
        <v>0</v>
      </c>
      <c r="G134" s="39">
        <f>資料儲存!I586</f>
        <v>0</v>
      </c>
      <c r="H134" s="39">
        <f>資料儲存!J586</f>
        <v>0</v>
      </c>
      <c r="I134" s="35"/>
      <c r="J134" s="38">
        <v>45</v>
      </c>
      <c r="K134" s="39">
        <f>資料儲存!D706</f>
        <v>0</v>
      </c>
      <c r="L134" s="39">
        <f>資料儲存!E706</f>
        <v>0</v>
      </c>
      <c r="M134" s="39">
        <f>資料儲存!F706</f>
        <v>0</v>
      </c>
      <c r="N134" s="39">
        <f>資料儲存!G706</f>
        <v>0</v>
      </c>
      <c r="O134" s="39">
        <f>資料儲存!H706</f>
        <v>0</v>
      </c>
      <c r="P134" s="39">
        <f>資料儲存!I706</f>
        <v>0</v>
      </c>
      <c r="Q134" s="39">
        <f>資料儲存!J706</f>
        <v>0</v>
      </c>
      <c r="R134" s="35"/>
      <c r="S134" s="38">
        <v>45</v>
      </c>
      <c r="T134" s="39">
        <f>資料儲存!D826</f>
        <v>0</v>
      </c>
      <c r="U134" s="39">
        <f>資料儲存!E826</f>
        <v>0</v>
      </c>
      <c r="V134" s="39">
        <f>資料儲存!F826</f>
        <v>0</v>
      </c>
      <c r="W134" s="39">
        <f>資料儲存!G826</f>
        <v>0</v>
      </c>
      <c r="X134" s="39">
        <f>資料儲存!H826</f>
        <v>0</v>
      </c>
      <c r="Y134" s="39">
        <f>資料儲存!I826</f>
        <v>0</v>
      </c>
      <c r="Z134" s="39">
        <f>資料儲存!J826</f>
        <v>0</v>
      </c>
      <c r="AA134" s="35"/>
      <c r="AB134" s="38">
        <v>45</v>
      </c>
      <c r="AC134" s="39">
        <f>資料儲存!D946</f>
        <v>0</v>
      </c>
      <c r="AD134" s="39">
        <f>資料儲存!E946</f>
        <v>0</v>
      </c>
      <c r="AE134" s="39">
        <f>資料儲存!F946</f>
        <v>0</v>
      </c>
      <c r="AF134" s="39">
        <f>資料儲存!G946</f>
        <v>0</v>
      </c>
      <c r="AG134" s="39">
        <f>資料儲存!H946</f>
        <v>0</v>
      </c>
      <c r="AH134" s="39">
        <f>資料儲存!I946</f>
        <v>0</v>
      </c>
      <c r="AI134" s="39">
        <f>資料儲存!J946</f>
        <v>0</v>
      </c>
      <c r="AJ134" s="13"/>
    </row>
    <row r="135" spans="1:36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13"/>
    </row>
    <row r="136" spans="1:36" ht="18.5" thickBot="1">
      <c r="A136" s="250" t="s">
        <v>69</v>
      </c>
      <c r="B136" s="251"/>
      <c r="C136" s="251"/>
      <c r="D136" s="251"/>
      <c r="E136" s="251"/>
      <c r="F136" s="251"/>
      <c r="G136" s="251"/>
      <c r="H136" s="252"/>
      <c r="I136" s="13"/>
      <c r="J136" s="250" t="s">
        <v>69</v>
      </c>
      <c r="K136" s="251"/>
      <c r="L136" s="251"/>
      <c r="M136" s="251"/>
      <c r="N136" s="251"/>
      <c r="O136" s="251"/>
      <c r="P136" s="251"/>
      <c r="Q136" s="252"/>
      <c r="R136" s="13"/>
      <c r="S136" s="250" t="s">
        <v>69</v>
      </c>
      <c r="T136" s="251"/>
      <c r="U136" s="251"/>
      <c r="V136" s="251"/>
      <c r="W136" s="251"/>
      <c r="X136" s="251"/>
      <c r="Y136" s="251"/>
      <c r="Z136" s="252"/>
      <c r="AA136" s="13"/>
      <c r="AB136" s="250" t="s">
        <v>69</v>
      </c>
      <c r="AC136" s="251"/>
      <c r="AD136" s="251"/>
      <c r="AE136" s="251"/>
      <c r="AF136" s="251"/>
      <c r="AG136" s="251"/>
      <c r="AH136" s="251"/>
      <c r="AI136" s="252"/>
      <c r="AJ136" s="13"/>
    </row>
    <row r="137" spans="1:36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</row>
    <row r="138" spans="1:36" ht="16" thickBot="1">
      <c r="A138" s="46" t="s">
        <v>70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 t="s">
        <v>70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 t="s">
        <v>70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 t="s">
        <v>70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</row>
    <row r="139" spans="1:36" ht="16" thickBot="1">
      <c r="A139" s="48">
        <v>46</v>
      </c>
      <c r="B139" s="49">
        <f>資料儲存!D587</f>
        <v>0</v>
      </c>
      <c r="C139" s="49">
        <f>資料儲存!E587</f>
        <v>0</v>
      </c>
      <c r="D139" s="49">
        <f>資料儲存!F587</f>
        <v>0</v>
      </c>
      <c r="E139" s="49">
        <f>資料儲存!G587</f>
        <v>0</v>
      </c>
      <c r="F139" s="49">
        <f>資料儲存!H587</f>
        <v>0</v>
      </c>
      <c r="G139" s="49">
        <f>資料儲存!I587</f>
        <v>0</v>
      </c>
      <c r="H139" s="49">
        <f>資料儲存!J587</f>
        <v>0</v>
      </c>
      <c r="I139" s="45"/>
      <c r="J139" s="48">
        <v>46</v>
      </c>
      <c r="K139" s="49">
        <f>資料儲存!D707</f>
        <v>0</v>
      </c>
      <c r="L139" s="49">
        <f>資料儲存!E707</f>
        <v>0</v>
      </c>
      <c r="M139" s="49">
        <f>資料儲存!F707</f>
        <v>0</v>
      </c>
      <c r="N139" s="49">
        <f>資料儲存!G707</f>
        <v>0</v>
      </c>
      <c r="O139" s="49">
        <f>資料儲存!H707</f>
        <v>0</v>
      </c>
      <c r="P139" s="49">
        <f>資料儲存!I707</f>
        <v>0</v>
      </c>
      <c r="Q139" s="49">
        <f>資料儲存!J707</f>
        <v>0</v>
      </c>
      <c r="R139" s="45"/>
      <c r="S139" s="48">
        <v>46</v>
      </c>
      <c r="T139" s="49">
        <f>資料儲存!D827</f>
        <v>0</v>
      </c>
      <c r="U139" s="49">
        <f>資料儲存!E827</f>
        <v>0</v>
      </c>
      <c r="V139" s="49">
        <f>資料儲存!F827</f>
        <v>0</v>
      </c>
      <c r="W139" s="49">
        <f>資料儲存!G827</f>
        <v>0</v>
      </c>
      <c r="X139" s="49">
        <f>資料儲存!H827</f>
        <v>0</v>
      </c>
      <c r="Y139" s="49">
        <f>資料儲存!I827</f>
        <v>0</v>
      </c>
      <c r="Z139" s="49">
        <f>資料儲存!J827</f>
        <v>0</v>
      </c>
      <c r="AA139" s="45"/>
      <c r="AB139" s="48">
        <v>46</v>
      </c>
      <c r="AC139" s="49">
        <f>資料儲存!D947</f>
        <v>0</v>
      </c>
      <c r="AD139" s="49">
        <f>資料儲存!E947</f>
        <v>0</v>
      </c>
      <c r="AE139" s="49">
        <f>資料儲存!F947</f>
        <v>0</v>
      </c>
      <c r="AF139" s="49">
        <f>資料儲存!G947</f>
        <v>0</v>
      </c>
      <c r="AG139" s="49">
        <f>資料儲存!H947</f>
        <v>0</v>
      </c>
      <c r="AH139" s="49">
        <f>資料儲存!I947</f>
        <v>0</v>
      </c>
      <c r="AI139" s="49">
        <f>資料儲存!J947</f>
        <v>0</v>
      </c>
      <c r="AJ139" s="13"/>
    </row>
    <row r="140" spans="1:36" ht="16" thickBot="1">
      <c r="A140" s="48">
        <v>47</v>
      </c>
      <c r="B140" s="49">
        <f>資料儲存!D588</f>
        <v>0</v>
      </c>
      <c r="C140" s="49">
        <f>資料儲存!E588</f>
        <v>0</v>
      </c>
      <c r="D140" s="49">
        <f>資料儲存!F588</f>
        <v>0</v>
      </c>
      <c r="E140" s="49">
        <f>資料儲存!G588</f>
        <v>0</v>
      </c>
      <c r="F140" s="49">
        <f>資料儲存!H588</f>
        <v>0</v>
      </c>
      <c r="G140" s="49">
        <f>資料儲存!I588</f>
        <v>0</v>
      </c>
      <c r="H140" s="49">
        <f>資料儲存!J588</f>
        <v>0</v>
      </c>
      <c r="I140" s="45"/>
      <c r="J140" s="48">
        <v>47</v>
      </c>
      <c r="K140" s="49">
        <f>資料儲存!D708</f>
        <v>0</v>
      </c>
      <c r="L140" s="49">
        <f>資料儲存!E708</f>
        <v>0</v>
      </c>
      <c r="M140" s="49">
        <f>資料儲存!F708</f>
        <v>0</v>
      </c>
      <c r="N140" s="49">
        <f>資料儲存!G708</f>
        <v>0</v>
      </c>
      <c r="O140" s="49">
        <f>資料儲存!H708</f>
        <v>0</v>
      </c>
      <c r="P140" s="49">
        <f>資料儲存!I708</f>
        <v>0</v>
      </c>
      <c r="Q140" s="49">
        <f>資料儲存!J708</f>
        <v>0</v>
      </c>
      <c r="R140" s="45"/>
      <c r="S140" s="48">
        <v>47</v>
      </c>
      <c r="T140" s="49">
        <f>資料儲存!D828</f>
        <v>0</v>
      </c>
      <c r="U140" s="49">
        <f>資料儲存!E828</f>
        <v>0</v>
      </c>
      <c r="V140" s="49">
        <f>資料儲存!F828</f>
        <v>0</v>
      </c>
      <c r="W140" s="49">
        <f>資料儲存!G828</f>
        <v>0</v>
      </c>
      <c r="X140" s="49">
        <f>資料儲存!H828</f>
        <v>0</v>
      </c>
      <c r="Y140" s="49">
        <f>資料儲存!I828</f>
        <v>0</v>
      </c>
      <c r="Z140" s="49">
        <f>資料儲存!J828</f>
        <v>0</v>
      </c>
      <c r="AA140" s="45"/>
      <c r="AB140" s="48">
        <v>47</v>
      </c>
      <c r="AC140" s="49">
        <f>資料儲存!D948</f>
        <v>0</v>
      </c>
      <c r="AD140" s="49">
        <f>資料儲存!E948</f>
        <v>0</v>
      </c>
      <c r="AE140" s="49">
        <f>資料儲存!F948</f>
        <v>0</v>
      </c>
      <c r="AF140" s="49">
        <f>資料儲存!G948</f>
        <v>0</v>
      </c>
      <c r="AG140" s="49">
        <f>資料儲存!H948</f>
        <v>0</v>
      </c>
      <c r="AH140" s="49">
        <f>資料儲存!I948</f>
        <v>0</v>
      </c>
      <c r="AI140" s="49">
        <f>資料儲存!J948</f>
        <v>0</v>
      </c>
      <c r="AJ140" s="13"/>
    </row>
    <row r="141" spans="1:36" ht="16" thickBot="1">
      <c r="A141" s="48">
        <v>48</v>
      </c>
      <c r="B141" s="49">
        <f>資料儲存!D589</f>
        <v>0</v>
      </c>
      <c r="C141" s="49">
        <f>資料儲存!E589</f>
        <v>0</v>
      </c>
      <c r="D141" s="49">
        <f>資料儲存!F589</f>
        <v>0</v>
      </c>
      <c r="E141" s="49">
        <f>資料儲存!G589</f>
        <v>0</v>
      </c>
      <c r="F141" s="49">
        <f>資料儲存!H589</f>
        <v>0</v>
      </c>
      <c r="G141" s="49">
        <f>資料儲存!I589</f>
        <v>0</v>
      </c>
      <c r="H141" s="49">
        <f>資料儲存!J589</f>
        <v>0</v>
      </c>
      <c r="I141" s="45"/>
      <c r="J141" s="48">
        <v>48</v>
      </c>
      <c r="K141" s="49">
        <f>資料儲存!D709</f>
        <v>0</v>
      </c>
      <c r="L141" s="49">
        <f>資料儲存!E709</f>
        <v>0</v>
      </c>
      <c r="M141" s="49">
        <f>資料儲存!F709</f>
        <v>0</v>
      </c>
      <c r="N141" s="49">
        <f>資料儲存!G709</f>
        <v>0</v>
      </c>
      <c r="O141" s="49">
        <f>資料儲存!H709</f>
        <v>0</v>
      </c>
      <c r="P141" s="49">
        <f>資料儲存!I709</f>
        <v>0</v>
      </c>
      <c r="Q141" s="49">
        <f>資料儲存!J709</f>
        <v>0</v>
      </c>
      <c r="R141" s="45"/>
      <c r="S141" s="48">
        <v>48</v>
      </c>
      <c r="T141" s="49">
        <f>資料儲存!D829</f>
        <v>0</v>
      </c>
      <c r="U141" s="49">
        <f>資料儲存!E829</f>
        <v>0</v>
      </c>
      <c r="V141" s="49">
        <f>資料儲存!F829</f>
        <v>0</v>
      </c>
      <c r="W141" s="49">
        <f>資料儲存!G829</f>
        <v>0</v>
      </c>
      <c r="X141" s="49">
        <f>資料儲存!H829</f>
        <v>0</v>
      </c>
      <c r="Y141" s="49">
        <f>資料儲存!I829</f>
        <v>0</v>
      </c>
      <c r="Z141" s="49">
        <f>資料儲存!J829</f>
        <v>0</v>
      </c>
      <c r="AA141" s="45"/>
      <c r="AB141" s="48">
        <v>48</v>
      </c>
      <c r="AC141" s="49">
        <f>資料儲存!D949</f>
        <v>0</v>
      </c>
      <c r="AD141" s="49">
        <f>資料儲存!E949</f>
        <v>0</v>
      </c>
      <c r="AE141" s="49">
        <f>資料儲存!F949</f>
        <v>0</v>
      </c>
      <c r="AF141" s="49">
        <f>資料儲存!G949</f>
        <v>0</v>
      </c>
      <c r="AG141" s="49">
        <f>資料儲存!H949</f>
        <v>0</v>
      </c>
      <c r="AH141" s="49">
        <f>資料儲存!I949</f>
        <v>0</v>
      </c>
      <c r="AI141" s="49">
        <f>資料儲存!J949</f>
        <v>0</v>
      </c>
      <c r="AJ141" s="13"/>
    </row>
    <row r="142" spans="1:36" ht="16" thickBot="1">
      <c r="A142" s="48">
        <v>49</v>
      </c>
      <c r="B142" s="49">
        <f>資料儲存!D590</f>
        <v>0</v>
      </c>
      <c r="C142" s="49">
        <f>資料儲存!E590</f>
        <v>0</v>
      </c>
      <c r="D142" s="49">
        <f>資料儲存!F590</f>
        <v>0</v>
      </c>
      <c r="E142" s="49">
        <f>資料儲存!G590</f>
        <v>0</v>
      </c>
      <c r="F142" s="49">
        <f>資料儲存!H590</f>
        <v>0</v>
      </c>
      <c r="G142" s="49">
        <f>資料儲存!I590</f>
        <v>0</v>
      </c>
      <c r="H142" s="49">
        <f>資料儲存!J590</f>
        <v>0</v>
      </c>
      <c r="I142" s="45"/>
      <c r="J142" s="48">
        <v>49</v>
      </c>
      <c r="K142" s="49">
        <f>資料儲存!D710</f>
        <v>0</v>
      </c>
      <c r="L142" s="49">
        <f>資料儲存!E710</f>
        <v>0</v>
      </c>
      <c r="M142" s="49">
        <f>資料儲存!F710</f>
        <v>0</v>
      </c>
      <c r="N142" s="49">
        <f>資料儲存!G710</f>
        <v>0</v>
      </c>
      <c r="O142" s="49">
        <f>資料儲存!H710</f>
        <v>0</v>
      </c>
      <c r="P142" s="49">
        <f>資料儲存!I710</f>
        <v>0</v>
      </c>
      <c r="Q142" s="49">
        <f>資料儲存!J710</f>
        <v>0</v>
      </c>
      <c r="R142" s="45"/>
      <c r="S142" s="48">
        <v>49</v>
      </c>
      <c r="T142" s="49">
        <f>資料儲存!D830</f>
        <v>0</v>
      </c>
      <c r="U142" s="49">
        <f>資料儲存!E830</f>
        <v>0</v>
      </c>
      <c r="V142" s="49">
        <f>資料儲存!F830</f>
        <v>0</v>
      </c>
      <c r="W142" s="49">
        <f>資料儲存!G830</f>
        <v>0</v>
      </c>
      <c r="X142" s="49">
        <f>資料儲存!H830</f>
        <v>0</v>
      </c>
      <c r="Y142" s="49">
        <f>資料儲存!I830</f>
        <v>0</v>
      </c>
      <c r="Z142" s="49">
        <f>資料儲存!J830</f>
        <v>0</v>
      </c>
      <c r="AA142" s="45"/>
      <c r="AB142" s="48">
        <v>49</v>
      </c>
      <c r="AC142" s="49">
        <f>資料儲存!D950</f>
        <v>0</v>
      </c>
      <c r="AD142" s="49">
        <f>資料儲存!E950</f>
        <v>0</v>
      </c>
      <c r="AE142" s="49">
        <f>資料儲存!F950</f>
        <v>0</v>
      </c>
      <c r="AF142" s="49">
        <f>資料儲存!G950</f>
        <v>0</v>
      </c>
      <c r="AG142" s="49">
        <f>資料儲存!H950</f>
        <v>0</v>
      </c>
      <c r="AH142" s="49">
        <f>資料儲存!I950</f>
        <v>0</v>
      </c>
      <c r="AI142" s="49">
        <f>資料儲存!J950</f>
        <v>0</v>
      </c>
      <c r="AJ142" s="13"/>
    </row>
    <row r="143" spans="1:36" ht="16" thickBot="1">
      <c r="A143" s="48">
        <v>50</v>
      </c>
      <c r="B143" s="49">
        <f>資料儲存!D591</f>
        <v>0</v>
      </c>
      <c r="C143" s="49">
        <f>資料儲存!E591</f>
        <v>0</v>
      </c>
      <c r="D143" s="49">
        <f>資料儲存!F591</f>
        <v>0</v>
      </c>
      <c r="E143" s="49">
        <f>資料儲存!G591</f>
        <v>0</v>
      </c>
      <c r="F143" s="49">
        <f>資料儲存!H591</f>
        <v>0</v>
      </c>
      <c r="G143" s="49">
        <f>資料儲存!I591</f>
        <v>0</v>
      </c>
      <c r="H143" s="49">
        <f>資料儲存!J591</f>
        <v>0</v>
      </c>
      <c r="I143" s="45"/>
      <c r="J143" s="48">
        <v>50</v>
      </c>
      <c r="K143" s="49">
        <f>資料儲存!D711</f>
        <v>0</v>
      </c>
      <c r="L143" s="49">
        <f>資料儲存!E711</f>
        <v>0</v>
      </c>
      <c r="M143" s="49">
        <f>資料儲存!F711</f>
        <v>0</v>
      </c>
      <c r="N143" s="49">
        <f>資料儲存!G711</f>
        <v>0</v>
      </c>
      <c r="O143" s="49">
        <f>資料儲存!H711</f>
        <v>0</v>
      </c>
      <c r="P143" s="49">
        <f>資料儲存!I711</f>
        <v>0</v>
      </c>
      <c r="Q143" s="49">
        <f>資料儲存!J711</f>
        <v>0</v>
      </c>
      <c r="R143" s="45"/>
      <c r="S143" s="48">
        <v>50</v>
      </c>
      <c r="T143" s="49">
        <f>資料儲存!D831</f>
        <v>0</v>
      </c>
      <c r="U143" s="49">
        <f>資料儲存!E831</f>
        <v>0</v>
      </c>
      <c r="V143" s="49">
        <f>資料儲存!F831</f>
        <v>0</v>
      </c>
      <c r="W143" s="49">
        <f>資料儲存!G831</f>
        <v>0</v>
      </c>
      <c r="X143" s="49">
        <f>資料儲存!H831</f>
        <v>0</v>
      </c>
      <c r="Y143" s="49">
        <f>資料儲存!I831</f>
        <v>0</v>
      </c>
      <c r="Z143" s="49">
        <f>資料儲存!J831</f>
        <v>0</v>
      </c>
      <c r="AA143" s="45"/>
      <c r="AB143" s="48">
        <v>50</v>
      </c>
      <c r="AC143" s="49">
        <f>資料儲存!D951</f>
        <v>0</v>
      </c>
      <c r="AD143" s="49">
        <f>資料儲存!E951</f>
        <v>0</v>
      </c>
      <c r="AE143" s="49">
        <f>資料儲存!F951</f>
        <v>0</v>
      </c>
      <c r="AF143" s="49">
        <f>資料儲存!G951</f>
        <v>0</v>
      </c>
      <c r="AG143" s="49">
        <f>資料儲存!H951</f>
        <v>0</v>
      </c>
      <c r="AH143" s="49">
        <f>資料儲存!I951</f>
        <v>0</v>
      </c>
      <c r="AI143" s="49">
        <f>資料儲存!J951</f>
        <v>0</v>
      </c>
      <c r="AJ143" s="13"/>
    </row>
    <row r="144" spans="1:36" ht="16" thickBot="1">
      <c r="A144" s="48">
        <v>51</v>
      </c>
      <c r="B144" s="49">
        <f>資料儲存!D592</f>
        <v>0</v>
      </c>
      <c r="C144" s="49">
        <f>資料儲存!E592</f>
        <v>0</v>
      </c>
      <c r="D144" s="49">
        <f>資料儲存!F592</f>
        <v>0</v>
      </c>
      <c r="E144" s="49">
        <f>資料儲存!G592</f>
        <v>0</v>
      </c>
      <c r="F144" s="49">
        <f>資料儲存!H592</f>
        <v>0</v>
      </c>
      <c r="G144" s="49">
        <f>資料儲存!I592</f>
        <v>0</v>
      </c>
      <c r="H144" s="49">
        <f>資料儲存!J592</f>
        <v>0</v>
      </c>
      <c r="I144" s="45"/>
      <c r="J144" s="48">
        <v>51</v>
      </c>
      <c r="K144" s="49">
        <f>資料儲存!D712</f>
        <v>0</v>
      </c>
      <c r="L144" s="49">
        <f>資料儲存!E712</f>
        <v>0</v>
      </c>
      <c r="M144" s="49">
        <f>資料儲存!F712</f>
        <v>0</v>
      </c>
      <c r="N144" s="49">
        <f>資料儲存!G712</f>
        <v>0</v>
      </c>
      <c r="O144" s="49">
        <f>資料儲存!H712</f>
        <v>0</v>
      </c>
      <c r="P144" s="49">
        <f>資料儲存!I712</f>
        <v>0</v>
      </c>
      <c r="Q144" s="49">
        <f>資料儲存!J712</f>
        <v>0</v>
      </c>
      <c r="R144" s="45"/>
      <c r="S144" s="48">
        <v>51</v>
      </c>
      <c r="T144" s="49">
        <f>資料儲存!D832</f>
        <v>0</v>
      </c>
      <c r="U144" s="49">
        <f>資料儲存!E832</f>
        <v>0</v>
      </c>
      <c r="V144" s="49">
        <f>資料儲存!F832</f>
        <v>0</v>
      </c>
      <c r="W144" s="49">
        <f>資料儲存!G832</f>
        <v>0</v>
      </c>
      <c r="X144" s="49">
        <f>資料儲存!H832</f>
        <v>0</v>
      </c>
      <c r="Y144" s="49">
        <f>資料儲存!I832</f>
        <v>0</v>
      </c>
      <c r="Z144" s="49">
        <f>資料儲存!J832</f>
        <v>0</v>
      </c>
      <c r="AA144" s="45"/>
      <c r="AB144" s="48">
        <v>51</v>
      </c>
      <c r="AC144" s="49">
        <f>資料儲存!D952</f>
        <v>0</v>
      </c>
      <c r="AD144" s="49">
        <f>資料儲存!E952</f>
        <v>0</v>
      </c>
      <c r="AE144" s="49">
        <f>資料儲存!F952</f>
        <v>0</v>
      </c>
      <c r="AF144" s="49">
        <f>資料儲存!G952</f>
        <v>0</v>
      </c>
      <c r="AG144" s="49">
        <f>資料儲存!H952</f>
        <v>0</v>
      </c>
      <c r="AH144" s="49">
        <f>資料儲存!I952</f>
        <v>0</v>
      </c>
      <c r="AI144" s="49">
        <f>資料儲存!J952</f>
        <v>0</v>
      </c>
      <c r="AJ144" s="13"/>
    </row>
    <row r="145" spans="1:36" ht="16" thickBot="1">
      <c r="A145" s="48">
        <v>52</v>
      </c>
      <c r="B145" s="49">
        <f>資料儲存!D593</f>
        <v>0</v>
      </c>
      <c r="C145" s="49">
        <f>資料儲存!E593</f>
        <v>0</v>
      </c>
      <c r="D145" s="49">
        <f>資料儲存!F593</f>
        <v>0</v>
      </c>
      <c r="E145" s="49">
        <f>資料儲存!G593</f>
        <v>0</v>
      </c>
      <c r="F145" s="49">
        <f>資料儲存!H593</f>
        <v>0</v>
      </c>
      <c r="G145" s="49">
        <f>資料儲存!I593</f>
        <v>0</v>
      </c>
      <c r="H145" s="49">
        <f>資料儲存!J593</f>
        <v>0</v>
      </c>
      <c r="I145" s="45"/>
      <c r="J145" s="48">
        <v>52</v>
      </c>
      <c r="K145" s="49">
        <f>資料儲存!D713</f>
        <v>0</v>
      </c>
      <c r="L145" s="49">
        <f>資料儲存!E713</f>
        <v>0</v>
      </c>
      <c r="M145" s="49">
        <f>資料儲存!F713</f>
        <v>0</v>
      </c>
      <c r="N145" s="49">
        <f>資料儲存!G713</f>
        <v>0</v>
      </c>
      <c r="O145" s="49">
        <f>資料儲存!H713</f>
        <v>0</v>
      </c>
      <c r="P145" s="49">
        <f>資料儲存!I713</f>
        <v>0</v>
      </c>
      <c r="Q145" s="49">
        <f>資料儲存!J713</f>
        <v>0</v>
      </c>
      <c r="R145" s="45"/>
      <c r="S145" s="48">
        <v>52</v>
      </c>
      <c r="T145" s="49">
        <f>資料儲存!D833</f>
        <v>0</v>
      </c>
      <c r="U145" s="49">
        <f>資料儲存!E833</f>
        <v>0</v>
      </c>
      <c r="V145" s="49">
        <f>資料儲存!F833</f>
        <v>0</v>
      </c>
      <c r="W145" s="49">
        <f>資料儲存!G833</f>
        <v>0</v>
      </c>
      <c r="X145" s="49">
        <f>資料儲存!H833</f>
        <v>0</v>
      </c>
      <c r="Y145" s="49">
        <f>資料儲存!I833</f>
        <v>0</v>
      </c>
      <c r="Z145" s="49">
        <f>資料儲存!J833</f>
        <v>0</v>
      </c>
      <c r="AA145" s="45"/>
      <c r="AB145" s="48">
        <v>52</v>
      </c>
      <c r="AC145" s="49">
        <f>資料儲存!D953</f>
        <v>0</v>
      </c>
      <c r="AD145" s="49">
        <f>資料儲存!E953</f>
        <v>0</v>
      </c>
      <c r="AE145" s="49">
        <f>資料儲存!F953</f>
        <v>0</v>
      </c>
      <c r="AF145" s="49">
        <f>資料儲存!G953</f>
        <v>0</v>
      </c>
      <c r="AG145" s="49">
        <f>資料儲存!H953</f>
        <v>0</v>
      </c>
      <c r="AH145" s="49">
        <f>資料儲存!I953</f>
        <v>0</v>
      </c>
      <c r="AI145" s="49">
        <f>資料儲存!J953</f>
        <v>0</v>
      </c>
      <c r="AJ145" s="13"/>
    </row>
    <row r="146" spans="1:36" ht="16" thickBot="1">
      <c r="A146" s="48">
        <v>53</v>
      </c>
      <c r="B146" s="49">
        <f>資料儲存!D594</f>
        <v>0</v>
      </c>
      <c r="C146" s="49">
        <f>資料儲存!E594</f>
        <v>0</v>
      </c>
      <c r="D146" s="49">
        <f>資料儲存!F594</f>
        <v>0</v>
      </c>
      <c r="E146" s="49">
        <f>資料儲存!G594</f>
        <v>0</v>
      </c>
      <c r="F146" s="49">
        <f>資料儲存!H594</f>
        <v>0</v>
      </c>
      <c r="G146" s="49">
        <f>資料儲存!I594</f>
        <v>0</v>
      </c>
      <c r="H146" s="49">
        <f>資料儲存!J594</f>
        <v>0</v>
      </c>
      <c r="I146" s="45"/>
      <c r="J146" s="48">
        <v>53</v>
      </c>
      <c r="K146" s="49">
        <f>資料儲存!D714</f>
        <v>0</v>
      </c>
      <c r="L146" s="49">
        <f>資料儲存!E714</f>
        <v>0</v>
      </c>
      <c r="M146" s="49">
        <f>資料儲存!F714</f>
        <v>0</v>
      </c>
      <c r="N146" s="49">
        <f>資料儲存!G714</f>
        <v>0</v>
      </c>
      <c r="O146" s="49">
        <f>資料儲存!H714</f>
        <v>0</v>
      </c>
      <c r="P146" s="49">
        <f>資料儲存!I714</f>
        <v>0</v>
      </c>
      <c r="Q146" s="49">
        <f>資料儲存!J714</f>
        <v>0</v>
      </c>
      <c r="R146" s="45"/>
      <c r="S146" s="48">
        <v>53</v>
      </c>
      <c r="T146" s="49">
        <f>資料儲存!D834</f>
        <v>0</v>
      </c>
      <c r="U146" s="49">
        <f>資料儲存!E834</f>
        <v>0</v>
      </c>
      <c r="V146" s="49">
        <f>資料儲存!F834</f>
        <v>0</v>
      </c>
      <c r="W146" s="49">
        <f>資料儲存!G834</f>
        <v>0</v>
      </c>
      <c r="X146" s="49">
        <f>資料儲存!H834</f>
        <v>0</v>
      </c>
      <c r="Y146" s="49">
        <f>資料儲存!I834</f>
        <v>0</v>
      </c>
      <c r="Z146" s="49">
        <f>資料儲存!J834</f>
        <v>0</v>
      </c>
      <c r="AA146" s="45"/>
      <c r="AB146" s="48">
        <v>53</v>
      </c>
      <c r="AC146" s="49">
        <f>資料儲存!D954</f>
        <v>0</v>
      </c>
      <c r="AD146" s="49">
        <f>資料儲存!E954</f>
        <v>0</v>
      </c>
      <c r="AE146" s="49">
        <f>資料儲存!F954</f>
        <v>0</v>
      </c>
      <c r="AF146" s="49">
        <f>資料儲存!G954</f>
        <v>0</v>
      </c>
      <c r="AG146" s="49">
        <f>資料儲存!H954</f>
        <v>0</v>
      </c>
      <c r="AH146" s="49">
        <f>資料儲存!I954</f>
        <v>0</v>
      </c>
      <c r="AI146" s="49">
        <f>資料儲存!J954</f>
        <v>0</v>
      </c>
      <c r="AJ146" s="13"/>
    </row>
    <row r="147" spans="1:36" ht="16" thickBot="1">
      <c r="A147" s="48">
        <v>54</v>
      </c>
      <c r="B147" s="49">
        <f>資料儲存!D595</f>
        <v>0</v>
      </c>
      <c r="C147" s="49">
        <f>資料儲存!E595</f>
        <v>0</v>
      </c>
      <c r="D147" s="49">
        <f>資料儲存!F595</f>
        <v>0</v>
      </c>
      <c r="E147" s="49">
        <f>資料儲存!G595</f>
        <v>0</v>
      </c>
      <c r="F147" s="49">
        <f>資料儲存!H595</f>
        <v>0</v>
      </c>
      <c r="G147" s="49">
        <f>資料儲存!I595</f>
        <v>0</v>
      </c>
      <c r="H147" s="49">
        <f>資料儲存!J595</f>
        <v>0</v>
      </c>
      <c r="I147" s="45"/>
      <c r="J147" s="48">
        <v>54</v>
      </c>
      <c r="K147" s="49">
        <f>資料儲存!D715</f>
        <v>0</v>
      </c>
      <c r="L147" s="49">
        <f>資料儲存!E715</f>
        <v>0</v>
      </c>
      <c r="M147" s="49">
        <f>資料儲存!F715</f>
        <v>0</v>
      </c>
      <c r="N147" s="49">
        <f>資料儲存!G715</f>
        <v>0</v>
      </c>
      <c r="O147" s="49">
        <f>資料儲存!H715</f>
        <v>0</v>
      </c>
      <c r="P147" s="49">
        <f>資料儲存!I715</f>
        <v>0</v>
      </c>
      <c r="Q147" s="49">
        <f>資料儲存!J715</f>
        <v>0</v>
      </c>
      <c r="R147" s="45"/>
      <c r="S147" s="48">
        <v>54</v>
      </c>
      <c r="T147" s="49">
        <f>資料儲存!D835</f>
        <v>0</v>
      </c>
      <c r="U147" s="49">
        <f>資料儲存!E835</f>
        <v>0</v>
      </c>
      <c r="V147" s="49">
        <f>資料儲存!F835</f>
        <v>0</v>
      </c>
      <c r="W147" s="49">
        <f>資料儲存!G835</f>
        <v>0</v>
      </c>
      <c r="X147" s="49">
        <f>資料儲存!H835</f>
        <v>0</v>
      </c>
      <c r="Y147" s="49">
        <f>資料儲存!I835</f>
        <v>0</v>
      </c>
      <c r="Z147" s="49">
        <f>資料儲存!J835</f>
        <v>0</v>
      </c>
      <c r="AA147" s="45"/>
      <c r="AB147" s="48">
        <v>54</v>
      </c>
      <c r="AC147" s="49">
        <f>資料儲存!D955</f>
        <v>0</v>
      </c>
      <c r="AD147" s="49">
        <f>資料儲存!E955</f>
        <v>0</v>
      </c>
      <c r="AE147" s="49">
        <f>資料儲存!F955</f>
        <v>0</v>
      </c>
      <c r="AF147" s="49">
        <f>資料儲存!G955</f>
        <v>0</v>
      </c>
      <c r="AG147" s="49">
        <f>資料儲存!H955</f>
        <v>0</v>
      </c>
      <c r="AH147" s="49">
        <f>資料儲存!I955</f>
        <v>0</v>
      </c>
      <c r="AI147" s="49">
        <f>資料儲存!J955</f>
        <v>0</v>
      </c>
      <c r="AJ147" s="13"/>
    </row>
    <row r="148" spans="1:36" ht="16" thickBot="1">
      <c r="A148" s="48">
        <v>55</v>
      </c>
      <c r="B148" s="49">
        <f>資料儲存!D596</f>
        <v>0</v>
      </c>
      <c r="C148" s="49">
        <f>資料儲存!E596</f>
        <v>0</v>
      </c>
      <c r="D148" s="49">
        <f>資料儲存!F596</f>
        <v>0</v>
      </c>
      <c r="E148" s="49">
        <f>資料儲存!G596</f>
        <v>0</v>
      </c>
      <c r="F148" s="49">
        <f>資料儲存!H596</f>
        <v>0</v>
      </c>
      <c r="G148" s="49">
        <f>資料儲存!I596</f>
        <v>0</v>
      </c>
      <c r="H148" s="49">
        <f>資料儲存!J596</f>
        <v>0</v>
      </c>
      <c r="I148" s="45"/>
      <c r="J148" s="48">
        <v>55</v>
      </c>
      <c r="K148" s="49">
        <f>資料儲存!D716</f>
        <v>0</v>
      </c>
      <c r="L148" s="49">
        <f>資料儲存!E716</f>
        <v>0</v>
      </c>
      <c r="M148" s="49">
        <f>資料儲存!F716</f>
        <v>0</v>
      </c>
      <c r="N148" s="49">
        <f>資料儲存!G716</f>
        <v>0</v>
      </c>
      <c r="O148" s="49">
        <f>資料儲存!H716</f>
        <v>0</v>
      </c>
      <c r="P148" s="49">
        <f>資料儲存!I716</f>
        <v>0</v>
      </c>
      <c r="Q148" s="49">
        <f>資料儲存!J716</f>
        <v>0</v>
      </c>
      <c r="R148" s="45"/>
      <c r="S148" s="48">
        <v>55</v>
      </c>
      <c r="T148" s="49">
        <f>資料儲存!D836</f>
        <v>0</v>
      </c>
      <c r="U148" s="49">
        <f>資料儲存!E836</f>
        <v>0</v>
      </c>
      <c r="V148" s="49">
        <f>資料儲存!F836</f>
        <v>0</v>
      </c>
      <c r="W148" s="49">
        <f>資料儲存!G836</f>
        <v>0</v>
      </c>
      <c r="X148" s="49">
        <f>資料儲存!H836</f>
        <v>0</v>
      </c>
      <c r="Y148" s="49">
        <f>資料儲存!I836</f>
        <v>0</v>
      </c>
      <c r="Z148" s="49">
        <f>資料儲存!J836</f>
        <v>0</v>
      </c>
      <c r="AA148" s="45"/>
      <c r="AB148" s="48">
        <v>55</v>
      </c>
      <c r="AC148" s="49">
        <f>資料儲存!D956</f>
        <v>0</v>
      </c>
      <c r="AD148" s="49">
        <f>資料儲存!E956</f>
        <v>0</v>
      </c>
      <c r="AE148" s="49">
        <f>資料儲存!F956</f>
        <v>0</v>
      </c>
      <c r="AF148" s="49">
        <f>資料儲存!G956</f>
        <v>0</v>
      </c>
      <c r="AG148" s="49">
        <f>資料儲存!H956</f>
        <v>0</v>
      </c>
      <c r="AH148" s="49">
        <f>資料儲存!I956</f>
        <v>0</v>
      </c>
      <c r="AI148" s="49">
        <f>資料儲存!J956</f>
        <v>0</v>
      </c>
      <c r="AJ148" s="13"/>
    </row>
    <row r="149" spans="1:36" ht="16" thickBot="1">
      <c r="A149" s="48">
        <v>56</v>
      </c>
      <c r="B149" s="49">
        <f>資料儲存!D597</f>
        <v>0</v>
      </c>
      <c r="C149" s="49">
        <f>資料儲存!E597</f>
        <v>0</v>
      </c>
      <c r="D149" s="49">
        <f>資料儲存!F597</f>
        <v>0</v>
      </c>
      <c r="E149" s="49">
        <f>資料儲存!G597</f>
        <v>0</v>
      </c>
      <c r="F149" s="49">
        <f>資料儲存!H597</f>
        <v>0</v>
      </c>
      <c r="G149" s="49">
        <f>資料儲存!I597</f>
        <v>0</v>
      </c>
      <c r="H149" s="49">
        <f>資料儲存!J597</f>
        <v>0</v>
      </c>
      <c r="I149" s="45"/>
      <c r="J149" s="48">
        <v>56</v>
      </c>
      <c r="K149" s="49">
        <f>資料儲存!D717</f>
        <v>0</v>
      </c>
      <c r="L149" s="49">
        <f>資料儲存!E717</f>
        <v>0</v>
      </c>
      <c r="M149" s="49">
        <f>資料儲存!F717</f>
        <v>0</v>
      </c>
      <c r="N149" s="49">
        <f>資料儲存!G717</f>
        <v>0</v>
      </c>
      <c r="O149" s="49">
        <f>資料儲存!H717</f>
        <v>0</v>
      </c>
      <c r="P149" s="49">
        <f>資料儲存!I717</f>
        <v>0</v>
      </c>
      <c r="Q149" s="49">
        <f>資料儲存!J717</f>
        <v>0</v>
      </c>
      <c r="R149" s="45"/>
      <c r="S149" s="48">
        <v>56</v>
      </c>
      <c r="T149" s="49">
        <f>資料儲存!D837</f>
        <v>0</v>
      </c>
      <c r="U149" s="49">
        <f>資料儲存!E837</f>
        <v>0</v>
      </c>
      <c r="V149" s="49">
        <f>資料儲存!F837</f>
        <v>0</v>
      </c>
      <c r="W149" s="49">
        <f>資料儲存!G837</f>
        <v>0</v>
      </c>
      <c r="X149" s="49">
        <f>資料儲存!H837</f>
        <v>0</v>
      </c>
      <c r="Y149" s="49">
        <f>資料儲存!I837</f>
        <v>0</v>
      </c>
      <c r="Z149" s="49">
        <f>資料儲存!J837</f>
        <v>0</v>
      </c>
      <c r="AA149" s="45"/>
      <c r="AB149" s="48">
        <v>56</v>
      </c>
      <c r="AC149" s="49">
        <f>資料儲存!D957</f>
        <v>0</v>
      </c>
      <c r="AD149" s="49">
        <f>資料儲存!E957</f>
        <v>0</v>
      </c>
      <c r="AE149" s="49">
        <f>資料儲存!F957</f>
        <v>0</v>
      </c>
      <c r="AF149" s="49">
        <f>資料儲存!G957</f>
        <v>0</v>
      </c>
      <c r="AG149" s="49">
        <f>資料儲存!H957</f>
        <v>0</v>
      </c>
      <c r="AH149" s="49">
        <f>資料儲存!I957</f>
        <v>0</v>
      </c>
      <c r="AI149" s="49">
        <f>資料儲存!J957</f>
        <v>0</v>
      </c>
      <c r="AJ149" s="13"/>
    </row>
    <row r="150" spans="1:36" ht="16" thickBot="1">
      <c r="A150" s="48">
        <v>57</v>
      </c>
      <c r="B150" s="49">
        <f>資料儲存!D598</f>
        <v>0</v>
      </c>
      <c r="C150" s="49">
        <f>資料儲存!E598</f>
        <v>0</v>
      </c>
      <c r="D150" s="49">
        <f>資料儲存!F598</f>
        <v>0</v>
      </c>
      <c r="E150" s="49">
        <f>資料儲存!G598</f>
        <v>0</v>
      </c>
      <c r="F150" s="49">
        <f>資料儲存!H598</f>
        <v>0</v>
      </c>
      <c r="G150" s="49">
        <f>資料儲存!I598</f>
        <v>0</v>
      </c>
      <c r="H150" s="49">
        <f>資料儲存!J598</f>
        <v>0</v>
      </c>
      <c r="I150" s="45"/>
      <c r="J150" s="48">
        <v>57</v>
      </c>
      <c r="K150" s="49">
        <f>資料儲存!D718</f>
        <v>0</v>
      </c>
      <c r="L150" s="49">
        <f>資料儲存!E718</f>
        <v>0</v>
      </c>
      <c r="M150" s="49">
        <f>資料儲存!F718</f>
        <v>0</v>
      </c>
      <c r="N150" s="49">
        <f>資料儲存!G718</f>
        <v>0</v>
      </c>
      <c r="O150" s="49">
        <f>資料儲存!H718</f>
        <v>0</v>
      </c>
      <c r="P150" s="49">
        <f>資料儲存!I718</f>
        <v>0</v>
      </c>
      <c r="Q150" s="49">
        <f>資料儲存!J718</f>
        <v>0</v>
      </c>
      <c r="R150" s="45"/>
      <c r="S150" s="48">
        <v>57</v>
      </c>
      <c r="T150" s="49">
        <f>資料儲存!D838</f>
        <v>0</v>
      </c>
      <c r="U150" s="49">
        <f>資料儲存!E838</f>
        <v>0</v>
      </c>
      <c r="V150" s="49">
        <f>資料儲存!F838</f>
        <v>0</v>
      </c>
      <c r="W150" s="49">
        <f>資料儲存!G838</f>
        <v>0</v>
      </c>
      <c r="X150" s="49">
        <f>資料儲存!H838</f>
        <v>0</v>
      </c>
      <c r="Y150" s="49">
        <f>資料儲存!I838</f>
        <v>0</v>
      </c>
      <c r="Z150" s="49">
        <f>資料儲存!J838</f>
        <v>0</v>
      </c>
      <c r="AA150" s="45"/>
      <c r="AB150" s="48">
        <v>57</v>
      </c>
      <c r="AC150" s="49">
        <f>資料儲存!D958</f>
        <v>0</v>
      </c>
      <c r="AD150" s="49">
        <f>資料儲存!E958</f>
        <v>0</v>
      </c>
      <c r="AE150" s="49">
        <f>資料儲存!F958</f>
        <v>0</v>
      </c>
      <c r="AF150" s="49">
        <f>資料儲存!G958</f>
        <v>0</v>
      </c>
      <c r="AG150" s="49">
        <f>資料儲存!H958</f>
        <v>0</v>
      </c>
      <c r="AH150" s="49">
        <f>資料儲存!I958</f>
        <v>0</v>
      </c>
      <c r="AI150" s="49">
        <f>資料儲存!J958</f>
        <v>0</v>
      </c>
      <c r="AJ150" s="13"/>
    </row>
    <row r="151" spans="1:36" ht="16" thickBot="1">
      <c r="A151" s="48">
        <v>58</v>
      </c>
      <c r="B151" s="49">
        <f>資料儲存!D599</f>
        <v>0</v>
      </c>
      <c r="C151" s="49">
        <f>資料儲存!E599</f>
        <v>0</v>
      </c>
      <c r="D151" s="49">
        <f>資料儲存!F599</f>
        <v>0</v>
      </c>
      <c r="E151" s="49">
        <f>資料儲存!G599</f>
        <v>0</v>
      </c>
      <c r="F151" s="49">
        <f>資料儲存!H599</f>
        <v>0</v>
      </c>
      <c r="G151" s="49">
        <f>資料儲存!I599</f>
        <v>0</v>
      </c>
      <c r="H151" s="49">
        <f>資料儲存!J599</f>
        <v>0</v>
      </c>
      <c r="I151" s="45"/>
      <c r="J151" s="48">
        <v>58</v>
      </c>
      <c r="K151" s="49">
        <f>資料儲存!D719</f>
        <v>0</v>
      </c>
      <c r="L151" s="49">
        <f>資料儲存!E719</f>
        <v>0</v>
      </c>
      <c r="M151" s="49">
        <f>資料儲存!F719</f>
        <v>0</v>
      </c>
      <c r="N151" s="49">
        <f>資料儲存!G719</f>
        <v>0</v>
      </c>
      <c r="O151" s="49">
        <f>資料儲存!H719</f>
        <v>0</v>
      </c>
      <c r="P151" s="49">
        <f>資料儲存!I719</f>
        <v>0</v>
      </c>
      <c r="Q151" s="49">
        <f>資料儲存!J719</f>
        <v>0</v>
      </c>
      <c r="R151" s="45"/>
      <c r="S151" s="48">
        <v>58</v>
      </c>
      <c r="T151" s="49">
        <f>資料儲存!D839</f>
        <v>0</v>
      </c>
      <c r="U151" s="49">
        <f>資料儲存!E839</f>
        <v>0</v>
      </c>
      <c r="V151" s="49">
        <f>資料儲存!F839</f>
        <v>0</v>
      </c>
      <c r="W151" s="49">
        <f>資料儲存!G839</f>
        <v>0</v>
      </c>
      <c r="X151" s="49">
        <f>資料儲存!H839</f>
        <v>0</v>
      </c>
      <c r="Y151" s="49">
        <f>資料儲存!I839</f>
        <v>0</v>
      </c>
      <c r="Z151" s="49">
        <f>資料儲存!J839</f>
        <v>0</v>
      </c>
      <c r="AA151" s="45"/>
      <c r="AB151" s="48">
        <v>58</v>
      </c>
      <c r="AC151" s="49">
        <f>資料儲存!D959</f>
        <v>0</v>
      </c>
      <c r="AD151" s="49">
        <f>資料儲存!E959</f>
        <v>0</v>
      </c>
      <c r="AE151" s="49">
        <f>資料儲存!F959</f>
        <v>0</v>
      </c>
      <c r="AF151" s="49">
        <f>資料儲存!G959</f>
        <v>0</v>
      </c>
      <c r="AG151" s="49">
        <f>資料儲存!H959</f>
        <v>0</v>
      </c>
      <c r="AH151" s="49">
        <f>資料儲存!I959</f>
        <v>0</v>
      </c>
      <c r="AI151" s="49">
        <f>資料儲存!J959</f>
        <v>0</v>
      </c>
      <c r="AJ151" s="13"/>
    </row>
    <row r="152" spans="1:36" ht="16" thickBot="1">
      <c r="A152" s="48">
        <v>59</v>
      </c>
      <c r="B152" s="49">
        <f>資料儲存!D600</f>
        <v>0</v>
      </c>
      <c r="C152" s="49">
        <f>資料儲存!E600</f>
        <v>0</v>
      </c>
      <c r="D152" s="49">
        <f>資料儲存!F600</f>
        <v>0</v>
      </c>
      <c r="E152" s="49">
        <f>資料儲存!G600</f>
        <v>0</v>
      </c>
      <c r="F152" s="49">
        <f>資料儲存!H600</f>
        <v>0</v>
      </c>
      <c r="G152" s="49">
        <f>資料儲存!I600</f>
        <v>0</v>
      </c>
      <c r="H152" s="49">
        <f>資料儲存!J600</f>
        <v>0</v>
      </c>
      <c r="I152" s="45"/>
      <c r="J152" s="48">
        <v>59</v>
      </c>
      <c r="K152" s="49">
        <f>資料儲存!D720</f>
        <v>0</v>
      </c>
      <c r="L152" s="49">
        <f>資料儲存!E720</f>
        <v>0</v>
      </c>
      <c r="M152" s="49">
        <f>資料儲存!F720</f>
        <v>0</v>
      </c>
      <c r="N152" s="49">
        <f>資料儲存!G720</f>
        <v>0</v>
      </c>
      <c r="O152" s="49">
        <f>資料儲存!H720</f>
        <v>0</v>
      </c>
      <c r="P152" s="49">
        <f>資料儲存!I720</f>
        <v>0</v>
      </c>
      <c r="Q152" s="49">
        <f>資料儲存!J720</f>
        <v>0</v>
      </c>
      <c r="R152" s="45"/>
      <c r="S152" s="48">
        <v>59</v>
      </c>
      <c r="T152" s="49">
        <f>資料儲存!D840</f>
        <v>0</v>
      </c>
      <c r="U152" s="49">
        <f>資料儲存!E840</f>
        <v>0</v>
      </c>
      <c r="V152" s="49">
        <f>資料儲存!F840</f>
        <v>0</v>
      </c>
      <c r="W152" s="49">
        <f>資料儲存!G840</f>
        <v>0</v>
      </c>
      <c r="X152" s="49">
        <f>資料儲存!H840</f>
        <v>0</v>
      </c>
      <c r="Y152" s="49">
        <f>資料儲存!I840</f>
        <v>0</v>
      </c>
      <c r="Z152" s="49">
        <f>資料儲存!J840</f>
        <v>0</v>
      </c>
      <c r="AA152" s="45"/>
      <c r="AB152" s="48">
        <v>59</v>
      </c>
      <c r="AC152" s="49">
        <f>資料儲存!D960</f>
        <v>0</v>
      </c>
      <c r="AD152" s="49">
        <f>資料儲存!E960</f>
        <v>0</v>
      </c>
      <c r="AE152" s="49">
        <f>資料儲存!F960</f>
        <v>0</v>
      </c>
      <c r="AF152" s="49">
        <f>資料儲存!G960</f>
        <v>0</v>
      </c>
      <c r="AG152" s="49">
        <f>資料儲存!H960</f>
        <v>0</v>
      </c>
      <c r="AH152" s="49">
        <f>資料儲存!I960</f>
        <v>0</v>
      </c>
      <c r="AI152" s="49">
        <f>資料儲存!J960</f>
        <v>0</v>
      </c>
      <c r="AJ152" s="13"/>
    </row>
    <row r="153" spans="1:36" ht="16" thickBot="1">
      <c r="A153" s="48">
        <v>60</v>
      </c>
      <c r="B153" s="49">
        <f>資料儲存!D601</f>
        <v>0</v>
      </c>
      <c r="C153" s="49">
        <f>資料儲存!E601</f>
        <v>0</v>
      </c>
      <c r="D153" s="49">
        <f>資料儲存!F601</f>
        <v>0</v>
      </c>
      <c r="E153" s="49">
        <f>資料儲存!G601</f>
        <v>0</v>
      </c>
      <c r="F153" s="49">
        <f>資料儲存!H601</f>
        <v>0</v>
      </c>
      <c r="G153" s="49">
        <f>資料儲存!I601</f>
        <v>0</v>
      </c>
      <c r="H153" s="49">
        <f>資料儲存!J601</f>
        <v>0</v>
      </c>
      <c r="I153" s="45"/>
      <c r="J153" s="48">
        <v>60</v>
      </c>
      <c r="K153" s="49">
        <f>資料儲存!D721</f>
        <v>0</v>
      </c>
      <c r="L153" s="49">
        <f>資料儲存!E721</f>
        <v>0</v>
      </c>
      <c r="M153" s="49">
        <f>資料儲存!F721</f>
        <v>0</v>
      </c>
      <c r="N153" s="49">
        <f>資料儲存!G721</f>
        <v>0</v>
      </c>
      <c r="O153" s="49">
        <f>資料儲存!H721</f>
        <v>0</v>
      </c>
      <c r="P153" s="49">
        <f>資料儲存!I721</f>
        <v>0</v>
      </c>
      <c r="Q153" s="49">
        <f>資料儲存!J721</f>
        <v>0</v>
      </c>
      <c r="R153" s="45"/>
      <c r="S153" s="48">
        <v>60</v>
      </c>
      <c r="T153" s="49">
        <f>資料儲存!D841</f>
        <v>0</v>
      </c>
      <c r="U153" s="49">
        <f>資料儲存!E841</f>
        <v>0</v>
      </c>
      <c r="V153" s="49">
        <f>資料儲存!F841</f>
        <v>0</v>
      </c>
      <c r="W153" s="49">
        <f>資料儲存!G841</f>
        <v>0</v>
      </c>
      <c r="X153" s="49">
        <f>資料儲存!H841</f>
        <v>0</v>
      </c>
      <c r="Y153" s="49">
        <f>資料儲存!I841</f>
        <v>0</v>
      </c>
      <c r="Z153" s="49">
        <f>資料儲存!J841</f>
        <v>0</v>
      </c>
      <c r="AA153" s="45"/>
      <c r="AB153" s="48">
        <v>60</v>
      </c>
      <c r="AC153" s="49">
        <f>資料儲存!D961</f>
        <v>0</v>
      </c>
      <c r="AD153" s="49">
        <f>資料儲存!E961</f>
        <v>0</v>
      </c>
      <c r="AE153" s="49">
        <f>資料儲存!F961</f>
        <v>0</v>
      </c>
      <c r="AF153" s="49">
        <f>資料儲存!G961</f>
        <v>0</v>
      </c>
      <c r="AG153" s="49">
        <f>資料儲存!H961</f>
        <v>0</v>
      </c>
      <c r="AH153" s="49">
        <f>資料儲存!I961</f>
        <v>0</v>
      </c>
      <c r="AI153" s="49">
        <f>資料儲存!J961</f>
        <v>0</v>
      </c>
      <c r="AJ153" s="13"/>
    </row>
    <row r="154" spans="1:36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</row>
    <row r="155" spans="1:36">
      <c r="A155" s="51" t="s">
        <v>71</v>
      </c>
      <c r="B155" s="45"/>
      <c r="C155" s="45"/>
      <c r="D155" s="45"/>
      <c r="E155" s="45"/>
      <c r="F155" s="52"/>
      <c r="G155" s="45"/>
      <c r="H155" s="45"/>
      <c r="I155" s="45"/>
      <c r="J155" s="53" t="s">
        <v>71</v>
      </c>
      <c r="K155" s="45"/>
      <c r="L155" s="45"/>
      <c r="M155" s="45"/>
      <c r="N155" s="45"/>
      <c r="O155" s="45"/>
      <c r="P155" s="45"/>
      <c r="Q155" s="45"/>
      <c r="R155" s="45"/>
      <c r="S155" s="53" t="s">
        <v>71</v>
      </c>
      <c r="T155" s="45"/>
      <c r="U155" s="45"/>
      <c r="V155" s="45"/>
      <c r="W155" s="45"/>
      <c r="X155" s="45"/>
      <c r="Y155" s="45"/>
      <c r="Z155" s="45"/>
      <c r="AA155" s="45"/>
      <c r="AB155" s="53" t="s">
        <v>71</v>
      </c>
      <c r="AC155" s="45"/>
      <c r="AD155" s="45"/>
      <c r="AE155" s="45"/>
      <c r="AF155" s="45"/>
      <c r="AG155" s="45"/>
      <c r="AH155" s="45"/>
      <c r="AI155" s="45"/>
      <c r="AJ155" s="13"/>
    </row>
  </sheetData>
  <mergeCells count="40">
    <mergeCell ref="AB117:AI117"/>
    <mergeCell ref="AB136:AI136"/>
    <mergeCell ref="AB22:AI22"/>
    <mergeCell ref="AB41:AI41"/>
    <mergeCell ref="AB60:AI60"/>
    <mergeCell ref="AB79:AI79"/>
    <mergeCell ref="AB98:AI98"/>
    <mergeCell ref="A22:H22"/>
    <mergeCell ref="A41:H41"/>
    <mergeCell ref="A60:H60"/>
    <mergeCell ref="S22:Z22"/>
    <mergeCell ref="S41:Z41"/>
    <mergeCell ref="S60:Z60"/>
    <mergeCell ref="J22:Q22"/>
    <mergeCell ref="J41:Q41"/>
    <mergeCell ref="J60:Q60"/>
    <mergeCell ref="AB1:AI1"/>
    <mergeCell ref="J2:Q2"/>
    <mergeCell ref="J3:Q3"/>
    <mergeCell ref="S2:Z2"/>
    <mergeCell ref="S3:Z3"/>
    <mergeCell ref="AB2:AI2"/>
    <mergeCell ref="AB3:AI3"/>
    <mergeCell ref="A2:H2"/>
    <mergeCell ref="A3:H3"/>
    <mergeCell ref="A1:H1"/>
    <mergeCell ref="J1:Q1"/>
    <mergeCell ref="S1:Z1"/>
    <mergeCell ref="A79:H79"/>
    <mergeCell ref="J117:Q117"/>
    <mergeCell ref="S79:Z79"/>
    <mergeCell ref="A117:H117"/>
    <mergeCell ref="J79:Q79"/>
    <mergeCell ref="J98:Q98"/>
    <mergeCell ref="J136:Q136"/>
    <mergeCell ref="A136:H136"/>
    <mergeCell ref="S136:Z136"/>
    <mergeCell ref="S98:Z98"/>
    <mergeCell ref="S117:Z117"/>
    <mergeCell ref="A98:H98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1:AJ154"/>
  <sheetViews>
    <sheetView topLeftCell="AC1" zoomScale="70" zoomScaleNormal="70" zoomScaleSheetLayoutView="70" workbookViewId="0">
      <pane ySplit="2" topLeftCell="A3" activePane="bottomLeft" state="frozen"/>
      <selection pane="bottomLeft" activeCell="AK4" sqref="AK1:AR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37" width="2.08984375" style="1" customWidth="1"/>
    <col min="38" max="16384" width="10.08984375" style="1"/>
  </cols>
  <sheetData>
    <row r="1" spans="1:36" s="11" customFormat="1" ht="18.5" thickBot="1">
      <c r="A1" s="253" t="str">
        <f>基本資料!$D$11</f>
        <v>平日中午(11-13)</v>
      </c>
      <c r="B1" s="254"/>
      <c r="C1" s="254"/>
      <c r="D1" s="254"/>
      <c r="E1" s="254"/>
      <c r="F1" s="254"/>
      <c r="G1" s="254"/>
      <c r="H1" s="255"/>
      <c r="J1" s="253" t="str">
        <f>基本資料!$D$11</f>
        <v>平日中午(11-13)</v>
      </c>
      <c r="K1" s="254"/>
      <c r="L1" s="254"/>
      <c r="M1" s="254"/>
      <c r="N1" s="254"/>
      <c r="O1" s="254"/>
      <c r="P1" s="254"/>
      <c r="Q1" s="255"/>
      <c r="S1" s="253" t="str">
        <f>基本資料!$D$11</f>
        <v>平日中午(11-13)</v>
      </c>
      <c r="T1" s="254"/>
      <c r="U1" s="254"/>
      <c r="V1" s="254"/>
      <c r="W1" s="254"/>
      <c r="X1" s="254"/>
      <c r="Y1" s="254"/>
      <c r="Z1" s="255"/>
      <c r="AB1" s="253" t="str">
        <f>基本資料!$D$11</f>
        <v>平日中午(11-13)</v>
      </c>
      <c r="AC1" s="254"/>
      <c r="AD1" s="254"/>
      <c r="AE1" s="254"/>
      <c r="AF1" s="254"/>
      <c r="AG1" s="254"/>
      <c r="AH1" s="254"/>
      <c r="AI1" s="255"/>
    </row>
    <row r="2" spans="1:36" ht="18.5" thickBot="1">
      <c r="A2" s="256" t="str">
        <f>CONCATENATE(基本資料!B18,"方向：",基本資料!B19,基本資料!B20)</f>
        <v>A方向：</v>
      </c>
      <c r="B2" s="257"/>
      <c r="C2" s="257"/>
      <c r="D2" s="257"/>
      <c r="E2" s="257"/>
      <c r="F2" s="257"/>
      <c r="G2" s="257"/>
      <c r="H2" s="258"/>
      <c r="I2" s="1"/>
      <c r="J2" s="256" t="str">
        <f>CONCATENATE(基本資料!C18,"方向：",基本資料!C19,基本資料!C20)</f>
        <v>B方向：</v>
      </c>
      <c r="K2" s="257"/>
      <c r="L2" s="257"/>
      <c r="M2" s="257"/>
      <c r="N2" s="257"/>
      <c r="O2" s="257"/>
      <c r="P2" s="257"/>
      <c r="Q2" s="258"/>
      <c r="R2" s="1"/>
      <c r="S2" s="256" t="str">
        <f>CONCATENATE(基本資料!D18,"方向：",基本資料!D19,基本資料!D20)</f>
        <v>C方向：</v>
      </c>
      <c r="T2" s="257"/>
      <c r="U2" s="257"/>
      <c r="V2" s="257"/>
      <c r="W2" s="257"/>
      <c r="X2" s="257"/>
      <c r="Y2" s="257"/>
      <c r="Z2" s="258"/>
      <c r="AA2" s="1"/>
      <c r="AB2" s="256" t="str">
        <f>CONCATENATE(基本資料!E18,"方向：",基本資料!E19,基本資料!E20)</f>
        <v>D方向：</v>
      </c>
      <c r="AC2" s="257"/>
      <c r="AD2" s="257"/>
      <c r="AE2" s="257"/>
      <c r="AF2" s="257"/>
      <c r="AG2" s="257"/>
      <c r="AH2" s="257"/>
      <c r="AI2" s="258"/>
      <c r="AJ2" s="1"/>
    </row>
    <row r="3" spans="1:36" ht="18.5" thickBot="1">
      <c r="A3" s="250" t="s">
        <v>91</v>
      </c>
      <c r="B3" s="251"/>
      <c r="C3" s="251"/>
      <c r="D3" s="251"/>
      <c r="E3" s="251"/>
      <c r="F3" s="251"/>
      <c r="G3" s="251"/>
      <c r="H3" s="252"/>
      <c r="I3" s="13"/>
      <c r="J3" s="250" t="s">
        <v>91</v>
      </c>
      <c r="K3" s="251"/>
      <c r="L3" s="251"/>
      <c r="M3" s="251"/>
      <c r="N3" s="251"/>
      <c r="O3" s="251"/>
      <c r="P3" s="251"/>
      <c r="Q3" s="252"/>
      <c r="R3" s="13"/>
      <c r="S3" s="250" t="s">
        <v>91</v>
      </c>
      <c r="T3" s="251"/>
      <c r="U3" s="251"/>
      <c r="V3" s="251"/>
      <c r="W3" s="251"/>
      <c r="X3" s="251"/>
      <c r="Y3" s="251"/>
      <c r="Z3" s="252"/>
      <c r="AA3" s="13"/>
      <c r="AB3" s="250" t="s">
        <v>91</v>
      </c>
      <c r="AC3" s="251"/>
      <c r="AD3" s="251"/>
      <c r="AE3" s="251"/>
      <c r="AF3" s="251"/>
      <c r="AG3" s="251"/>
      <c r="AH3" s="251"/>
      <c r="AI3" s="252"/>
      <c r="AJ3" s="13"/>
    </row>
    <row r="4" spans="1:36" ht="17.25" customHeight="1" thickBot="1">
      <c r="A4" s="31" t="s">
        <v>2</v>
      </c>
      <c r="B4" s="32" t="s">
        <v>44</v>
      </c>
      <c r="C4" s="33"/>
      <c r="D4" s="33"/>
      <c r="E4" s="34"/>
      <c r="F4" s="32" t="s">
        <v>45</v>
      </c>
      <c r="G4" s="33"/>
      <c r="H4" s="34"/>
      <c r="I4" s="35"/>
      <c r="J4" s="31" t="s">
        <v>2</v>
      </c>
      <c r="K4" s="32" t="s">
        <v>46</v>
      </c>
      <c r="L4" s="33"/>
      <c r="M4" s="33"/>
      <c r="N4" s="34"/>
      <c r="O4" s="32" t="s">
        <v>47</v>
      </c>
      <c r="P4" s="33"/>
      <c r="Q4" s="34"/>
      <c r="R4" s="35"/>
      <c r="S4" s="31" t="s">
        <v>2</v>
      </c>
      <c r="T4" s="32" t="s">
        <v>46</v>
      </c>
      <c r="U4" s="33"/>
      <c r="V4" s="33"/>
      <c r="W4" s="34"/>
      <c r="X4" s="32" t="s">
        <v>47</v>
      </c>
      <c r="Y4" s="33"/>
      <c r="Z4" s="34"/>
      <c r="AA4" s="35"/>
      <c r="AB4" s="31" t="s">
        <v>2</v>
      </c>
      <c r="AC4" s="32" t="s">
        <v>46</v>
      </c>
      <c r="AD4" s="33"/>
      <c r="AE4" s="33"/>
      <c r="AF4" s="34"/>
      <c r="AG4" s="32" t="s">
        <v>47</v>
      </c>
      <c r="AH4" s="33"/>
      <c r="AI4" s="34"/>
      <c r="AJ4" s="13"/>
    </row>
    <row r="5" spans="1:36" ht="16" thickBot="1">
      <c r="A5" s="36">
        <v>0.45833333333333331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5"/>
      <c r="J5" s="36">
        <v>0.45833333333333331</v>
      </c>
      <c r="K5" s="37" t="s">
        <v>49</v>
      </c>
      <c r="L5" s="37" t="s">
        <v>50</v>
      </c>
      <c r="M5" s="37" t="s">
        <v>51</v>
      </c>
      <c r="N5" s="37" t="s">
        <v>52</v>
      </c>
      <c r="O5" s="37" t="s">
        <v>53</v>
      </c>
      <c r="P5" s="37" t="s">
        <v>54</v>
      </c>
      <c r="Q5" s="37" t="s">
        <v>55</v>
      </c>
      <c r="R5" s="35"/>
      <c r="S5" s="36">
        <v>0.45833333333333331</v>
      </c>
      <c r="T5" s="37" t="s">
        <v>49</v>
      </c>
      <c r="U5" s="37" t="s">
        <v>50</v>
      </c>
      <c r="V5" s="37" t="s">
        <v>51</v>
      </c>
      <c r="W5" s="37" t="s">
        <v>52</v>
      </c>
      <c r="X5" s="37" t="s">
        <v>53</v>
      </c>
      <c r="Y5" s="37" t="s">
        <v>54</v>
      </c>
      <c r="Z5" s="37" t="s">
        <v>55</v>
      </c>
      <c r="AA5" s="35"/>
      <c r="AB5" s="36">
        <v>0.45833333333333331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13"/>
    </row>
    <row r="6" spans="1:36" ht="16" thickBot="1">
      <c r="A6" s="38">
        <v>1</v>
      </c>
      <c r="B6" s="39">
        <f>資料儲存!D962</f>
        <v>0</v>
      </c>
      <c r="C6" s="39">
        <f>資料儲存!E962</f>
        <v>0</v>
      </c>
      <c r="D6" s="39">
        <f>資料儲存!F962</f>
        <v>0</v>
      </c>
      <c r="E6" s="39">
        <f>資料儲存!G962</f>
        <v>0</v>
      </c>
      <c r="F6" s="39">
        <f>資料儲存!H962</f>
        <v>0</v>
      </c>
      <c r="G6" s="39">
        <f>資料儲存!I962</f>
        <v>0</v>
      </c>
      <c r="H6" s="39">
        <f>資料儲存!J962</f>
        <v>0</v>
      </c>
      <c r="I6" s="35"/>
      <c r="J6" s="38">
        <v>1</v>
      </c>
      <c r="K6" s="39">
        <f>資料儲存!D1082</f>
        <v>0</v>
      </c>
      <c r="L6" s="39">
        <f>資料儲存!E1082</f>
        <v>0</v>
      </c>
      <c r="M6" s="39">
        <f>資料儲存!F1082</f>
        <v>0</v>
      </c>
      <c r="N6" s="39">
        <f>資料儲存!G1082</f>
        <v>0</v>
      </c>
      <c r="O6" s="39">
        <f>資料儲存!H1082</f>
        <v>0</v>
      </c>
      <c r="P6" s="39">
        <f>資料儲存!I1082</f>
        <v>0</v>
      </c>
      <c r="Q6" s="39">
        <f>資料儲存!J1082</f>
        <v>0</v>
      </c>
      <c r="R6" s="35"/>
      <c r="S6" s="38">
        <v>1</v>
      </c>
      <c r="T6" s="39">
        <f>資料儲存!D1202</f>
        <v>0</v>
      </c>
      <c r="U6" s="39">
        <f>資料儲存!E1202</f>
        <v>0</v>
      </c>
      <c r="V6" s="39">
        <f>資料儲存!F1202</f>
        <v>0</v>
      </c>
      <c r="W6" s="39">
        <f>資料儲存!G1202</f>
        <v>0</v>
      </c>
      <c r="X6" s="39">
        <f>資料儲存!H1202</f>
        <v>0</v>
      </c>
      <c r="Y6" s="39">
        <f>資料儲存!I1202</f>
        <v>0</v>
      </c>
      <c r="Z6" s="39">
        <f>資料儲存!J1202</f>
        <v>0</v>
      </c>
      <c r="AA6" s="35"/>
      <c r="AB6" s="38">
        <v>1</v>
      </c>
      <c r="AC6" s="39">
        <f>資料儲存!D1322</f>
        <v>0</v>
      </c>
      <c r="AD6" s="39">
        <f>資料儲存!E1322</f>
        <v>0</v>
      </c>
      <c r="AE6" s="39">
        <f>資料儲存!F1322</f>
        <v>0</v>
      </c>
      <c r="AF6" s="39">
        <f>資料儲存!G1322</f>
        <v>0</v>
      </c>
      <c r="AG6" s="39">
        <f>資料儲存!H1322</f>
        <v>0</v>
      </c>
      <c r="AH6" s="39">
        <f>資料儲存!I1322</f>
        <v>0</v>
      </c>
      <c r="AI6" s="39">
        <f>資料儲存!J1322</f>
        <v>0</v>
      </c>
      <c r="AJ6" s="13"/>
    </row>
    <row r="7" spans="1:36" ht="16" thickBot="1">
      <c r="A7" s="38">
        <v>2</v>
      </c>
      <c r="B7" s="39">
        <f>資料儲存!D963</f>
        <v>0</v>
      </c>
      <c r="C7" s="39">
        <f>資料儲存!E963</f>
        <v>0</v>
      </c>
      <c r="D7" s="39">
        <f>資料儲存!F963</f>
        <v>0</v>
      </c>
      <c r="E7" s="39">
        <f>資料儲存!G963</f>
        <v>0</v>
      </c>
      <c r="F7" s="39">
        <f>資料儲存!H963</f>
        <v>0</v>
      </c>
      <c r="G7" s="39">
        <f>資料儲存!I963</f>
        <v>0</v>
      </c>
      <c r="H7" s="39">
        <f>資料儲存!J963</f>
        <v>0</v>
      </c>
      <c r="I7" s="35"/>
      <c r="J7" s="38">
        <v>2</v>
      </c>
      <c r="K7" s="39">
        <f>資料儲存!D1083</f>
        <v>0</v>
      </c>
      <c r="L7" s="39">
        <f>資料儲存!E1083</f>
        <v>0</v>
      </c>
      <c r="M7" s="39">
        <f>資料儲存!F1083</f>
        <v>0</v>
      </c>
      <c r="N7" s="39">
        <f>資料儲存!G1083</f>
        <v>0</v>
      </c>
      <c r="O7" s="39">
        <f>資料儲存!H1083</f>
        <v>0</v>
      </c>
      <c r="P7" s="39">
        <f>資料儲存!I1083</f>
        <v>0</v>
      </c>
      <c r="Q7" s="39">
        <f>資料儲存!J1083</f>
        <v>0</v>
      </c>
      <c r="R7" s="35"/>
      <c r="S7" s="38">
        <v>2</v>
      </c>
      <c r="T7" s="39">
        <f>資料儲存!D1203</f>
        <v>0</v>
      </c>
      <c r="U7" s="39">
        <f>資料儲存!E1203</f>
        <v>0</v>
      </c>
      <c r="V7" s="39">
        <f>資料儲存!F1203</f>
        <v>0</v>
      </c>
      <c r="W7" s="39">
        <f>資料儲存!G1203</f>
        <v>0</v>
      </c>
      <c r="X7" s="39">
        <f>資料儲存!H1203</f>
        <v>0</v>
      </c>
      <c r="Y7" s="39">
        <f>資料儲存!I1203</f>
        <v>0</v>
      </c>
      <c r="Z7" s="39">
        <f>資料儲存!J1203</f>
        <v>0</v>
      </c>
      <c r="AA7" s="35"/>
      <c r="AB7" s="38">
        <v>2</v>
      </c>
      <c r="AC7" s="39">
        <f>資料儲存!D1323</f>
        <v>0</v>
      </c>
      <c r="AD7" s="39">
        <f>資料儲存!E1323</f>
        <v>0</v>
      </c>
      <c r="AE7" s="39">
        <f>資料儲存!F1323</f>
        <v>0</v>
      </c>
      <c r="AF7" s="39">
        <f>資料儲存!G1323</f>
        <v>0</v>
      </c>
      <c r="AG7" s="39">
        <f>資料儲存!H1323</f>
        <v>0</v>
      </c>
      <c r="AH7" s="39">
        <f>資料儲存!I1323</f>
        <v>0</v>
      </c>
      <c r="AI7" s="39">
        <f>資料儲存!J1323</f>
        <v>0</v>
      </c>
      <c r="AJ7" s="13"/>
    </row>
    <row r="8" spans="1:36" ht="16" thickBot="1">
      <c r="A8" s="38">
        <v>3</v>
      </c>
      <c r="B8" s="39">
        <f>資料儲存!D964</f>
        <v>0</v>
      </c>
      <c r="C8" s="39">
        <f>資料儲存!E964</f>
        <v>0</v>
      </c>
      <c r="D8" s="39">
        <f>資料儲存!F964</f>
        <v>0</v>
      </c>
      <c r="E8" s="39">
        <f>資料儲存!G964</f>
        <v>0</v>
      </c>
      <c r="F8" s="39">
        <f>資料儲存!H964</f>
        <v>0</v>
      </c>
      <c r="G8" s="39">
        <f>資料儲存!I964</f>
        <v>0</v>
      </c>
      <c r="H8" s="39">
        <f>資料儲存!J964</f>
        <v>0</v>
      </c>
      <c r="I8" s="35"/>
      <c r="J8" s="38">
        <v>3</v>
      </c>
      <c r="K8" s="39">
        <f>資料儲存!D1084</f>
        <v>0</v>
      </c>
      <c r="L8" s="39">
        <f>資料儲存!E1084</f>
        <v>0</v>
      </c>
      <c r="M8" s="39">
        <f>資料儲存!F1084</f>
        <v>0</v>
      </c>
      <c r="N8" s="39">
        <f>資料儲存!G1084</f>
        <v>0</v>
      </c>
      <c r="O8" s="39">
        <f>資料儲存!H1084</f>
        <v>0</v>
      </c>
      <c r="P8" s="39">
        <f>資料儲存!I1084</f>
        <v>0</v>
      </c>
      <c r="Q8" s="39">
        <f>資料儲存!J1084</f>
        <v>0</v>
      </c>
      <c r="R8" s="35"/>
      <c r="S8" s="38">
        <v>3</v>
      </c>
      <c r="T8" s="39">
        <f>資料儲存!D1204</f>
        <v>0</v>
      </c>
      <c r="U8" s="39">
        <f>資料儲存!E1204</f>
        <v>0</v>
      </c>
      <c r="V8" s="39">
        <f>資料儲存!F1204</f>
        <v>0</v>
      </c>
      <c r="W8" s="39">
        <f>資料儲存!G1204</f>
        <v>0</v>
      </c>
      <c r="X8" s="39">
        <f>資料儲存!H1204</f>
        <v>0</v>
      </c>
      <c r="Y8" s="39">
        <f>資料儲存!I1204</f>
        <v>0</v>
      </c>
      <c r="Z8" s="39">
        <f>資料儲存!J1204</f>
        <v>0</v>
      </c>
      <c r="AA8" s="35"/>
      <c r="AB8" s="38">
        <v>3</v>
      </c>
      <c r="AC8" s="39">
        <f>資料儲存!D1324</f>
        <v>0</v>
      </c>
      <c r="AD8" s="39">
        <f>資料儲存!E1324</f>
        <v>0</v>
      </c>
      <c r="AE8" s="39">
        <f>資料儲存!F1324</f>
        <v>0</v>
      </c>
      <c r="AF8" s="39">
        <f>資料儲存!G1324</f>
        <v>0</v>
      </c>
      <c r="AG8" s="39">
        <f>資料儲存!H1324</f>
        <v>0</v>
      </c>
      <c r="AH8" s="39">
        <f>資料儲存!I1324</f>
        <v>0</v>
      </c>
      <c r="AI8" s="39">
        <f>資料儲存!J1324</f>
        <v>0</v>
      </c>
      <c r="AJ8" s="13"/>
    </row>
    <row r="9" spans="1:36" ht="16" thickBot="1">
      <c r="A9" s="38">
        <v>4</v>
      </c>
      <c r="B9" s="39">
        <f>資料儲存!D965</f>
        <v>0</v>
      </c>
      <c r="C9" s="39">
        <f>資料儲存!E965</f>
        <v>0</v>
      </c>
      <c r="D9" s="39">
        <f>資料儲存!F965</f>
        <v>0</v>
      </c>
      <c r="E9" s="39">
        <f>資料儲存!G965</f>
        <v>0</v>
      </c>
      <c r="F9" s="39">
        <f>資料儲存!H965</f>
        <v>0</v>
      </c>
      <c r="G9" s="39">
        <f>資料儲存!I965</f>
        <v>0</v>
      </c>
      <c r="H9" s="39">
        <f>資料儲存!J965</f>
        <v>0</v>
      </c>
      <c r="I9" s="35"/>
      <c r="J9" s="38">
        <v>4</v>
      </c>
      <c r="K9" s="39">
        <f>資料儲存!D1085</f>
        <v>0</v>
      </c>
      <c r="L9" s="39">
        <f>資料儲存!E1085</f>
        <v>0</v>
      </c>
      <c r="M9" s="39">
        <f>資料儲存!F1085</f>
        <v>0</v>
      </c>
      <c r="N9" s="39">
        <f>資料儲存!G1085</f>
        <v>0</v>
      </c>
      <c r="O9" s="39">
        <f>資料儲存!H1085</f>
        <v>0</v>
      </c>
      <c r="P9" s="39">
        <f>資料儲存!I1085</f>
        <v>0</v>
      </c>
      <c r="Q9" s="39">
        <f>資料儲存!J1085</f>
        <v>0</v>
      </c>
      <c r="R9" s="35"/>
      <c r="S9" s="38">
        <v>4</v>
      </c>
      <c r="T9" s="39">
        <f>資料儲存!D1205</f>
        <v>0</v>
      </c>
      <c r="U9" s="39">
        <f>資料儲存!E1205</f>
        <v>0</v>
      </c>
      <c r="V9" s="39">
        <f>資料儲存!F1205</f>
        <v>0</v>
      </c>
      <c r="W9" s="39">
        <f>資料儲存!G1205</f>
        <v>0</v>
      </c>
      <c r="X9" s="39">
        <f>資料儲存!H1205</f>
        <v>0</v>
      </c>
      <c r="Y9" s="39">
        <f>資料儲存!I1205</f>
        <v>0</v>
      </c>
      <c r="Z9" s="39">
        <f>資料儲存!J1205</f>
        <v>0</v>
      </c>
      <c r="AA9" s="35"/>
      <c r="AB9" s="38">
        <v>4</v>
      </c>
      <c r="AC9" s="39">
        <f>資料儲存!D1325</f>
        <v>0</v>
      </c>
      <c r="AD9" s="39">
        <f>資料儲存!E1325</f>
        <v>0</v>
      </c>
      <c r="AE9" s="39">
        <f>資料儲存!F1325</f>
        <v>0</v>
      </c>
      <c r="AF9" s="39">
        <f>資料儲存!G1325</f>
        <v>0</v>
      </c>
      <c r="AG9" s="39">
        <f>資料儲存!H1325</f>
        <v>0</v>
      </c>
      <c r="AH9" s="39">
        <f>資料儲存!I1325</f>
        <v>0</v>
      </c>
      <c r="AI9" s="39">
        <f>資料儲存!J1325</f>
        <v>0</v>
      </c>
      <c r="AJ9" s="13"/>
    </row>
    <row r="10" spans="1:36" ht="16" thickBot="1">
      <c r="A10" s="38">
        <v>5</v>
      </c>
      <c r="B10" s="39">
        <f>資料儲存!D966</f>
        <v>0</v>
      </c>
      <c r="C10" s="39">
        <f>資料儲存!E966</f>
        <v>0</v>
      </c>
      <c r="D10" s="39">
        <f>資料儲存!F966</f>
        <v>0</v>
      </c>
      <c r="E10" s="39">
        <f>資料儲存!G966</f>
        <v>0</v>
      </c>
      <c r="F10" s="39">
        <f>資料儲存!H966</f>
        <v>0</v>
      </c>
      <c r="G10" s="39">
        <f>資料儲存!I966</f>
        <v>0</v>
      </c>
      <c r="H10" s="39">
        <f>資料儲存!J966</f>
        <v>0</v>
      </c>
      <c r="I10" s="35"/>
      <c r="J10" s="38">
        <v>5</v>
      </c>
      <c r="K10" s="39">
        <f>資料儲存!D1086</f>
        <v>0</v>
      </c>
      <c r="L10" s="39">
        <f>資料儲存!E1086</f>
        <v>0</v>
      </c>
      <c r="M10" s="39">
        <f>資料儲存!F1086</f>
        <v>0</v>
      </c>
      <c r="N10" s="39">
        <f>資料儲存!G1086</f>
        <v>0</v>
      </c>
      <c r="O10" s="39">
        <f>資料儲存!H1086</f>
        <v>0</v>
      </c>
      <c r="P10" s="39">
        <f>資料儲存!I1086</f>
        <v>0</v>
      </c>
      <c r="Q10" s="39">
        <f>資料儲存!J1086</f>
        <v>0</v>
      </c>
      <c r="R10" s="35"/>
      <c r="S10" s="38">
        <v>5</v>
      </c>
      <c r="T10" s="39">
        <f>資料儲存!D1206</f>
        <v>0</v>
      </c>
      <c r="U10" s="39">
        <f>資料儲存!E1206</f>
        <v>0</v>
      </c>
      <c r="V10" s="39">
        <f>資料儲存!F1206</f>
        <v>0</v>
      </c>
      <c r="W10" s="39">
        <f>資料儲存!G1206</f>
        <v>0</v>
      </c>
      <c r="X10" s="39">
        <f>資料儲存!H1206</f>
        <v>0</v>
      </c>
      <c r="Y10" s="39">
        <f>資料儲存!I1206</f>
        <v>0</v>
      </c>
      <c r="Z10" s="39">
        <f>資料儲存!J1206</f>
        <v>0</v>
      </c>
      <c r="AA10" s="35"/>
      <c r="AB10" s="38">
        <v>5</v>
      </c>
      <c r="AC10" s="39">
        <f>資料儲存!D1326</f>
        <v>0</v>
      </c>
      <c r="AD10" s="39">
        <f>資料儲存!E1326</f>
        <v>0</v>
      </c>
      <c r="AE10" s="39">
        <f>資料儲存!F1326</f>
        <v>0</v>
      </c>
      <c r="AF10" s="39">
        <f>資料儲存!G1326</f>
        <v>0</v>
      </c>
      <c r="AG10" s="39">
        <f>資料儲存!H1326</f>
        <v>0</v>
      </c>
      <c r="AH10" s="39">
        <f>資料儲存!I1326</f>
        <v>0</v>
      </c>
      <c r="AI10" s="39">
        <f>資料儲存!J1326</f>
        <v>0</v>
      </c>
      <c r="AJ10" s="13"/>
    </row>
    <row r="11" spans="1:36" ht="16" thickBot="1">
      <c r="A11" s="38">
        <v>6</v>
      </c>
      <c r="B11" s="39">
        <f>資料儲存!D967</f>
        <v>0</v>
      </c>
      <c r="C11" s="39">
        <f>資料儲存!E967</f>
        <v>0</v>
      </c>
      <c r="D11" s="39">
        <f>資料儲存!F967</f>
        <v>0</v>
      </c>
      <c r="E11" s="39">
        <f>資料儲存!G967</f>
        <v>0</v>
      </c>
      <c r="F11" s="39">
        <f>資料儲存!H967</f>
        <v>0</v>
      </c>
      <c r="G11" s="39">
        <f>資料儲存!I967</f>
        <v>0</v>
      </c>
      <c r="H11" s="39">
        <f>資料儲存!J967</f>
        <v>0</v>
      </c>
      <c r="I11" s="35"/>
      <c r="J11" s="38">
        <v>6</v>
      </c>
      <c r="K11" s="39">
        <f>資料儲存!D1087</f>
        <v>0</v>
      </c>
      <c r="L11" s="39">
        <f>資料儲存!E1087</f>
        <v>0</v>
      </c>
      <c r="M11" s="39">
        <f>資料儲存!F1087</f>
        <v>0</v>
      </c>
      <c r="N11" s="39">
        <f>資料儲存!G1087</f>
        <v>0</v>
      </c>
      <c r="O11" s="39">
        <f>資料儲存!H1087</f>
        <v>0</v>
      </c>
      <c r="P11" s="39">
        <f>資料儲存!I1087</f>
        <v>0</v>
      </c>
      <c r="Q11" s="39">
        <f>資料儲存!J1087</f>
        <v>0</v>
      </c>
      <c r="R11" s="35"/>
      <c r="S11" s="38">
        <v>6</v>
      </c>
      <c r="T11" s="39">
        <f>資料儲存!D1207</f>
        <v>0</v>
      </c>
      <c r="U11" s="39">
        <f>資料儲存!E1207</f>
        <v>0</v>
      </c>
      <c r="V11" s="39">
        <f>資料儲存!F1207</f>
        <v>0</v>
      </c>
      <c r="W11" s="39">
        <f>資料儲存!G1207</f>
        <v>0</v>
      </c>
      <c r="X11" s="39">
        <f>資料儲存!H1207</f>
        <v>0</v>
      </c>
      <c r="Y11" s="39">
        <f>資料儲存!I1207</f>
        <v>0</v>
      </c>
      <c r="Z11" s="39">
        <f>資料儲存!J1207</f>
        <v>0</v>
      </c>
      <c r="AA11" s="35"/>
      <c r="AB11" s="38">
        <v>6</v>
      </c>
      <c r="AC11" s="39">
        <f>資料儲存!D1327</f>
        <v>0</v>
      </c>
      <c r="AD11" s="39">
        <f>資料儲存!E1327</f>
        <v>0</v>
      </c>
      <c r="AE11" s="39">
        <f>資料儲存!F1327</f>
        <v>0</v>
      </c>
      <c r="AF11" s="39">
        <f>資料儲存!G1327</f>
        <v>0</v>
      </c>
      <c r="AG11" s="39">
        <f>資料儲存!H1327</f>
        <v>0</v>
      </c>
      <c r="AH11" s="39">
        <f>資料儲存!I1327</f>
        <v>0</v>
      </c>
      <c r="AI11" s="39">
        <f>資料儲存!J1327</f>
        <v>0</v>
      </c>
      <c r="AJ11" s="13"/>
    </row>
    <row r="12" spans="1:36" ht="16" thickBot="1">
      <c r="A12" s="38">
        <v>7</v>
      </c>
      <c r="B12" s="39">
        <f>資料儲存!D968</f>
        <v>0</v>
      </c>
      <c r="C12" s="39">
        <f>資料儲存!E968</f>
        <v>0</v>
      </c>
      <c r="D12" s="39">
        <f>資料儲存!F968</f>
        <v>0</v>
      </c>
      <c r="E12" s="39">
        <f>資料儲存!G968</f>
        <v>0</v>
      </c>
      <c r="F12" s="39">
        <f>資料儲存!H968</f>
        <v>0</v>
      </c>
      <c r="G12" s="39">
        <f>資料儲存!I968</f>
        <v>0</v>
      </c>
      <c r="H12" s="39">
        <f>資料儲存!J968</f>
        <v>0</v>
      </c>
      <c r="I12" s="35"/>
      <c r="J12" s="38">
        <v>7</v>
      </c>
      <c r="K12" s="39">
        <f>資料儲存!D1088</f>
        <v>0</v>
      </c>
      <c r="L12" s="39">
        <f>資料儲存!E1088</f>
        <v>0</v>
      </c>
      <c r="M12" s="39">
        <f>資料儲存!F1088</f>
        <v>0</v>
      </c>
      <c r="N12" s="39">
        <f>資料儲存!G1088</f>
        <v>0</v>
      </c>
      <c r="O12" s="39">
        <f>資料儲存!H1088</f>
        <v>0</v>
      </c>
      <c r="P12" s="39">
        <f>資料儲存!I1088</f>
        <v>0</v>
      </c>
      <c r="Q12" s="39">
        <f>資料儲存!J1088</f>
        <v>0</v>
      </c>
      <c r="R12" s="35"/>
      <c r="S12" s="38">
        <v>7</v>
      </c>
      <c r="T12" s="39">
        <f>資料儲存!D1208</f>
        <v>0</v>
      </c>
      <c r="U12" s="39">
        <f>資料儲存!E1208</f>
        <v>0</v>
      </c>
      <c r="V12" s="39">
        <f>資料儲存!F1208</f>
        <v>0</v>
      </c>
      <c r="W12" s="39">
        <f>資料儲存!G1208</f>
        <v>0</v>
      </c>
      <c r="X12" s="39">
        <f>資料儲存!H1208</f>
        <v>0</v>
      </c>
      <c r="Y12" s="39">
        <f>資料儲存!I1208</f>
        <v>0</v>
      </c>
      <c r="Z12" s="39">
        <f>資料儲存!J1208</f>
        <v>0</v>
      </c>
      <c r="AA12" s="35"/>
      <c r="AB12" s="38">
        <v>7</v>
      </c>
      <c r="AC12" s="39">
        <f>資料儲存!D1328</f>
        <v>0</v>
      </c>
      <c r="AD12" s="39">
        <f>資料儲存!E1328</f>
        <v>0</v>
      </c>
      <c r="AE12" s="39">
        <f>資料儲存!F1328</f>
        <v>0</v>
      </c>
      <c r="AF12" s="39">
        <f>資料儲存!G1328</f>
        <v>0</v>
      </c>
      <c r="AG12" s="39">
        <f>資料儲存!H1328</f>
        <v>0</v>
      </c>
      <c r="AH12" s="39">
        <f>資料儲存!I1328</f>
        <v>0</v>
      </c>
      <c r="AI12" s="39">
        <f>資料儲存!J1328</f>
        <v>0</v>
      </c>
      <c r="AJ12" s="13"/>
    </row>
    <row r="13" spans="1:36" ht="16" thickBot="1">
      <c r="A13" s="38">
        <v>8</v>
      </c>
      <c r="B13" s="39">
        <f>資料儲存!D969</f>
        <v>0</v>
      </c>
      <c r="C13" s="39">
        <f>資料儲存!E969</f>
        <v>0</v>
      </c>
      <c r="D13" s="39">
        <f>資料儲存!F969</f>
        <v>0</v>
      </c>
      <c r="E13" s="39">
        <f>資料儲存!G969</f>
        <v>0</v>
      </c>
      <c r="F13" s="39">
        <f>資料儲存!H969</f>
        <v>0</v>
      </c>
      <c r="G13" s="39">
        <f>資料儲存!I969</f>
        <v>0</v>
      </c>
      <c r="H13" s="39">
        <f>資料儲存!J969</f>
        <v>0</v>
      </c>
      <c r="I13" s="35"/>
      <c r="J13" s="38">
        <v>8</v>
      </c>
      <c r="K13" s="39">
        <f>資料儲存!D1089</f>
        <v>0</v>
      </c>
      <c r="L13" s="39">
        <f>資料儲存!E1089</f>
        <v>0</v>
      </c>
      <c r="M13" s="39">
        <f>資料儲存!F1089</f>
        <v>0</v>
      </c>
      <c r="N13" s="39">
        <f>資料儲存!G1089</f>
        <v>0</v>
      </c>
      <c r="O13" s="39">
        <f>資料儲存!H1089</f>
        <v>0</v>
      </c>
      <c r="P13" s="39">
        <f>資料儲存!I1089</f>
        <v>0</v>
      </c>
      <c r="Q13" s="39">
        <f>資料儲存!J1089</f>
        <v>0</v>
      </c>
      <c r="R13" s="35"/>
      <c r="S13" s="38">
        <v>8</v>
      </c>
      <c r="T13" s="39">
        <f>資料儲存!D1209</f>
        <v>0</v>
      </c>
      <c r="U13" s="39">
        <f>資料儲存!E1209</f>
        <v>0</v>
      </c>
      <c r="V13" s="39">
        <f>資料儲存!F1209</f>
        <v>0</v>
      </c>
      <c r="W13" s="39">
        <f>資料儲存!G1209</f>
        <v>0</v>
      </c>
      <c r="X13" s="39">
        <f>資料儲存!H1209</f>
        <v>0</v>
      </c>
      <c r="Y13" s="39">
        <f>資料儲存!I1209</f>
        <v>0</v>
      </c>
      <c r="Z13" s="39">
        <f>資料儲存!J1209</f>
        <v>0</v>
      </c>
      <c r="AA13" s="35"/>
      <c r="AB13" s="38">
        <v>8</v>
      </c>
      <c r="AC13" s="39">
        <f>資料儲存!D1329</f>
        <v>0</v>
      </c>
      <c r="AD13" s="39">
        <f>資料儲存!E1329</f>
        <v>0</v>
      </c>
      <c r="AE13" s="39">
        <f>資料儲存!F1329</f>
        <v>0</v>
      </c>
      <c r="AF13" s="39">
        <f>資料儲存!G1329</f>
        <v>0</v>
      </c>
      <c r="AG13" s="39">
        <f>資料儲存!H1329</f>
        <v>0</v>
      </c>
      <c r="AH13" s="39">
        <f>資料儲存!I1329</f>
        <v>0</v>
      </c>
      <c r="AI13" s="39">
        <f>資料儲存!J1329</f>
        <v>0</v>
      </c>
      <c r="AJ13" s="13"/>
    </row>
    <row r="14" spans="1:36" ht="16" thickBot="1">
      <c r="A14" s="38">
        <v>9</v>
      </c>
      <c r="B14" s="39">
        <f>資料儲存!D970</f>
        <v>0</v>
      </c>
      <c r="C14" s="39">
        <f>資料儲存!E970</f>
        <v>0</v>
      </c>
      <c r="D14" s="39">
        <f>資料儲存!F970</f>
        <v>0</v>
      </c>
      <c r="E14" s="39">
        <f>資料儲存!G970</f>
        <v>0</v>
      </c>
      <c r="F14" s="39">
        <f>資料儲存!H970</f>
        <v>0</v>
      </c>
      <c r="G14" s="39">
        <f>資料儲存!I970</f>
        <v>0</v>
      </c>
      <c r="H14" s="39">
        <f>資料儲存!J970</f>
        <v>0</v>
      </c>
      <c r="I14" s="35"/>
      <c r="J14" s="38">
        <v>9</v>
      </c>
      <c r="K14" s="39">
        <f>資料儲存!D1090</f>
        <v>0</v>
      </c>
      <c r="L14" s="39">
        <f>資料儲存!E1090</f>
        <v>0</v>
      </c>
      <c r="M14" s="39">
        <f>資料儲存!F1090</f>
        <v>0</v>
      </c>
      <c r="N14" s="39">
        <f>資料儲存!G1090</f>
        <v>0</v>
      </c>
      <c r="O14" s="39">
        <f>資料儲存!H1090</f>
        <v>0</v>
      </c>
      <c r="P14" s="39">
        <f>資料儲存!I1090</f>
        <v>0</v>
      </c>
      <c r="Q14" s="39">
        <f>資料儲存!J1090</f>
        <v>0</v>
      </c>
      <c r="R14" s="35"/>
      <c r="S14" s="38">
        <v>9</v>
      </c>
      <c r="T14" s="39">
        <f>資料儲存!D1210</f>
        <v>0</v>
      </c>
      <c r="U14" s="39">
        <f>資料儲存!E1210</f>
        <v>0</v>
      </c>
      <c r="V14" s="39">
        <f>資料儲存!F1210</f>
        <v>0</v>
      </c>
      <c r="W14" s="39">
        <f>資料儲存!G1210</f>
        <v>0</v>
      </c>
      <c r="X14" s="39">
        <f>資料儲存!H1210</f>
        <v>0</v>
      </c>
      <c r="Y14" s="39">
        <f>資料儲存!I1210</f>
        <v>0</v>
      </c>
      <c r="Z14" s="39">
        <f>資料儲存!J1210</f>
        <v>0</v>
      </c>
      <c r="AA14" s="35"/>
      <c r="AB14" s="38">
        <v>9</v>
      </c>
      <c r="AC14" s="39">
        <f>資料儲存!D1330</f>
        <v>0</v>
      </c>
      <c r="AD14" s="39">
        <f>資料儲存!E1330</f>
        <v>0</v>
      </c>
      <c r="AE14" s="39">
        <f>資料儲存!F1330</f>
        <v>0</v>
      </c>
      <c r="AF14" s="39">
        <f>資料儲存!G1330</f>
        <v>0</v>
      </c>
      <c r="AG14" s="39">
        <f>資料儲存!H1330</f>
        <v>0</v>
      </c>
      <c r="AH14" s="39">
        <f>資料儲存!I1330</f>
        <v>0</v>
      </c>
      <c r="AI14" s="39">
        <f>資料儲存!J1330</f>
        <v>0</v>
      </c>
      <c r="AJ14" s="13"/>
    </row>
    <row r="15" spans="1:36" ht="16" thickBot="1">
      <c r="A15" s="38">
        <v>10</v>
      </c>
      <c r="B15" s="39">
        <f>資料儲存!D971</f>
        <v>0</v>
      </c>
      <c r="C15" s="39">
        <f>資料儲存!E971</f>
        <v>0</v>
      </c>
      <c r="D15" s="39">
        <f>資料儲存!F971</f>
        <v>0</v>
      </c>
      <c r="E15" s="39">
        <f>資料儲存!G971</f>
        <v>0</v>
      </c>
      <c r="F15" s="39">
        <f>資料儲存!H971</f>
        <v>0</v>
      </c>
      <c r="G15" s="39">
        <f>資料儲存!I971</f>
        <v>0</v>
      </c>
      <c r="H15" s="39">
        <f>資料儲存!J971</f>
        <v>0</v>
      </c>
      <c r="I15" s="35"/>
      <c r="J15" s="38">
        <v>10</v>
      </c>
      <c r="K15" s="39">
        <f>資料儲存!D1091</f>
        <v>0</v>
      </c>
      <c r="L15" s="39">
        <f>資料儲存!E1091</f>
        <v>0</v>
      </c>
      <c r="M15" s="39">
        <f>資料儲存!F1091</f>
        <v>0</v>
      </c>
      <c r="N15" s="39">
        <f>資料儲存!G1091</f>
        <v>0</v>
      </c>
      <c r="O15" s="39">
        <f>資料儲存!H1091</f>
        <v>0</v>
      </c>
      <c r="P15" s="39">
        <f>資料儲存!I1091</f>
        <v>0</v>
      </c>
      <c r="Q15" s="39">
        <f>資料儲存!J1091</f>
        <v>0</v>
      </c>
      <c r="R15" s="35"/>
      <c r="S15" s="38">
        <v>10</v>
      </c>
      <c r="T15" s="39">
        <f>資料儲存!D1211</f>
        <v>0</v>
      </c>
      <c r="U15" s="39">
        <f>資料儲存!E1211</f>
        <v>0</v>
      </c>
      <c r="V15" s="39">
        <f>資料儲存!F1211</f>
        <v>0</v>
      </c>
      <c r="W15" s="39">
        <f>資料儲存!G1211</f>
        <v>0</v>
      </c>
      <c r="X15" s="39">
        <f>資料儲存!H1211</f>
        <v>0</v>
      </c>
      <c r="Y15" s="39">
        <f>資料儲存!I1211</f>
        <v>0</v>
      </c>
      <c r="Z15" s="39">
        <f>資料儲存!J1211</f>
        <v>0</v>
      </c>
      <c r="AA15" s="35"/>
      <c r="AB15" s="38">
        <v>10</v>
      </c>
      <c r="AC15" s="39">
        <f>資料儲存!D1331</f>
        <v>0</v>
      </c>
      <c r="AD15" s="39">
        <f>資料儲存!E1331</f>
        <v>0</v>
      </c>
      <c r="AE15" s="39">
        <f>資料儲存!F1331</f>
        <v>0</v>
      </c>
      <c r="AF15" s="39">
        <f>資料儲存!G1331</f>
        <v>0</v>
      </c>
      <c r="AG15" s="39">
        <f>資料儲存!H1331</f>
        <v>0</v>
      </c>
      <c r="AH15" s="39">
        <f>資料儲存!I1331</f>
        <v>0</v>
      </c>
      <c r="AI15" s="39">
        <f>資料儲存!J1331</f>
        <v>0</v>
      </c>
      <c r="AJ15" s="13"/>
    </row>
    <row r="16" spans="1:36" ht="16" thickBot="1">
      <c r="A16" s="38">
        <v>11</v>
      </c>
      <c r="B16" s="39">
        <f>資料儲存!D972</f>
        <v>0</v>
      </c>
      <c r="C16" s="39">
        <f>資料儲存!E972</f>
        <v>0</v>
      </c>
      <c r="D16" s="39">
        <f>資料儲存!F972</f>
        <v>0</v>
      </c>
      <c r="E16" s="39">
        <f>資料儲存!G972</f>
        <v>0</v>
      </c>
      <c r="F16" s="39">
        <f>資料儲存!H972</f>
        <v>0</v>
      </c>
      <c r="G16" s="39">
        <f>資料儲存!I972</f>
        <v>0</v>
      </c>
      <c r="H16" s="39">
        <f>資料儲存!J972</f>
        <v>0</v>
      </c>
      <c r="I16" s="35"/>
      <c r="J16" s="38">
        <v>11</v>
      </c>
      <c r="K16" s="39">
        <f>資料儲存!D1092</f>
        <v>0</v>
      </c>
      <c r="L16" s="39">
        <f>資料儲存!E1092</f>
        <v>0</v>
      </c>
      <c r="M16" s="39">
        <f>資料儲存!F1092</f>
        <v>0</v>
      </c>
      <c r="N16" s="39">
        <f>資料儲存!G1092</f>
        <v>0</v>
      </c>
      <c r="O16" s="39">
        <f>資料儲存!H1092</f>
        <v>0</v>
      </c>
      <c r="P16" s="39">
        <f>資料儲存!I1092</f>
        <v>0</v>
      </c>
      <c r="Q16" s="39">
        <f>資料儲存!J1092</f>
        <v>0</v>
      </c>
      <c r="R16" s="35"/>
      <c r="S16" s="38">
        <v>11</v>
      </c>
      <c r="T16" s="39">
        <f>資料儲存!D1212</f>
        <v>0</v>
      </c>
      <c r="U16" s="39">
        <f>資料儲存!E1212</f>
        <v>0</v>
      </c>
      <c r="V16" s="39">
        <f>資料儲存!F1212</f>
        <v>0</v>
      </c>
      <c r="W16" s="39">
        <f>資料儲存!G1212</f>
        <v>0</v>
      </c>
      <c r="X16" s="39">
        <f>資料儲存!H1212</f>
        <v>0</v>
      </c>
      <c r="Y16" s="39">
        <f>資料儲存!I1212</f>
        <v>0</v>
      </c>
      <c r="Z16" s="39">
        <f>資料儲存!J1212</f>
        <v>0</v>
      </c>
      <c r="AA16" s="35"/>
      <c r="AB16" s="38">
        <v>11</v>
      </c>
      <c r="AC16" s="39">
        <f>資料儲存!D1332</f>
        <v>0</v>
      </c>
      <c r="AD16" s="39">
        <f>資料儲存!E1332</f>
        <v>0</v>
      </c>
      <c r="AE16" s="39">
        <f>資料儲存!F1332</f>
        <v>0</v>
      </c>
      <c r="AF16" s="39">
        <f>資料儲存!G1332</f>
        <v>0</v>
      </c>
      <c r="AG16" s="39">
        <f>資料儲存!H1332</f>
        <v>0</v>
      </c>
      <c r="AH16" s="39">
        <f>資料儲存!I1332</f>
        <v>0</v>
      </c>
      <c r="AI16" s="39">
        <f>資料儲存!J1332</f>
        <v>0</v>
      </c>
      <c r="AJ16" s="13"/>
    </row>
    <row r="17" spans="1:36" ht="16" thickBot="1">
      <c r="A17" s="38">
        <v>12</v>
      </c>
      <c r="B17" s="39">
        <f>資料儲存!D973</f>
        <v>0</v>
      </c>
      <c r="C17" s="39">
        <f>資料儲存!E973</f>
        <v>0</v>
      </c>
      <c r="D17" s="39">
        <f>資料儲存!F973</f>
        <v>0</v>
      </c>
      <c r="E17" s="39">
        <f>資料儲存!G973</f>
        <v>0</v>
      </c>
      <c r="F17" s="39">
        <f>資料儲存!H973</f>
        <v>0</v>
      </c>
      <c r="G17" s="39">
        <f>資料儲存!I973</f>
        <v>0</v>
      </c>
      <c r="H17" s="39">
        <f>資料儲存!J973</f>
        <v>0</v>
      </c>
      <c r="I17" s="35"/>
      <c r="J17" s="38">
        <v>12</v>
      </c>
      <c r="K17" s="39">
        <f>資料儲存!D1093</f>
        <v>0</v>
      </c>
      <c r="L17" s="39">
        <f>資料儲存!E1093</f>
        <v>0</v>
      </c>
      <c r="M17" s="39">
        <f>資料儲存!F1093</f>
        <v>0</v>
      </c>
      <c r="N17" s="39">
        <f>資料儲存!G1093</f>
        <v>0</v>
      </c>
      <c r="O17" s="39">
        <f>資料儲存!H1093</f>
        <v>0</v>
      </c>
      <c r="P17" s="39">
        <f>資料儲存!I1093</f>
        <v>0</v>
      </c>
      <c r="Q17" s="39">
        <f>資料儲存!J1093</f>
        <v>0</v>
      </c>
      <c r="R17" s="35"/>
      <c r="S17" s="38">
        <v>12</v>
      </c>
      <c r="T17" s="39">
        <f>資料儲存!D1213</f>
        <v>0</v>
      </c>
      <c r="U17" s="39">
        <f>資料儲存!E1213</f>
        <v>0</v>
      </c>
      <c r="V17" s="39">
        <f>資料儲存!F1213</f>
        <v>0</v>
      </c>
      <c r="W17" s="39">
        <f>資料儲存!G1213</f>
        <v>0</v>
      </c>
      <c r="X17" s="39">
        <f>資料儲存!H1213</f>
        <v>0</v>
      </c>
      <c r="Y17" s="39">
        <f>資料儲存!I1213</f>
        <v>0</v>
      </c>
      <c r="Z17" s="39">
        <f>資料儲存!J1213</f>
        <v>0</v>
      </c>
      <c r="AA17" s="35"/>
      <c r="AB17" s="38">
        <v>12</v>
      </c>
      <c r="AC17" s="39">
        <f>資料儲存!D1333</f>
        <v>0</v>
      </c>
      <c r="AD17" s="39">
        <f>資料儲存!E1333</f>
        <v>0</v>
      </c>
      <c r="AE17" s="39">
        <f>資料儲存!F1333</f>
        <v>0</v>
      </c>
      <c r="AF17" s="39">
        <f>資料儲存!G1333</f>
        <v>0</v>
      </c>
      <c r="AG17" s="39">
        <f>資料儲存!H1333</f>
        <v>0</v>
      </c>
      <c r="AH17" s="39">
        <f>資料儲存!I1333</f>
        <v>0</v>
      </c>
      <c r="AI17" s="39">
        <f>資料儲存!J1333</f>
        <v>0</v>
      </c>
      <c r="AJ17" s="13"/>
    </row>
    <row r="18" spans="1:36" ht="16" thickBot="1">
      <c r="A18" s="38">
        <v>13</v>
      </c>
      <c r="B18" s="39">
        <f>資料儲存!D974</f>
        <v>0</v>
      </c>
      <c r="C18" s="39">
        <f>資料儲存!E974</f>
        <v>0</v>
      </c>
      <c r="D18" s="39">
        <f>資料儲存!F974</f>
        <v>0</v>
      </c>
      <c r="E18" s="39">
        <f>資料儲存!G974</f>
        <v>0</v>
      </c>
      <c r="F18" s="39">
        <f>資料儲存!H974</f>
        <v>0</v>
      </c>
      <c r="G18" s="39">
        <f>資料儲存!I974</f>
        <v>0</v>
      </c>
      <c r="H18" s="39">
        <f>資料儲存!J974</f>
        <v>0</v>
      </c>
      <c r="I18" s="35"/>
      <c r="J18" s="38">
        <v>13</v>
      </c>
      <c r="K18" s="39">
        <f>資料儲存!D1094</f>
        <v>0</v>
      </c>
      <c r="L18" s="39">
        <f>資料儲存!E1094</f>
        <v>0</v>
      </c>
      <c r="M18" s="39">
        <f>資料儲存!F1094</f>
        <v>0</v>
      </c>
      <c r="N18" s="39">
        <f>資料儲存!G1094</f>
        <v>0</v>
      </c>
      <c r="O18" s="39">
        <f>資料儲存!H1094</f>
        <v>0</v>
      </c>
      <c r="P18" s="39">
        <f>資料儲存!I1094</f>
        <v>0</v>
      </c>
      <c r="Q18" s="39">
        <f>資料儲存!J1094</f>
        <v>0</v>
      </c>
      <c r="R18" s="35"/>
      <c r="S18" s="38">
        <v>13</v>
      </c>
      <c r="T18" s="39">
        <f>資料儲存!D1214</f>
        <v>0</v>
      </c>
      <c r="U18" s="39">
        <f>資料儲存!E1214</f>
        <v>0</v>
      </c>
      <c r="V18" s="39">
        <f>資料儲存!F1214</f>
        <v>0</v>
      </c>
      <c r="W18" s="39">
        <f>資料儲存!G1214</f>
        <v>0</v>
      </c>
      <c r="X18" s="39">
        <f>資料儲存!H1214</f>
        <v>0</v>
      </c>
      <c r="Y18" s="39">
        <f>資料儲存!I1214</f>
        <v>0</v>
      </c>
      <c r="Z18" s="39">
        <f>資料儲存!J1214</f>
        <v>0</v>
      </c>
      <c r="AA18" s="35"/>
      <c r="AB18" s="38">
        <v>13</v>
      </c>
      <c r="AC18" s="39">
        <f>資料儲存!D1334</f>
        <v>0</v>
      </c>
      <c r="AD18" s="39">
        <f>資料儲存!E1334</f>
        <v>0</v>
      </c>
      <c r="AE18" s="39">
        <f>資料儲存!F1334</f>
        <v>0</v>
      </c>
      <c r="AF18" s="39">
        <f>資料儲存!G1334</f>
        <v>0</v>
      </c>
      <c r="AG18" s="39">
        <f>資料儲存!H1334</f>
        <v>0</v>
      </c>
      <c r="AH18" s="39">
        <f>資料儲存!I1334</f>
        <v>0</v>
      </c>
      <c r="AI18" s="39">
        <f>資料儲存!J1334</f>
        <v>0</v>
      </c>
      <c r="AJ18" s="13"/>
    </row>
    <row r="19" spans="1:36" ht="16" thickBot="1">
      <c r="A19" s="38">
        <v>14</v>
      </c>
      <c r="B19" s="39">
        <f>資料儲存!D975</f>
        <v>0</v>
      </c>
      <c r="C19" s="39">
        <f>資料儲存!E975</f>
        <v>0</v>
      </c>
      <c r="D19" s="39">
        <f>資料儲存!F975</f>
        <v>0</v>
      </c>
      <c r="E19" s="39">
        <f>資料儲存!G975</f>
        <v>0</v>
      </c>
      <c r="F19" s="39">
        <f>資料儲存!H975</f>
        <v>0</v>
      </c>
      <c r="G19" s="39">
        <f>資料儲存!I975</f>
        <v>0</v>
      </c>
      <c r="H19" s="39">
        <f>資料儲存!J975</f>
        <v>0</v>
      </c>
      <c r="I19" s="35"/>
      <c r="J19" s="38">
        <v>14</v>
      </c>
      <c r="K19" s="39">
        <f>資料儲存!D1095</f>
        <v>0</v>
      </c>
      <c r="L19" s="39">
        <f>資料儲存!E1095</f>
        <v>0</v>
      </c>
      <c r="M19" s="39">
        <f>資料儲存!F1095</f>
        <v>0</v>
      </c>
      <c r="N19" s="39">
        <f>資料儲存!G1095</f>
        <v>0</v>
      </c>
      <c r="O19" s="39">
        <f>資料儲存!H1095</f>
        <v>0</v>
      </c>
      <c r="P19" s="39">
        <f>資料儲存!I1095</f>
        <v>0</v>
      </c>
      <c r="Q19" s="39">
        <f>資料儲存!J1095</f>
        <v>0</v>
      </c>
      <c r="R19" s="35"/>
      <c r="S19" s="38">
        <v>14</v>
      </c>
      <c r="T19" s="39">
        <f>資料儲存!D1215</f>
        <v>0</v>
      </c>
      <c r="U19" s="39">
        <f>資料儲存!E1215</f>
        <v>0</v>
      </c>
      <c r="V19" s="39">
        <f>資料儲存!F1215</f>
        <v>0</v>
      </c>
      <c r="W19" s="39">
        <f>資料儲存!G1215</f>
        <v>0</v>
      </c>
      <c r="X19" s="39">
        <f>資料儲存!H1215</f>
        <v>0</v>
      </c>
      <c r="Y19" s="39">
        <f>資料儲存!I1215</f>
        <v>0</v>
      </c>
      <c r="Z19" s="39">
        <f>資料儲存!J1215</f>
        <v>0</v>
      </c>
      <c r="AA19" s="35"/>
      <c r="AB19" s="38">
        <v>14</v>
      </c>
      <c r="AC19" s="39">
        <f>資料儲存!D1335</f>
        <v>0</v>
      </c>
      <c r="AD19" s="39">
        <f>資料儲存!E1335</f>
        <v>0</v>
      </c>
      <c r="AE19" s="39">
        <f>資料儲存!F1335</f>
        <v>0</v>
      </c>
      <c r="AF19" s="39">
        <f>資料儲存!G1335</f>
        <v>0</v>
      </c>
      <c r="AG19" s="39">
        <f>資料儲存!H1335</f>
        <v>0</v>
      </c>
      <c r="AH19" s="39">
        <f>資料儲存!I1335</f>
        <v>0</v>
      </c>
      <c r="AI19" s="39">
        <f>資料儲存!J1335</f>
        <v>0</v>
      </c>
      <c r="AJ19" s="13"/>
    </row>
    <row r="20" spans="1:36" ht="16" thickBot="1">
      <c r="A20" s="38">
        <v>15</v>
      </c>
      <c r="B20" s="39">
        <f>資料儲存!D976</f>
        <v>0</v>
      </c>
      <c r="C20" s="39">
        <f>資料儲存!E976</f>
        <v>0</v>
      </c>
      <c r="D20" s="39">
        <f>資料儲存!F976</f>
        <v>0</v>
      </c>
      <c r="E20" s="39">
        <f>資料儲存!G976</f>
        <v>0</v>
      </c>
      <c r="F20" s="39">
        <f>資料儲存!H976</f>
        <v>0</v>
      </c>
      <c r="G20" s="39">
        <f>資料儲存!I976</f>
        <v>0</v>
      </c>
      <c r="H20" s="39">
        <f>資料儲存!J976</f>
        <v>0</v>
      </c>
      <c r="I20" s="35"/>
      <c r="J20" s="38">
        <v>15</v>
      </c>
      <c r="K20" s="39">
        <f>資料儲存!D1096</f>
        <v>0</v>
      </c>
      <c r="L20" s="39">
        <f>資料儲存!E1096</f>
        <v>0</v>
      </c>
      <c r="M20" s="39">
        <f>資料儲存!F1096</f>
        <v>0</v>
      </c>
      <c r="N20" s="39">
        <f>資料儲存!G1096</f>
        <v>0</v>
      </c>
      <c r="O20" s="39">
        <f>資料儲存!H1096</f>
        <v>0</v>
      </c>
      <c r="P20" s="39">
        <f>資料儲存!I1096</f>
        <v>0</v>
      </c>
      <c r="Q20" s="39">
        <f>資料儲存!J1096</f>
        <v>0</v>
      </c>
      <c r="R20" s="35"/>
      <c r="S20" s="38">
        <v>15</v>
      </c>
      <c r="T20" s="39">
        <f>資料儲存!D1216</f>
        <v>0</v>
      </c>
      <c r="U20" s="39">
        <f>資料儲存!E1216</f>
        <v>0</v>
      </c>
      <c r="V20" s="39">
        <f>資料儲存!F1216</f>
        <v>0</v>
      </c>
      <c r="W20" s="39">
        <f>資料儲存!G1216</f>
        <v>0</v>
      </c>
      <c r="X20" s="39">
        <f>資料儲存!H1216</f>
        <v>0</v>
      </c>
      <c r="Y20" s="39">
        <f>資料儲存!I1216</f>
        <v>0</v>
      </c>
      <c r="Z20" s="39">
        <f>資料儲存!J1216</f>
        <v>0</v>
      </c>
      <c r="AA20" s="35"/>
      <c r="AB20" s="38">
        <v>15</v>
      </c>
      <c r="AC20" s="39">
        <f>資料儲存!D1336</f>
        <v>0</v>
      </c>
      <c r="AD20" s="39">
        <f>資料儲存!E1336</f>
        <v>0</v>
      </c>
      <c r="AE20" s="39">
        <f>資料儲存!F1336</f>
        <v>0</v>
      </c>
      <c r="AF20" s="39">
        <f>資料儲存!G1336</f>
        <v>0</v>
      </c>
      <c r="AG20" s="39">
        <f>資料儲存!H1336</f>
        <v>0</v>
      </c>
      <c r="AH20" s="39">
        <f>資料儲存!I1336</f>
        <v>0</v>
      </c>
      <c r="AI20" s="39">
        <f>資料儲存!J1336</f>
        <v>0</v>
      </c>
      <c r="AJ20" s="13"/>
    </row>
    <row r="21" spans="1:36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13"/>
    </row>
    <row r="22" spans="1:36" ht="18.5" thickBot="1">
      <c r="A22" s="250" t="s">
        <v>92</v>
      </c>
      <c r="B22" s="251"/>
      <c r="C22" s="251"/>
      <c r="D22" s="251"/>
      <c r="E22" s="251"/>
      <c r="F22" s="251"/>
      <c r="G22" s="251"/>
      <c r="H22" s="252"/>
      <c r="I22" s="13"/>
      <c r="J22" s="250" t="s">
        <v>92</v>
      </c>
      <c r="K22" s="251"/>
      <c r="L22" s="251"/>
      <c r="M22" s="251"/>
      <c r="N22" s="251"/>
      <c r="O22" s="251"/>
      <c r="P22" s="251"/>
      <c r="Q22" s="252"/>
      <c r="R22" s="13"/>
      <c r="S22" s="250" t="s">
        <v>92</v>
      </c>
      <c r="T22" s="251"/>
      <c r="U22" s="251"/>
      <c r="V22" s="251"/>
      <c r="W22" s="251"/>
      <c r="X22" s="251"/>
      <c r="Y22" s="251"/>
      <c r="Z22" s="252"/>
      <c r="AA22" s="13"/>
      <c r="AB22" s="250" t="s">
        <v>92</v>
      </c>
      <c r="AC22" s="251"/>
      <c r="AD22" s="251"/>
      <c r="AE22" s="251"/>
      <c r="AF22" s="251"/>
      <c r="AG22" s="251"/>
      <c r="AH22" s="251"/>
      <c r="AI22" s="252"/>
      <c r="AJ22" s="13"/>
    </row>
    <row r="23" spans="1:36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</row>
    <row r="24" spans="1:36" ht="16" thickBot="1">
      <c r="A24" s="46">
        <v>0.46875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0.46875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0.46875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0.46875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</row>
    <row r="25" spans="1:36" ht="16" thickBot="1">
      <c r="A25" s="48">
        <v>16</v>
      </c>
      <c r="B25" s="49">
        <f>資料儲存!D977</f>
        <v>0</v>
      </c>
      <c r="C25" s="49">
        <f>資料儲存!E977</f>
        <v>0</v>
      </c>
      <c r="D25" s="49">
        <f>資料儲存!F977</f>
        <v>0</v>
      </c>
      <c r="E25" s="49">
        <f>資料儲存!G977</f>
        <v>0</v>
      </c>
      <c r="F25" s="49">
        <f>資料儲存!H977</f>
        <v>0</v>
      </c>
      <c r="G25" s="49">
        <f>資料儲存!I977</f>
        <v>0</v>
      </c>
      <c r="H25" s="49">
        <f>資料儲存!J977</f>
        <v>0</v>
      </c>
      <c r="I25" s="45"/>
      <c r="J25" s="48">
        <v>16</v>
      </c>
      <c r="K25" s="49">
        <f>資料儲存!D1097</f>
        <v>0</v>
      </c>
      <c r="L25" s="49">
        <f>資料儲存!E1097</f>
        <v>0</v>
      </c>
      <c r="M25" s="49">
        <f>資料儲存!F1097</f>
        <v>0</v>
      </c>
      <c r="N25" s="49">
        <f>資料儲存!G1097</f>
        <v>0</v>
      </c>
      <c r="O25" s="49">
        <f>資料儲存!H1097</f>
        <v>0</v>
      </c>
      <c r="P25" s="49">
        <f>資料儲存!I1097</f>
        <v>0</v>
      </c>
      <c r="Q25" s="49">
        <f>資料儲存!J1097</f>
        <v>0</v>
      </c>
      <c r="R25" s="45"/>
      <c r="S25" s="48">
        <v>16</v>
      </c>
      <c r="T25" s="49">
        <f>資料儲存!D1217</f>
        <v>0</v>
      </c>
      <c r="U25" s="49">
        <f>資料儲存!E1217</f>
        <v>0</v>
      </c>
      <c r="V25" s="49">
        <f>資料儲存!F1217</f>
        <v>0</v>
      </c>
      <c r="W25" s="49">
        <f>資料儲存!G1217</f>
        <v>0</v>
      </c>
      <c r="X25" s="49">
        <f>資料儲存!H1217</f>
        <v>0</v>
      </c>
      <c r="Y25" s="49">
        <f>資料儲存!I1217</f>
        <v>0</v>
      </c>
      <c r="Z25" s="49">
        <f>資料儲存!J1217</f>
        <v>0</v>
      </c>
      <c r="AA25" s="45"/>
      <c r="AB25" s="48">
        <v>16</v>
      </c>
      <c r="AC25" s="49">
        <f>資料儲存!D1337</f>
        <v>0</v>
      </c>
      <c r="AD25" s="49">
        <f>資料儲存!E1337</f>
        <v>0</v>
      </c>
      <c r="AE25" s="49">
        <f>資料儲存!F1337</f>
        <v>0</v>
      </c>
      <c r="AF25" s="49">
        <f>資料儲存!G1337</f>
        <v>0</v>
      </c>
      <c r="AG25" s="49">
        <f>資料儲存!H1337</f>
        <v>0</v>
      </c>
      <c r="AH25" s="49">
        <f>資料儲存!I1337</f>
        <v>0</v>
      </c>
      <c r="AI25" s="49">
        <f>資料儲存!J1337</f>
        <v>0</v>
      </c>
      <c r="AJ25" s="13"/>
    </row>
    <row r="26" spans="1:36" ht="16" thickBot="1">
      <c r="A26" s="48">
        <v>17</v>
      </c>
      <c r="B26" s="49">
        <f>資料儲存!D978</f>
        <v>0</v>
      </c>
      <c r="C26" s="49">
        <f>資料儲存!E978</f>
        <v>0</v>
      </c>
      <c r="D26" s="49">
        <f>資料儲存!F978</f>
        <v>0</v>
      </c>
      <c r="E26" s="49">
        <f>資料儲存!G978</f>
        <v>0</v>
      </c>
      <c r="F26" s="49">
        <f>資料儲存!H978</f>
        <v>0</v>
      </c>
      <c r="G26" s="49">
        <f>資料儲存!I978</f>
        <v>0</v>
      </c>
      <c r="H26" s="49">
        <f>資料儲存!J978</f>
        <v>0</v>
      </c>
      <c r="I26" s="45"/>
      <c r="J26" s="48">
        <v>17</v>
      </c>
      <c r="K26" s="49">
        <f>資料儲存!D1098</f>
        <v>0</v>
      </c>
      <c r="L26" s="49">
        <f>資料儲存!E1098</f>
        <v>0</v>
      </c>
      <c r="M26" s="49">
        <f>資料儲存!F1098</f>
        <v>0</v>
      </c>
      <c r="N26" s="49">
        <f>資料儲存!G1098</f>
        <v>0</v>
      </c>
      <c r="O26" s="49">
        <f>資料儲存!H1098</f>
        <v>0</v>
      </c>
      <c r="P26" s="49">
        <f>資料儲存!I1098</f>
        <v>0</v>
      </c>
      <c r="Q26" s="49">
        <f>資料儲存!J1098</f>
        <v>0</v>
      </c>
      <c r="R26" s="45"/>
      <c r="S26" s="48">
        <v>17</v>
      </c>
      <c r="T26" s="49">
        <f>資料儲存!D1218</f>
        <v>0</v>
      </c>
      <c r="U26" s="49">
        <f>資料儲存!E1218</f>
        <v>0</v>
      </c>
      <c r="V26" s="49">
        <f>資料儲存!F1218</f>
        <v>0</v>
      </c>
      <c r="W26" s="49">
        <f>資料儲存!G1218</f>
        <v>0</v>
      </c>
      <c r="X26" s="49">
        <f>資料儲存!H1218</f>
        <v>0</v>
      </c>
      <c r="Y26" s="49">
        <f>資料儲存!I1218</f>
        <v>0</v>
      </c>
      <c r="Z26" s="49">
        <f>資料儲存!J1218</f>
        <v>0</v>
      </c>
      <c r="AA26" s="45"/>
      <c r="AB26" s="48">
        <v>17</v>
      </c>
      <c r="AC26" s="49">
        <f>資料儲存!D1338</f>
        <v>0</v>
      </c>
      <c r="AD26" s="49">
        <f>資料儲存!E1338</f>
        <v>0</v>
      </c>
      <c r="AE26" s="49">
        <f>資料儲存!F1338</f>
        <v>0</v>
      </c>
      <c r="AF26" s="49">
        <f>資料儲存!G1338</f>
        <v>0</v>
      </c>
      <c r="AG26" s="49">
        <f>資料儲存!H1338</f>
        <v>0</v>
      </c>
      <c r="AH26" s="49">
        <f>資料儲存!I1338</f>
        <v>0</v>
      </c>
      <c r="AI26" s="49">
        <f>資料儲存!J1338</f>
        <v>0</v>
      </c>
      <c r="AJ26" s="13"/>
    </row>
    <row r="27" spans="1:36" ht="16" thickBot="1">
      <c r="A27" s="48">
        <v>18</v>
      </c>
      <c r="B27" s="49">
        <f>資料儲存!D979</f>
        <v>0</v>
      </c>
      <c r="C27" s="49">
        <f>資料儲存!E979</f>
        <v>0</v>
      </c>
      <c r="D27" s="49">
        <f>資料儲存!F979</f>
        <v>0</v>
      </c>
      <c r="E27" s="49">
        <f>資料儲存!G979</f>
        <v>0</v>
      </c>
      <c r="F27" s="49">
        <f>資料儲存!H979</f>
        <v>0</v>
      </c>
      <c r="G27" s="49">
        <f>資料儲存!I979</f>
        <v>0</v>
      </c>
      <c r="H27" s="49">
        <f>資料儲存!J979</f>
        <v>0</v>
      </c>
      <c r="I27" s="45"/>
      <c r="J27" s="48">
        <v>18</v>
      </c>
      <c r="K27" s="49">
        <f>資料儲存!D1099</f>
        <v>0</v>
      </c>
      <c r="L27" s="49">
        <f>資料儲存!E1099</f>
        <v>0</v>
      </c>
      <c r="M27" s="49">
        <f>資料儲存!F1099</f>
        <v>0</v>
      </c>
      <c r="N27" s="49">
        <f>資料儲存!G1099</f>
        <v>0</v>
      </c>
      <c r="O27" s="49">
        <f>資料儲存!H1099</f>
        <v>0</v>
      </c>
      <c r="P27" s="49">
        <f>資料儲存!I1099</f>
        <v>0</v>
      </c>
      <c r="Q27" s="49">
        <f>資料儲存!J1099</f>
        <v>0</v>
      </c>
      <c r="R27" s="45"/>
      <c r="S27" s="48">
        <v>18</v>
      </c>
      <c r="T27" s="49">
        <f>資料儲存!D1219</f>
        <v>0</v>
      </c>
      <c r="U27" s="49">
        <f>資料儲存!E1219</f>
        <v>0</v>
      </c>
      <c r="V27" s="49">
        <f>資料儲存!F1219</f>
        <v>0</v>
      </c>
      <c r="W27" s="49">
        <f>資料儲存!G1219</f>
        <v>0</v>
      </c>
      <c r="X27" s="49">
        <f>資料儲存!H1219</f>
        <v>0</v>
      </c>
      <c r="Y27" s="49">
        <f>資料儲存!I1219</f>
        <v>0</v>
      </c>
      <c r="Z27" s="49">
        <f>資料儲存!J1219</f>
        <v>0</v>
      </c>
      <c r="AA27" s="45"/>
      <c r="AB27" s="48">
        <v>18</v>
      </c>
      <c r="AC27" s="49">
        <f>資料儲存!D1339</f>
        <v>0</v>
      </c>
      <c r="AD27" s="49">
        <f>資料儲存!E1339</f>
        <v>0</v>
      </c>
      <c r="AE27" s="49">
        <f>資料儲存!F1339</f>
        <v>0</v>
      </c>
      <c r="AF27" s="49">
        <f>資料儲存!G1339</f>
        <v>0</v>
      </c>
      <c r="AG27" s="49">
        <f>資料儲存!H1339</f>
        <v>0</v>
      </c>
      <c r="AH27" s="49">
        <f>資料儲存!I1339</f>
        <v>0</v>
      </c>
      <c r="AI27" s="49">
        <f>資料儲存!J1339</f>
        <v>0</v>
      </c>
      <c r="AJ27" s="13"/>
    </row>
    <row r="28" spans="1:36" ht="16" thickBot="1">
      <c r="A28" s="48">
        <v>19</v>
      </c>
      <c r="B28" s="49">
        <f>資料儲存!D980</f>
        <v>0</v>
      </c>
      <c r="C28" s="49">
        <f>資料儲存!E980</f>
        <v>0</v>
      </c>
      <c r="D28" s="49">
        <f>資料儲存!F980</f>
        <v>0</v>
      </c>
      <c r="E28" s="49">
        <f>資料儲存!G980</f>
        <v>0</v>
      </c>
      <c r="F28" s="49">
        <f>資料儲存!H980</f>
        <v>0</v>
      </c>
      <c r="G28" s="49">
        <f>資料儲存!I980</f>
        <v>0</v>
      </c>
      <c r="H28" s="49">
        <f>資料儲存!J980</f>
        <v>0</v>
      </c>
      <c r="I28" s="45"/>
      <c r="J28" s="48">
        <v>19</v>
      </c>
      <c r="K28" s="49">
        <f>資料儲存!D1100</f>
        <v>0</v>
      </c>
      <c r="L28" s="49">
        <f>資料儲存!E1100</f>
        <v>0</v>
      </c>
      <c r="M28" s="49">
        <f>資料儲存!F1100</f>
        <v>0</v>
      </c>
      <c r="N28" s="49">
        <f>資料儲存!G1100</f>
        <v>0</v>
      </c>
      <c r="O28" s="49">
        <f>資料儲存!H1100</f>
        <v>0</v>
      </c>
      <c r="P28" s="49">
        <f>資料儲存!I1100</f>
        <v>0</v>
      </c>
      <c r="Q28" s="49">
        <f>資料儲存!J1100</f>
        <v>0</v>
      </c>
      <c r="R28" s="45"/>
      <c r="S28" s="48">
        <v>19</v>
      </c>
      <c r="T28" s="49">
        <f>資料儲存!D1220</f>
        <v>0</v>
      </c>
      <c r="U28" s="49">
        <f>資料儲存!E1220</f>
        <v>0</v>
      </c>
      <c r="V28" s="49">
        <f>資料儲存!F1220</f>
        <v>0</v>
      </c>
      <c r="W28" s="49">
        <f>資料儲存!G1220</f>
        <v>0</v>
      </c>
      <c r="X28" s="49">
        <f>資料儲存!H1220</f>
        <v>0</v>
      </c>
      <c r="Y28" s="49">
        <f>資料儲存!I1220</f>
        <v>0</v>
      </c>
      <c r="Z28" s="49">
        <f>資料儲存!J1220</f>
        <v>0</v>
      </c>
      <c r="AA28" s="45"/>
      <c r="AB28" s="48">
        <v>19</v>
      </c>
      <c r="AC28" s="49">
        <f>資料儲存!D1340</f>
        <v>0</v>
      </c>
      <c r="AD28" s="49">
        <f>資料儲存!E1340</f>
        <v>0</v>
      </c>
      <c r="AE28" s="49">
        <f>資料儲存!F1340</f>
        <v>0</v>
      </c>
      <c r="AF28" s="49">
        <f>資料儲存!G1340</f>
        <v>0</v>
      </c>
      <c r="AG28" s="49">
        <f>資料儲存!H1340</f>
        <v>0</v>
      </c>
      <c r="AH28" s="49">
        <f>資料儲存!I1340</f>
        <v>0</v>
      </c>
      <c r="AI28" s="49">
        <f>資料儲存!J1340</f>
        <v>0</v>
      </c>
      <c r="AJ28" s="13"/>
    </row>
    <row r="29" spans="1:36" ht="16" thickBot="1">
      <c r="A29" s="48">
        <v>20</v>
      </c>
      <c r="B29" s="49">
        <f>資料儲存!D981</f>
        <v>0</v>
      </c>
      <c r="C29" s="49">
        <f>資料儲存!E981</f>
        <v>0</v>
      </c>
      <c r="D29" s="49">
        <f>資料儲存!F981</f>
        <v>0</v>
      </c>
      <c r="E29" s="49">
        <f>資料儲存!G981</f>
        <v>0</v>
      </c>
      <c r="F29" s="49">
        <f>資料儲存!H981</f>
        <v>0</v>
      </c>
      <c r="G29" s="49">
        <f>資料儲存!I981</f>
        <v>0</v>
      </c>
      <c r="H29" s="49">
        <f>資料儲存!J981</f>
        <v>0</v>
      </c>
      <c r="I29" s="45"/>
      <c r="J29" s="48">
        <v>20</v>
      </c>
      <c r="K29" s="49">
        <f>資料儲存!D1101</f>
        <v>0</v>
      </c>
      <c r="L29" s="49">
        <f>資料儲存!E1101</f>
        <v>0</v>
      </c>
      <c r="M29" s="49">
        <f>資料儲存!F1101</f>
        <v>0</v>
      </c>
      <c r="N29" s="49">
        <f>資料儲存!G1101</f>
        <v>0</v>
      </c>
      <c r="O29" s="49">
        <f>資料儲存!H1101</f>
        <v>0</v>
      </c>
      <c r="P29" s="49">
        <f>資料儲存!I1101</f>
        <v>0</v>
      </c>
      <c r="Q29" s="49">
        <f>資料儲存!J1101</f>
        <v>0</v>
      </c>
      <c r="R29" s="45"/>
      <c r="S29" s="48">
        <v>20</v>
      </c>
      <c r="T29" s="49">
        <f>資料儲存!D1221</f>
        <v>0</v>
      </c>
      <c r="U29" s="49">
        <f>資料儲存!E1221</f>
        <v>0</v>
      </c>
      <c r="V29" s="49">
        <f>資料儲存!F1221</f>
        <v>0</v>
      </c>
      <c r="W29" s="49">
        <f>資料儲存!G1221</f>
        <v>0</v>
      </c>
      <c r="X29" s="49">
        <f>資料儲存!H1221</f>
        <v>0</v>
      </c>
      <c r="Y29" s="49">
        <f>資料儲存!I1221</f>
        <v>0</v>
      </c>
      <c r="Z29" s="49">
        <f>資料儲存!J1221</f>
        <v>0</v>
      </c>
      <c r="AA29" s="45"/>
      <c r="AB29" s="48">
        <v>20</v>
      </c>
      <c r="AC29" s="49">
        <f>資料儲存!D1341</f>
        <v>0</v>
      </c>
      <c r="AD29" s="49">
        <f>資料儲存!E1341</f>
        <v>0</v>
      </c>
      <c r="AE29" s="49">
        <f>資料儲存!F1341</f>
        <v>0</v>
      </c>
      <c r="AF29" s="49">
        <f>資料儲存!G1341</f>
        <v>0</v>
      </c>
      <c r="AG29" s="49">
        <f>資料儲存!H1341</f>
        <v>0</v>
      </c>
      <c r="AH29" s="49">
        <f>資料儲存!I1341</f>
        <v>0</v>
      </c>
      <c r="AI29" s="49">
        <f>資料儲存!J1341</f>
        <v>0</v>
      </c>
      <c r="AJ29" s="13"/>
    </row>
    <row r="30" spans="1:36" ht="16" thickBot="1">
      <c r="A30" s="48">
        <v>21</v>
      </c>
      <c r="B30" s="49">
        <f>資料儲存!D982</f>
        <v>0</v>
      </c>
      <c r="C30" s="49">
        <f>資料儲存!E982</f>
        <v>0</v>
      </c>
      <c r="D30" s="49">
        <f>資料儲存!F982</f>
        <v>0</v>
      </c>
      <c r="E30" s="49">
        <f>資料儲存!G982</f>
        <v>0</v>
      </c>
      <c r="F30" s="49">
        <f>資料儲存!H982</f>
        <v>0</v>
      </c>
      <c r="G30" s="49">
        <f>資料儲存!I982</f>
        <v>0</v>
      </c>
      <c r="H30" s="49">
        <f>資料儲存!J982</f>
        <v>0</v>
      </c>
      <c r="I30" s="45"/>
      <c r="J30" s="48">
        <v>21</v>
      </c>
      <c r="K30" s="49">
        <f>資料儲存!D1102</f>
        <v>0</v>
      </c>
      <c r="L30" s="49">
        <f>資料儲存!E1102</f>
        <v>0</v>
      </c>
      <c r="M30" s="49">
        <f>資料儲存!F1102</f>
        <v>0</v>
      </c>
      <c r="N30" s="49">
        <f>資料儲存!G1102</f>
        <v>0</v>
      </c>
      <c r="O30" s="49">
        <f>資料儲存!H1102</f>
        <v>0</v>
      </c>
      <c r="P30" s="49">
        <f>資料儲存!I1102</f>
        <v>0</v>
      </c>
      <c r="Q30" s="49">
        <f>資料儲存!J1102</f>
        <v>0</v>
      </c>
      <c r="R30" s="45"/>
      <c r="S30" s="48">
        <v>21</v>
      </c>
      <c r="T30" s="49">
        <f>資料儲存!D1222</f>
        <v>0</v>
      </c>
      <c r="U30" s="49">
        <f>資料儲存!E1222</f>
        <v>0</v>
      </c>
      <c r="V30" s="49">
        <f>資料儲存!F1222</f>
        <v>0</v>
      </c>
      <c r="W30" s="49">
        <f>資料儲存!G1222</f>
        <v>0</v>
      </c>
      <c r="X30" s="49">
        <f>資料儲存!H1222</f>
        <v>0</v>
      </c>
      <c r="Y30" s="49">
        <f>資料儲存!I1222</f>
        <v>0</v>
      </c>
      <c r="Z30" s="49">
        <f>資料儲存!J1222</f>
        <v>0</v>
      </c>
      <c r="AA30" s="45"/>
      <c r="AB30" s="48">
        <v>21</v>
      </c>
      <c r="AC30" s="49">
        <f>資料儲存!D1342</f>
        <v>0</v>
      </c>
      <c r="AD30" s="49">
        <f>資料儲存!E1342</f>
        <v>0</v>
      </c>
      <c r="AE30" s="49">
        <f>資料儲存!F1342</f>
        <v>0</v>
      </c>
      <c r="AF30" s="49">
        <f>資料儲存!G1342</f>
        <v>0</v>
      </c>
      <c r="AG30" s="49">
        <f>資料儲存!H1342</f>
        <v>0</v>
      </c>
      <c r="AH30" s="49">
        <f>資料儲存!I1342</f>
        <v>0</v>
      </c>
      <c r="AI30" s="49">
        <f>資料儲存!J1342</f>
        <v>0</v>
      </c>
      <c r="AJ30" s="13"/>
    </row>
    <row r="31" spans="1:36" ht="16" thickBot="1">
      <c r="A31" s="48">
        <v>22</v>
      </c>
      <c r="B31" s="49">
        <f>資料儲存!D983</f>
        <v>0</v>
      </c>
      <c r="C31" s="49">
        <f>資料儲存!E983</f>
        <v>0</v>
      </c>
      <c r="D31" s="49">
        <f>資料儲存!F983</f>
        <v>0</v>
      </c>
      <c r="E31" s="49">
        <f>資料儲存!G983</f>
        <v>0</v>
      </c>
      <c r="F31" s="49">
        <f>資料儲存!H983</f>
        <v>0</v>
      </c>
      <c r="G31" s="49">
        <f>資料儲存!I983</f>
        <v>0</v>
      </c>
      <c r="H31" s="49">
        <f>資料儲存!J983</f>
        <v>0</v>
      </c>
      <c r="I31" s="45"/>
      <c r="J31" s="48">
        <v>22</v>
      </c>
      <c r="K31" s="49">
        <f>資料儲存!D1103</f>
        <v>0</v>
      </c>
      <c r="L31" s="49">
        <f>資料儲存!E1103</f>
        <v>0</v>
      </c>
      <c r="M31" s="49">
        <f>資料儲存!F1103</f>
        <v>0</v>
      </c>
      <c r="N31" s="49">
        <f>資料儲存!G1103</f>
        <v>0</v>
      </c>
      <c r="O31" s="49">
        <f>資料儲存!H1103</f>
        <v>0</v>
      </c>
      <c r="P31" s="49">
        <f>資料儲存!I1103</f>
        <v>0</v>
      </c>
      <c r="Q31" s="49">
        <f>資料儲存!J1103</f>
        <v>0</v>
      </c>
      <c r="R31" s="45"/>
      <c r="S31" s="48">
        <v>22</v>
      </c>
      <c r="T31" s="49">
        <f>資料儲存!D1223</f>
        <v>0</v>
      </c>
      <c r="U31" s="49">
        <f>資料儲存!E1223</f>
        <v>0</v>
      </c>
      <c r="V31" s="49">
        <f>資料儲存!F1223</f>
        <v>0</v>
      </c>
      <c r="W31" s="49">
        <f>資料儲存!G1223</f>
        <v>0</v>
      </c>
      <c r="X31" s="49">
        <f>資料儲存!H1223</f>
        <v>0</v>
      </c>
      <c r="Y31" s="49">
        <f>資料儲存!I1223</f>
        <v>0</v>
      </c>
      <c r="Z31" s="49">
        <f>資料儲存!J1223</f>
        <v>0</v>
      </c>
      <c r="AA31" s="45"/>
      <c r="AB31" s="48">
        <v>22</v>
      </c>
      <c r="AC31" s="49">
        <f>資料儲存!D1343</f>
        <v>0</v>
      </c>
      <c r="AD31" s="49">
        <f>資料儲存!E1343</f>
        <v>0</v>
      </c>
      <c r="AE31" s="49">
        <f>資料儲存!F1343</f>
        <v>0</v>
      </c>
      <c r="AF31" s="49">
        <f>資料儲存!G1343</f>
        <v>0</v>
      </c>
      <c r="AG31" s="49">
        <f>資料儲存!H1343</f>
        <v>0</v>
      </c>
      <c r="AH31" s="49">
        <f>資料儲存!I1343</f>
        <v>0</v>
      </c>
      <c r="AI31" s="49">
        <f>資料儲存!J1343</f>
        <v>0</v>
      </c>
      <c r="AJ31" s="13"/>
    </row>
    <row r="32" spans="1:36" ht="16" thickBot="1">
      <c r="A32" s="48">
        <v>23</v>
      </c>
      <c r="B32" s="49">
        <f>資料儲存!D984</f>
        <v>0</v>
      </c>
      <c r="C32" s="49">
        <f>資料儲存!E984</f>
        <v>0</v>
      </c>
      <c r="D32" s="49">
        <f>資料儲存!F984</f>
        <v>0</v>
      </c>
      <c r="E32" s="49">
        <f>資料儲存!G984</f>
        <v>0</v>
      </c>
      <c r="F32" s="49">
        <f>資料儲存!H984</f>
        <v>0</v>
      </c>
      <c r="G32" s="49">
        <f>資料儲存!I984</f>
        <v>0</v>
      </c>
      <c r="H32" s="49">
        <f>資料儲存!J984</f>
        <v>0</v>
      </c>
      <c r="I32" s="45"/>
      <c r="J32" s="48">
        <v>23</v>
      </c>
      <c r="K32" s="49">
        <f>資料儲存!D1104</f>
        <v>0</v>
      </c>
      <c r="L32" s="49">
        <f>資料儲存!E1104</f>
        <v>0</v>
      </c>
      <c r="M32" s="49">
        <f>資料儲存!F1104</f>
        <v>0</v>
      </c>
      <c r="N32" s="49">
        <f>資料儲存!G1104</f>
        <v>0</v>
      </c>
      <c r="O32" s="49">
        <f>資料儲存!H1104</f>
        <v>0</v>
      </c>
      <c r="P32" s="49">
        <f>資料儲存!I1104</f>
        <v>0</v>
      </c>
      <c r="Q32" s="49">
        <f>資料儲存!J1104</f>
        <v>0</v>
      </c>
      <c r="R32" s="45"/>
      <c r="S32" s="48">
        <v>23</v>
      </c>
      <c r="T32" s="49">
        <f>資料儲存!D1224</f>
        <v>0</v>
      </c>
      <c r="U32" s="49">
        <f>資料儲存!E1224</f>
        <v>0</v>
      </c>
      <c r="V32" s="49">
        <f>資料儲存!F1224</f>
        <v>0</v>
      </c>
      <c r="W32" s="49">
        <f>資料儲存!G1224</f>
        <v>0</v>
      </c>
      <c r="X32" s="49">
        <f>資料儲存!H1224</f>
        <v>0</v>
      </c>
      <c r="Y32" s="49">
        <f>資料儲存!I1224</f>
        <v>0</v>
      </c>
      <c r="Z32" s="49">
        <f>資料儲存!J1224</f>
        <v>0</v>
      </c>
      <c r="AA32" s="45"/>
      <c r="AB32" s="48">
        <v>23</v>
      </c>
      <c r="AC32" s="49">
        <f>資料儲存!D1344</f>
        <v>0</v>
      </c>
      <c r="AD32" s="49">
        <f>資料儲存!E1344</f>
        <v>0</v>
      </c>
      <c r="AE32" s="49">
        <f>資料儲存!F1344</f>
        <v>0</v>
      </c>
      <c r="AF32" s="49">
        <f>資料儲存!G1344</f>
        <v>0</v>
      </c>
      <c r="AG32" s="49">
        <f>資料儲存!H1344</f>
        <v>0</v>
      </c>
      <c r="AH32" s="49">
        <f>資料儲存!I1344</f>
        <v>0</v>
      </c>
      <c r="AI32" s="49">
        <f>資料儲存!J1344</f>
        <v>0</v>
      </c>
      <c r="AJ32" s="13"/>
    </row>
    <row r="33" spans="1:36" ht="16" thickBot="1">
      <c r="A33" s="48">
        <v>24</v>
      </c>
      <c r="B33" s="49">
        <f>資料儲存!D985</f>
        <v>0</v>
      </c>
      <c r="C33" s="49">
        <f>資料儲存!E985</f>
        <v>0</v>
      </c>
      <c r="D33" s="49">
        <f>資料儲存!F985</f>
        <v>0</v>
      </c>
      <c r="E33" s="49">
        <f>資料儲存!G985</f>
        <v>0</v>
      </c>
      <c r="F33" s="49">
        <f>資料儲存!H985</f>
        <v>0</v>
      </c>
      <c r="G33" s="49">
        <f>資料儲存!I985</f>
        <v>0</v>
      </c>
      <c r="H33" s="49">
        <f>資料儲存!J985</f>
        <v>0</v>
      </c>
      <c r="I33" s="45"/>
      <c r="J33" s="48">
        <v>24</v>
      </c>
      <c r="K33" s="49">
        <f>資料儲存!D1105</f>
        <v>0</v>
      </c>
      <c r="L33" s="49">
        <f>資料儲存!E1105</f>
        <v>0</v>
      </c>
      <c r="M33" s="49">
        <f>資料儲存!F1105</f>
        <v>0</v>
      </c>
      <c r="N33" s="49">
        <f>資料儲存!G1105</f>
        <v>0</v>
      </c>
      <c r="O33" s="49">
        <f>資料儲存!H1105</f>
        <v>0</v>
      </c>
      <c r="P33" s="49">
        <f>資料儲存!I1105</f>
        <v>0</v>
      </c>
      <c r="Q33" s="49">
        <f>資料儲存!J1105</f>
        <v>0</v>
      </c>
      <c r="R33" s="45"/>
      <c r="S33" s="48">
        <v>24</v>
      </c>
      <c r="T33" s="49">
        <f>資料儲存!D1225</f>
        <v>0</v>
      </c>
      <c r="U33" s="49">
        <f>資料儲存!E1225</f>
        <v>0</v>
      </c>
      <c r="V33" s="49">
        <f>資料儲存!F1225</f>
        <v>0</v>
      </c>
      <c r="W33" s="49">
        <f>資料儲存!G1225</f>
        <v>0</v>
      </c>
      <c r="X33" s="49">
        <f>資料儲存!H1225</f>
        <v>0</v>
      </c>
      <c r="Y33" s="49">
        <f>資料儲存!I1225</f>
        <v>0</v>
      </c>
      <c r="Z33" s="49">
        <f>資料儲存!J1225</f>
        <v>0</v>
      </c>
      <c r="AA33" s="45"/>
      <c r="AB33" s="48">
        <v>24</v>
      </c>
      <c r="AC33" s="49">
        <f>資料儲存!D1345</f>
        <v>0</v>
      </c>
      <c r="AD33" s="49">
        <f>資料儲存!E1345</f>
        <v>0</v>
      </c>
      <c r="AE33" s="49">
        <f>資料儲存!F1345</f>
        <v>0</v>
      </c>
      <c r="AF33" s="49">
        <f>資料儲存!G1345</f>
        <v>0</v>
      </c>
      <c r="AG33" s="49">
        <f>資料儲存!H1345</f>
        <v>0</v>
      </c>
      <c r="AH33" s="49">
        <f>資料儲存!I1345</f>
        <v>0</v>
      </c>
      <c r="AI33" s="49">
        <f>資料儲存!J1345</f>
        <v>0</v>
      </c>
      <c r="AJ33" s="13"/>
    </row>
    <row r="34" spans="1:36" ht="16" thickBot="1">
      <c r="A34" s="48">
        <v>25</v>
      </c>
      <c r="B34" s="49">
        <f>資料儲存!D986</f>
        <v>0</v>
      </c>
      <c r="C34" s="49">
        <f>資料儲存!E986</f>
        <v>0</v>
      </c>
      <c r="D34" s="49">
        <f>資料儲存!F986</f>
        <v>0</v>
      </c>
      <c r="E34" s="49">
        <f>資料儲存!G986</f>
        <v>0</v>
      </c>
      <c r="F34" s="49">
        <f>資料儲存!H986</f>
        <v>0</v>
      </c>
      <c r="G34" s="49">
        <f>資料儲存!I986</f>
        <v>0</v>
      </c>
      <c r="H34" s="49">
        <f>資料儲存!J986</f>
        <v>0</v>
      </c>
      <c r="I34" s="45"/>
      <c r="J34" s="48">
        <v>25</v>
      </c>
      <c r="K34" s="49">
        <f>資料儲存!D1106</f>
        <v>0</v>
      </c>
      <c r="L34" s="49">
        <f>資料儲存!E1106</f>
        <v>0</v>
      </c>
      <c r="M34" s="49">
        <f>資料儲存!F1106</f>
        <v>0</v>
      </c>
      <c r="N34" s="49">
        <f>資料儲存!G1106</f>
        <v>0</v>
      </c>
      <c r="O34" s="49">
        <f>資料儲存!H1106</f>
        <v>0</v>
      </c>
      <c r="P34" s="49">
        <f>資料儲存!I1106</f>
        <v>0</v>
      </c>
      <c r="Q34" s="49">
        <f>資料儲存!J1106</f>
        <v>0</v>
      </c>
      <c r="R34" s="45"/>
      <c r="S34" s="48">
        <v>25</v>
      </c>
      <c r="T34" s="49">
        <f>資料儲存!D1226</f>
        <v>0</v>
      </c>
      <c r="U34" s="49">
        <f>資料儲存!E1226</f>
        <v>0</v>
      </c>
      <c r="V34" s="49">
        <f>資料儲存!F1226</f>
        <v>0</v>
      </c>
      <c r="W34" s="49">
        <f>資料儲存!G1226</f>
        <v>0</v>
      </c>
      <c r="X34" s="49">
        <f>資料儲存!H1226</f>
        <v>0</v>
      </c>
      <c r="Y34" s="49">
        <f>資料儲存!I1226</f>
        <v>0</v>
      </c>
      <c r="Z34" s="49">
        <f>資料儲存!J1226</f>
        <v>0</v>
      </c>
      <c r="AA34" s="45"/>
      <c r="AB34" s="48">
        <v>25</v>
      </c>
      <c r="AC34" s="49">
        <f>資料儲存!D1346</f>
        <v>0</v>
      </c>
      <c r="AD34" s="49">
        <f>資料儲存!E1346</f>
        <v>0</v>
      </c>
      <c r="AE34" s="49">
        <f>資料儲存!F1346</f>
        <v>0</v>
      </c>
      <c r="AF34" s="49">
        <f>資料儲存!G1346</f>
        <v>0</v>
      </c>
      <c r="AG34" s="49">
        <f>資料儲存!H1346</f>
        <v>0</v>
      </c>
      <c r="AH34" s="49">
        <f>資料儲存!I1346</f>
        <v>0</v>
      </c>
      <c r="AI34" s="49">
        <f>資料儲存!J1346</f>
        <v>0</v>
      </c>
      <c r="AJ34" s="13"/>
    </row>
    <row r="35" spans="1:36" ht="16" thickBot="1">
      <c r="A35" s="48">
        <v>26</v>
      </c>
      <c r="B35" s="49">
        <f>資料儲存!D987</f>
        <v>0</v>
      </c>
      <c r="C35" s="49">
        <f>資料儲存!E987</f>
        <v>0</v>
      </c>
      <c r="D35" s="49">
        <f>資料儲存!F987</f>
        <v>0</v>
      </c>
      <c r="E35" s="49">
        <f>資料儲存!G987</f>
        <v>0</v>
      </c>
      <c r="F35" s="49">
        <f>資料儲存!H987</f>
        <v>0</v>
      </c>
      <c r="G35" s="49">
        <f>資料儲存!I987</f>
        <v>0</v>
      </c>
      <c r="H35" s="49">
        <f>資料儲存!J987</f>
        <v>0</v>
      </c>
      <c r="I35" s="45"/>
      <c r="J35" s="48">
        <v>26</v>
      </c>
      <c r="K35" s="49">
        <f>資料儲存!D1107</f>
        <v>0</v>
      </c>
      <c r="L35" s="49">
        <f>資料儲存!E1107</f>
        <v>0</v>
      </c>
      <c r="M35" s="49">
        <f>資料儲存!F1107</f>
        <v>0</v>
      </c>
      <c r="N35" s="49">
        <f>資料儲存!G1107</f>
        <v>0</v>
      </c>
      <c r="O35" s="49">
        <f>資料儲存!H1107</f>
        <v>0</v>
      </c>
      <c r="P35" s="49">
        <f>資料儲存!I1107</f>
        <v>0</v>
      </c>
      <c r="Q35" s="49">
        <f>資料儲存!J1107</f>
        <v>0</v>
      </c>
      <c r="R35" s="45"/>
      <c r="S35" s="48">
        <v>26</v>
      </c>
      <c r="T35" s="49">
        <f>資料儲存!D1227</f>
        <v>0</v>
      </c>
      <c r="U35" s="49">
        <f>資料儲存!E1227</f>
        <v>0</v>
      </c>
      <c r="V35" s="49">
        <f>資料儲存!F1227</f>
        <v>0</v>
      </c>
      <c r="W35" s="49">
        <f>資料儲存!G1227</f>
        <v>0</v>
      </c>
      <c r="X35" s="49">
        <f>資料儲存!H1227</f>
        <v>0</v>
      </c>
      <c r="Y35" s="49">
        <f>資料儲存!I1227</f>
        <v>0</v>
      </c>
      <c r="Z35" s="49">
        <f>資料儲存!J1227</f>
        <v>0</v>
      </c>
      <c r="AA35" s="45"/>
      <c r="AB35" s="48">
        <v>26</v>
      </c>
      <c r="AC35" s="49">
        <f>資料儲存!D1347</f>
        <v>0</v>
      </c>
      <c r="AD35" s="49">
        <f>資料儲存!E1347</f>
        <v>0</v>
      </c>
      <c r="AE35" s="49">
        <f>資料儲存!F1347</f>
        <v>0</v>
      </c>
      <c r="AF35" s="49">
        <f>資料儲存!G1347</f>
        <v>0</v>
      </c>
      <c r="AG35" s="49">
        <f>資料儲存!H1347</f>
        <v>0</v>
      </c>
      <c r="AH35" s="49">
        <f>資料儲存!I1347</f>
        <v>0</v>
      </c>
      <c r="AI35" s="49">
        <f>資料儲存!J1347</f>
        <v>0</v>
      </c>
      <c r="AJ35" s="13"/>
    </row>
    <row r="36" spans="1:36" ht="16" thickBot="1">
      <c r="A36" s="48">
        <v>27</v>
      </c>
      <c r="B36" s="49">
        <f>資料儲存!D988</f>
        <v>0</v>
      </c>
      <c r="C36" s="49">
        <f>資料儲存!E988</f>
        <v>0</v>
      </c>
      <c r="D36" s="49">
        <f>資料儲存!F988</f>
        <v>0</v>
      </c>
      <c r="E36" s="49">
        <f>資料儲存!G988</f>
        <v>0</v>
      </c>
      <c r="F36" s="49">
        <f>資料儲存!H988</f>
        <v>0</v>
      </c>
      <c r="G36" s="49">
        <f>資料儲存!I988</f>
        <v>0</v>
      </c>
      <c r="H36" s="49">
        <f>資料儲存!J988</f>
        <v>0</v>
      </c>
      <c r="I36" s="45"/>
      <c r="J36" s="48">
        <v>27</v>
      </c>
      <c r="K36" s="49">
        <f>資料儲存!D1108</f>
        <v>0</v>
      </c>
      <c r="L36" s="49">
        <f>資料儲存!E1108</f>
        <v>0</v>
      </c>
      <c r="M36" s="49">
        <f>資料儲存!F1108</f>
        <v>0</v>
      </c>
      <c r="N36" s="49">
        <f>資料儲存!G1108</f>
        <v>0</v>
      </c>
      <c r="O36" s="49">
        <f>資料儲存!H1108</f>
        <v>0</v>
      </c>
      <c r="P36" s="49">
        <f>資料儲存!I1108</f>
        <v>0</v>
      </c>
      <c r="Q36" s="49">
        <f>資料儲存!J1108</f>
        <v>0</v>
      </c>
      <c r="R36" s="45"/>
      <c r="S36" s="48">
        <v>27</v>
      </c>
      <c r="T36" s="49">
        <f>資料儲存!D1228</f>
        <v>0</v>
      </c>
      <c r="U36" s="49">
        <f>資料儲存!E1228</f>
        <v>0</v>
      </c>
      <c r="V36" s="49">
        <f>資料儲存!F1228</f>
        <v>0</v>
      </c>
      <c r="W36" s="49">
        <f>資料儲存!G1228</f>
        <v>0</v>
      </c>
      <c r="X36" s="49">
        <f>資料儲存!H1228</f>
        <v>0</v>
      </c>
      <c r="Y36" s="49">
        <f>資料儲存!I1228</f>
        <v>0</v>
      </c>
      <c r="Z36" s="49">
        <f>資料儲存!J1228</f>
        <v>0</v>
      </c>
      <c r="AA36" s="45"/>
      <c r="AB36" s="48">
        <v>27</v>
      </c>
      <c r="AC36" s="49">
        <f>資料儲存!D1348</f>
        <v>0</v>
      </c>
      <c r="AD36" s="49">
        <f>資料儲存!E1348</f>
        <v>0</v>
      </c>
      <c r="AE36" s="49">
        <f>資料儲存!F1348</f>
        <v>0</v>
      </c>
      <c r="AF36" s="49">
        <f>資料儲存!G1348</f>
        <v>0</v>
      </c>
      <c r="AG36" s="49">
        <f>資料儲存!H1348</f>
        <v>0</v>
      </c>
      <c r="AH36" s="49">
        <f>資料儲存!I1348</f>
        <v>0</v>
      </c>
      <c r="AI36" s="49">
        <f>資料儲存!J1348</f>
        <v>0</v>
      </c>
      <c r="AJ36" s="13"/>
    </row>
    <row r="37" spans="1:36" ht="16" thickBot="1">
      <c r="A37" s="48">
        <v>28</v>
      </c>
      <c r="B37" s="49">
        <f>資料儲存!D989</f>
        <v>0</v>
      </c>
      <c r="C37" s="49">
        <f>資料儲存!E989</f>
        <v>0</v>
      </c>
      <c r="D37" s="49">
        <f>資料儲存!F989</f>
        <v>0</v>
      </c>
      <c r="E37" s="49">
        <f>資料儲存!G989</f>
        <v>0</v>
      </c>
      <c r="F37" s="49">
        <f>資料儲存!H989</f>
        <v>0</v>
      </c>
      <c r="G37" s="49">
        <f>資料儲存!I989</f>
        <v>0</v>
      </c>
      <c r="H37" s="49">
        <f>資料儲存!J989</f>
        <v>0</v>
      </c>
      <c r="I37" s="45"/>
      <c r="J37" s="48">
        <v>28</v>
      </c>
      <c r="K37" s="49">
        <f>資料儲存!D1109</f>
        <v>0</v>
      </c>
      <c r="L37" s="49">
        <f>資料儲存!E1109</f>
        <v>0</v>
      </c>
      <c r="M37" s="49">
        <f>資料儲存!F1109</f>
        <v>0</v>
      </c>
      <c r="N37" s="49">
        <f>資料儲存!G1109</f>
        <v>0</v>
      </c>
      <c r="O37" s="49">
        <f>資料儲存!H1109</f>
        <v>0</v>
      </c>
      <c r="P37" s="49">
        <f>資料儲存!I1109</f>
        <v>0</v>
      </c>
      <c r="Q37" s="49">
        <f>資料儲存!J1109</f>
        <v>0</v>
      </c>
      <c r="R37" s="45"/>
      <c r="S37" s="48">
        <v>28</v>
      </c>
      <c r="T37" s="49">
        <f>資料儲存!D1229</f>
        <v>0</v>
      </c>
      <c r="U37" s="49">
        <f>資料儲存!E1229</f>
        <v>0</v>
      </c>
      <c r="V37" s="49">
        <f>資料儲存!F1229</f>
        <v>0</v>
      </c>
      <c r="W37" s="49">
        <f>資料儲存!G1229</f>
        <v>0</v>
      </c>
      <c r="X37" s="49">
        <f>資料儲存!H1229</f>
        <v>0</v>
      </c>
      <c r="Y37" s="49">
        <f>資料儲存!I1229</f>
        <v>0</v>
      </c>
      <c r="Z37" s="49">
        <f>資料儲存!J1229</f>
        <v>0</v>
      </c>
      <c r="AA37" s="45"/>
      <c r="AB37" s="48">
        <v>28</v>
      </c>
      <c r="AC37" s="49">
        <f>資料儲存!D1349</f>
        <v>0</v>
      </c>
      <c r="AD37" s="49">
        <f>資料儲存!E1349</f>
        <v>0</v>
      </c>
      <c r="AE37" s="49">
        <f>資料儲存!F1349</f>
        <v>0</v>
      </c>
      <c r="AF37" s="49">
        <f>資料儲存!G1349</f>
        <v>0</v>
      </c>
      <c r="AG37" s="49">
        <f>資料儲存!H1349</f>
        <v>0</v>
      </c>
      <c r="AH37" s="49">
        <f>資料儲存!I1349</f>
        <v>0</v>
      </c>
      <c r="AI37" s="49">
        <f>資料儲存!J1349</f>
        <v>0</v>
      </c>
      <c r="AJ37" s="13"/>
    </row>
    <row r="38" spans="1:36" ht="16" thickBot="1">
      <c r="A38" s="48">
        <v>29</v>
      </c>
      <c r="B38" s="49">
        <f>資料儲存!D990</f>
        <v>0</v>
      </c>
      <c r="C38" s="49">
        <f>資料儲存!E990</f>
        <v>0</v>
      </c>
      <c r="D38" s="49">
        <f>資料儲存!F990</f>
        <v>0</v>
      </c>
      <c r="E38" s="49">
        <f>資料儲存!G990</f>
        <v>0</v>
      </c>
      <c r="F38" s="49">
        <f>資料儲存!H990</f>
        <v>0</v>
      </c>
      <c r="G38" s="49">
        <f>資料儲存!I990</f>
        <v>0</v>
      </c>
      <c r="H38" s="49">
        <f>資料儲存!J990</f>
        <v>0</v>
      </c>
      <c r="I38" s="45"/>
      <c r="J38" s="48">
        <v>29</v>
      </c>
      <c r="K38" s="49">
        <f>資料儲存!D1110</f>
        <v>0</v>
      </c>
      <c r="L38" s="49">
        <f>資料儲存!E1110</f>
        <v>0</v>
      </c>
      <c r="M38" s="49">
        <f>資料儲存!F1110</f>
        <v>0</v>
      </c>
      <c r="N38" s="49">
        <f>資料儲存!G1110</f>
        <v>0</v>
      </c>
      <c r="O38" s="49">
        <f>資料儲存!H1110</f>
        <v>0</v>
      </c>
      <c r="P38" s="49">
        <f>資料儲存!I1110</f>
        <v>0</v>
      </c>
      <c r="Q38" s="49">
        <f>資料儲存!J1110</f>
        <v>0</v>
      </c>
      <c r="R38" s="45"/>
      <c r="S38" s="48">
        <v>29</v>
      </c>
      <c r="T38" s="49">
        <f>資料儲存!D1230</f>
        <v>0</v>
      </c>
      <c r="U38" s="49">
        <f>資料儲存!E1230</f>
        <v>0</v>
      </c>
      <c r="V38" s="49">
        <f>資料儲存!F1230</f>
        <v>0</v>
      </c>
      <c r="W38" s="49">
        <f>資料儲存!G1230</f>
        <v>0</v>
      </c>
      <c r="X38" s="49">
        <f>資料儲存!H1230</f>
        <v>0</v>
      </c>
      <c r="Y38" s="49">
        <f>資料儲存!I1230</f>
        <v>0</v>
      </c>
      <c r="Z38" s="49">
        <f>資料儲存!J1230</f>
        <v>0</v>
      </c>
      <c r="AA38" s="45"/>
      <c r="AB38" s="48">
        <v>29</v>
      </c>
      <c r="AC38" s="49">
        <f>資料儲存!D1350</f>
        <v>0</v>
      </c>
      <c r="AD38" s="49">
        <f>資料儲存!E1350</f>
        <v>0</v>
      </c>
      <c r="AE38" s="49">
        <f>資料儲存!F1350</f>
        <v>0</v>
      </c>
      <c r="AF38" s="49">
        <f>資料儲存!G1350</f>
        <v>0</v>
      </c>
      <c r="AG38" s="49">
        <f>資料儲存!H1350</f>
        <v>0</v>
      </c>
      <c r="AH38" s="49">
        <f>資料儲存!I1350</f>
        <v>0</v>
      </c>
      <c r="AI38" s="49">
        <f>資料儲存!J1350</f>
        <v>0</v>
      </c>
      <c r="AJ38" s="13"/>
    </row>
    <row r="39" spans="1:36" ht="16" thickBot="1">
      <c r="A39" s="48">
        <v>30</v>
      </c>
      <c r="B39" s="49">
        <f>資料儲存!D991</f>
        <v>0</v>
      </c>
      <c r="C39" s="49">
        <f>資料儲存!E991</f>
        <v>0</v>
      </c>
      <c r="D39" s="49">
        <f>資料儲存!F991</f>
        <v>0</v>
      </c>
      <c r="E39" s="49">
        <f>資料儲存!G991</f>
        <v>0</v>
      </c>
      <c r="F39" s="49">
        <f>資料儲存!H991</f>
        <v>0</v>
      </c>
      <c r="G39" s="49">
        <f>資料儲存!I991</f>
        <v>0</v>
      </c>
      <c r="H39" s="49">
        <f>資料儲存!J991</f>
        <v>0</v>
      </c>
      <c r="I39" s="45"/>
      <c r="J39" s="48">
        <v>30</v>
      </c>
      <c r="K39" s="49">
        <f>資料儲存!D1111</f>
        <v>0</v>
      </c>
      <c r="L39" s="49">
        <f>資料儲存!E1111</f>
        <v>0</v>
      </c>
      <c r="M39" s="49">
        <f>資料儲存!F1111</f>
        <v>0</v>
      </c>
      <c r="N39" s="49">
        <f>資料儲存!G1111</f>
        <v>0</v>
      </c>
      <c r="O39" s="49">
        <f>資料儲存!H1111</f>
        <v>0</v>
      </c>
      <c r="P39" s="49">
        <f>資料儲存!I1111</f>
        <v>0</v>
      </c>
      <c r="Q39" s="49">
        <f>資料儲存!J1111</f>
        <v>0</v>
      </c>
      <c r="R39" s="45"/>
      <c r="S39" s="48">
        <v>30</v>
      </c>
      <c r="T39" s="49">
        <f>資料儲存!D1231</f>
        <v>0</v>
      </c>
      <c r="U39" s="49">
        <f>資料儲存!E1231</f>
        <v>0</v>
      </c>
      <c r="V39" s="49">
        <f>資料儲存!F1231</f>
        <v>0</v>
      </c>
      <c r="W39" s="49">
        <f>資料儲存!G1231</f>
        <v>0</v>
      </c>
      <c r="X39" s="49">
        <f>資料儲存!H1231</f>
        <v>0</v>
      </c>
      <c r="Y39" s="49">
        <f>資料儲存!I1231</f>
        <v>0</v>
      </c>
      <c r="Z39" s="49">
        <f>資料儲存!J1231</f>
        <v>0</v>
      </c>
      <c r="AA39" s="45"/>
      <c r="AB39" s="48">
        <v>30</v>
      </c>
      <c r="AC39" s="49">
        <f>資料儲存!D1351</f>
        <v>0</v>
      </c>
      <c r="AD39" s="49">
        <f>資料儲存!E1351</f>
        <v>0</v>
      </c>
      <c r="AE39" s="49">
        <f>資料儲存!F1351</f>
        <v>0</v>
      </c>
      <c r="AF39" s="49">
        <f>資料儲存!G1351</f>
        <v>0</v>
      </c>
      <c r="AG39" s="49">
        <f>資料儲存!H1351</f>
        <v>0</v>
      </c>
      <c r="AH39" s="49">
        <f>資料儲存!I1351</f>
        <v>0</v>
      </c>
      <c r="AI39" s="49">
        <f>資料儲存!J1351</f>
        <v>0</v>
      </c>
      <c r="AJ39" s="13"/>
    </row>
    <row r="40" spans="1:36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</row>
    <row r="41" spans="1:36" ht="18.5" thickBot="1">
      <c r="A41" s="250" t="s">
        <v>93</v>
      </c>
      <c r="B41" s="251"/>
      <c r="C41" s="251"/>
      <c r="D41" s="251"/>
      <c r="E41" s="251"/>
      <c r="F41" s="251"/>
      <c r="G41" s="251"/>
      <c r="H41" s="252"/>
      <c r="I41" s="13"/>
      <c r="J41" s="250" t="s">
        <v>93</v>
      </c>
      <c r="K41" s="251"/>
      <c r="L41" s="251"/>
      <c r="M41" s="251"/>
      <c r="N41" s="251"/>
      <c r="O41" s="251"/>
      <c r="P41" s="251"/>
      <c r="Q41" s="252"/>
      <c r="R41" s="13"/>
      <c r="S41" s="250" t="s">
        <v>93</v>
      </c>
      <c r="T41" s="251"/>
      <c r="U41" s="251"/>
      <c r="V41" s="251"/>
      <c r="W41" s="251"/>
      <c r="X41" s="251"/>
      <c r="Y41" s="251"/>
      <c r="Z41" s="252"/>
      <c r="AA41" s="13"/>
      <c r="AB41" s="250" t="s">
        <v>93</v>
      </c>
      <c r="AC41" s="251"/>
      <c r="AD41" s="251"/>
      <c r="AE41" s="251"/>
      <c r="AF41" s="251"/>
      <c r="AG41" s="251"/>
      <c r="AH41" s="251"/>
      <c r="AI41" s="252"/>
      <c r="AJ41" s="13"/>
    </row>
    <row r="42" spans="1:36" ht="17.25" customHeight="1" thickBot="1">
      <c r="A42" s="31" t="s">
        <v>2</v>
      </c>
      <c r="B42" s="32" t="s">
        <v>46</v>
      </c>
      <c r="C42" s="33"/>
      <c r="D42" s="33"/>
      <c r="E42" s="34"/>
      <c r="F42" s="32" t="s">
        <v>47</v>
      </c>
      <c r="G42" s="33"/>
      <c r="H42" s="34"/>
      <c r="I42" s="35"/>
      <c r="J42" s="31" t="s">
        <v>2</v>
      </c>
      <c r="K42" s="32" t="s">
        <v>46</v>
      </c>
      <c r="L42" s="33"/>
      <c r="M42" s="33"/>
      <c r="N42" s="34"/>
      <c r="O42" s="32" t="s">
        <v>47</v>
      </c>
      <c r="P42" s="33"/>
      <c r="Q42" s="34"/>
      <c r="R42" s="35"/>
      <c r="S42" s="31" t="s">
        <v>2</v>
      </c>
      <c r="T42" s="32" t="s">
        <v>46</v>
      </c>
      <c r="U42" s="33"/>
      <c r="V42" s="33"/>
      <c r="W42" s="34"/>
      <c r="X42" s="32" t="s">
        <v>47</v>
      </c>
      <c r="Y42" s="33"/>
      <c r="Z42" s="34"/>
      <c r="AA42" s="35"/>
      <c r="AB42" s="31" t="s">
        <v>2</v>
      </c>
      <c r="AC42" s="32" t="s">
        <v>46</v>
      </c>
      <c r="AD42" s="33"/>
      <c r="AE42" s="33"/>
      <c r="AF42" s="34"/>
      <c r="AG42" s="32" t="s">
        <v>47</v>
      </c>
      <c r="AH42" s="33"/>
      <c r="AI42" s="34"/>
      <c r="AJ42" s="13"/>
    </row>
    <row r="43" spans="1:36" ht="16" thickBot="1">
      <c r="A43" s="36">
        <v>0.47916666666666669</v>
      </c>
      <c r="B43" s="37" t="s">
        <v>49</v>
      </c>
      <c r="C43" s="37" t="s">
        <v>50</v>
      </c>
      <c r="D43" s="37" t="s">
        <v>51</v>
      </c>
      <c r="E43" s="37" t="s">
        <v>52</v>
      </c>
      <c r="F43" s="37" t="s">
        <v>53</v>
      </c>
      <c r="G43" s="37" t="s">
        <v>54</v>
      </c>
      <c r="H43" s="37" t="s">
        <v>55</v>
      </c>
      <c r="I43" s="35"/>
      <c r="J43" s="36">
        <v>0.47916666666666669</v>
      </c>
      <c r="K43" s="37" t="s">
        <v>49</v>
      </c>
      <c r="L43" s="37" t="s">
        <v>50</v>
      </c>
      <c r="M43" s="37" t="s">
        <v>51</v>
      </c>
      <c r="N43" s="37" t="s">
        <v>52</v>
      </c>
      <c r="O43" s="37" t="s">
        <v>53</v>
      </c>
      <c r="P43" s="37" t="s">
        <v>54</v>
      </c>
      <c r="Q43" s="37" t="s">
        <v>55</v>
      </c>
      <c r="R43" s="35"/>
      <c r="S43" s="36">
        <v>0.47916666666666669</v>
      </c>
      <c r="T43" s="37" t="s">
        <v>49</v>
      </c>
      <c r="U43" s="37" t="s">
        <v>50</v>
      </c>
      <c r="V43" s="37" t="s">
        <v>51</v>
      </c>
      <c r="W43" s="37" t="s">
        <v>52</v>
      </c>
      <c r="X43" s="37" t="s">
        <v>53</v>
      </c>
      <c r="Y43" s="37" t="s">
        <v>54</v>
      </c>
      <c r="Z43" s="37" t="s">
        <v>55</v>
      </c>
      <c r="AA43" s="35"/>
      <c r="AB43" s="36">
        <v>0.47916666666666669</v>
      </c>
      <c r="AC43" s="37" t="s">
        <v>49</v>
      </c>
      <c r="AD43" s="37" t="s">
        <v>50</v>
      </c>
      <c r="AE43" s="37" t="s">
        <v>51</v>
      </c>
      <c r="AF43" s="37" t="s">
        <v>52</v>
      </c>
      <c r="AG43" s="37" t="s">
        <v>53</v>
      </c>
      <c r="AH43" s="37" t="s">
        <v>54</v>
      </c>
      <c r="AI43" s="37" t="s">
        <v>55</v>
      </c>
      <c r="AJ43" s="13"/>
    </row>
    <row r="44" spans="1:36" ht="16" thickBot="1">
      <c r="A44" s="38">
        <v>31</v>
      </c>
      <c r="B44" s="39">
        <f>資料儲存!D992</f>
        <v>0</v>
      </c>
      <c r="C44" s="39">
        <f>資料儲存!E992</f>
        <v>0</v>
      </c>
      <c r="D44" s="39">
        <f>資料儲存!F992</f>
        <v>0</v>
      </c>
      <c r="E44" s="39">
        <f>資料儲存!G992</f>
        <v>0</v>
      </c>
      <c r="F44" s="39">
        <f>資料儲存!H992</f>
        <v>0</v>
      </c>
      <c r="G44" s="39">
        <f>資料儲存!I992</f>
        <v>0</v>
      </c>
      <c r="H44" s="39">
        <f>資料儲存!J992</f>
        <v>0</v>
      </c>
      <c r="I44" s="35"/>
      <c r="J44" s="38">
        <v>31</v>
      </c>
      <c r="K44" s="39">
        <f>資料儲存!D1112</f>
        <v>0</v>
      </c>
      <c r="L44" s="39">
        <f>資料儲存!E1112</f>
        <v>0</v>
      </c>
      <c r="M44" s="39">
        <f>資料儲存!F1112</f>
        <v>0</v>
      </c>
      <c r="N44" s="39">
        <f>資料儲存!G1112</f>
        <v>0</v>
      </c>
      <c r="O44" s="39">
        <f>資料儲存!H1112</f>
        <v>0</v>
      </c>
      <c r="P44" s="39">
        <f>資料儲存!I1112</f>
        <v>0</v>
      </c>
      <c r="Q44" s="39">
        <f>資料儲存!J1112</f>
        <v>0</v>
      </c>
      <c r="R44" s="35"/>
      <c r="S44" s="38">
        <v>31</v>
      </c>
      <c r="T44" s="39">
        <f>資料儲存!D1232</f>
        <v>0</v>
      </c>
      <c r="U44" s="39">
        <f>資料儲存!E1232</f>
        <v>0</v>
      </c>
      <c r="V44" s="39">
        <f>資料儲存!F1232</f>
        <v>0</v>
      </c>
      <c r="W44" s="39">
        <f>資料儲存!G1232</f>
        <v>0</v>
      </c>
      <c r="X44" s="39">
        <f>資料儲存!H1232</f>
        <v>0</v>
      </c>
      <c r="Y44" s="39">
        <f>資料儲存!I1232</f>
        <v>0</v>
      </c>
      <c r="Z44" s="39">
        <f>資料儲存!J1232</f>
        <v>0</v>
      </c>
      <c r="AA44" s="35"/>
      <c r="AB44" s="38">
        <v>31</v>
      </c>
      <c r="AC44" s="39">
        <f>資料儲存!D1352</f>
        <v>0</v>
      </c>
      <c r="AD44" s="39">
        <f>資料儲存!E1352</f>
        <v>0</v>
      </c>
      <c r="AE44" s="39">
        <f>資料儲存!F1352</f>
        <v>0</v>
      </c>
      <c r="AF44" s="39">
        <f>資料儲存!G1352</f>
        <v>0</v>
      </c>
      <c r="AG44" s="39">
        <f>資料儲存!H1352</f>
        <v>0</v>
      </c>
      <c r="AH44" s="39">
        <f>資料儲存!I1352</f>
        <v>0</v>
      </c>
      <c r="AI44" s="39">
        <f>資料儲存!J1352</f>
        <v>0</v>
      </c>
      <c r="AJ44" s="13"/>
    </row>
    <row r="45" spans="1:36" ht="16" thickBot="1">
      <c r="A45" s="38">
        <v>32</v>
      </c>
      <c r="B45" s="39">
        <f>資料儲存!D993</f>
        <v>0</v>
      </c>
      <c r="C45" s="39">
        <f>資料儲存!E993</f>
        <v>0</v>
      </c>
      <c r="D45" s="39">
        <f>資料儲存!F993</f>
        <v>0</v>
      </c>
      <c r="E45" s="39">
        <f>資料儲存!G993</f>
        <v>0</v>
      </c>
      <c r="F45" s="39">
        <f>資料儲存!H993</f>
        <v>0</v>
      </c>
      <c r="G45" s="39">
        <f>資料儲存!I993</f>
        <v>0</v>
      </c>
      <c r="H45" s="39">
        <f>資料儲存!J993</f>
        <v>0</v>
      </c>
      <c r="I45" s="35"/>
      <c r="J45" s="38">
        <v>32</v>
      </c>
      <c r="K45" s="39">
        <f>資料儲存!D1113</f>
        <v>0</v>
      </c>
      <c r="L45" s="39">
        <f>資料儲存!E1113</f>
        <v>0</v>
      </c>
      <c r="M45" s="39">
        <f>資料儲存!F1113</f>
        <v>0</v>
      </c>
      <c r="N45" s="39">
        <f>資料儲存!G1113</f>
        <v>0</v>
      </c>
      <c r="O45" s="39">
        <f>資料儲存!H1113</f>
        <v>0</v>
      </c>
      <c r="P45" s="39">
        <f>資料儲存!I1113</f>
        <v>0</v>
      </c>
      <c r="Q45" s="39">
        <f>資料儲存!J1113</f>
        <v>0</v>
      </c>
      <c r="R45" s="35"/>
      <c r="S45" s="38">
        <v>32</v>
      </c>
      <c r="T45" s="39">
        <f>資料儲存!D1233</f>
        <v>0</v>
      </c>
      <c r="U45" s="39">
        <f>資料儲存!E1233</f>
        <v>0</v>
      </c>
      <c r="V45" s="39">
        <f>資料儲存!F1233</f>
        <v>0</v>
      </c>
      <c r="W45" s="39">
        <f>資料儲存!G1233</f>
        <v>0</v>
      </c>
      <c r="X45" s="39">
        <f>資料儲存!H1233</f>
        <v>0</v>
      </c>
      <c r="Y45" s="39">
        <f>資料儲存!I1233</f>
        <v>0</v>
      </c>
      <c r="Z45" s="39">
        <f>資料儲存!J1233</f>
        <v>0</v>
      </c>
      <c r="AA45" s="35"/>
      <c r="AB45" s="38">
        <v>32</v>
      </c>
      <c r="AC45" s="39">
        <f>資料儲存!D1353</f>
        <v>0</v>
      </c>
      <c r="AD45" s="39">
        <f>資料儲存!E1353</f>
        <v>0</v>
      </c>
      <c r="AE45" s="39">
        <f>資料儲存!F1353</f>
        <v>0</v>
      </c>
      <c r="AF45" s="39">
        <f>資料儲存!G1353</f>
        <v>0</v>
      </c>
      <c r="AG45" s="39">
        <f>資料儲存!H1353</f>
        <v>0</v>
      </c>
      <c r="AH45" s="39">
        <f>資料儲存!I1353</f>
        <v>0</v>
      </c>
      <c r="AI45" s="39">
        <f>資料儲存!J1353</f>
        <v>0</v>
      </c>
      <c r="AJ45" s="13"/>
    </row>
    <row r="46" spans="1:36" ht="16" thickBot="1">
      <c r="A46" s="38">
        <v>33</v>
      </c>
      <c r="B46" s="39">
        <f>資料儲存!D994</f>
        <v>0</v>
      </c>
      <c r="C46" s="39">
        <f>資料儲存!E994</f>
        <v>0</v>
      </c>
      <c r="D46" s="39">
        <f>資料儲存!F994</f>
        <v>0</v>
      </c>
      <c r="E46" s="39">
        <f>資料儲存!G994</f>
        <v>0</v>
      </c>
      <c r="F46" s="39">
        <f>資料儲存!H994</f>
        <v>0</v>
      </c>
      <c r="G46" s="39">
        <f>資料儲存!I994</f>
        <v>0</v>
      </c>
      <c r="H46" s="39">
        <f>資料儲存!J994</f>
        <v>0</v>
      </c>
      <c r="I46" s="35"/>
      <c r="J46" s="38">
        <v>33</v>
      </c>
      <c r="K46" s="39">
        <f>資料儲存!D1114</f>
        <v>0</v>
      </c>
      <c r="L46" s="39">
        <f>資料儲存!E1114</f>
        <v>0</v>
      </c>
      <c r="M46" s="39">
        <f>資料儲存!F1114</f>
        <v>0</v>
      </c>
      <c r="N46" s="39">
        <f>資料儲存!G1114</f>
        <v>0</v>
      </c>
      <c r="O46" s="39">
        <f>資料儲存!H1114</f>
        <v>0</v>
      </c>
      <c r="P46" s="39">
        <f>資料儲存!I1114</f>
        <v>0</v>
      </c>
      <c r="Q46" s="39">
        <f>資料儲存!J1114</f>
        <v>0</v>
      </c>
      <c r="R46" s="35"/>
      <c r="S46" s="38">
        <v>33</v>
      </c>
      <c r="T46" s="39">
        <f>資料儲存!D1234</f>
        <v>0</v>
      </c>
      <c r="U46" s="39">
        <f>資料儲存!E1234</f>
        <v>0</v>
      </c>
      <c r="V46" s="39">
        <f>資料儲存!F1234</f>
        <v>0</v>
      </c>
      <c r="W46" s="39">
        <f>資料儲存!G1234</f>
        <v>0</v>
      </c>
      <c r="X46" s="39">
        <f>資料儲存!H1234</f>
        <v>0</v>
      </c>
      <c r="Y46" s="39">
        <f>資料儲存!I1234</f>
        <v>0</v>
      </c>
      <c r="Z46" s="39">
        <f>資料儲存!J1234</f>
        <v>0</v>
      </c>
      <c r="AA46" s="35"/>
      <c r="AB46" s="38">
        <v>33</v>
      </c>
      <c r="AC46" s="39">
        <f>資料儲存!D1354</f>
        <v>0</v>
      </c>
      <c r="AD46" s="39">
        <f>資料儲存!E1354</f>
        <v>0</v>
      </c>
      <c r="AE46" s="39">
        <f>資料儲存!F1354</f>
        <v>0</v>
      </c>
      <c r="AF46" s="39">
        <f>資料儲存!G1354</f>
        <v>0</v>
      </c>
      <c r="AG46" s="39">
        <f>資料儲存!H1354</f>
        <v>0</v>
      </c>
      <c r="AH46" s="39">
        <f>資料儲存!I1354</f>
        <v>0</v>
      </c>
      <c r="AI46" s="39">
        <f>資料儲存!J1354</f>
        <v>0</v>
      </c>
      <c r="AJ46" s="13"/>
    </row>
    <row r="47" spans="1:36" ht="16" thickBot="1">
      <c r="A47" s="38">
        <v>34</v>
      </c>
      <c r="B47" s="39">
        <f>資料儲存!D995</f>
        <v>0</v>
      </c>
      <c r="C47" s="39">
        <f>資料儲存!E995</f>
        <v>0</v>
      </c>
      <c r="D47" s="39">
        <f>資料儲存!F995</f>
        <v>0</v>
      </c>
      <c r="E47" s="39">
        <f>資料儲存!G995</f>
        <v>0</v>
      </c>
      <c r="F47" s="39">
        <f>資料儲存!H995</f>
        <v>0</v>
      </c>
      <c r="G47" s="39">
        <f>資料儲存!I995</f>
        <v>0</v>
      </c>
      <c r="H47" s="39">
        <f>資料儲存!J995</f>
        <v>0</v>
      </c>
      <c r="I47" s="35"/>
      <c r="J47" s="38">
        <v>34</v>
      </c>
      <c r="K47" s="39">
        <f>資料儲存!D1115</f>
        <v>0</v>
      </c>
      <c r="L47" s="39">
        <f>資料儲存!E1115</f>
        <v>0</v>
      </c>
      <c r="M47" s="39">
        <f>資料儲存!F1115</f>
        <v>0</v>
      </c>
      <c r="N47" s="39">
        <f>資料儲存!G1115</f>
        <v>0</v>
      </c>
      <c r="O47" s="39">
        <f>資料儲存!H1115</f>
        <v>0</v>
      </c>
      <c r="P47" s="39">
        <f>資料儲存!I1115</f>
        <v>0</v>
      </c>
      <c r="Q47" s="39">
        <f>資料儲存!J1115</f>
        <v>0</v>
      </c>
      <c r="R47" s="35"/>
      <c r="S47" s="38">
        <v>34</v>
      </c>
      <c r="T47" s="39">
        <f>資料儲存!D1235</f>
        <v>0</v>
      </c>
      <c r="U47" s="39">
        <f>資料儲存!E1235</f>
        <v>0</v>
      </c>
      <c r="V47" s="39">
        <f>資料儲存!F1235</f>
        <v>0</v>
      </c>
      <c r="W47" s="39">
        <f>資料儲存!G1235</f>
        <v>0</v>
      </c>
      <c r="X47" s="39">
        <f>資料儲存!H1235</f>
        <v>0</v>
      </c>
      <c r="Y47" s="39">
        <f>資料儲存!I1235</f>
        <v>0</v>
      </c>
      <c r="Z47" s="39">
        <f>資料儲存!J1235</f>
        <v>0</v>
      </c>
      <c r="AA47" s="35"/>
      <c r="AB47" s="38">
        <v>34</v>
      </c>
      <c r="AC47" s="39">
        <f>資料儲存!D1355</f>
        <v>0</v>
      </c>
      <c r="AD47" s="39">
        <f>資料儲存!E1355</f>
        <v>0</v>
      </c>
      <c r="AE47" s="39">
        <f>資料儲存!F1355</f>
        <v>0</v>
      </c>
      <c r="AF47" s="39">
        <f>資料儲存!G1355</f>
        <v>0</v>
      </c>
      <c r="AG47" s="39">
        <f>資料儲存!H1355</f>
        <v>0</v>
      </c>
      <c r="AH47" s="39">
        <f>資料儲存!I1355</f>
        <v>0</v>
      </c>
      <c r="AI47" s="39">
        <f>資料儲存!J1355</f>
        <v>0</v>
      </c>
      <c r="AJ47" s="13"/>
    </row>
    <row r="48" spans="1:36" ht="16" thickBot="1">
      <c r="A48" s="38">
        <v>35</v>
      </c>
      <c r="B48" s="39">
        <f>資料儲存!D996</f>
        <v>0</v>
      </c>
      <c r="C48" s="39">
        <f>資料儲存!E996</f>
        <v>0</v>
      </c>
      <c r="D48" s="39">
        <f>資料儲存!F996</f>
        <v>0</v>
      </c>
      <c r="E48" s="39">
        <f>資料儲存!G996</f>
        <v>0</v>
      </c>
      <c r="F48" s="39">
        <f>資料儲存!H996</f>
        <v>0</v>
      </c>
      <c r="G48" s="39">
        <f>資料儲存!I996</f>
        <v>0</v>
      </c>
      <c r="H48" s="39">
        <f>資料儲存!J996</f>
        <v>0</v>
      </c>
      <c r="I48" s="35"/>
      <c r="J48" s="38">
        <v>35</v>
      </c>
      <c r="K48" s="39">
        <f>資料儲存!D1116</f>
        <v>0</v>
      </c>
      <c r="L48" s="39">
        <f>資料儲存!E1116</f>
        <v>0</v>
      </c>
      <c r="M48" s="39">
        <f>資料儲存!F1116</f>
        <v>0</v>
      </c>
      <c r="N48" s="39">
        <f>資料儲存!G1116</f>
        <v>0</v>
      </c>
      <c r="O48" s="39">
        <f>資料儲存!H1116</f>
        <v>0</v>
      </c>
      <c r="P48" s="39">
        <f>資料儲存!I1116</f>
        <v>0</v>
      </c>
      <c r="Q48" s="39">
        <f>資料儲存!J1116</f>
        <v>0</v>
      </c>
      <c r="R48" s="35"/>
      <c r="S48" s="38">
        <v>35</v>
      </c>
      <c r="T48" s="39">
        <f>資料儲存!D1236</f>
        <v>0</v>
      </c>
      <c r="U48" s="39">
        <f>資料儲存!E1236</f>
        <v>0</v>
      </c>
      <c r="V48" s="39">
        <f>資料儲存!F1236</f>
        <v>0</v>
      </c>
      <c r="W48" s="39">
        <f>資料儲存!G1236</f>
        <v>0</v>
      </c>
      <c r="X48" s="39">
        <f>資料儲存!H1236</f>
        <v>0</v>
      </c>
      <c r="Y48" s="39">
        <f>資料儲存!I1236</f>
        <v>0</v>
      </c>
      <c r="Z48" s="39">
        <f>資料儲存!J1236</f>
        <v>0</v>
      </c>
      <c r="AA48" s="35"/>
      <c r="AB48" s="38">
        <v>35</v>
      </c>
      <c r="AC48" s="39">
        <f>資料儲存!D1356</f>
        <v>0</v>
      </c>
      <c r="AD48" s="39">
        <f>資料儲存!E1356</f>
        <v>0</v>
      </c>
      <c r="AE48" s="39">
        <f>資料儲存!F1356</f>
        <v>0</v>
      </c>
      <c r="AF48" s="39">
        <f>資料儲存!G1356</f>
        <v>0</v>
      </c>
      <c r="AG48" s="39">
        <f>資料儲存!H1356</f>
        <v>0</v>
      </c>
      <c r="AH48" s="39">
        <f>資料儲存!I1356</f>
        <v>0</v>
      </c>
      <c r="AI48" s="39">
        <f>資料儲存!J1356</f>
        <v>0</v>
      </c>
      <c r="AJ48" s="13"/>
    </row>
    <row r="49" spans="1:36" ht="16" thickBot="1">
      <c r="A49" s="38">
        <v>36</v>
      </c>
      <c r="B49" s="39">
        <f>資料儲存!D997</f>
        <v>0</v>
      </c>
      <c r="C49" s="39">
        <f>資料儲存!E997</f>
        <v>0</v>
      </c>
      <c r="D49" s="39">
        <f>資料儲存!F997</f>
        <v>0</v>
      </c>
      <c r="E49" s="39">
        <f>資料儲存!G997</f>
        <v>0</v>
      </c>
      <c r="F49" s="39">
        <f>資料儲存!H997</f>
        <v>0</v>
      </c>
      <c r="G49" s="39">
        <f>資料儲存!I997</f>
        <v>0</v>
      </c>
      <c r="H49" s="39">
        <f>資料儲存!J997</f>
        <v>0</v>
      </c>
      <c r="I49" s="35"/>
      <c r="J49" s="38">
        <v>36</v>
      </c>
      <c r="K49" s="39">
        <f>資料儲存!D1117</f>
        <v>0</v>
      </c>
      <c r="L49" s="39">
        <f>資料儲存!E1117</f>
        <v>0</v>
      </c>
      <c r="M49" s="39">
        <f>資料儲存!F1117</f>
        <v>0</v>
      </c>
      <c r="N49" s="39">
        <f>資料儲存!G1117</f>
        <v>0</v>
      </c>
      <c r="O49" s="39">
        <f>資料儲存!H1117</f>
        <v>0</v>
      </c>
      <c r="P49" s="39">
        <f>資料儲存!I1117</f>
        <v>0</v>
      </c>
      <c r="Q49" s="39">
        <f>資料儲存!J1117</f>
        <v>0</v>
      </c>
      <c r="R49" s="35"/>
      <c r="S49" s="38">
        <v>36</v>
      </c>
      <c r="T49" s="39">
        <f>資料儲存!D1237</f>
        <v>0</v>
      </c>
      <c r="U49" s="39">
        <f>資料儲存!E1237</f>
        <v>0</v>
      </c>
      <c r="V49" s="39">
        <f>資料儲存!F1237</f>
        <v>0</v>
      </c>
      <c r="W49" s="39">
        <f>資料儲存!G1237</f>
        <v>0</v>
      </c>
      <c r="X49" s="39">
        <f>資料儲存!H1237</f>
        <v>0</v>
      </c>
      <c r="Y49" s="39">
        <f>資料儲存!I1237</f>
        <v>0</v>
      </c>
      <c r="Z49" s="39">
        <f>資料儲存!J1237</f>
        <v>0</v>
      </c>
      <c r="AA49" s="35"/>
      <c r="AB49" s="38">
        <v>36</v>
      </c>
      <c r="AC49" s="39">
        <f>資料儲存!D1357</f>
        <v>0</v>
      </c>
      <c r="AD49" s="39">
        <f>資料儲存!E1357</f>
        <v>0</v>
      </c>
      <c r="AE49" s="39">
        <f>資料儲存!F1357</f>
        <v>0</v>
      </c>
      <c r="AF49" s="39">
        <f>資料儲存!G1357</f>
        <v>0</v>
      </c>
      <c r="AG49" s="39">
        <f>資料儲存!H1357</f>
        <v>0</v>
      </c>
      <c r="AH49" s="39">
        <f>資料儲存!I1357</f>
        <v>0</v>
      </c>
      <c r="AI49" s="39">
        <f>資料儲存!J1357</f>
        <v>0</v>
      </c>
      <c r="AJ49" s="13"/>
    </row>
    <row r="50" spans="1:36" ht="16" thickBot="1">
      <c r="A50" s="38">
        <v>37</v>
      </c>
      <c r="B50" s="39">
        <f>資料儲存!D998</f>
        <v>0</v>
      </c>
      <c r="C50" s="39">
        <f>資料儲存!E998</f>
        <v>0</v>
      </c>
      <c r="D50" s="39">
        <f>資料儲存!F998</f>
        <v>0</v>
      </c>
      <c r="E50" s="39">
        <f>資料儲存!G998</f>
        <v>0</v>
      </c>
      <c r="F50" s="39">
        <f>資料儲存!H998</f>
        <v>0</v>
      </c>
      <c r="G50" s="39">
        <f>資料儲存!I998</f>
        <v>0</v>
      </c>
      <c r="H50" s="39">
        <f>資料儲存!J998</f>
        <v>0</v>
      </c>
      <c r="I50" s="35"/>
      <c r="J50" s="38">
        <v>37</v>
      </c>
      <c r="K50" s="39">
        <f>資料儲存!D1118</f>
        <v>0</v>
      </c>
      <c r="L50" s="39">
        <f>資料儲存!E1118</f>
        <v>0</v>
      </c>
      <c r="M50" s="39">
        <f>資料儲存!F1118</f>
        <v>0</v>
      </c>
      <c r="N50" s="39">
        <f>資料儲存!G1118</f>
        <v>0</v>
      </c>
      <c r="O50" s="39">
        <f>資料儲存!H1118</f>
        <v>0</v>
      </c>
      <c r="P50" s="39">
        <f>資料儲存!I1118</f>
        <v>0</v>
      </c>
      <c r="Q50" s="39">
        <f>資料儲存!J1118</f>
        <v>0</v>
      </c>
      <c r="R50" s="35"/>
      <c r="S50" s="38">
        <v>37</v>
      </c>
      <c r="T50" s="39">
        <f>資料儲存!D1238</f>
        <v>0</v>
      </c>
      <c r="U50" s="39">
        <f>資料儲存!E1238</f>
        <v>0</v>
      </c>
      <c r="V50" s="39">
        <f>資料儲存!F1238</f>
        <v>0</v>
      </c>
      <c r="W50" s="39">
        <f>資料儲存!G1238</f>
        <v>0</v>
      </c>
      <c r="X50" s="39">
        <f>資料儲存!H1238</f>
        <v>0</v>
      </c>
      <c r="Y50" s="39">
        <f>資料儲存!I1238</f>
        <v>0</v>
      </c>
      <c r="Z50" s="39">
        <f>資料儲存!J1238</f>
        <v>0</v>
      </c>
      <c r="AA50" s="35"/>
      <c r="AB50" s="38">
        <v>37</v>
      </c>
      <c r="AC50" s="39">
        <f>資料儲存!D1358</f>
        <v>0</v>
      </c>
      <c r="AD50" s="39">
        <f>資料儲存!E1358</f>
        <v>0</v>
      </c>
      <c r="AE50" s="39">
        <f>資料儲存!F1358</f>
        <v>0</v>
      </c>
      <c r="AF50" s="39">
        <f>資料儲存!G1358</f>
        <v>0</v>
      </c>
      <c r="AG50" s="39">
        <f>資料儲存!H1358</f>
        <v>0</v>
      </c>
      <c r="AH50" s="39">
        <f>資料儲存!I1358</f>
        <v>0</v>
      </c>
      <c r="AI50" s="39">
        <f>資料儲存!J1358</f>
        <v>0</v>
      </c>
      <c r="AJ50" s="13"/>
    </row>
    <row r="51" spans="1:36" ht="16" thickBot="1">
      <c r="A51" s="38">
        <v>38</v>
      </c>
      <c r="B51" s="39">
        <f>資料儲存!D999</f>
        <v>0</v>
      </c>
      <c r="C51" s="39">
        <f>資料儲存!E999</f>
        <v>0</v>
      </c>
      <c r="D51" s="39">
        <f>資料儲存!F999</f>
        <v>0</v>
      </c>
      <c r="E51" s="39">
        <f>資料儲存!G999</f>
        <v>0</v>
      </c>
      <c r="F51" s="39">
        <f>資料儲存!H999</f>
        <v>0</v>
      </c>
      <c r="G51" s="39">
        <f>資料儲存!I999</f>
        <v>0</v>
      </c>
      <c r="H51" s="39">
        <f>資料儲存!J999</f>
        <v>0</v>
      </c>
      <c r="I51" s="35"/>
      <c r="J51" s="38">
        <v>38</v>
      </c>
      <c r="K51" s="39">
        <f>資料儲存!D1119</f>
        <v>0</v>
      </c>
      <c r="L51" s="39">
        <f>資料儲存!E1119</f>
        <v>0</v>
      </c>
      <c r="M51" s="39">
        <f>資料儲存!F1119</f>
        <v>0</v>
      </c>
      <c r="N51" s="39">
        <f>資料儲存!G1119</f>
        <v>0</v>
      </c>
      <c r="O51" s="39">
        <f>資料儲存!H1119</f>
        <v>0</v>
      </c>
      <c r="P51" s="39">
        <f>資料儲存!I1119</f>
        <v>0</v>
      </c>
      <c r="Q51" s="39">
        <f>資料儲存!J1119</f>
        <v>0</v>
      </c>
      <c r="R51" s="35"/>
      <c r="S51" s="38">
        <v>38</v>
      </c>
      <c r="T51" s="39">
        <f>資料儲存!D1239</f>
        <v>0</v>
      </c>
      <c r="U51" s="39">
        <f>資料儲存!E1239</f>
        <v>0</v>
      </c>
      <c r="V51" s="39">
        <f>資料儲存!F1239</f>
        <v>0</v>
      </c>
      <c r="W51" s="39">
        <f>資料儲存!G1239</f>
        <v>0</v>
      </c>
      <c r="X51" s="39">
        <f>資料儲存!H1239</f>
        <v>0</v>
      </c>
      <c r="Y51" s="39">
        <f>資料儲存!I1239</f>
        <v>0</v>
      </c>
      <c r="Z51" s="39">
        <f>資料儲存!J1239</f>
        <v>0</v>
      </c>
      <c r="AA51" s="35"/>
      <c r="AB51" s="38">
        <v>38</v>
      </c>
      <c r="AC51" s="39">
        <f>資料儲存!D1359</f>
        <v>0</v>
      </c>
      <c r="AD51" s="39">
        <f>資料儲存!E1359</f>
        <v>0</v>
      </c>
      <c r="AE51" s="39">
        <f>資料儲存!F1359</f>
        <v>0</v>
      </c>
      <c r="AF51" s="39">
        <f>資料儲存!G1359</f>
        <v>0</v>
      </c>
      <c r="AG51" s="39">
        <f>資料儲存!H1359</f>
        <v>0</v>
      </c>
      <c r="AH51" s="39">
        <f>資料儲存!I1359</f>
        <v>0</v>
      </c>
      <c r="AI51" s="39">
        <f>資料儲存!J1359</f>
        <v>0</v>
      </c>
      <c r="AJ51" s="13"/>
    </row>
    <row r="52" spans="1:36" ht="16" thickBot="1">
      <c r="A52" s="38">
        <v>39</v>
      </c>
      <c r="B52" s="39">
        <f>資料儲存!D1000</f>
        <v>0</v>
      </c>
      <c r="C52" s="39">
        <f>資料儲存!E1000</f>
        <v>0</v>
      </c>
      <c r="D52" s="39">
        <f>資料儲存!F1000</f>
        <v>0</v>
      </c>
      <c r="E52" s="39">
        <f>資料儲存!G1000</f>
        <v>0</v>
      </c>
      <c r="F52" s="39">
        <f>資料儲存!H1000</f>
        <v>0</v>
      </c>
      <c r="G52" s="39">
        <f>資料儲存!I1000</f>
        <v>0</v>
      </c>
      <c r="H52" s="39">
        <f>資料儲存!J1000</f>
        <v>0</v>
      </c>
      <c r="I52" s="35"/>
      <c r="J52" s="38">
        <v>39</v>
      </c>
      <c r="K52" s="39">
        <f>資料儲存!D1120</f>
        <v>0</v>
      </c>
      <c r="L52" s="39">
        <f>資料儲存!E1120</f>
        <v>0</v>
      </c>
      <c r="M52" s="39">
        <f>資料儲存!F1120</f>
        <v>0</v>
      </c>
      <c r="N52" s="39">
        <f>資料儲存!G1120</f>
        <v>0</v>
      </c>
      <c r="O52" s="39">
        <f>資料儲存!H1120</f>
        <v>0</v>
      </c>
      <c r="P52" s="39">
        <f>資料儲存!I1120</f>
        <v>0</v>
      </c>
      <c r="Q52" s="39">
        <f>資料儲存!J1120</f>
        <v>0</v>
      </c>
      <c r="R52" s="35"/>
      <c r="S52" s="38">
        <v>39</v>
      </c>
      <c r="T52" s="39">
        <f>資料儲存!D1240</f>
        <v>0</v>
      </c>
      <c r="U52" s="39">
        <f>資料儲存!E1240</f>
        <v>0</v>
      </c>
      <c r="V52" s="39">
        <f>資料儲存!F1240</f>
        <v>0</v>
      </c>
      <c r="W52" s="39">
        <f>資料儲存!G1240</f>
        <v>0</v>
      </c>
      <c r="X52" s="39">
        <f>資料儲存!H1240</f>
        <v>0</v>
      </c>
      <c r="Y52" s="39">
        <f>資料儲存!I1240</f>
        <v>0</v>
      </c>
      <c r="Z52" s="39">
        <f>資料儲存!J1240</f>
        <v>0</v>
      </c>
      <c r="AA52" s="35"/>
      <c r="AB52" s="38">
        <v>39</v>
      </c>
      <c r="AC52" s="39">
        <f>資料儲存!D1360</f>
        <v>0</v>
      </c>
      <c r="AD52" s="39">
        <f>資料儲存!E1360</f>
        <v>0</v>
      </c>
      <c r="AE52" s="39">
        <f>資料儲存!F1360</f>
        <v>0</v>
      </c>
      <c r="AF52" s="39">
        <f>資料儲存!G1360</f>
        <v>0</v>
      </c>
      <c r="AG52" s="39">
        <f>資料儲存!H1360</f>
        <v>0</v>
      </c>
      <c r="AH52" s="39">
        <f>資料儲存!I1360</f>
        <v>0</v>
      </c>
      <c r="AI52" s="39">
        <f>資料儲存!J1360</f>
        <v>0</v>
      </c>
      <c r="AJ52" s="13"/>
    </row>
    <row r="53" spans="1:36" ht="16" thickBot="1">
      <c r="A53" s="38">
        <v>40</v>
      </c>
      <c r="B53" s="39">
        <f>資料儲存!D1001</f>
        <v>0</v>
      </c>
      <c r="C53" s="39">
        <f>資料儲存!E1001</f>
        <v>0</v>
      </c>
      <c r="D53" s="39">
        <f>資料儲存!F1001</f>
        <v>0</v>
      </c>
      <c r="E53" s="39">
        <f>資料儲存!G1001</f>
        <v>0</v>
      </c>
      <c r="F53" s="39">
        <f>資料儲存!H1001</f>
        <v>0</v>
      </c>
      <c r="G53" s="39">
        <f>資料儲存!I1001</f>
        <v>0</v>
      </c>
      <c r="H53" s="39">
        <f>資料儲存!J1001</f>
        <v>0</v>
      </c>
      <c r="I53" s="35"/>
      <c r="J53" s="38">
        <v>40</v>
      </c>
      <c r="K53" s="39">
        <f>資料儲存!D1121</f>
        <v>0</v>
      </c>
      <c r="L53" s="39">
        <f>資料儲存!E1121</f>
        <v>0</v>
      </c>
      <c r="M53" s="39">
        <f>資料儲存!F1121</f>
        <v>0</v>
      </c>
      <c r="N53" s="39">
        <f>資料儲存!G1121</f>
        <v>0</v>
      </c>
      <c r="O53" s="39">
        <f>資料儲存!H1121</f>
        <v>0</v>
      </c>
      <c r="P53" s="39">
        <f>資料儲存!I1121</f>
        <v>0</v>
      </c>
      <c r="Q53" s="39">
        <f>資料儲存!J1121</f>
        <v>0</v>
      </c>
      <c r="R53" s="35"/>
      <c r="S53" s="38">
        <v>40</v>
      </c>
      <c r="T53" s="39">
        <f>資料儲存!D1241</f>
        <v>0</v>
      </c>
      <c r="U53" s="39">
        <f>資料儲存!E1241</f>
        <v>0</v>
      </c>
      <c r="V53" s="39">
        <f>資料儲存!F1241</f>
        <v>0</v>
      </c>
      <c r="W53" s="39">
        <f>資料儲存!G1241</f>
        <v>0</v>
      </c>
      <c r="X53" s="39">
        <f>資料儲存!H1241</f>
        <v>0</v>
      </c>
      <c r="Y53" s="39">
        <f>資料儲存!I1241</f>
        <v>0</v>
      </c>
      <c r="Z53" s="39">
        <f>資料儲存!J1241</f>
        <v>0</v>
      </c>
      <c r="AA53" s="35"/>
      <c r="AB53" s="38">
        <v>40</v>
      </c>
      <c r="AC53" s="39">
        <f>資料儲存!D1361</f>
        <v>0</v>
      </c>
      <c r="AD53" s="39">
        <f>資料儲存!E1361</f>
        <v>0</v>
      </c>
      <c r="AE53" s="39">
        <f>資料儲存!F1361</f>
        <v>0</v>
      </c>
      <c r="AF53" s="39">
        <f>資料儲存!G1361</f>
        <v>0</v>
      </c>
      <c r="AG53" s="39">
        <f>資料儲存!H1361</f>
        <v>0</v>
      </c>
      <c r="AH53" s="39">
        <f>資料儲存!I1361</f>
        <v>0</v>
      </c>
      <c r="AI53" s="39">
        <f>資料儲存!J1361</f>
        <v>0</v>
      </c>
      <c r="AJ53" s="13"/>
    </row>
    <row r="54" spans="1:36" ht="16" thickBot="1">
      <c r="A54" s="38">
        <v>41</v>
      </c>
      <c r="B54" s="39">
        <f>資料儲存!D1002</f>
        <v>0</v>
      </c>
      <c r="C54" s="39">
        <f>資料儲存!E1002</f>
        <v>0</v>
      </c>
      <c r="D54" s="39">
        <f>資料儲存!F1002</f>
        <v>0</v>
      </c>
      <c r="E54" s="39">
        <f>資料儲存!G1002</f>
        <v>0</v>
      </c>
      <c r="F54" s="39">
        <f>資料儲存!H1002</f>
        <v>0</v>
      </c>
      <c r="G54" s="39">
        <f>資料儲存!I1002</f>
        <v>0</v>
      </c>
      <c r="H54" s="39">
        <f>資料儲存!J1002</f>
        <v>0</v>
      </c>
      <c r="I54" s="35"/>
      <c r="J54" s="38">
        <v>41</v>
      </c>
      <c r="K54" s="39">
        <f>資料儲存!D1122</f>
        <v>0</v>
      </c>
      <c r="L54" s="39">
        <f>資料儲存!E1122</f>
        <v>0</v>
      </c>
      <c r="M54" s="39">
        <f>資料儲存!F1122</f>
        <v>0</v>
      </c>
      <c r="N54" s="39">
        <f>資料儲存!G1122</f>
        <v>0</v>
      </c>
      <c r="O54" s="39">
        <f>資料儲存!H1122</f>
        <v>0</v>
      </c>
      <c r="P54" s="39">
        <f>資料儲存!I1122</f>
        <v>0</v>
      </c>
      <c r="Q54" s="39">
        <f>資料儲存!J1122</f>
        <v>0</v>
      </c>
      <c r="R54" s="35"/>
      <c r="S54" s="38">
        <v>41</v>
      </c>
      <c r="T54" s="39">
        <f>資料儲存!D1242</f>
        <v>0</v>
      </c>
      <c r="U54" s="39">
        <f>資料儲存!E1242</f>
        <v>0</v>
      </c>
      <c r="V54" s="39">
        <f>資料儲存!F1242</f>
        <v>0</v>
      </c>
      <c r="W54" s="39">
        <f>資料儲存!G1242</f>
        <v>0</v>
      </c>
      <c r="X54" s="39">
        <f>資料儲存!H1242</f>
        <v>0</v>
      </c>
      <c r="Y54" s="39">
        <f>資料儲存!I1242</f>
        <v>0</v>
      </c>
      <c r="Z54" s="39">
        <f>資料儲存!J1242</f>
        <v>0</v>
      </c>
      <c r="AA54" s="35"/>
      <c r="AB54" s="38">
        <v>41</v>
      </c>
      <c r="AC54" s="39">
        <f>資料儲存!D1362</f>
        <v>0</v>
      </c>
      <c r="AD54" s="39">
        <f>資料儲存!E1362</f>
        <v>0</v>
      </c>
      <c r="AE54" s="39">
        <f>資料儲存!F1362</f>
        <v>0</v>
      </c>
      <c r="AF54" s="39">
        <f>資料儲存!G1362</f>
        <v>0</v>
      </c>
      <c r="AG54" s="39">
        <f>資料儲存!H1362</f>
        <v>0</v>
      </c>
      <c r="AH54" s="39">
        <f>資料儲存!I1362</f>
        <v>0</v>
      </c>
      <c r="AI54" s="39">
        <f>資料儲存!J1362</f>
        <v>0</v>
      </c>
      <c r="AJ54" s="13"/>
    </row>
    <row r="55" spans="1:36" ht="16" thickBot="1">
      <c r="A55" s="38">
        <v>42</v>
      </c>
      <c r="B55" s="39">
        <f>資料儲存!D1003</f>
        <v>0</v>
      </c>
      <c r="C55" s="39">
        <f>資料儲存!E1003</f>
        <v>0</v>
      </c>
      <c r="D55" s="39">
        <f>資料儲存!F1003</f>
        <v>0</v>
      </c>
      <c r="E55" s="39">
        <f>資料儲存!G1003</f>
        <v>0</v>
      </c>
      <c r="F55" s="39">
        <f>資料儲存!H1003</f>
        <v>0</v>
      </c>
      <c r="G55" s="39">
        <f>資料儲存!I1003</f>
        <v>0</v>
      </c>
      <c r="H55" s="39">
        <f>資料儲存!J1003</f>
        <v>0</v>
      </c>
      <c r="I55" s="35"/>
      <c r="J55" s="38">
        <v>42</v>
      </c>
      <c r="K55" s="39">
        <f>資料儲存!D1123</f>
        <v>0</v>
      </c>
      <c r="L55" s="39">
        <f>資料儲存!E1123</f>
        <v>0</v>
      </c>
      <c r="M55" s="39">
        <f>資料儲存!F1123</f>
        <v>0</v>
      </c>
      <c r="N55" s="39">
        <f>資料儲存!G1123</f>
        <v>0</v>
      </c>
      <c r="O55" s="39">
        <f>資料儲存!H1123</f>
        <v>0</v>
      </c>
      <c r="P55" s="39">
        <f>資料儲存!I1123</f>
        <v>0</v>
      </c>
      <c r="Q55" s="39">
        <f>資料儲存!J1123</f>
        <v>0</v>
      </c>
      <c r="R55" s="35"/>
      <c r="S55" s="38">
        <v>42</v>
      </c>
      <c r="T55" s="39">
        <f>資料儲存!D1243</f>
        <v>0</v>
      </c>
      <c r="U55" s="39">
        <f>資料儲存!E1243</f>
        <v>0</v>
      </c>
      <c r="V55" s="39">
        <f>資料儲存!F1243</f>
        <v>0</v>
      </c>
      <c r="W55" s="39">
        <f>資料儲存!G1243</f>
        <v>0</v>
      </c>
      <c r="X55" s="39">
        <f>資料儲存!H1243</f>
        <v>0</v>
      </c>
      <c r="Y55" s="39">
        <f>資料儲存!I1243</f>
        <v>0</v>
      </c>
      <c r="Z55" s="39">
        <f>資料儲存!J1243</f>
        <v>0</v>
      </c>
      <c r="AA55" s="35"/>
      <c r="AB55" s="38">
        <v>42</v>
      </c>
      <c r="AC55" s="39">
        <f>資料儲存!D1363</f>
        <v>0</v>
      </c>
      <c r="AD55" s="39">
        <f>資料儲存!E1363</f>
        <v>0</v>
      </c>
      <c r="AE55" s="39">
        <f>資料儲存!F1363</f>
        <v>0</v>
      </c>
      <c r="AF55" s="39">
        <f>資料儲存!G1363</f>
        <v>0</v>
      </c>
      <c r="AG55" s="39">
        <f>資料儲存!H1363</f>
        <v>0</v>
      </c>
      <c r="AH55" s="39">
        <f>資料儲存!I1363</f>
        <v>0</v>
      </c>
      <c r="AI55" s="39">
        <f>資料儲存!J1363</f>
        <v>0</v>
      </c>
      <c r="AJ55" s="13"/>
    </row>
    <row r="56" spans="1:36" ht="16" thickBot="1">
      <c r="A56" s="38">
        <v>43</v>
      </c>
      <c r="B56" s="39">
        <f>資料儲存!D1004</f>
        <v>0</v>
      </c>
      <c r="C56" s="39">
        <f>資料儲存!E1004</f>
        <v>0</v>
      </c>
      <c r="D56" s="39">
        <f>資料儲存!F1004</f>
        <v>0</v>
      </c>
      <c r="E56" s="39">
        <f>資料儲存!G1004</f>
        <v>0</v>
      </c>
      <c r="F56" s="39">
        <f>資料儲存!H1004</f>
        <v>0</v>
      </c>
      <c r="G56" s="39">
        <f>資料儲存!I1004</f>
        <v>0</v>
      </c>
      <c r="H56" s="39">
        <f>資料儲存!J1004</f>
        <v>0</v>
      </c>
      <c r="I56" s="35"/>
      <c r="J56" s="38">
        <v>43</v>
      </c>
      <c r="K56" s="39">
        <f>資料儲存!D1124</f>
        <v>0</v>
      </c>
      <c r="L56" s="39">
        <f>資料儲存!E1124</f>
        <v>0</v>
      </c>
      <c r="M56" s="39">
        <f>資料儲存!F1124</f>
        <v>0</v>
      </c>
      <c r="N56" s="39">
        <f>資料儲存!G1124</f>
        <v>0</v>
      </c>
      <c r="O56" s="39">
        <f>資料儲存!H1124</f>
        <v>0</v>
      </c>
      <c r="P56" s="39">
        <f>資料儲存!I1124</f>
        <v>0</v>
      </c>
      <c r="Q56" s="39">
        <f>資料儲存!J1124</f>
        <v>0</v>
      </c>
      <c r="R56" s="35"/>
      <c r="S56" s="38">
        <v>43</v>
      </c>
      <c r="T56" s="39">
        <f>資料儲存!D1244</f>
        <v>0</v>
      </c>
      <c r="U56" s="39">
        <f>資料儲存!E1244</f>
        <v>0</v>
      </c>
      <c r="V56" s="39">
        <f>資料儲存!F1244</f>
        <v>0</v>
      </c>
      <c r="W56" s="39">
        <f>資料儲存!G1244</f>
        <v>0</v>
      </c>
      <c r="X56" s="39">
        <f>資料儲存!H1244</f>
        <v>0</v>
      </c>
      <c r="Y56" s="39">
        <f>資料儲存!I1244</f>
        <v>0</v>
      </c>
      <c r="Z56" s="39">
        <f>資料儲存!J1244</f>
        <v>0</v>
      </c>
      <c r="AA56" s="35"/>
      <c r="AB56" s="38">
        <v>43</v>
      </c>
      <c r="AC56" s="39">
        <f>資料儲存!D1364</f>
        <v>0</v>
      </c>
      <c r="AD56" s="39">
        <f>資料儲存!E1364</f>
        <v>0</v>
      </c>
      <c r="AE56" s="39">
        <f>資料儲存!F1364</f>
        <v>0</v>
      </c>
      <c r="AF56" s="39">
        <f>資料儲存!G1364</f>
        <v>0</v>
      </c>
      <c r="AG56" s="39">
        <f>資料儲存!H1364</f>
        <v>0</v>
      </c>
      <c r="AH56" s="39">
        <f>資料儲存!I1364</f>
        <v>0</v>
      </c>
      <c r="AI56" s="39">
        <f>資料儲存!J1364</f>
        <v>0</v>
      </c>
      <c r="AJ56" s="13"/>
    </row>
    <row r="57" spans="1:36" ht="16" thickBot="1">
      <c r="A57" s="38">
        <v>44</v>
      </c>
      <c r="B57" s="39">
        <f>資料儲存!D1005</f>
        <v>0</v>
      </c>
      <c r="C57" s="39">
        <f>資料儲存!E1005</f>
        <v>0</v>
      </c>
      <c r="D57" s="39">
        <f>資料儲存!F1005</f>
        <v>0</v>
      </c>
      <c r="E57" s="39">
        <f>資料儲存!G1005</f>
        <v>0</v>
      </c>
      <c r="F57" s="39">
        <f>資料儲存!H1005</f>
        <v>0</v>
      </c>
      <c r="G57" s="39">
        <f>資料儲存!I1005</f>
        <v>0</v>
      </c>
      <c r="H57" s="39">
        <f>資料儲存!J1005</f>
        <v>0</v>
      </c>
      <c r="I57" s="35"/>
      <c r="J57" s="38">
        <v>44</v>
      </c>
      <c r="K57" s="39">
        <f>資料儲存!D1125</f>
        <v>0</v>
      </c>
      <c r="L57" s="39">
        <f>資料儲存!E1125</f>
        <v>0</v>
      </c>
      <c r="M57" s="39">
        <f>資料儲存!F1125</f>
        <v>0</v>
      </c>
      <c r="N57" s="39">
        <f>資料儲存!G1125</f>
        <v>0</v>
      </c>
      <c r="O57" s="39">
        <f>資料儲存!H1125</f>
        <v>0</v>
      </c>
      <c r="P57" s="39">
        <f>資料儲存!I1125</f>
        <v>0</v>
      </c>
      <c r="Q57" s="39">
        <f>資料儲存!J1125</f>
        <v>0</v>
      </c>
      <c r="R57" s="35"/>
      <c r="S57" s="38">
        <v>44</v>
      </c>
      <c r="T57" s="39">
        <f>資料儲存!D1245</f>
        <v>0</v>
      </c>
      <c r="U57" s="39">
        <f>資料儲存!E1245</f>
        <v>0</v>
      </c>
      <c r="V57" s="39">
        <f>資料儲存!F1245</f>
        <v>0</v>
      </c>
      <c r="W57" s="39">
        <f>資料儲存!G1245</f>
        <v>0</v>
      </c>
      <c r="X57" s="39">
        <f>資料儲存!H1245</f>
        <v>0</v>
      </c>
      <c r="Y57" s="39">
        <f>資料儲存!I1245</f>
        <v>0</v>
      </c>
      <c r="Z57" s="39">
        <f>資料儲存!J1245</f>
        <v>0</v>
      </c>
      <c r="AA57" s="35"/>
      <c r="AB57" s="38">
        <v>44</v>
      </c>
      <c r="AC57" s="39">
        <f>資料儲存!D1365</f>
        <v>0</v>
      </c>
      <c r="AD57" s="39">
        <f>資料儲存!E1365</f>
        <v>0</v>
      </c>
      <c r="AE57" s="39">
        <f>資料儲存!F1365</f>
        <v>0</v>
      </c>
      <c r="AF57" s="39">
        <f>資料儲存!G1365</f>
        <v>0</v>
      </c>
      <c r="AG57" s="39">
        <f>資料儲存!H1365</f>
        <v>0</v>
      </c>
      <c r="AH57" s="39">
        <f>資料儲存!I1365</f>
        <v>0</v>
      </c>
      <c r="AI57" s="39">
        <f>資料儲存!J1365</f>
        <v>0</v>
      </c>
      <c r="AJ57" s="13"/>
    </row>
    <row r="58" spans="1:36" ht="16" thickBot="1">
      <c r="A58" s="38">
        <v>45</v>
      </c>
      <c r="B58" s="39">
        <f>資料儲存!D1006</f>
        <v>0</v>
      </c>
      <c r="C58" s="39">
        <f>資料儲存!E1006</f>
        <v>0</v>
      </c>
      <c r="D58" s="39">
        <f>資料儲存!F1006</f>
        <v>0</v>
      </c>
      <c r="E58" s="39">
        <f>資料儲存!G1006</f>
        <v>0</v>
      </c>
      <c r="F58" s="39">
        <f>資料儲存!H1006</f>
        <v>0</v>
      </c>
      <c r="G58" s="39">
        <f>資料儲存!I1006</f>
        <v>0</v>
      </c>
      <c r="H58" s="39">
        <f>資料儲存!J1006</f>
        <v>0</v>
      </c>
      <c r="I58" s="35"/>
      <c r="J58" s="38">
        <v>45</v>
      </c>
      <c r="K58" s="39">
        <f>資料儲存!D1126</f>
        <v>0</v>
      </c>
      <c r="L58" s="39">
        <f>資料儲存!E1126</f>
        <v>0</v>
      </c>
      <c r="M58" s="39">
        <f>資料儲存!F1126</f>
        <v>0</v>
      </c>
      <c r="N58" s="39">
        <f>資料儲存!G1126</f>
        <v>0</v>
      </c>
      <c r="O58" s="39">
        <f>資料儲存!H1126</f>
        <v>0</v>
      </c>
      <c r="P58" s="39">
        <f>資料儲存!I1126</f>
        <v>0</v>
      </c>
      <c r="Q58" s="39">
        <f>資料儲存!J1126</f>
        <v>0</v>
      </c>
      <c r="R58" s="35"/>
      <c r="S58" s="38">
        <v>45</v>
      </c>
      <c r="T58" s="39">
        <f>資料儲存!D1246</f>
        <v>0</v>
      </c>
      <c r="U58" s="39">
        <f>資料儲存!E1246</f>
        <v>0</v>
      </c>
      <c r="V58" s="39">
        <f>資料儲存!F1246</f>
        <v>0</v>
      </c>
      <c r="W58" s="39">
        <f>資料儲存!G1246</f>
        <v>0</v>
      </c>
      <c r="X58" s="39">
        <f>資料儲存!H1246</f>
        <v>0</v>
      </c>
      <c r="Y58" s="39">
        <f>資料儲存!I1246</f>
        <v>0</v>
      </c>
      <c r="Z58" s="39">
        <f>資料儲存!J1246</f>
        <v>0</v>
      </c>
      <c r="AA58" s="35"/>
      <c r="AB58" s="38">
        <v>45</v>
      </c>
      <c r="AC58" s="39">
        <f>資料儲存!D1366</f>
        <v>0</v>
      </c>
      <c r="AD58" s="39">
        <f>資料儲存!E1366</f>
        <v>0</v>
      </c>
      <c r="AE58" s="39">
        <f>資料儲存!F1366</f>
        <v>0</v>
      </c>
      <c r="AF58" s="39">
        <f>資料儲存!G1366</f>
        <v>0</v>
      </c>
      <c r="AG58" s="39">
        <f>資料儲存!H1366</f>
        <v>0</v>
      </c>
      <c r="AH58" s="39">
        <f>資料儲存!I1366</f>
        <v>0</v>
      </c>
      <c r="AI58" s="39">
        <f>資料儲存!J1366</f>
        <v>0</v>
      </c>
      <c r="AJ58" s="13"/>
    </row>
    <row r="59" spans="1:36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13"/>
    </row>
    <row r="60" spans="1:36" ht="18.5" thickBot="1">
      <c r="A60" s="250" t="s">
        <v>94</v>
      </c>
      <c r="B60" s="251"/>
      <c r="C60" s="251"/>
      <c r="D60" s="251"/>
      <c r="E60" s="251"/>
      <c r="F60" s="251"/>
      <c r="G60" s="251"/>
      <c r="H60" s="252"/>
      <c r="I60" s="13"/>
      <c r="J60" s="250" t="s">
        <v>94</v>
      </c>
      <c r="K60" s="251"/>
      <c r="L60" s="251"/>
      <c r="M60" s="251"/>
      <c r="N60" s="251"/>
      <c r="O60" s="251"/>
      <c r="P60" s="251"/>
      <c r="Q60" s="252"/>
      <c r="R60" s="13"/>
      <c r="S60" s="250" t="s">
        <v>94</v>
      </c>
      <c r="T60" s="251"/>
      <c r="U60" s="251"/>
      <c r="V60" s="251"/>
      <c r="W60" s="251"/>
      <c r="X60" s="251"/>
      <c r="Y60" s="251"/>
      <c r="Z60" s="252"/>
      <c r="AA60" s="13"/>
      <c r="AB60" s="250" t="s">
        <v>94</v>
      </c>
      <c r="AC60" s="251"/>
      <c r="AD60" s="251"/>
      <c r="AE60" s="251"/>
      <c r="AF60" s="251"/>
      <c r="AG60" s="251"/>
      <c r="AH60" s="251"/>
      <c r="AI60" s="252"/>
      <c r="AJ60" s="13"/>
    </row>
    <row r="61" spans="1:36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</row>
    <row r="62" spans="1:36" ht="16" thickBot="1">
      <c r="A62" s="46">
        <v>0.48958333333333331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>
        <v>0.48958333333333331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>
        <v>0.48958333333333331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>
        <v>0.48958333333333331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</row>
    <row r="63" spans="1:36" ht="16" thickBot="1">
      <c r="A63" s="48">
        <v>46</v>
      </c>
      <c r="B63" s="49">
        <f>資料儲存!D1007</f>
        <v>0</v>
      </c>
      <c r="C63" s="49">
        <f>資料儲存!E1007</f>
        <v>0</v>
      </c>
      <c r="D63" s="49">
        <f>資料儲存!F1007</f>
        <v>0</v>
      </c>
      <c r="E63" s="49">
        <f>資料儲存!G1007</f>
        <v>0</v>
      </c>
      <c r="F63" s="49">
        <f>資料儲存!H1007</f>
        <v>0</v>
      </c>
      <c r="G63" s="49">
        <f>資料儲存!I1007</f>
        <v>0</v>
      </c>
      <c r="H63" s="49">
        <f>資料儲存!J1007</f>
        <v>0</v>
      </c>
      <c r="I63" s="45"/>
      <c r="J63" s="48">
        <v>46</v>
      </c>
      <c r="K63" s="49">
        <f>資料儲存!D1127</f>
        <v>0</v>
      </c>
      <c r="L63" s="49">
        <f>資料儲存!E1127</f>
        <v>0</v>
      </c>
      <c r="M63" s="49">
        <f>資料儲存!F1127</f>
        <v>0</v>
      </c>
      <c r="N63" s="49">
        <f>資料儲存!G1127</f>
        <v>0</v>
      </c>
      <c r="O63" s="49">
        <f>資料儲存!H1127</f>
        <v>0</v>
      </c>
      <c r="P63" s="49">
        <f>資料儲存!I1127</f>
        <v>0</v>
      </c>
      <c r="Q63" s="49">
        <f>資料儲存!J1127</f>
        <v>0</v>
      </c>
      <c r="R63" s="45"/>
      <c r="S63" s="48">
        <v>46</v>
      </c>
      <c r="T63" s="49">
        <f>資料儲存!D1247</f>
        <v>0</v>
      </c>
      <c r="U63" s="49">
        <f>資料儲存!E1247</f>
        <v>0</v>
      </c>
      <c r="V63" s="49">
        <f>資料儲存!F1247</f>
        <v>0</v>
      </c>
      <c r="W63" s="49">
        <f>資料儲存!G1247</f>
        <v>0</v>
      </c>
      <c r="X63" s="49">
        <f>資料儲存!H1247</f>
        <v>0</v>
      </c>
      <c r="Y63" s="49">
        <f>資料儲存!I1247</f>
        <v>0</v>
      </c>
      <c r="Z63" s="49">
        <f>資料儲存!J1247</f>
        <v>0</v>
      </c>
      <c r="AA63" s="45"/>
      <c r="AB63" s="48">
        <v>46</v>
      </c>
      <c r="AC63" s="49">
        <f>資料儲存!D1367</f>
        <v>0</v>
      </c>
      <c r="AD63" s="49">
        <f>資料儲存!E1367</f>
        <v>0</v>
      </c>
      <c r="AE63" s="49">
        <f>資料儲存!F1367</f>
        <v>0</v>
      </c>
      <c r="AF63" s="49">
        <f>資料儲存!G1367</f>
        <v>0</v>
      </c>
      <c r="AG63" s="49">
        <f>資料儲存!H1367</f>
        <v>0</v>
      </c>
      <c r="AH63" s="49">
        <f>資料儲存!I1367</f>
        <v>0</v>
      </c>
      <c r="AI63" s="49">
        <f>資料儲存!J1367</f>
        <v>0</v>
      </c>
      <c r="AJ63" s="13"/>
    </row>
    <row r="64" spans="1:36" ht="16" thickBot="1">
      <c r="A64" s="48">
        <v>47</v>
      </c>
      <c r="B64" s="49">
        <f>資料儲存!D1008</f>
        <v>0</v>
      </c>
      <c r="C64" s="49">
        <f>資料儲存!E1008</f>
        <v>0</v>
      </c>
      <c r="D64" s="49">
        <f>資料儲存!F1008</f>
        <v>0</v>
      </c>
      <c r="E64" s="49">
        <f>資料儲存!G1008</f>
        <v>0</v>
      </c>
      <c r="F64" s="49">
        <f>資料儲存!H1008</f>
        <v>0</v>
      </c>
      <c r="G64" s="49">
        <f>資料儲存!I1008</f>
        <v>0</v>
      </c>
      <c r="H64" s="49">
        <f>資料儲存!J1008</f>
        <v>0</v>
      </c>
      <c r="I64" s="45"/>
      <c r="J64" s="48">
        <v>47</v>
      </c>
      <c r="K64" s="49">
        <f>資料儲存!D1128</f>
        <v>0</v>
      </c>
      <c r="L64" s="49">
        <f>資料儲存!E1128</f>
        <v>0</v>
      </c>
      <c r="M64" s="49">
        <f>資料儲存!F1128</f>
        <v>0</v>
      </c>
      <c r="N64" s="49">
        <f>資料儲存!G1128</f>
        <v>0</v>
      </c>
      <c r="O64" s="49">
        <f>資料儲存!H1128</f>
        <v>0</v>
      </c>
      <c r="P64" s="49">
        <f>資料儲存!I1128</f>
        <v>0</v>
      </c>
      <c r="Q64" s="49">
        <f>資料儲存!J1128</f>
        <v>0</v>
      </c>
      <c r="R64" s="45"/>
      <c r="S64" s="48">
        <v>47</v>
      </c>
      <c r="T64" s="49">
        <f>資料儲存!D1248</f>
        <v>0</v>
      </c>
      <c r="U64" s="49">
        <f>資料儲存!E1248</f>
        <v>0</v>
      </c>
      <c r="V64" s="49">
        <f>資料儲存!F1248</f>
        <v>0</v>
      </c>
      <c r="W64" s="49">
        <f>資料儲存!G1248</f>
        <v>0</v>
      </c>
      <c r="X64" s="49">
        <f>資料儲存!H1248</f>
        <v>0</v>
      </c>
      <c r="Y64" s="49">
        <f>資料儲存!I1248</f>
        <v>0</v>
      </c>
      <c r="Z64" s="49">
        <f>資料儲存!J1248</f>
        <v>0</v>
      </c>
      <c r="AA64" s="45"/>
      <c r="AB64" s="48">
        <v>47</v>
      </c>
      <c r="AC64" s="49">
        <f>資料儲存!D1368</f>
        <v>0</v>
      </c>
      <c r="AD64" s="49">
        <f>資料儲存!E1368</f>
        <v>0</v>
      </c>
      <c r="AE64" s="49">
        <f>資料儲存!F1368</f>
        <v>0</v>
      </c>
      <c r="AF64" s="49">
        <f>資料儲存!G1368</f>
        <v>0</v>
      </c>
      <c r="AG64" s="49">
        <f>資料儲存!H1368</f>
        <v>0</v>
      </c>
      <c r="AH64" s="49">
        <f>資料儲存!I1368</f>
        <v>0</v>
      </c>
      <c r="AI64" s="49">
        <f>資料儲存!J1368</f>
        <v>0</v>
      </c>
      <c r="AJ64" s="13"/>
    </row>
    <row r="65" spans="1:36" ht="16" thickBot="1">
      <c r="A65" s="48">
        <v>48</v>
      </c>
      <c r="B65" s="49">
        <f>資料儲存!D1009</f>
        <v>0</v>
      </c>
      <c r="C65" s="49">
        <f>資料儲存!E1009</f>
        <v>0</v>
      </c>
      <c r="D65" s="49">
        <f>資料儲存!F1009</f>
        <v>0</v>
      </c>
      <c r="E65" s="49">
        <f>資料儲存!G1009</f>
        <v>0</v>
      </c>
      <c r="F65" s="49">
        <f>資料儲存!H1009</f>
        <v>0</v>
      </c>
      <c r="G65" s="49">
        <f>資料儲存!I1009</f>
        <v>0</v>
      </c>
      <c r="H65" s="49">
        <f>資料儲存!J1009</f>
        <v>0</v>
      </c>
      <c r="I65" s="45"/>
      <c r="J65" s="48">
        <v>48</v>
      </c>
      <c r="K65" s="49">
        <f>資料儲存!D1129</f>
        <v>0</v>
      </c>
      <c r="L65" s="49">
        <f>資料儲存!E1129</f>
        <v>0</v>
      </c>
      <c r="M65" s="49">
        <f>資料儲存!F1129</f>
        <v>0</v>
      </c>
      <c r="N65" s="49">
        <f>資料儲存!G1129</f>
        <v>0</v>
      </c>
      <c r="O65" s="49">
        <f>資料儲存!H1129</f>
        <v>0</v>
      </c>
      <c r="P65" s="49">
        <f>資料儲存!I1129</f>
        <v>0</v>
      </c>
      <c r="Q65" s="49">
        <f>資料儲存!J1129</f>
        <v>0</v>
      </c>
      <c r="R65" s="45"/>
      <c r="S65" s="48">
        <v>48</v>
      </c>
      <c r="T65" s="49">
        <f>資料儲存!D1249</f>
        <v>0</v>
      </c>
      <c r="U65" s="49">
        <f>資料儲存!E1249</f>
        <v>0</v>
      </c>
      <c r="V65" s="49">
        <f>資料儲存!F1249</f>
        <v>0</v>
      </c>
      <c r="W65" s="49">
        <f>資料儲存!G1249</f>
        <v>0</v>
      </c>
      <c r="X65" s="49">
        <f>資料儲存!H1249</f>
        <v>0</v>
      </c>
      <c r="Y65" s="49">
        <f>資料儲存!I1249</f>
        <v>0</v>
      </c>
      <c r="Z65" s="49">
        <f>資料儲存!J1249</f>
        <v>0</v>
      </c>
      <c r="AA65" s="45"/>
      <c r="AB65" s="48">
        <v>48</v>
      </c>
      <c r="AC65" s="49">
        <f>資料儲存!D1369</f>
        <v>0</v>
      </c>
      <c r="AD65" s="49">
        <f>資料儲存!E1369</f>
        <v>0</v>
      </c>
      <c r="AE65" s="49">
        <f>資料儲存!F1369</f>
        <v>0</v>
      </c>
      <c r="AF65" s="49">
        <f>資料儲存!G1369</f>
        <v>0</v>
      </c>
      <c r="AG65" s="49">
        <f>資料儲存!H1369</f>
        <v>0</v>
      </c>
      <c r="AH65" s="49">
        <f>資料儲存!I1369</f>
        <v>0</v>
      </c>
      <c r="AI65" s="49">
        <f>資料儲存!J1369</f>
        <v>0</v>
      </c>
      <c r="AJ65" s="13"/>
    </row>
    <row r="66" spans="1:36" ht="16" thickBot="1">
      <c r="A66" s="48">
        <v>49</v>
      </c>
      <c r="B66" s="49">
        <f>資料儲存!D1010</f>
        <v>0</v>
      </c>
      <c r="C66" s="49">
        <f>資料儲存!E1010</f>
        <v>0</v>
      </c>
      <c r="D66" s="49">
        <f>資料儲存!F1010</f>
        <v>0</v>
      </c>
      <c r="E66" s="49">
        <f>資料儲存!G1010</f>
        <v>0</v>
      </c>
      <c r="F66" s="49">
        <f>資料儲存!H1010</f>
        <v>0</v>
      </c>
      <c r="G66" s="49">
        <f>資料儲存!I1010</f>
        <v>0</v>
      </c>
      <c r="H66" s="49">
        <f>資料儲存!J1010</f>
        <v>0</v>
      </c>
      <c r="I66" s="45"/>
      <c r="J66" s="48">
        <v>49</v>
      </c>
      <c r="K66" s="49">
        <f>資料儲存!D1130</f>
        <v>0</v>
      </c>
      <c r="L66" s="49">
        <f>資料儲存!E1130</f>
        <v>0</v>
      </c>
      <c r="M66" s="49">
        <f>資料儲存!F1130</f>
        <v>0</v>
      </c>
      <c r="N66" s="49">
        <f>資料儲存!G1130</f>
        <v>0</v>
      </c>
      <c r="O66" s="49">
        <f>資料儲存!H1130</f>
        <v>0</v>
      </c>
      <c r="P66" s="49">
        <f>資料儲存!I1130</f>
        <v>0</v>
      </c>
      <c r="Q66" s="49">
        <f>資料儲存!J1130</f>
        <v>0</v>
      </c>
      <c r="R66" s="45"/>
      <c r="S66" s="48">
        <v>49</v>
      </c>
      <c r="T66" s="49">
        <f>資料儲存!D1250</f>
        <v>0</v>
      </c>
      <c r="U66" s="49">
        <f>資料儲存!E1250</f>
        <v>0</v>
      </c>
      <c r="V66" s="49">
        <f>資料儲存!F1250</f>
        <v>0</v>
      </c>
      <c r="W66" s="49">
        <f>資料儲存!G1250</f>
        <v>0</v>
      </c>
      <c r="X66" s="49">
        <f>資料儲存!H1250</f>
        <v>0</v>
      </c>
      <c r="Y66" s="49">
        <f>資料儲存!I1250</f>
        <v>0</v>
      </c>
      <c r="Z66" s="49">
        <f>資料儲存!J1250</f>
        <v>0</v>
      </c>
      <c r="AA66" s="45"/>
      <c r="AB66" s="48">
        <v>49</v>
      </c>
      <c r="AC66" s="49">
        <f>資料儲存!D1370</f>
        <v>0</v>
      </c>
      <c r="AD66" s="49">
        <f>資料儲存!E1370</f>
        <v>0</v>
      </c>
      <c r="AE66" s="49">
        <f>資料儲存!F1370</f>
        <v>0</v>
      </c>
      <c r="AF66" s="49">
        <f>資料儲存!G1370</f>
        <v>0</v>
      </c>
      <c r="AG66" s="49">
        <f>資料儲存!H1370</f>
        <v>0</v>
      </c>
      <c r="AH66" s="49">
        <f>資料儲存!I1370</f>
        <v>0</v>
      </c>
      <c r="AI66" s="49">
        <f>資料儲存!J1370</f>
        <v>0</v>
      </c>
      <c r="AJ66" s="13"/>
    </row>
    <row r="67" spans="1:36" ht="16" thickBot="1">
      <c r="A67" s="48">
        <v>50</v>
      </c>
      <c r="B67" s="49">
        <f>資料儲存!D1011</f>
        <v>0</v>
      </c>
      <c r="C67" s="49">
        <f>資料儲存!E1011</f>
        <v>0</v>
      </c>
      <c r="D67" s="49">
        <f>資料儲存!F1011</f>
        <v>0</v>
      </c>
      <c r="E67" s="49">
        <f>資料儲存!G1011</f>
        <v>0</v>
      </c>
      <c r="F67" s="49">
        <f>資料儲存!H1011</f>
        <v>0</v>
      </c>
      <c r="G67" s="49">
        <f>資料儲存!I1011</f>
        <v>0</v>
      </c>
      <c r="H67" s="49">
        <f>資料儲存!J1011</f>
        <v>0</v>
      </c>
      <c r="I67" s="45"/>
      <c r="J67" s="48">
        <v>50</v>
      </c>
      <c r="K67" s="49">
        <f>資料儲存!D1131</f>
        <v>0</v>
      </c>
      <c r="L67" s="49">
        <f>資料儲存!E1131</f>
        <v>0</v>
      </c>
      <c r="M67" s="49">
        <f>資料儲存!F1131</f>
        <v>0</v>
      </c>
      <c r="N67" s="49">
        <f>資料儲存!G1131</f>
        <v>0</v>
      </c>
      <c r="O67" s="49">
        <f>資料儲存!H1131</f>
        <v>0</v>
      </c>
      <c r="P67" s="49">
        <f>資料儲存!I1131</f>
        <v>0</v>
      </c>
      <c r="Q67" s="49">
        <f>資料儲存!J1131</f>
        <v>0</v>
      </c>
      <c r="R67" s="45"/>
      <c r="S67" s="48">
        <v>50</v>
      </c>
      <c r="T67" s="49">
        <f>資料儲存!D1251</f>
        <v>0</v>
      </c>
      <c r="U67" s="49">
        <f>資料儲存!E1251</f>
        <v>0</v>
      </c>
      <c r="V67" s="49">
        <f>資料儲存!F1251</f>
        <v>0</v>
      </c>
      <c r="W67" s="49">
        <f>資料儲存!G1251</f>
        <v>0</v>
      </c>
      <c r="X67" s="49">
        <f>資料儲存!H1251</f>
        <v>0</v>
      </c>
      <c r="Y67" s="49">
        <f>資料儲存!I1251</f>
        <v>0</v>
      </c>
      <c r="Z67" s="49">
        <f>資料儲存!J1251</f>
        <v>0</v>
      </c>
      <c r="AA67" s="45"/>
      <c r="AB67" s="48">
        <v>50</v>
      </c>
      <c r="AC67" s="49">
        <f>資料儲存!D1371</f>
        <v>0</v>
      </c>
      <c r="AD67" s="49">
        <f>資料儲存!E1371</f>
        <v>0</v>
      </c>
      <c r="AE67" s="49">
        <f>資料儲存!F1371</f>
        <v>0</v>
      </c>
      <c r="AF67" s="49">
        <f>資料儲存!G1371</f>
        <v>0</v>
      </c>
      <c r="AG67" s="49">
        <f>資料儲存!H1371</f>
        <v>0</v>
      </c>
      <c r="AH67" s="49">
        <f>資料儲存!I1371</f>
        <v>0</v>
      </c>
      <c r="AI67" s="49">
        <f>資料儲存!J1371</f>
        <v>0</v>
      </c>
      <c r="AJ67" s="13"/>
    </row>
    <row r="68" spans="1:36" ht="16" thickBot="1">
      <c r="A68" s="48">
        <v>51</v>
      </c>
      <c r="B68" s="49">
        <f>資料儲存!D1012</f>
        <v>0</v>
      </c>
      <c r="C68" s="49">
        <f>資料儲存!E1012</f>
        <v>0</v>
      </c>
      <c r="D68" s="49">
        <f>資料儲存!F1012</f>
        <v>0</v>
      </c>
      <c r="E68" s="49">
        <f>資料儲存!G1012</f>
        <v>0</v>
      </c>
      <c r="F68" s="49">
        <f>資料儲存!H1012</f>
        <v>0</v>
      </c>
      <c r="G68" s="49">
        <f>資料儲存!I1012</f>
        <v>0</v>
      </c>
      <c r="H68" s="49">
        <f>資料儲存!J1012</f>
        <v>0</v>
      </c>
      <c r="I68" s="45"/>
      <c r="J68" s="48">
        <v>51</v>
      </c>
      <c r="K68" s="49">
        <f>資料儲存!D1132</f>
        <v>0</v>
      </c>
      <c r="L68" s="49">
        <f>資料儲存!E1132</f>
        <v>0</v>
      </c>
      <c r="M68" s="49">
        <f>資料儲存!F1132</f>
        <v>0</v>
      </c>
      <c r="N68" s="49">
        <f>資料儲存!G1132</f>
        <v>0</v>
      </c>
      <c r="O68" s="49">
        <f>資料儲存!H1132</f>
        <v>0</v>
      </c>
      <c r="P68" s="49">
        <f>資料儲存!I1132</f>
        <v>0</v>
      </c>
      <c r="Q68" s="49">
        <f>資料儲存!J1132</f>
        <v>0</v>
      </c>
      <c r="R68" s="45"/>
      <c r="S68" s="48">
        <v>51</v>
      </c>
      <c r="T68" s="49">
        <f>資料儲存!D1252</f>
        <v>0</v>
      </c>
      <c r="U68" s="49">
        <f>資料儲存!E1252</f>
        <v>0</v>
      </c>
      <c r="V68" s="49">
        <f>資料儲存!F1252</f>
        <v>0</v>
      </c>
      <c r="W68" s="49">
        <f>資料儲存!G1252</f>
        <v>0</v>
      </c>
      <c r="X68" s="49">
        <f>資料儲存!H1252</f>
        <v>0</v>
      </c>
      <c r="Y68" s="49">
        <f>資料儲存!I1252</f>
        <v>0</v>
      </c>
      <c r="Z68" s="49">
        <f>資料儲存!J1252</f>
        <v>0</v>
      </c>
      <c r="AA68" s="45"/>
      <c r="AB68" s="48">
        <v>51</v>
      </c>
      <c r="AC68" s="49">
        <f>資料儲存!D1372</f>
        <v>0</v>
      </c>
      <c r="AD68" s="49">
        <f>資料儲存!E1372</f>
        <v>0</v>
      </c>
      <c r="AE68" s="49">
        <f>資料儲存!F1372</f>
        <v>0</v>
      </c>
      <c r="AF68" s="49">
        <f>資料儲存!G1372</f>
        <v>0</v>
      </c>
      <c r="AG68" s="49">
        <f>資料儲存!H1372</f>
        <v>0</v>
      </c>
      <c r="AH68" s="49">
        <f>資料儲存!I1372</f>
        <v>0</v>
      </c>
      <c r="AI68" s="49">
        <f>資料儲存!J1372</f>
        <v>0</v>
      </c>
      <c r="AJ68" s="13"/>
    </row>
    <row r="69" spans="1:36" ht="16" thickBot="1">
      <c r="A69" s="48">
        <v>52</v>
      </c>
      <c r="B69" s="49">
        <f>資料儲存!D1013</f>
        <v>0</v>
      </c>
      <c r="C69" s="49">
        <f>資料儲存!E1013</f>
        <v>0</v>
      </c>
      <c r="D69" s="49">
        <f>資料儲存!F1013</f>
        <v>0</v>
      </c>
      <c r="E69" s="49">
        <f>資料儲存!G1013</f>
        <v>0</v>
      </c>
      <c r="F69" s="49">
        <f>資料儲存!H1013</f>
        <v>0</v>
      </c>
      <c r="G69" s="49">
        <f>資料儲存!I1013</f>
        <v>0</v>
      </c>
      <c r="H69" s="49">
        <f>資料儲存!J1013</f>
        <v>0</v>
      </c>
      <c r="I69" s="45"/>
      <c r="J69" s="48">
        <v>52</v>
      </c>
      <c r="K69" s="49">
        <f>資料儲存!D1133</f>
        <v>0</v>
      </c>
      <c r="L69" s="49">
        <f>資料儲存!E1133</f>
        <v>0</v>
      </c>
      <c r="M69" s="49">
        <f>資料儲存!F1133</f>
        <v>0</v>
      </c>
      <c r="N69" s="49">
        <f>資料儲存!G1133</f>
        <v>0</v>
      </c>
      <c r="O69" s="49">
        <f>資料儲存!H1133</f>
        <v>0</v>
      </c>
      <c r="P69" s="49">
        <f>資料儲存!I1133</f>
        <v>0</v>
      </c>
      <c r="Q69" s="49">
        <f>資料儲存!J1133</f>
        <v>0</v>
      </c>
      <c r="R69" s="45"/>
      <c r="S69" s="48">
        <v>52</v>
      </c>
      <c r="T69" s="49">
        <f>資料儲存!D1253</f>
        <v>0</v>
      </c>
      <c r="U69" s="49">
        <f>資料儲存!E1253</f>
        <v>0</v>
      </c>
      <c r="V69" s="49">
        <f>資料儲存!F1253</f>
        <v>0</v>
      </c>
      <c r="W69" s="49">
        <f>資料儲存!G1253</f>
        <v>0</v>
      </c>
      <c r="X69" s="49">
        <f>資料儲存!H1253</f>
        <v>0</v>
      </c>
      <c r="Y69" s="49">
        <f>資料儲存!I1253</f>
        <v>0</v>
      </c>
      <c r="Z69" s="49">
        <f>資料儲存!J1253</f>
        <v>0</v>
      </c>
      <c r="AA69" s="45"/>
      <c r="AB69" s="48">
        <v>52</v>
      </c>
      <c r="AC69" s="49">
        <f>資料儲存!D1373</f>
        <v>0</v>
      </c>
      <c r="AD69" s="49">
        <f>資料儲存!E1373</f>
        <v>0</v>
      </c>
      <c r="AE69" s="49">
        <f>資料儲存!F1373</f>
        <v>0</v>
      </c>
      <c r="AF69" s="49">
        <f>資料儲存!G1373</f>
        <v>0</v>
      </c>
      <c r="AG69" s="49">
        <f>資料儲存!H1373</f>
        <v>0</v>
      </c>
      <c r="AH69" s="49">
        <f>資料儲存!I1373</f>
        <v>0</v>
      </c>
      <c r="AI69" s="49">
        <f>資料儲存!J1373</f>
        <v>0</v>
      </c>
      <c r="AJ69" s="13"/>
    </row>
    <row r="70" spans="1:36" ht="16" thickBot="1">
      <c r="A70" s="48">
        <v>53</v>
      </c>
      <c r="B70" s="49">
        <f>資料儲存!D1014</f>
        <v>0</v>
      </c>
      <c r="C70" s="49">
        <f>資料儲存!E1014</f>
        <v>0</v>
      </c>
      <c r="D70" s="49">
        <f>資料儲存!F1014</f>
        <v>0</v>
      </c>
      <c r="E70" s="49">
        <f>資料儲存!G1014</f>
        <v>0</v>
      </c>
      <c r="F70" s="49">
        <f>資料儲存!H1014</f>
        <v>0</v>
      </c>
      <c r="G70" s="49">
        <f>資料儲存!I1014</f>
        <v>0</v>
      </c>
      <c r="H70" s="49">
        <f>資料儲存!J1014</f>
        <v>0</v>
      </c>
      <c r="I70" s="45"/>
      <c r="J70" s="48">
        <v>53</v>
      </c>
      <c r="K70" s="49">
        <f>資料儲存!D1134</f>
        <v>0</v>
      </c>
      <c r="L70" s="49">
        <f>資料儲存!E1134</f>
        <v>0</v>
      </c>
      <c r="M70" s="49">
        <f>資料儲存!F1134</f>
        <v>0</v>
      </c>
      <c r="N70" s="49">
        <f>資料儲存!G1134</f>
        <v>0</v>
      </c>
      <c r="O70" s="49">
        <f>資料儲存!H1134</f>
        <v>0</v>
      </c>
      <c r="P70" s="49">
        <f>資料儲存!I1134</f>
        <v>0</v>
      </c>
      <c r="Q70" s="49">
        <f>資料儲存!J1134</f>
        <v>0</v>
      </c>
      <c r="R70" s="45"/>
      <c r="S70" s="48">
        <v>53</v>
      </c>
      <c r="T70" s="49">
        <f>資料儲存!D1254</f>
        <v>0</v>
      </c>
      <c r="U70" s="49">
        <f>資料儲存!E1254</f>
        <v>0</v>
      </c>
      <c r="V70" s="49">
        <f>資料儲存!F1254</f>
        <v>0</v>
      </c>
      <c r="W70" s="49">
        <f>資料儲存!G1254</f>
        <v>0</v>
      </c>
      <c r="X70" s="49">
        <f>資料儲存!H1254</f>
        <v>0</v>
      </c>
      <c r="Y70" s="49">
        <f>資料儲存!I1254</f>
        <v>0</v>
      </c>
      <c r="Z70" s="49">
        <f>資料儲存!J1254</f>
        <v>0</v>
      </c>
      <c r="AA70" s="45"/>
      <c r="AB70" s="48">
        <v>53</v>
      </c>
      <c r="AC70" s="49">
        <f>資料儲存!D1374</f>
        <v>0</v>
      </c>
      <c r="AD70" s="49">
        <f>資料儲存!E1374</f>
        <v>0</v>
      </c>
      <c r="AE70" s="49">
        <f>資料儲存!F1374</f>
        <v>0</v>
      </c>
      <c r="AF70" s="49">
        <f>資料儲存!G1374</f>
        <v>0</v>
      </c>
      <c r="AG70" s="49">
        <f>資料儲存!H1374</f>
        <v>0</v>
      </c>
      <c r="AH70" s="49">
        <f>資料儲存!I1374</f>
        <v>0</v>
      </c>
      <c r="AI70" s="49">
        <f>資料儲存!J1374</f>
        <v>0</v>
      </c>
      <c r="AJ70" s="13"/>
    </row>
    <row r="71" spans="1:36" ht="16" thickBot="1">
      <c r="A71" s="48">
        <v>54</v>
      </c>
      <c r="B71" s="49">
        <f>資料儲存!D1015</f>
        <v>0</v>
      </c>
      <c r="C71" s="49">
        <f>資料儲存!E1015</f>
        <v>0</v>
      </c>
      <c r="D71" s="49">
        <f>資料儲存!F1015</f>
        <v>0</v>
      </c>
      <c r="E71" s="49">
        <f>資料儲存!G1015</f>
        <v>0</v>
      </c>
      <c r="F71" s="49">
        <f>資料儲存!H1015</f>
        <v>0</v>
      </c>
      <c r="G71" s="49">
        <f>資料儲存!I1015</f>
        <v>0</v>
      </c>
      <c r="H71" s="49">
        <f>資料儲存!J1015</f>
        <v>0</v>
      </c>
      <c r="I71" s="45"/>
      <c r="J71" s="48">
        <v>54</v>
      </c>
      <c r="K71" s="49">
        <f>資料儲存!D1135</f>
        <v>0</v>
      </c>
      <c r="L71" s="49">
        <f>資料儲存!E1135</f>
        <v>0</v>
      </c>
      <c r="M71" s="49">
        <f>資料儲存!F1135</f>
        <v>0</v>
      </c>
      <c r="N71" s="49">
        <f>資料儲存!G1135</f>
        <v>0</v>
      </c>
      <c r="O71" s="49">
        <f>資料儲存!H1135</f>
        <v>0</v>
      </c>
      <c r="P71" s="49">
        <f>資料儲存!I1135</f>
        <v>0</v>
      </c>
      <c r="Q71" s="49">
        <f>資料儲存!J1135</f>
        <v>0</v>
      </c>
      <c r="R71" s="45"/>
      <c r="S71" s="48">
        <v>54</v>
      </c>
      <c r="T71" s="49">
        <f>資料儲存!D1255</f>
        <v>0</v>
      </c>
      <c r="U71" s="49">
        <f>資料儲存!E1255</f>
        <v>0</v>
      </c>
      <c r="V71" s="49">
        <f>資料儲存!F1255</f>
        <v>0</v>
      </c>
      <c r="W71" s="49">
        <f>資料儲存!G1255</f>
        <v>0</v>
      </c>
      <c r="X71" s="49">
        <f>資料儲存!H1255</f>
        <v>0</v>
      </c>
      <c r="Y71" s="49">
        <f>資料儲存!I1255</f>
        <v>0</v>
      </c>
      <c r="Z71" s="49">
        <f>資料儲存!J1255</f>
        <v>0</v>
      </c>
      <c r="AA71" s="45"/>
      <c r="AB71" s="48">
        <v>54</v>
      </c>
      <c r="AC71" s="49">
        <f>資料儲存!D1375</f>
        <v>0</v>
      </c>
      <c r="AD71" s="49">
        <f>資料儲存!E1375</f>
        <v>0</v>
      </c>
      <c r="AE71" s="49">
        <f>資料儲存!F1375</f>
        <v>0</v>
      </c>
      <c r="AF71" s="49">
        <f>資料儲存!G1375</f>
        <v>0</v>
      </c>
      <c r="AG71" s="49">
        <f>資料儲存!H1375</f>
        <v>0</v>
      </c>
      <c r="AH71" s="49">
        <f>資料儲存!I1375</f>
        <v>0</v>
      </c>
      <c r="AI71" s="49">
        <f>資料儲存!J1375</f>
        <v>0</v>
      </c>
      <c r="AJ71" s="13"/>
    </row>
    <row r="72" spans="1:36" ht="16" thickBot="1">
      <c r="A72" s="48">
        <v>55</v>
      </c>
      <c r="B72" s="49">
        <f>資料儲存!D1016</f>
        <v>0</v>
      </c>
      <c r="C72" s="49">
        <f>資料儲存!E1016</f>
        <v>0</v>
      </c>
      <c r="D72" s="49">
        <f>資料儲存!F1016</f>
        <v>0</v>
      </c>
      <c r="E72" s="49">
        <f>資料儲存!G1016</f>
        <v>0</v>
      </c>
      <c r="F72" s="49">
        <f>資料儲存!H1016</f>
        <v>0</v>
      </c>
      <c r="G72" s="49">
        <f>資料儲存!I1016</f>
        <v>0</v>
      </c>
      <c r="H72" s="49">
        <f>資料儲存!J1016</f>
        <v>0</v>
      </c>
      <c r="I72" s="45"/>
      <c r="J72" s="48">
        <v>55</v>
      </c>
      <c r="K72" s="49">
        <f>資料儲存!D1136</f>
        <v>0</v>
      </c>
      <c r="L72" s="49">
        <f>資料儲存!E1136</f>
        <v>0</v>
      </c>
      <c r="M72" s="49">
        <f>資料儲存!F1136</f>
        <v>0</v>
      </c>
      <c r="N72" s="49">
        <f>資料儲存!G1136</f>
        <v>0</v>
      </c>
      <c r="O72" s="49">
        <f>資料儲存!H1136</f>
        <v>0</v>
      </c>
      <c r="P72" s="49">
        <f>資料儲存!I1136</f>
        <v>0</v>
      </c>
      <c r="Q72" s="49">
        <f>資料儲存!J1136</f>
        <v>0</v>
      </c>
      <c r="R72" s="45"/>
      <c r="S72" s="48">
        <v>55</v>
      </c>
      <c r="T72" s="49">
        <f>資料儲存!D1256</f>
        <v>0</v>
      </c>
      <c r="U72" s="49">
        <f>資料儲存!E1256</f>
        <v>0</v>
      </c>
      <c r="V72" s="49">
        <f>資料儲存!F1256</f>
        <v>0</v>
      </c>
      <c r="W72" s="49">
        <f>資料儲存!G1256</f>
        <v>0</v>
      </c>
      <c r="X72" s="49">
        <f>資料儲存!H1256</f>
        <v>0</v>
      </c>
      <c r="Y72" s="49">
        <f>資料儲存!I1256</f>
        <v>0</v>
      </c>
      <c r="Z72" s="49">
        <f>資料儲存!J1256</f>
        <v>0</v>
      </c>
      <c r="AA72" s="45"/>
      <c r="AB72" s="48">
        <v>55</v>
      </c>
      <c r="AC72" s="49">
        <f>資料儲存!D1376</f>
        <v>0</v>
      </c>
      <c r="AD72" s="49">
        <f>資料儲存!E1376</f>
        <v>0</v>
      </c>
      <c r="AE72" s="49">
        <f>資料儲存!F1376</f>
        <v>0</v>
      </c>
      <c r="AF72" s="49">
        <f>資料儲存!G1376</f>
        <v>0</v>
      </c>
      <c r="AG72" s="49">
        <f>資料儲存!H1376</f>
        <v>0</v>
      </c>
      <c r="AH72" s="49">
        <f>資料儲存!I1376</f>
        <v>0</v>
      </c>
      <c r="AI72" s="49">
        <f>資料儲存!J1376</f>
        <v>0</v>
      </c>
      <c r="AJ72" s="13"/>
    </row>
    <row r="73" spans="1:36" ht="16" thickBot="1">
      <c r="A73" s="48">
        <v>56</v>
      </c>
      <c r="B73" s="49">
        <f>資料儲存!D1017</f>
        <v>0</v>
      </c>
      <c r="C73" s="49">
        <f>資料儲存!E1017</f>
        <v>0</v>
      </c>
      <c r="D73" s="49">
        <f>資料儲存!F1017</f>
        <v>0</v>
      </c>
      <c r="E73" s="49">
        <f>資料儲存!G1017</f>
        <v>0</v>
      </c>
      <c r="F73" s="49">
        <f>資料儲存!H1017</f>
        <v>0</v>
      </c>
      <c r="G73" s="49">
        <f>資料儲存!I1017</f>
        <v>0</v>
      </c>
      <c r="H73" s="49">
        <f>資料儲存!J1017</f>
        <v>0</v>
      </c>
      <c r="I73" s="45"/>
      <c r="J73" s="48">
        <v>56</v>
      </c>
      <c r="K73" s="49">
        <f>資料儲存!D1137</f>
        <v>0</v>
      </c>
      <c r="L73" s="49">
        <f>資料儲存!E1137</f>
        <v>0</v>
      </c>
      <c r="M73" s="49">
        <f>資料儲存!F1137</f>
        <v>0</v>
      </c>
      <c r="N73" s="49">
        <f>資料儲存!G1137</f>
        <v>0</v>
      </c>
      <c r="O73" s="49">
        <f>資料儲存!H1137</f>
        <v>0</v>
      </c>
      <c r="P73" s="49">
        <f>資料儲存!I1137</f>
        <v>0</v>
      </c>
      <c r="Q73" s="49">
        <f>資料儲存!J1137</f>
        <v>0</v>
      </c>
      <c r="R73" s="45"/>
      <c r="S73" s="48">
        <v>56</v>
      </c>
      <c r="T73" s="49">
        <f>資料儲存!D1257</f>
        <v>0</v>
      </c>
      <c r="U73" s="49">
        <f>資料儲存!E1257</f>
        <v>0</v>
      </c>
      <c r="V73" s="49">
        <f>資料儲存!F1257</f>
        <v>0</v>
      </c>
      <c r="W73" s="49">
        <f>資料儲存!G1257</f>
        <v>0</v>
      </c>
      <c r="X73" s="49">
        <f>資料儲存!H1257</f>
        <v>0</v>
      </c>
      <c r="Y73" s="49">
        <f>資料儲存!I1257</f>
        <v>0</v>
      </c>
      <c r="Z73" s="49">
        <f>資料儲存!J1257</f>
        <v>0</v>
      </c>
      <c r="AA73" s="45"/>
      <c r="AB73" s="48">
        <v>56</v>
      </c>
      <c r="AC73" s="49">
        <f>資料儲存!D1377</f>
        <v>0</v>
      </c>
      <c r="AD73" s="49">
        <f>資料儲存!E1377</f>
        <v>0</v>
      </c>
      <c r="AE73" s="49">
        <f>資料儲存!F1377</f>
        <v>0</v>
      </c>
      <c r="AF73" s="49">
        <f>資料儲存!G1377</f>
        <v>0</v>
      </c>
      <c r="AG73" s="49">
        <f>資料儲存!H1377</f>
        <v>0</v>
      </c>
      <c r="AH73" s="49">
        <f>資料儲存!I1377</f>
        <v>0</v>
      </c>
      <c r="AI73" s="49">
        <f>資料儲存!J1377</f>
        <v>0</v>
      </c>
      <c r="AJ73" s="13"/>
    </row>
    <row r="74" spans="1:36" ht="16" thickBot="1">
      <c r="A74" s="48">
        <v>57</v>
      </c>
      <c r="B74" s="49">
        <f>資料儲存!D1018</f>
        <v>0</v>
      </c>
      <c r="C74" s="49">
        <f>資料儲存!E1018</f>
        <v>0</v>
      </c>
      <c r="D74" s="49">
        <f>資料儲存!F1018</f>
        <v>0</v>
      </c>
      <c r="E74" s="49">
        <f>資料儲存!G1018</f>
        <v>0</v>
      </c>
      <c r="F74" s="49">
        <f>資料儲存!H1018</f>
        <v>0</v>
      </c>
      <c r="G74" s="49">
        <f>資料儲存!I1018</f>
        <v>0</v>
      </c>
      <c r="H74" s="49">
        <f>資料儲存!J1018</f>
        <v>0</v>
      </c>
      <c r="I74" s="45"/>
      <c r="J74" s="48">
        <v>57</v>
      </c>
      <c r="K74" s="49">
        <f>資料儲存!D1138</f>
        <v>0</v>
      </c>
      <c r="L74" s="49">
        <f>資料儲存!E1138</f>
        <v>0</v>
      </c>
      <c r="M74" s="49">
        <f>資料儲存!F1138</f>
        <v>0</v>
      </c>
      <c r="N74" s="49">
        <f>資料儲存!G1138</f>
        <v>0</v>
      </c>
      <c r="O74" s="49">
        <f>資料儲存!H1138</f>
        <v>0</v>
      </c>
      <c r="P74" s="49">
        <f>資料儲存!I1138</f>
        <v>0</v>
      </c>
      <c r="Q74" s="49">
        <f>資料儲存!J1138</f>
        <v>0</v>
      </c>
      <c r="R74" s="45"/>
      <c r="S74" s="48">
        <v>57</v>
      </c>
      <c r="T74" s="49">
        <f>資料儲存!D1258</f>
        <v>0</v>
      </c>
      <c r="U74" s="49">
        <f>資料儲存!E1258</f>
        <v>0</v>
      </c>
      <c r="V74" s="49">
        <f>資料儲存!F1258</f>
        <v>0</v>
      </c>
      <c r="W74" s="49">
        <f>資料儲存!G1258</f>
        <v>0</v>
      </c>
      <c r="X74" s="49">
        <f>資料儲存!H1258</f>
        <v>0</v>
      </c>
      <c r="Y74" s="49">
        <f>資料儲存!I1258</f>
        <v>0</v>
      </c>
      <c r="Z74" s="49">
        <f>資料儲存!J1258</f>
        <v>0</v>
      </c>
      <c r="AA74" s="45"/>
      <c r="AB74" s="48">
        <v>57</v>
      </c>
      <c r="AC74" s="49">
        <f>資料儲存!D1378</f>
        <v>0</v>
      </c>
      <c r="AD74" s="49">
        <f>資料儲存!E1378</f>
        <v>0</v>
      </c>
      <c r="AE74" s="49">
        <f>資料儲存!F1378</f>
        <v>0</v>
      </c>
      <c r="AF74" s="49">
        <f>資料儲存!G1378</f>
        <v>0</v>
      </c>
      <c r="AG74" s="49">
        <f>資料儲存!H1378</f>
        <v>0</v>
      </c>
      <c r="AH74" s="49">
        <f>資料儲存!I1378</f>
        <v>0</v>
      </c>
      <c r="AI74" s="49">
        <f>資料儲存!J1378</f>
        <v>0</v>
      </c>
      <c r="AJ74" s="13"/>
    </row>
    <row r="75" spans="1:36" ht="16" thickBot="1">
      <c r="A75" s="48">
        <v>58</v>
      </c>
      <c r="B75" s="49">
        <f>資料儲存!D1019</f>
        <v>0</v>
      </c>
      <c r="C75" s="49">
        <f>資料儲存!E1019</f>
        <v>0</v>
      </c>
      <c r="D75" s="49">
        <f>資料儲存!F1019</f>
        <v>0</v>
      </c>
      <c r="E75" s="49">
        <f>資料儲存!G1019</f>
        <v>0</v>
      </c>
      <c r="F75" s="49">
        <f>資料儲存!H1019</f>
        <v>0</v>
      </c>
      <c r="G75" s="49">
        <f>資料儲存!I1019</f>
        <v>0</v>
      </c>
      <c r="H75" s="49">
        <f>資料儲存!J1019</f>
        <v>0</v>
      </c>
      <c r="I75" s="45"/>
      <c r="J75" s="48">
        <v>58</v>
      </c>
      <c r="K75" s="49">
        <f>資料儲存!D1139</f>
        <v>0</v>
      </c>
      <c r="L75" s="49">
        <f>資料儲存!E1139</f>
        <v>0</v>
      </c>
      <c r="M75" s="49">
        <f>資料儲存!F1139</f>
        <v>0</v>
      </c>
      <c r="N75" s="49">
        <f>資料儲存!G1139</f>
        <v>0</v>
      </c>
      <c r="O75" s="49">
        <f>資料儲存!H1139</f>
        <v>0</v>
      </c>
      <c r="P75" s="49">
        <f>資料儲存!I1139</f>
        <v>0</v>
      </c>
      <c r="Q75" s="49">
        <f>資料儲存!J1139</f>
        <v>0</v>
      </c>
      <c r="R75" s="45"/>
      <c r="S75" s="48">
        <v>58</v>
      </c>
      <c r="T75" s="49">
        <f>資料儲存!D1259</f>
        <v>0</v>
      </c>
      <c r="U75" s="49">
        <f>資料儲存!E1259</f>
        <v>0</v>
      </c>
      <c r="V75" s="49">
        <f>資料儲存!F1259</f>
        <v>0</v>
      </c>
      <c r="W75" s="49">
        <f>資料儲存!G1259</f>
        <v>0</v>
      </c>
      <c r="X75" s="49">
        <f>資料儲存!H1259</f>
        <v>0</v>
      </c>
      <c r="Y75" s="49">
        <f>資料儲存!I1259</f>
        <v>0</v>
      </c>
      <c r="Z75" s="49">
        <f>資料儲存!J1259</f>
        <v>0</v>
      </c>
      <c r="AA75" s="45"/>
      <c r="AB75" s="48">
        <v>58</v>
      </c>
      <c r="AC75" s="49">
        <f>資料儲存!D1379</f>
        <v>0</v>
      </c>
      <c r="AD75" s="49">
        <f>資料儲存!E1379</f>
        <v>0</v>
      </c>
      <c r="AE75" s="49">
        <f>資料儲存!F1379</f>
        <v>0</v>
      </c>
      <c r="AF75" s="49">
        <f>資料儲存!G1379</f>
        <v>0</v>
      </c>
      <c r="AG75" s="49">
        <f>資料儲存!H1379</f>
        <v>0</v>
      </c>
      <c r="AH75" s="49">
        <f>資料儲存!I1379</f>
        <v>0</v>
      </c>
      <c r="AI75" s="49">
        <f>資料儲存!J1379</f>
        <v>0</v>
      </c>
      <c r="AJ75" s="13"/>
    </row>
    <row r="76" spans="1:36" ht="16" thickBot="1">
      <c r="A76" s="48">
        <v>59</v>
      </c>
      <c r="B76" s="49">
        <f>資料儲存!D1020</f>
        <v>0</v>
      </c>
      <c r="C76" s="49">
        <f>資料儲存!E1020</f>
        <v>0</v>
      </c>
      <c r="D76" s="49">
        <f>資料儲存!F1020</f>
        <v>0</v>
      </c>
      <c r="E76" s="49">
        <f>資料儲存!G1020</f>
        <v>0</v>
      </c>
      <c r="F76" s="49">
        <f>資料儲存!H1020</f>
        <v>0</v>
      </c>
      <c r="G76" s="49">
        <f>資料儲存!I1020</f>
        <v>0</v>
      </c>
      <c r="H76" s="49">
        <f>資料儲存!J1020</f>
        <v>0</v>
      </c>
      <c r="I76" s="45"/>
      <c r="J76" s="48">
        <v>59</v>
      </c>
      <c r="K76" s="49">
        <f>資料儲存!D1140</f>
        <v>0</v>
      </c>
      <c r="L76" s="49">
        <f>資料儲存!E1140</f>
        <v>0</v>
      </c>
      <c r="M76" s="49">
        <f>資料儲存!F1140</f>
        <v>0</v>
      </c>
      <c r="N76" s="49">
        <f>資料儲存!G1140</f>
        <v>0</v>
      </c>
      <c r="O76" s="49">
        <f>資料儲存!H1140</f>
        <v>0</v>
      </c>
      <c r="P76" s="49">
        <f>資料儲存!I1140</f>
        <v>0</v>
      </c>
      <c r="Q76" s="49">
        <f>資料儲存!J1140</f>
        <v>0</v>
      </c>
      <c r="R76" s="45"/>
      <c r="S76" s="48">
        <v>59</v>
      </c>
      <c r="T76" s="49">
        <f>資料儲存!D1260</f>
        <v>0</v>
      </c>
      <c r="U76" s="49">
        <f>資料儲存!E1260</f>
        <v>0</v>
      </c>
      <c r="V76" s="49">
        <f>資料儲存!F1260</f>
        <v>0</v>
      </c>
      <c r="W76" s="49">
        <f>資料儲存!G1260</f>
        <v>0</v>
      </c>
      <c r="X76" s="49">
        <f>資料儲存!H1260</f>
        <v>0</v>
      </c>
      <c r="Y76" s="49">
        <f>資料儲存!I1260</f>
        <v>0</v>
      </c>
      <c r="Z76" s="49">
        <f>資料儲存!J1260</f>
        <v>0</v>
      </c>
      <c r="AA76" s="45"/>
      <c r="AB76" s="48">
        <v>59</v>
      </c>
      <c r="AC76" s="49">
        <f>資料儲存!D1380</f>
        <v>0</v>
      </c>
      <c r="AD76" s="49">
        <f>資料儲存!E1380</f>
        <v>0</v>
      </c>
      <c r="AE76" s="49">
        <f>資料儲存!F1380</f>
        <v>0</v>
      </c>
      <c r="AF76" s="49">
        <f>資料儲存!G1380</f>
        <v>0</v>
      </c>
      <c r="AG76" s="49">
        <f>資料儲存!H1380</f>
        <v>0</v>
      </c>
      <c r="AH76" s="49">
        <f>資料儲存!I1380</f>
        <v>0</v>
      </c>
      <c r="AI76" s="49">
        <f>資料儲存!J1380</f>
        <v>0</v>
      </c>
      <c r="AJ76" s="13"/>
    </row>
    <row r="77" spans="1:36" ht="16" thickBot="1">
      <c r="A77" s="48">
        <v>60</v>
      </c>
      <c r="B77" s="49">
        <f>資料儲存!D1021</f>
        <v>0</v>
      </c>
      <c r="C77" s="49">
        <f>資料儲存!E1021</f>
        <v>0</v>
      </c>
      <c r="D77" s="49">
        <f>資料儲存!F1021</f>
        <v>0</v>
      </c>
      <c r="E77" s="49">
        <f>資料儲存!G1021</f>
        <v>0</v>
      </c>
      <c r="F77" s="49">
        <f>資料儲存!H1021</f>
        <v>0</v>
      </c>
      <c r="G77" s="49">
        <f>資料儲存!I1021</f>
        <v>0</v>
      </c>
      <c r="H77" s="49">
        <f>資料儲存!J1021</f>
        <v>0</v>
      </c>
      <c r="I77" s="45"/>
      <c r="J77" s="48">
        <v>60</v>
      </c>
      <c r="K77" s="49">
        <f>資料儲存!D1141</f>
        <v>0</v>
      </c>
      <c r="L77" s="49">
        <f>資料儲存!E1141</f>
        <v>0</v>
      </c>
      <c r="M77" s="49">
        <f>資料儲存!F1141</f>
        <v>0</v>
      </c>
      <c r="N77" s="49">
        <f>資料儲存!G1141</f>
        <v>0</v>
      </c>
      <c r="O77" s="49">
        <f>資料儲存!H1141</f>
        <v>0</v>
      </c>
      <c r="P77" s="49">
        <f>資料儲存!I1141</f>
        <v>0</v>
      </c>
      <c r="Q77" s="49">
        <f>資料儲存!J1141</f>
        <v>0</v>
      </c>
      <c r="R77" s="45"/>
      <c r="S77" s="48">
        <v>60</v>
      </c>
      <c r="T77" s="49">
        <f>資料儲存!D1261</f>
        <v>0</v>
      </c>
      <c r="U77" s="49">
        <f>資料儲存!E1261</f>
        <v>0</v>
      </c>
      <c r="V77" s="49">
        <f>資料儲存!F1261</f>
        <v>0</v>
      </c>
      <c r="W77" s="49">
        <f>資料儲存!G1261</f>
        <v>0</v>
      </c>
      <c r="X77" s="49">
        <f>資料儲存!H1261</f>
        <v>0</v>
      </c>
      <c r="Y77" s="49">
        <f>資料儲存!I1261</f>
        <v>0</v>
      </c>
      <c r="Z77" s="49">
        <f>資料儲存!J1261</f>
        <v>0</v>
      </c>
      <c r="AA77" s="45"/>
      <c r="AB77" s="48">
        <v>60</v>
      </c>
      <c r="AC77" s="49">
        <f>資料儲存!D1381</f>
        <v>0</v>
      </c>
      <c r="AD77" s="49">
        <f>資料儲存!E1381</f>
        <v>0</v>
      </c>
      <c r="AE77" s="49">
        <f>資料儲存!F1381</f>
        <v>0</v>
      </c>
      <c r="AF77" s="49">
        <f>資料儲存!G1381</f>
        <v>0</v>
      </c>
      <c r="AG77" s="49">
        <f>資料儲存!H1381</f>
        <v>0</v>
      </c>
      <c r="AH77" s="49">
        <f>資料儲存!I1381</f>
        <v>0</v>
      </c>
      <c r="AI77" s="49">
        <f>資料儲存!J1381</f>
        <v>0</v>
      </c>
      <c r="AJ77" s="13"/>
    </row>
    <row r="78" spans="1:36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</row>
    <row r="79" spans="1:36" ht="18.5" thickBot="1">
      <c r="A79" s="250" t="s">
        <v>95</v>
      </c>
      <c r="B79" s="251"/>
      <c r="C79" s="251"/>
      <c r="D79" s="251"/>
      <c r="E79" s="251"/>
      <c r="F79" s="251"/>
      <c r="G79" s="251"/>
      <c r="H79" s="252"/>
      <c r="I79" s="13"/>
      <c r="J79" s="250" t="s">
        <v>95</v>
      </c>
      <c r="K79" s="251"/>
      <c r="L79" s="251"/>
      <c r="M79" s="251"/>
      <c r="N79" s="251"/>
      <c r="O79" s="251"/>
      <c r="P79" s="251"/>
      <c r="Q79" s="252"/>
      <c r="R79" s="13"/>
      <c r="S79" s="250" t="s">
        <v>95</v>
      </c>
      <c r="T79" s="251"/>
      <c r="U79" s="251"/>
      <c r="V79" s="251"/>
      <c r="W79" s="251"/>
      <c r="X79" s="251"/>
      <c r="Y79" s="251"/>
      <c r="Z79" s="252"/>
      <c r="AA79" s="13"/>
      <c r="AB79" s="250" t="s">
        <v>95</v>
      </c>
      <c r="AC79" s="251"/>
      <c r="AD79" s="251"/>
      <c r="AE79" s="251"/>
      <c r="AF79" s="251"/>
      <c r="AG79" s="251"/>
      <c r="AH79" s="251"/>
      <c r="AI79" s="252"/>
      <c r="AJ79" s="13"/>
    </row>
    <row r="80" spans="1:36" ht="17.25" customHeight="1" thickBot="1">
      <c r="A80" s="31" t="s">
        <v>2</v>
      </c>
      <c r="B80" s="32" t="s">
        <v>46</v>
      </c>
      <c r="C80" s="33"/>
      <c r="D80" s="33"/>
      <c r="E80" s="34"/>
      <c r="F80" s="32" t="s">
        <v>47</v>
      </c>
      <c r="G80" s="33"/>
      <c r="H80" s="34"/>
      <c r="I80" s="35"/>
      <c r="J80" s="31" t="s">
        <v>2</v>
      </c>
      <c r="K80" s="32" t="s">
        <v>46</v>
      </c>
      <c r="L80" s="33"/>
      <c r="M80" s="33"/>
      <c r="N80" s="34"/>
      <c r="O80" s="32" t="s">
        <v>47</v>
      </c>
      <c r="P80" s="33"/>
      <c r="Q80" s="34"/>
      <c r="R80" s="35"/>
      <c r="S80" s="31" t="s">
        <v>2</v>
      </c>
      <c r="T80" s="32" t="s">
        <v>46</v>
      </c>
      <c r="U80" s="33"/>
      <c r="V80" s="33"/>
      <c r="W80" s="34"/>
      <c r="X80" s="32" t="s">
        <v>47</v>
      </c>
      <c r="Y80" s="33"/>
      <c r="Z80" s="34"/>
      <c r="AA80" s="35"/>
      <c r="AB80" s="31" t="s">
        <v>2</v>
      </c>
      <c r="AC80" s="32" t="s">
        <v>46</v>
      </c>
      <c r="AD80" s="33"/>
      <c r="AE80" s="33"/>
      <c r="AF80" s="34"/>
      <c r="AG80" s="32" t="s">
        <v>47</v>
      </c>
      <c r="AH80" s="33"/>
      <c r="AI80" s="34"/>
      <c r="AJ80" s="13"/>
    </row>
    <row r="81" spans="1:36" ht="16" thickBot="1">
      <c r="A81" s="36">
        <v>0.5</v>
      </c>
      <c r="B81" s="37" t="s">
        <v>49</v>
      </c>
      <c r="C81" s="37" t="s">
        <v>50</v>
      </c>
      <c r="D81" s="37" t="s">
        <v>51</v>
      </c>
      <c r="E81" s="37" t="s">
        <v>52</v>
      </c>
      <c r="F81" s="37" t="s">
        <v>53</v>
      </c>
      <c r="G81" s="37" t="s">
        <v>54</v>
      </c>
      <c r="H81" s="37" t="s">
        <v>55</v>
      </c>
      <c r="I81" s="35"/>
      <c r="J81" s="36">
        <v>0.5</v>
      </c>
      <c r="K81" s="37" t="s">
        <v>49</v>
      </c>
      <c r="L81" s="37" t="s">
        <v>50</v>
      </c>
      <c r="M81" s="37" t="s">
        <v>51</v>
      </c>
      <c r="N81" s="37" t="s">
        <v>52</v>
      </c>
      <c r="O81" s="37" t="s">
        <v>53</v>
      </c>
      <c r="P81" s="37" t="s">
        <v>54</v>
      </c>
      <c r="Q81" s="37" t="s">
        <v>55</v>
      </c>
      <c r="R81" s="35"/>
      <c r="S81" s="36">
        <v>0.5</v>
      </c>
      <c r="T81" s="37" t="s">
        <v>49</v>
      </c>
      <c r="U81" s="37" t="s">
        <v>50</v>
      </c>
      <c r="V81" s="37" t="s">
        <v>51</v>
      </c>
      <c r="W81" s="37" t="s">
        <v>52</v>
      </c>
      <c r="X81" s="37" t="s">
        <v>53</v>
      </c>
      <c r="Y81" s="37" t="s">
        <v>54</v>
      </c>
      <c r="Z81" s="37" t="s">
        <v>55</v>
      </c>
      <c r="AA81" s="35"/>
      <c r="AB81" s="36">
        <v>0.5</v>
      </c>
      <c r="AC81" s="37" t="s">
        <v>49</v>
      </c>
      <c r="AD81" s="37" t="s">
        <v>50</v>
      </c>
      <c r="AE81" s="37" t="s">
        <v>51</v>
      </c>
      <c r="AF81" s="37" t="s">
        <v>52</v>
      </c>
      <c r="AG81" s="37" t="s">
        <v>53</v>
      </c>
      <c r="AH81" s="37" t="s">
        <v>54</v>
      </c>
      <c r="AI81" s="37" t="s">
        <v>55</v>
      </c>
      <c r="AJ81" s="13"/>
    </row>
    <row r="82" spans="1:36" ht="16" thickBot="1">
      <c r="A82" s="38">
        <v>1</v>
      </c>
      <c r="B82" s="39">
        <f>資料儲存!D1022</f>
        <v>0</v>
      </c>
      <c r="C82" s="39">
        <f>資料儲存!E1022</f>
        <v>0</v>
      </c>
      <c r="D82" s="39">
        <f>資料儲存!F1022</f>
        <v>0</v>
      </c>
      <c r="E82" s="39">
        <f>資料儲存!G1022</f>
        <v>0</v>
      </c>
      <c r="F82" s="39">
        <f>資料儲存!H1022</f>
        <v>0</v>
      </c>
      <c r="G82" s="39">
        <f>資料儲存!I1022</f>
        <v>0</v>
      </c>
      <c r="H82" s="39">
        <f>資料儲存!J1022</f>
        <v>0</v>
      </c>
      <c r="I82" s="35"/>
      <c r="J82" s="38">
        <v>1</v>
      </c>
      <c r="K82" s="39">
        <f>資料儲存!D1142</f>
        <v>0</v>
      </c>
      <c r="L82" s="39">
        <f>資料儲存!E1142</f>
        <v>0</v>
      </c>
      <c r="M82" s="39">
        <f>資料儲存!F1142</f>
        <v>0</v>
      </c>
      <c r="N82" s="39">
        <f>資料儲存!G1142</f>
        <v>0</v>
      </c>
      <c r="O82" s="39">
        <f>資料儲存!H1142</f>
        <v>0</v>
      </c>
      <c r="P82" s="39">
        <f>資料儲存!I1142</f>
        <v>0</v>
      </c>
      <c r="Q82" s="39">
        <f>資料儲存!J1142</f>
        <v>0</v>
      </c>
      <c r="R82" s="35"/>
      <c r="S82" s="38">
        <v>1</v>
      </c>
      <c r="T82" s="39">
        <f>資料儲存!D1262</f>
        <v>0</v>
      </c>
      <c r="U82" s="39">
        <f>資料儲存!E1262</f>
        <v>0</v>
      </c>
      <c r="V82" s="39">
        <f>資料儲存!F1262</f>
        <v>0</v>
      </c>
      <c r="W82" s="39">
        <f>資料儲存!G1262</f>
        <v>0</v>
      </c>
      <c r="X82" s="39">
        <f>資料儲存!H1262</f>
        <v>0</v>
      </c>
      <c r="Y82" s="39">
        <f>資料儲存!I1262</f>
        <v>0</v>
      </c>
      <c r="Z82" s="39">
        <f>資料儲存!J1262</f>
        <v>0</v>
      </c>
      <c r="AA82" s="35"/>
      <c r="AB82" s="38">
        <v>1</v>
      </c>
      <c r="AC82" s="39">
        <f>資料儲存!D1382</f>
        <v>0</v>
      </c>
      <c r="AD82" s="39">
        <f>資料儲存!E1382</f>
        <v>0</v>
      </c>
      <c r="AE82" s="39">
        <f>資料儲存!F1382</f>
        <v>0</v>
      </c>
      <c r="AF82" s="39">
        <f>資料儲存!G1382</f>
        <v>0</v>
      </c>
      <c r="AG82" s="39">
        <f>資料儲存!H1382</f>
        <v>0</v>
      </c>
      <c r="AH82" s="39">
        <f>資料儲存!I1382</f>
        <v>0</v>
      </c>
      <c r="AI82" s="39">
        <f>資料儲存!J1382</f>
        <v>0</v>
      </c>
      <c r="AJ82" s="13"/>
    </row>
    <row r="83" spans="1:36" ht="16" thickBot="1">
      <c r="A83" s="38">
        <v>2</v>
      </c>
      <c r="B83" s="39">
        <f>資料儲存!D1023</f>
        <v>0</v>
      </c>
      <c r="C83" s="39">
        <f>資料儲存!E1023</f>
        <v>0</v>
      </c>
      <c r="D83" s="39">
        <f>資料儲存!F1023</f>
        <v>0</v>
      </c>
      <c r="E83" s="39">
        <f>資料儲存!G1023</f>
        <v>0</v>
      </c>
      <c r="F83" s="39">
        <f>資料儲存!H1023</f>
        <v>0</v>
      </c>
      <c r="G83" s="39">
        <f>資料儲存!I1023</f>
        <v>0</v>
      </c>
      <c r="H83" s="39">
        <f>資料儲存!J1023</f>
        <v>0</v>
      </c>
      <c r="I83" s="35"/>
      <c r="J83" s="38">
        <v>2</v>
      </c>
      <c r="K83" s="39">
        <f>資料儲存!D1143</f>
        <v>0</v>
      </c>
      <c r="L83" s="39">
        <f>資料儲存!E1143</f>
        <v>0</v>
      </c>
      <c r="M83" s="39">
        <f>資料儲存!F1143</f>
        <v>0</v>
      </c>
      <c r="N83" s="39">
        <f>資料儲存!G1143</f>
        <v>0</v>
      </c>
      <c r="O83" s="39">
        <f>資料儲存!H1143</f>
        <v>0</v>
      </c>
      <c r="P83" s="39">
        <f>資料儲存!I1143</f>
        <v>0</v>
      </c>
      <c r="Q83" s="39">
        <f>資料儲存!J1143</f>
        <v>0</v>
      </c>
      <c r="R83" s="35"/>
      <c r="S83" s="38">
        <v>2</v>
      </c>
      <c r="T83" s="39">
        <f>資料儲存!D1263</f>
        <v>0</v>
      </c>
      <c r="U83" s="39">
        <f>資料儲存!E1263</f>
        <v>0</v>
      </c>
      <c r="V83" s="39">
        <f>資料儲存!F1263</f>
        <v>0</v>
      </c>
      <c r="W83" s="39">
        <f>資料儲存!G1263</f>
        <v>0</v>
      </c>
      <c r="X83" s="39">
        <f>資料儲存!H1263</f>
        <v>0</v>
      </c>
      <c r="Y83" s="39">
        <f>資料儲存!I1263</f>
        <v>0</v>
      </c>
      <c r="Z83" s="39">
        <f>資料儲存!J1263</f>
        <v>0</v>
      </c>
      <c r="AA83" s="35"/>
      <c r="AB83" s="38">
        <v>2</v>
      </c>
      <c r="AC83" s="39">
        <f>資料儲存!D1383</f>
        <v>0</v>
      </c>
      <c r="AD83" s="39">
        <f>資料儲存!E1383</f>
        <v>0</v>
      </c>
      <c r="AE83" s="39">
        <f>資料儲存!F1383</f>
        <v>0</v>
      </c>
      <c r="AF83" s="39">
        <f>資料儲存!G1383</f>
        <v>0</v>
      </c>
      <c r="AG83" s="39">
        <f>資料儲存!H1383</f>
        <v>0</v>
      </c>
      <c r="AH83" s="39">
        <f>資料儲存!I1383</f>
        <v>0</v>
      </c>
      <c r="AI83" s="39">
        <f>資料儲存!J1383</f>
        <v>0</v>
      </c>
      <c r="AJ83" s="13"/>
    </row>
    <row r="84" spans="1:36" ht="16" thickBot="1">
      <c r="A84" s="38">
        <v>3</v>
      </c>
      <c r="B84" s="39">
        <f>資料儲存!D1024</f>
        <v>0</v>
      </c>
      <c r="C84" s="39">
        <f>資料儲存!E1024</f>
        <v>0</v>
      </c>
      <c r="D84" s="39">
        <f>資料儲存!F1024</f>
        <v>0</v>
      </c>
      <c r="E84" s="39">
        <f>資料儲存!G1024</f>
        <v>0</v>
      </c>
      <c r="F84" s="39">
        <f>資料儲存!H1024</f>
        <v>0</v>
      </c>
      <c r="G84" s="39">
        <f>資料儲存!I1024</f>
        <v>0</v>
      </c>
      <c r="H84" s="39">
        <f>資料儲存!J1024</f>
        <v>0</v>
      </c>
      <c r="I84" s="35"/>
      <c r="J84" s="38">
        <v>3</v>
      </c>
      <c r="K84" s="39">
        <f>資料儲存!D1144</f>
        <v>0</v>
      </c>
      <c r="L84" s="39">
        <f>資料儲存!E1144</f>
        <v>0</v>
      </c>
      <c r="M84" s="39">
        <f>資料儲存!F1144</f>
        <v>0</v>
      </c>
      <c r="N84" s="39">
        <f>資料儲存!G1144</f>
        <v>0</v>
      </c>
      <c r="O84" s="39">
        <f>資料儲存!H1144</f>
        <v>0</v>
      </c>
      <c r="P84" s="39">
        <f>資料儲存!I1144</f>
        <v>0</v>
      </c>
      <c r="Q84" s="39">
        <f>資料儲存!J1144</f>
        <v>0</v>
      </c>
      <c r="R84" s="35"/>
      <c r="S84" s="38">
        <v>3</v>
      </c>
      <c r="T84" s="39">
        <f>資料儲存!D1264</f>
        <v>0</v>
      </c>
      <c r="U84" s="39">
        <f>資料儲存!E1264</f>
        <v>0</v>
      </c>
      <c r="V84" s="39">
        <f>資料儲存!F1264</f>
        <v>0</v>
      </c>
      <c r="W84" s="39">
        <f>資料儲存!G1264</f>
        <v>0</v>
      </c>
      <c r="X84" s="39">
        <f>資料儲存!H1264</f>
        <v>0</v>
      </c>
      <c r="Y84" s="39">
        <f>資料儲存!I1264</f>
        <v>0</v>
      </c>
      <c r="Z84" s="39">
        <f>資料儲存!J1264</f>
        <v>0</v>
      </c>
      <c r="AA84" s="35"/>
      <c r="AB84" s="38">
        <v>3</v>
      </c>
      <c r="AC84" s="39">
        <f>資料儲存!D1384</f>
        <v>0</v>
      </c>
      <c r="AD84" s="39">
        <f>資料儲存!E1384</f>
        <v>0</v>
      </c>
      <c r="AE84" s="39">
        <f>資料儲存!F1384</f>
        <v>0</v>
      </c>
      <c r="AF84" s="39">
        <f>資料儲存!G1384</f>
        <v>0</v>
      </c>
      <c r="AG84" s="39">
        <f>資料儲存!H1384</f>
        <v>0</v>
      </c>
      <c r="AH84" s="39">
        <f>資料儲存!I1384</f>
        <v>0</v>
      </c>
      <c r="AI84" s="39">
        <f>資料儲存!J1384</f>
        <v>0</v>
      </c>
      <c r="AJ84" s="13"/>
    </row>
    <row r="85" spans="1:36" ht="16" thickBot="1">
      <c r="A85" s="38">
        <v>4</v>
      </c>
      <c r="B85" s="39">
        <f>資料儲存!D1025</f>
        <v>0</v>
      </c>
      <c r="C85" s="39">
        <f>資料儲存!E1025</f>
        <v>0</v>
      </c>
      <c r="D85" s="39">
        <f>資料儲存!F1025</f>
        <v>0</v>
      </c>
      <c r="E85" s="39">
        <f>資料儲存!G1025</f>
        <v>0</v>
      </c>
      <c r="F85" s="39">
        <f>資料儲存!H1025</f>
        <v>0</v>
      </c>
      <c r="G85" s="39">
        <f>資料儲存!I1025</f>
        <v>0</v>
      </c>
      <c r="H85" s="39">
        <f>資料儲存!J1025</f>
        <v>0</v>
      </c>
      <c r="I85" s="35"/>
      <c r="J85" s="38">
        <v>4</v>
      </c>
      <c r="K85" s="39">
        <f>資料儲存!D1145</f>
        <v>0</v>
      </c>
      <c r="L85" s="39">
        <f>資料儲存!E1145</f>
        <v>0</v>
      </c>
      <c r="M85" s="39">
        <f>資料儲存!F1145</f>
        <v>0</v>
      </c>
      <c r="N85" s="39">
        <f>資料儲存!G1145</f>
        <v>0</v>
      </c>
      <c r="O85" s="39">
        <f>資料儲存!H1145</f>
        <v>0</v>
      </c>
      <c r="P85" s="39">
        <f>資料儲存!I1145</f>
        <v>0</v>
      </c>
      <c r="Q85" s="39">
        <f>資料儲存!J1145</f>
        <v>0</v>
      </c>
      <c r="R85" s="35"/>
      <c r="S85" s="38">
        <v>4</v>
      </c>
      <c r="T85" s="39">
        <f>資料儲存!D1265</f>
        <v>0</v>
      </c>
      <c r="U85" s="39">
        <f>資料儲存!E1265</f>
        <v>0</v>
      </c>
      <c r="V85" s="39">
        <f>資料儲存!F1265</f>
        <v>0</v>
      </c>
      <c r="W85" s="39">
        <f>資料儲存!G1265</f>
        <v>0</v>
      </c>
      <c r="X85" s="39">
        <f>資料儲存!H1265</f>
        <v>0</v>
      </c>
      <c r="Y85" s="39">
        <f>資料儲存!I1265</f>
        <v>0</v>
      </c>
      <c r="Z85" s="39">
        <f>資料儲存!J1265</f>
        <v>0</v>
      </c>
      <c r="AA85" s="35"/>
      <c r="AB85" s="38">
        <v>4</v>
      </c>
      <c r="AC85" s="39">
        <f>資料儲存!D1385</f>
        <v>0</v>
      </c>
      <c r="AD85" s="39">
        <f>資料儲存!E1385</f>
        <v>0</v>
      </c>
      <c r="AE85" s="39">
        <f>資料儲存!F1385</f>
        <v>0</v>
      </c>
      <c r="AF85" s="39">
        <f>資料儲存!G1385</f>
        <v>0</v>
      </c>
      <c r="AG85" s="39">
        <f>資料儲存!H1385</f>
        <v>0</v>
      </c>
      <c r="AH85" s="39">
        <f>資料儲存!I1385</f>
        <v>0</v>
      </c>
      <c r="AI85" s="39">
        <f>資料儲存!J1385</f>
        <v>0</v>
      </c>
      <c r="AJ85" s="13"/>
    </row>
    <row r="86" spans="1:36" ht="16" thickBot="1">
      <c r="A86" s="38">
        <v>5</v>
      </c>
      <c r="B86" s="39">
        <f>資料儲存!D1026</f>
        <v>0</v>
      </c>
      <c r="C86" s="39">
        <f>資料儲存!E1026</f>
        <v>0</v>
      </c>
      <c r="D86" s="39">
        <f>資料儲存!F1026</f>
        <v>0</v>
      </c>
      <c r="E86" s="39">
        <f>資料儲存!G1026</f>
        <v>0</v>
      </c>
      <c r="F86" s="39">
        <f>資料儲存!H1026</f>
        <v>0</v>
      </c>
      <c r="G86" s="39">
        <f>資料儲存!I1026</f>
        <v>0</v>
      </c>
      <c r="H86" s="39">
        <f>資料儲存!J1026</f>
        <v>0</v>
      </c>
      <c r="I86" s="35"/>
      <c r="J86" s="38">
        <v>5</v>
      </c>
      <c r="K86" s="39">
        <f>資料儲存!D1146</f>
        <v>0</v>
      </c>
      <c r="L86" s="39">
        <f>資料儲存!E1146</f>
        <v>0</v>
      </c>
      <c r="M86" s="39">
        <f>資料儲存!F1146</f>
        <v>0</v>
      </c>
      <c r="N86" s="39">
        <f>資料儲存!G1146</f>
        <v>0</v>
      </c>
      <c r="O86" s="39">
        <f>資料儲存!H1146</f>
        <v>0</v>
      </c>
      <c r="P86" s="39">
        <f>資料儲存!I1146</f>
        <v>0</v>
      </c>
      <c r="Q86" s="39">
        <f>資料儲存!J1146</f>
        <v>0</v>
      </c>
      <c r="R86" s="35"/>
      <c r="S86" s="38">
        <v>5</v>
      </c>
      <c r="T86" s="39">
        <f>資料儲存!D1266</f>
        <v>0</v>
      </c>
      <c r="U86" s="39">
        <f>資料儲存!E1266</f>
        <v>0</v>
      </c>
      <c r="V86" s="39">
        <f>資料儲存!F1266</f>
        <v>0</v>
      </c>
      <c r="W86" s="39">
        <f>資料儲存!G1266</f>
        <v>0</v>
      </c>
      <c r="X86" s="39">
        <f>資料儲存!H1266</f>
        <v>0</v>
      </c>
      <c r="Y86" s="39">
        <f>資料儲存!I1266</f>
        <v>0</v>
      </c>
      <c r="Z86" s="39">
        <f>資料儲存!J1266</f>
        <v>0</v>
      </c>
      <c r="AA86" s="35"/>
      <c r="AB86" s="38">
        <v>5</v>
      </c>
      <c r="AC86" s="39">
        <f>資料儲存!D1386</f>
        <v>0</v>
      </c>
      <c r="AD86" s="39">
        <f>資料儲存!E1386</f>
        <v>0</v>
      </c>
      <c r="AE86" s="39">
        <f>資料儲存!F1386</f>
        <v>0</v>
      </c>
      <c r="AF86" s="39">
        <f>資料儲存!G1386</f>
        <v>0</v>
      </c>
      <c r="AG86" s="39">
        <f>資料儲存!H1386</f>
        <v>0</v>
      </c>
      <c r="AH86" s="39">
        <f>資料儲存!I1386</f>
        <v>0</v>
      </c>
      <c r="AI86" s="39">
        <f>資料儲存!J1386</f>
        <v>0</v>
      </c>
      <c r="AJ86" s="13"/>
    </row>
    <row r="87" spans="1:36" ht="16" thickBot="1">
      <c r="A87" s="38">
        <v>6</v>
      </c>
      <c r="B87" s="39">
        <f>資料儲存!D1027</f>
        <v>0</v>
      </c>
      <c r="C87" s="39">
        <f>資料儲存!E1027</f>
        <v>0</v>
      </c>
      <c r="D87" s="39">
        <f>資料儲存!F1027</f>
        <v>0</v>
      </c>
      <c r="E87" s="39">
        <f>資料儲存!G1027</f>
        <v>0</v>
      </c>
      <c r="F87" s="39">
        <f>資料儲存!H1027</f>
        <v>0</v>
      </c>
      <c r="G87" s="39">
        <f>資料儲存!I1027</f>
        <v>0</v>
      </c>
      <c r="H87" s="39">
        <f>資料儲存!J1027</f>
        <v>0</v>
      </c>
      <c r="I87" s="35"/>
      <c r="J87" s="38">
        <v>6</v>
      </c>
      <c r="K87" s="39">
        <f>資料儲存!D1147</f>
        <v>0</v>
      </c>
      <c r="L87" s="39">
        <f>資料儲存!E1147</f>
        <v>0</v>
      </c>
      <c r="M87" s="39">
        <f>資料儲存!F1147</f>
        <v>0</v>
      </c>
      <c r="N87" s="39">
        <f>資料儲存!G1147</f>
        <v>0</v>
      </c>
      <c r="O87" s="39">
        <f>資料儲存!H1147</f>
        <v>0</v>
      </c>
      <c r="P87" s="39">
        <f>資料儲存!I1147</f>
        <v>0</v>
      </c>
      <c r="Q87" s="39">
        <f>資料儲存!J1147</f>
        <v>0</v>
      </c>
      <c r="R87" s="35"/>
      <c r="S87" s="38">
        <v>6</v>
      </c>
      <c r="T87" s="39">
        <f>資料儲存!D1267</f>
        <v>0</v>
      </c>
      <c r="U87" s="39">
        <f>資料儲存!E1267</f>
        <v>0</v>
      </c>
      <c r="V87" s="39">
        <f>資料儲存!F1267</f>
        <v>0</v>
      </c>
      <c r="W87" s="39">
        <f>資料儲存!G1267</f>
        <v>0</v>
      </c>
      <c r="X87" s="39">
        <f>資料儲存!H1267</f>
        <v>0</v>
      </c>
      <c r="Y87" s="39">
        <f>資料儲存!I1267</f>
        <v>0</v>
      </c>
      <c r="Z87" s="39">
        <f>資料儲存!J1267</f>
        <v>0</v>
      </c>
      <c r="AA87" s="35"/>
      <c r="AB87" s="38">
        <v>6</v>
      </c>
      <c r="AC87" s="39">
        <f>資料儲存!D1387</f>
        <v>0</v>
      </c>
      <c r="AD87" s="39">
        <f>資料儲存!E1387</f>
        <v>0</v>
      </c>
      <c r="AE87" s="39">
        <f>資料儲存!F1387</f>
        <v>0</v>
      </c>
      <c r="AF87" s="39">
        <f>資料儲存!G1387</f>
        <v>0</v>
      </c>
      <c r="AG87" s="39">
        <f>資料儲存!H1387</f>
        <v>0</v>
      </c>
      <c r="AH87" s="39">
        <f>資料儲存!I1387</f>
        <v>0</v>
      </c>
      <c r="AI87" s="39">
        <f>資料儲存!J1387</f>
        <v>0</v>
      </c>
      <c r="AJ87" s="13"/>
    </row>
    <row r="88" spans="1:36" ht="16" thickBot="1">
      <c r="A88" s="38">
        <v>7</v>
      </c>
      <c r="B88" s="39">
        <f>資料儲存!D1028</f>
        <v>0</v>
      </c>
      <c r="C88" s="39">
        <f>資料儲存!E1028</f>
        <v>0</v>
      </c>
      <c r="D88" s="39">
        <f>資料儲存!F1028</f>
        <v>0</v>
      </c>
      <c r="E88" s="39">
        <f>資料儲存!G1028</f>
        <v>0</v>
      </c>
      <c r="F88" s="39">
        <f>資料儲存!H1028</f>
        <v>0</v>
      </c>
      <c r="G88" s="39">
        <f>資料儲存!I1028</f>
        <v>0</v>
      </c>
      <c r="H88" s="39">
        <f>資料儲存!J1028</f>
        <v>0</v>
      </c>
      <c r="I88" s="35"/>
      <c r="J88" s="38">
        <v>7</v>
      </c>
      <c r="K88" s="39">
        <f>資料儲存!D1148</f>
        <v>0</v>
      </c>
      <c r="L88" s="39">
        <f>資料儲存!E1148</f>
        <v>0</v>
      </c>
      <c r="M88" s="39">
        <f>資料儲存!F1148</f>
        <v>0</v>
      </c>
      <c r="N88" s="39">
        <f>資料儲存!G1148</f>
        <v>0</v>
      </c>
      <c r="O88" s="39">
        <f>資料儲存!H1148</f>
        <v>0</v>
      </c>
      <c r="P88" s="39">
        <f>資料儲存!I1148</f>
        <v>0</v>
      </c>
      <c r="Q88" s="39">
        <f>資料儲存!J1148</f>
        <v>0</v>
      </c>
      <c r="R88" s="35"/>
      <c r="S88" s="38">
        <v>7</v>
      </c>
      <c r="T88" s="39">
        <f>資料儲存!D1268</f>
        <v>0</v>
      </c>
      <c r="U88" s="39">
        <f>資料儲存!E1268</f>
        <v>0</v>
      </c>
      <c r="V88" s="39">
        <f>資料儲存!F1268</f>
        <v>0</v>
      </c>
      <c r="W88" s="39">
        <f>資料儲存!G1268</f>
        <v>0</v>
      </c>
      <c r="X88" s="39">
        <f>資料儲存!H1268</f>
        <v>0</v>
      </c>
      <c r="Y88" s="39">
        <f>資料儲存!I1268</f>
        <v>0</v>
      </c>
      <c r="Z88" s="39">
        <f>資料儲存!J1268</f>
        <v>0</v>
      </c>
      <c r="AA88" s="35"/>
      <c r="AB88" s="38">
        <v>7</v>
      </c>
      <c r="AC88" s="39">
        <f>資料儲存!D1388</f>
        <v>0</v>
      </c>
      <c r="AD88" s="39">
        <f>資料儲存!E1388</f>
        <v>0</v>
      </c>
      <c r="AE88" s="39">
        <f>資料儲存!F1388</f>
        <v>0</v>
      </c>
      <c r="AF88" s="39">
        <f>資料儲存!G1388</f>
        <v>0</v>
      </c>
      <c r="AG88" s="39">
        <f>資料儲存!H1388</f>
        <v>0</v>
      </c>
      <c r="AH88" s="39">
        <f>資料儲存!I1388</f>
        <v>0</v>
      </c>
      <c r="AI88" s="39">
        <f>資料儲存!J1388</f>
        <v>0</v>
      </c>
      <c r="AJ88" s="13"/>
    </row>
    <row r="89" spans="1:36" ht="16" thickBot="1">
      <c r="A89" s="38">
        <v>8</v>
      </c>
      <c r="B89" s="39">
        <f>資料儲存!D1029</f>
        <v>0</v>
      </c>
      <c r="C89" s="39">
        <f>資料儲存!E1029</f>
        <v>0</v>
      </c>
      <c r="D89" s="39">
        <f>資料儲存!F1029</f>
        <v>0</v>
      </c>
      <c r="E89" s="39">
        <f>資料儲存!G1029</f>
        <v>0</v>
      </c>
      <c r="F89" s="39">
        <f>資料儲存!H1029</f>
        <v>0</v>
      </c>
      <c r="G89" s="39">
        <f>資料儲存!I1029</f>
        <v>0</v>
      </c>
      <c r="H89" s="39">
        <f>資料儲存!J1029</f>
        <v>0</v>
      </c>
      <c r="I89" s="35"/>
      <c r="J89" s="38">
        <v>8</v>
      </c>
      <c r="K89" s="39">
        <f>資料儲存!D1149</f>
        <v>0</v>
      </c>
      <c r="L89" s="39">
        <f>資料儲存!E1149</f>
        <v>0</v>
      </c>
      <c r="M89" s="39">
        <f>資料儲存!F1149</f>
        <v>0</v>
      </c>
      <c r="N89" s="39">
        <f>資料儲存!G1149</f>
        <v>0</v>
      </c>
      <c r="O89" s="39">
        <f>資料儲存!H1149</f>
        <v>0</v>
      </c>
      <c r="P89" s="39">
        <f>資料儲存!I1149</f>
        <v>0</v>
      </c>
      <c r="Q89" s="39">
        <f>資料儲存!J1149</f>
        <v>0</v>
      </c>
      <c r="R89" s="35"/>
      <c r="S89" s="38">
        <v>8</v>
      </c>
      <c r="T89" s="39">
        <f>資料儲存!D1269</f>
        <v>0</v>
      </c>
      <c r="U89" s="39">
        <f>資料儲存!E1269</f>
        <v>0</v>
      </c>
      <c r="V89" s="39">
        <f>資料儲存!F1269</f>
        <v>0</v>
      </c>
      <c r="W89" s="39">
        <f>資料儲存!G1269</f>
        <v>0</v>
      </c>
      <c r="X89" s="39">
        <f>資料儲存!H1269</f>
        <v>0</v>
      </c>
      <c r="Y89" s="39">
        <f>資料儲存!I1269</f>
        <v>0</v>
      </c>
      <c r="Z89" s="39">
        <f>資料儲存!J1269</f>
        <v>0</v>
      </c>
      <c r="AA89" s="35"/>
      <c r="AB89" s="38">
        <v>8</v>
      </c>
      <c r="AC89" s="39">
        <f>資料儲存!D1389</f>
        <v>0</v>
      </c>
      <c r="AD89" s="39">
        <f>資料儲存!E1389</f>
        <v>0</v>
      </c>
      <c r="AE89" s="39">
        <f>資料儲存!F1389</f>
        <v>0</v>
      </c>
      <c r="AF89" s="39">
        <f>資料儲存!G1389</f>
        <v>0</v>
      </c>
      <c r="AG89" s="39">
        <f>資料儲存!H1389</f>
        <v>0</v>
      </c>
      <c r="AH89" s="39">
        <f>資料儲存!I1389</f>
        <v>0</v>
      </c>
      <c r="AI89" s="39">
        <f>資料儲存!J1389</f>
        <v>0</v>
      </c>
      <c r="AJ89" s="13"/>
    </row>
    <row r="90" spans="1:36" ht="16" thickBot="1">
      <c r="A90" s="38">
        <v>9</v>
      </c>
      <c r="B90" s="39">
        <f>資料儲存!D1030</f>
        <v>0</v>
      </c>
      <c r="C90" s="39">
        <f>資料儲存!E1030</f>
        <v>0</v>
      </c>
      <c r="D90" s="39">
        <f>資料儲存!F1030</f>
        <v>0</v>
      </c>
      <c r="E90" s="39">
        <f>資料儲存!G1030</f>
        <v>0</v>
      </c>
      <c r="F90" s="39">
        <f>資料儲存!H1030</f>
        <v>0</v>
      </c>
      <c r="G90" s="39">
        <f>資料儲存!I1030</f>
        <v>0</v>
      </c>
      <c r="H90" s="39">
        <f>資料儲存!J1030</f>
        <v>0</v>
      </c>
      <c r="I90" s="35"/>
      <c r="J90" s="38">
        <v>9</v>
      </c>
      <c r="K90" s="39">
        <f>資料儲存!D1150</f>
        <v>0</v>
      </c>
      <c r="L90" s="39">
        <f>資料儲存!E1150</f>
        <v>0</v>
      </c>
      <c r="M90" s="39">
        <f>資料儲存!F1150</f>
        <v>0</v>
      </c>
      <c r="N90" s="39">
        <f>資料儲存!G1150</f>
        <v>0</v>
      </c>
      <c r="O90" s="39">
        <f>資料儲存!H1150</f>
        <v>0</v>
      </c>
      <c r="P90" s="39">
        <f>資料儲存!I1150</f>
        <v>0</v>
      </c>
      <c r="Q90" s="39">
        <f>資料儲存!J1150</f>
        <v>0</v>
      </c>
      <c r="R90" s="35"/>
      <c r="S90" s="38">
        <v>9</v>
      </c>
      <c r="T90" s="39">
        <f>資料儲存!D1270</f>
        <v>0</v>
      </c>
      <c r="U90" s="39">
        <f>資料儲存!E1270</f>
        <v>0</v>
      </c>
      <c r="V90" s="39">
        <f>資料儲存!F1270</f>
        <v>0</v>
      </c>
      <c r="W90" s="39">
        <f>資料儲存!G1270</f>
        <v>0</v>
      </c>
      <c r="X90" s="39">
        <f>資料儲存!H1270</f>
        <v>0</v>
      </c>
      <c r="Y90" s="39">
        <f>資料儲存!I1270</f>
        <v>0</v>
      </c>
      <c r="Z90" s="39">
        <f>資料儲存!J1270</f>
        <v>0</v>
      </c>
      <c r="AA90" s="35"/>
      <c r="AB90" s="38">
        <v>9</v>
      </c>
      <c r="AC90" s="39">
        <f>資料儲存!D1390</f>
        <v>0</v>
      </c>
      <c r="AD90" s="39">
        <f>資料儲存!E1390</f>
        <v>0</v>
      </c>
      <c r="AE90" s="39">
        <f>資料儲存!F1390</f>
        <v>0</v>
      </c>
      <c r="AF90" s="39">
        <f>資料儲存!G1390</f>
        <v>0</v>
      </c>
      <c r="AG90" s="39">
        <f>資料儲存!H1390</f>
        <v>0</v>
      </c>
      <c r="AH90" s="39">
        <f>資料儲存!I1390</f>
        <v>0</v>
      </c>
      <c r="AI90" s="39">
        <f>資料儲存!J1390</f>
        <v>0</v>
      </c>
      <c r="AJ90" s="13"/>
    </row>
    <row r="91" spans="1:36" ht="16" thickBot="1">
      <c r="A91" s="38">
        <v>10</v>
      </c>
      <c r="B91" s="39">
        <f>資料儲存!D1031</f>
        <v>0</v>
      </c>
      <c r="C91" s="39">
        <f>資料儲存!E1031</f>
        <v>0</v>
      </c>
      <c r="D91" s="39">
        <f>資料儲存!F1031</f>
        <v>0</v>
      </c>
      <c r="E91" s="39">
        <f>資料儲存!G1031</f>
        <v>0</v>
      </c>
      <c r="F91" s="39">
        <f>資料儲存!H1031</f>
        <v>0</v>
      </c>
      <c r="G91" s="39">
        <f>資料儲存!I1031</f>
        <v>0</v>
      </c>
      <c r="H91" s="39">
        <f>資料儲存!J1031</f>
        <v>0</v>
      </c>
      <c r="I91" s="35"/>
      <c r="J91" s="38">
        <v>10</v>
      </c>
      <c r="K91" s="39">
        <f>資料儲存!D1151</f>
        <v>0</v>
      </c>
      <c r="L91" s="39">
        <f>資料儲存!E1151</f>
        <v>0</v>
      </c>
      <c r="M91" s="39">
        <f>資料儲存!F1151</f>
        <v>0</v>
      </c>
      <c r="N91" s="39">
        <f>資料儲存!G1151</f>
        <v>0</v>
      </c>
      <c r="O91" s="39">
        <f>資料儲存!H1151</f>
        <v>0</v>
      </c>
      <c r="P91" s="39">
        <f>資料儲存!I1151</f>
        <v>0</v>
      </c>
      <c r="Q91" s="39">
        <f>資料儲存!J1151</f>
        <v>0</v>
      </c>
      <c r="R91" s="35"/>
      <c r="S91" s="38">
        <v>10</v>
      </c>
      <c r="T91" s="39">
        <f>資料儲存!D1271</f>
        <v>0</v>
      </c>
      <c r="U91" s="39">
        <f>資料儲存!E1271</f>
        <v>0</v>
      </c>
      <c r="V91" s="39">
        <f>資料儲存!F1271</f>
        <v>0</v>
      </c>
      <c r="W91" s="39">
        <f>資料儲存!G1271</f>
        <v>0</v>
      </c>
      <c r="X91" s="39">
        <f>資料儲存!H1271</f>
        <v>0</v>
      </c>
      <c r="Y91" s="39">
        <f>資料儲存!I1271</f>
        <v>0</v>
      </c>
      <c r="Z91" s="39">
        <f>資料儲存!J1271</f>
        <v>0</v>
      </c>
      <c r="AA91" s="35"/>
      <c r="AB91" s="38">
        <v>10</v>
      </c>
      <c r="AC91" s="39">
        <f>資料儲存!D1391</f>
        <v>0</v>
      </c>
      <c r="AD91" s="39">
        <f>資料儲存!E1391</f>
        <v>0</v>
      </c>
      <c r="AE91" s="39">
        <f>資料儲存!F1391</f>
        <v>0</v>
      </c>
      <c r="AF91" s="39">
        <f>資料儲存!G1391</f>
        <v>0</v>
      </c>
      <c r="AG91" s="39">
        <f>資料儲存!H1391</f>
        <v>0</v>
      </c>
      <c r="AH91" s="39">
        <f>資料儲存!I1391</f>
        <v>0</v>
      </c>
      <c r="AI91" s="39">
        <f>資料儲存!J1391</f>
        <v>0</v>
      </c>
      <c r="AJ91" s="13"/>
    </row>
    <row r="92" spans="1:36" ht="16" thickBot="1">
      <c r="A92" s="38">
        <v>11</v>
      </c>
      <c r="B92" s="39">
        <f>資料儲存!D1032</f>
        <v>0</v>
      </c>
      <c r="C92" s="39">
        <f>資料儲存!E1032</f>
        <v>0</v>
      </c>
      <c r="D92" s="39">
        <f>資料儲存!F1032</f>
        <v>0</v>
      </c>
      <c r="E92" s="39">
        <f>資料儲存!G1032</f>
        <v>0</v>
      </c>
      <c r="F92" s="39">
        <f>資料儲存!H1032</f>
        <v>0</v>
      </c>
      <c r="G92" s="39">
        <f>資料儲存!I1032</f>
        <v>0</v>
      </c>
      <c r="H92" s="39">
        <f>資料儲存!J1032</f>
        <v>0</v>
      </c>
      <c r="I92" s="35"/>
      <c r="J92" s="38">
        <v>11</v>
      </c>
      <c r="K92" s="39">
        <f>資料儲存!D1152</f>
        <v>0</v>
      </c>
      <c r="L92" s="39">
        <f>資料儲存!E1152</f>
        <v>0</v>
      </c>
      <c r="M92" s="39">
        <f>資料儲存!F1152</f>
        <v>0</v>
      </c>
      <c r="N92" s="39">
        <f>資料儲存!G1152</f>
        <v>0</v>
      </c>
      <c r="O92" s="39">
        <f>資料儲存!H1152</f>
        <v>0</v>
      </c>
      <c r="P92" s="39">
        <f>資料儲存!I1152</f>
        <v>0</v>
      </c>
      <c r="Q92" s="39">
        <f>資料儲存!J1152</f>
        <v>0</v>
      </c>
      <c r="R92" s="35"/>
      <c r="S92" s="38">
        <v>11</v>
      </c>
      <c r="T92" s="39">
        <f>資料儲存!D1272</f>
        <v>0</v>
      </c>
      <c r="U92" s="39">
        <f>資料儲存!E1272</f>
        <v>0</v>
      </c>
      <c r="V92" s="39">
        <f>資料儲存!F1272</f>
        <v>0</v>
      </c>
      <c r="W92" s="39">
        <f>資料儲存!G1272</f>
        <v>0</v>
      </c>
      <c r="X92" s="39">
        <f>資料儲存!H1272</f>
        <v>0</v>
      </c>
      <c r="Y92" s="39">
        <f>資料儲存!I1272</f>
        <v>0</v>
      </c>
      <c r="Z92" s="39">
        <f>資料儲存!J1272</f>
        <v>0</v>
      </c>
      <c r="AA92" s="35"/>
      <c r="AB92" s="38">
        <v>11</v>
      </c>
      <c r="AC92" s="39">
        <f>資料儲存!D1392</f>
        <v>0</v>
      </c>
      <c r="AD92" s="39">
        <f>資料儲存!E1392</f>
        <v>0</v>
      </c>
      <c r="AE92" s="39">
        <f>資料儲存!F1392</f>
        <v>0</v>
      </c>
      <c r="AF92" s="39">
        <f>資料儲存!G1392</f>
        <v>0</v>
      </c>
      <c r="AG92" s="39">
        <f>資料儲存!H1392</f>
        <v>0</v>
      </c>
      <c r="AH92" s="39">
        <f>資料儲存!I1392</f>
        <v>0</v>
      </c>
      <c r="AI92" s="39">
        <f>資料儲存!J1392</f>
        <v>0</v>
      </c>
      <c r="AJ92" s="13"/>
    </row>
    <row r="93" spans="1:36" ht="16" thickBot="1">
      <c r="A93" s="38">
        <v>12</v>
      </c>
      <c r="B93" s="39">
        <f>資料儲存!D1033</f>
        <v>0</v>
      </c>
      <c r="C93" s="39">
        <f>資料儲存!E1033</f>
        <v>0</v>
      </c>
      <c r="D93" s="39">
        <f>資料儲存!F1033</f>
        <v>0</v>
      </c>
      <c r="E93" s="39">
        <f>資料儲存!G1033</f>
        <v>0</v>
      </c>
      <c r="F93" s="39">
        <f>資料儲存!H1033</f>
        <v>0</v>
      </c>
      <c r="G93" s="39">
        <f>資料儲存!I1033</f>
        <v>0</v>
      </c>
      <c r="H93" s="39">
        <f>資料儲存!J1033</f>
        <v>0</v>
      </c>
      <c r="I93" s="35"/>
      <c r="J93" s="38">
        <v>12</v>
      </c>
      <c r="K93" s="39">
        <f>資料儲存!D1153</f>
        <v>0</v>
      </c>
      <c r="L93" s="39">
        <f>資料儲存!E1153</f>
        <v>0</v>
      </c>
      <c r="M93" s="39">
        <f>資料儲存!F1153</f>
        <v>0</v>
      </c>
      <c r="N93" s="39">
        <f>資料儲存!G1153</f>
        <v>0</v>
      </c>
      <c r="O93" s="39">
        <f>資料儲存!H1153</f>
        <v>0</v>
      </c>
      <c r="P93" s="39">
        <f>資料儲存!I1153</f>
        <v>0</v>
      </c>
      <c r="Q93" s="39">
        <f>資料儲存!J1153</f>
        <v>0</v>
      </c>
      <c r="R93" s="35"/>
      <c r="S93" s="38">
        <v>12</v>
      </c>
      <c r="T93" s="39">
        <f>資料儲存!D1273</f>
        <v>0</v>
      </c>
      <c r="U93" s="39">
        <f>資料儲存!E1273</f>
        <v>0</v>
      </c>
      <c r="V93" s="39">
        <f>資料儲存!F1273</f>
        <v>0</v>
      </c>
      <c r="W93" s="39">
        <f>資料儲存!G1273</f>
        <v>0</v>
      </c>
      <c r="X93" s="39">
        <f>資料儲存!H1273</f>
        <v>0</v>
      </c>
      <c r="Y93" s="39">
        <f>資料儲存!I1273</f>
        <v>0</v>
      </c>
      <c r="Z93" s="39">
        <f>資料儲存!J1273</f>
        <v>0</v>
      </c>
      <c r="AA93" s="35"/>
      <c r="AB93" s="38">
        <v>12</v>
      </c>
      <c r="AC93" s="39">
        <f>資料儲存!D1393</f>
        <v>0</v>
      </c>
      <c r="AD93" s="39">
        <f>資料儲存!E1393</f>
        <v>0</v>
      </c>
      <c r="AE93" s="39">
        <f>資料儲存!F1393</f>
        <v>0</v>
      </c>
      <c r="AF93" s="39">
        <f>資料儲存!G1393</f>
        <v>0</v>
      </c>
      <c r="AG93" s="39">
        <f>資料儲存!H1393</f>
        <v>0</v>
      </c>
      <c r="AH93" s="39">
        <f>資料儲存!I1393</f>
        <v>0</v>
      </c>
      <c r="AI93" s="39">
        <f>資料儲存!J1393</f>
        <v>0</v>
      </c>
      <c r="AJ93" s="13"/>
    </row>
    <row r="94" spans="1:36" ht="16" thickBot="1">
      <c r="A94" s="38">
        <v>13</v>
      </c>
      <c r="B94" s="39">
        <f>資料儲存!D1034</f>
        <v>0</v>
      </c>
      <c r="C94" s="39">
        <f>資料儲存!E1034</f>
        <v>0</v>
      </c>
      <c r="D94" s="39">
        <f>資料儲存!F1034</f>
        <v>0</v>
      </c>
      <c r="E94" s="39">
        <f>資料儲存!G1034</f>
        <v>0</v>
      </c>
      <c r="F94" s="39">
        <f>資料儲存!H1034</f>
        <v>0</v>
      </c>
      <c r="G94" s="39">
        <f>資料儲存!I1034</f>
        <v>0</v>
      </c>
      <c r="H94" s="39">
        <f>資料儲存!J1034</f>
        <v>0</v>
      </c>
      <c r="I94" s="35"/>
      <c r="J94" s="38">
        <v>13</v>
      </c>
      <c r="K94" s="39">
        <f>資料儲存!D1154</f>
        <v>0</v>
      </c>
      <c r="L94" s="39">
        <f>資料儲存!E1154</f>
        <v>0</v>
      </c>
      <c r="M94" s="39">
        <f>資料儲存!F1154</f>
        <v>0</v>
      </c>
      <c r="N94" s="39">
        <f>資料儲存!G1154</f>
        <v>0</v>
      </c>
      <c r="O94" s="39">
        <f>資料儲存!H1154</f>
        <v>0</v>
      </c>
      <c r="P94" s="39">
        <f>資料儲存!I1154</f>
        <v>0</v>
      </c>
      <c r="Q94" s="39">
        <f>資料儲存!J1154</f>
        <v>0</v>
      </c>
      <c r="R94" s="35"/>
      <c r="S94" s="38">
        <v>13</v>
      </c>
      <c r="T94" s="39">
        <f>資料儲存!D1274</f>
        <v>0</v>
      </c>
      <c r="U94" s="39">
        <f>資料儲存!E1274</f>
        <v>0</v>
      </c>
      <c r="V94" s="39">
        <f>資料儲存!F1274</f>
        <v>0</v>
      </c>
      <c r="W94" s="39">
        <f>資料儲存!G1274</f>
        <v>0</v>
      </c>
      <c r="X94" s="39">
        <f>資料儲存!H1274</f>
        <v>0</v>
      </c>
      <c r="Y94" s="39">
        <f>資料儲存!I1274</f>
        <v>0</v>
      </c>
      <c r="Z94" s="39">
        <f>資料儲存!J1274</f>
        <v>0</v>
      </c>
      <c r="AA94" s="35"/>
      <c r="AB94" s="38">
        <v>13</v>
      </c>
      <c r="AC94" s="39">
        <f>資料儲存!D1394</f>
        <v>0</v>
      </c>
      <c r="AD94" s="39">
        <f>資料儲存!E1394</f>
        <v>0</v>
      </c>
      <c r="AE94" s="39">
        <f>資料儲存!F1394</f>
        <v>0</v>
      </c>
      <c r="AF94" s="39">
        <f>資料儲存!G1394</f>
        <v>0</v>
      </c>
      <c r="AG94" s="39">
        <f>資料儲存!H1394</f>
        <v>0</v>
      </c>
      <c r="AH94" s="39">
        <f>資料儲存!I1394</f>
        <v>0</v>
      </c>
      <c r="AI94" s="39">
        <f>資料儲存!J1394</f>
        <v>0</v>
      </c>
      <c r="AJ94" s="13"/>
    </row>
    <row r="95" spans="1:36" ht="16" thickBot="1">
      <c r="A95" s="38">
        <v>14</v>
      </c>
      <c r="B95" s="39">
        <f>資料儲存!D1035</f>
        <v>0</v>
      </c>
      <c r="C95" s="39">
        <f>資料儲存!E1035</f>
        <v>0</v>
      </c>
      <c r="D95" s="39">
        <f>資料儲存!F1035</f>
        <v>0</v>
      </c>
      <c r="E95" s="39">
        <f>資料儲存!G1035</f>
        <v>0</v>
      </c>
      <c r="F95" s="39">
        <f>資料儲存!H1035</f>
        <v>0</v>
      </c>
      <c r="G95" s="39">
        <f>資料儲存!I1035</f>
        <v>0</v>
      </c>
      <c r="H95" s="39">
        <f>資料儲存!J1035</f>
        <v>0</v>
      </c>
      <c r="I95" s="35"/>
      <c r="J95" s="38">
        <v>14</v>
      </c>
      <c r="K95" s="39">
        <f>資料儲存!D1155</f>
        <v>0</v>
      </c>
      <c r="L95" s="39">
        <f>資料儲存!E1155</f>
        <v>0</v>
      </c>
      <c r="M95" s="39">
        <f>資料儲存!F1155</f>
        <v>0</v>
      </c>
      <c r="N95" s="39">
        <f>資料儲存!G1155</f>
        <v>0</v>
      </c>
      <c r="O95" s="39">
        <f>資料儲存!H1155</f>
        <v>0</v>
      </c>
      <c r="P95" s="39">
        <f>資料儲存!I1155</f>
        <v>0</v>
      </c>
      <c r="Q95" s="39">
        <f>資料儲存!J1155</f>
        <v>0</v>
      </c>
      <c r="R95" s="35"/>
      <c r="S95" s="38">
        <v>14</v>
      </c>
      <c r="T95" s="39">
        <f>資料儲存!D1275</f>
        <v>0</v>
      </c>
      <c r="U95" s="39">
        <f>資料儲存!E1275</f>
        <v>0</v>
      </c>
      <c r="V95" s="39">
        <f>資料儲存!F1275</f>
        <v>0</v>
      </c>
      <c r="W95" s="39">
        <f>資料儲存!G1275</f>
        <v>0</v>
      </c>
      <c r="X95" s="39">
        <f>資料儲存!H1275</f>
        <v>0</v>
      </c>
      <c r="Y95" s="39">
        <f>資料儲存!I1275</f>
        <v>0</v>
      </c>
      <c r="Z95" s="39">
        <f>資料儲存!J1275</f>
        <v>0</v>
      </c>
      <c r="AA95" s="35"/>
      <c r="AB95" s="38">
        <v>14</v>
      </c>
      <c r="AC95" s="39">
        <f>資料儲存!D1395</f>
        <v>0</v>
      </c>
      <c r="AD95" s="39">
        <f>資料儲存!E1395</f>
        <v>0</v>
      </c>
      <c r="AE95" s="39">
        <f>資料儲存!F1395</f>
        <v>0</v>
      </c>
      <c r="AF95" s="39">
        <f>資料儲存!G1395</f>
        <v>0</v>
      </c>
      <c r="AG95" s="39">
        <f>資料儲存!H1395</f>
        <v>0</v>
      </c>
      <c r="AH95" s="39">
        <f>資料儲存!I1395</f>
        <v>0</v>
      </c>
      <c r="AI95" s="39">
        <f>資料儲存!J1395</f>
        <v>0</v>
      </c>
      <c r="AJ95" s="13"/>
    </row>
    <row r="96" spans="1:36" ht="16" thickBot="1">
      <c r="A96" s="38">
        <v>15</v>
      </c>
      <c r="B96" s="39">
        <f>資料儲存!D1036</f>
        <v>0</v>
      </c>
      <c r="C96" s="39">
        <f>資料儲存!E1036</f>
        <v>0</v>
      </c>
      <c r="D96" s="39">
        <f>資料儲存!F1036</f>
        <v>0</v>
      </c>
      <c r="E96" s="39">
        <f>資料儲存!G1036</f>
        <v>0</v>
      </c>
      <c r="F96" s="39">
        <f>資料儲存!H1036</f>
        <v>0</v>
      </c>
      <c r="G96" s="39">
        <f>資料儲存!I1036</f>
        <v>0</v>
      </c>
      <c r="H96" s="39">
        <f>資料儲存!J1036</f>
        <v>0</v>
      </c>
      <c r="I96" s="35"/>
      <c r="J96" s="38">
        <v>15</v>
      </c>
      <c r="K96" s="39">
        <f>資料儲存!D1156</f>
        <v>0</v>
      </c>
      <c r="L96" s="39">
        <f>資料儲存!E1156</f>
        <v>0</v>
      </c>
      <c r="M96" s="39">
        <f>資料儲存!F1156</f>
        <v>0</v>
      </c>
      <c r="N96" s="39">
        <f>資料儲存!G1156</f>
        <v>0</v>
      </c>
      <c r="O96" s="39">
        <f>資料儲存!H1156</f>
        <v>0</v>
      </c>
      <c r="P96" s="39">
        <f>資料儲存!I1156</f>
        <v>0</v>
      </c>
      <c r="Q96" s="39">
        <f>資料儲存!J1156</f>
        <v>0</v>
      </c>
      <c r="R96" s="35"/>
      <c r="S96" s="38">
        <v>15</v>
      </c>
      <c r="T96" s="39">
        <f>資料儲存!D1276</f>
        <v>0</v>
      </c>
      <c r="U96" s="39">
        <f>資料儲存!E1276</f>
        <v>0</v>
      </c>
      <c r="V96" s="39">
        <f>資料儲存!F1276</f>
        <v>0</v>
      </c>
      <c r="W96" s="39">
        <f>資料儲存!G1276</f>
        <v>0</v>
      </c>
      <c r="X96" s="39">
        <f>資料儲存!H1276</f>
        <v>0</v>
      </c>
      <c r="Y96" s="39">
        <f>資料儲存!I1276</f>
        <v>0</v>
      </c>
      <c r="Z96" s="39">
        <f>資料儲存!J1276</f>
        <v>0</v>
      </c>
      <c r="AA96" s="35"/>
      <c r="AB96" s="38">
        <v>15</v>
      </c>
      <c r="AC96" s="39">
        <f>資料儲存!D1396</f>
        <v>0</v>
      </c>
      <c r="AD96" s="39">
        <f>資料儲存!E1396</f>
        <v>0</v>
      </c>
      <c r="AE96" s="39">
        <f>資料儲存!F1396</f>
        <v>0</v>
      </c>
      <c r="AF96" s="39">
        <f>資料儲存!G1396</f>
        <v>0</v>
      </c>
      <c r="AG96" s="39">
        <f>資料儲存!H1396</f>
        <v>0</v>
      </c>
      <c r="AH96" s="39">
        <f>資料儲存!I1396</f>
        <v>0</v>
      </c>
      <c r="AI96" s="39">
        <f>資料儲存!J1396</f>
        <v>0</v>
      </c>
      <c r="AJ96" s="13"/>
    </row>
    <row r="97" spans="1:36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13"/>
    </row>
    <row r="98" spans="1:36" ht="18.5" thickBot="1">
      <c r="A98" s="250" t="s">
        <v>96</v>
      </c>
      <c r="B98" s="251"/>
      <c r="C98" s="251"/>
      <c r="D98" s="251"/>
      <c r="E98" s="251"/>
      <c r="F98" s="251"/>
      <c r="G98" s="251"/>
      <c r="H98" s="252"/>
      <c r="I98" s="13"/>
      <c r="J98" s="250" t="s">
        <v>96</v>
      </c>
      <c r="K98" s="251"/>
      <c r="L98" s="251"/>
      <c r="M98" s="251"/>
      <c r="N98" s="251"/>
      <c r="O98" s="251"/>
      <c r="P98" s="251"/>
      <c r="Q98" s="252"/>
      <c r="R98" s="13"/>
      <c r="S98" s="250" t="s">
        <v>96</v>
      </c>
      <c r="T98" s="251"/>
      <c r="U98" s="251"/>
      <c r="V98" s="251"/>
      <c r="W98" s="251"/>
      <c r="X98" s="251"/>
      <c r="Y98" s="251"/>
      <c r="Z98" s="252"/>
      <c r="AA98" s="13"/>
      <c r="AB98" s="250" t="s">
        <v>96</v>
      </c>
      <c r="AC98" s="251"/>
      <c r="AD98" s="251"/>
      <c r="AE98" s="251"/>
      <c r="AF98" s="251"/>
      <c r="AG98" s="251"/>
      <c r="AH98" s="251"/>
      <c r="AI98" s="252"/>
      <c r="AJ98" s="13"/>
    </row>
    <row r="99" spans="1:36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</row>
    <row r="100" spans="1:36" ht="16" thickBot="1">
      <c r="A100" s="46">
        <v>0.51041666666666663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>
        <v>0.51041666666666663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>
        <v>0.51041666666666663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>
        <v>0.51041666666666663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</row>
    <row r="101" spans="1:36" ht="16" thickBot="1">
      <c r="A101" s="48">
        <v>16</v>
      </c>
      <c r="B101" s="49">
        <f>資料儲存!D1037</f>
        <v>0</v>
      </c>
      <c r="C101" s="49">
        <f>資料儲存!E1037</f>
        <v>0</v>
      </c>
      <c r="D101" s="49">
        <f>資料儲存!F1037</f>
        <v>0</v>
      </c>
      <c r="E101" s="49">
        <f>資料儲存!G1037</f>
        <v>0</v>
      </c>
      <c r="F101" s="49">
        <f>資料儲存!H1037</f>
        <v>0</v>
      </c>
      <c r="G101" s="49">
        <f>資料儲存!I1037</f>
        <v>0</v>
      </c>
      <c r="H101" s="49">
        <f>資料儲存!J1037</f>
        <v>0</v>
      </c>
      <c r="I101" s="45"/>
      <c r="J101" s="48">
        <v>16</v>
      </c>
      <c r="K101" s="49">
        <f>資料儲存!D1157</f>
        <v>0</v>
      </c>
      <c r="L101" s="49">
        <f>資料儲存!E1157</f>
        <v>0</v>
      </c>
      <c r="M101" s="49">
        <f>資料儲存!F1157</f>
        <v>0</v>
      </c>
      <c r="N101" s="49">
        <f>資料儲存!G1157</f>
        <v>0</v>
      </c>
      <c r="O101" s="49">
        <f>資料儲存!H1157</f>
        <v>0</v>
      </c>
      <c r="P101" s="49">
        <f>資料儲存!I1157</f>
        <v>0</v>
      </c>
      <c r="Q101" s="49">
        <f>資料儲存!J1157</f>
        <v>0</v>
      </c>
      <c r="R101" s="45"/>
      <c r="S101" s="48">
        <v>16</v>
      </c>
      <c r="T101" s="49">
        <f>資料儲存!D1277</f>
        <v>0</v>
      </c>
      <c r="U101" s="49">
        <f>資料儲存!E1277</f>
        <v>0</v>
      </c>
      <c r="V101" s="49">
        <f>資料儲存!F1277</f>
        <v>0</v>
      </c>
      <c r="W101" s="49">
        <f>資料儲存!G1277</f>
        <v>0</v>
      </c>
      <c r="X101" s="49">
        <f>資料儲存!H1277</f>
        <v>0</v>
      </c>
      <c r="Y101" s="49">
        <f>資料儲存!I1277</f>
        <v>0</v>
      </c>
      <c r="Z101" s="49">
        <f>資料儲存!J1277</f>
        <v>0</v>
      </c>
      <c r="AA101" s="45"/>
      <c r="AB101" s="48">
        <v>16</v>
      </c>
      <c r="AC101" s="49">
        <f>資料儲存!D1397</f>
        <v>0</v>
      </c>
      <c r="AD101" s="49">
        <f>資料儲存!E1397</f>
        <v>0</v>
      </c>
      <c r="AE101" s="49">
        <f>資料儲存!F1397</f>
        <v>0</v>
      </c>
      <c r="AF101" s="49">
        <f>資料儲存!G1397</f>
        <v>0</v>
      </c>
      <c r="AG101" s="49">
        <f>資料儲存!H1397</f>
        <v>0</v>
      </c>
      <c r="AH101" s="49">
        <f>資料儲存!I1397</f>
        <v>0</v>
      </c>
      <c r="AI101" s="49">
        <f>資料儲存!J1397</f>
        <v>0</v>
      </c>
      <c r="AJ101" s="13"/>
    </row>
    <row r="102" spans="1:36" ht="16" thickBot="1">
      <c r="A102" s="48">
        <v>17</v>
      </c>
      <c r="B102" s="49">
        <f>資料儲存!D1038</f>
        <v>0</v>
      </c>
      <c r="C102" s="49">
        <f>資料儲存!E1038</f>
        <v>0</v>
      </c>
      <c r="D102" s="49">
        <f>資料儲存!F1038</f>
        <v>0</v>
      </c>
      <c r="E102" s="49">
        <f>資料儲存!G1038</f>
        <v>0</v>
      </c>
      <c r="F102" s="49">
        <f>資料儲存!H1038</f>
        <v>0</v>
      </c>
      <c r="G102" s="49">
        <f>資料儲存!I1038</f>
        <v>0</v>
      </c>
      <c r="H102" s="49">
        <f>資料儲存!J1038</f>
        <v>0</v>
      </c>
      <c r="I102" s="45"/>
      <c r="J102" s="48">
        <v>17</v>
      </c>
      <c r="K102" s="49">
        <f>資料儲存!D1158</f>
        <v>0</v>
      </c>
      <c r="L102" s="49">
        <f>資料儲存!E1158</f>
        <v>0</v>
      </c>
      <c r="M102" s="49">
        <f>資料儲存!F1158</f>
        <v>0</v>
      </c>
      <c r="N102" s="49">
        <f>資料儲存!G1158</f>
        <v>0</v>
      </c>
      <c r="O102" s="49">
        <f>資料儲存!H1158</f>
        <v>0</v>
      </c>
      <c r="P102" s="49">
        <f>資料儲存!I1158</f>
        <v>0</v>
      </c>
      <c r="Q102" s="49">
        <f>資料儲存!J1158</f>
        <v>0</v>
      </c>
      <c r="R102" s="45"/>
      <c r="S102" s="48">
        <v>17</v>
      </c>
      <c r="T102" s="49">
        <f>資料儲存!D1278</f>
        <v>0</v>
      </c>
      <c r="U102" s="49">
        <f>資料儲存!E1278</f>
        <v>0</v>
      </c>
      <c r="V102" s="49">
        <f>資料儲存!F1278</f>
        <v>0</v>
      </c>
      <c r="W102" s="49">
        <f>資料儲存!G1278</f>
        <v>0</v>
      </c>
      <c r="X102" s="49">
        <f>資料儲存!H1278</f>
        <v>0</v>
      </c>
      <c r="Y102" s="49">
        <f>資料儲存!I1278</f>
        <v>0</v>
      </c>
      <c r="Z102" s="49">
        <f>資料儲存!J1278</f>
        <v>0</v>
      </c>
      <c r="AA102" s="45"/>
      <c r="AB102" s="48">
        <v>17</v>
      </c>
      <c r="AC102" s="49">
        <f>資料儲存!D1398</f>
        <v>0</v>
      </c>
      <c r="AD102" s="49">
        <f>資料儲存!E1398</f>
        <v>0</v>
      </c>
      <c r="AE102" s="49">
        <f>資料儲存!F1398</f>
        <v>0</v>
      </c>
      <c r="AF102" s="49">
        <f>資料儲存!G1398</f>
        <v>0</v>
      </c>
      <c r="AG102" s="49">
        <f>資料儲存!H1398</f>
        <v>0</v>
      </c>
      <c r="AH102" s="49">
        <f>資料儲存!I1398</f>
        <v>0</v>
      </c>
      <c r="AI102" s="49">
        <f>資料儲存!J1398</f>
        <v>0</v>
      </c>
      <c r="AJ102" s="13"/>
    </row>
    <row r="103" spans="1:36" ht="16" thickBot="1">
      <c r="A103" s="48">
        <v>18</v>
      </c>
      <c r="B103" s="49">
        <f>資料儲存!D1039</f>
        <v>0</v>
      </c>
      <c r="C103" s="49">
        <f>資料儲存!E1039</f>
        <v>0</v>
      </c>
      <c r="D103" s="49">
        <f>資料儲存!F1039</f>
        <v>0</v>
      </c>
      <c r="E103" s="49">
        <f>資料儲存!G1039</f>
        <v>0</v>
      </c>
      <c r="F103" s="49">
        <f>資料儲存!H1039</f>
        <v>0</v>
      </c>
      <c r="G103" s="49">
        <f>資料儲存!I1039</f>
        <v>0</v>
      </c>
      <c r="H103" s="49">
        <f>資料儲存!J1039</f>
        <v>0</v>
      </c>
      <c r="I103" s="45"/>
      <c r="J103" s="48">
        <v>18</v>
      </c>
      <c r="K103" s="49">
        <f>資料儲存!D1159</f>
        <v>0</v>
      </c>
      <c r="L103" s="49">
        <f>資料儲存!E1159</f>
        <v>0</v>
      </c>
      <c r="M103" s="49">
        <f>資料儲存!F1159</f>
        <v>0</v>
      </c>
      <c r="N103" s="49">
        <f>資料儲存!G1159</f>
        <v>0</v>
      </c>
      <c r="O103" s="49">
        <f>資料儲存!H1159</f>
        <v>0</v>
      </c>
      <c r="P103" s="49">
        <f>資料儲存!I1159</f>
        <v>0</v>
      </c>
      <c r="Q103" s="49">
        <f>資料儲存!J1159</f>
        <v>0</v>
      </c>
      <c r="R103" s="45"/>
      <c r="S103" s="48">
        <v>18</v>
      </c>
      <c r="T103" s="49">
        <f>資料儲存!D1279</f>
        <v>0</v>
      </c>
      <c r="U103" s="49">
        <f>資料儲存!E1279</f>
        <v>0</v>
      </c>
      <c r="V103" s="49">
        <f>資料儲存!F1279</f>
        <v>0</v>
      </c>
      <c r="W103" s="49">
        <f>資料儲存!G1279</f>
        <v>0</v>
      </c>
      <c r="X103" s="49">
        <f>資料儲存!H1279</f>
        <v>0</v>
      </c>
      <c r="Y103" s="49">
        <f>資料儲存!I1279</f>
        <v>0</v>
      </c>
      <c r="Z103" s="49">
        <f>資料儲存!J1279</f>
        <v>0</v>
      </c>
      <c r="AA103" s="45"/>
      <c r="AB103" s="48">
        <v>18</v>
      </c>
      <c r="AC103" s="49">
        <f>資料儲存!D1399</f>
        <v>0</v>
      </c>
      <c r="AD103" s="49">
        <f>資料儲存!E1399</f>
        <v>0</v>
      </c>
      <c r="AE103" s="49">
        <f>資料儲存!F1399</f>
        <v>0</v>
      </c>
      <c r="AF103" s="49">
        <f>資料儲存!G1399</f>
        <v>0</v>
      </c>
      <c r="AG103" s="49">
        <f>資料儲存!H1399</f>
        <v>0</v>
      </c>
      <c r="AH103" s="49">
        <f>資料儲存!I1399</f>
        <v>0</v>
      </c>
      <c r="AI103" s="49">
        <f>資料儲存!J1399</f>
        <v>0</v>
      </c>
      <c r="AJ103" s="13"/>
    </row>
    <row r="104" spans="1:36" ht="16" thickBot="1">
      <c r="A104" s="48">
        <v>19</v>
      </c>
      <c r="B104" s="49">
        <f>資料儲存!D1040</f>
        <v>0</v>
      </c>
      <c r="C104" s="49">
        <f>資料儲存!E1040</f>
        <v>0</v>
      </c>
      <c r="D104" s="49">
        <f>資料儲存!F1040</f>
        <v>0</v>
      </c>
      <c r="E104" s="49">
        <f>資料儲存!G1040</f>
        <v>0</v>
      </c>
      <c r="F104" s="49">
        <f>資料儲存!H1040</f>
        <v>0</v>
      </c>
      <c r="G104" s="49">
        <f>資料儲存!I1040</f>
        <v>0</v>
      </c>
      <c r="H104" s="49">
        <f>資料儲存!J1040</f>
        <v>0</v>
      </c>
      <c r="I104" s="45"/>
      <c r="J104" s="48">
        <v>19</v>
      </c>
      <c r="K104" s="49">
        <f>資料儲存!D1160</f>
        <v>0</v>
      </c>
      <c r="L104" s="49">
        <f>資料儲存!E1160</f>
        <v>0</v>
      </c>
      <c r="M104" s="49">
        <f>資料儲存!F1160</f>
        <v>0</v>
      </c>
      <c r="N104" s="49">
        <f>資料儲存!G1160</f>
        <v>0</v>
      </c>
      <c r="O104" s="49">
        <f>資料儲存!H1160</f>
        <v>0</v>
      </c>
      <c r="P104" s="49">
        <f>資料儲存!I1160</f>
        <v>0</v>
      </c>
      <c r="Q104" s="49">
        <f>資料儲存!J1160</f>
        <v>0</v>
      </c>
      <c r="R104" s="45"/>
      <c r="S104" s="48">
        <v>19</v>
      </c>
      <c r="T104" s="49">
        <f>資料儲存!D1280</f>
        <v>0</v>
      </c>
      <c r="U104" s="49">
        <f>資料儲存!E1280</f>
        <v>0</v>
      </c>
      <c r="V104" s="49">
        <f>資料儲存!F1280</f>
        <v>0</v>
      </c>
      <c r="W104" s="49">
        <f>資料儲存!G1280</f>
        <v>0</v>
      </c>
      <c r="X104" s="49">
        <f>資料儲存!H1280</f>
        <v>0</v>
      </c>
      <c r="Y104" s="49">
        <f>資料儲存!I1280</f>
        <v>0</v>
      </c>
      <c r="Z104" s="49">
        <f>資料儲存!J1280</f>
        <v>0</v>
      </c>
      <c r="AA104" s="45"/>
      <c r="AB104" s="48">
        <v>19</v>
      </c>
      <c r="AC104" s="49">
        <f>資料儲存!D1400</f>
        <v>0</v>
      </c>
      <c r="AD104" s="49">
        <f>資料儲存!E1400</f>
        <v>0</v>
      </c>
      <c r="AE104" s="49">
        <f>資料儲存!F1400</f>
        <v>0</v>
      </c>
      <c r="AF104" s="49">
        <f>資料儲存!G1400</f>
        <v>0</v>
      </c>
      <c r="AG104" s="49">
        <f>資料儲存!H1400</f>
        <v>0</v>
      </c>
      <c r="AH104" s="49">
        <f>資料儲存!I1400</f>
        <v>0</v>
      </c>
      <c r="AI104" s="49">
        <f>資料儲存!J1400</f>
        <v>0</v>
      </c>
      <c r="AJ104" s="13"/>
    </row>
    <row r="105" spans="1:36" ht="16" thickBot="1">
      <c r="A105" s="48">
        <v>20</v>
      </c>
      <c r="B105" s="49">
        <f>資料儲存!D1041</f>
        <v>0</v>
      </c>
      <c r="C105" s="49">
        <f>資料儲存!E1041</f>
        <v>0</v>
      </c>
      <c r="D105" s="49">
        <f>資料儲存!F1041</f>
        <v>0</v>
      </c>
      <c r="E105" s="49">
        <f>資料儲存!G1041</f>
        <v>0</v>
      </c>
      <c r="F105" s="49">
        <f>資料儲存!H1041</f>
        <v>0</v>
      </c>
      <c r="G105" s="49">
        <f>資料儲存!I1041</f>
        <v>0</v>
      </c>
      <c r="H105" s="49">
        <f>資料儲存!J1041</f>
        <v>0</v>
      </c>
      <c r="I105" s="45"/>
      <c r="J105" s="48">
        <v>20</v>
      </c>
      <c r="K105" s="49">
        <f>資料儲存!D1161</f>
        <v>0</v>
      </c>
      <c r="L105" s="49">
        <f>資料儲存!E1161</f>
        <v>0</v>
      </c>
      <c r="M105" s="49">
        <f>資料儲存!F1161</f>
        <v>0</v>
      </c>
      <c r="N105" s="49">
        <f>資料儲存!G1161</f>
        <v>0</v>
      </c>
      <c r="O105" s="49">
        <f>資料儲存!H1161</f>
        <v>0</v>
      </c>
      <c r="P105" s="49">
        <f>資料儲存!I1161</f>
        <v>0</v>
      </c>
      <c r="Q105" s="49">
        <f>資料儲存!J1161</f>
        <v>0</v>
      </c>
      <c r="R105" s="45"/>
      <c r="S105" s="48">
        <v>20</v>
      </c>
      <c r="T105" s="49">
        <f>資料儲存!D1281</f>
        <v>0</v>
      </c>
      <c r="U105" s="49">
        <f>資料儲存!E1281</f>
        <v>0</v>
      </c>
      <c r="V105" s="49">
        <f>資料儲存!F1281</f>
        <v>0</v>
      </c>
      <c r="W105" s="49">
        <f>資料儲存!G1281</f>
        <v>0</v>
      </c>
      <c r="X105" s="49">
        <f>資料儲存!H1281</f>
        <v>0</v>
      </c>
      <c r="Y105" s="49">
        <f>資料儲存!I1281</f>
        <v>0</v>
      </c>
      <c r="Z105" s="49">
        <f>資料儲存!J1281</f>
        <v>0</v>
      </c>
      <c r="AA105" s="45"/>
      <c r="AB105" s="48">
        <v>20</v>
      </c>
      <c r="AC105" s="49">
        <f>資料儲存!D1401</f>
        <v>0</v>
      </c>
      <c r="AD105" s="49">
        <f>資料儲存!E1401</f>
        <v>0</v>
      </c>
      <c r="AE105" s="49">
        <f>資料儲存!F1401</f>
        <v>0</v>
      </c>
      <c r="AF105" s="49">
        <f>資料儲存!G1401</f>
        <v>0</v>
      </c>
      <c r="AG105" s="49">
        <f>資料儲存!H1401</f>
        <v>0</v>
      </c>
      <c r="AH105" s="49">
        <f>資料儲存!I1401</f>
        <v>0</v>
      </c>
      <c r="AI105" s="49">
        <f>資料儲存!J1401</f>
        <v>0</v>
      </c>
      <c r="AJ105" s="13"/>
    </row>
    <row r="106" spans="1:36" ht="16" thickBot="1">
      <c r="A106" s="48">
        <v>21</v>
      </c>
      <c r="B106" s="49">
        <f>資料儲存!D1042</f>
        <v>0</v>
      </c>
      <c r="C106" s="49">
        <f>資料儲存!E1042</f>
        <v>0</v>
      </c>
      <c r="D106" s="49">
        <f>資料儲存!F1042</f>
        <v>0</v>
      </c>
      <c r="E106" s="49">
        <f>資料儲存!G1042</f>
        <v>0</v>
      </c>
      <c r="F106" s="49">
        <f>資料儲存!H1042</f>
        <v>0</v>
      </c>
      <c r="G106" s="49">
        <f>資料儲存!I1042</f>
        <v>0</v>
      </c>
      <c r="H106" s="49">
        <f>資料儲存!J1042</f>
        <v>0</v>
      </c>
      <c r="I106" s="45"/>
      <c r="J106" s="48">
        <v>21</v>
      </c>
      <c r="K106" s="49">
        <f>資料儲存!D1162</f>
        <v>0</v>
      </c>
      <c r="L106" s="49">
        <f>資料儲存!E1162</f>
        <v>0</v>
      </c>
      <c r="M106" s="49">
        <f>資料儲存!F1162</f>
        <v>0</v>
      </c>
      <c r="N106" s="49">
        <f>資料儲存!G1162</f>
        <v>0</v>
      </c>
      <c r="O106" s="49">
        <f>資料儲存!H1162</f>
        <v>0</v>
      </c>
      <c r="P106" s="49">
        <f>資料儲存!I1162</f>
        <v>0</v>
      </c>
      <c r="Q106" s="49">
        <f>資料儲存!J1162</f>
        <v>0</v>
      </c>
      <c r="R106" s="45"/>
      <c r="S106" s="48">
        <v>21</v>
      </c>
      <c r="T106" s="49">
        <f>資料儲存!D1282</f>
        <v>0</v>
      </c>
      <c r="U106" s="49">
        <f>資料儲存!E1282</f>
        <v>0</v>
      </c>
      <c r="V106" s="49">
        <f>資料儲存!F1282</f>
        <v>0</v>
      </c>
      <c r="W106" s="49">
        <f>資料儲存!G1282</f>
        <v>0</v>
      </c>
      <c r="X106" s="49">
        <f>資料儲存!H1282</f>
        <v>0</v>
      </c>
      <c r="Y106" s="49">
        <f>資料儲存!I1282</f>
        <v>0</v>
      </c>
      <c r="Z106" s="49">
        <f>資料儲存!J1282</f>
        <v>0</v>
      </c>
      <c r="AA106" s="45"/>
      <c r="AB106" s="48">
        <v>21</v>
      </c>
      <c r="AC106" s="49">
        <f>資料儲存!D1402</f>
        <v>0</v>
      </c>
      <c r="AD106" s="49">
        <f>資料儲存!E1402</f>
        <v>0</v>
      </c>
      <c r="AE106" s="49">
        <f>資料儲存!F1402</f>
        <v>0</v>
      </c>
      <c r="AF106" s="49">
        <f>資料儲存!G1402</f>
        <v>0</v>
      </c>
      <c r="AG106" s="49">
        <f>資料儲存!H1402</f>
        <v>0</v>
      </c>
      <c r="AH106" s="49">
        <f>資料儲存!I1402</f>
        <v>0</v>
      </c>
      <c r="AI106" s="49">
        <f>資料儲存!J1402</f>
        <v>0</v>
      </c>
      <c r="AJ106" s="13"/>
    </row>
    <row r="107" spans="1:36" ht="16" thickBot="1">
      <c r="A107" s="48">
        <v>22</v>
      </c>
      <c r="B107" s="49">
        <f>資料儲存!D1043</f>
        <v>0</v>
      </c>
      <c r="C107" s="49">
        <f>資料儲存!E1043</f>
        <v>0</v>
      </c>
      <c r="D107" s="49">
        <f>資料儲存!F1043</f>
        <v>0</v>
      </c>
      <c r="E107" s="49">
        <f>資料儲存!G1043</f>
        <v>0</v>
      </c>
      <c r="F107" s="49">
        <f>資料儲存!H1043</f>
        <v>0</v>
      </c>
      <c r="G107" s="49">
        <f>資料儲存!I1043</f>
        <v>0</v>
      </c>
      <c r="H107" s="49">
        <f>資料儲存!J1043</f>
        <v>0</v>
      </c>
      <c r="I107" s="45"/>
      <c r="J107" s="48">
        <v>22</v>
      </c>
      <c r="K107" s="49">
        <f>資料儲存!D1163</f>
        <v>0</v>
      </c>
      <c r="L107" s="49">
        <f>資料儲存!E1163</f>
        <v>0</v>
      </c>
      <c r="M107" s="49">
        <f>資料儲存!F1163</f>
        <v>0</v>
      </c>
      <c r="N107" s="49">
        <f>資料儲存!G1163</f>
        <v>0</v>
      </c>
      <c r="O107" s="49">
        <f>資料儲存!H1163</f>
        <v>0</v>
      </c>
      <c r="P107" s="49">
        <f>資料儲存!I1163</f>
        <v>0</v>
      </c>
      <c r="Q107" s="49">
        <f>資料儲存!J1163</f>
        <v>0</v>
      </c>
      <c r="R107" s="45"/>
      <c r="S107" s="48">
        <v>22</v>
      </c>
      <c r="T107" s="49">
        <f>資料儲存!D1283</f>
        <v>0</v>
      </c>
      <c r="U107" s="49">
        <f>資料儲存!E1283</f>
        <v>0</v>
      </c>
      <c r="V107" s="49">
        <f>資料儲存!F1283</f>
        <v>0</v>
      </c>
      <c r="W107" s="49">
        <f>資料儲存!G1283</f>
        <v>0</v>
      </c>
      <c r="X107" s="49">
        <f>資料儲存!H1283</f>
        <v>0</v>
      </c>
      <c r="Y107" s="49">
        <f>資料儲存!I1283</f>
        <v>0</v>
      </c>
      <c r="Z107" s="49">
        <f>資料儲存!J1283</f>
        <v>0</v>
      </c>
      <c r="AA107" s="45"/>
      <c r="AB107" s="48">
        <v>22</v>
      </c>
      <c r="AC107" s="49">
        <f>資料儲存!D1403</f>
        <v>0</v>
      </c>
      <c r="AD107" s="49">
        <f>資料儲存!E1403</f>
        <v>0</v>
      </c>
      <c r="AE107" s="49">
        <f>資料儲存!F1403</f>
        <v>0</v>
      </c>
      <c r="AF107" s="49">
        <f>資料儲存!G1403</f>
        <v>0</v>
      </c>
      <c r="AG107" s="49">
        <f>資料儲存!H1403</f>
        <v>0</v>
      </c>
      <c r="AH107" s="49">
        <f>資料儲存!I1403</f>
        <v>0</v>
      </c>
      <c r="AI107" s="49">
        <f>資料儲存!J1403</f>
        <v>0</v>
      </c>
      <c r="AJ107" s="13"/>
    </row>
    <row r="108" spans="1:36" ht="16" thickBot="1">
      <c r="A108" s="48">
        <v>23</v>
      </c>
      <c r="B108" s="49">
        <f>資料儲存!D1044</f>
        <v>0</v>
      </c>
      <c r="C108" s="49">
        <f>資料儲存!E1044</f>
        <v>0</v>
      </c>
      <c r="D108" s="49">
        <f>資料儲存!F1044</f>
        <v>0</v>
      </c>
      <c r="E108" s="49">
        <f>資料儲存!G1044</f>
        <v>0</v>
      </c>
      <c r="F108" s="49">
        <f>資料儲存!H1044</f>
        <v>0</v>
      </c>
      <c r="G108" s="49">
        <f>資料儲存!I1044</f>
        <v>0</v>
      </c>
      <c r="H108" s="49">
        <f>資料儲存!J1044</f>
        <v>0</v>
      </c>
      <c r="I108" s="45"/>
      <c r="J108" s="48">
        <v>23</v>
      </c>
      <c r="K108" s="49">
        <f>資料儲存!D1164</f>
        <v>0</v>
      </c>
      <c r="L108" s="49">
        <f>資料儲存!E1164</f>
        <v>0</v>
      </c>
      <c r="M108" s="49">
        <f>資料儲存!F1164</f>
        <v>0</v>
      </c>
      <c r="N108" s="49">
        <f>資料儲存!G1164</f>
        <v>0</v>
      </c>
      <c r="O108" s="49">
        <f>資料儲存!H1164</f>
        <v>0</v>
      </c>
      <c r="P108" s="49">
        <f>資料儲存!I1164</f>
        <v>0</v>
      </c>
      <c r="Q108" s="49">
        <f>資料儲存!J1164</f>
        <v>0</v>
      </c>
      <c r="R108" s="45"/>
      <c r="S108" s="48">
        <v>23</v>
      </c>
      <c r="T108" s="49">
        <f>資料儲存!D1284</f>
        <v>0</v>
      </c>
      <c r="U108" s="49">
        <f>資料儲存!E1284</f>
        <v>0</v>
      </c>
      <c r="V108" s="49">
        <f>資料儲存!F1284</f>
        <v>0</v>
      </c>
      <c r="W108" s="49">
        <f>資料儲存!G1284</f>
        <v>0</v>
      </c>
      <c r="X108" s="49">
        <f>資料儲存!H1284</f>
        <v>0</v>
      </c>
      <c r="Y108" s="49">
        <f>資料儲存!I1284</f>
        <v>0</v>
      </c>
      <c r="Z108" s="49">
        <f>資料儲存!J1284</f>
        <v>0</v>
      </c>
      <c r="AA108" s="45"/>
      <c r="AB108" s="48">
        <v>23</v>
      </c>
      <c r="AC108" s="49">
        <f>資料儲存!D1404</f>
        <v>0</v>
      </c>
      <c r="AD108" s="49">
        <f>資料儲存!E1404</f>
        <v>0</v>
      </c>
      <c r="AE108" s="49">
        <f>資料儲存!F1404</f>
        <v>0</v>
      </c>
      <c r="AF108" s="49">
        <f>資料儲存!G1404</f>
        <v>0</v>
      </c>
      <c r="AG108" s="49">
        <f>資料儲存!H1404</f>
        <v>0</v>
      </c>
      <c r="AH108" s="49">
        <f>資料儲存!I1404</f>
        <v>0</v>
      </c>
      <c r="AI108" s="49">
        <f>資料儲存!J1404</f>
        <v>0</v>
      </c>
      <c r="AJ108" s="13"/>
    </row>
    <row r="109" spans="1:36" ht="16" thickBot="1">
      <c r="A109" s="48">
        <v>24</v>
      </c>
      <c r="B109" s="49">
        <f>資料儲存!D1045</f>
        <v>0</v>
      </c>
      <c r="C109" s="49">
        <f>資料儲存!E1045</f>
        <v>0</v>
      </c>
      <c r="D109" s="49">
        <f>資料儲存!F1045</f>
        <v>0</v>
      </c>
      <c r="E109" s="49">
        <f>資料儲存!G1045</f>
        <v>0</v>
      </c>
      <c r="F109" s="49">
        <f>資料儲存!H1045</f>
        <v>0</v>
      </c>
      <c r="G109" s="49">
        <f>資料儲存!I1045</f>
        <v>0</v>
      </c>
      <c r="H109" s="49">
        <f>資料儲存!J1045</f>
        <v>0</v>
      </c>
      <c r="I109" s="45"/>
      <c r="J109" s="48">
        <v>24</v>
      </c>
      <c r="K109" s="49">
        <f>資料儲存!D1165</f>
        <v>0</v>
      </c>
      <c r="L109" s="49">
        <f>資料儲存!E1165</f>
        <v>0</v>
      </c>
      <c r="M109" s="49">
        <f>資料儲存!F1165</f>
        <v>0</v>
      </c>
      <c r="N109" s="49">
        <f>資料儲存!G1165</f>
        <v>0</v>
      </c>
      <c r="O109" s="49">
        <f>資料儲存!H1165</f>
        <v>0</v>
      </c>
      <c r="P109" s="49">
        <f>資料儲存!I1165</f>
        <v>0</v>
      </c>
      <c r="Q109" s="49">
        <f>資料儲存!J1165</f>
        <v>0</v>
      </c>
      <c r="R109" s="45"/>
      <c r="S109" s="48">
        <v>24</v>
      </c>
      <c r="T109" s="49">
        <f>資料儲存!D1285</f>
        <v>0</v>
      </c>
      <c r="U109" s="49">
        <f>資料儲存!E1285</f>
        <v>0</v>
      </c>
      <c r="V109" s="49">
        <f>資料儲存!F1285</f>
        <v>0</v>
      </c>
      <c r="W109" s="49">
        <f>資料儲存!G1285</f>
        <v>0</v>
      </c>
      <c r="X109" s="49">
        <f>資料儲存!H1285</f>
        <v>0</v>
      </c>
      <c r="Y109" s="49">
        <f>資料儲存!I1285</f>
        <v>0</v>
      </c>
      <c r="Z109" s="49">
        <f>資料儲存!J1285</f>
        <v>0</v>
      </c>
      <c r="AA109" s="45"/>
      <c r="AB109" s="48">
        <v>24</v>
      </c>
      <c r="AC109" s="49">
        <f>資料儲存!D1405</f>
        <v>0</v>
      </c>
      <c r="AD109" s="49">
        <f>資料儲存!E1405</f>
        <v>0</v>
      </c>
      <c r="AE109" s="49">
        <f>資料儲存!F1405</f>
        <v>0</v>
      </c>
      <c r="AF109" s="49">
        <f>資料儲存!G1405</f>
        <v>0</v>
      </c>
      <c r="AG109" s="49">
        <f>資料儲存!H1405</f>
        <v>0</v>
      </c>
      <c r="AH109" s="49">
        <f>資料儲存!I1405</f>
        <v>0</v>
      </c>
      <c r="AI109" s="49">
        <f>資料儲存!J1405</f>
        <v>0</v>
      </c>
      <c r="AJ109" s="13"/>
    </row>
    <row r="110" spans="1:36" ht="16" thickBot="1">
      <c r="A110" s="48">
        <v>25</v>
      </c>
      <c r="B110" s="49">
        <f>資料儲存!D1046</f>
        <v>0</v>
      </c>
      <c r="C110" s="49">
        <f>資料儲存!E1046</f>
        <v>0</v>
      </c>
      <c r="D110" s="49">
        <f>資料儲存!F1046</f>
        <v>0</v>
      </c>
      <c r="E110" s="49">
        <f>資料儲存!G1046</f>
        <v>0</v>
      </c>
      <c r="F110" s="49">
        <f>資料儲存!H1046</f>
        <v>0</v>
      </c>
      <c r="G110" s="49">
        <f>資料儲存!I1046</f>
        <v>0</v>
      </c>
      <c r="H110" s="49">
        <f>資料儲存!J1046</f>
        <v>0</v>
      </c>
      <c r="I110" s="45"/>
      <c r="J110" s="48">
        <v>25</v>
      </c>
      <c r="K110" s="49">
        <f>資料儲存!D1166</f>
        <v>0</v>
      </c>
      <c r="L110" s="49">
        <f>資料儲存!E1166</f>
        <v>0</v>
      </c>
      <c r="M110" s="49">
        <f>資料儲存!F1166</f>
        <v>0</v>
      </c>
      <c r="N110" s="49">
        <f>資料儲存!G1166</f>
        <v>0</v>
      </c>
      <c r="O110" s="49">
        <f>資料儲存!H1166</f>
        <v>0</v>
      </c>
      <c r="P110" s="49">
        <f>資料儲存!I1166</f>
        <v>0</v>
      </c>
      <c r="Q110" s="49">
        <f>資料儲存!J1166</f>
        <v>0</v>
      </c>
      <c r="R110" s="45"/>
      <c r="S110" s="48">
        <v>25</v>
      </c>
      <c r="T110" s="49">
        <f>資料儲存!D1286</f>
        <v>0</v>
      </c>
      <c r="U110" s="49">
        <f>資料儲存!E1286</f>
        <v>0</v>
      </c>
      <c r="V110" s="49">
        <f>資料儲存!F1286</f>
        <v>0</v>
      </c>
      <c r="W110" s="49">
        <f>資料儲存!G1286</f>
        <v>0</v>
      </c>
      <c r="X110" s="49">
        <f>資料儲存!H1286</f>
        <v>0</v>
      </c>
      <c r="Y110" s="49">
        <f>資料儲存!I1286</f>
        <v>0</v>
      </c>
      <c r="Z110" s="49">
        <f>資料儲存!J1286</f>
        <v>0</v>
      </c>
      <c r="AA110" s="45"/>
      <c r="AB110" s="48">
        <v>25</v>
      </c>
      <c r="AC110" s="49">
        <f>資料儲存!D1406</f>
        <v>0</v>
      </c>
      <c r="AD110" s="49">
        <f>資料儲存!E1406</f>
        <v>0</v>
      </c>
      <c r="AE110" s="49">
        <f>資料儲存!F1406</f>
        <v>0</v>
      </c>
      <c r="AF110" s="49">
        <f>資料儲存!G1406</f>
        <v>0</v>
      </c>
      <c r="AG110" s="49">
        <f>資料儲存!H1406</f>
        <v>0</v>
      </c>
      <c r="AH110" s="49">
        <f>資料儲存!I1406</f>
        <v>0</v>
      </c>
      <c r="AI110" s="49">
        <f>資料儲存!J1406</f>
        <v>0</v>
      </c>
      <c r="AJ110" s="13"/>
    </row>
    <row r="111" spans="1:36" ht="16" thickBot="1">
      <c r="A111" s="48">
        <v>26</v>
      </c>
      <c r="B111" s="49">
        <f>資料儲存!D1047</f>
        <v>0</v>
      </c>
      <c r="C111" s="49">
        <f>資料儲存!E1047</f>
        <v>0</v>
      </c>
      <c r="D111" s="49">
        <f>資料儲存!F1047</f>
        <v>0</v>
      </c>
      <c r="E111" s="49">
        <f>資料儲存!G1047</f>
        <v>0</v>
      </c>
      <c r="F111" s="49">
        <f>資料儲存!H1047</f>
        <v>0</v>
      </c>
      <c r="G111" s="49">
        <f>資料儲存!I1047</f>
        <v>0</v>
      </c>
      <c r="H111" s="49">
        <f>資料儲存!J1047</f>
        <v>0</v>
      </c>
      <c r="I111" s="45"/>
      <c r="J111" s="48">
        <v>26</v>
      </c>
      <c r="K111" s="49">
        <f>資料儲存!D1167</f>
        <v>0</v>
      </c>
      <c r="L111" s="49">
        <f>資料儲存!E1167</f>
        <v>0</v>
      </c>
      <c r="M111" s="49">
        <f>資料儲存!F1167</f>
        <v>0</v>
      </c>
      <c r="N111" s="49">
        <f>資料儲存!G1167</f>
        <v>0</v>
      </c>
      <c r="O111" s="49">
        <f>資料儲存!H1167</f>
        <v>0</v>
      </c>
      <c r="P111" s="49">
        <f>資料儲存!I1167</f>
        <v>0</v>
      </c>
      <c r="Q111" s="49">
        <f>資料儲存!J1167</f>
        <v>0</v>
      </c>
      <c r="R111" s="45"/>
      <c r="S111" s="48">
        <v>26</v>
      </c>
      <c r="T111" s="49">
        <f>資料儲存!D1287</f>
        <v>0</v>
      </c>
      <c r="U111" s="49">
        <f>資料儲存!E1287</f>
        <v>0</v>
      </c>
      <c r="V111" s="49">
        <f>資料儲存!F1287</f>
        <v>0</v>
      </c>
      <c r="W111" s="49">
        <f>資料儲存!G1287</f>
        <v>0</v>
      </c>
      <c r="X111" s="49">
        <f>資料儲存!H1287</f>
        <v>0</v>
      </c>
      <c r="Y111" s="49">
        <f>資料儲存!I1287</f>
        <v>0</v>
      </c>
      <c r="Z111" s="49">
        <f>資料儲存!J1287</f>
        <v>0</v>
      </c>
      <c r="AA111" s="45"/>
      <c r="AB111" s="48">
        <v>26</v>
      </c>
      <c r="AC111" s="49">
        <f>資料儲存!D1407</f>
        <v>0</v>
      </c>
      <c r="AD111" s="49">
        <f>資料儲存!E1407</f>
        <v>0</v>
      </c>
      <c r="AE111" s="49">
        <f>資料儲存!F1407</f>
        <v>0</v>
      </c>
      <c r="AF111" s="49">
        <f>資料儲存!G1407</f>
        <v>0</v>
      </c>
      <c r="AG111" s="49">
        <f>資料儲存!H1407</f>
        <v>0</v>
      </c>
      <c r="AH111" s="49">
        <f>資料儲存!I1407</f>
        <v>0</v>
      </c>
      <c r="AI111" s="49">
        <f>資料儲存!J1407</f>
        <v>0</v>
      </c>
      <c r="AJ111" s="13"/>
    </row>
    <row r="112" spans="1:36" ht="16" thickBot="1">
      <c r="A112" s="48">
        <v>27</v>
      </c>
      <c r="B112" s="49">
        <f>資料儲存!D1048</f>
        <v>0</v>
      </c>
      <c r="C112" s="49">
        <f>資料儲存!E1048</f>
        <v>0</v>
      </c>
      <c r="D112" s="49">
        <f>資料儲存!F1048</f>
        <v>0</v>
      </c>
      <c r="E112" s="49">
        <f>資料儲存!G1048</f>
        <v>0</v>
      </c>
      <c r="F112" s="49">
        <f>資料儲存!H1048</f>
        <v>0</v>
      </c>
      <c r="G112" s="49">
        <f>資料儲存!I1048</f>
        <v>0</v>
      </c>
      <c r="H112" s="49">
        <f>資料儲存!J1048</f>
        <v>0</v>
      </c>
      <c r="I112" s="45"/>
      <c r="J112" s="48">
        <v>27</v>
      </c>
      <c r="K112" s="49">
        <f>資料儲存!D1168</f>
        <v>0</v>
      </c>
      <c r="L112" s="49">
        <f>資料儲存!E1168</f>
        <v>0</v>
      </c>
      <c r="M112" s="49">
        <f>資料儲存!F1168</f>
        <v>0</v>
      </c>
      <c r="N112" s="49">
        <f>資料儲存!G1168</f>
        <v>0</v>
      </c>
      <c r="O112" s="49">
        <f>資料儲存!H1168</f>
        <v>0</v>
      </c>
      <c r="P112" s="49">
        <f>資料儲存!I1168</f>
        <v>0</v>
      </c>
      <c r="Q112" s="49">
        <f>資料儲存!J1168</f>
        <v>0</v>
      </c>
      <c r="R112" s="45"/>
      <c r="S112" s="48">
        <v>27</v>
      </c>
      <c r="T112" s="49">
        <f>資料儲存!D1288</f>
        <v>0</v>
      </c>
      <c r="U112" s="49">
        <f>資料儲存!E1288</f>
        <v>0</v>
      </c>
      <c r="V112" s="49">
        <f>資料儲存!F1288</f>
        <v>0</v>
      </c>
      <c r="W112" s="49">
        <f>資料儲存!G1288</f>
        <v>0</v>
      </c>
      <c r="X112" s="49">
        <f>資料儲存!H1288</f>
        <v>0</v>
      </c>
      <c r="Y112" s="49">
        <f>資料儲存!I1288</f>
        <v>0</v>
      </c>
      <c r="Z112" s="49">
        <f>資料儲存!J1288</f>
        <v>0</v>
      </c>
      <c r="AA112" s="45"/>
      <c r="AB112" s="48">
        <v>27</v>
      </c>
      <c r="AC112" s="49">
        <f>資料儲存!D1408</f>
        <v>0</v>
      </c>
      <c r="AD112" s="49">
        <f>資料儲存!E1408</f>
        <v>0</v>
      </c>
      <c r="AE112" s="49">
        <f>資料儲存!F1408</f>
        <v>0</v>
      </c>
      <c r="AF112" s="49">
        <f>資料儲存!G1408</f>
        <v>0</v>
      </c>
      <c r="AG112" s="49">
        <f>資料儲存!H1408</f>
        <v>0</v>
      </c>
      <c r="AH112" s="49">
        <f>資料儲存!I1408</f>
        <v>0</v>
      </c>
      <c r="AI112" s="49">
        <f>資料儲存!J1408</f>
        <v>0</v>
      </c>
      <c r="AJ112" s="13"/>
    </row>
    <row r="113" spans="1:36" ht="16" thickBot="1">
      <c r="A113" s="48">
        <v>28</v>
      </c>
      <c r="B113" s="49">
        <f>資料儲存!D1049</f>
        <v>0</v>
      </c>
      <c r="C113" s="49">
        <f>資料儲存!E1049</f>
        <v>0</v>
      </c>
      <c r="D113" s="49">
        <f>資料儲存!F1049</f>
        <v>0</v>
      </c>
      <c r="E113" s="49">
        <f>資料儲存!G1049</f>
        <v>0</v>
      </c>
      <c r="F113" s="49">
        <f>資料儲存!H1049</f>
        <v>0</v>
      </c>
      <c r="G113" s="49">
        <f>資料儲存!I1049</f>
        <v>0</v>
      </c>
      <c r="H113" s="49">
        <f>資料儲存!J1049</f>
        <v>0</v>
      </c>
      <c r="I113" s="45"/>
      <c r="J113" s="48">
        <v>28</v>
      </c>
      <c r="K113" s="49">
        <f>資料儲存!D1169</f>
        <v>0</v>
      </c>
      <c r="L113" s="49">
        <f>資料儲存!E1169</f>
        <v>0</v>
      </c>
      <c r="M113" s="49">
        <f>資料儲存!F1169</f>
        <v>0</v>
      </c>
      <c r="N113" s="49">
        <f>資料儲存!G1169</f>
        <v>0</v>
      </c>
      <c r="O113" s="49">
        <f>資料儲存!H1169</f>
        <v>0</v>
      </c>
      <c r="P113" s="49">
        <f>資料儲存!I1169</f>
        <v>0</v>
      </c>
      <c r="Q113" s="49">
        <f>資料儲存!J1169</f>
        <v>0</v>
      </c>
      <c r="R113" s="45"/>
      <c r="S113" s="48">
        <v>28</v>
      </c>
      <c r="T113" s="49">
        <f>資料儲存!D1289</f>
        <v>0</v>
      </c>
      <c r="U113" s="49">
        <f>資料儲存!E1289</f>
        <v>0</v>
      </c>
      <c r="V113" s="49">
        <f>資料儲存!F1289</f>
        <v>0</v>
      </c>
      <c r="W113" s="49">
        <f>資料儲存!G1289</f>
        <v>0</v>
      </c>
      <c r="X113" s="49">
        <f>資料儲存!H1289</f>
        <v>0</v>
      </c>
      <c r="Y113" s="49">
        <f>資料儲存!I1289</f>
        <v>0</v>
      </c>
      <c r="Z113" s="49">
        <f>資料儲存!J1289</f>
        <v>0</v>
      </c>
      <c r="AA113" s="45"/>
      <c r="AB113" s="48">
        <v>28</v>
      </c>
      <c r="AC113" s="49">
        <f>資料儲存!D1409</f>
        <v>0</v>
      </c>
      <c r="AD113" s="49">
        <f>資料儲存!E1409</f>
        <v>0</v>
      </c>
      <c r="AE113" s="49">
        <f>資料儲存!F1409</f>
        <v>0</v>
      </c>
      <c r="AF113" s="49">
        <f>資料儲存!G1409</f>
        <v>0</v>
      </c>
      <c r="AG113" s="49">
        <f>資料儲存!H1409</f>
        <v>0</v>
      </c>
      <c r="AH113" s="49">
        <f>資料儲存!I1409</f>
        <v>0</v>
      </c>
      <c r="AI113" s="49">
        <f>資料儲存!J1409</f>
        <v>0</v>
      </c>
      <c r="AJ113" s="13"/>
    </row>
    <row r="114" spans="1:36" ht="16" thickBot="1">
      <c r="A114" s="48">
        <v>29</v>
      </c>
      <c r="B114" s="49">
        <f>資料儲存!D1050</f>
        <v>0</v>
      </c>
      <c r="C114" s="49">
        <f>資料儲存!E1050</f>
        <v>0</v>
      </c>
      <c r="D114" s="49">
        <f>資料儲存!F1050</f>
        <v>0</v>
      </c>
      <c r="E114" s="49">
        <f>資料儲存!G1050</f>
        <v>0</v>
      </c>
      <c r="F114" s="49">
        <f>資料儲存!H1050</f>
        <v>0</v>
      </c>
      <c r="G114" s="49">
        <f>資料儲存!I1050</f>
        <v>0</v>
      </c>
      <c r="H114" s="49">
        <f>資料儲存!J1050</f>
        <v>0</v>
      </c>
      <c r="I114" s="45"/>
      <c r="J114" s="48">
        <v>29</v>
      </c>
      <c r="K114" s="49">
        <f>資料儲存!D1170</f>
        <v>0</v>
      </c>
      <c r="L114" s="49">
        <f>資料儲存!E1170</f>
        <v>0</v>
      </c>
      <c r="M114" s="49">
        <f>資料儲存!F1170</f>
        <v>0</v>
      </c>
      <c r="N114" s="49">
        <f>資料儲存!G1170</f>
        <v>0</v>
      </c>
      <c r="O114" s="49">
        <f>資料儲存!H1170</f>
        <v>0</v>
      </c>
      <c r="P114" s="49">
        <f>資料儲存!I1170</f>
        <v>0</v>
      </c>
      <c r="Q114" s="49">
        <f>資料儲存!J1170</f>
        <v>0</v>
      </c>
      <c r="R114" s="45"/>
      <c r="S114" s="48">
        <v>29</v>
      </c>
      <c r="T114" s="49">
        <f>資料儲存!D1290</f>
        <v>0</v>
      </c>
      <c r="U114" s="49">
        <f>資料儲存!E1290</f>
        <v>0</v>
      </c>
      <c r="V114" s="49">
        <f>資料儲存!F1290</f>
        <v>0</v>
      </c>
      <c r="W114" s="49">
        <f>資料儲存!G1290</f>
        <v>0</v>
      </c>
      <c r="X114" s="49">
        <f>資料儲存!H1290</f>
        <v>0</v>
      </c>
      <c r="Y114" s="49">
        <f>資料儲存!I1290</f>
        <v>0</v>
      </c>
      <c r="Z114" s="49">
        <f>資料儲存!J1290</f>
        <v>0</v>
      </c>
      <c r="AA114" s="45"/>
      <c r="AB114" s="48">
        <v>29</v>
      </c>
      <c r="AC114" s="49">
        <f>資料儲存!D1410</f>
        <v>0</v>
      </c>
      <c r="AD114" s="49">
        <f>資料儲存!E1410</f>
        <v>0</v>
      </c>
      <c r="AE114" s="49">
        <f>資料儲存!F1410</f>
        <v>0</v>
      </c>
      <c r="AF114" s="49">
        <f>資料儲存!G1410</f>
        <v>0</v>
      </c>
      <c r="AG114" s="49">
        <f>資料儲存!H1410</f>
        <v>0</v>
      </c>
      <c r="AH114" s="49">
        <f>資料儲存!I1410</f>
        <v>0</v>
      </c>
      <c r="AI114" s="49">
        <f>資料儲存!J1410</f>
        <v>0</v>
      </c>
      <c r="AJ114" s="13"/>
    </row>
    <row r="115" spans="1:36" ht="16" thickBot="1">
      <c r="A115" s="48">
        <v>30</v>
      </c>
      <c r="B115" s="49">
        <f>資料儲存!D1051</f>
        <v>0</v>
      </c>
      <c r="C115" s="49">
        <f>資料儲存!E1051</f>
        <v>0</v>
      </c>
      <c r="D115" s="49">
        <f>資料儲存!F1051</f>
        <v>0</v>
      </c>
      <c r="E115" s="49">
        <f>資料儲存!G1051</f>
        <v>0</v>
      </c>
      <c r="F115" s="49">
        <f>資料儲存!H1051</f>
        <v>0</v>
      </c>
      <c r="G115" s="49">
        <f>資料儲存!I1051</f>
        <v>0</v>
      </c>
      <c r="H115" s="49">
        <f>資料儲存!J1051</f>
        <v>0</v>
      </c>
      <c r="I115" s="45"/>
      <c r="J115" s="48">
        <v>30</v>
      </c>
      <c r="K115" s="49">
        <f>資料儲存!D1171</f>
        <v>0</v>
      </c>
      <c r="L115" s="49">
        <f>資料儲存!E1171</f>
        <v>0</v>
      </c>
      <c r="M115" s="49">
        <f>資料儲存!F1171</f>
        <v>0</v>
      </c>
      <c r="N115" s="49">
        <f>資料儲存!G1171</f>
        <v>0</v>
      </c>
      <c r="O115" s="49">
        <f>資料儲存!H1171</f>
        <v>0</v>
      </c>
      <c r="P115" s="49">
        <f>資料儲存!I1171</f>
        <v>0</v>
      </c>
      <c r="Q115" s="49">
        <f>資料儲存!J1171</f>
        <v>0</v>
      </c>
      <c r="R115" s="45"/>
      <c r="S115" s="48">
        <v>30</v>
      </c>
      <c r="T115" s="49">
        <f>資料儲存!D1291</f>
        <v>0</v>
      </c>
      <c r="U115" s="49">
        <f>資料儲存!E1291</f>
        <v>0</v>
      </c>
      <c r="V115" s="49">
        <f>資料儲存!F1291</f>
        <v>0</v>
      </c>
      <c r="W115" s="49">
        <f>資料儲存!G1291</f>
        <v>0</v>
      </c>
      <c r="X115" s="49">
        <f>資料儲存!H1291</f>
        <v>0</v>
      </c>
      <c r="Y115" s="49">
        <f>資料儲存!I1291</f>
        <v>0</v>
      </c>
      <c r="Z115" s="49">
        <f>資料儲存!J1291</f>
        <v>0</v>
      </c>
      <c r="AA115" s="45"/>
      <c r="AB115" s="48">
        <v>30</v>
      </c>
      <c r="AC115" s="49">
        <f>資料儲存!D1411</f>
        <v>0</v>
      </c>
      <c r="AD115" s="49">
        <f>資料儲存!E1411</f>
        <v>0</v>
      </c>
      <c r="AE115" s="49">
        <f>資料儲存!F1411</f>
        <v>0</v>
      </c>
      <c r="AF115" s="49">
        <f>資料儲存!G1411</f>
        <v>0</v>
      </c>
      <c r="AG115" s="49">
        <f>資料儲存!H1411</f>
        <v>0</v>
      </c>
      <c r="AH115" s="49">
        <f>資料儲存!I1411</f>
        <v>0</v>
      </c>
      <c r="AI115" s="49">
        <f>資料儲存!J1411</f>
        <v>0</v>
      </c>
      <c r="AJ115" s="13"/>
    </row>
    <row r="116" spans="1:36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</row>
    <row r="117" spans="1:36" ht="18.5" thickBot="1">
      <c r="A117" s="250" t="s">
        <v>97</v>
      </c>
      <c r="B117" s="251"/>
      <c r="C117" s="251"/>
      <c r="D117" s="251"/>
      <c r="E117" s="251"/>
      <c r="F117" s="251"/>
      <c r="G117" s="251"/>
      <c r="H117" s="252"/>
      <c r="I117" s="13"/>
      <c r="J117" s="250" t="s">
        <v>97</v>
      </c>
      <c r="K117" s="251"/>
      <c r="L117" s="251"/>
      <c r="M117" s="251"/>
      <c r="N117" s="251"/>
      <c r="O117" s="251"/>
      <c r="P117" s="251"/>
      <c r="Q117" s="252"/>
      <c r="R117" s="13"/>
      <c r="S117" s="250" t="s">
        <v>97</v>
      </c>
      <c r="T117" s="251"/>
      <c r="U117" s="251"/>
      <c r="V117" s="251"/>
      <c r="W117" s="251"/>
      <c r="X117" s="251"/>
      <c r="Y117" s="251"/>
      <c r="Z117" s="252"/>
      <c r="AA117" s="13"/>
      <c r="AB117" s="250" t="s">
        <v>97</v>
      </c>
      <c r="AC117" s="251"/>
      <c r="AD117" s="251"/>
      <c r="AE117" s="251"/>
      <c r="AF117" s="251"/>
      <c r="AG117" s="251"/>
      <c r="AH117" s="251"/>
      <c r="AI117" s="252"/>
      <c r="AJ117" s="13"/>
    </row>
    <row r="118" spans="1:36" ht="17.25" customHeight="1" thickBot="1">
      <c r="A118" s="31" t="s">
        <v>2</v>
      </c>
      <c r="B118" s="32" t="s">
        <v>46</v>
      </c>
      <c r="C118" s="33"/>
      <c r="D118" s="33"/>
      <c r="E118" s="34"/>
      <c r="F118" s="32" t="s">
        <v>47</v>
      </c>
      <c r="G118" s="33"/>
      <c r="H118" s="34"/>
      <c r="I118" s="35"/>
      <c r="J118" s="31" t="s">
        <v>2</v>
      </c>
      <c r="K118" s="32" t="s">
        <v>46</v>
      </c>
      <c r="L118" s="33"/>
      <c r="M118" s="33"/>
      <c r="N118" s="34"/>
      <c r="O118" s="32" t="s">
        <v>47</v>
      </c>
      <c r="P118" s="33"/>
      <c r="Q118" s="34"/>
      <c r="R118" s="35"/>
      <c r="S118" s="31" t="s">
        <v>2</v>
      </c>
      <c r="T118" s="32" t="s">
        <v>46</v>
      </c>
      <c r="U118" s="33"/>
      <c r="V118" s="33"/>
      <c r="W118" s="34"/>
      <c r="X118" s="32" t="s">
        <v>47</v>
      </c>
      <c r="Y118" s="33"/>
      <c r="Z118" s="34"/>
      <c r="AA118" s="35"/>
      <c r="AB118" s="31" t="s">
        <v>2</v>
      </c>
      <c r="AC118" s="32" t="s">
        <v>46</v>
      </c>
      <c r="AD118" s="33"/>
      <c r="AE118" s="33"/>
      <c r="AF118" s="34"/>
      <c r="AG118" s="32" t="s">
        <v>47</v>
      </c>
      <c r="AH118" s="33"/>
      <c r="AI118" s="34"/>
      <c r="AJ118" s="13"/>
    </row>
    <row r="119" spans="1:36" ht="16" thickBot="1">
      <c r="A119" s="36">
        <v>0.52083333333333337</v>
      </c>
      <c r="B119" s="37" t="s">
        <v>49</v>
      </c>
      <c r="C119" s="37" t="s">
        <v>50</v>
      </c>
      <c r="D119" s="37" t="s">
        <v>51</v>
      </c>
      <c r="E119" s="37" t="s">
        <v>52</v>
      </c>
      <c r="F119" s="37" t="s">
        <v>53</v>
      </c>
      <c r="G119" s="37" t="s">
        <v>54</v>
      </c>
      <c r="H119" s="37" t="s">
        <v>55</v>
      </c>
      <c r="I119" s="35"/>
      <c r="J119" s="36">
        <v>0.52083333333333337</v>
      </c>
      <c r="K119" s="37" t="s">
        <v>49</v>
      </c>
      <c r="L119" s="37" t="s">
        <v>50</v>
      </c>
      <c r="M119" s="37" t="s">
        <v>51</v>
      </c>
      <c r="N119" s="37" t="s">
        <v>52</v>
      </c>
      <c r="O119" s="37" t="s">
        <v>53</v>
      </c>
      <c r="P119" s="37" t="s">
        <v>54</v>
      </c>
      <c r="Q119" s="37" t="s">
        <v>55</v>
      </c>
      <c r="R119" s="35"/>
      <c r="S119" s="36">
        <v>0.52083333333333337</v>
      </c>
      <c r="T119" s="37" t="s">
        <v>49</v>
      </c>
      <c r="U119" s="37" t="s">
        <v>50</v>
      </c>
      <c r="V119" s="37" t="s">
        <v>51</v>
      </c>
      <c r="W119" s="37" t="s">
        <v>52</v>
      </c>
      <c r="X119" s="37" t="s">
        <v>53</v>
      </c>
      <c r="Y119" s="37" t="s">
        <v>54</v>
      </c>
      <c r="Z119" s="37" t="s">
        <v>55</v>
      </c>
      <c r="AA119" s="35"/>
      <c r="AB119" s="36">
        <v>0.52083333333333337</v>
      </c>
      <c r="AC119" s="37" t="s">
        <v>49</v>
      </c>
      <c r="AD119" s="37" t="s">
        <v>50</v>
      </c>
      <c r="AE119" s="37" t="s">
        <v>51</v>
      </c>
      <c r="AF119" s="37" t="s">
        <v>52</v>
      </c>
      <c r="AG119" s="37" t="s">
        <v>53</v>
      </c>
      <c r="AH119" s="37" t="s">
        <v>54</v>
      </c>
      <c r="AI119" s="37" t="s">
        <v>55</v>
      </c>
      <c r="AJ119" s="13"/>
    </row>
    <row r="120" spans="1:36" ht="16" thickBot="1">
      <c r="A120" s="38">
        <v>31</v>
      </c>
      <c r="B120" s="39">
        <f>資料儲存!D1052</f>
        <v>0</v>
      </c>
      <c r="C120" s="39">
        <f>資料儲存!E1052</f>
        <v>0</v>
      </c>
      <c r="D120" s="39">
        <f>資料儲存!F1052</f>
        <v>0</v>
      </c>
      <c r="E120" s="39">
        <f>資料儲存!G1052</f>
        <v>0</v>
      </c>
      <c r="F120" s="39">
        <f>資料儲存!H1052</f>
        <v>0</v>
      </c>
      <c r="G120" s="39">
        <f>資料儲存!I1052</f>
        <v>0</v>
      </c>
      <c r="H120" s="39">
        <f>資料儲存!J1052</f>
        <v>0</v>
      </c>
      <c r="I120" s="35"/>
      <c r="J120" s="38">
        <v>31</v>
      </c>
      <c r="K120" s="39">
        <f>資料儲存!D1172</f>
        <v>0</v>
      </c>
      <c r="L120" s="39">
        <f>資料儲存!E1172</f>
        <v>0</v>
      </c>
      <c r="M120" s="39">
        <f>資料儲存!F1172</f>
        <v>0</v>
      </c>
      <c r="N120" s="39">
        <f>資料儲存!G1172</f>
        <v>0</v>
      </c>
      <c r="O120" s="39">
        <f>資料儲存!H1172</f>
        <v>0</v>
      </c>
      <c r="P120" s="39">
        <f>資料儲存!I1172</f>
        <v>0</v>
      </c>
      <c r="Q120" s="39">
        <f>資料儲存!J1172</f>
        <v>0</v>
      </c>
      <c r="R120" s="35"/>
      <c r="S120" s="38">
        <v>31</v>
      </c>
      <c r="T120" s="39">
        <f>資料儲存!D1292</f>
        <v>0</v>
      </c>
      <c r="U120" s="39">
        <f>資料儲存!E1292</f>
        <v>0</v>
      </c>
      <c r="V120" s="39">
        <f>資料儲存!F1292</f>
        <v>0</v>
      </c>
      <c r="W120" s="39">
        <f>資料儲存!G1292</f>
        <v>0</v>
      </c>
      <c r="X120" s="39">
        <f>資料儲存!H1292</f>
        <v>0</v>
      </c>
      <c r="Y120" s="39">
        <f>資料儲存!I1292</f>
        <v>0</v>
      </c>
      <c r="Z120" s="39">
        <f>資料儲存!J1292</f>
        <v>0</v>
      </c>
      <c r="AA120" s="35"/>
      <c r="AB120" s="38">
        <v>31</v>
      </c>
      <c r="AC120" s="39">
        <f>資料儲存!D1412</f>
        <v>0</v>
      </c>
      <c r="AD120" s="39">
        <f>資料儲存!E1412</f>
        <v>0</v>
      </c>
      <c r="AE120" s="39">
        <f>資料儲存!F1412</f>
        <v>0</v>
      </c>
      <c r="AF120" s="39">
        <f>資料儲存!G1412</f>
        <v>0</v>
      </c>
      <c r="AG120" s="39">
        <f>資料儲存!H1412</f>
        <v>0</v>
      </c>
      <c r="AH120" s="39">
        <f>資料儲存!I1412</f>
        <v>0</v>
      </c>
      <c r="AI120" s="39">
        <f>資料儲存!J1412</f>
        <v>0</v>
      </c>
      <c r="AJ120" s="13"/>
    </row>
    <row r="121" spans="1:36" ht="16" thickBot="1">
      <c r="A121" s="38">
        <v>32</v>
      </c>
      <c r="B121" s="39">
        <f>資料儲存!D1053</f>
        <v>0</v>
      </c>
      <c r="C121" s="39">
        <f>資料儲存!E1053</f>
        <v>0</v>
      </c>
      <c r="D121" s="39">
        <f>資料儲存!F1053</f>
        <v>0</v>
      </c>
      <c r="E121" s="39">
        <f>資料儲存!G1053</f>
        <v>0</v>
      </c>
      <c r="F121" s="39">
        <f>資料儲存!H1053</f>
        <v>0</v>
      </c>
      <c r="G121" s="39">
        <f>資料儲存!I1053</f>
        <v>0</v>
      </c>
      <c r="H121" s="39">
        <f>資料儲存!J1053</f>
        <v>0</v>
      </c>
      <c r="I121" s="35"/>
      <c r="J121" s="38">
        <v>32</v>
      </c>
      <c r="K121" s="39">
        <f>資料儲存!D1173</f>
        <v>0</v>
      </c>
      <c r="L121" s="39">
        <f>資料儲存!E1173</f>
        <v>0</v>
      </c>
      <c r="M121" s="39">
        <f>資料儲存!F1173</f>
        <v>0</v>
      </c>
      <c r="N121" s="39">
        <f>資料儲存!G1173</f>
        <v>0</v>
      </c>
      <c r="O121" s="39">
        <f>資料儲存!H1173</f>
        <v>0</v>
      </c>
      <c r="P121" s="39">
        <f>資料儲存!I1173</f>
        <v>0</v>
      </c>
      <c r="Q121" s="39">
        <f>資料儲存!J1173</f>
        <v>0</v>
      </c>
      <c r="R121" s="35"/>
      <c r="S121" s="38">
        <v>32</v>
      </c>
      <c r="T121" s="39">
        <f>資料儲存!D1293</f>
        <v>0</v>
      </c>
      <c r="U121" s="39">
        <f>資料儲存!E1293</f>
        <v>0</v>
      </c>
      <c r="V121" s="39">
        <f>資料儲存!F1293</f>
        <v>0</v>
      </c>
      <c r="W121" s="39">
        <f>資料儲存!G1293</f>
        <v>0</v>
      </c>
      <c r="X121" s="39">
        <f>資料儲存!H1293</f>
        <v>0</v>
      </c>
      <c r="Y121" s="39">
        <f>資料儲存!I1293</f>
        <v>0</v>
      </c>
      <c r="Z121" s="39">
        <f>資料儲存!J1293</f>
        <v>0</v>
      </c>
      <c r="AA121" s="35"/>
      <c r="AB121" s="38">
        <v>32</v>
      </c>
      <c r="AC121" s="39">
        <f>資料儲存!D1413</f>
        <v>0</v>
      </c>
      <c r="AD121" s="39">
        <f>資料儲存!E1413</f>
        <v>0</v>
      </c>
      <c r="AE121" s="39">
        <f>資料儲存!F1413</f>
        <v>0</v>
      </c>
      <c r="AF121" s="39">
        <f>資料儲存!G1413</f>
        <v>0</v>
      </c>
      <c r="AG121" s="39">
        <f>資料儲存!H1413</f>
        <v>0</v>
      </c>
      <c r="AH121" s="39">
        <f>資料儲存!I1413</f>
        <v>0</v>
      </c>
      <c r="AI121" s="39">
        <f>資料儲存!J1413</f>
        <v>0</v>
      </c>
      <c r="AJ121" s="13"/>
    </row>
    <row r="122" spans="1:36" ht="16" thickBot="1">
      <c r="A122" s="38">
        <v>33</v>
      </c>
      <c r="B122" s="39">
        <f>資料儲存!D1054</f>
        <v>0</v>
      </c>
      <c r="C122" s="39">
        <f>資料儲存!E1054</f>
        <v>0</v>
      </c>
      <c r="D122" s="39">
        <f>資料儲存!F1054</f>
        <v>0</v>
      </c>
      <c r="E122" s="39">
        <f>資料儲存!G1054</f>
        <v>0</v>
      </c>
      <c r="F122" s="39">
        <f>資料儲存!H1054</f>
        <v>0</v>
      </c>
      <c r="G122" s="39">
        <f>資料儲存!I1054</f>
        <v>0</v>
      </c>
      <c r="H122" s="39">
        <f>資料儲存!J1054</f>
        <v>0</v>
      </c>
      <c r="I122" s="35"/>
      <c r="J122" s="38">
        <v>33</v>
      </c>
      <c r="K122" s="39">
        <f>資料儲存!D1174</f>
        <v>0</v>
      </c>
      <c r="L122" s="39">
        <f>資料儲存!E1174</f>
        <v>0</v>
      </c>
      <c r="M122" s="39">
        <f>資料儲存!F1174</f>
        <v>0</v>
      </c>
      <c r="N122" s="39">
        <f>資料儲存!G1174</f>
        <v>0</v>
      </c>
      <c r="O122" s="39">
        <f>資料儲存!H1174</f>
        <v>0</v>
      </c>
      <c r="P122" s="39">
        <f>資料儲存!I1174</f>
        <v>0</v>
      </c>
      <c r="Q122" s="39">
        <f>資料儲存!J1174</f>
        <v>0</v>
      </c>
      <c r="R122" s="35"/>
      <c r="S122" s="38">
        <v>33</v>
      </c>
      <c r="T122" s="39">
        <f>資料儲存!D1294</f>
        <v>0</v>
      </c>
      <c r="U122" s="39">
        <f>資料儲存!E1294</f>
        <v>0</v>
      </c>
      <c r="V122" s="39">
        <f>資料儲存!F1294</f>
        <v>0</v>
      </c>
      <c r="W122" s="39">
        <f>資料儲存!G1294</f>
        <v>0</v>
      </c>
      <c r="X122" s="39">
        <f>資料儲存!H1294</f>
        <v>0</v>
      </c>
      <c r="Y122" s="39">
        <f>資料儲存!I1294</f>
        <v>0</v>
      </c>
      <c r="Z122" s="39">
        <f>資料儲存!J1294</f>
        <v>0</v>
      </c>
      <c r="AA122" s="35"/>
      <c r="AB122" s="38">
        <v>33</v>
      </c>
      <c r="AC122" s="39">
        <f>資料儲存!D1414</f>
        <v>0</v>
      </c>
      <c r="AD122" s="39">
        <f>資料儲存!E1414</f>
        <v>0</v>
      </c>
      <c r="AE122" s="39">
        <f>資料儲存!F1414</f>
        <v>0</v>
      </c>
      <c r="AF122" s="39">
        <f>資料儲存!G1414</f>
        <v>0</v>
      </c>
      <c r="AG122" s="39">
        <f>資料儲存!H1414</f>
        <v>0</v>
      </c>
      <c r="AH122" s="39">
        <f>資料儲存!I1414</f>
        <v>0</v>
      </c>
      <c r="AI122" s="39">
        <f>資料儲存!J1414</f>
        <v>0</v>
      </c>
      <c r="AJ122" s="13"/>
    </row>
    <row r="123" spans="1:36" ht="16" thickBot="1">
      <c r="A123" s="38">
        <v>34</v>
      </c>
      <c r="B123" s="39">
        <f>資料儲存!D1055</f>
        <v>0</v>
      </c>
      <c r="C123" s="39">
        <f>資料儲存!E1055</f>
        <v>0</v>
      </c>
      <c r="D123" s="39">
        <f>資料儲存!F1055</f>
        <v>0</v>
      </c>
      <c r="E123" s="39">
        <f>資料儲存!G1055</f>
        <v>0</v>
      </c>
      <c r="F123" s="39">
        <f>資料儲存!H1055</f>
        <v>0</v>
      </c>
      <c r="G123" s="39">
        <f>資料儲存!I1055</f>
        <v>0</v>
      </c>
      <c r="H123" s="39">
        <f>資料儲存!J1055</f>
        <v>0</v>
      </c>
      <c r="I123" s="35"/>
      <c r="J123" s="38">
        <v>34</v>
      </c>
      <c r="K123" s="39">
        <f>資料儲存!D1175</f>
        <v>0</v>
      </c>
      <c r="L123" s="39">
        <f>資料儲存!E1175</f>
        <v>0</v>
      </c>
      <c r="M123" s="39">
        <f>資料儲存!F1175</f>
        <v>0</v>
      </c>
      <c r="N123" s="39">
        <f>資料儲存!G1175</f>
        <v>0</v>
      </c>
      <c r="O123" s="39">
        <f>資料儲存!H1175</f>
        <v>0</v>
      </c>
      <c r="P123" s="39">
        <f>資料儲存!I1175</f>
        <v>0</v>
      </c>
      <c r="Q123" s="39">
        <f>資料儲存!J1175</f>
        <v>0</v>
      </c>
      <c r="R123" s="35"/>
      <c r="S123" s="38">
        <v>34</v>
      </c>
      <c r="T123" s="39">
        <f>資料儲存!D1295</f>
        <v>0</v>
      </c>
      <c r="U123" s="39">
        <f>資料儲存!E1295</f>
        <v>0</v>
      </c>
      <c r="V123" s="39">
        <f>資料儲存!F1295</f>
        <v>0</v>
      </c>
      <c r="W123" s="39">
        <f>資料儲存!G1295</f>
        <v>0</v>
      </c>
      <c r="X123" s="39">
        <f>資料儲存!H1295</f>
        <v>0</v>
      </c>
      <c r="Y123" s="39">
        <f>資料儲存!I1295</f>
        <v>0</v>
      </c>
      <c r="Z123" s="39">
        <f>資料儲存!J1295</f>
        <v>0</v>
      </c>
      <c r="AA123" s="35"/>
      <c r="AB123" s="38">
        <v>34</v>
      </c>
      <c r="AC123" s="39">
        <f>資料儲存!D1415</f>
        <v>0</v>
      </c>
      <c r="AD123" s="39">
        <f>資料儲存!E1415</f>
        <v>0</v>
      </c>
      <c r="AE123" s="39">
        <f>資料儲存!F1415</f>
        <v>0</v>
      </c>
      <c r="AF123" s="39">
        <f>資料儲存!G1415</f>
        <v>0</v>
      </c>
      <c r="AG123" s="39">
        <f>資料儲存!H1415</f>
        <v>0</v>
      </c>
      <c r="AH123" s="39">
        <f>資料儲存!I1415</f>
        <v>0</v>
      </c>
      <c r="AI123" s="39">
        <f>資料儲存!J1415</f>
        <v>0</v>
      </c>
      <c r="AJ123" s="13"/>
    </row>
    <row r="124" spans="1:36" ht="16" thickBot="1">
      <c r="A124" s="38">
        <v>35</v>
      </c>
      <c r="B124" s="39">
        <f>資料儲存!D1056</f>
        <v>0</v>
      </c>
      <c r="C124" s="39">
        <f>資料儲存!E1056</f>
        <v>0</v>
      </c>
      <c r="D124" s="39">
        <f>資料儲存!F1056</f>
        <v>0</v>
      </c>
      <c r="E124" s="39">
        <f>資料儲存!G1056</f>
        <v>0</v>
      </c>
      <c r="F124" s="39">
        <f>資料儲存!H1056</f>
        <v>0</v>
      </c>
      <c r="G124" s="39">
        <f>資料儲存!I1056</f>
        <v>0</v>
      </c>
      <c r="H124" s="39">
        <f>資料儲存!J1056</f>
        <v>0</v>
      </c>
      <c r="I124" s="35"/>
      <c r="J124" s="38">
        <v>35</v>
      </c>
      <c r="K124" s="39">
        <f>資料儲存!D1176</f>
        <v>0</v>
      </c>
      <c r="L124" s="39">
        <f>資料儲存!E1176</f>
        <v>0</v>
      </c>
      <c r="M124" s="39">
        <f>資料儲存!F1176</f>
        <v>0</v>
      </c>
      <c r="N124" s="39">
        <f>資料儲存!G1176</f>
        <v>0</v>
      </c>
      <c r="O124" s="39">
        <f>資料儲存!H1176</f>
        <v>0</v>
      </c>
      <c r="P124" s="39">
        <f>資料儲存!I1176</f>
        <v>0</v>
      </c>
      <c r="Q124" s="39">
        <f>資料儲存!J1176</f>
        <v>0</v>
      </c>
      <c r="R124" s="35"/>
      <c r="S124" s="38">
        <v>35</v>
      </c>
      <c r="T124" s="39">
        <f>資料儲存!D1296</f>
        <v>0</v>
      </c>
      <c r="U124" s="39">
        <f>資料儲存!E1296</f>
        <v>0</v>
      </c>
      <c r="V124" s="39">
        <f>資料儲存!F1296</f>
        <v>0</v>
      </c>
      <c r="W124" s="39">
        <f>資料儲存!G1296</f>
        <v>0</v>
      </c>
      <c r="X124" s="39">
        <f>資料儲存!H1296</f>
        <v>0</v>
      </c>
      <c r="Y124" s="39">
        <f>資料儲存!I1296</f>
        <v>0</v>
      </c>
      <c r="Z124" s="39">
        <f>資料儲存!J1296</f>
        <v>0</v>
      </c>
      <c r="AA124" s="35"/>
      <c r="AB124" s="38">
        <v>35</v>
      </c>
      <c r="AC124" s="39">
        <f>資料儲存!D1416</f>
        <v>0</v>
      </c>
      <c r="AD124" s="39">
        <f>資料儲存!E1416</f>
        <v>0</v>
      </c>
      <c r="AE124" s="39">
        <f>資料儲存!F1416</f>
        <v>0</v>
      </c>
      <c r="AF124" s="39">
        <f>資料儲存!G1416</f>
        <v>0</v>
      </c>
      <c r="AG124" s="39">
        <f>資料儲存!H1416</f>
        <v>0</v>
      </c>
      <c r="AH124" s="39">
        <f>資料儲存!I1416</f>
        <v>0</v>
      </c>
      <c r="AI124" s="39">
        <f>資料儲存!J1416</f>
        <v>0</v>
      </c>
      <c r="AJ124" s="13"/>
    </row>
    <row r="125" spans="1:36" ht="16" thickBot="1">
      <c r="A125" s="38">
        <v>36</v>
      </c>
      <c r="B125" s="39">
        <f>資料儲存!D1057</f>
        <v>0</v>
      </c>
      <c r="C125" s="39">
        <f>資料儲存!E1057</f>
        <v>0</v>
      </c>
      <c r="D125" s="39">
        <f>資料儲存!F1057</f>
        <v>0</v>
      </c>
      <c r="E125" s="39">
        <f>資料儲存!G1057</f>
        <v>0</v>
      </c>
      <c r="F125" s="39">
        <f>資料儲存!H1057</f>
        <v>0</v>
      </c>
      <c r="G125" s="39">
        <f>資料儲存!I1057</f>
        <v>0</v>
      </c>
      <c r="H125" s="39">
        <f>資料儲存!J1057</f>
        <v>0</v>
      </c>
      <c r="I125" s="35"/>
      <c r="J125" s="38">
        <v>36</v>
      </c>
      <c r="K125" s="39">
        <f>資料儲存!D1177</f>
        <v>0</v>
      </c>
      <c r="L125" s="39">
        <f>資料儲存!E1177</f>
        <v>0</v>
      </c>
      <c r="M125" s="39">
        <f>資料儲存!F1177</f>
        <v>0</v>
      </c>
      <c r="N125" s="39">
        <f>資料儲存!G1177</f>
        <v>0</v>
      </c>
      <c r="O125" s="39">
        <f>資料儲存!H1177</f>
        <v>0</v>
      </c>
      <c r="P125" s="39">
        <f>資料儲存!I1177</f>
        <v>0</v>
      </c>
      <c r="Q125" s="39">
        <f>資料儲存!J1177</f>
        <v>0</v>
      </c>
      <c r="R125" s="35"/>
      <c r="S125" s="38">
        <v>36</v>
      </c>
      <c r="T125" s="39">
        <f>資料儲存!D1297</f>
        <v>0</v>
      </c>
      <c r="U125" s="39">
        <f>資料儲存!E1297</f>
        <v>0</v>
      </c>
      <c r="V125" s="39">
        <f>資料儲存!F1297</f>
        <v>0</v>
      </c>
      <c r="W125" s="39">
        <f>資料儲存!G1297</f>
        <v>0</v>
      </c>
      <c r="X125" s="39">
        <f>資料儲存!H1297</f>
        <v>0</v>
      </c>
      <c r="Y125" s="39">
        <f>資料儲存!I1297</f>
        <v>0</v>
      </c>
      <c r="Z125" s="39">
        <f>資料儲存!J1297</f>
        <v>0</v>
      </c>
      <c r="AA125" s="35"/>
      <c r="AB125" s="38">
        <v>36</v>
      </c>
      <c r="AC125" s="39">
        <f>資料儲存!D1417</f>
        <v>0</v>
      </c>
      <c r="AD125" s="39">
        <f>資料儲存!E1417</f>
        <v>0</v>
      </c>
      <c r="AE125" s="39">
        <f>資料儲存!F1417</f>
        <v>0</v>
      </c>
      <c r="AF125" s="39">
        <f>資料儲存!G1417</f>
        <v>0</v>
      </c>
      <c r="AG125" s="39">
        <f>資料儲存!H1417</f>
        <v>0</v>
      </c>
      <c r="AH125" s="39">
        <f>資料儲存!I1417</f>
        <v>0</v>
      </c>
      <c r="AI125" s="39">
        <f>資料儲存!J1417</f>
        <v>0</v>
      </c>
      <c r="AJ125" s="13"/>
    </row>
    <row r="126" spans="1:36" ht="16" thickBot="1">
      <c r="A126" s="38">
        <v>37</v>
      </c>
      <c r="B126" s="39">
        <f>資料儲存!D1058</f>
        <v>0</v>
      </c>
      <c r="C126" s="39">
        <f>資料儲存!E1058</f>
        <v>0</v>
      </c>
      <c r="D126" s="39">
        <f>資料儲存!F1058</f>
        <v>0</v>
      </c>
      <c r="E126" s="39">
        <f>資料儲存!G1058</f>
        <v>0</v>
      </c>
      <c r="F126" s="39">
        <f>資料儲存!H1058</f>
        <v>0</v>
      </c>
      <c r="G126" s="39">
        <f>資料儲存!I1058</f>
        <v>0</v>
      </c>
      <c r="H126" s="39">
        <f>資料儲存!J1058</f>
        <v>0</v>
      </c>
      <c r="I126" s="35"/>
      <c r="J126" s="38">
        <v>37</v>
      </c>
      <c r="K126" s="39">
        <f>資料儲存!D1178</f>
        <v>0</v>
      </c>
      <c r="L126" s="39">
        <f>資料儲存!E1178</f>
        <v>0</v>
      </c>
      <c r="M126" s="39">
        <f>資料儲存!F1178</f>
        <v>0</v>
      </c>
      <c r="N126" s="39">
        <f>資料儲存!G1178</f>
        <v>0</v>
      </c>
      <c r="O126" s="39">
        <f>資料儲存!H1178</f>
        <v>0</v>
      </c>
      <c r="P126" s="39">
        <f>資料儲存!I1178</f>
        <v>0</v>
      </c>
      <c r="Q126" s="39">
        <f>資料儲存!J1178</f>
        <v>0</v>
      </c>
      <c r="R126" s="35"/>
      <c r="S126" s="38">
        <v>37</v>
      </c>
      <c r="T126" s="39">
        <f>資料儲存!D1298</f>
        <v>0</v>
      </c>
      <c r="U126" s="39">
        <f>資料儲存!E1298</f>
        <v>0</v>
      </c>
      <c r="V126" s="39">
        <f>資料儲存!F1298</f>
        <v>0</v>
      </c>
      <c r="W126" s="39">
        <f>資料儲存!G1298</f>
        <v>0</v>
      </c>
      <c r="X126" s="39">
        <f>資料儲存!H1298</f>
        <v>0</v>
      </c>
      <c r="Y126" s="39">
        <f>資料儲存!I1298</f>
        <v>0</v>
      </c>
      <c r="Z126" s="39">
        <f>資料儲存!J1298</f>
        <v>0</v>
      </c>
      <c r="AA126" s="35"/>
      <c r="AB126" s="38">
        <v>37</v>
      </c>
      <c r="AC126" s="39">
        <f>資料儲存!D1418</f>
        <v>0</v>
      </c>
      <c r="AD126" s="39">
        <f>資料儲存!E1418</f>
        <v>0</v>
      </c>
      <c r="AE126" s="39">
        <f>資料儲存!F1418</f>
        <v>0</v>
      </c>
      <c r="AF126" s="39">
        <f>資料儲存!G1418</f>
        <v>0</v>
      </c>
      <c r="AG126" s="39">
        <f>資料儲存!H1418</f>
        <v>0</v>
      </c>
      <c r="AH126" s="39">
        <f>資料儲存!I1418</f>
        <v>0</v>
      </c>
      <c r="AI126" s="39">
        <f>資料儲存!J1418</f>
        <v>0</v>
      </c>
      <c r="AJ126" s="13"/>
    </row>
    <row r="127" spans="1:36" ht="16" thickBot="1">
      <c r="A127" s="38">
        <v>38</v>
      </c>
      <c r="B127" s="39">
        <f>資料儲存!D1059</f>
        <v>0</v>
      </c>
      <c r="C127" s="39">
        <f>資料儲存!E1059</f>
        <v>0</v>
      </c>
      <c r="D127" s="39">
        <f>資料儲存!F1059</f>
        <v>0</v>
      </c>
      <c r="E127" s="39">
        <f>資料儲存!G1059</f>
        <v>0</v>
      </c>
      <c r="F127" s="39">
        <f>資料儲存!H1059</f>
        <v>0</v>
      </c>
      <c r="G127" s="39">
        <f>資料儲存!I1059</f>
        <v>0</v>
      </c>
      <c r="H127" s="39">
        <f>資料儲存!J1059</f>
        <v>0</v>
      </c>
      <c r="I127" s="35"/>
      <c r="J127" s="38">
        <v>38</v>
      </c>
      <c r="K127" s="39">
        <f>資料儲存!D1179</f>
        <v>0</v>
      </c>
      <c r="L127" s="39">
        <f>資料儲存!E1179</f>
        <v>0</v>
      </c>
      <c r="M127" s="39">
        <f>資料儲存!F1179</f>
        <v>0</v>
      </c>
      <c r="N127" s="39">
        <f>資料儲存!G1179</f>
        <v>0</v>
      </c>
      <c r="O127" s="39">
        <f>資料儲存!H1179</f>
        <v>0</v>
      </c>
      <c r="P127" s="39">
        <f>資料儲存!I1179</f>
        <v>0</v>
      </c>
      <c r="Q127" s="39">
        <f>資料儲存!J1179</f>
        <v>0</v>
      </c>
      <c r="R127" s="35"/>
      <c r="S127" s="38">
        <v>38</v>
      </c>
      <c r="T127" s="39">
        <f>資料儲存!D1299</f>
        <v>0</v>
      </c>
      <c r="U127" s="39">
        <f>資料儲存!E1299</f>
        <v>0</v>
      </c>
      <c r="V127" s="39">
        <f>資料儲存!F1299</f>
        <v>0</v>
      </c>
      <c r="W127" s="39">
        <f>資料儲存!G1299</f>
        <v>0</v>
      </c>
      <c r="X127" s="39">
        <f>資料儲存!H1299</f>
        <v>0</v>
      </c>
      <c r="Y127" s="39">
        <f>資料儲存!I1299</f>
        <v>0</v>
      </c>
      <c r="Z127" s="39">
        <f>資料儲存!J1299</f>
        <v>0</v>
      </c>
      <c r="AA127" s="35"/>
      <c r="AB127" s="38">
        <v>38</v>
      </c>
      <c r="AC127" s="39">
        <f>資料儲存!D1419</f>
        <v>0</v>
      </c>
      <c r="AD127" s="39">
        <f>資料儲存!E1419</f>
        <v>0</v>
      </c>
      <c r="AE127" s="39">
        <f>資料儲存!F1419</f>
        <v>0</v>
      </c>
      <c r="AF127" s="39">
        <f>資料儲存!G1419</f>
        <v>0</v>
      </c>
      <c r="AG127" s="39">
        <f>資料儲存!H1419</f>
        <v>0</v>
      </c>
      <c r="AH127" s="39">
        <f>資料儲存!I1419</f>
        <v>0</v>
      </c>
      <c r="AI127" s="39">
        <f>資料儲存!J1419</f>
        <v>0</v>
      </c>
      <c r="AJ127" s="13"/>
    </row>
    <row r="128" spans="1:36" ht="16" thickBot="1">
      <c r="A128" s="38">
        <v>39</v>
      </c>
      <c r="B128" s="39">
        <f>資料儲存!D1060</f>
        <v>0</v>
      </c>
      <c r="C128" s="39">
        <f>資料儲存!E1060</f>
        <v>0</v>
      </c>
      <c r="D128" s="39">
        <f>資料儲存!F1060</f>
        <v>0</v>
      </c>
      <c r="E128" s="39">
        <f>資料儲存!G1060</f>
        <v>0</v>
      </c>
      <c r="F128" s="39">
        <f>資料儲存!H1060</f>
        <v>0</v>
      </c>
      <c r="G128" s="39">
        <f>資料儲存!I1060</f>
        <v>0</v>
      </c>
      <c r="H128" s="39">
        <f>資料儲存!J1060</f>
        <v>0</v>
      </c>
      <c r="I128" s="35"/>
      <c r="J128" s="38">
        <v>39</v>
      </c>
      <c r="K128" s="39">
        <f>資料儲存!D1180</f>
        <v>0</v>
      </c>
      <c r="L128" s="39">
        <f>資料儲存!E1180</f>
        <v>0</v>
      </c>
      <c r="M128" s="39">
        <f>資料儲存!F1180</f>
        <v>0</v>
      </c>
      <c r="N128" s="39">
        <f>資料儲存!G1180</f>
        <v>0</v>
      </c>
      <c r="O128" s="39">
        <f>資料儲存!H1180</f>
        <v>0</v>
      </c>
      <c r="P128" s="39">
        <f>資料儲存!I1180</f>
        <v>0</v>
      </c>
      <c r="Q128" s="39">
        <f>資料儲存!J1180</f>
        <v>0</v>
      </c>
      <c r="R128" s="35"/>
      <c r="S128" s="38">
        <v>39</v>
      </c>
      <c r="T128" s="39">
        <f>資料儲存!D1300</f>
        <v>0</v>
      </c>
      <c r="U128" s="39">
        <f>資料儲存!E1300</f>
        <v>0</v>
      </c>
      <c r="V128" s="39">
        <f>資料儲存!F1300</f>
        <v>0</v>
      </c>
      <c r="W128" s="39">
        <f>資料儲存!G1300</f>
        <v>0</v>
      </c>
      <c r="X128" s="39">
        <f>資料儲存!H1300</f>
        <v>0</v>
      </c>
      <c r="Y128" s="39">
        <f>資料儲存!I1300</f>
        <v>0</v>
      </c>
      <c r="Z128" s="39">
        <f>資料儲存!J1300</f>
        <v>0</v>
      </c>
      <c r="AA128" s="35"/>
      <c r="AB128" s="38">
        <v>39</v>
      </c>
      <c r="AC128" s="39">
        <f>資料儲存!D1420</f>
        <v>0</v>
      </c>
      <c r="AD128" s="39">
        <f>資料儲存!E1420</f>
        <v>0</v>
      </c>
      <c r="AE128" s="39">
        <f>資料儲存!F1420</f>
        <v>0</v>
      </c>
      <c r="AF128" s="39">
        <f>資料儲存!G1420</f>
        <v>0</v>
      </c>
      <c r="AG128" s="39">
        <f>資料儲存!H1420</f>
        <v>0</v>
      </c>
      <c r="AH128" s="39">
        <f>資料儲存!I1420</f>
        <v>0</v>
      </c>
      <c r="AI128" s="39">
        <f>資料儲存!J1420</f>
        <v>0</v>
      </c>
      <c r="AJ128" s="13"/>
    </row>
    <row r="129" spans="1:36" ht="16" thickBot="1">
      <c r="A129" s="38">
        <v>40</v>
      </c>
      <c r="B129" s="39">
        <f>資料儲存!D1061</f>
        <v>0</v>
      </c>
      <c r="C129" s="39">
        <f>資料儲存!E1061</f>
        <v>0</v>
      </c>
      <c r="D129" s="39">
        <f>資料儲存!F1061</f>
        <v>0</v>
      </c>
      <c r="E129" s="39">
        <f>資料儲存!G1061</f>
        <v>0</v>
      </c>
      <c r="F129" s="39">
        <f>資料儲存!H1061</f>
        <v>0</v>
      </c>
      <c r="G129" s="39">
        <f>資料儲存!I1061</f>
        <v>0</v>
      </c>
      <c r="H129" s="39">
        <f>資料儲存!J1061</f>
        <v>0</v>
      </c>
      <c r="I129" s="35"/>
      <c r="J129" s="38">
        <v>40</v>
      </c>
      <c r="K129" s="39">
        <f>資料儲存!D1181</f>
        <v>0</v>
      </c>
      <c r="L129" s="39">
        <f>資料儲存!E1181</f>
        <v>0</v>
      </c>
      <c r="M129" s="39">
        <f>資料儲存!F1181</f>
        <v>0</v>
      </c>
      <c r="N129" s="39">
        <f>資料儲存!G1181</f>
        <v>0</v>
      </c>
      <c r="O129" s="39">
        <f>資料儲存!H1181</f>
        <v>0</v>
      </c>
      <c r="P129" s="39">
        <f>資料儲存!I1181</f>
        <v>0</v>
      </c>
      <c r="Q129" s="39">
        <f>資料儲存!J1181</f>
        <v>0</v>
      </c>
      <c r="R129" s="35"/>
      <c r="S129" s="38">
        <v>40</v>
      </c>
      <c r="T129" s="39">
        <f>資料儲存!D1301</f>
        <v>0</v>
      </c>
      <c r="U129" s="39">
        <f>資料儲存!E1301</f>
        <v>0</v>
      </c>
      <c r="V129" s="39">
        <f>資料儲存!F1301</f>
        <v>0</v>
      </c>
      <c r="W129" s="39">
        <f>資料儲存!G1301</f>
        <v>0</v>
      </c>
      <c r="X129" s="39">
        <f>資料儲存!H1301</f>
        <v>0</v>
      </c>
      <c r="Y129" s="39">
        <f>資料儲存!I1301</f>
        <v>0</v>
      </c>
      <c r="Z129" s="39">
        <f>資料儲存!J1301</f>
        <v>0</v>
      </c>
      <c r="AA129" s="35"/>
      <c r="AB129" s="38">
        <v>40</v>
      </c>
      <c r="AC129" s="39">
        <f>資料儲存!D1421</f>
        <v>0</v>
      </c>
      <c r="AD129" s="39">
        <f>資料儲存!E1421</f>
        <v>0</v>
      </c>
      <c r="AE129" s="39">
        <f>資料儲存!F1421</f>
        <v>0</v>
      </c>
      <c r="AF129" s="39">
        <f>資料儲存!G1421</f>
        <v>0</v>
      </c>
      <c r="AG129" s="39">
        <f>資料儲存!H1421</f>
        <v>0</v>
      </c>
      <c r="AH129" s="39">
        <f>資料儲存!I1421</f>
        <v>0</v>
      </c>
      <c r="AI129" s="39">
        <f>資料儲存!J1421</f>
        <v>0</v>
      </c>
      <c r="AJ129" s="13"/>
    </row>
    <row r="130" spans="1:36" ht="16" thickBot="1">
      <c r="A130" s="38">
        <v>41</v>
      </c>
      <c r="B130" s="39">
        <f>資料儲存!D1062</f>
        <v>0</v>
      </c>
      <c r="C130" s="39">
        <f>資料儲存!E1062</f>
        <v>0</v>
      </c>
      <c r="D130" s="39">
        <f>資料儲存!F1062</f>
        <v>0</v>
      </c>
      <c r="E130" s="39">
        <f>資料儲存!G1062</f>
        <v>0</v>
      </c>
      <c r="F130" s="39">
        <f>資料儲存!H1062</f>
        <v>0</v>
      </c>
      <c r="G130" s="39">
        <f>資料儲存!I1062</f>
        <v>0</v>
      </c>
      <c r="H130" s="39">
        <f>資料儲存!J1062</f>
        <v>0</v>
      </c>
      <c r="I130" s="35"/>
      <c r="J130" s="38">
        <v>41</v>
      </c>
      <c r="K130" s="39">
        <f>資料儲存!D1182</f>
        <v>0</v>
      </c>
      <c r="L130" s="39">
        <f>資料儲存!E1182</f>
        <v>0</v>
      </c>
      <c r="M130" s="39">
        <f>資料儲存!F1182</f>
        <v>0</v>
      </c>
      <c r="N130" s="39">
        <f>資料儲存!G1182</f>
        <v>0</v>
      </c>
      <c r="O130" s="39">
        <f>資料儲存!H1182</f>
        <v>0</v>
      </c>
      <c r="P130" s="39">
        <f>資料儲存!I1182</f>
        <v>0</v>
      </c>
      <c r="Q130" s="39">
        <f>資料儲存!J1182</f>
        <v>0</v>
      </c>
      <c r="R130" s="35"/>
      <c r="S130" s="38">
        <v>41</v>
      </c>
      <c r="T130" s="39">
        <f>資料儲存!D1302</f>
        <v>0</v>
      </c>
      <c r="U130" s="39">
        <f>資料儲存!E1302</f>
        <v>0</v>
      </c>
      <c r="V130" s="39">
        <f>資料儲存!F1302</f>
        <v>0</v>
      </c>
      <c r="W130" s="39">
        <f>資料儲存!G1302</f>
        <v>0</v>
      </c>
      <c r="X130" s="39">
        <f>資料儲存!H1302</f>
        <v>0</v>
      </c>
      <c r="Y130" s="39">
        <f>資料儲存!I1302</f>
        <v>0</v>
      </c>
      <c r="Z130" s="39">
        <f>資料儲存!J1302</f>
        <v>0</v>
      </c>
      <c r="AA130" s="35"/>
      <c r="AB130" s="38">
        <v>41</v>
      </c>
      <c r="AC130" s="39">
        <f>資料儲存!D1422</f>
        <v>0</v>
      </c>
      <c r="AD130" s="39">
        <f>資料儲存!E1422</f>
        <v>0</v>
      </c>
      <c r="AE130" s="39">
        <f>資料儲存!F1422</f>
        <v>0</v>
      </c>
      <c r="AF130" s="39">
        <f>資料儲存!G1422</f>
        <v>0</v>
      </c>
      <c r="AG130" s="39">
        <f>資料儲存!H1422</f>
        <v>0</v>
      </c>
      <c r="AH130" s="39">
        <f>資料儲存!I1422</f>
        <v>0</v>
      </c>
      <c r="AI130" s="39">
        <f>資料儲存!J1422</f>
        <v>0</v>
      </c>
      <c r="AJ130" s="13"/>
    </row>
    <row r="131" spans="1:36" ht="16" thickBot="1">
      <c r="A131" s="38">
        <v>42</v>
      </c>
      <c r="B131" s="39">
        <f>資料儲存!D1063</f>
        <v>0</v>
      </c>
      <c r="C131" s="39">
        <f>資料儲存!E1063</f>
        <v>0</v>
      </c>
      <c r="D131" s="39">
        <f>資料儲存!F1063</f>
        <v>0</v>
      </c>
      <c r="E131" s="39">
        <f>資料儲存!G1063</f>
        <v>0</v>
      </c>
      <c r="F131" s="39">
        <f>資料儲存!H1063</f>
        <v>0</v>
      </c>
      <c r="G131" s="39">
        <f>資料儲存!I1063</f>
        <v>0</v>
      </c>
      <c r="H131" s="39">
        <f>資料儲存!J1063</f>
        <v>0</v>
      </c>
      <c r="I131" s="35"/>
      <c r="J131" s="38">
        <v>42</v>
      </c>
      <c r="K131" s="39">
        <f>資料儲存!D1183</f>
        <v>0</v>
      </c>
      <c r="L131" s="39">
        <f>資料儲存!E1183</f>
        <v>0</v>
      </c>
      <c r="M131" s="39">
        <f>資料儲存!F1183</f>
        <v>0</v>
      </c>
      <c r="N131" s="39">
        <f>資料儲存!G1183</f>
        <v>0</v>
      </c>
      <c r="O131" s="39">
        <f>資料儲存!H1183</f>
        <v>0</v>
      </c>
      <c r="P131" s="39">
        <f>資料儲存!I1183</f>
        <v>0</v>
      </c>
      <c r="Q131" s="39">
        <f>資料儲存!J1183</f>
        <v>0</v>
      </c>
      <c r="R131" s="35"/>
      <c r="S131" s="38">
        <v>42</v>
      </c>
      <c r="T131" s="39">
        <f>資料儲存!D1303</f>
        <v>0</v>
      </c>
      <c r="U131" s="39">
        <f>資料儲存!E1303</f>
        <v>0</v>
      </c>
      <c r="V131" s="39">
        <f>資料儲存!F1303</f>
        <v>0</v>
      </c>
      <c r="W131" s="39">
        <f>資料儲存!G1303</f>
        <v>0</v>
      </c>
      <c r="X131" s="39">
        <f>資料儲存!H1303</f>
        <v>0</v>
      </c>
      <c r="Y131" s="39">
        <f>資料儲存!I1303</f>
        <v>0</v>
      </c>
      <c r="Z131" s="39">
        <f>資料儲存!J1303</f>
        <v>0</v>
      </c>
      <c r="AA131" s="35"/>
      <c r="AB131" s="38">
        <v>42</v>
      </c>
      <c r="AC131" s="39">
        <f>資料儲存!D1423</f>
        <v>0</v>
      </c>
      <c r="AD131" s="39">
        <f>資料儲存!E1423</f>
        <v>0</v>
      </c>
      <c r="AE131" s="39">
        <f>資料儲存!F1423</f>
        <v>0</v>
      </c>
      <c r="AF131" s="39">
        <f>資料儲存!G1423</f>
        <v>0</v>
      </c>
      <c r="AG131" s="39">
        <f>資料儲存!H1423</f>
        <v>0</v>
      </c>
      <c r="AH131" s="39">
        <f>資料儲存!I1423</f>
        <v>0</v>
      </c>
      <c r="AI131" s="39">
        <f>資料儲存!J1423</f>
        <v>0</v>
      </c>
      <c r="AJ131" s="13"/>
    </row>
    <row r="132" spans="1:36" ht="16" thickBot="1">
      <c r="A132" s="38">
        <v>43</v>
      </c>
      <c r="B132" s="39">
        <f>資料儲存!D1064</f>
        <v>0</v>
      </c>
      <c r="C132" s="39">
        <f>資料儲存!E1064</f>
        <v>0</v>
      </c>
      <c r="D132" s="39">
        <f>資料儲存!F1064</f>
        <v>0</v>
      </c>
      <c r="E132" s="39">
        <f>資料儲存!G1064</f>
        <v>0</v>
      </c>
      <c r="F132" s="39">
        <f>資料儲存!H1064</f>
        <v>0</v>
      </c>
      <c r="G132" s="39">
        <f>資料儲存!I1064</f>
        <v>0</v>
      </c>
      <c r="H132" s="39">
        <f>資料儲存!J1064</f>
        <v>0</v>
      </c>
      <c r="I132" s="35"/>
      <c r="J132" s="38">
        <v>43</v>
      </c>
      <c r="K132" s="39">
        <f>資料儲存!D1184</f>
        <v>0</v>
      </c>
      <c r="L132" s="39">
        <f>資料儲存!E1184</f>
        <v>0</v>
      </c>
      <c r="M132" s="39">
        <f>資料儲存!F1184</f>
        <v>0</v>
      </c>
      <c r="N132" s="39">
        <f>資料儲存!G1184</f>
        <v>0</v>
      </c>
      <c r="O132" s="39">
        <f>資料儲存!H1184</f>
        <v>0</v>
      </c>
      <c r="P132" s="39">
        <f>資料儲存!I1184</f>
        <v>0</v>
      </c>
      <c r="Q132" s="39">
        <f>資料儲存!J1184</f>
        <v>0</v>
      </c>
      <c r="R132" s="35"/>
      <c r="S132" s="38">
        <v>43</v>
      </c>
      <c r="T132" s="39">
        <f>資料儲存!D1304</f>
        <v>0</v>
      </c>
      <c r="U132" s="39">
        <f>資料儲存!E1304</f>
        <v>0</v>
      </c>
      <c r="V132" s="39">
        <f>資料儲存!F1304</f>
        <v>0</v>
      </c>
      <c r="W132" s="39">
        <f>資料儲存!G1304</f>
        <v>0</v>
      </c>
      <c r="X132" s="39">
        <f>資料儲存!H1304</f>
        <v>0</v>
      </c>
      <c r="Y132" s="39">
        <f>資料儲存!I1304</f>
        <v>0</v>
      </c>
      <c r="Z132" s="39">
        <f>資料儲存!J1304</f>
        <v>0</v>
      </c>
      <c r="AA132" s="35"/>
      <c r="AB132" s="38">
        <v>43</v>
      </c>
      <c r="AC132" s="39">
        <f>資料儲存!D1424</f>
        <v>0</v>
      </c>
      <c r="AD132" s="39">
        <f>資料儲存!E1424</f>
        <v>0</v>
      </c>
      <c r="AE132" s="39">
        <f>資料儲存!F1424</f>
        <v>0</v>
      </c>
      <c r="AF132" s="39">
        <f>資料儲存!G1424</f>
        <v>0</v>
      </c>
      <c r="AG132" s="39">
        <f>資料儲存!H1424</f>
        <v>0</v>
      </c>
      <c r="AH132" s="39">
        <f>資料儲存!I1424</f>
        <v>0</v>
      </c>
      <c r="AI132" s="39">
        <f>資料儲存!J1424</f>
        <v>0</v>
      </c>
      <c r="AJ132" s="13"/>
    </row>
    <row r="133" spans="1:36" ht="16" thickBot="1">
      <c r="A133" s="38">
        <v>44</v>
      </c>
      <c r="B133" s="39">
        <f>資料儲存!D1065</f>
        <v>0</v>
      </c>
      <c r="C133" s="39">
        <f>資料儲存!E1065</f>
        <v>0</v>
      </c>
      <c r="D133" s="39">
        <f>資料儲存!F1065</f>
        <v>0</v>
      </c>
      <c r="E133" s="39">
        <f>資料儲存!G1065</f>
        <v>0</v>
      </c>
      <c r="F133" s="39">
        <f>資料儲存!H1065</f>
        <v>0</v>
      </c>
      <c r="G133" s="39">
        <f>資料儲存!I1065</f>
        <v>0</v>
      </c>
      <c r="H133" s="39">
        <f>資料儲存!J1065</f>
        <v>0</v>
      </c>
      <c r="I133" s="35"/>
      <c r="J133" s="38">
        <v>44</v>
      </c>
      <c r="K133" s="39">
        <f>資料儲存!D1185</f>
        <v>0</v>
      </c>
      <c r="L133" s="39">
        <f>資料儲存!E1185</f>
        <v>0</v>
      </c>
      <c r="M133" s="39">
        <f>資料儲存!F1185</f>
        <v>0</v>
      </c>
      <c r="N133" s="39">
        <f>資料儲存!G1185</f>
        <v>0</v>
      </c>
      <c r="O133" s="39">
        <f>資料儲存!H1185</f>
        <v>0</v>
      </c>
      <c r="P133" s="39">
        <f>資料儲存!I1185</f>
        <v>0</v>
      </c>
      <c r="Q133" s="39">
        <f>資料儲存!J1185</f>
        <v>0</v>
      </c>
      <c r="R133" s="35"/>
      <c r="S133" s="38">
        <v>44</v>
      </c>
      <c r="T133" s="39">
        <f>資料儲存!D1305</f>
        <v>0</v>
      </c>
      <c r="U133" s="39">
        <f>資料儲存!E1305</f>
        <v>0</v>
      </c>
      <c r="V133" s="39">
        <f>資料儲存!F1305</f>
        <v>0</v>
      </c>
      <c r="W133" s="39">
        <f>資料儲存!G1305</f>
        <v>0</v>
      </c>
      <c r="X133" s="39">
        <f>資料儲存!H1305</f>
        <v>0</v>
      </c>
      <c r="Y133" s="39">
        <f>資料儲存!I1305</f>
        <v>0</v>
      </c>
      <c r="Z133" s="39">
        <f>資料儲存!J1305</f>
        <v>0</v>
      </c>
      <c r="AA133" s="35"/>
      <c r="AB133" s="38">
        <v>44</v>
      </c>
      <c r="AC133" s="39">
        <f>資料儲存!D1425</f>
        <v>0</v>
      </c>
      <c r="AD133" s="39">
        <f>資料儲存!E1425</f>
        <v>0</v>
      </c>
      <c r="AE133" s="39">
        <f>資料儲存!F1425</f>
        <v>0</v>
      </c>
      <c r="AF133" s="39">
        <f>資料儲存!G1425</f>
        <v>0</v>
      </c>
      <c r="AG133" s="39">
        <f>資料儲存!H1425</f>
        <v>0</v>
      </c>
      <c r="AH133" s="39">
        <f>資料儲存!I1425</f>
        <v>0</v>
      </c>
      <c r="AI133" s="39">
        <f>資料儲存!J1425</f>
        <v>0</v>
      </c>
      <c r="AJ133" s="13"/>
    </row>
    <row r="134" spans="1:36" ht="16" thickBot="1">
      <c r="A134" s="38">
        <v>45</v>
      </c>
      <c r="B134" s="39">
        <f>資料儲存!D1066</f>
        <v>0</v>
      </c>
      <c r="C134" s="39">
        <f>資料儲存!E1066</f>
        <v>0</v>
      </c>
      <c r="D134" s="39">
        <f>資料儲存!F1066</f>
        <v>0</v>
      </c>
      <c r="E134" s="39">
        <f>資料儲存!G1066</f>
        <v>0</v>
      </c>
      <c r="F134" s="39">
        <f>資料儲存!H1066</f>
        <v>0</v>
      </c>
      <c r="G134" s="39">
        <f>資料儲存!I1066</f>
        <v>0</v>
      </c>
      <c r="H134" s="39">
        <f>資料儲存!J1066</f>
        <v>0</v>
      </c>
      <c r="I134" s="35"/>
      <c r="J134" s="38">
        <v>45</v>
      </c>
      <c r="K134" s="39">
        <f>資料儲存!D1186</f>
        <v>0</v>
      </c>
      <c r="L134" s="39">
        <f>資料儲存!E1186</f>
        <v>0</v>
      </c>
      <c r="M134" s="39">
        <f>資料儲存!F1186</f>
        <v>0</v>
      </c>
      <c r="N134" s="39">
        <f>資料儲存!G1186</f>
        <v>0</v>
      </c>
      <c r="O134" s="39">
        <f>資料儲存!H1186</f>
        <v>0</v>
      </c>
      <c r="P134" s="39">
        <f>資料儲存!I1186</f>
        <v>0</v>
      </c>
      <c r="Q134" s="39">
        <f>資料儲存!J1186</f>
        <v>0</v>
      </c>
      <c r="R134" s="35"/>
      <c r="S134" s="38">
        <v>45</v>
      </c>
      <c r="T134" s="39">
        <f>資料儲存!D1306</f>
        <v>0</v>
      </c>
      <c r="U134" s="39">
        <f>資料儲存!E1306</f>
        <v>0</v>
      </c>
      <c r="V134" s="39">
        <f>資料儲存!F1306</f>
        <v>0</v>
      </c>
      <c r="W134" s="39">
        <f>資料儲存!G1306</f>
        <v>0</v>
      </c>
      <c r="X134" s="39">
        <f>資料儲存!H1306</f>
        <v>0</v>
      </c>
      <c r="Y134" s="39">
        <f>資料儲存!I1306</f>
        <v>0</v>
      </c>
      <c r="Z134" s="39">
        <f>資料儲存!J1306</f>
        <v>0</v>
      </c>
      <c r="AA134" s="35"/>
      <c r="AB134" s="38">
        <v>45</v>
      </c>
      <c r="AC134" s="39">
        <f>資料儲存!D1426</f>
        <v>0</v>
      </c>
      <c r="AD134" s="39">
        <f>資料儲存!E1426</f>
        <v>0</v>
      </c>
      <c r="AE134" s="39">
        <f>資料儲存!F1426</f>
        <v>0</v>
      </c>
      <c r="AF134" s="39">
        <f>資料儲存!G1426</f>
        <v>0</v>
      </c>
      <c r="AG134" s="39">
        <f>資料儲存!H1426</f>
        <v>0</v>
      </c>
      <c r="AH134" s="39">
        <f>資料儲存!I1426</f>
        <v>0</v>
      </c>
      <c r="AI134" s="39">
        <f>資料儲存!J1426</f>
        <v>0</v>
      </c>
      <c r="AJ134" s="13"/>
    </row>
    <row r="135" spans="1:36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13"/>
    </row>
    <row r="136" spans="1:36" ht="18.5" thickBot="1">
      <c r="A136" s="250" t="s">
        <v>98</v>
      </c>
      <c r="B136" s="251"/>
      <c r="C136" s="251"/>
      <c r="D136" s="251"/>
      <c r="E136" s="251"/>
      <c r="F136" s="251"/>
      <c r="G136" s="251"/>
      <c r="H136" s="252"/>
      <c r="I136" s="13"/>
      <c r="J136" s="250" t="s">
        <v>98</v>
      </c>
      <c r="K136" s="251"/>
      <c r="L136" s="251"/>
      <c r="M136" s="251"/>
      <c r="N136" s="251"/>
      <c r="O136" s="251"/>
      <c r="P136" s="251"/>
      <c r="Q136" s="252"/>
      <c r="R136" s="13"/>
      <c r="S136" s="250" t="s">
        <v>98</v>
      </c>
      <c r="T136" s="251"/>
      <c r="U136" s="251"/>
      <c r="V136" s="251"/>
      <c r="W136" s="251"/>
      <c r="X136" s="251"/>
      <c r="Y136" s="251"/>
      <c r="Z136" s="252"/>
      <c r="AA136" s="13"/>
      <c r="AB136" s="250" t="s">
        <v>98</v>
      </c>
      <c r="AC136" s="251"/>
      <c r="AD136" s="251"/>
      <c r="AE136" s="251"/>
      <c r="AF136" s="251"/>
      <c r="AG136" s="251"/>
      <c r="AH136" s="251"/>
      <c r="AI136" s="252"/>
      <c r="AJ136" s="13"/>
    </row>
    <row r="137" spans="1:36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</row>
    <row r="138" spans="1:36" ht="16" thickBot="1">
      <c r="A138" s="46">
        <v>0.53125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>
        <v>0.53125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>
        <v>0.53125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>
        <v>0.53125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</row>
    <row r="139" spans="1:36" ht="16" thickBot="1">
      <c r="A139" s="48">
        <v>46</v>
      </c>
      <c r="B139" s="49">
        <f>資料儲存!D1067</f>
        <v>0</v>
      </c>
      <c r="C139" s="49">
        <f>資料儲存!E1067</f>
        <v>0</v>
      </c>
      <c r="D139" s="49">
        <f>資料儲存!F1067</f>
        <v>0</v>
      </c>
      <c r="E139" s="49">
        <f>資料儲存!G1067</f>
        <v>0</v>
      </c>
      <c r="F139" s="49">
        <f>資料儲存!H1067</f>
        <v>0</v>
      </c>
      <c r="G139" s="49">
        <f>資料儲存!I1067</f>
        <v>0</v>
      </c>
      <c r="H139" s="49">
        <f>資料儲存!J1067</f>
        <v>0</v>
      </c>
      <c r="I139" s="45"/>
      <c r="J139" s="48">
        <v>46</v>
      </c>
      <c r="K139" s="49">
        <f>資料儲存!D1187</f>
        <v>0</v>
      </c>
      <c r="L139" s="49">
        <f>資料儲存!E1187</f>
        <v>0</v>
      </c>
      <c r="M139" s="49">
        <f>資料儲存!F1187</f>
        <v>0</v>
      </c>
      <c r="N139" s="49">
        <f>資料儲存!G1187</f>
        <v>0</v>
      </c>
      <c r="O139" s="49">
        <f>資料儲存!H1187</f>
        <v>0</v>
      </c>
      <c r="P139" s="49">
        <f>資料儲存!I1187</f>
        <v>0</v>
      </c>
      <c r="Q139" s="49">
        <f>資料儲存!J1187</f>
        <v>0</v>
      </c>
      <c r="R139" s="45"/>
      <c r="S139" s="48">
        <v>46</v>
      </c>
      <c r="T139" s="49">
        <f>資料儲存!D1307</f>
        <v>0</v>
      </c>
      <c r="U139" s="49">
        <f>資料儲存!E1307</f>
        <v>0</v>
      </c>
      <c r="V139" s="49">
        <f>資料儲存!F1307</f>
        <v>0</v>
      </c>
      <c r="W139" s="49">
        <f>資料儲存!G1307</f>
        <v>0</v>
      </c>
      <c r="X139" s="49">
        <f>資料儲存!H1307</f>
        <v>0</v>
      </c>
      <c r="Y139" s="49">
        <f>資料儲存!I1307</f>
        <v>0</v>
      </c>
      <c r="Z139" s="49">
        <f>資料儲存!J1307</f>
        <v>0</v>
      </c>
      <c r="AA139" s="45"/>
      <c r="AB139" s="48">
        <v>46</v>
      </c>
      <c r="AC139" s="49">
        <f>資料儲存!D1427</f>
        <v>0</v>
      </c>
      <c r="AD139" s="49">
        <f>資料儲存!E1427</f>
        <v>0</v>
      </c>
      <c r="AE139" s="49">
        <f>資料儲存!F1427</f>
        <v>0</v>
      </c>
      <c r="AF139" s="49">
        <f>資料儲存!G1427</f>
        <v>0</v>
      </c>
      <c r="AG139" s="49">
        <f>資料儲存!H1427</f>
        <v>0</v>
      </c>
      <c r="AH139" s="49">
        <f>資料儲存!I1427</f>
        <v>0</v>
      </c>
      <c r="AI139" s="49">
        <f>資料儲存!J1427</f>
        <v>0</v>
      </c>
      <c r="AJ139" s="13"/>
    </row>
    <row r="140" spans="1:36" ht="16" thickBot="1">
      <c r="A140" s="48">
        <v>47</v>
      </c>
      <c r="B140" s="49">
        <f>資料儲存!D1068</f>
        <v>0</v>
      </c>
      <c r="C140" s="49">
        <f>資料儲存!E1068</f>
        <v>0</v>
      </c>
      <c r="D140" s="49">
        <f>資料儲存!F1068</f>
        <v>0</v>
      </c>
      <c r="E140" s="49">
        <f>資料儲存!G1068</f>
        <v>0</v>
      </c>
      <c r="F140" s="49">
        <f>資料儲存!H1068</f>
        <v>0</v>
      </c>
      <c r="G140" s="49">
        <f>資料儲存!I1068</f>
        <v>0</v>
      </c>
      <c r="H140" s="49">
        <f>資料儲存!J1068</f>
        <v>0</v>
      </c>
      <c r="I140" s="45"/>
      <c r="J140" s="48">
        <v>47</v>
      </c>
      <c r="K140" s="49">
        <f>資料儲存!D1188</f>
        <v>0</v>
      </c>
      <c r="L140" s="49">
        <f>資料儲存!E1188</f>
        <v>0</v>
      </c>
      <c r="M140" s="49">
        <f>資料儲存!F1188</f>
        <v>0</v>
      </c>
      <c r="N140" s="49">
        <f>資料儲存!G1188</f>
        <v>0</v>
      </c>
      <c r="O140" s="49">
        <f>資料儲存!H1188</f>
        <v>0</v>
      </c>
      <c r="P140" s="49">
        <f>資料儲存!I1188</f>
        <v>0</v>
      </c>
      <c r="Q140" s="49">
        <f>資料儲存!J1188</f>
        <v>0</v>
      </c>
      <c r="R140" s="45"/>
      <c r="S140" s="48">
        <v>47</v>
      </c>
      <c r="T140" s="49">
        <f>資料儲存!D1308</f>
        <v>0</v>
      </c>
      <c r="U140" s="49">
        <f>資料儲存!E1308</f>
        <v>0</v>
      </c>
      <c r="V140" s="49">
        <f>資料儲存!F1308</f>
        <v>0</v>
      </c>
      <c r="W140" s="49">
        <f>資料儲存!G1308</f>
        <v>0</v>
      </c>
      <c r="X140" s="49">
        <f>資料儲存!H1308</f>
        <v>0</v>
      </c>
      <c r="Y140" s="49">
        <f>資料儲存!I1308</f>
        <v>0</v>
      </c>
      <c r="Z140" s="49">
        <f>資料儲存!J1308</f>
        <v>0</v>
      </c>
      <c r="AA140" s="45"/>
      <c r="AB140" s="48">
        <v>47</v>
      </c>
      <c r="AC140" s="49">
        <f>資料儲存!D1428</f>
        <v>0</v>
      </c>
      <c r="AD140" s="49">
        <f>資料儲存!E1428</f>
        <v>0</v>
      </c>
      <c r="AE140" s="49">
        <f>資料儲存!F1428</f>
        <v>0</v>
      </c>
      <c r="AF140" s="49">
        <f>資料儲存!G1428</f>
        <v>0</v>
      </c>
      <c r="AG140" s="49">
        <f>資料儲存!H1428</f>
        <v>0</v>
      </c>
      <c r="AH140" s="49">
        <f>資料儲存!I1428</f>
        <v>0</v>
      </c>
      <c r="AI140" s="49">
        <f>資料儲存!J1428</f>
        <v>0</v>
      </c>
      <c r="AJ140" s="13"/>
    </row>
    <row r="141" spans="1:36" ht="16" thickBot="1">
      <c r="A141" s="48">
        <v>48</v>
      </c>
      <c r="B141" s="49">
        <f>資料儲存!D1069</f>
        <v>0</v>
      </c>
      <c r="C141" s="49">
        <f>資料儲存!E1069</f>
        <v>0</v>
      </c>
      <c r="D141" s="49">
        <f>資料儲存!F1069</f>
        <v>0</v>
      </c>
      <c r="E141" s="49">
        <f>資料儲存!G1069</f>
        <v>0</v>
      </c>
      <c r="F141" s="49">
        <f>資料儲存!H1069</f>
        <v>0</v>
      </c>
      <c r="G141" s="49">
        <f>資料儲存!I1069</f>
        <v>0</v>
      </c>
      <c r="H141" s="49">
        <f>資料儲存!J1069</f>
        <v>0</v>
      </c>
      <c r="I141" s="45"/>
      <c r="J141" s="48">
        <v>48</v>
      </c>
      <c r="K141" s="49">
        <f>資料儲存!D1189</f>
        <v>0</v>
      </c>
      <c r="L141" s="49">
        <f>資料儲存!E1189</f>
        <v>0</v>
      </c>
      <c r="M141" s="49">
        <f>資料儲存!F1189</f>
        <v>0</v>
      </c>
      <c r="N141" s="49">
        <f>資料儲存!G1189</f>
        <v>0</v>
      </c>
      <c r="O141" s="49">
        <f>資料儲存!H1189</f>
        <v>0</v>
      </c>
      <c r="P141" s="49">
        <f>資料儲存!I1189</f>
        <v>0</v>
      </c>
      <c r="Q141" s="49">
        <f>資料儲存!J1189</f>
        <v>0</v>
      </c>
      <c r="R141" s="45"/>
      <c r="S141" s="48">
        <v>48</v>
      </c>
      <c r="T141" s="49">
        <f>資料儲存!D1309</f>
        <v>0</v>
      </c>
      <c r="U141" s="49">
        <f>資料儲存!E1309</f>
        <v>0</v>
      </c>
      <c r="V141" s="49">
        <f>資料儲存!F1309</f>
        <v>0</v>
      </c>
      <c r="W141" s="49">
        <f>資料儲存!G1309</f>
        <v>0</v>
      </c>
      <c r="X141" s="49">
        <f>資料儲存!H1309</f>
        <v>0</v>
      </c>
      <c r="Y141" s="49">
        <f>資料儲存!I1309</f>
        <v>0</v>
      </c>
      <c r="Z141" s="49">
        <f>資料儲存!J1309</f>
        <v>0</v>
      </c>
      <c r="AA141" s="45"/>
      <c r="AB141" s="48">
        <v>48</v>
      </c>
      <c r="AC141" s="49">
        <f>資料儲存!D1429</f>
        <v>0</v>
      </c>
      <c r="AD141" s="49">
        <f>資料儲存!E1429</f>
        <v>0</v>
      </c>
      <c r="AE141" s="49">
        <f>資料儲存!F1429</f>
        <v>0</v>
      </c>
      <c r="AF141" s="49">
        <f>資料儲存!G1429</f>
        <v>0</v>
      </c>
      <c r="AG141" s="49">
        <f>資料儲存!H1429</f>
        <v>0</v>
      </c>
      <c r="AH141" s="49">
        <f>資料儲存!I1429</f>
        <v>0</v>
      </c>
      <c r="AI141" s="49">
        <f>資料儲存!J1429</f>
        <v>0</v>
      </c>
      <c r="AJ141" s="13"/>
    </row>
    <row r="142" spans="1:36" ht="16" thickBot="1">
      <c r="A142" s="48">
        <v>49</v>
      </c>
      <c r="B142" s="49">
        <f>資料儲存!D1070</f>
        <v>0</v>
      </c>
      <c r="C142" s="49">
        <f>資料儲存!E1070</f>
        <v>0</v>
      </c>
      <c r="D142" s="49">
        <f>資料儲存!F1070</f>
        <v>0</v>
      </c>
      <c r="E142" s="49">
        <f>資料儲存!G1070</f>
        <v>0</v>
      </c>
      <c r="F142" s="49">
        <f>資料儲存!H1070</f>
        <v>0</v>
      </c>
      <c r="G142" s="49">
        <f>資料儲存!I1070</f>
        <v>0</v>
      </c>
      <c r="H142" s="49">
        <f>資料儲存!J1070</f>
        <v>0</v>
      </c>
      <c r="I142" s="45"/>
      <c r="J142" s="48">
        <v>49</v>
      </c>
      <c r="K142" s="49">
        <f>資料儲存!D1190</f>
        <v>0</v>
      </c>
      <c r="L142" s="49">
        <f>資料儲存!E1190</f>
        <v>0</v>
      </c>
      <c r="M142" s="49">
        <f>資料儲存!F1190</f>
        <v>0</v>
      </c>
      <c r="N142" s="49">
        <f>資料儲存!G1190</f>
        <v>0</v>
      </c>
      <c r="O142" s="49">
        <f>資料儲存!H1190</f>
        <v>0</v>
      </c>
      <c r="P142" s="49">
        <f>資料儲存!I1190</f>
        <v>0</v>
      </c>
      <c r="Q142" s="49">
        <f>資料儲存!J1190</f>
        <v>0</v>
      </c>
      <c r="R142" s="45"/>
      <c r="S142" s="48">
        <v>49</v>
      </c>
      <c r="T142" s="49">
        <f>資料儲存!D1310</f>
        <v>0</v>
      </c>
      <c r="U142" s="49">
        <f>資料儲存!E1310</f>
        <v>0</v>
      </c>
      <c r="V142" s="49">
        <f>資料儲存!F1310</f>
        <v>0</v>
      </c>
      <c r="W142" s="49">
        <f>資料儲存!G1310</f>
        <v>0</v>
      </c>
      <c r="X142" s="49">
        <f>資料儲存!H1310</f>
        <v>0</v>
      </c>
      <c r="Y142" s="49">
        <f>資料儲存!I1310</f>
        <v>0</v>
      </c>
      <c r="Z142" s="49">
        <f>資料儲存!J1310</f>
        <v>0</v>
      </c>
      <c r="AA142" s="45"/>
      <c r="AB142" s="48">
        <v>49</v>
      </c>
      <c r="AC142" s="49">
        <f>資料儲存!D1430</f>
        <v>0</v>
      </c>
      <c r="AD142" s="49">
        <f>資料儲存!E1430</f>
        <v>0</v>
      </c>
      <c r="AE142" s="49">
        <f>資料儲存!F1430</f>
        <v>0</v>
      </c>
      <c r="AF142" s="49">
        <f>資料儲存!G1430</f>
        <v>0</v>
      </c>
      <c r="AG142" s="49">
        <f>資料儲存!H1430</f>
        <v>0</v>
      </c>
      <c r="AH142" s="49">
        <f>資料儲存!I1430</f>
        <v>0</v>
      </c>
      <c r="AI142" s="49">
        <f>資料儲存!J1430</f>
        <v>0</v>
      </c>
      <c r="AJ142" s="13"/>
    </row>
    <row r="143" spans="1:36" ht="16" thickBot="1">
      <c r="A143" s="48">
        <v>50</v>
      </c>
      <c r="B143" s="49">
        <f>資料儲存!D1071</f>
        <v>0</v>
      </c>
      <c r="C143" s="49">
        <f>資料儲存!E1071</f>
        <v>0</v>
      </c>
      <c r="D143" s="49">
        <f>資料儲存!F1071</f>
        <v>0</v>
      </c>
      <c r="E143" s="49">
        <f>資料儲存!G1071</f>
        <v>0</v>
      </c>
      <c r="F143" s="49">
        <f>資料儲存!H1071</f>
        <v>0</v>
      </c>
      <c r="G143" s="49">
        <f>資料儲存!I1071</f>
        <v>0</v>
      </c>
      <c r="H143" s="49">
        <f>資料儲存!J1071</f>
        <v>0</v>
      </c>
      <c r="I143" s="45"/>
      <c r="J143" s="48">
        <v>50</v>
      </c>
      <c r="K143" s="49">
        <f>資料儲存!D1191</f>
        <v>0</v>
      </c>
      <c r="L143" s="49">
        <f>資料儲存!E1191</f>
        <v>0</v>
      </c>
      <c r="M143" s="49">
        <f>資料儲存!F1191</f>
        <v>0</v>
      </c>
      <c r="N143" s="49">
        <f>資料儲存!G1191</f>
        <v>0</v>
      </c>
      <c r="O143" s="49">
        <f>資料儲存!H1191</f>
        <v>0</v>
      </c>
      <c r="P143" s="49">
        <f>資料儲存!I1191</f>
        <v>0</v>
      </c>
      <c r="Q143" s="49">
        <f>資料儲存!J1191</f>
        <v>0</v>
      </c>
      <c r="R143" s="45"/>
      <c r="S143" s="48">
        <v>50</v>
      </c>
      <c r="T143" s="49">
        <f>資料儲存!D1311</f>
        <v>0</v>
      </c>
      <c r="U143" s="49">
        <f>資料儲存!E1311</f>
        <v>0</v>
      </c>
      <c r="V143" s="49">
        <f>資料儲存!F1311</f>
        <v>0</v>
      </c>
      <c r="W143" s="49">
        <f>資料儲存!G1311</f>
        <v>0</v>
      </c>
      <c r="X143" s="49">
        <f>資料儲存!H1311</f>
        <v>0</v>
      </c>
      <c r="Y143" s="49">
        <f>資料儲存!I1311</f>
        <v>0</v>
      </c>
      <c r="Z143" s="49">
        <f>資料儲存!J1311</f>
        <v>0</v>
      </c>
      <c r="AA143" s="45"/>
      <c r="AB143" s="48">
        <v>50</v>
      </c>
      <c r="AC143" s="49">
        <f>資料儲存!D1431</f>
        <v>0</v>
      </c>
      <c r="AD143" s="49">
        <f>資料儲存!E1431</f>
        <v>0</v>
      </c>
      <c r="AE143" s="49">
        <f>資料儲存!F1431</f>
        <v>0</v>
      </c>
      <c r="AF143" s="49">
        <f>資料儲存!G1431</f>
        <v>0</v>
      </c>
      <c r="AG143" s="49">
        <f>資料儲存!H1431</f>
        <v>0</v>
      </c>
      <c r="AH143" s="49">
        <f>資料儲存!I1431</f>
        <v>0</v>
      </c>
      <c r="AI143" s="49">
        <f>資料儲存!J1431</f>
        <v>0</v>
      </c>
      <c r="AJ143" s="13"/>
    </row>
    <row r="144" spans="1:36" ht="16" thickBot="1">
      <c r="A144" s="48">
        <v>51</v>
      </c>
      <c r="B144" s="49">
        <f>資料儲存!D1072</f>
        <v>0</v>
      </c>
      <c r="C144" s="49">
        <f>資料儲存!E1072</f>
        <v>0</v>
      </c>
      <c r="D144" s="49">
        <f>資料儲存!F1072</f>
        <v>0</v>
      </c>
      <c r="E144" s="49">
        <f>資料儲存!G1072</f>
        <v>0</v>
      </c>
      <c r="F144" s="49">
        <f>資料儲存!H1072</f>
        <v>0</v>
      </c>
      <c r="G144" s="49">
        <f>資料儲存!I1072</f>
        <v>0</v>
      </c>
      <c r="H144" s="49">
        <f>資料儲存!J1072</f>
        <v>0</v>
      </c>
      <c r="I144" s="45"/>
      <c r="J144" s="48">
        <v>51</v>
      </c>
      <c r="K144" s="49">
        <f>資料儲存!D1192</f>
        <v>0</v>
      </c>
      <c r="L144" s="49">
        <f>資料儲存!E1192</f>
        <v>0</v>
      </c>
      <c r="M144" s="49">
        <f>資料儲存!F1192</f>
        <v>0</v>
      </c>
      <c r="N144" s="49">
        <f>資料儲存!G1192</f>
        <v>0</v>
      </c>
      <c r="O144" s="49">
        <f>資料儲存!H1192</f>
        <v>0</v>
      </c>
      <c r="P144" s="49">
        <f>資料儲存!I1192</f>
        <v>0</v>
      </c>
      <c r="Q144" s="49">
        <f>資料儲存!J1192</f>
        <v>0</v>
      </c>
      <c r="R144" s="45"/>
      <c r="S144" s="48">
        <v>51</v>
      </c>
      <c r="T144" s="49">
        <f>資料儲存!D1312</f>
        <v>0</v>
      </c>
      <c r="U144" s="49">
        <f>資料儲存!E1312</f>
        <v>0</v>
      </c>
      <c r="V144" s="49">
        <f>資料儲存!F1312</f>
        <v>0</v>
      </c>
      <c r="W144" s="49">
        <f>資料儲存!G1312</f>
        <v>0</v>
      </c>
      <c r="X144" s="49">
        <f>資料儲存!H1312</f>
        <v>0</v>
      </c>
      <c r="Y144" s="49">
        <f>資料儲存!I1312</f>
        <v>0</v>
      </c>
      <c r="Z144" s="49">
        <f>資料儲存!J1312</f>
        <v>0</v>
      </c>
      <c r="AA144" s="45"/>
      <c r="AB144" s="48">
        <v>51</v>
      </c>
      <c r="AC144" s="49">
        <f>資料儲存!D1432</f>
        <v>0</v>
      </c>
      <c r="AD144" s="49">
        <f>資料儲存!E1432</f>
        <v>0</v>
      </c>
      <c r="AE144" s="49">
        <f>資料儲存!F1432</f>
        <v>0</v>
      </c>
      <c r="AF144" s="49">
        <f>資料儲存!G1432</f>
        <v>0</v>
      </c>
      <c r="AG144" s="49">
        <f>資料儲存!H1432</f>
        <v>0</v>
      </c>
      <c r="AH144" s="49">
        <f>資料儲存!I1432</f>
        <v>0</v>
      </c>
      <c r="AI144" s="49">
        <f>資料儲存!J1432</f>
        <v>0</v>
      </c>
      <c r="AJ144" s="13"/>
    </row>
    <row r="145" spans="1:36" ht="16" thickBot="1">
      <c r="A145" s="48">
        <v>52</v>
      </c>
      <c r="B145" s="49">
        <f>資料儲存!D1073</f>
        <v>0</v>
      </c>
      <c r="C145" s="49">
        <f>資料儲存!E1073</f>
        <v>0</v>
      </c>
      <c r="D145" s="49">
        <f>資料儲存!F1073</f>
        <v>0</v>
      </c>
      <c r="E145" s="49">
        <f>資料儲存!G1073</f>
        <v>0</v>
      </c>
      <c r="F145" s="49">
        <f>資料儲存!H1073</f>
        <v>0</v>
      </c>
      <c r="G145" s="49">
        <f>資料儲存!I1073</f>
        <v>0</v>
      </c>
      <c r="H145" s="49">
        <f>資料儲存!J1073</f>
        <v>0</v>
      </c>
      <c r="I145" s="45"/>
      <c r="J145" s="48">
        <v>52</v>
      </c>
      <c r="K145" s="49">
        <f>資料儲存!D1193</f>
        <v>0</v>
      </c>
      <c r="L145" s="49">
        <f>資料儲存!E1193</f>
        <v>0</v>
      </c>
      <c r="M145" s="49">
        <f>資料儲存!F1193</f>
        <v>0</v>
      </c>
      <c r="N145" s="49">
        <f>資料儲存!G1193</f>
        <v>0</v>
      </c>
      <c r="O145" s="49">
        <f>資料儲存!H1193</f>
        <v>0</v>
      </c>
      <c r="P145" s="49">
        <f>資料儲存!I1193</f>
        <v>0</v>
      </c>
      <c r="Q145" s="49">
        <f>資料儲存!J1193</f>
        <v>0</v>
      </c>
      <c r="R145" s="45"/>
      <c r="S145" s="48">
        <v>52</v>
      </c>
      <c r="T145" s="49">
        <f>資料儲存!D1313</f>
        <v>0</v>
      </c>
      <c r="U145" s="49">
        <f>資料儲存!E1313</f>
        <v>0</v>
      </c>
      <c r="V145" s="49">
        <f>資料儲存!F1313</f>
        <v>0</v>
      </c>
      <c r="W145" s="49">
        <f>資料儲存!G1313</f>
        <v>0</v>
      </c>
      <c r="X145" s="49">
        <f>資料儲存!H1313</f>
        <v>0</v>
      </c>
      <c r="Y145" s="49">
        <f>資料儲存!I1313</f>
        <v>0</v>
      </c>
      <c r="Z145" s="49">
        <f>資料儲存!J1313</f>
        <v>0</v>
      </c>
      <c r="AA145" s="45"/>
      <c r="AB145" s="48">
        <v>52</v>
      </c>
      <c r="AC145" s="49">
        <f>資料儲存!D1433</f>
        <v>0</v>
      </c>
      <c r="AD145" s="49">
        <f>資料儲存!E1433</f>
        <v>0</v>
      </c>
      <c r="AE145" s="49">
        <f>資料儲存!F1433</f>
        <v>0</v>
      </c>
      <c r="AF145" s="49">
        <f>資料儲存!G1433</f>
        <v>0</v>
      </c>
      <c r="AG145" s="49">
        <f>資料儲存!H1433</f>
        <v>0</v>
      </c>
      <c r="AH145" s="49">
        <f>資料儲存!I1433</f>
        <v>0</v>
      </c>
      <c r="AI145" s="49">
        <f>資料儲存!J1433</f>
        <v>0</v>
      </c>
      <c r="AJ145" s="13"/>
    </row>
    <row r="146" spans="1:36" ht="16" thickBot="1">
      <c r="A146" s="48">
        <v>53</v>
      </c>
      <c r="B146" s="49">
        <f>資料儲存!D1074</f>
        <v>0</v>
      </c>
      <c r="C146" s="49">
        <f>資料儲存!E1074</f>
        <v>0</v>
      </c>
      <c r="D146" s="49">
        <f>資料儲存!F1074</f>
        <v>0</v>
      </c>
      <c r="E146" s="49">
        <f>資料儲存!G1074</f>
        <v>0</v>
      </c>
      <c r="F146" s="49">
        <f>資料儲存!H1074</f>
        <v>0</v>
      </c>
      <c r="G146" s="49">
        <f>資料儲存!I1074</f>
        <v>0</v>
      </c>
      <c r="H146" s="49">
        <f>資料儲存!J1074</f>
        <v>0</v>
      </c>
      <c r="I146" s="45"/>
      <c r="J146" s="48">
        <v>53</v>
      </c>
      <c r="K146" s="49">
        <f>資料儲存!D1194</f>
        <v>0</v>
      </c>
      <c r="L146" s="49">
        <f>資料儲存!E1194</f>
        <v>0</v>
      </c>
      <c r="M146" s="49">
        <f>資料儲存!F1194</f>
        <v>0</v>
      </c>
      <c r="N146" s="49">
        <f>資料儲存!G1194</f>
        <v>0</v>
      </c>
      <c r="O146" s="49">
        <f>資料儲存!H1194</f>
        <v>0</v>
      </c>
      <c r="P146" s="49">
        <f>資料儲存!I1194</f>
        <v>0</v>
      </c>
      <c r="Q146" s="49">
        <f>資料儲存!J1194</f>
        <v>0</v>
      </c>
      <c r="R146" s="45"/>
      <c r="S146" s="48">
        <v>53</v>
      </c>
      <c r="T146" s="49">
        <f>資料儲存!D1314</f>
        <v>0</v>
      </c>
      <c r="U146" s="49">
        <f>資料儲存!E1314</f>
        <v>0</v>
      </c>
      <c r="V146" s="49">
        <f>資料儲存!F1314</f>
        <v>0</v>
      </c>
      <c r="W146" s="49">
        <f>資料儲存!G1314</f>
        <v>0</v>
      </c>
      <c r="X146" s="49">
        <f>資料儲存!H1314</f>
        <v>0</v>
      </c>
      <c r="Y146" s="49">
        <f>資料儲存!I1314</f>
        <v>0</v>
      </c>
      <c r="Z146" s="49">
        <f>資料儲存!J1314</f>
        <v>0</v>
      </c>
      <c r="AA146" s="45"/>
      <c r="AB146" s="48">
        <v>53</v>
      </c>
      <c r="AC146" s="49">
        <f>資料儲存!D1434</f>
        <v>0</v>
      </c>
      <c r="AD146" s="49">
        <f>資料儲存!E1434</f>
        <v>0</v>
      </c>
      <c r="AE146" s="49">
        <f>資料儲存!F1434</f>
        <v>0</v>
      </c>
      <c r="AF146" s="49">
        <f>資料儲存!G1434</f>
        <v>0</v>
      </c>
      <c r="AG146" s="49">
        <f>資料儲存!H1434</f>
        <v>0</v>
      </c>
      <c r="AH146" s="49">
        <f>資料儲存!I1434</f>
        <v>0</v>
      </c>
      <c r="AI146" s="49">
        <f>資料儲存!J1434</f>
        <v>0</v>
      </c>
      <c r="AJ146" s="13"/>
    </row>
    <row r="147" spans="1:36" ht="16" thickBot="1">
      <c r="A147" s="48">
        <v>54</v>
      </c>
      <c r="B147" s="49">
        <f>資料儲存!D1075</f>
        <v>0</v>
      </c>
      <c r="C147" s="49">
        <f>資料儲存!E1075</f>
        <v>0</v>
      </c>
      <c r="D147" s="49">
        <f>資料儲存!F1075</f>
        <v>0</v>
      </c>
      <c r="E147" s="49">
        <f>資料儲存!G1075</f>
        <v>0</v>
      </c>
      <c r="F147" s="49">
        <f>資料儲存!H1075</f>
        <v>0</v>
      </c>
      <c r="G147" s="49">
        <f>資料儲存!I1075</f>
        <v>0</v>
      </c>
      <c r="H147" s="49">
        <f>資料儲存!J1075</f>
        <v>0</v>
      </c>
      <c r="I147" s="45"/>
      <c r="J147" s="48">
        <v>54</v>
      </c>
      <c r="K147" s="49">
        <f>資料儲存!D1195</f>
        <v>0</v>
      </c>
      <c r="L147" s="49">
        <f>資料儲存!E1195</f>
        <v>0</v>
      </c>
      <c r="M147" s="49">
        <f>資料儲存!F1195</f>
        <v>0</v>
      </c>
      <c r="N147" s="49">
        <f>資料儲存!G1195</f>
        <v>0</v>
      </c>
      <c r="O147" s="49">
        <f>資料儲存!H1195</f>
        <v>0</v>
      </c>
      <c r="P147" s="49">
        <f>資料儲存!I1195</f>
        <v>0</v>
      </c>
      <c r="Q147" s="49">
        <f>資料儲存!J1195</f>
        <v>0</v>
      </c>
      <c r="R147" s="45"/>
      <c r="S147" s="48">
        <v>54</v>
      </c>
      <c r="T147" s="49">
        <f>資料儲存!D1315</f>
        <v>0</v>
      </c>
      <c r="U147" s="49">
        <f>資料儲存!E1315</f>
        <v>0</v>
      </c>
      <c r="V147" s="49">
        <f>資料儲存!F1315</f>
        <v>0</v>
      </c>
      <c r="W147" s="49">
        <f>資料儲存!G1315</f>
        <v>0</v>
      </c>
      <c r="X147" s="49">
        <f>資料儲存!H1315</f>
        <v>0</v>
      </c>
      <c r="Y147" s="49">
        <f>資料儲存!I1315</f>
        <v>0</v>
      </c>
      <c r="Z147" s="49">
        <f>資料儲存!J1315</f>
        <v>0</v>
      </c>
      <c r="AA147" s="45"/>
      <c r="AB147" s="48">
        <v>54</v>
      </c>
      <c r="AC147" s="49">
        <f>資料儲存!D1435</f>
        <v>0</v>
      </c>
      <c r="AD147" s="49">
        <f>資料儲存!E1435</f>
        <v>0</v>
      </c>
      <c r="AE147" s="49">
        <f>資料儲存!F1435</f>
        <v>0</v>
      </c>
      <c r="AF147" s="49">
        <f>資料儲存!G1435</f>
        <v>0</v>
      </c>
      <c r="AG147" s="49">
        <f>資料儲存!H1435</f>
        <v>0</v>
      </c>
      <c r="AH147" s="49">
        <f>資料儲存!I1435</f>
        <v>0</v>
      </c>
      <c r="AI147" s="49">
        <f>資料儲存!J1435</f>
        <v>0</v>
      </c>
      <c r="AJ147" s="13"/>
    </row>
    <row r="148" spans="1:36" ht="16" thickBot="1">
      <c r="A148" s="48">
        <v>55</v>
      </c>
      <c r="B148" s="49">
        <f>資料儲存!D1076</f>
        <v>0</v>
      </c>
      <c r="C148" s="49">
        <f>資料儲存!E1076</f>
        <v>0</v>
      </c>
      <c r="D148" s="49">
        <f>資料儲存!F1076</f>
        <v>0</v>
      </c>
      <c r="E148" s="49">
        <f>資料儲存!G1076</f>
        <v>0</v>
      </c>
      <c r="F148" s="49">
        <f>資料儲存!H1076</f>
        <v>0</v>
      </c>
      <c r="G148" s="49">
        <f>資料儲存!I1076</f>
        <v>0</v>
      </c>
      <c r="H148" s="49">
        <f>資料儲存!J1076</f>
        <v>0</v>
      </c>
      <c r="I148" s="45"/>
      <c r="J148" s="48">
        <v>55</v>
      </c>
      <c r="K148" s="49">
        <f>資料儲存!D1196</f>
        <v>0</v>
      </c>
      <c r="L148" s="49">
        <f>資料儲存!E1196</f>
        <v>0</v>
      </c>
      <c r="M148" s="49">
        <f>資料儲存!F1196</f>
        <v>0</v>
      </c>
      <c r="N148" s="49">
        <f>資料儲存!G1196</f>
        <v>0</v>
      </c>
      <c r="O148" s="49">
        <f>資料儲存!H1196</f>
        <v>0</v>
      </c>
      <c r="P148" s="49">
        <f>資料儲存!I1196</f>
        <v>0</v>
      </c>
      <c r="Q148" s="49">
        <f>資料儲存!J1196</f>
        <v>0</v>
      </c>
      <c r="R148" s="45"/>
      <c r="S148" s="48">
        <v>55</v>
      </c>
      <c r="T148" s="49">
        <f>資料儲存!D1316</f>
        <v>0</v>
      </c>
      <c r="U148" s="49">
        <f>資料儲存!E1316</f>
        <v>0</v>
      </c>
      <c r="V148" s="49">
        <f>資料儲存!F1316</f>
        <v>0</v>
      </c>
      <c r="W148" s="49">
        <f>資料儲存!G1316</f>
        <v>0</v>
      </c>
      <c r="X148" s="49">
        <f>資料儲存!H1316</f>
        <v>0</v>
      </c>
      <c r="Y148" s="49">
        <f>資料儲存!I1316</f>
        <v>0</v>
      </c>
      <c r="Z148" s="49">
        <f>資料儲存!J1316</f>
        <v>0</v>
      </c>
      <c r="AA148" s="45"/>
      <c r="AB148" s="48">
        <v>55</v>
      </c>
      <c r="AC148" s="49">
        <f>資料儲存!D1436</f>
        <v>0</v>
      </c>
      <c r="AD148" s="49">
        <f>資料儲存!E1436</f>
        <v>0</v>
      </c>
      <c r="AE148" s="49">
        <f>資料儲存!F1436</f>
        <v>0</v>
      </c>
      <c r="AF148" s="49">
        <f>資料儲存!G1436</f>
        <v>0</v>
      </c>
      <c r="AG148" s="49">
        <f>資料儲存!H1436</f>
        <v>0</v>
      </c>
      <c r="AH148" s="49">
        <f>資料儲存!I1436</f>
        <v>0</v>
      </c>
      <c r="AI148" s="49">
        <f>資料儲存!J1436</f>
        <v>0</v>
      </c>
      <c r="AJ148" s="13"/>
    </row>
    <row r="149" spans="1:36" ht="16" thickBot="1">
      <c r="A149" s="48">
        <v>56</v>
      </c>
      <c r="B149" s="49">
        <f>資料儲存!D1077</f>
        <v>0</v>
      </c>
      <c r="C149" s="49">
        <f>資料儲存!E1077</f>
        <v>0</v>
      </c>
      <c r="D149" s="49">
        <f>資料儲存!F1077</f>
        <v>0</v>
      </c>
      <c r="E149" s="49">
        <f>資料儲存!G1077</f>
        <v>0</v>
      </c>
      <c r="F149" s="49">
        <f>資料儲存!H1077</f>
        <v>0</v>
      </c>
      <c r="G149" s="49">
        <f>資料儲存!I1077</f>
        <v>0</v>
      </c>
      <c r="H149" s="49">
        <f>資料儲存!J1077</f>
        <v>0</v>
      </c>
      <c r="I149" s="45"/>
      <c r="J149" s="48">
        <v>56</v>
      </c>
      <c r="K149" s="49">
        <f>資料儲存!D1197</f>
        <v>0</v>
      </c>
      <c r="L149" s="49">
        <f>資料儲存!E1197</f>
        <v>0</v>
      </c>
      <c r="M149" s="49">
        <f>資料儲存!F1197</f>
        <v>0</v>
      </c>
      <c r="N149" s="49">
        <f>資料儲存!G1197</f>
        <v>0</v>
      </c>
      <c r="O149" s="49">
        <f>資料儲存!H1197</f>
        <v>0</v>
      </c>
      <c r="P149" s="49">
        <f>資料儲存!I1197</f>
        <v>0</v>
      </c>
      <c r="Q149" s="49">
        <f>資料儲存!J1197</f>
        <v>0</v>
      </c>
      <c r="R149" s="45"/>
      <c r="S149" s="48">
        <v>56</v>
      </c>
      <c r="T149" s="49">
        <f>資料儲存!D1317</f>
        <v>0</v>
      </c>
      <c r="U149" s="49">
        <f>資料儲存!E1317</f>
        <v>0</v>
      </c>
      <c r="V149" s="49">
        <f>資料儲存!F1317</f>
        <v>0</v>
      </c>
      <c r="W149" s="49">
        <f>資料儲存!G1317</f>
        <v>0</v>
      </c>
      <c r="X149" s="49">
        <f>資料儲存!H1317</f>
        <v>0</v>
      </c>
      <c r="Y149" s="49">
        <f>資料儲存!I1317</f>
        <v>0</v>
      </c>
      <c r="Z149" s="49">
        <f>資料儲存!J1317</f>
        <v>0</v>
      </c>
      <c r="AA149" s="45"/>
      <c r="AB149" s="48">
        <v>56</v>
      </c>
      <c r="AC149" s="49">
        <f>資料儲存!D1437</f>
        <v>0</v>
      </c>
      <c r="AD149" s="49">
        <f>資料儲存!E1437</f>
        <v>0</v>
      </c>
      <c r="AE149" s="49">
        <f>資料儲存!F1437</f>
        <v>0</v>
      </c>
      <c r="AF149" s="49">
        <f>資料儲存!G1437</f>
        <v>0</v>
      </c>
      <c r="AG149" s="49">
        <f>資料儲存!H1437</f>
        <v>0</v>
      </c>
      <c r="AH149" s="49">
        <f>資料儲存!I1437</f>
        <v>0</v>
      </c>
      <c r="AI149" s="49">
        <f>資料儲存!J1437</f>
        <v>0</v>
      </c>
      <c r="AJ149" s="13"/>
    </row>
    <row r="150" spans="1:36" ht="16" thickBot="1">
      <c r="A150" s="48">
        <v>57</v>
      </c>
      <c r="B150" s="49">
        <f>資料儲存!D1078</f>
        <v>0</v>
      </c>
      <c r="C150" s="49">
        <f>資料儲存!E1078</f>
        <v>0</v>
      </c>
      <c r="D150" s="49">
        <f>資料儲存!F1078</f>
        <v>0</v>
      </c>
      <c r="E150" s="49">
        <f>資料儲存!G1078</f>
        <v>0</v>
      </c>
      <c r="F150" s="49">
        <f>資料儲存!H1078</f>
        <v>0</v>
      </c>
      <c r="G150" s="49">
        <f>資料儲存!I1078</f>
        <v>0</v>
      </c>
      <c r="H150" s="49">
        <f>資料儲存!J1078</f>
        <v>0</v>
      </c>
      <c r="I150" s="45"/>
      <c r="J150" s="48">
        <v>57</v>
      </c>
      <c r="K150" s="49">
        <f>資料儲存!D1198</f>
        <v>0</v>
      </c>
      <c r="L150" s="49">
        <f>資料儲存!E1198</f>
        <v>0</v>
      </c>
      <c r="M150" s="49">
        <f>資料儲存!F1198</f>
        <v>0</v>
      </c>
      <c r="N150" s="49">
        <f>資料儲存!G1198</f>
        <v>0</v>
      </c>
      <c r="O150" s="49">
        <f>資料儲存!H1198</f>
        <v>0</v>
      </c>
      <c r="P150" s="49">
        <f>資料儲存!I1198</f>
        <v>0</v>
      </c>
      <c r="Q150" s="49">
        <f>資料儲存!J1198</f>
        <v>0</v>
      </c>
      <c r="R150" s="45"/>
      <c r="S150" s="48">
        <v>57</v>
      </c>
      <c r="T150" s="49">
        <f>資料儲存!D1318</f>
        <v>0</v>
      </c>
      <c r="U150" s="49">
        <f>資料儲存!E1318</f>
        <v>0</v>
      </c>
      <c r="V150" s="49">
        <f>資料儲存!F1318</f>
        <v>0</v>
      </c>
      <c r="W150" s="49">
        <f>資料儲存!G1318</f>
        <v>0</v>
      </c>
      <c r="X150" s="49">
        <f>資料儲存!H1318</f>
        <v>0</v>
      </c>
      <c r="Y150" s="49">
        <f>資料儲存!I1318</f>
        <v>0</v>
      </c>
      <c r="Z150" s="49">
        <f>資料儲存!J1318</f>
        <v>0</v>
      </c>
      <c r="AA150" s="45"/>
      <c r="AB150" s="48">
        <v>57</v>
      </c>
      <c r="AC150" s="49">
        <f>資料儲存!D1438</f>
        <v>0</v>
      </c>
      <c r="AD150" s="49">
        <f>資料儲存!E1438</f>
        <v>0</v>
      </c>
      <c r="AE150" s="49">
        <f>資料儲存!F1438</f>
        <v>0</v>
      </c>
      <c r="AF150" s="49">
        <f>資料儲存!G1438</f>
        <v>0</v>
      </c>
      <c r="AG150" s="49">
        <f>資料儲存!H1438</f>
        <v>0</v>
      </c>
      <c r="AH150" s="49">
        <f>資料儲存!I1438</f>
        <v>0</v>
      </c>
      <c r="AI150" s="49">
        <f>資料儲存!J1438</f>
        <v>0</v>
      </c>
      <c r="AJ150" s="13"/>
    </row>
    <row r="151" spans="1:36" ht="16" thickBot="1">
      <c r="A151" s="48">
        <v>58</v>
      </c>
      <c r="B151" s="49">
        <f>資料儲存!D1079</f>
        <v>0</v>
      </c>
      <c r="C151" s="49">
        <f>資料儲存!E1079</f>
        <v>0</v>
      </c>
      <c r="D151" s="49">
        <f>資料儲存!F1079</f>
        <v>0</v>
      </c>
      <c r="E151" s="49">
        <f>資料儲存!G1079</f>
        <v>0</v>
      </c>
      <c r="F151" s="49">
        <f>資料儲存!H1079</f>
        <v>0</v>
      </c>
      <c r="G151" s="49">
        <f>資料儲存!I1079</f>
        <v>0</v>
      </c>
      <c r="H151" s="49">
        <f>資料儲存!J1079</f>
        <v>0</v>
      </c>
      <c r="I151" s="45"/>
      <c r="J151" s="48">
        <v>58</v>
      </c>
      <c r="K151" s="49">
        <f>資料儲存!D1199</f>
        <v>0</v>
      </c>
      <c r="L151" s="49">
        <f>資料儲存!E1199</f>
        <v>0</v>
      </c>
      <c r="M151" s="49">
        <f>資料儲存!F1199</f>
        <v>0</v>
      </c>
      <c r="N151" s="49">
        <f>資料儲存!G1199</f>
        <v>0</v>
      </c>
      <c r="O151" s="49">
        <f>資料儲存!H1199</f>
        <v>0</v>
      </c>
      <c r="P151" s="49">
        <f>資料儲存!I1199</f>
        <v>0</v>
      </c>
      <c r="Q151" s="49">
        <f>資料儲存!J1199</f>
        <v>0</v>
      </c>
      <c r="R151" s="45"/>
      <c r="S151" s="48">
        <v>58</v>
      </c>
      <c r="T151" s="49">
        <f>資料儲存!D1319</f>
        <v>0</v>
      </c>
      <c r="U151" s="49">
        <f>資料儲存!E1319</f>
        <v>0</v>
      </c>
      <c r="V151" s="49">
        <f>資料儲存!F1319</f>
        <v>0</v>
      </c>
      <c r="W151" s="49">
        <f>資料儲存!G1319</f>
        <v>0</v>
      </c>
      <c r="X151" s="49">
        <f>資料儲存!H1319</f>
        <v>0</v>
      </c>
      <c r="Y151" s="49">
        <f>資料儲存!I1319</f>
        <v>0</v>
      </c>
      <c r="Z151" s="49">
        <f>資料儲存!J1319</f>
        <v>0</v>
      </c>
      <c r="AA151" s="45"/>
      <c r="AB151" s="48">
        <v>58</v>
      </c>
      <c r="AC151" s="49">
        <f>資料儲存!D1439</f>
        <v>0</v>
      </c>
      <c r="AD151" s="49">
        <f>資料儲存!E1439</f>
        <v>0</v>
      </c>
      <c r="AE151" s="49">
        <f>資料儲存!F1439</f>
        <v>0</v>
      </c>
      <c r="AF151" s="49">
        <f>資料儲存!G1439</f>
        <v>0</v>
      </c>
      <c r="AG151" s="49">
        <f>資料儲存!H1439</f>
        <v>0</v>
      </c>
      <c r="AH151" s="49">
        <f>資料儲存!I1439</f>
        <v>0</v>
      </c>
      <c r="AI151" s="49">
        <f>資料儲存!J1439</f>
        <v>0</v>
      </c>
      <c r="AJ151" s="13"/>
    </row>
    <row r="152" spans="1:36" ht="16" thickBot="1">
      <c r="A152" s="48">
        <v>59</v>
      </c>
      <c r="B152" s="49">
        <f>資料儲存!D1080</f>
        <v>0</v>
      </c>
      <c r="C152" s="49">
        <f>資料儲存!E1080</f>
        <v>0</v>
      </c>
      <c r="D152" s="49">
        <f>資料儲存!F1080</f>
        <v>0</v>
      </c>
      <c r="E152" s="49">
        <f>資料儲存!G1080</f>
        <v>0</v>
      </c>
      <c r="F152" s="49">
        <f>資料儲存!H1080</f>
        <v>0</v>
      </c>
      <c r="G152" s="49">
        <f>資料儲存!I1080</f>
        <v>0</v>
      </c>
      <c r="H152" s="49">
        <f>資料儲存!J1080</f>
        <v>0</v>
      </c>
      <c r="I152" s="45"/>
      <c r="J152" s="48">
        <v>59</v>
      </c>
      <c r="K152" s="49">
        <f>資料儲存!D1200</f>
        <v>0</v>
      </c>
      <c r="L152" s="49">
        <f>資料儲存!E1200</f>
        <v>0</v>
      </c>
      <c r="M152" s="49">
        <f>資料儲存!F1200</f>
        <v>0</v>
      </c>
      <c r="N152" s="49">
        <f>資料儲存!G1200</f>
        <v>0</v>
      </c>
      <c r="O152" s="49">
        <f>資料儲存!H1200</f>
        <v>0</v>
      </c>
      <c r="P152" s="49">
        <f>資料儲存!I1200</f>
        <v>0</v>
      </c>
      <c r="Q152" s="49">
        <f>資料儲存!J1200</f>
        <v>0</v>
      </c>
      <c r="R152" s="45"/>
      <c r="S152" s="48">
        <v>59</v>
      </c>
      <c r="T152" s="49">
        <f>資料儲存!D1320</f>
        <v>0</v>
      </c>
      <c r="U152" s="49">
        <f>資料儲存!E1320</f>
        <v>0</v>
      </c>
      <c r="V152" s="49">
        <f>資料儲存!F1320</f>
        <v>0</v>
      </c>
      <c r="W152" s="49">
        <f>資料儲存!G1320</f>
        <v>0</v>
      </c>
      <c r="X152" s="49">
        <f>資料儲存!H1320</f>
        <v>0</v>
      </c>
      <c r="Y152" s="49">
        <f>資料儲存!I1320</f>
        <v>0</v>
      </c>
      <c r="Z152" s="49">
        <f>資料儲存!J1320</f>
        <v>0</v>
      </c>
      <c r="AA152" s="45"/>
      <c r="AB152" s="48">
        <v>59</v>
      </c>
      <c r="AC152" s="49">
        <f>資料儲存!D1440</f>
        <v>0</v>
      </c>
      <c r="AD152" s="49">
        <f>資料儲存!E1440</f>
        <v>0</v>
      </c>
      <c r="AE152" s="49">
        <f>資料儲存!F1440</f>
        <v>0</v>
      </c>
      <c r="AF152" s="49">
        <f>資料儲存!G1440</f>
        <v>0</v>
      </c>
      <c r="AG152" s="49">
        <f>資料儲存!H1440</f>
        <v>0</v>
      </c>
      <c r="AH152" s="49">
        <f>資料儲存!I1440</f>
        <v>0</v>
      </c>
      <c r="AI152" s="49">
        <f>資料儲存!J1440</f>
        <v>0</v>
      </c>
      <c r="AJ152" s="13"/>
    </row>
    <row r="153" spans="1:36" ht="16" thickBot="1">
      <c r="A153" s="48">
        <v>60</v>
      </c>
      <c r="B153" s="49">
        <f>資料儲存!D1081</f>
        <v>0</v>
      </c>
      <c r="C153" s="49">
        <f>資料儲存!E1081</f>
        <v>0</v>
      </c>
      <c r="D153" s="49">
        <f>資料儲存!F1081</f>
        <v>0</v>
      </c>
      <c r="E153" s="49">
        <f>資料儲存!G1081</f>
        <v>0</v>
      </c>
      <c r="F153" s="49">
        <f>資料儲存!H1081</f>
        <v>0</v>
      </c>
      <c r="G153" s="49">
        <f>資料儲存!I1081</f>
        <v>0</v>
      </c>
      <c r="H153" s="49">
        <f>資料儲存!J1081</f>
        <v>0</v>
      </c>
      <c r="I153" s="45"/>
      <c r="J153" s="48">
        <v>60</v>
      </c>
      <c r="K153" s="49">
        <f>資料儲存!D1201</f>
        <v>0</v>
      </c>
      <c r="L153" s="49">
        <f>資料儲存!E1201</f>
        <v>0</v>
      </c>
      <c r="M153" s="49">
        <f>資料儲存!F1201</f>
        <v>0</v>
      </c>
      <c r="N153" s="49">
        <f>資料儲存!G1201</f>
        <v>0</v>
      </c>
      <c r="O153" s="49">
        <f>資料儲存!H1201</f>
        <v>0</v>
      </c>
      <c r="P153" s="49">
        <f>資料儲存!I1201</f>
        <v>0</v>
      </c>
      <c r="Q153" s="49">
        <f>資料儲存!J1201</f>
        <v>0</v>
      </c>
      <c r="R153" s="45"/>
      <c r="S153" s="48">
        <v>60</v>
      </c>
      <c r="T153" s="49">
        <f>資料儲存!D1321</f>
        <v>0</v>
      </c>
      <c r="U153" s="49">
        <f>資料儲存!E1321</f>
        <v>0</v>
      </c>
      <c r="V153" s="49">
        <f>資料儲存!F1321</f>
        <v>0</v>
      </c>
      <c r="W153" s="49">
        <f>資料儲存!G1321</f>
        <v>0</v>
      </c>
      <c r="X153" s="49">
        <f>資料儲存!H1321</f>
        <v>0</v>
      </c>
      <c r="Y153" s="49">
        <f>資料儲存!I1321</f>
        <v>0</v>
      </c>
      <c r="Z153" s="49">
        <f>資料儲存!J1321</f>
        <v>0</v>
      </c>
      <c r="AA153" s="45"/>
      <c r="AB153" s="48">
        <v>60</v>
      </c>
      <c r="AC153" s="49">
        <f>資料儲存!D1441</f>
        <v>0</v>
      </c>
      <c r="AD153" s="49">
        <f>資料儲存!E1441</f>
        <v>0</v>
      </c>
      <c r="AE153" s="49">
        <f>資料儲存!F1441</f>
        <v>0</v>
      </c>
      <c r="AF153" s="49">
        <f>資料儲存!G1441</f>
        <v>0</v>
      </c>
      <c r="AG153" s="49">
        <f>資料儲存!H1441</f>
        <v>0</v>
      </c>
      <c r="AH153" s="49">
        <f>資料儲存!I1441</f>
        <v>0</v>
      </c>
      <c r="AI153" s="49">
        <f>資料儲存!J1441</f>
        <v>0</v>
      </c>
      <c r="AJ153" s="13"/>
    </row>
    <row r="154" spans="1:36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</row>
  </sheetData>
  <mergeCells count="40">
    <mergeCell ref="A1:H1"/>
    <mergeCell ref="J1:Q1"/>
    <mergeCell ref="S1:Z1"/>
    <mergeCell ref="AB1:AI1"/>
    <mergeCell ref="A2:H2"/>
    <mergeCell ref="J2:Q2"/>
    <mergeCell ref="S2:Z2"/>
    <mergeCell ref="AB2:AI2"/>
    <mergeCell ref="A3:H3"/>
    <mergeCell ref="J3:Q3"/>
    <mergeCell ref="S3:Z3"/>
    <mergeCell ref="AB3:AI3"/>
    <mergeCell ref="A22:H22"/>
    <mergeCell ref="J22:Q22"/>
    <mergeCell ref="S22:Z22"/>
    <mergeCell ref="AB22:AI22"/>
    <mergeCell ref="A41:H41"/>
    <mergeCell ref="J41:Q41"/>
    <mergeCell ref="S41:Z41"/>
    <mergeCell ref="AB41:AI41"/>
    <mergeCell ref="A60:H60"/>
    <mergeCell ref="J60:Q60"/>
    <mergeCell ref="S60:Z60"/>
    <mergeCell ref="AB60:AI60"/>
    <mergeCell ref="A79:H79"/>
    <mergeCell ref="J79:Q79"/>
    <mergeCell ref="S79:Z79"/>
    <mergeCell ref="AB79:AI79"/>
    <mergeCell ref="A98:H98"/>
    <mergeCell ref="J98:Q98"/>
    <mergeCell ref="S98:Z98"/>
    <mergeCell ref="AB98:AI98"/>
    <mergeCell ref="A117:H117"/>
    <mergeCell ref="J117:Q117"/>
    <mergeCell ref="S117:Z117"/>
    <mergeCell ref="AB117:AI117"/>
    <mergeCell ref="A136:H136"/>
    <mergeCell ref="J136:Q136"/>
    <mergeCell ref="S136:Z136"/>
    <mergeCell ref="AB136:AI136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</sheetPr>
  <dimension ref="A1:AJ154"/>
  <sheetViews>
    <sheetView topLeftCell="AC1" zoomScale="70" zoomScaleNormal="70" zoomScaleSheetLayoutView="70" workbookViewId="0">
      <pane ySplit="2" topLeftCell="A3" activePane="bottomLeft" state="frozen"/>
      <selection pane="bottomLeft" activeCell="AK4" sqref="AK1:AR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37" width="2.08984375" style="1" customWidth="1"/>
    <col min="38" max="16384" width="10.08984375" style="1"/>
  </cols>
  <sheetData>
    <row r="1" spans="1:36" s="11" customFormat="1" ht="18.5" thickBot="1">
      <c r="A1" s="253" t="str">
        <f>基本資料!$E$11</f>
        <v>平日中午(12-14)</v>
      </c>
      <c r="B1" s="254"/>
      <c r="C1" s="254"/>
      <c r="D1" s="254"/>
      <c r="E1" s="254"/>
      <c r="F1" s="254"/>
      <c r="G1" s="254"/>
      <c r="H1" s="255"/>
      <c r="J1" s="253" t="str">
        <f>基本資料!$E$11</f>
        <v>平日中午(12-14)</v>
      </c>
      <c r="K1" s="254"/>
      <c r="L1" s="254"/>
      <c r="M1" s="254"/>
      <c r="N1" s="254"/>
      <c r="O1" s="254"/>
      <c r="P1" s="254"/>
      <c r="Q1" s="255"/>
      <c r="S1" s="253" t="str">
        <f>基本資料!$E$11</f>
        <v>平日中午(12-14)</v>
      </c>
      <c r="T1" s="254"/>
      <c r="U1" s="254"/>
      <c r="V1" s="254"/>
      <c r="W1" s="254"/>
      <c r="X1" s="254"/>
      <c r="Y1" s="254"/>
      <c r="Z1" s="255"/>
      <c r="AB1" s="253" t="str">
        <f>基本資料!$E$11</f>
        <v>平日中午(12-14)</v>
      </c>
      <c r="AC1" s="254"/>
      <c r="AD1" s="254"/>
      <c r="AE1" s="254"/>
      <c r="AF1" s="254"/>
      <c r="AG1" s="254"/>
      <c r="AH1" s="254"/>
      <c r="AI1" s="255"/>
    </row>
    <row r="2" spans="1:36" ht="18.5" thickBot="1">
      <c r="A2" s="256" t="str">
        <f>CONCATENATE(基本資料!B18,"方向：",基本資料!B19,基本資料!B20)</f>
        <v>A方向：</v>
      </c>
      <c r="B2" s="257"/>
      <c r="C2" s="257"/>
      <c r="D2" s="257"/>
      <c r="E2" s="257"/>
      <c r="F2" s="257"/>
      <c r="G2" s="257"/>
      <c r="H2" s="258"/>
      <c r="I2" s="1"/>
      <c r="J2" s="256" t="str">
        <f>CONCATENATE(基本資料!C18,"方向：",基本資料!C19,基本資料!C20)</f>
        <v>B方向：</v>
      </c>
      <c r="K2" s="257"/>
      <c r="L2" s="257"/>
      <c r="M2" s="257"/>
      <c r="N2" s="257"/>
      <c r="O2" s="257"/>
      <c r="P2" s="257"/>
      <c r="Q2" s="258"/>
      <c r="R2" s="1"/>
      <c r="S2" s="256" t="str">
        <f>CONCATENATE(基本資料!D18,"方向：",基本資料!D19,基本資料!D20)</f>
        <v>C方向：</v>
      </c>
      <c r="T2" s="257"/>
      <c r="U2" s="257"/>
      <c r="V2" s="257"/>
      <c r="W2" s="257"/>
      <c r="X2" s="257"/>
      <c r="Y2" s="257"/>
      <c r="Z2" s="258"/>
      <c r="AA2" s="1"/>
      <c r="AB2" s="256" t="str">
        <f>CONCATENATE(基本資料!E18,"方向：",基本資料!E19,基本資料!E20)</f>
        <v>D方向：</v>
      </c>
      <c r="AC2" s="257"/>
      <c r="AD2" s="257"/>
      <c r="AE2" s="257"/>
      <c r="AF2" s="257"/>
      <c r="AG2" s="257"/>
      <c r="AH2" s="257"/>
      <c r="AI2" s="258"/>
      <c r="AJ2" s="1"/>
    </row>
    <row r="3" spans="1:36" ht="18.5" thickBot="1">
      <c r="A3" s="250" t="s">
        <v>95</v>
      </c>
      <c r="B3" s="251"/>
      <c r="C3" s="251"/>
      <c r="D3" s="251"/>
      <c r="E3" s="251"/>
      <c r="F3" s="251"/>
      <c r="G3" s="251"/>
      <c r="H3" s="252"/>
      <c r="I3" s="13"/>
      <c r="J3" s="250" t="s">
        <v>95</v>
      </c>
      <c r="K3" s="251"/>
      <c r="L3" s="251"/>
      <c r="M3" s="251"/>
      <c r="N3" s="251"/>
      <c r="O3" s="251"/>
      <c r="P3" s="251"/>
      <c r="Q3" s="252"/>
      <c r="R3" s="13"/>
      <c r="S3" s="250" t="s">
        <v>95</v>
      </c>
      <c r="T3" s="251"/>
      <c r="U3" s="251"/>
      <c r="V3" s="251"/>
      <c r="W3" s="251"/>
      <c r="X3" s="251"/>
      <c r="Y3" s="251"/>
      <c r="Z3" s="252"/>
      <c r="AA3" s="13"/>
      <c r="AB3" s="250" t="s">
        <v>95</v>
      </c>
      <c r="AC3" s="251"/>
      <c r="AD3" s="251"/>
      <c r="AE3" s="251"/>
      <c r="AF3" s="251"/>
      <c r="AG3" s="251"/>
      <c r="AH3" s="251"/>
      <c r="AI3" s="252"/>
      <c r="AJ3" s="13"/>
    </row>
    <row r="4" spans="1:36" ht="17.25" customHeight="1" thickBot="1">
      <c r="A4" s="31" t="s">
        <v>2</v>
      </c>
      <c r="B4" s="32" t="s">
        <v>44</v>
      </c>
      <c r="C4" s="33"/>
      <c r="D4" s="33"/>
      <c r="E4" s="34"/>
      <c r="F4" s="32" t="s">
        <v>45</v>
      </c>
      <c r="G4" s="33"/>
      <c r="H4" s="34"/>
      <c r="I4" s="35"/>
      <c r="J4" s="31" t="s">
        <v>2</v>
      </c>
      <c r="K4" s="32" t="s">
        <v>44</v>
      </c>
      <c r="L4" s="33"/>
      <c r="M4" s="33"/>
      <c r="N4" s="34"/>
      <c r="O4" s="32" t="s">
        <v>45</v>
      </c>
      <c r="P4" s="33"/>
      <c r="Q4" s="34"/>
      <c r="R4" s="35"/>
      <c r="S4" s="31" t="s">
        <v>2</v>
      </c>
      <c r="T4" s="32" t="s">
        <v>44</v>
      </c>
      <c r="U4" s="33"/>
      <c r="V4" s="33"/>
      <c r="W4" s="34"/>
      <c r="X4" s="32" t="s">
        <v>45</v>
      </c>
      <c r="Y4" s="33"/>
      <c r="Z4" s="34"/>
      <c r="AA4" s="35"/>
      <c r="AB4" s="31" t="s">
        <v>2</v>
      </c>
      <c r="AC4" s="32" t="s">
        <v>44</v>
      </c>
      <c r="AD4" s="33"/>
      <c r="AE4" s="33"/>
      <c r="AF4" s="34"/>
      <c r="AG4" s="32" t="s">
        <v>45</v>
      </c>
      <c r="AH4" s="33"/>
      <c r="AI4" s="34"/>
      <c r="AJ4" s="13"/>
    </row>
    <row r="5" spans="1:36" ht="16" thickBot="1">
      <c r="A5" s="36">
        <v>0.5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5"/>
      <c r="J5" s="36">
        <v>0.5</v>
      </c>
      <c r="K5" s="37" t="s">
        <v>49</v>
      </c>
      <c r="L5" s="37" t="s">
        <v>50</v>
      </c>
      <c r="M5" s="37" t="s">
        <v>51</v>
      </c>
      <c r="N5" s="37" t="s">
        <v>52</v>
      </c>
      <c r="O5" s="37" t="s">
        <v>53</v>
      </c>
      <c r="P5" s="37" t="s">
        <v>54</v>
      </c>
      <c r="Q5" s="37" t="s">
        <v>55</v>
      </c>
      <c r="R5" s="35"/>
      <c r="S5" s="36">
        <v>0.5</v>
      </c>
      <c r="T5" s="37" t="s">
        <v>49</v>
      </c>
      <c r="U5" s="37" t="s">
        <v>50</v>
      </c>
      <c r="V5" s="37" t="s">
        <v>51</v>
      </c>
      <c r="W5" s="37" t="s">
        <v>52</v>
      </c>
      <c r="X5" s="37" t="s">
        <v>53</v>
      </c>
      <c r="Y5" s="37" t="s">
        <v>54</v>
      </c>
      <c r="Z5" s="37" t="s">
        <v>55</v>
      </c>
      <c r="AA5" s="35"/>
      <c r="AB5" s="36">
        <v>0.5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13"/>
    </row>
    <row r="6" spans="1:36" ht="16" thickBot="1">
      <c r="A6" s="38">
        <v>1</v>
      </c>
      <c r="B6" s="39">
        <f>資料儲存!D1442</f>
        <v>0</v>
      </c>
      <c r="C6" s="39">
        <f>資料儲存!E1442</f>
        <v>0</v>
      </c>
      <c r="D6" s="39">
        <f>資料儲存!F1442</f>
        <v>0</v>
      </c>
      <c r="E6" s="39">
        <f>資料儲存!G1442</f>
        <v>0</v>
      </c>
      <c r="F6" s="39">
        <f>資料儲存!H1442</f>
        <v>0</v>
      </c>
      <c r="G6" s="39">
        <f>資料儲存!I1442</f>
        <v>0</v>
      </c>
      <c r="H6" s="39">
        <f>資料儲存!J1442</f>
        <v>0</v>
      </c>
      <c r="I6" s="35"/>
      <c r="J6" s="38">
        <v>1</v>
      </c>
      <c r="K6" s="39">
        <f>資料儲存!D1562</f>
        <v>0</v>
      </c>
      <c r="L6" s="39">
        <f>資料儲存!E1562</f>
        <v>0</v>
      </c>
      <c r="M6" s="39">
        <f>資料儲存!F1562</f>
        <v>0</v>
      </c>
      <c r="N6" s="39">
        <f>資料儲存!G1562</f>
        <v>0</v>
      </c>
      <c r="O6" s="39">
        <f>資料儲存!H1562</f>
        <v>0</v>
      </c>
      <c r="P6" s="39">
        <f>資料儲存!I1562</f>
        <v>0</v>
      </c>
      <c r="Q6" s="39">
        <f>資料儲存!J1562</f>
        <v>0</v>
      </c>
      <c r="R6" s="35"/>
      <c r="S6" s="38">
        <v>1</v>
      </c>
      <c r="T6" s="39">
        <f>資料儲存!D1682</f>
        <v>0</v>
      </c>
      <c r="U6" s="39">
        <f>資料儲存!E1682</f>
        <v>0</v>
      </c>
      <c r="V6" s="39">
        <f>資料儲存!F1682</f>
        <v>0</v>
      </c>
      <c r="W6" s="39">
        <f>資料儲存!G1682</f>
        <v>0</v>
      </c>
      <c r="X6" s="39">
        <f>資料儲存!H1682</f>
        <v>0</v>
      </c>
      <c r="Y6" s="39">
        <f>資料儲存!I1682</f>
        <v>0</v>
      </c>
      <c r="Z6" s="39">
        <f>資料儲存!J1682</f>
        <v>0</v>
      </c>
      <c r="AA6" s="35"/>
      <c r="AB6" s="38">
        <v>1</v>
      </c>
      <c r="AC6" s="39">
        <f>資料儲存!D1802</f>
        <v>0</v>
      </c>
      <c r="AD6" s="39">
        <f>資料儲存!E1802</f>
        <v>0</v>
      </c>
      <c r="AE6" s="39">
        <f>資料儲存!F1802</f>
        <v>0</v>
      </c>
      <c r="AF6" s="39">
        <f>資料儲存!G1802</f>
        <v>0</v>
      </c>
      <c r="AG6" s="39">
        <f>資料儲存!H1802</f>
        <v>0</v>
      </c>
      <c r="AH6" s="39">
        <f>資料儲存!I1802</f>
        <v>0</v>
      </c>
      <c r="AI6" s="39">
        <f>資料儲存!J1802</f>
        <v>0</v>
      </c>
      <c r="AJ6" s="13"/>
    </row>
    <row r="7" spans="1:36" ht="16" thickBot="1">
      <c r="A7" s="38">
        <v>2</v>
      </c>
      <c r="B7" s="39">
        <f>資料儲存!D1443</f>
        <v>0</v>
      </c>
      <c r="C7" s="39">
        <f>資料儲存!E1443</f>
        <v>0</v>
      </c>
      <c r="D7" s="39">
        <f>資料儲存!F1443</f>
        <v>0</v>
      </c>
      <c r="E7" s="39">
        <f>資料儲存!G1443</f>
        <v>0</v>
      </c>
      <c r="F7" s="39">
        <f>資料儲存!H1443</f>
        <v>0</v>
      </c>
      <c r="G7" s="39">
        <f>資料儲存!I1443</f>
        <v>0</v>
      </c>
      <c r="H7" s="39">
        <f>資料儲存!J1443</f>
        <v>0</v>
      </c>
      <c r="I7" s="35"/>
      <c r="J7" s="38">
        <v>2</v>
      </c>
      <c r="K7" s="39">
        <f>資料儲存!D1563</f>
        <v>0</v>
      </c>
      <c r="L7" s="39">
        <f>資料儲存!E1563</f>
        <v>0</v>
      </c>
      <c r="M7" s="39">
        <f>資料儲存!F1563</f>
        <v>0</v>
      </c>
      <c r="N7" s="39">
        <f>資料儲存!G1563</f>
        <v>0</v>
      </c>
      <c r="O7" s="39">
        <f>資料儲存!H1563</f>
        <v>0</v>
      </c>
      <c r="P7" s="39">
        <f>資料儲存!I1563</f>
        <v>0</v>
      </c>
      <c r="Q7" s="39">
        <f>資料儲存!J1563</f>
        <v>0</v>
      </c>
      <c r="R7" s="35"/>
      <c r="S7" s="38">
        <v>2</v>
      </c>
      <c r="T7" s="39">
        <f>資料儲存!D1683</f>
        <v>0</v>
      </c>
      <c r="U7" s="39">
        <f>資料儲存!E1683</f>
        <v>0</v>
      </c>
      <c r="V7" s="39">
        <f>資料儲存!F1683</f>
        <v>0</v>
      </c>
      <c r="W7" s="39">
        <f>資料儲存!G1683</f>
        <v>0</v>
      </c>
      <c r="X7" s="39">
        <f>資料儲存!H1683</f>
        <v>0</v>
      </c>
      <c r="Y7" s="39">
        <f>資料儲存!I1683</f>
        <v>0</v>
      </c>
      <c r="Z7" s="39">
        <f>資料儲存!J1683</f>
        <v>0</v>
      </c>
      <c r="AA7" s="35"/>
      <c r="AB7" s="38">
        <v>2</v>
      </c>
      <c r="AC7" s="39">
        <f>資料儲存!D1803</f>
        <v>0</v>
      </c>
      <c r="AD7" s="39">
        <f>資料儲存!E1803</f>
        <v>0</v>
      </c>
      <c r="AE7" s="39">
        <f>資料儲存!F1803</f>
        <v>0</v>
      </c>
      <c r="AF7" s="39">
        <f>資料儲存!G1803</f>
        <v>0</v>
      </c>
      <c r="AG7" s="39">
        <f>資料儲存!H1803</f>
        <v>0</v>
      </c>
      <c r="AH7" s="39">
        <f>資料儲存!I1803</f>
        <v>0</v>
      </c>
      <c r="AI7" s="39">
        <f>資料儲存!J1803</f>
        <v>0</v>
      </c>
      <c r="AJ7" s="13"/>
    </row>
    <row r="8" spans="1:36" ht="16" thickBot="1">
      <c r="A8" s="38">
        <v>3</v>
      </c>
      <c r="B8" s="39">
        <f>資料儲存!D1444</f>
        <v>0</v>
      </c>
      <c r="C8" s="39">
        <f>資料儲存!E1444</f>
        <v>0</v>
      </c>
      <c r="D8" s="39">
        <f>資料儲存!F1444</f>
        <v>0</v>
      </c>
      <c r="E8" s="39">
        <f>資料儲存!G1444</f>
        <v>0</v>
      </c>
      <c r="F8" s="39">
        <f>資料儲存!H1444</f>
        <v>0</v>
      </c>
      <c r="G8" s="39">
        <f>資料儲存!I1444</f>
        <v>0</v>
      </c>
      <c r="H8" s="39">
        <f>資料儲存!J1444</f>
        <v>0</v>
      </c>
      <c r="I8" s="35"/>
      <c r="J8" s="38">
        <v>3</v>
      </c>
      <c r="K8" s="39">
        <f>資料儲存!D1564</f>
        <v>0</v>
      </c>
      <c r="L8" s="39">
        <f>資料儲存!E1564</f>
        <v>0</v>
      </c>
      <c r="M8" s="39">
        <f>資料儲存!F1564</f>
        <v>0</v>
      </c>
      <c r="N8" s="39">
        <f>資料儲存!G1564</f>
        <v>0</v>
      </c>
      <c r="O8" s="39">
        <f>資料儲存!H1564</f>
        <v>0</v>
      </c>
      <c r="P8" s="39">
        <f>資料儲存!I1564</f>
        <v>0</v>
      </c>
      <c r="Q8" s="39">
        <f>資料儲存!J1564</f>
        <v>0</v>
      </c>
      <c r="R8" s="35"/>
      <c r="S8" s="38">
        <v>3</v>
      </c>
      <c r="T8" s="39">
        <f>資料儲存!D1684</f>
        <v>0</v>
      </c>
      <c r="U8" s="39">
        <f>資料儲存!E1684</f>
        <v>0</v>
      </c>
      <c r="V8" s="39">
        <f>資料儲存!F1684</f>
        <v>0</v>
      </c>
      <c r="W8" s="39">
        <f>資料儲存!G1684</f>
        <v>0</v>
      </c>
      <c r="X8" s="39">
        <f>資料儲存!H1684</f>
        <v>0</v>
      </c>
      <c r="Y8" s="39">
        <f>資料儲存!I1684</f>
        <v>0</v>
      </c>
      <c r="Z8" s="39">
        <f>資料儲存!J1684</f>
        <v>0</v>
      </c>
      <c r="AA8" s="35"/>
      <c r="AB8" s="38">
        <v>3</v>
      </c>
      <c r="AC8" s="39">
        <f>資料儲存!D1804</f>
        <v>0</v>
      </c>
      <c r="AD8" s="39">
        <f>資料儲存!E1804</f>
        <v>0</v>
      </c>
      <c r="AE8" s="39">
        <f>資料儲存!F1804</f>
        <v>0</v>
      </c>
      <c r="AF8" s="39">
        <f>資料儲存!G1804</f>
        <v>0</v>
      </c>
      <c r="AG8" s="39">
        <f>資料儲存!H1804</f>
        <v>0</v>
      </c>
      <c r="AH8" s="39">
        <f>資料儲存!I1804</f>
        <v>0</v>
      </c>
      <c r="AI8" s="39">
        <f>資料儲存!J1804</f>
        <v>0</v>
      </c>
      <c r="AJ8" s="13"/>
    </row>
    <row r="9" spans="1:36" ht="16" thickBot="1">
      <c r="A9" s="38">
        <v>4</v>
      </c>
      <c r="B9" s="39">
        <f>資料儲存!D1445</f>
        <v>0</v>
      </c>
      <c r="C9" s="39">
        <f>資料儲存!E1445</f>
        <v>0</v>
      </c>
      <c r="D9" s="39">
        <f>資料儲存!F1445</f>
        <v>0</v>
      </c>
      <c r="E9" s="39">
        <f>資料儲存!G1445</f>
        <v>0</v>
      </c>
      <c r="F9" s="39">
        <f>資料儲存!H1445</f>
        <v>0</v>
      </c>
      <c r="G9" s="39">
        <f>資料儲存!I1445</f>
        <v>0</v>
      </c>
      <c r="H9" s="39">
        <f>資料儲存!J1445</f>
        <v>0</v>
      </c>
      <c r="I9" s="35"/>
      <c r="J9" s="38">
        <v>4</v>
      </c>
      <c r="K9" s="39">
        <f>資料儲存!D1565</f>
        <v>0</v>
      </c>
      <c r="L9" s="39">
        <f>資料儲存!E1565</f>
        <v>0</v>
      </c>
      <c r="M9" s="39">
        <f>資料儲存!F1565</f>
        <v>0</v>
      </c>
      <c r="N9" s="39">
        <f>資料儲存!G1565</f>
        <v>0</v>
      </c>
      <c r="O9" s="39">
        <f>資料儲存!H1565</f>
        <v>0</v>
      </c>
      <c r="P9" s="39">
        <f>資料儲存!I1565</f>
        <v>0</v>
      </c>
      <c r="Q9" s="39">
        <f>資料儲存!J1565</f>
        <v>0</v>
      </c>
      <c r="R9" s="35"/>
      <c r="S9" s="38">
        <v>4</v>
      </c>
      <c r="T9" s="39">
        <f>資料儲存!D1685</f>
        <v>0</v>
      </c>
      <c r="U9" s="39">
        <f>資料儲存!E1685</f>
        <v>0</v>
      </c>
      <c r="V9" s="39">
        <f>資料儲存!F1685</f>
        <v>0</v>
      </c>
      <c r="W9" s="39">
        <f>資料儲存!G1685</f>
        <v>0</v>
      </c>
      <c r="X9" s="39">
        <f>資料儲存!H1685</f>
        <v>0</v>
      </c>
      <c r="Y9" s="39">
        <f>資料儲存!I1685</f>
        <v>0</v>
      </c>
      <c r="Z9" s="39">
        <f>資料儲存!J1685</f>
        <v>0</v>
      </c>
      <c r="AA9" s="35"/>
      <c r="AB9" s="38">
        <v>4</v>
      </c>
      <c r="AC9" s="39">
        <f>資料儲存!D1805</f>
        <v>0</v>
      </c>
      <c r="AD9" s="39">
        <f>資料儲存!E1805</f>
        <v>0</v>
      </c>
      <c r="AE9" s="39">
        <f>資料儲存!F1805</f>
        <v>0</v>
      </c>
      <c r="AF9" s="39">
        <f>資料儲存!G1805</f>
        <v>0</v>
      </c>
      <c r="AG9" s="39">
        <f>資料儲存!H1805</f>
        <v>0</v>
      </c>
      <c r="AH9" s="39">
        <f>資料儲存!I1805</f>
        <v>0</v>
      </c>
      <c r="AI9" s="39">
        <f>資料儲存!J1805</f>
        <v>0</v>
      </c>
      <c r="AJ9" s="13"/>
    </row>
    <row r="10" spans="1:36" ht="16" thickBot="1">
      <c r="A10" s="38">
        <v>5</v>
      </c>
      <c r="B10" s="39">
        <f>資料儲存!D1446</f>
        <v>0</v>
      </c>
      <c r="C10" s="39">
        <f>資料儲存!E1446</f>
        <v>0</v>
      </c>
      <c r="D10" s="39">
        <f>資料儲存!F1446</f>
        <v>0</v>
      </c>
      <c r="E10" s="39">
        <f>資料儲存!G1446</f>
        <v>0</v>
      </c>
      <c r="F10" s="39">
        <f>資料儲存!H1446</f>
        <v>0</v>
      </c>
      <c r="G10" s="39">
        <f>資料儲存!I1446</f>
        <v>0</v>
      </c>
      <c r="H10" s="39">
        <f>資料儲存!J1446</f>
        <v>0</v>
      </c>
      <c r="I10" s="35"/>
      <c r="J10" s="38">
        <v>5</v>
      </c>
      <c r="K10" s="39">
        <f>資料儲存!D1566</f>
        <v>0</v>
      </c>
      <c r="L10" s="39">
        <f>資料儲存!E1566</f>
        <v>0</v>
      </c>
      <c r="M10" s="39">
        <f>資料儲存!F1566</f>
        <v>0</v>
      </c>
      <c r="N10" s="39">
        <f>資料儲存!G1566</f>
        <v>0</v>
      </c>
      <c r="O10" s="39">
        <f>資料儲存!H1566</f>
        <v>0</v>
      </c>
      <c r="P10" s="39">
        <f>資料儲存!I1566</f>
        <v>0</v>
      </c>
      <c r="Q10" s="39">
        <f>資料儲存!J1566</f>
        <v>0</v>
      </c>
      <c r="R10" s="35"/>
      <c r="S10" s="38">
        <v>5</v>
      </c>
      <c r="T10" s="39">
        <f>資料儲存!D1686</f>
        <v>0</v>
      </c>
      <c r="U10" s="39">
        <f>資料儲存!E1686</f>
        <v>0</v>
      </c>
      <c r="V10" s="39">
        <f>資料儲存!F1686</f>
        <v>0</v>
      </c>
      <c r="W10" s="39">
        <f>資料儲存!G1686</f>
        <v>0</v>
      </c>
      <c r="X10" s="39">
        <f>資料儲存!H1686</f>
        <v>0</v>
      </c>
      <c r="Y10" s="39">
        <f>資料儲存!I1686</f>
        <v>0</v>
      </c>
      <c r="Z10" s="39">
        <f>資料儲存!J1686</f>
        <v>0</v>
      </c>
      <c r="AA10" s="35"/>
      <c r="AB10" s="38">
        <v>5</v>
      </c>
      <c r="AC10" s="39">
        <f>資料儲存!D1806</f>
        <v>0</v>
      </c>
      <c r="AD10" s="39">
        <f>資料儲存!E1806</f>
        <v>0</v>
      </c>
      <c r="AE10" s="39">
        <f>資料儲存!F1806</f>
        <v>0</v>
      </c>
      <c r="AF10" s="39">
        <f>資料儲存!G1806</f>
        <v>0</v>
      </c>
      <c r="AG10" s="39">
        <f>資料儲存!H1806</f>
        <v>0</v>
      </c>
      <c r="AH10" s="39">
        <f>資料儲存!I1806</f>
        <v>0</v>
      </c>
      <c r="AI10" s="39">
        <f>資料儲存!J1806</f>
        <v>0</v>
      </c>
      <c r="AJ10" s="13"/>
    </row>
    <row r="11" spans="1:36" ht="16" thickBot="1">
      <c r="A11" s="38">
        <v>6</v>
      </c>
      <c r="B11" s="39">
        <f>資料儲存!D1447</f>
        <v>0</v>
      </c>
      <c r="C11" s="39">
        <f>資料儲存!E1447</f>
        <v>0</v>
      </c>
      <c r="D11" s="39">
        <f>資料儲存!F1447</f>
        <v>0</v>
      </c>
      <c r="E11" s="39">
        <f>資料儲存!G1447</f>
        <v>0</v>
      </c>
      <c r="F11" s="39">
        <f>資料儲存!H1447</f>
        <v>0</v>
      </c>
      <c r="G11" s="39">
        <f>資料儲存!I1447</f>
        <v>0</v>
      </c>
      <c r="H11" s="39">
        <f>資料儲存!J1447</f>
        <v>0</v>
      </c>
      <c r="I11" s="35"/>
      <c r="J11" s="38">
        <v>6</v>
      </c>
      <c r="K11" s="39">
        <f>資料儲存!D1567</f>
        <v>0</v>
      </c>
      <c r="L11" s="39">
        <f>資料儲存!E1567</f>
        <v>0</v>
      </c>
      <c r="M11" s="39">
        <f>資料儲存!F1567</f>
        <v>0</v>
      </c>
      <c r="N11" s="39">
        <f>資料儲存!G1567</f>
        <v>0</v>
      </c>
      <c r="O11" s="39">
        <f>資料儲存!H1567</f>
        <v>0</v>
      </c>
      <c r="P11" s="39">
        <f>資料儲存!I1567</f>
        <v>0</v>
      </c>
      <c r="Q11" s="39">
        <f>資料儲存!J1567</f>
        <v>0</v>
      </c>
      <c r="R11" s="35"/>
      <c r="S11" s="38">
        <v>6</v>
      </c>
      <c r="T11" s="39">
        <f>資料儲存!D1687</f>
        <v>0</v>
      </c>
      <c r="U11" s="39">
        <f>資料儲存!E1687</f>
        <v>0</v>
      </c>
      <c r="V11" s="39">
        <f>資料儲存!F1687</f>
        <v>0</v>
      </c>
      <c r="W11" s="39">
        <f>資料儲存!G1687</f>
        <v>0</v>
      </c>
      <c r="X11" s="39">
        <f>資料儲存!H1687</f>
        <v>0</v>
      </c>
      <c r="Y11" s="39">
        <f>資料儲存!I1687</f>
        <v>0</v>
      </c>
      <c r="Z11" s="39">
        <f>資料儲存!J1687</f>
        <v>0</v>
      </c>
      <c r="AA11" s="35"/>
      <c r="AB11" s="38">
        <v>6</v>
      </c>
      <c r="AC11" s="39">
        <f>資料儲存!D1807</f>
        <v>0</v>
      </c>
      <c r="AD11" s="39">
        <f>資料儲存!E1807</f>
        <v>0</v>
      </c>
      <c r="AE11" s="39">
        <f>資料儲存!F1807</f>
        <v>0</v>
      </c>
      <c r="AF11" s="39">
        <f>資料儲存!G1807</f>
        <v>0</v>
      </c>
      <c r="AG11" s="39">
        <f>資料儲存!H1807</f>
        <v>0</v>
      </c>
      <c r="AH11" s="39">
        <f>資料儲存!I1807</f>
        <v>0</v>
      </c>
      <c r="AI11" s="39">
        <f>資料儲存!J1807</f>
        <v>0</v>
      </c>
      <c r="AJ11" s="13"/>
    </row>
    <row r="12" spans="1:36" ht="16" thickBot="1">
      <c r="A12" s="38">
        <v>7</v>
      </c>
      <c r="B12" s="39">
        <f>資料儲存!D1448</f>
        <v>0</v>
      </c>
      <c r="C12" s="39">
        <f>資料儲存!E1448</f>
        <v>0</v>
      </c>
      <c r="D12" s="39">
        <f>資料儲存!F1448</f>
        <v>0</v>
      </c>
      <c r="E12" s="39">
        <f>資料儲存!G1448</f>
        <v>0</v>
      </c>
      <c r="F12" s="39">
        <f>資料儲存!H1448</f>
        <v>0</v>
      </c>
      <c r="G12" s="39">
        <f>資料儲存!I1448</f>
        <v>0</v>
      </c>
      <c r="H12" s="39">
        <f>資料儲存!J1448</f>
        <v>0</v>
      </c>
      <c r="I12" s="35"/>
      <c r="J12" s="38">
        <v>7</v>
      </c>
      <c r="K12" s="39">
        <f>資料儲存!D1568</f>
        <v>0</v>
      </c>
      <c r="L12" s="39">
        <f>資料儲存!E1568</f>
        <v>0</v>
      </c>
      <c r="M12" s="39">
        <f>資料儲存!F1568</f>
        <v>0</v>
      </c>
      <c r="N12" s="39">
        <f>資料儲存!G1568</f>
        <v>0</v>
      </c>
      <c r="O12" s="39">
        <f>資料儲存!H1568</f>
        <v>0</v>
      </c>
      <c r="P12" s="39">
        <f>資料儲存!I1568</f>
        <v>0</v>
      </c>
      <c r="Q12" s="39">
        <f>資料儲存!J1568</f>
        <v>0</v>
      </c>
      <c r="R12" s="35"/>
      <c r="S12" s="38">
        <v>7</v>
      </c>
      <c r="T12" s="39">
        <f>資料儲存!D1688</f>
        <v>0</v>
      </c>
      <c r="U12" s="39">
        <f>資料儲存!E1688</f>
        <v>0</v>
      </c>
      <c r="V12" s="39">
        <f>資料儲存!F1688</f>
        <v>0</v>
      </c>
      <c r="W12" s="39">
        <f>資料儲存!G1688</f>
        <v>0</v>
      </c>
      <c r="X12" s="39">
        <f>資料儲存!H1688</f>
        <v>0</v>
      </c>
      <c r="Y12" s="39">
        <f>資料儲存!I1688</f>
        <v>0</v>
      </c>
      <c r="Z12" s="39">
        <f>資料儲存!J1688</f>
        <v>0</v>
      </c>
      <c r="AA12" s="35"/>
      <c r="AB12" s="38">
        <v>7</v>
      </c>
      <c r="AC12" s="39">
        <f>資料儲存!D1808</f>
        <v>0</v>
      </c>
      <c r="AD12" s="39">
        <f>資料儲存!E1808</f>
        <v>0</v>
      </c>
      <c r="AE12" s="39">
        <f>資料儲存!F1808</f>
        <v>0</v>
      </c>
      <c r="AF12" s="39">
        <f>資料儲存!G1808</f>
        <v>0</v>
      </c>
      <c r="AG12" s="39">
        <f>資料儲存!H1808</f>
        <v>0</v>
      </c>
      <c r="AH12" s="39">
        <f>資料儲存!I1808</f>
        <v>0</v>
      </c>
      <c r="AI12" s="39">
        <f>資料儲存!J1808</f>
        <v>0</v>
      </c>
      <c r="AJ12" s="13"/>
    </row>
    <row r="13" spans="1:36" ht="16" thickBot="1">
      <c r="A13" s="38">
        <v>8</v>
      </c>
      <c r="B13" s="39">
        <f>資料儲存!D1449</f>
        <v>0</v>
      </c>
      <c r="C13" s="39">
        <f>資料儲存!E1449</f>
        <v>0</v>
      </c>
      <c r="D13" s="39">
        <f>資料儲存!F1449</f>
        <v>0</v>
      </c>
      <c r="E13" s="39">
        <f>資料儲存!G1449</f>
        <v>0</v>
      </c>
      <c r="F13" s="39">
        <f>資料儲存!H1449</f>
        <v>0</v>
      </c>
      <c r="G13" s="39">
        <f>資料儲存!I1449</f>
        <v>0</v>
      </c>
      <c r="H13" s="39">
        <f>資料儲存!J1449</f>
        <v>0</v>
      </c>
      <c r="I13" s="35"/>
      <c r="J13" s="38">
        <v>8</v>
      </c>
      <c r="K13" s="39">
        <f>資料儲存!D1569</f>
        <v>0</v>
      </c>
      <c r="L13" s="39">
        <f>資料儲存!E1569</f>
        <v>0</v>
      </c>
      <c r="M13" s="39">
        <f>資料儲存!F1569</f>
        <v>0</v>
      </c>
      <c r="N13" s="39">
        <f>資料儲存!G1569</f>
        <v>0</v>
      </c>
      <c r="O13" s="39">
        <f>資料儲存!H1569</f>
        <v>0</v>
      </c>
      <c r="P13" s="39">
        <f>資料儲存!I1569</f>
        <v>0</v>
      </c>
      <c r="Q13" s="39">
        <f>資料儲存!J1569</f>
        <v>0</v>
      </c>
      <c r="R13" s="35"/>
      <c r="S13" s="38">
        <v>8</v>
      </c>
      <c r="T13" s="39">
        <f>資料儲存!D1689</f>
        <v>0</v>
      </c>
      <c r="U13" s="39">
        <f>資料儲存!E1689</f>
        <v>0</v>
      </c>
      <c r="V13" s="39">
        <f>資料儲存!F1689</f>
        <v>0</v>
      </c>
      <c r="W13" s="39">
        <f>資料儲存!G1689</f>
        <v>0</v>
      </c>
      <c r="X13" s="39">
        <f>資料儲存!H1689</f>
        <v>0</v>
      </c>
      <c r="Y13" s="39">
        <f>資料儲存!I1689</f>
        <v>0</v>
      </c>
      <c r="Z13" s="39">
        <f>資料儲存!J1689</f>
        <v>0</v>
      </c>
      <c r="AA13" s="35"/>
      <c r="AB13" s="38">
        <v>8</v>
      </c>
      <c r="AC13" s="39">
        <f>資料儲存!D1809</f>
        <v>0</v>
      </c>
      <c r="AD13" s="39">
        <f>資料儲存!E1809</f>
        <v>0</v>
      </c>
      <c r="AE13" s="39">
        <f>資料儲存!F1809</f>
        <v>0</v>
      </c>
      <c r="AF13" s="39">
        <f>資料儲存!G1809</f>
        <v>0</v>
      </c>
      <c r="AG13" s="39">
        <f>資料儲存!H1809</f>
        <v>0</v>
      </c>
      <c r="AH13" s="39">
        <f>資料儲存!I1809</f>
        <v>0</v>
      </c>
      <c r="AI13" s="39">
        <f>資料儲存!J1809</f>
        <v>0</v>
      </c>
      <c r="AJ13" s="13"/>
    </row>
    <row r="14" spans="1:36" ht="16" thickBot="1">
      <c r="A14" s="38">
        <v>9</v>
      </c>
      <c r="B14" s="39">
        <f>資料儲存!D1450</f>
        <v>0</v>
      </c>
      <c r="C14" s="39">
        <f>資料儲存!E1450</f>
        <v>0</v>
      </c>
      <c r="D14" s="39">
        <f>資料儲存!F1450</f>
        <v>0</v>
      </c>
      <c r="E14" s="39">
        <f>資料儲存!G1450</f>
        <v>0</v>
      </c>
      <c r="F14" s="39">
        <f>資料儲存!H1450</f>
        <v>0</v>
      </c>
      <c r="G14" s="39">
        <f>資料儲存!I1450</f>
        <v>0</v>
      </c>
      <c r="H14" s="39">
        <f>資料儲存!J1450</f>
        <v>0</v>
      </c>
      <c r="I14" s="35"/>
      <c r="J14" s="38">
        <v>9</v>
      </c>
      <c r="K14" s="39">
        <f>資料儲存!D1570</f>
        <v>0</v>
      </c>
      <c r="L14" s="39">
        <f>資料儲存!E1570</f>
        <v>0</v>
      </c>
      <c r="M14" s="39">
        <f>資料儲存!F1570</f>
        <v>0</v>
      </c>
      <c r="N14" s="39">
        <f>資料儲存!G1570</f>
        <v>0</v>
      </c>
      <c r="O14" s="39">
        <f>資料儲存!H1570</f>
        <v>0</v>
      </c>
      <c r="P14" s="39">
        <f>資料儲存!I1570</f>
        <v>0</v>
      </c>
      <c r="Q14" s="39">
        <f>資料儲存!J1570</f>
        <v>0</v>
      </c>
      <c r="R14" s="35"/>
      <c r="S14" s="38">
        <v>9</v>
      </c>
      <c r="T14" s="39">
        <f>資料儲存!D1690</f>
        <v>0</v>
      </c>
      <c r="U14" s="39">
        <f>資料儲存!E1690</f>
        <v>0</v>
      </c>
      <c r="V14" s="39">
        <f>資料儲存!F1690</f>
        <v>0</v>
      </c>
      <c r="W14" s="39">
        <f>資料儲存!G1690</f>
        <v>0</v>
      </c>
      <c r="X14" s="39">
        <f>資料儲存!H1690</f>
        <v>0</v>
      </c>
      <c r="Y14" s="39">
        <f>資料儲存!I1690</f>
        <v>0</v>
      </c>
      <c r="Z14" s="39">
        <f>資料儲存!J1690</f>
        <v>0</v>
      </c>
      <c r="AA14" s="35"/>
      <c r="AB14" s="38">
        <v>9</v>
      </c>
      <c r="AC14" s="39">
        <f>資料儲存!D1810</f>
        <v>0</v>
      </c>
      <c r="AD14" s="39">
        <f>資料儲存!E1810</f>
        <v>0</v>
      </c>
      <c r="AE14" s="39">
        <f>資料儲存!F1810</f>
        <v>0</v>
      </c>
      <c r="AF14" s="39">
        <f>資料儲存!G1810</f>
        <v>0</v>
      </c>
      <c r="AG14" s="39">
        <f>資料儲存!H1810</f>
        <v>0</v>
      </c>
      <c r="AH14" s="39">
        <f>資料儲存!I1810</f>
        <v>0</v>
      </c>
      <c r="AI14" s="39">
        <f>資料儲存!J1810</f>
        <v>0</v>
      </c>
      <c r="AJ14" s="13"/>
    </row>
    <row r="15" spans="1:36" ht="16" thickBot="1">
      <c r="A15" s="38">
        <v>10</v>
      </c>
      <c r="B15" s="39">
        <f>資料儲存!D1451</f>
        <v>0</v>
      </c>
      <c r="C15" s="39">
        <f>資料儲存!E1451</f>
        <v>0</v>
      </c>
      <c r="D15" s="39">
        <f>資料儲存!F1451</f>
        <v>0</v>
      </c>
      <c r="E15" s="39">
        <f>資料儲存!G1451</f>
        <v>0</v>
      </c>
      <c r="F15" s="39">
        <f>資料儲存!H1451</f>
        <v>0</v>
      </c>
      <c r="G15" s="39">
        <f>資料儲存!I1451</f>
        <v>0</v>
      </c>
      <c r="H15" s="39">
        <f>資料儲存!J1451</f>
        <v>0</v>
      </c>
      <c r="I15" s="35"/>
      <c r="J15" s="38">
        <v>10</v>
      </c>
      <c r="K15" s="39">
        <f>資料儲存!D1571</f>
        <v>0</v>
      </c>
      <c r="L15" s="39">
        <f>資料儲存!E1571</f>
        <v>0</v>
      </c>
      <c r="M15" s="39">
        <f>資料儲存!F1571</f>
        <v>0</v>
      </c>
      <c r="N15" s="39">
        <f>資料儲存!G1571</f>
        <v>0</v>
      </c>
      <c r="O15" s="39">
        <f>資料儲存!H1571</f>
        <v>0</v>
      </c>
      <c r="P15" s="39">
        <f>資料儲存!I1571</f>
        <v>0</v>
      </c>
      <c r="Q15" s="39">
        <f>資料儲存!J1571</f>
        <v>0</v>
      </c>
      <c r="R15" s="35"/>
      <c r="S15" s="38">
        <v>10</v>
      </c>
      <c r="T15" s="39">
        <f>資料儲存!D1691</f>
        <v>0</v>
      </c>
      <c r="U15" s="39">
        <f>資料儲存!E1691</f>
        <v>0</v>
      </c>
      <c r="V15" s="39">
        <f>資料儲存!F1691</f>
        <v>0</v>
      </c>
      <c r="W15" s="39">
        <f>資料儲存!G1691</f>
        <v>0</v>
      </c>
      <c r="X15" s="39">
        <f>資料儲存!H1691</f>
        <v>0</v>
      </c>
      <c r="Y15" s="39">
        <f>資料儲存!I1691</f>
        <v>0</v>
      </c>
      <c r="Z15" s="39">
        <f>資料儲存!J1691</f>
        <v>0</v>
      </c>
      <c r="AA15" s="35"/>
      <c r="AB15" s="38">
        <v>10</v>
      </c>
      <c r="AC15" s="39">
        <f>資料儲存!D1811</f>
        <v>0</v>
      </c>
      <c r="AD15" s="39">
        <f>資料儲存!E1811</f>
        <v>0</v>
      </c>
      <c r="AE15" s="39">
        <f>資料儲存!F1811</f>
        <v>0</v>
      </c>
      <c r="AF15" s="39">
        <f>資料儲存!G1811</f>
        <v>0</v>
      </c>
      <c r="AG15" s="39">
        <f>資料儲存!H1811</f>
        <v>0</v>
      </c>
      <c r="AH15" s="39">
        <f>資料儲存!I1811</f>
        <v>0</v>
      </c>
      <c r="AI15" s="39">
        <f>資料儲存!J1811</f>
        <v>0</v>
      </c>
      <c r="AJ15" s="13"/>
    </row>
    <row r="16" spans="1:36" ht="16" thickBot="1">
      <c r="A16" s="38">
        <v>11</v>
      </c>
      <c r="B16" s="39">
        <f>資料儲存!D1452</f>
        <v>0</v>
      </c>
      <c r="C16" s="39">
        <f>資料儲存!E1452</f>
        <v>0</v>
      </c>
      <c r="D16" s="39">
        <f>資料儲存!F1452</f>
        <v>0</v>
      </c>
      <c r="E16" s="39">
        <f>資料儲存!G1452</f>
        <v>0</v>
      </c>
      <c r="F16" s="39">
        <f>資料儲存!H1452</f>
        <v>0</v>
      </c>
      <c r="G16" s="39">
        <f>資料儲存!I1452</f>
        <v>0</v>
      </c>
      <c r="H16" s="39">
        <f>資料儲存!J1452</f>
        <v>0</v>
      </c>
      <c r="I16" s="35"/>
      <c r="J16" s="38">
        <v>11</v>
      </c>
      <c r="K16" s="39">
        <f>資料儲存!D1572</f>
        <v>0</v>
      </c>
      <c r="L16" s="39">
        <f>資料儲存!E1572</f>
        <v>0</v>
      </c>
      <c r="M16" s="39">
        <f>資料儲存!F1572</f>
        <v>0</v>
      </c>
      <c r="N16" s="39">
        <f>資料儲存!G1572</f>
        <v>0</v>
      </c>
      <c r="O16" s="39">
        <f>資料儲存!H1572</f>
        <v>0</v>
      </c>
      <c r="P16" s="39">
        <f>資料儲存!I1572</f>
        <v>0</v>
      </c>
      <c r="Q16" s="39">
        <f>資料儲存!J1572</f>
        <v>0</v>
      </c>
      <c r="R16" s="35"/>
      <c r="S16" s="38">
        <v>11</v>
      </c>
      <c r="T16" s="39">
        <f>資料儲存!D1692</f>
        <v>0</v>
      </c>
      <c r="U16" s="39">
        <f>資料儲存!E1692</f>
        <v>0</v>
      </c>
      <c r="V16" s="39">
        <f>資料儲存!F1692</f>
        <v>0</v>
      </c>
      <c r="W16" s="39">
        <f>資料儲存!G1692</f>
        <v>0</v>
      </c>
      <c r="X16" s="39">
        <f>資料儲存!H1692</f>
        <v>0</v>
      </c>
      <c r="Y16" s="39">
        <f>資料儲存!I1692</f>
        <v>0</v>
      </c>
      <c r="Z16" s="39">
        <f>資料儲存!J1692</f>
        <v>0</v>
      </c>
      <c r="AA16" s="35"/>
      <c r="AB16" s="38">
        <v>11</v>
      </c>
      <c r="AC16" s="39">
        <f>資料儲存!D1812</f>
        <v>0</v>
      </c>
      <c r="AD16" s="39">
        <f>資料儲存!E1812</f>
        <v>0</v>
      </c>
      <c r="AE16" s="39">
        <f>資料儲存!F1812</f>
        <v>0</v>
      </c>
      <c r="AF16" s="39">
        <f>資料儲存!G1812</f>
        <v>0</v>
      </c>
      <c r="AG16" s="39">
        <f>資料儲存!H1812</f>
        <v>0</v>
      </c>
      <c r="AH16" s="39">
        <f>資料儲存!I1812</f>
        <v>0</v>
      </c>
      <c r="AI16" s="39">
        <f>資料儲存!J1812</f>
        <v>0</v>
      </c>
      <c r="AJ16" s="13"/>
    </row>
    <row r="17" spans="1:36" ht="16" thickBot="1">
      <c r="A17" s="38">
        <v>12</v>
      </c>
      <c r="B17" s="39">
        <f>資料儲存!D1453</f>
        <v>0</v>
      </c>
      <c r="C17" s="39">
        <f>資料儲存!E1453</f>
        <v>0</v>
      </c>
      <c r="D17" s="39">
        <f>資料儲存!F1453</f>
        <v>0</v>
      </c>
      <c r="E17" s="39">
        <f>資料儲存!G1453</f>
        <v>0</v>
      </c>
      <c r="F17" s="39">
        <f>資料儲存!H1453</f>
        <v>0</v>
      </c>
      <c r="G17" s="39">
        <f>資料儲存!I1453</f>
        <v>0</v>
      </c>
      <c r="H17" s="39">
        <f>資料儲存!J1453</f>
        <v>0</v>
      </c>
      <c r="I17" s="35"/>
      <c r="J17" s="38">
        <v>12</v>
      </c>
      <c r="K17" s="39">
        <f>資料儲存!D1573</f>
        <v>0</v>
      </c>
      <c r="L17" s="39">
        <f>資料儲存!E1573</f>
        <v>0</v>
      </c>
      <c r="M17" s="39">
        <f>資料儲存!F1573</f>
        <v>0</v>
      </c>
      <c r="N17" s="39">
        <f>資料儲存!G1573</f>
        <v>0</v>
      </c>
      <c r="O17" s="39">
        <f>資料儲存!H1573</f>
        <v>0</v>
      </c>
      <c r="P17" s="39">
        <f>資料儲存!I1573</f>
        <v>0</v>
      </c>
      <c r="Q17" s="39">
        <f>資料儲存!J1573</f>
        <v>0</v>
      </c>
      <c r="R17" s="35"/>
      <c r="S17" s="38">
        <v>12</v>
      </c>
      <c r="T17" s="39">
        <f>資料儲存!D1693</f>
        <v>0</v>
      </c>
      <c r="U17" s="39">
        <f>資料儲存!E1693</f>
        <v>0</v>
      </c>
      <c r="V17" s="39">
        <f>資料儲存!F1693</f>
        <v>0</v>
      </c>
      <c r="W17" s="39">
        <f>資料儲存!G1693</f>
        <v>0</v>
      </c>
      <c r="X17" s="39">
        <f>資料儲存!H1693</f>
        <v>0</v>
      </c>
      <c r="Y17" s="39">
        <f>資料儲存!I1693</f>
        <v>0</v>
      </c>
      <c r="Z17" s="39">
        <f>資料儲存!J1693</f>
        <v>0</v>
      </c>
      <c r="AA17" s="35"/>
      <c r="AB17" s="38">
        <v>12</v>
      </c>
      <c r="AC17" s="39">
        <f>資料儲存!D1813</f>
        <v>0</v>
      </c>
      <c r="AD17" s="39">
        <f>資料儲存!E1813</f>
        <v>0</v>
      </c>
      <c r="AE17" s="39">
        <f>資料儲存!F1813</f>
        <v>0</v>
      </c>
      <c r="AF17" s="39">
        <f>資料儲存!G1813</f>
        <v>0</v>
      </c>
      <c r="AG17" s="39">
        <f>資料儲存!H1813</f>
        <v>0</v>
      </c>
      <c r="AH17" s="39">
        <f>資料儲存!I1813</f>
        <v>0</v>
      </c>
      <c r="AI17" s="39">
        <f>資料儲存!J1813</f>
        <v>0</v>
      </c>
      <c r="AJ17" s="13"/>
    </row>
    <row r="18" spans="1:36" ht="16" thickBot="1">
      <c r="A18" s="38">
        <v>13</v>
      </c>
      <c r="B18" s="39">
        <f>資料儲存!D1454</f>
        <v>0</v>
      </c>
      <c r="C18" s="39">
        <f>資料儲存!E1454</f>
        <v>0</v>
      </c>
      <c r="D18" s="39">
        <f>資料儲存!F1454</f>
        <v>0</v>
      </c>
      <c r="E18" s="39">
        <f>資料儲存!G1454</f>
        <v>0</v>
      </c>
      <c r="F18" s="39">
        <f>資料儲存!H1454</f>
        <v>0</v>
      </c>
      <c r="G18" s="39">
        <f>資料儲存!I1454</f>
        <v>0</v>
      </c>
      <c r="H18" s="39">
        <f>資料儲存!J1454</f>
        <v>0</v>
      </c>
      <c r="I18" s="35"/>
      <c r="J18" s="38">
        <v>13</v>
      </c>
      <c r="K18" s="39">
        <f>資料儲存!D1574</f>
        <v>0</v>
      </c>
      <c r="L18" s="39">
        <f>資料儲存!E1574</f>
        <v>0</v>
      </c>
      <c r="M18" s="39">
        <f>資料儲存!F1574</f>
        <v>0</v>
      </c>
      <c r="N18" s="39">
        <f>資料儲存!G1574</f>
        <v>0</v>
      </c>
      <c r="O18" s="39">
        <f>資料儲存!H1574</f>
        <v>0</v>
      </c>
      <c r="P18" s="39">
        <f>資料儲存!I1574</f>
        <v>0</v>
      </c>
      <c r="Q18" s="39">
        <f>資料儲存!J1574</f>
        <v>0</v>
      </c>
      <c r="R18" s="35"/>
      <c r="S18" s="38">
        <v>13</v>
      </c>
      <c r="T18" s="39">
        <f>資料儲存!D1694</f>
        <v>0</v>
      </c>
      <c r="U18" s="39">
        <f>資料儲存!E1694</f>
        <v>0</v>
      </c>
      <c r="V18" s="39">
        <f>資料儲存!F1694</f>
        <v>0</v>
      </c>
      <c r="W18" s="39">
        <f>資料儲存!G1694</f>
        <v>0</v>
      </c>
      <c r="X18" s="39">
        <f>資料儲存!H1694</f>
        <v>0</v>
      </c>
      <c r="Y18" s="39">
        <f>資料儲存!I1694</f>
        <v>0</v>
      </c>
      <c r="Z18" s="39">
        <f>資料儲存!J1694</f>
        <v>0</v>
      </c>
      <c r="AA18" s="35"/>
      <c r="AB18" s="38">
        <v>13</v>
      </c>
      <c r="AC18" s="39">
        <f>資料儲存!D1814</f>
        <v>0</v>
      </c>
      <c r="AD18" s="39">
        <f>資料儲存!E1814</f>
        <v>0</v>
      </c>
      <c r="AE18" s="39">
        <f>資料儲存!F1814</f>
        <v>0</v>
      </c>
      <c r="AF18" s="39">
        <f>資料儲存!G1814</f>
        <v>0</v>
      </c>
      <c r="AG18" s="39">
        <f>資料儲存!H1814</f>
        <v>0</v>
      </c>
      <c r="AH18" s="39">
        <f>資料儲存!I1814</f>
        <v>0</v>
      </c>
      <c r="AI18" s="39">
        <f>資料儲存!J1814</f>
        <v>0</v>
      </c>
      <c r="AJ18" s="13"/>
    </row>
    <row r="19" spans="1:36" ht="16" thickBot="1">
      <c r="A19" s="38">
        <v>14</v>
      </c>
      <c r="B19" s="39">
        <f>資料儲存!D1455</f>
        <v>0</v>
      </c>
      <c r="C19" s="39">
        <f>資料儲存!E1455</f>
        <v>0</v>
      </c>
      <c r="D19" s="39">
        <f>資料儲存!F1455</f>
        <v>0</v>
      </c>
      <c r="E19" s="39">
        <f>資料儲存!G1455</f>
        <v>0</v>
      </c>
      <c r="F19" s="39">
        <f>資料儲存!H1455</f>
        <v>0</v>
      </c>
      <c r="G19" s="39">
        <f>資料儲存!I1455</f>
        <v>0</v>
      </c>
      <c r="H19" s="39">
        <f>資料儲存!J1455</f>
        <v>0</v>
      </c>
      <c r="I19" s="35"/>
      <c r="J19" s="38">
        <v>14</v>
      </c>
      <c r="K19" s="39">
        <f>資料儲存!D1575</f>
        <v>0</v>
      </c>
      <c r="L19" s="39">
        <f>資料儲存!E1575</f>
        <v>0</v>
      </c>
      <c r="M19" s="39">
        <f>資料儲存!F1575</f>
        <v>0</v>
      </c>
      <c r="N19" s="39">
        <f>資料儲存!G1575</f>
        <v>0</v>
      </c>
      <c r="O19" s="39">
        <f>資料儲存!H1575</f>
        <v>0</v>
      </c>
      <c r="P19" s="39">
        <f>資料儲存!I1575</f>
        <v>0</v>
      </c>
      <c r="Q19" s="39">
        <f>資料儲存!J1575</f>
        <v>0</v>
      </c>
      <c r="R19" s="35"/>
      <c r="S19" s="38">
        <v>14</v>
      </c>
      <c r="T19" s="39">
        <f>資料儲存!D1695</f>
        <v>0</v>
      </c>
      <c r="U19" s="39">
        <f>資料儲存!E1695</f>
        <v>0</v>
      </c>
      <c r="V19" s="39">
        <f>資料儲存!F1695</f>
        <v>0</v>
      </c>
      <c r="W19" s="39">
        <f>資料儲存!G1695</f>
        <v>0</v>
      </c>
      <c r="X19" s="39">
        <f>資料儲存!H1695</f>
        <v>0</v>
      </c>
      <c r="Y19" s="39">
        <f>資料儲存!I1695</f>
        <v>0</v>
      </c>
      <c r="Z19" s="39">
        <f>資料儲存!J1695</f>
        <v>0</v>
      </c>
      <c r="AA19" s="35"/>
      <c r="AB19" s="38">
        <v>14</v>
      </c>
      <c r="AC19" s="39">
        <f>資料儲存!D1815</f>
        <v>0</v>
      </c>
      <c r="AD19" s="39">
        <f>資料儲存!E1815</f>
        <v>0</v>
      </c>
      <c r="AE19" s="39">
        <f>資料儲存!F1815</f>
        <v>0</v>
      </c>
      <c r="AF19" s="39">
        <f>資料儲存!G1815</f>
        <v>0</v>
      </c>
      <c r="AG19" s="39">
        <f>資料儲存!H1815</f>
        <v>0</v>
      </c>
      <c r="AH19" s="39">
        <f>資料儲存!I1815</f>
        <v>0</v>
      </c>
      <c r="AI19" s="39">
        <f>資料儲存!J1815</f>
        <v>0</v>
      </c>
      <c r="AJ19" s="13"/>
    </row>
    <row r="20" spans="1:36" ht="16" thickBot="1">
      <c r="A20" s="38">
        <v>15</v>
      </c>
      <c r="B20" s="39">
        <f>資料儲存!D1456</f>
        <v>0</v>
      </c>
      <c r="C20" s="39">
        <f>資料儲存!E1456</f>
        <v>0</v>
      </c>
      <c r="D20" s="39">
        <f>資料儲存!F1456</f>
        <v>0</v>
      </c>
      <c r="E20" s="39">
        <f>資料儲存!G1456</f>
        <v>0</v>
      </c>
      <c r="F20" s="39">
        <f>資料儲存!H1456</f>
        <v>0</v>
      </c>
      <c r="G20" s="39">
        <f>資料儲存!I1456</f>
        <v>0</v>
      </c>
      <c r="H20" s="39">
        <f>資料儲存!J1456</f>
        <v>0</v>
      </c>
      <c r="I20" s="35"/>
      <c r="J20" s="38">
        <v>15</v>
      </c>
      <c r="K20" s="39">
        <f>資料儲存!D1576</f>
        <v>0</v>
      </c>
      <c r="L20" s="39">
        <f>資料儲存!E1576</f>
        <v>0</v>
      </c>
      <c r="M20" s="39">
        <f>資料儲存!F1576</f>
        <v>0</v>
      </c>
      <c r="N20" s="39">
        <f>資料儲存!G1576</f>
        <v>0</v>
      </c>
      <c r="O20" s="39">
        <f>資料儲存!H1576</f>
        <v>0</v>
      </c>
      <c r="P20" s="39">
        <f>資料儲存!I1576</f>
        <v>0</v>
      </c>
      <c r="Q20" s="39">
        <f>資料儲存!J1576</f>
        <v>0</v>
      </c>
      <c r="R20" s="35"/>
      <c r="S20" s="38">
        <v>15</v>
      </c>
      <c r="T20" s="39">
        <f>資料儲存!D1696</f>
        <v>0</v>
      </c>
      <c r="U20" s="39">
        <f>資料儲存!E1696</f>
        <v>0</v>
      </c>
      <c r="V20" s="39">
        <f>資料儲存!F1696</f>
        <v>0</v>
      </c>
      <c r="W20" s="39">
        <f>資料儲存!G1696</f>
        <v>0</v>
      </c>
      <c r="X20" s="39">
        <f>資料儲存!H1696</f>
        <v>0</v>
      </c>
      <c r="Y20" s="39">
        <f>資料儲存!I1696</f>
        <v>0</v>
      </c>
      <c r="Z20" s="39">
        <f>資料儲存!J1696</f>
        <v>0</v>
      </c>
      <c r="AA20" s="35"/>
      <c r="AB20" s="38">
        <v>15</v>
      </c>
      <c r="AC20" s="39">
        <f>資料儲存!D1816</f>
        <v>0</v>
      </c>
      <c r="AD20" s="39">
        <f>資料儲存!E1816</f>
        <v>0</v>
      </c>
      <c r="AE20" s="39">
        <f>資料儲存!F1816</f>
        <v>0</v>
      </c>
      <c r="AF20" s="39">
        <f>資料儲存!G1816</f>
        <v>0</v>
      </c>
      <c r="AG20" s="39">
        <f>資料儲存!H1816</f>
        <v>0</v>
      </c>
      <c r="AH20" s="39">
        <f>資料儲存!I1816</f>
        <v>0</v>
      </c>
      <c r="AI20" s="39">
        <f>資料儲存!J1816</f>
        <v>0</v>
      </c>
      <c r="AJ20" s="13"/>
    </row>
    <row r="21" spans="1:36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13"/>
    </row>
    <row r="22" spans="1:36" ht="18.5" thickBot="1">
      <c r="A22" s="250" t="s">
        <v>96</v>
      </c>
      <c r="B22" s="251"/>
      <c r="C22" s="251"/>
      <c r="D22" s="251"/>
      <c r="E22" s="251"/>
      <c r="F22" s="251"/>
      <c r="G22" s="251"/>
      <c r="H22" s="252"/>
      <c r="I22" s="13"/>
      <c r="J22" s="250" t="s">
        <v>96</v>
      </c>
      <c r="K22" s="251"/>
      <c r="L22" s="251"/>
      <c r="M22" s="251"/>
      <c r="N22" s="251"/>
      <c r="O22" s="251"/>
      <c r="P22" s="251"/>
      <c r="Q22" s="252"/>
      <c r="R22" s="13"/>
      <c r="S22" s="250" t="s">
        <v>96</v>
      </c>
      <c r="T22" s="251"/>
      <c r="U22" s="251"/>
      <c r="V22" s="251"/>
      <c r="W22" s="251"/>
      <c r="X22" s="251"/>
      <c r="Y22" s="251"/>
      <c r="Z22" s="252"/>
      <c r="AA22" s="13"/>
      <c r="AB22" s="250" t="s">
        <v>96</v>
      </c>
      <c r="AC22" s="251"/>
      <c r="AD22" s="251"/>
      <c r="AE22" s="251"/>
      <c r="AF22" s="251"/>
      <c r="AG22" s="251"/>
      <c r="AH22" s="251"/>
      <c r="AI22" s="252"/>
      <c r="AJ22" s="13"/>
    </row>
    <row r="23" spans="1:36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</row>
    <row r="24" spans="1:36" ht="16" thickBot="1">
      <c r="A24" s="46">
        <v>0.51041666666666663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0.51041666666666663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0.51041666666666663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0.51041666666666663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</row>
    <row r="25" spans="1:36" ht="16" thickBot="1">
      <c r="A25" s="48">
        <v>16</v>
      </c>
      <c r="B25" s="49">
        <f>資料儲存!D1457</f>
        <v>0</v>
      </c>
      <c r="C25" s="49">
        <f>資料儲存!E1457</f>
        <v>0</v>
      </c>
      <c r="D25" s="49">
        <f>資料儲存!F1457</f>
        <v>0</v>
      </c>
      <c r="E25" s="49">
        <f>資料儲存!G1457</f>
        <v>0</v>
      </c>
      <c r="F25" s="49">
        <f>資料儲存!H1457</f>
        <v>0</v>
      </c>
      <c r="G25" s="49">
        <f>資料儲存!I1457</f>
        <v>0</v>
      </c>
      <c r="H25" s="49">
        <f>資料儲存!J1457</f>
        <v>0</v>
      </c>
      <c r="I25" s="45"/>
      <c r="J25" s="48">
        <v>16</v>
      </c>
      <c r="K25" s="49">
        <f>資料儲存!D1577</f>
        <v>0</v>
      </c>
      <c r="L25" s="49">
        <f>資料儲存!E1577</f>
        <v>0</v>
      </c>
      <c r="M25" s="49">
        <f>資料儲存!F1577</f>
        <v>0</v>
      </c>
      <c r="N25" s="49">
        <f>資料儲存!G1577</f>
        <v>0</v>
      </c>
      <c r="O25" s="49">
        <f>資料儲存!H1577</f>
        <v>0</v>
      </c>
      <c r="P25" s="49">
        <f>資料儲存!I1577</f>
        <v>0</v>
      </c>
      <c r="Q25" s="49">
        <f>資料儲存!J1577</f>
        <v>0</v>
      </c>
      <c r="R25" s="45"/>
      <c r="S25" s="48">
        <v>16</v>
      </c>
      <c r="T25" s="49">
        <f>資料儲存!D1697</f>
        <v>0</v>
      </c>
      <c r="U25" s="49">
        <f>資料儲存!E1697</f>
        <v>0</v>
      </c>
      <c r="V25" s="49">
        <f>資料儲存!F1697</f>
        <v>0</v>
      </c>
      <c r="W25" s="49">
        <f>資料儲存!G1697</f>
        <v>0</v>
      </c>
      <c r="X25" s="49">
        <f>資料儲存!H1697</f>
        <v>0</v>
      </c>
      <c r="Y25" s="49">
        <f>資料儲存!I1697</f>
        <v>0</v>
      </c>
      <c r="Z25" s="49">
        <f>資料儲存!J1697</f>
        <v>0</v>
      </c>
      <c r="AA25" s="45"/>
      <c r="AB25" s="48">
        <v>16</v>
      </c>
      <c r="AC25" s="49">
        <f>資料儲存!D1817</f>
        <v>0</v>
      </c>
      <c r="AD25" s="49">
        <f>資料儲存!E1817</f>
        <v>0</v>
      </c>
      <c r="AE25" s="49">
        <f>資料儲存!F1817</f>
        <v>0</v>
      </c>
      <c r="AF25" s="49">
        <f>資料儲存!G1817</f>
        <v>0</v>
      </c>
      <c r="AG25" s="49">
        <f>資料儲存!H1817</f>
        <v>0</v>
      </c>
      <c r="AH25" s="49">
        <f>資料儲存!I1817</f>
        <v>0</v>
      </c>
      <c r="AI25" s="49">
        <f>資料儲存!J1817</f>
        <v>0</v>
      </c>
      <c r="AJ25" s="13"/>
    </row>
    <row r="26" spans="1:36" ht="16" thickBot="1">
      <c r="A26" s="48">
        <v>17</v>
      </c>
      <c r="B26" s="49">
        <f>資料儲存!D1458</f>
        <v>0</v>
      </c>
      <c r="C26" s="49">
        <f>資料儲存!E1458</f>
        <v>0</v>
      </c>
      <c r="D26" s="49">
        <f>資料儲存!F1458</f>
        <v>0</v>
      </c>
      <c r="E26" s="49">
        <f>資料儲存!G1458</f>
        <v>0</v>
      </c>
      <c r="F26" s="49">
        <f>資料儲存!H1458</f>
        <v>0</v>
      </c>
      <c r="G26" s="49">
        <f>資料儲存!I1458</f>
        <v>0</v>
      </c>
      <c r="H26" s="49">
        <f>資料儲存!J1458</f>
        <v>0</v>
      </c>
      <c r="I26" s="45"/>
      <c r="J26" s="48">
        <v>17</v>
      </c>
      <c r="K26" s="49">
        <f>資料儲存!D1578</f>
        <v>0</v>
      </c>
      <c r="L26" s="49">
        <f>資料儲存!E1578</f>
        <v>0</v>
      </c>
      <c r="M26" s="49">
        <f>資料儲存!F1578</f>
        <v>0</v>
      </c>
      <c r="N26" s="49">
        <f>資料儲存!G1578</f>
        <v>0</v>
      </c>
      <c r="O26" s="49">
        <f>資料儲存!H1578</f>
        <v>0</v>
      </c>
      <c r="P26" s="49">
        <f>資料儲存!I1578</f>
        <v>0</v>
      </c>
      <c r="Q26" s="49">
        <f>資料儲存!J1578</f>
        <v>0</v>
      </c>
      <c r="R26" s="45"/>
      <c r="S26" s="48">
        <v>17</v>
      </c>
      <c r="T26" s="49">
        <f>資料儲存!D1698</f>
        <v>0</v>
      </c>
      <c r="U26" s="49">
        <f>資料儲存!E1698</f>
        <v>0</v>
      </c>
      <c r="V26" s="49">
        <f>資料儲存!F1698</f>
        <v>0</v>
      </c>
      <c r="W26" s="49">
        <f>資料儲存!G1698</f>
        <v>0</v>
      </c>
      <c r="X26" s="49">
        <f>資料儲存!H1698</f>
        <v>0</v>
      </c>
      <c r="Y26" s="49">
        <f>資料儲存!I1698</f>
        <v>0</v>
      </c>
      <c r="Z26" s="49">
        <f>資料儲存!J1698</f>
        <v>0</v>
      </c>
      <c r="AA26" s="45"/>
      <c r="AB26" s="48">
        <v>17</v>
      </c>
      <c r="AC26" s="49">
        <f>資料儲存!D1818</f>
        <v>0</v>
      </c>
      <c r="AD26" s="49">
        <f>資料儲存!E1818</f>
        <v>0</v>
      </c>
      <c r="AE26" s="49">
        <f>資料儲存!F1818</f>
        <v>0</v>
      </c>
      <c r="AF26" s="49">
        <f>資料儲存!G1818</f>
        <v>0</v>
      </c>
      <c r="AG26" s="49">
        <f>資料儲存!H1818</f>
        <v>0</v>
      </c>
      <c r="AH26" s="49">
        <f>資料儲存!I1818</f>
        <v>0</v>
      </c>
      <c r="AI26" s="49">
        <f>資料儲存!J1818</f>
        <v>0</v>
      </c>
      <c r="AJ26" s="13"/>
    </row>
    <row r="27" spans="1:36" ht="16" thickBot="1">
      <c r="A27" s="48">
        <v>18</v>
      </c>
      <c r="B27" s="49">
        <f>資料儲存!D1459</f>
        <v>0</v>
      </c>
      <c r="C27" s="49">
        <f>資料儲存!E1459</f>
        <v>0</v>
      </c>
      <c r="D27" s="49">
        <f>資料儲存!F1459</f>
        <v>0</v>
      </c>
      <c r="E27" s="49">
        <f>資料儲存!G1459</f>
        <v>0</v>
      </c>
      <c r="F27" s="49">
        <f>資料儲存!H1459</f>
        <v>0</v>
      </c>
      <c r="G27" s="49">
        <f>資料儲存!I1459</f>
        <v>0</v>
      </c>
      <c r="H27" s="49">
        <f>資料儲存!J1459</f>
        <v>0</v>
      </c>
      <c r="I27" s="45"/>
      <c r="J27" s="48">
        <v>18</v>
      </c>
      <c r="K27" s="49">
        <f>資料儲存!D1579</f>
        <v>0</v>
      </c>
      <c r="L27" s="49">
        <f>資料儲存!E1579</f>
        <v>0</v>
      </c>
      <c r="M27" s="49">
        <f>資料儲存!F1579</f>
        <v>0</v>
      </c>
      <c r="N27" s="49">
        <f>資料儲存!G1579</f>
        <v>0</v>
      </c>
      <c r="O27" s="49">
        <f>資料儲存!H1579</f>
        <v>0</v>
      </c>
      <c r="P27" s="49">
        <f>資料儲存!I1579</f>
        <v>0</v>
      </c>
      <c r="Q27" s="49">
        <f>資料儲存!J1579</f>
        <v>0</v>
      </c>
      <c r="R27" s="45"/>
      <c r="S27" s="48">
        <v>18</v>
      </c>
      <c r="T27" s="49">
        <f>資料儲存!D1699</f>
        <v>0</v>
      </c>
      <c r="U27" s="49">
        <f>資料儲存!E1699</f>
        <v>0</v>
      </c>
      <c r="V27" s="49">
        <f>資料儲存!F1699</f>
        <v>0</v>
      </c>
      <c r="W27" s="49">
        <f>資料儲存!G1699</f>
        <v>0</v>
      </c>
      <c r="X27" s="49">
        <f>資料儲存!H1699</f>
        <v>0</v>
      </c>
      <c r="Y27" s="49">
        <f>資料儲存!I1699</f>
        <v>0</v>
      </c>
      <c r="Z27" s="49">
        <f>資料儲存!J1699</f>
        <v>0</v>
      </c>
      <c r="AA27" s="45"/>
      <c r="AB27" s="48">
        <v>18</v>
      </c>
      <c r="AC27" s="49">
        <f>資料儲存!D1819</f>
        <v>0</v>
      </c>
      <c r="AD27" s="49">
        <f>資料儲存!E1819</f>
        <v>0</v>
      </c>
      <c r="AE27" s="49">
        <f>資料儲存!F1819</f>
        <v>0</v>
      </c>
      <c r="AF27" s="49">
        <f>資料儲存!G1819</f>
        <v>0</v>
      </c>
      <c r="AG27" s="49">
        <f>資料儲存!H1819</f>
        <v>0</v>
      </c>
      <c r="AH27" s="49">
        <f>資料儲存!I1819</f>
        <v>0</v>
      </c>
      <c r="AI27" s="49">
        <f>資料儲存!J1819</f>
        <v>0</v>
      </c>
      <c r="AJ27" s="13"/>
    </row>
    <row r="28" spans="1:36" ht="16" thickBot="1">
      <c r="A28" s="48">
        <v>19</v>
      </c>
      <c r="B28" s="49">
        <f>資料儲存!D1460</f>
        <v>0</v>
      </c>
      <c r="C28" s="49">
        <f>資料儲存!E1460</f>
        <v>0</v>
      </c>
      <c r="D28" s="49">
        <f>資料儲存!F1460</f>
        <v>0</v>
      </c>
      <c r="E28" s="49">
        <f>資料儲存!G1460</f>
        <v>0</v>
      </c>
      <c r="F28" s="49">
        <f>資料儲存!H1460</f>
        <v>0</v>
      </c>
      <c r="G28" s="49">
        <f>資料儲存!I1460</f>
        <v>0</v>
      </c>
      <c r="H28" s="49">
        <f>資料儲存!J1460</f>
        <v>0</v>
      </c>
      <c r="I28" s="45"/>
      <c r="J28" s="48">
        <v>19</v>
      </c>
      <c r="K28" s="49">
        <f>資料儲存!D1580</f>
        <v>0</v>
      </c>
      <c r="L28" s="49">
        <f>資料儲存!E1580</f>
        <v>0</v>
      </c>
      <c r="M28" s="49">
        <f>資料儲存!F1580</f>
        <v>0</v>
      </c>
      <c r="N28" s="49">
        <f>資料儲存!G1580</f>
        <v>0</v>
      </c>
      <c r="O28" s="49">
        <f>資料儲存!H1580</f>
        <v>0</v>
      </c>
      <c r="P28" s="49">
        <f>資料儲存!I1580</f>
        <v>0</v>
      </c>
      <c r="Q28" s="49">
        <f>資料儲存!J1580</f>
        <v>0</v>
      </c>
      <c r="R28" s="45"/>
      <c r="S28" s="48">
        <v>19</v>
      </c>
      <c r="T28" s="49">
        <f>資料儲存!D1700</f>
        <v>0</v>
      </c>
      <c r="U28" s="49">
        <f>資料儲存!E1700</f>
        <v>0</v>
      </c>
      <c r="V28" s="49">
        <f>資料儲存!F1700</f>
        <v>0</v>
      </c>
      <c r="W28" s="49">
        <f>資料儲存!G1700</f>
        <v>0</v>
      </c>
      <c r="X28" s="49">
        <f>資料儲存!H1700</f>
        <v>0</v>
      </c>
      <c r="Y28" s="49">
        <f>資料儲存!I1700</f>
        <v>0</v>
      </c>
      <c r="Z28" s="49">
        <f>資料儲存!J1700</f>
        <v>0</v>
      </c>
      <c r="AA28" s="45"/>
      <c r="AB28" s="48">
        <v>19</v>
      </c>
      <c r="AC28" s="49">
        <f>資料儲存!D1820</f>
        <v>0</v>
      </c>
      <c r="AD28" s="49">
        <f>資料儲存!E1820</f>
        <v>0</v>
      </c>
      <c r="AE28" s="49">
        <f>資料儲存!F1820</f>
        <v>0</v>
      </c>
      <c r="AF28" s="49">
        <f>資料儲存!G1820</f>
        <v>0</v>
      </c>
      <c r="AG28" s="49">
        <f>資料儲存!H1820</f>
        <v>0</v>
      </c>
      <c r="AH28" s="49">
        <f>資料儲存!I1820</f>
        <v>0</v>
      </c>
      <c r="AI28" s="49">
        <f>資料儲存!J1820</f>
        <v>0</v>
      </c>
      <c r="AJ28" s="13"/>
    </row>
    <row r="29" spans="1:36" ht="16" thickBot="1">
      <c r="A29" s="48">
        <v>20</v>
      </c>
      <c r="B29" s="49">
        <f>資料儲存!D1461</f>
        <v>0</v>
      </c>
      <c r="C29" s="49">
        <f>資料儲存!E1461</f>
        <v>0</v>
      </c>
      <c r="D29" s="49">
        <f>資料儲存!F1461</f>
        <v>0</v>
      </c>
      <c r="E29" s="49">
        <f>資料儲存!G1461</f>
        <v>0</v>
      </c>
      <c r="F29" s="49">
        <f>資料儲存!H1461</f>
        <v>0</v>
      </c>
      <c r="G29" s="49">
        <f>資料儲存!I1461</f>
        <v>0</v>
      </c>
      <c r="H29" s="49">
        <f>資料儲存!J1461</f>
        <v>0</v>
      </c>
      <c r="I29" s="45"/>
      <c r="J29" s="48">
        <v>20</v>
      </c>
      <c r="K29" s="49">
        <f>資料儲存!D1581</f>
        <v>0</v>
      </c>
      <c r="L29" s="49">
        <f>資料儲存!E1581</f>
        <v>0</v>
      </c>
      <c r="M29" s="49">
        <f>資料儲存!F1581</f>
        <v>0</v>
      </c>
      <c r="N29" s="49">
        <f>資料儲存!G1581</f>
        <v>0</v>
      </c>
      <c r="O29" s="49">
        <f>資料儲存!H1581</f>
        <v>0</v>
      </c>
      <c r="P29" s="49">
        <f>資料儲存!I1581</f>
        <v>0</v>
      </c>
      <c r="Q29" s="49">
        <f>資料儲存!J1581</f>
        <v>0</v>
      </c>
      <c r="R29" s="45"/>
      <c r="S29" s="48">
        <v>20</v>
      </c>
      <c r="T29" s="49">
        <f>資料儲存!D1701</f>
        <v>0</v>
      </c>
      <c r="U29" s="49">
        <f>資料儲存!E1701</f>
        <v>0</v>
      </c>
      <c r="V29" s="49">
        <f>資料儲存!F1701</f>
        <v>0</v>
      </c>
      <c r="W29" s="49">
        <f>資料儲存!G1701</f>
        <v>0</v>
      </c>
      <c r="X29" s="49">
        <f>資料儲存!H1701</f>
        <v>0</v>
      </c>
      <c r="Y29" s="49">
        <f>資料儲存!I1701</f>
        <v>0</v>
      </c>
      <c r="Z29" s="49">
        <f>資料儲存!J1701</f>
        <v>0</v>
      </c>
      <c r="AA29" s="45"/>
      <c r="AB29" s="48">
        <v>20</v>
      </c>
      <c r="AC29" s="49">
        <f>資料儲存!D1821</f>
        <v>0</v>
      </c>
      <c r="AD29" s="49">
        <f>資料儲存!E1821</f>
        <v>0</v>
      </c>
      <c r="AE29" s="49">
        <f>資料儲存!F1821</f>
        <v>0</v>
      </c>
      <c r="AF29" s="49">
        <f>資料儲存!G1821</f>
        <v>0</v>
      </c>
      <c r="AG29" s="49">
        <f>資料儲存!H1821</f>
        <v>0</v>
      </c>
      <c r="AH29" s="49">
        <f>資料儲存!I1821</f>
        <v>0</v>
      </c>
      <c r="AI29" s="49">
        <f>資料儲存!J1821</f>
        <v>0</v>
      </c>
      <c r="AJ29" s="13"/>
    </row>
    <row r="30" spans="1:36" ht="16" thickBot="1">
      <c r="A30" s="48">
        <v>21</v>
      </c>
      <c r="B30" s="49">
        <f>資料儲存!D1462</f>
        <v>0</v>
      </c>
      <c r="C30" s="49">
        <f>資料儲存!E1462</f>
        <v>0</v>
      </c>
      <c r="D30" s="49">
        <f>資料儲存!F1462</f>
        <v>0</v>
      </c>
      <c r="E30" s="49">
        <f>資料儲存!G1462</f>
        <v>0</v>
      </c>
      <c r="F30" s="49">
        <f>資料儲存!H1462</f>
        <v>0</v>
      </c>
      <c r="G30" s="49">
        <f>資料儲存!I1462</f>
        <v>0</v>
      </c>
      <c r="H30" s="49">
        <f>資料儲存!J1462</f>
        <v>0</v>
      </c>
      <c r="I30" s="45"/>
      <c r="J30" s="48">
        <v>21</v>
      </c>
      <c r="K30" s="49">
        <f>資料儲存!D1582</f>
        <v>0</v>
      </c>
      <c r="L30" s="49">
        <f>資料儲存!E1582</f>
        <v>0</v>
      </c>
      <c r="M30" s="49">
        <f>資料儲存!F1582</f>
        <v>0</v>
      </c>
      <c r="N30" s="49">
        <f>資料儲存!G1582</f>
        <v>0</v>
      </c>
      <c r="O30" s="49">
        <f>資料儲存!H1582</f>
        <v>0</v>
      </c>
      <c r="P30" s="49">
        <f>資料儲存!I1582</f>
        <v>0</v>
      </c>
      <c r="Q30" s="49">
        <f>資料儲存!J1582</f>
        <v>0</v>
      </c>
      <c r="R30" s="45"/>
      <c r="S30" s="48">
        <v>21</v>
      </c>
      <c r="T30" s="49">
        <f>資料儲存!D1702</f>
        <v>0</v>
      </c>
      <c r="U30" s="49">
        <f>資料儲存!E1702</f>
        <v>0</v>
      </c>
      <c r="V30" s="49">
        <f>資料儲存!F1702</f>
        <v>0</v>
      </c>
      <c r="W30" s="49">
        <f>資料儲存!G1702</f>
        <v>0</v>
      </c>
      <c r="X30" s="49">
        <f>資料儲存!H1702</f>
        <v>0</v>
      </c>
      <c r="Y30" s="49">
        <f>資料儲存!I1702</f>
        <v>0</v>
      </c>
      <c r="Z30" s="49">
        <f>資料儲存!J1702</f>
        <v>0</v>
      </c>
      <c r="AA30" s="45"/>
      <c r="AB30" s="48">
        <v>21</v>
      </c>
      <c r="AC30" s="49">
        <f>資料儲存!D1822</f>
        <v>0</v>
      </c>
      <c r="AD30" s="49">
        <f>資料儲存!E1822</f>
        <v>0</v>
      </c>
      <c r="AE30" s="49">
        <f>資料儲存!F1822</f>
        <v>0</v>
      </c>
      <c r="AF30" s="49">
        <f>資料儲存!G1822</f>
        <v>0</v>
      </c>
      <c r="AG30" s="49">
        <f>資料儲存!H1822</f>
        <v>0</v>
      </c>
      <c r="AH30" s="49">
        <f>資料儲存!I1822</f>
        <v>0</v>
      </c>
      <c r="AI30" s="49">
        <f>資料儲存!J1822</f>
        <v>0</v>
      </c>
      <c r="AJ30" s="13"/>
    </row>
    <row r="31" spans="1:36" ht="16" thickBot="1">
      <c r="A31" s="48">
        <v>22</v>
      </c>
      <c r="B31" s="49">
        <f>資料儲存!D1463</f>
        <v>0</v>
      </c>
      <c r="C31" s="49">
        <f>資料儲存!E1463</f>
        <v>0</v>
      </c>
      <c r="D31" s="49">
        <f>資料儲存!F1463</f>
        <v>0</v>
      </c>
      <c r="E31" s="49">
        <f>資料儲存!G1463</f>
        <v>0</v>
      </c>
      <c r="F31" s="49">
        <f>資料儲存!H1463</f>
        <v>0</v>
      </c>
      <c r="G31" s="49">
        <f>資料儲存!I1463</f>
        <v>0</v>
      </c>
      <c r="H31" s="49">
        <f>資料儲存!J1463</f>
        <v>0</v>
      </c>
      <c r="I31" s="45"/>
      <c r="J31" s="48">
        <v>22</v>
      </c>
      <c r="K31" s="49">
        <f>資料儲存!D1583</f>
        <v>0</v>
      </c>
      <c r="L31" s="49">
        <f>資料儲存!E1583</f>
        <v>0</v>
      </c>
      <c r="M31" s="49">
        <f>資料儲存!F1583</f>
        <v>0</v>
      </c>
      <c r="N31" s="49">
        <f>資料儲存!G1583</f>
        <v>0</v>
      </c>
      <c r="O31" s="49">
        <f>資料儲存!H1583</f>
        <v>0</v>
      </c>
      <c r="P31" s="49">
        <f>資料儲存!I1583</f>
        <v>0</v>
      </c>
      <c r="Q31" s="49">
        <f>資料儲存!J1583</f>
        <v>0</v>
      </c>
      <c r="R31" s="45"/>
      <c r="S31" s="48">
        <v>22</v>
      </c>
      <c r="T31" s="49">
        <f>資料儲存!D1703</f>
        <v>0</v>
      </c>
      <c r="U31" s="49">
        <f>資料儲存!E1703</f>
        <v>0</v>
      </c>
      <c r="V31" s="49">
        <f>資料儲存!F1703</f>
        <v>0</v>
      </c>
      <c r="W31" s="49">
        <f>資料儲存!G1703</f>
        <v>0</v>
      </c>
      <c r="X31" s="49">
        <f>資料儲存!H1703</f>
        <v>0</v>
      </c>
      <c r="Y31" s="49">
        <f>資料儲存!I1703</f>
        <v>0</v>
      </c>
      <c r="Z31" s="49">
        <f>資料儲存!J1703</f>
        <v>0</v>
      </c>
      <c r="AA31" s="45"/>
      <c r="AB31" s="48">
        <v>22</v>
      </c>
      <c r="AC31" s="49">
        <f>資料儲存!D1823</f>
        <v>0</v>
      </c>
      <c r="AD31" s="49">
        <f>資料儲存!E1823</f>
        <v>0</v>
      </c>
      <c r="AE31" s="49">
        <f>資料儲存!F1823</f>
        <v>0</v>
      </c>
      <c r="AF31" s="49">
        <f>資料儲存!G1823</f>
        <v>0</v>
      </c>
      <c r="AG31" s="49">
        <f>資料儲存!H1823</f>
        <v>0</v>
      </c>
      <c r="AH31" s="49">
        <f>資料儲存!I1823</f>
        <v>0</v>
      </c>
      <c r="AI31" s="49">
        <f>資料儲存!J1823</f>
        <v>0</v>
      </c>
      <c r="AJ31" s="13"/>
    </row>
    <row r="32" spans="1:36" ht="16" thickBot="1">
      <c r="A32" s="48">
        <v>23</v>
      </c>
      <c r="B32" s="49">
        <f>資料儲存!D1464</f>
        <v>0</v>
      </c>
      <c r="C32" s="49">
        <f>資料儲存!E1464</f>
        <v>0</v>
      </c>
      <c r="D32" s="49">
        <f>資料儲存!F1464</f>
        <v>0</v>
      </c>
      <c r="E32" s="49">
        <f>資料儲存!G1464</f>
        <v>0</v>
      </c>
      <c r="F32" s="49">
        <f>資料儲存!H1464</f>
        <v>0</v>
      </c>
      <c r="G32" s="49">
        <f>資料儲存!I1464</f>
        <v>0</v>
      </c>
      <c r="H32" s="49">
        <f>資料儲存!J1464</f>
        <v>0</v>
      </c>
      <c r="I32" s="45"/>
      <c r="J32" s="48">
        <v>23</v>
      </c>
      <c r="K32" s="49">
        <f>資料儲存!D1584</f>
        <v>0</v>
      </c>
      <c r="L32" s="49">
        <f>資料儲存!E1584</f>
        <v>0</v>
      </c>
      <c r="M32" s="49">
        <f>資料儲存!F1584</f>
        <v>0</v>
      </c>
      <c r="N32" s="49">
        <f>資料儲存!G1584</f>
        <v>0</v>
      </c>
      <c r="O32" s="49">
        <f>資料儲存!H1584</f>
        <v>0</v>
      </c>
      <c r="P32" s="49">
        <f>資料儲存!I1584</f>
        <v>0</v>
      </c>
      <c r="Q32" s="49">
        <f>資料儲存!J1584</f>
        <v>0</v>
      </c>
      <c r="R32" s="45"/>
      <c r="S32" s="48">
        <v>23</v>
      </c>
      <c r="T32" s="49">
        <f>資料儲存!D1704</f>
        <v>0</v>
      </c>
      <c r="U32" s="49">
        <f>資料儲存!E1704</f>
        <v>0</v>
      </c>
      <c r="V32" s="49">
        <f>資料儲存!F1704</f>
        <v>0</v>
      </c>
      <c r="W32" s="49">
        <f>資料儲存!G1704</f>
        <v>0</v>
      </c>
      <c r="X32" s="49">
        <f>資料儲存!H1704</f>
        <v>0</v>
      </c>
      <c r="Y32" s="49">
        <f>資料儲存!I1704</f>
        <v>0</v>
      </c>
      <c r="Z32" s="49">
        <f>資料儲存!J1704</f>
        <v>0</v>
      </c>
      <c r="AA32" s="45"/>
      <c r="AB32" s="48">
        <v>23</v>
      </c>
      <c r="AC32" s="49">
        <f>資料儲存!D1824</f>
        <v>0</v>
      </c>
      <c r="AD32" s="49">
        <f>資料儲存!E1824</f>
        <v>0</v>
      </c>
      <c r="AE32" s="49">
        <f>資料儲存!F1824</f>
        <v>0</v>
      </c>
      <c r="AF32" s="49">
        <f>資料儲存!G1824</f>
        <v>0</v>
      </c>
      <c r="AG32" s="49">
        <f>資料儲存!H1824</f>
        <v>0</v>
      </c>
      <c r="AH32" s="49">
        <f>資料儲存!I1824</f>
        <v>0</v>
      </c>
      <c r="AI32" s="49">
        <f>資料儲存!J1824</f>
        <v>0</v>
      </c>
      <c r="AJ32" s="13"/>
    </row>
    <row r="33" spans="1:36" ht="16" thickBot="1">
      <c r="A33" s="48">
        <v>24</v>
      </c>
      <c r="B33" s="49">
        <f>資料儲存!D1465</f>
        <v>0</v>
      </c>
      <c r="C33" s="49">
        <f>資料儲存!E1465</f>
        <v>0</v>
      </c>
      <c r="D33" s="49">
        <f>資料儲存!F1465</f>
        <v>0</v>
      </c>
      <c r="E33" s="49">
        <f>資料儲存!G1465</f>
        <v>0</v>
      </c>
      <c r="F33" s="49">
        <f>資料儲存!H1465</f>
        <v>0</v>
      </c>
      <c r="G33" s="49">
        <f>資料儲存!I1465</f>
        <v>0</v>
      </c>
      <c r="H33" s="49">
        <f>資料儲存!J1465</f>
        <v>0</v>
      </c>
      <c r="I33" s="45"/>
      <c r="J33" s="48">
        <v>24</v>
      </c>
      <c r="K33" s="49">
        <f>資料儲存!D1585</f>
        <v>0</v>
      </c>
      <c r="L33" s="49">
        <f>資料儲存!E1585</f>
        <v>0</v>
      </c>
      <c r="M33" s="49">
        <f>資料儲存!F1585</f>
        <v>0</v>
      </c>
      <c r="N33" s="49">
        <f>資料儲存!G1585</f>
        <v>0</v>
      </c>
      <c r="O33" s="49">
        <f>資料儲存!H1585</f>
        <v>0</v>
      </c>
      <c r="P33" s="49">
        <f>資料儲存!I1585</f>
        <v>0</v>
      </c>
      <c r="Q33" s="49">
        <f>資料儲存!J1585</f>
        <v>0</v>
      </c>
      <c r="R33" s="45"/>
      <c r="S33" s="48">
        <v>24</v>
      </c>
      <c r="T33" s="49">
        <f>資料儲存!D1705</f>
        <v>0</v>
      </c>
      <c r="U33" s="49">
        <f>資料儲存!E1705</f>
        <v>0</v>
      </c>
      <c r="V33" s="49">
        <f>資料儲存!F1705</f>
        <v>0</v>
      </c>
      <c r="W33" s="49">
        <f>資料儲存!G1705</f>
        <v>0</v>
      </c>
      <c r="X33" s="49">
        <f>資料儲存!H1705</f>
        <v>0</v>
      </c>
      <c r="Y33" s="49">
        <f>資料儲存!I1705</f>
        <v>0</v>
      </c>
      <c r="Z33" s="49">
        <f>資料儲存!J1705</f>
        <v>0</v>
      </c>
      <c r="AA33" s="45"/>
      <c r="AB33" s="48">
        <v>24</v>
      </c>
      <c r="AC33" s="49">
        <f>資料儲存!D1825</f>
        <v>0</v>
      </c>
      <c r="AD33" s="49">
        <f>資料儲存!E1825</f>
        <v>0</v>
      </c>
      <c r="AE33" s="49">
        <f>資料儲存!F1825</f>
        <v>0</v>
      </c>
      <c r="AF33" s="49">
        <f>資料儲存!G1825</f>
        <v>0</v>
      </c>
      <c r="AG33" s="49">
        <f>資料儲存!H1825</f>
        <v>0</v>
      </c>
      <c r="AH33" s="49">
        <f>資料儲存!I1825</f>
        <v>0</v>
      </c>
      <c r="AI33" s="49">
        <f>資料儲存!J1825</f>
        <v>0</v>
      </c>
      <c r="AJ33" s="13"/>
    </row>
    <row r="34" spans="1:36" ht="16" thickBot="1">
      <c r="A34" s="48">
        <v>25</v>
      </c>
      <c r="B34" s="49">
        <f>資料儲存!D1466</f>
        <v>0</v>
      </c>
      <c r="C34" s="49">
        <f>資料儲存!E1466</f>
        <v>0</v>
      </c>
      <c r="D34" s="49">
        <f>資料儲存!F1466</f>
        <v>0</v>
      </c>
      <c r="E34" s="49">
        <f>資料儲存!G1466</f>
        <v>0</v>
      </c>
      <c r="F34" s="49">
        <f>資料儲存!H1466</f>
        <v>0</v>
      </c>
      <c r="G34" s="49">
        <f>資料儲存!I1466</f>
        <v>0</v>
      </c>
      <c r="H34" s="49">
        <f>資料儲存!J1466</f>
        <v>0</v>
      </c>
      <c r="I34" s="45"/>
      <c r="J34" s="48">
        <v>25</v>
      </c>
      <c r="K34" s="49">
        <f>資料儲存!D1586</f>
        <v>0</v>
      </c>
      <c r="L34" s="49">
        <f>資料儲存!E1586</f>
        <v>0</v>
      </c>
      <c r="M34" s="49">
        <f>資料儲存!F1586</f>
        <v>0</v>
      </c>
      <c r="N34" s="49">
        <f>資料儲存!G1586</f>
        <v>0</v>
      </c>
      <c r="O34" s="49">
        <f>資料儲存!H1586</f>
        <v>0</v>
      </c>
      <c r="P34" s="49">
        <f>資料儲存!I1586</f>
        <v>0</v>
      </c>
      <c r="Q34" s="49">
        <f>資料儲存!J1586</f>
        <v>0</v>
      </c>
      <c r="R34" s="45"/>
      <c r="S34" s="48">
        <v>25</v>
      </c>
      <c r="T34" s="49">
        <f>資料儲存!D1706</f>
        <v>0</v>
      </c>
      <c r="U34" s="49">
        <f>資料儲存!E1706</f>
        <v>0</v>
      </c>
      <c r="V34" s="49">
        <f>資料儲存!F1706</f>
        <v>0</v>
      </c>
      <c r="W34" s="49">
        <f>資料儲存!G1706</f>
        <v>0</v>
      </c>
      <c r="X34" s="49">
        <f>資料儲存!H1706</f>
        <v>0</v>
      </c>
      <c r="Y34" s="49">
        <f>資料儲存!I1706</f>
        <v>0</v>
      </c>
      <c r="Z34" s="49">
        <f>資料儲存!J1706</f>
        <v>0</v>
      </c>
      <c r="AA34" s="45"/>
      <c r="AB34" s="48">
        <v>25</v>
      </c>
      <c r="AC34" s="49">
        <f>資料儲存!D1826</f>
        <v>0</v>
      </c>
      <c r="AD34" s="49">
        <f>資料儲存!E1826</f>
        <v>0</v>
      </c>
      <c r="AE34" s="49">
        <f>資料儲存!F1826</f>
        <v>0</v>
      </c>
      <c r="AF34" s="49">
        <f>資料儲存!G1826</f>
        <v>0</v>
      </c>
      <c r="AG34" s="49">
        <f>資料儲存!H1826</f>
        <v>0</v>
      </c>
      <c r="AH34" s="49">
        <f>資料儲存!I1826</f>
        <v>0</v>
      </c>
      <c r="AI34" s="49">
        <f>資料儲存!J1826</f>
        <v>0</v>
      </c>
      <c r="AJ34" s="13"/>
    </row>
    <row r="35" spans="1:36" ht="16" thickBot="1">
      <c r="A35" s="48">
        <v>26</v>
      </c>
      <c r="B35" s="49">
        <f>資料儲存!D1467</f>
        <v>0</v>
      </c>
      <c r="C35" s="49">
        <f>資料儲存!E1467</f>
        <v>0</v>
      </c>
      <c r="D35" s="49">
        <f>資料儲存!F1467</f>
        <v>0</v>
      </c>
      <c r="E35" s="49">
        <f>資料儲存!G1467</f>
        <v>0</v>
      </c>
      <c r="F35" s="49">
        <f>資料儲存!H1467</f>
        <v>0</v>
      </c>
      <c r="G35" s="49">
        <f>資料儲存!I1467</f>
        <v>0</v>
      </c>
      <c r="H35" s="49">
        <f>資料儲存!J1467</f>
        <v>0</v>
      </c>
      <c r="I35" s="45"/>
      <c r="J35" s="48">
        <v>26</v>
      </c>
      <c r="K35" s="49">
        <f>資料儲存!D1587</f>
        <v>0</v>
      </c>
      <c r="L35" s="49">
        <f>資料儲存!E1587</f>
        <v>0</v>
      </c>
      <c r="M35" s="49">
        <f>資料儲存!F1587</f>
        <v>0</v>
      </c>
      <c r="N35" s="49">
        <f>資料儲存!G1587</f>
        <v>0</v>
      </c>
      <c r="O35" s="49">
        <f>資料儲存!H1587</f>
        <v>0</v>
      </c>
      <c r="P35" s="49">
        <f>資料儲存!I1587</f>
        <v>0</v>
      </c>
      <c r="Q35" s="49">
        <f>資料儲存!J1587</f>
        <v>0</v>
      </c>
      <c r="R35" s="45"/>
      <c r="S35" s="48">
        <v>26</v>
      </c>
      <c r="T35" s="49">
        <f>資料儲存!D1707</f>
        <v>0</v>
      </c>
      <c r="U35" s="49">
        <f>資料儲存!E1707</f>
        <v>0</v>
      </c>
      <c r="V35" s="49">
        <f>資料儲存!F1707</f>
        <v>0</v>
      </c>
      <c r="W35" s="49">
        <f>資料儲存!G1707</f>
        <v>0</v>
      </c>
      <c r="X35" s="49">
        <f>資料儲存!H1707</f>
        <v>0</v>
      </c>
      <c r="Y35" s="49">
        <f>資料儲存!I1707</f>
        <v>0</v>
      </c>
      <c r="Z35" s="49">
        <f>資料儲存!J1707</f>
        <v>0</v>
      </c>
      <c r="AA35" s="45"/>
      <c r="AB35" s="48">
        <v>26</v>
      </c>
      <c r="AC35" s="49">
        <f>資料儲存!D1827</f>
        <v>0</v>
      </c>
      <c r="AD35" s="49">
        <f>資料儲存!E1827</f>
        <v>0</v>
      </c>
      <c r="AE35" s="49">
        <f>資料儲存!F1827</f>
        <v>0</v>
      </c>
      <c r="AF35" s="49">
        <f>資料儲存!G1827</f>
        <v>0</v>
      </c>
      <c r="AG35" s="49">
        <f>資料儲存!H1827</f>
        <v>0</v>
      </c>
      <c r="AH35" s="49">
        <f>資料儲存!I1827</f>
        <v>0</v>
      </c>
      <c r="AI35" s="49">
        <f>資料儲存!J1827</f>
        <v>0</v>
      </c>
      <c r="AJ35" s="13"/>
    </row>
    <row r="36" spans="1:36" ht="16" thickBot="1">
      <c r="A36" s="48">
        <v>27</v>
      </c>
      <c r="B36" s="49">
        <f>資料儲存!D1468</f>
        <v>0</v>
      </c>
      <c r="C36" s="49">
        <f>資料儲存!E1468</f>
        <v>0</v>
      </c>
      <c r="D36" s="49">
        <f>資料儲存!F1468</f>
        <v>0</v>
      </c>
      <c r="E36" s="49">
        <f>資料儲存!G1468</f>
        <v>0</v>
      </c>
      <c r="F36" s="49">
        <f>資料儲存!H1468</f>
        <v>0</v>
      </c>
      <c r="G36" s="49">
        <f>資料儲存!I1468</f>
        <v>0</v>
      </c>
      <c r="H36" s="49">
        <f>資料儲存!J1468</f>
        <v>0</v>
      </c>
      <c r="I36" s="45"/>
      <c r="J36" s="48">
        <v>27</v>
      </c>
      <c r="K36" s="49">
        <f>資料儲存!D1588</f>
        <v>0</v>
      </c>
      <c r="L36" s="49">
        <f>資料儲存!E1588</f>
        <v>0</v>
      </c>
      <c r="M36" s="49">
        <f>資料儲存!F1588</f>
        <v>0</v>
      </c>
      <c r="N36" s="49">
        <f>資料儲存!G1588</f>
        <v>0</v>
      </c>
      <c r="O36" s="49">
        <f>資料儲存!H1588</f>
        <v>0</v>
      </c>
      <c r="P36" s="49">
        <f>資料儲存!I1588</f>
        <v>0</v>
      </c>
      <c r="Q36" s="49">
        <f>資料儲存!J1588</f>
        <v>0</v>
      </c>
      <c r="R36" s="45"/>
      <c r="S36" s="48">
        <v>27</v>
      </c>
      <c r="T36" s="49">
        <f>資料儲存!D1708</f>
        <v>0</v>
      </c>
      <c r="U36" s="49">
        <f>資料儲存!E1708</f>
        <v>0</v>
      </c>
      <c r="V36" s="49">
        <f>資料儲存!F1708</f>
        <v>0</v>
      </c>
      <c r="W36" s="49">
        <f>資料儲存!G1708</f>
        <v>0</v>
      </c>
      <c r="X36" s="49">
        <f>資料儲存!H1708</f>
        <v>0</v>
      </c>
      <c r="Y36" s="49">
        <f>資料儲存!I1708</f>
        <v>0</v>
      </c>
      <c r="Z36" s="49">
        <f>資料儲存!J1708</f>
        <v>0</v>
      </c>
      <c r="AA36" s="45"/>
      <c r="AB36" s="48">
        <v>27</v>
      </c>
      <c r="AC36" s="49">
        <f>資料儲存!D1828</f>
        <v>0</v>
      </c>
      <c r="AD36" s="49">
        <f>資料儲存!E1828</f>
        <v>0</v>
      </c>
      <c r="AE36" s="49">
        <f>資料儲存!F1828</f>
        <v>0</v>
      </c>
      <c r="AF36" s="49">
        <f>資料儲存!G1828</f>
        <v>0</v>
      </c>
      <c r="AG36" s="49">
        <f>資料儲存!H1828</f>
        <v>0</v>
      </c>
      <c r="AH36" s="49">
        <f>資料儲存!I1828</f>
        <v>0</v>
      </c>
      <c r="AI36" s="49">
        <f>資料儲存!J1828</f>
        <v>0</v>
      </c>
      <c r="AJ36" s="13"/>
    </row>
    <row r="37" spans="1:36" ht="16" thickBot="1">
      <c r="A37" s="48">
        <v>28</v>
      </c>
      <c r="B37" s="49">
        <f>資料儲存!D1469</f>
        <v>0</v>
      </c>
      <c r="C37" s="49">
        <f>資料儲存!E1469</f>
        <v>0</v>
      </c>
      <c r="D37" s="49">
        <f>資料儲存!F1469</f>
        <v>0</v>
      </c>
      <c r="E37" s="49">
        <f>資料儲存!G1469</f>
        <v>0</v>
      </c>
      <c r="F37" s="49">
        <f>資料儲存!H1469</f>
        <v>0</v>
      </c>
      <c r="G37" s="49">
        <f>資料儲存!I1469</f>
        <v>0</v>
      </c>
      <c r="H37" s="49">
        <f>資料儲存!J1469</f>
        <v>0</v>
      </c>
      <c r="I37" s="45"/>
      <c r="J37" s="48">
        <v>28</v>
      </c>
      <c r="K37" s="49">
        <f>資料儲存!D1589</f>
        <v>0</v>
      </c>
      <c r="L37" s="49">
        <f>資料儲存!E1589</f>
        <v>0</v>
      </c>
      <c r="M37" s="49">
        <f>資料儲存!F1589</f>
        <v>0</v>
      </c>
      <c r="N37" s="49">
        <f>資料儲存!G1589</f>
        <v>0</v>
      </c>
      <c r="O37" s="49">
        <f>資料儲存!H1589</f>
        <v>0</v>
      </c>
      <c r="P37" s="49">
        <f>資料儲存!I1589</f>
        <v>0</v>
      </c>
      <c r="Q37" s="49">
        <f>資料儲存!J1589</f>
        <v>0</v>
      </c>
      <c r="R37" s="45"/>
      <c r="S37" s="48">
        <v>28</v>
      </c>
      <c r="T37" s="49">
        <f>資料儲存!D1709</f>
        <v>0</v>
      </c>
      <c r="U37" s="49">
        <f>資料儲存!E1709</f>
        <v>0</v>
      </c>
      <c r="V37" s="49">
        <f>資料儲存!F1709</f>
        <v>0</v>
      </c>
      <c r="W37" s="49">
        <f>資料儲存!G1709</f>
        <v>0</v>
      </c>
      <c r="X37" s="49">
        <f>資料儲存!H1709</f>
        <v>0</v>
      </c>
      <c r="Y37" s="49">
        <f>資料儲存!I1709</f>
        <v>0</v>
      </c>
      <c r="Z37" s="49">
        <f>資料儲存!J1709</f>
        <v>0</v>
      </c>
      <c r="AA37" s="45"/>
      <c r="AB37" s="48">
        <v>28</v>
      </c>
      <c r="AC37" s="49">
        <f>資料儲存!D1829</f>
        <v>0</v>
      </c>
      <c r="AD37" s="49">
        <f>資料儲存!E1829</f>
        <v>0</v>
      </c>
      <c r="AE37" s="49">
        <f>資料儲存!F1829</f>
        <v>0</v>
      </c>
      <c r="AF37" s="49">
        <f>資料儲存!G1829</f>
        <v>0</v>
      </c>
      <c r="AG37" s="49">
        <f>資料儲存!H1829</f>
        <v>0</v>
      </c>
      <c r="AH37" s="49">
        <f>資料儲存!I1829</f>
        <v>0</v>
      </c>
      <c r="AI37" s="49">
        <f>資料儲存!J1829</f>
        <v>0</v>
      </c>
      <c r="AJ37" s="13"/>
    </row>
    <row r="38" spans="1:36" ht="16" thickBot="1">
      <c r="A38" s="48">
        <v>29</v>
      </c>
      <c r="B38" s="49">
        <f>資料儲存!D1470</f>
        <v>0</v>
      </c>
      <c r="C38" s="49">
        <f>資料儲存!E1470</f>
        <v>0</v>
      </c>
      <c r="D38" s="49">
        <f>資料儲存!F1470</f>
        <v>0</v>
      </c>
      <c r="E38" s="49">
        <f>資料儲存!G1470</f>
        <v>0</v>
      </c>
      <c r="F38" s="49">
        <f>資料儲存!H1470</f>
        <v>0</v>
      </c>
      <c r="G38" s="49">
        <f>資料儲存!I1470</f>
        <v>0</v>
      </c>
      <c r="H38" s="49">
        <f>資料儲存!J1470</f>
        <v>0</v>
      </c>
      <c r="I38" s="45"/>
      <c r="J38" s="48">
        <v>29</v>
      </c>
      <c r="K38" s="49">
        <f>資料儲存!D1590</f>
        <v>0</v>
      </c>
      <c r="L38" s="49">
        <f>資料儲存!E1590</f>
        <v>0</v>
      </c>
      <c r="M38" s="49">
        <f>資料儲存!F1590</f>
        <v>0</v>
      </c>
      <c r="N38" s="49">
        <f>資料儲存!G1590</f>
        <v>0</v>
      </c>
      <c r="O38" s="49">
        <f>資料儲存!H1590</f>
        <v>0</v>
      </c>
      <c r="P38" s="49">
        <f>資料儲存!I1590</f>
        <v>0</v>
      </c>
      <c r="Q38" s="49">
        <f>資料儲存!J1590</f>
        <v>0</v>
      </c>
      <c r="R38" s="45"/>
      <c r="S38" s="48">
        <v>29</v>
      </c>
      <c r="T38" s="49">
        <f>資料儲存!D1710</f>
        <v>0</v>
      </c>
      <c r="U38" s="49">
        <f>資料儲存!E1710</f>
        <v>0</v>
      </c>
      <c r="V38" s="49">
        <f>資料儲存!F1710</f>
        <v>0</v>
      </c>
      <c r="W38" s="49">
        <f>資料儲存!G1710</f>
        <v>0</v>
      </c>
      <c r="X38" s="49">
        <f>資料儲存!H1710</f>
        <v>0</v>
      </c>
      <c r="Y38" s="49">
        <f>資料儲存!I1710</f>
        <v>0</v>
      </c>
      <c r="Z38" s="49">
        <f>資料儲存!J1710</f>
        <v>0</v>
      </c>
      <c r="AA38" s="45"/>
      <c r="AB38" s="48">
        <v>29</v>
      </c>
      <c r="AC38" s="49">
        <f>資料儲存!D1830</f>
        <v>0</v>
      </c>
      <c r="AD38" s="49">
        <f>資料儲存!E1830</f>
        <v>0</v>
      </c>
      <c r="AE38" s="49">
        <f>資料儲存!F1830</f>
        <v>0</v>
      </c>
      <c r="AF38" s="49">
        <f>資料儲存!G1830</f>
        <v>0</v>
      </c>
      <c r="AG38" s="49">
        <f>資料儲存!H1830</f>
        <v>0</v>
      </c>
      <c r="AH38" s="49">
        <f>資料儲存!I1830</f>
        <v>0</v>
      </c>
      <c r="AI38" s="49">
        <f>資料儲存!J1830</f>
        <v>0</v>
      </c>
      <c r="AJ38" s="13"/>
    </row>
    <row r="39" spans="1:36" ht="16" thickBot="1">
      <c r="A39" s="48">
        <v>30</v>
      </c>
      <c r="B39" s="49">
        <f>資料儲存!D1471</f>
        <v>0</v>
      </c>
      <c r="C39" s="49">
        <f>資料儲存!E1471</f>
        <v>0</v>
      </c>
      <c r="D39" s="49">
        <f>資料儲存!F1471</f>
        <v>0</v>
      </c>
      <c r="E39" s="49">
        <f>資料儲存!G1471</f>
        <v>0</v>
      </c>
      <c r="F39" s="49">
        <f>資料儲存!H1471</f>
        <v>0</v>
      </c>
      <c r="G39" s="49">
        <f>資料儲存!I1471</f>
        <v>0</v>
      </c>
      <c r="H39" s="49">
        <f>資料儲存!J1471</f>
        <v>0</v>
      </c>
      <c r="I39" s="45"/>
      <c r="J39" s="48">
        <v>30</v>
      </c>
      <c r="K39" s="49">
        <f>資料儲存!D1591</f>
        <v>0</v>
      </c>
      <c r="L39" s="49">
        <f>資料儲存!E1591</f>
        <v>0</v>
      </c>
      <c r="M39" s="49">
        <f>資料儲存!F1591</f>
        <v>0</v>
      </c>
      <c r="N39" s="49">
        <f>資料儲存!G1591</f>
        <v>0</v>
      </c>
      <c r="O39" s="49">
        <f>資料儲存!H1591</f>
        <v>0</v>
      </c>
      <c r="P39" s="49">
        <f>資料儲存!I1591</f>
        <v>0</v>
      </c>
      <c r="Q39" s="49">
        <f>資料儲存!J1591</f>
        <v>0</v>
      </c>
      <c r="R39" s="45"/>
      <c r="S39" s="48">
        <v>30</v>
      </c>
      <c r="T39" s="49">
        <f>資料儲存!D1711</f>
        <v>0</v>
      </c>
      <c r="U39" s="49">
        <f>資料儲存!E1711</f>
        <v>0</v>
      </c>
      <c r="V39" s="49">
        <f>資料儲存!F1711</f>
        <v>0</v>
      </c>
      <c r="W39" s="49">
        <f>資料儲存!G1711</f>
        <v>0</v>
      </c>
      <c r="X39" s="49">
        <f>資料儲存!H1711</f>
        <v>0</v>
      </c>
      <c r="Y39" s="49">
        <f>資料儲存!I1711</f>
        <v>0</v>
      </c>
      <c r="Z39" s="49">
        <f>資料儲存!J1711</f>
        <v>0</v>
      </c>
      <c r="AA39" s="45"/>
      <c r="AB39" s="48">
        <v>30</v>
      </c>
      <c r="AC39" s="49">
        <f>資料儲存!D1831</f>
        <v>0</v>
      </c>
      <c r="AD39" s="49">
        <f>資料儲存!E1831</f>
        <v>0</v>
      </c>
      <c r="AE39" s="49">
        <f>資料儲存!F1831</f>
        <v>0</v>
      </c>
      <c r="AF39" s="49">
        <f>資料儲存!G1831</f>
        <v>0</v>
      </c>
      <c r="AG39" s="49">
        <f>資料儲存!H1831</f>
        <v>0</v>
      </c>
      <c r="AH39" s="49">
        <f>資料儲存!I1831</f>
        <v>0</v>
      </c>
      <c r="AI39" s="49">
        <f>資料儲存!J1831</f>
        <v>0</v>
      </c>
      <c r="AJ39" s="13"/>
    </row>
    <row r="40" spans="1:36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</row>
    <row r="41" spans="1:36" ht="18.5" thickBot="1">
      <c r="A41" s="250" t="s">
        <v>97</v>
      </c>
      <c r="B41" s="251"/>
      <c r="C41" s="251"/>
      <c r="D41" s="251"/>
      <c r="E41" s="251"/>
      <c r="F41" s="251"/>
      <c r="G41" s="251"/>
      <c r="H41" s="252"/>
      <c r="I41" s="13"/>
      <c r="J41" s="250" t="s">
        <v>97</v>
      </c>
      <c r="K41" s="251"/>
      <c r="L41" s="251"/>
      <c r="M41" s="251"/>
      <c r="N41" s="251"/>
      <c r="O41" s="251"/>
      <c r="P41" s="251"/>
      <c r="Q41" s="252"/>
      <c r="R41" s="13"/>
      <c r="S41" s="250" t="s">
        <v>97</v>
      </c>
      <c r="T41" s="251"/>
      <c r="U41" s="251"/>
      <c r="V41" s="251"/>
      <c r="W41" s="251"/>
      <c r="X41" s="251"/>
      <c r="Y41" s="251"/>
      <c r="Z41" s="252"/>
      <c r="AA41" s="13"/>
      <c r="AB41" s="250" t="s">
        <v>97</v>
      </c>
      <c r="AC41" s="251"/>
      <c r="AD41" s="251"/>
      <c r="AE41" s="251"/>
      <c r="AF41" s="251"/>
      <c r="AG41" s="251"/>
      <c r="AH41" s="251"/>
      <c r="AI41" s="252"/>
      <c r="AJ41" s="13"/>
    </row>
    <row r="42" spans="1:36" ht="17.25" customHeight="1" thickBot="1">
      <c r="A42" s="31" t="s">
        <v>2</v>
      </c>
      <c r="B42" s="32" t="s">
        <v>46</v>
      </c>
      <c r="C42" s="33"/>
      <c r="D42" s="33"/>
      <c r="E42" s="34"/>
      <c r="F42" s="32" t="s">
        <v>47</v>
      </c>
      <c r="G42" s="33"/>
      <c r="H42" s="34"/>
      <c r="I42" s="35"/>
      <c r="J42" s="31" t="s">
        <v>2</v>
      </c>
      <c r="K42" s="32" t="s">
        <v>46</v>
      </c>
      <c r="L42" s="33"/>
      <c r="M42" s="33"/>
      <c r="N42" s="34"/>
      <c r="O42" s="32" t="s">
        <v>47</v>
      </c>
      <c r="P42" s="33"/>
      <c r="Q42" s="34"/>
      <c r="R42" s="35"/>
      <c r="S42" s="31" t="s">
        <v>2</v>
      </c>
      <c r="T42" s="32" t="s">
        <v>46</v>
      </c>
      <c r="U42" s="33"/>
      <c r="V42" s="33"/>
      <c r="W42" s="34"/>
      <c r="X42" s="32" t="s">
        <v>47</v>
      </c>
      <c r="Y42" s="33"/>
      <c r="Z42" s="34"/>
      <c r="AA42" s="35"/>
      <c r="AB42" s="31" t="s">
        <v>2</v>
      </c>
      <c r="AC42" s="32" t="s">
        <v>46</v>
      </c>
      <c r="AD42" s="33"/>
      <c r="AE42" s="33"/>
      <c r="AF42" s="34"/>
      <c r="AG42" s="32" t="s">
        <v>47</v>
      </c>
      <c r="AH42" s="33"/>
      <c r="AI42" s="34"/>
      <c r="AJ42" s="13"/>
    </row>
    <row r="43" spans="1:36" ht="16" thickBot="1">
      <c r="A43" s="36">
        <v>0.52083333333333337</v>
      </c>
      <c r="B43" s="37" t="s">
        <v>49</v>
      </c>
      <c r="C43" s="37" t="s">
        <v>50</v>
      </c>
      <c r="D43" s="37" t="s">
        <v>51</v>
      </c>
      <c r="E43" s="37" t="s">
        <v>52</v>
      </c>
      <c r="F43" s="37" t="s">
        <v>53</v>
      </c>
      <c r="G43" s="37" t="s">
        <v>54</v>
      </c>
      <c r="H43" s="37" t="s">
        <v>55</v>
      </c>
      <c r="I43" s="35"/>
      <c r="J43" s="36">
        <v>0.52083333333333337</v>
      </c>
      <c r="K43" s="37" t="s">
        <v>49</v>
      </c>
      <c r="L43" s="37" t="s">
        <v>50</v>
      </c>
      <c r="M43" s="37" t="s">
        <v>51</v>
      </c>
      <c r="N43" s="37" t="s">
        <v>52</v>
      </c>
      <c r="O43" s="37" t="s">
        <v>53</v>
      </c>
      <c r="P43" s="37" t="s">
        <v>54</v>
      </c>
      <c r="Q43" s="37" t="s">
        <v>55</v>
      </c>
      <c r="R43" s="35"/>
      <c r="S43" s="36">
        <v>0.52083333333333337</v>
      </c>
      <c r="T43" s="37" t="s">
        <v>49</v>
      </c>
      <c r="U43" s="37" t="s">
        <v>50</v>
      </c>
      <c r="V43" s="37" t="s">
        <v>51</v>
      </c>
      <c r="W43" s="37" t="s">
        <v>52</v>
      </c>
      <c r="X43" s="37" t="s">
        <v>53</v>
      </c>
      <c r="Y43" s="37" t="s">
        <v>54</v>
      </c>
      <c r="Z43" s="37" t="s">
        <v>55</v>
      </c>
      <c r="AA43" s="35"/>
      <c r="AB43" s="36">
        <v>0.52083333333333337</v>
      </c>
      <c r="AC43" s="37" t="s">
        <v>49</v>
      </c>
      <c r="AD43" s="37" t="s">
        <v>50</v>
      </c>
      <c r="AE43" s="37" t="s">
        <v>51</v>
      </c>
      <c r="AF43" s="37" t="s">
        <v>52</v>
      </c>
      <c r="AG43" s="37" t="s">
        <v>53</v>
      </c>
      <c r="AH43" s="37" t="s">
        <v>54</v>
      </c>
      <c r="AI43" s="37" t="s">
        <v>55</v>
      </c>
      <c r="AJ43" s="13"/>
    </row>
    <row r="44" spans="1:36" ht="16" thickBot="1">
      <c r="A44" s="38">
        <v>31</v>
      </c>
      <c r="B44" s="39">
        <f>資料儲存!D1472</f>
        <v>0</v>
      </c>
      <c r="C44" s="39">
        <f>資料儲存!E1472</f>
        <v>0</v>
      </c>
      <c r="D44" s="39">
        <f>資料儲存!F1472</f>
        <v>0</v>
      </c>
      <c r="E44" s="39">
        <f>資料儲存!G1472</f>
        <v>0</v>
      </c>
      <c r="F44" s="39">
        <f>資料儲存!H1472</f>
        <v>0</v>
      </c>
      <c r="G44" s="39">
        <f>資料儲存!I1472</f>
        <v>0</v>
      </c>
      <c r="H44" s="39">
        <f>資料儲存!J1472</f>
        <v>0</v>
      </c>
      <c r="I44" s="35"/>
      <c r="J44" s="38">
        <v>31</v>
      </c>
      <c r="K44" s="39">
        <f>資料儲存!D1592</f>
        <v>0</v>
      </c>
      <c r="L44" s="39">
        <f>資料儲存!E1592</f>
        <v>0</v>
      </c>
      <c r="M44" s="39">
        <f>資料儲存!F1592</f>
        <v>0</v>
      </c>
      <c r="N44" s="39">
        <f>資料儲存!G1592</f>
        <v>0</v>
      </c>
      <c r="O44" s="39">
        <f>資料儲存!H1592</f>
        <v>0</v>
      </c>
      <c r="P44" s="39">
        <f>資料儲存!I1592</f>
        <v>0</v>
      </c>
      <c r="Q44" s="39">
        <f>資料儲存!J1592</f>
        <v>0</v>
      </c>
      <c r="R44" s="35"/>
      <c r="S44" s="38">
        <v>31</v>
      </c>
      <c r="T44" s="39">
        <f>資料儲存!D1712</f>
        <v>0</v>
      </c>
      <c r="U44" s="39">
        <f>資料儲存!E1712</f>
        <v>0</v>
      </c>
      <c r="V44" s="39">
        <f>資料儲存!F1712</f>
        <v>0</v>
      </c>
      <c r="W44" s="39">
        <f>資料儲存!G1712</f>
        <v>0</v>
      </c>
      <c r="X44" s="39">
        <f>資料儲存!H1712</f>
        <v>0</v>
      </c>
      <c r="Y44" s="39">
        <f>資料儲存!I1712</f>
        <v>0</v>
      </c>
      <c r="Z44" s="39">
        <f>資料儲存!J1712</f>
        <v>0</v>
      </c>
      <c r="AA44" s="35"/>
      <c r="AB44" s="38">
        <v>31</v>
      </c>
      <c r="AC44" s="39">
        <f>資料儲存!D1832</f>
        <v>0</v>
      </c>
      <c r="AD44" s="39">
        <f>資料儲存!E1832</f>
        <v>0</v>
      </c>
      <c r="AE44" s="39">
        <f>資料儲存!F1832</f>
        <v>0</v>
      </c>
      <c r="AF44" s="39">
        <f>資料儲存!G1832</f>
        <v>0</v>
      </c>
      <c r="AG44" s="39">
        <f>資料儲存!H1832</f>
        <v>0</v>
      </c>
      <c r="AH44" s="39">
        <f>資料儲存!I1832</f>
        <v>0</v>
      </c>
      <c r="AI44" s="39">
        <f>資料儲存!J1832</f>
        <v>0</v>
      </c>
      <c r="AJ44" s="13"/>
    </row>
    <row r="45" spans="1:36" ht="16" thickBot="1">
      <c r="A45" s="38">
        <v>32</v>
      </c>
      <c r="B45" s="39">
        <f>資料儲存!D1473</f>
        <v>0</v>
      </c>
      <c r="C45" s="39">
        <f>資料儲存!E1473</f>
        <v>0</v>
      </c>
      <c r="D45" s="39">
        <f>資料儲存!F1473</f>
        <v>0</v>
      </c>
      <c r="E45" s="39">
        <f>資料儲存!G1473</f>
        <v>0</v>
      </c>
      <c r="F45" s="39">
        <f>資料儲存!H1473</f>
        <v>0</v>
      </c>
      <c r="G45" s="39">
        <f>資料儲存!I1473</f>
        <v>0</v>
      </c>
      <c r="H45" s="39">
        <f>資料儲存!J1473</f>
        <v>0</v>
      </c>
      <c r="I45" s="35"/>
      <c r="J45" s="38">
        <v>32</v>
      </c>
      <c r="K45" s="39">
        <f>資料儲存!D1593</f>
        <v>0</v>
      </c>
      <c r="L45" s="39">
        <f>資料儲存!E1593</f>
        <v>0</v>
      </c>
      <c r="M45" s="39">
        <f>資料儲存!F1593</f>
        <v>0</v>
      </c>
      <c r="N45" s="39">
        <f>資料儲存!G1593</f>
        <v>0</v>
      </c>
      <c r="O45" s="39">
        <f>資料儲存!H1593</f>
        <v>0</v>
      </c>
      <c r="P45" s="39">
        <f>資料儲存!I1593</f>
        <v>0</v>
      </c>
      <c r="Q45" s="39">
        <f>資料儲存!J1593</f>
        <v>0</v>
      </c>
      <c r="R45" s="35"/>
      <c r="S45" s="38">
        <v>32</v>
      </c>
      <c r="T45" s="39">
        <f>資料儲存!D1713</f>
        <v>0</v>
      </c>
      <c r="U45" s="39">
        <f>資料儲存!E1713</f>
        <v>0</v>
      </c>
      <c r="V45" s="39">
        <f>資料儲存!F1713</f>
        <v>0</v>
      </c>
      <c r="W45" s="39">
        <f>資料儲存!G1713</f>
        <v>0</v>
      </c>
      <c r="X45" s="39">
        <f>資料儲存!H1713</f>
        <v>0</v>
      </c>
      <c r="Y45" s="39">
        <f>資料儲存!I1713</f>
        <v>0</v>
      </c>
      <c r="Z45" s="39">
        <f>資料儲存!J1713</f>
        <v>0</v>
      </c>
      <c r="AA45" s="35"/>
      <c r="AB45" s="38">
        <v>32</v>
      </c>
      <c r="AC45" s="39">
        <f>資料儲存!D1833</f>
        <v>0</v>
      </c>
      <c r="AD45" s="39">
        <f>資料儲存!E1833</f>
        <v>0</v>
      </c>
      <c r="AE45" s="39">
        <f>資料儲存!F1833</f>
        <v>0</v>
      </c>
      <c r="AF45" s="39">
        <f>資料儲存!G1833</f>
        <v>0</v>
      </c>
      <c r="AG45" s="39">
        <f>資料儲存!H1833</f>
        <v>0</v>
      </c>
      <c r="AH45" s="39">
        <f>資料儲存!I1833</f>
        <v>0</v>
      </c>
      <c r="AI45" s="39">
        <f>資料儲存!J1833</f>
        <v>0</v>
      </c>
      <c r="AJ45" s="13"/>
    </row>
    <row r="46" spans="1:36" ht="16" thickBot="1">
      <c r="A46" s="38">
        <v>33</v>
      </c>
      <c r="B46" s="39">
        <f>資料儲存!D1474</f>
        <v>0</v>
      </c>
      <c r="C46" s="39">
        <f>資料儲存!E1474</f>
        <v>0</v>
      </c>
      <c r="D46" s="39">
        <f>資料儲存!F1474</f>
        <v>0</v>
      </c>
      <c r="E46" s="39">
        <f>資料儲存!G1474</f>
        <v>0</v>
      </c>
      <c r="F46" s="39">
        <f>資料儲存!H1474</f>
        <v>0</v>
      </c>
      <c r="G46" s="39">
        <f>資料儲存!I1474</f>
        <v>0</v>
      </c>
      <c r="H46" s="39">
        <f>資料儲存!J1474</f>
        <v>0</v>
      </c>
      <c r="I46" s="35"/>
      <c r="J46" s="38">
        <v>33</v>
      </c>
      <c r="K46" s="39">
        <f>資料儲存!D1594</f>
        <v>0</v>
      </c>
      <c r="L46" s="39">
        <f>資料儲存!E1594</f>
        <v>0</v>
      </c>
      <c r="M46" s="39">
        <f>資料儲存!F1594</f>
        <v>0</v>
      </c>
      <c r="N46" s="39">
        <f>資料儲存!G1594</f>
        <v>0</v>
      </c>
      <c r="O46" s="39">
        <f>資料儲存!H1594</f>
        <v>0</v>
      </c>
      <c r="P46" s="39">
        <f>資料儲存!I1594</f>
        <v>0</v>
      </c>
      <c r="Q46" s="39">
        <f>資料儲存!J1594</f>
        <v>0</v>
      </c>
      <c r="R46" s="35"/>
      <c r="S46" s="38">
        <v>33</v>
      </c>
      <c r="T46" s="39">
        <f>資料儲存!D1714</f>
        <v>0</v>
      </c>
      <c r="U46" s="39">
        <f>資料儲存!E1714</f>
        <v>0</v>
      </c>
      <c r="V46" s="39">
        <f>資料儲存!F1714</f>
        <v>0</v>
      </c>
      <c r="W46" s="39">
        <f>資料儲存!G1714</f>
        <v>0</v>
      </c>
      <c r="X46" s="39">
        <f>資料儲存!H1714</f>
        <v>0</v>
      </c>
      <c r="Y46" s="39">
        <f>資料儲存!I1714</f>
        <v>0</v>
      </c>
      <c r="Z46" s="39">
        <f>資料儲存!J1714</f>
        <v>0</v>
      </c>
      <c r="AA46" s="35"/>
      <c r="AB46" s="38">
        <v>33</v>
      </c>
      <c r="AC46" s="39">
        <f>資料儲存!D1834</f>
        <v>0</v>
      </c>
      <c r="AD46" s="39">
        <f>資料儲存!E1834</f>
        <v>0</v>
      </c>
      <c r="AE46" s="39">
        <f>資料儲存!F1834</f>
        <v>0</v>
      </c>
      <c r="AF46" s="39">
        <f>資料儲存!G1834</f>
        <v>0</v>
      </c>
      <c r="AG46" s="39">
        <f>資料儲存!H1834</f>
        <v>0</v>
      </c>
      <c r="AH46" s="39">
        <f>資料儲存!I1834</f>
        <v>0</v>
      </c>
      <c r="AI46" s="39">
        <f>資料儲存!J1834</f>
        <v>0</v>
      </c>
      <c r="AJ46" s="13"/>
    </row>
    <row r="47" spans="1:36" ht="16" thickBot="1">
      <c r="A47" s="38">
        <v>34</v>
      </c>
      <c r="B47" s="39">
        <f>資料儲存!D1475</f>
        <v>0</v>
      </c>
      <c r="C47" s="39">
        <f>資料儲存!E1475</f>
        <v>0</v>
      </c>
      <c r="D47" s="39">
        <f>資料儲存!F1475</f>
        <v>0</v>
      </c>
      <c r="E47" s="39">
        <f>資料儲存!G1475</f>
        <v>0</v>
      </c>
      <c r="F47" s="39">
        <f>資料儲存!H1475</f>
        <v>0</v>
      </c>
      <c r="G47" s="39">
        <f>資料儲存!I1475</f>
        <v>0</v>
      </c>
      <c r="H47" s="39">
        <f>資料儲存!J1475</f>
        <v>0</v>
      </c>
      <c r="I47" s="35"/>
      <c r="J47" s="38">
        <v>34</v>
      </c>
      <c r="K47" s="39">
        <f>資料儲存!D1595</f>
        <v>0</v>
      </c>
      <c r="L47" s="39">
        <f>資料儲存!E1595</f>
        <v>0</v>
      </c>
      <c r="M47" s="39">
        <f>資料儲存!F1595</f>
        <v>0</v>
      </c>
      <c r="N47" s="39">
        <f>資料儲存!G1595</f>
        <v>0</v>
      </c>
      <c r="O47" s="39">
        <f>資料儲存!H1595</f>
        <v>0</v>
      </c>
      <c r="P47" s="39">
        <f>資料儲存!I1595</f>
        <v>0</v>
      </c>
      <c r="Q47" s="39">
        <f>資料儲存!J1595</f>
        <v>0</v>
      </c>
      <c r="R47" s="35"/>
      <c r="S47" s="38">
        <v>34</v>
      </c>
      <c r="T47" s="39">
        <f>資料儲存!D1715</f>
        <v>0</v>
      </c>
      <c r="U47" s="39">
        <f>資料儲存!E1715</f>
        <v>0</v>
      </c>
      <c r="V47" s="39">
        <f>資料儲存!F1715</f>
        <v>0</v>
      </c>
      <c r="W47" s="39">
        <f>資料儲存!G1715</f>
        <v>0</v>
      </c>
      <c r="X47" s="39">
        <f>資料儲存!H1715</f>
        <v>0</v>
      </c>
      <c r="Y47" s="39">
        <f>資料儲存!I1715</f>
        <v>0</v>
      </c>
      <c r="Z47" s="39">
        <f>資料儲存!J1715</f>
        <v>0</v>
      </c>
      <c r="AA47" s="35"/>
      <c r="AB47" s="38">
        <v>34</v>
      </c>
      <c r="AC47" s="39">
        <f>資料儲存!D1835</f>
        <v>0</v>
      </c>
      <c r="AD47" s="39">
        <f>資料儲存!E1835</f>
        <v>0</v>
      </c>
      <c r="AE47" s="39">
        <f>資料儲存!F1835</f>
        <v>0</v>
      </c>
      <c r="AF47" s="39">
        <f>資料儲存!G1835</f>
        <v>0</v>
      </c>
      <c r="AG47" s="39">
        <f>資料儲存!H1835</f>
        <v>0</v>
      </c>
      <c r="AH47" s="39">
        <f>資料儲存!I1835</f>
        <v>0</v>
      </c>
      <c r="AI47" s="39">
        <f>資料儲存!J1835</f>
        <v>0</v>
      </c>
      <c r="AJ47" s="13"/>
    </row>
    <row r="48" spans="1:36" ht="16" thickBot="1">
      <c r="A48" s="38">
        <v>35</v>
      </c>
      <c r="B48" s="39">
        <f>資料儲存!D1476</f>
        <v>0</v>
      </c>
      <c r="C48" s="39">
        <f>資料儲存!E1476</f>
        <v>0</v>
      </c>
      <c r="D48" s="39">
        <f>資料儲存!F1476</f>
        <v>0</v>
      </c>
      <c r="E48" s="39">
        <f>資料儲存!G1476</f>
        <v>0</v>
      </c>
      <c r="F48" s="39">
        <f>資料儲存!H1476</f>
        <v>0</v>
      </c>
      <c r="G48" s="39">
        <f>資料儲存!I1476</f>
        <v>0</v>
      </c>
      <c r="H48" s="39">
        <f>資料儲存!J1476</f>
        <v>0</v>
      </c>
      <c r="I48" s="35"/>
      <c r="J48" s="38">
        <v>35</v>
      </c>
      <c r="K48" s="39">
        <f>資料儲存!D1596</f>
        <v>0</v>
      </c>
      <c r="L48" s="39">
        <f>資料儲存!E1596</f>
        <v>0</v>
      </c>
      <c r="M48" s="39">
        <f>資料儲存!F1596</f>
        <v>0</v>
      </c>
      <c r="N48" s="39">
        <f>資料儲存!G1596</f>
        <v>0</v>
      </c>
      <c r="O48" s="39">
        <f>資料儲存!H1596</f>
        <v>0</v>
      </c>
      <c r="P48" s="39">
        <f>資料儲存!I1596</f>
        <v>0</v>
      </c>
      <c r="Q48" s="39">
        <f>資料儲存!J1596</f>
        <v>0</v>
      </c>
      <c r="R48" s="35"/>
      <c r="S48" s="38">
        <v>35</v>
      </c>
      <c r="T48" s="39">
        <f>資料儲存!D1716</f>
        <v>0</v>
      </c>
      <c r="U48" s="39">
        <f>資料儲存!E1716</f>
        <v>0</v>
      </c>
      <c r="V48" s="39">
        <f>資料儲存!F1716</f>
        <v>0</v>
      </c>
      <c r="W48" s="39">
        <f>資料儲存!G1716</f>
        <v>0</v>
      </c>
      <c r="X48" s="39">
        <f>資料儲存!H1716</f>
        <v>0</v>
      </c>
      <c r="Y48" s="39">
        <f>資料儲存!I1716</f>
        <v>0</v>
      </c>
      <c r="Z48" s="39">
        <f>資料儲存!J1716</f>
        <v>0</v>
      </c>
      <c r="AA48" s="35"/>
      <c r="AB48" s="38">
        <v>35</v>
      </c>
      <c r="AC48" s="39">
        <f>資料儲存!D1836</f>
        <v>0</v>
      </c>
      <c r="AD48" s="39">
        <f>資料儲存!E1836</f>
        <v>0</v>
      </c>
      <c r="AE48" s="39">
        <f>資料儲存!F1836</f>
        <v>0</v>
      </c>
      <c r="AF48" s="39">
        <f>資料儲存!G1836</f>
        <v>0</v>
      </c>
      <c r="AG48" s="39">
        <f>資料儲存!H1836</f>
        <v>0</v>
      </c>
      <c r="AH48" s="39">
        <f>資料儲存!I1836</f>
        <v>0</v>
      </c>
      <c r="AI48" s="39">
        <f>資料儲存!J1836</f>
        <v>0</v>
      </c>
      <c r="AJ48" s="13"/>
    </row>
    <row r="49" spans="1:36" ht="16" thickBot="1">
      <c r="A49" s="38">
        <v>36</v>
      </c>
      <c r="B49" s="39">
        <f>資料儲存!D1477</f>
        <v>0</v>
      </c>
      <c r="C49" s="39">
        <f>資料儲存!E1477</f>
        <v>0</v>
      </c>
      <c r="D49" s="39">
        <f>資料儲存!F1477</f>
        <v>0</v>
      </c>
      <c r="E49" s="39">
        <f>資料儲存!G1477</f>
        <v>0</v>
      </c>
      <c r="F49" s="39">
        <f>資料儲存!H1477</f>
        <v>0</v>
      </c>
      <c r="G49" s="39">
        <f>資料儲存!I1477</f>
        <v>0</v>
      </c>
      <c r="H49" s="39">
        <f>資料儲存!J1477</f>
        <v>0</v>
      </c>
      <c r="I49" s="35"/>
      <c r="J49" s="38">
        <v>36</v>
      </c>
      <c r="K49" s="39">
        <f>資料儲存!D1597</f>
        <v>0</v>
      </c>
      <c r="L49" s="39">
        <f>資料儲存!E1597</f>
        <v>0</v>
      </c>
      <c r="M49" s="39">
        <f>資料儲存!F1597</f>
        <v>0</v>
      </c>
      <c r="N49" s="39">
        <f>資料儲存!G1597</f>
        <v>0</v>
      </c>
      <c r="O49" s="39">
        <f>資料儲存!H1597</f>
        <v>0</v>
      </c>
      <c r="P49" s="39">
        <f>資料儲存!I1597</f>
        <v>0</v>
      </c>
      <c r="Q49" s="39">
        <f>資料儲存!J1597</f>
        <v>0</v>
      </c>
      <c r="R49" s="35"/>
      <c r="S49" s="38">
        <v>36</v>
      </c>
      <c r="T49" s="39">
        <f>資料儲存!D1717</f>
        <v>0</v>
      </c>
      <c r="U49" s="39">
        <f>資料儲存!E1717</f>
        <v>0</v>
      </c>
      <c r="V49" s="39">
        <f>資料儲存!F1717</f>
        <v>0</v>
      </c>
      <c r="W49" s="39">
        <f>資料儲存!G1717</f>
        <v>0</v>
      </c>
      <c r="X49" s="39">
        <f>資料儲存!H1717</f>
        <v>0</v>
      </c>
      <c r="Y49" s="39">
        <f>資料儲存!I1717</f>
        <v>0</v>
      </c>
      <c r="Z49" s="39">
        <f>資料儲存!J1717</f>
        <v>0</v>
      </c>
      <c r="AA49" s="35"/>
      <c r="AB49" s="38">
        <v>36</v>
      </c>
      <c r="AC49" s="39">
        <f>資料儲存!D1837</f>
        <v>0</v>
      </c>
      <c r="AD49" s="39">
        <f>資料儲存!E1837</f>
        <v>0</v>
      </c>
      <c r="AE49" s="39">
        <f>資料儲存!F1837</f>
        <v>0</v>
      </c>
      <c r="AF49" s="39">
        <f>資料儲存!G1837</f>
        <v>0</v>
      </c>
      <c r="AG49" s="39">
        <f>資料儲存!H1837</f>
        <v>0</v>
      </c>
      <c r="AH49" s="39">
        <f>資料儲存!I1837</f>
        <v>0</v>
      </c>
      <c r="AI49" s="39">
        <f>資料儲存!J1837</f>
        <v>0</v>
      </c>
      <c r="AJ49" s="13"/>
    </row>
    <row r="50" spans="1:36" ht="16" thickBot="1">
      <c r="A50" s="38">
        <v>37</v>
      </c>
      <c r="B50" s="39">
        <f>資料儲存!D1478</f>
        <v>0</v>
      </c>
      <c r="C50" s="39">
        <f>資料儲存!E1478</f>
        <v>0</v>
      </c>
      <c r="D50" s="39">
        <f>資料儲存!F1478</f>
        <v>0</v>
      </c>
      <c r="E50" s="39">
        <f>資料儲存!G1478</f>
        <v>0</v>
      </c>
      <c r="F50" s="39">
        <f>資料儲存!H1478</f>
        <v>0</v>
      </c>
      <c r="G50" s="39">
        <f>資料儲存!I1478</f>
        <v>0</v>
      </c>
      <c r="H50" s="39">
        <f>資料儲存!J1478</f>
        <v>0</v>
      </c>
      <c r="I50" s="35"/>
      <c r="J50" s="38">
        <v>37</v>
      </c>
      <c r="K50" s="39">
        <f>資料儲存!D1598</f>
        <v>0</v>
      </c>
      <c r="L50" s="39">
        <f>資料儲存!E1598</f>
        <v>0</v>
      </c>
      <c r="M50" s="39">
        <f>資料儲存!F1598</f>
        <v>0</v>
      </c>
      <c r="N50" s="39">
        <f>資料儲存!G1598</f>
        <v>0</v>
      </c>
      <c r="O50" s="39">
        <f>資料儲存!H1598</f>
        <v>0</v>
      </c>
      <c r="P50" s="39">
        <f>資料儲存!I1598</f>
        <v>0</v>
      </c>
      <c r="Q50" s="39">
        <f>資料儲存!J1598</f>
        <v>0</v>
      </c>
      <c r="R50" s="35"/>
      <c r="S50" s="38">
        <v>37</v>
      </c>
      <c r="T50" s="39">
        <f>資料儲存!D1718</f>
        <v>0</v>
      </c>
      <c r="U50" s="39">
        <f>資料儲存!E1718</f>
        <v>0</v>
      </c>
      <c r="V50" s="39">
        <f>資料儲存!F1718</f>
        <v>0</v>
      </c>
      <c r="W50" s="39">
        <f>資料儲存!G1718</f>
        <v>0</v>
      </c>
      <c r="X50" s="39">
        <f>資料儲存!H1718</f>
        <v>0</v>
      </c>
      <c r="Y50" s="39">
        <f>資料儲存!I1718</f>
        <v>0</v>
      </c>
      <c r="Z50" s="39">
        <f>資料儲存!J1718</f>
        <v>0</v>
      </c>
      <c r="AA50" s="35"/>
      <c r="AB50" s="38">
        <v>37</v>
      </c>
      <c r="AC50" s="39">
        <f>資料儲存!D1838</f>
        <v>0</v>
      </c>
      <c r="AD50" s="39">
        <f>資料儲存!E1838</f>
        <v>0</v>
      </c>
      <c r="AE50" s="39">
        <f>資料儲存!F1838</f>
        <v>0</v>
      </c>
      <c r="AF50" s="39">
        <f>資料儲存!G1838</f>
        <v>0</v>
      </c>
      <c r="AG50" s="39">
        <f>資料儲存!H1838</f>
        <v>0</v>
      </c>
      <c r="AH50" s="39">
        <f>資料儲存!I1838</f>
        <v>0</v>
      </c>
      <c r="AI50" s="39">
        <f>資料儲存!J1838</f>
        <v>0</v>
      </c>
      <c r="AJ50" s="13"/>
    </row>
    <row r="51" spans="1:36" ht="16" thickBot="1">
      <c r="A51" s="38">
        <v>38</v>
      </c>
      <c r="B51" s="39">
        <f>資料儲存!D1479</f>
        <v>0</v>
      </c>
      <c r="C51" s="39">
        <f>資料儲存!E1479</f>
        <v>0</v>
      </c>
      <c r="D51" s="39">
        <f>資料儲存!F1479</f>
        <v>0</v>
      </c>
      <c r="E51" s="39">
        <f>資料儲存!G1479</f>
        <v>0</v>
      </c>
      <c r="F51" s="39">
        <f>資料儲存!H1479</f>
        <v>0</v>
      </c>
      <c r="G51" s="39">
        <f>資料儲存!I1479</f>
        <v>0</v>
      </c>
      <c r="H51" s="39">
        <f>資料儲存!J1479</f>
        <v>0</v>
      </c>
      <c r="I51" s="35"/>
      <c r="J51" s="38">
        <v>38</v>
      </c>
      <c r="K51" s="39">
        <f>資料儲存!D1599</f>
        <v>0</v>
      </c>
      <c r="L51" s="39">
        <f>資料儲存!E1599</f>
        <v>0</v>
      </c>
      <c r="M51" s="39">
        <f>資料儲存!F1599</f>
        <v>0</v>
      </c>
      <c r="N51" s="39">
        <f>資料儲存!G1599</f>
        <v>0</v>
      </c>
      <c r="O51" s="39">
        <f>資料儲存!H1599</f>
        <v>0</v>
      </c>
      <c r="P51" s="39">
        <f>資料儲存!I1599</f>
        <v>0</v>
      </c>
      <c r="Q51" s="39">
        <f>資料儲存!J1599</f>
        <v>0</v>
      </c>
      <c r="R51" s="35"/>
      <c r="S51" s="38">
        <v>38</v>
      </c>
      <c r="T51" s="39">
        <f>資料儲存!D1719</f>
        <v>0</v>
      </c>
      <c r="U51" s="39">
        <f>資料儲存!E1719</f>
        <v>0</v>
      </c>
      <c r="V51" s="39">
        <f>資料儲存!F1719</f>
        <v>0</v>
      </c>
      <c r="W51" s="39">
        <f>資料儲存!G1719</f>
        <v>0</v>
      </c>
      <c r="X51" s="39">
        <f>資料儲存!H1719</f>
        <v>0</v>
      </c>
      <c r="Y51" s="39">
        <f>資料儲存!I1719</f>
        <v>0</v>
      </c>
      <c r="Z51" s="39">
        <f>資料儲存!J1719</f>
        <v>0</v>
      </c>
      <c r="AA51" s="35"/>
      <c r="AB51" s="38">
        <v>38</v>
      </c>
      <c r="AC51" s="39">
        <f>資料儲存!D1839</f>
        <v>0</v>
      </c>
      <c r="AD51" s="39">
        <f>資料儲存!E1839</f>
        <v>0</v>
      </c>
      <c r="AE51" s="39">
        <f>資料儲存!F1839</f>
        <v>0</v>
      </c>
      <c r="AF51" s="39">
        <f>資料儲存!G1839</f>
        <v>0</v>
      </c>
      <c r="AG51" s="39">
        <f>資料儲存!H1839</f>
        <v>0</v>
      </c>
      <c r="AH51" s="39">
        <f>資料儲存!I1839</f>
        <v>0</v>
      </c>
      <c r="AI51" s="39">
        <f>資料儲存!J1839</f>
        <v>0</v>
      </c>
      <c r="AJ51" s="13"/>
    </row>
    <row r="52" spans="1:36" ht="16" thickBot="1">
      <c r="A52" s="38">
        <v>39</v>
      </c>
      <c r="B52" s="39">
        <f>資料儲存!D1480</f>
        <v>0</v>
      </c>
      <c r="C52" s="39">
        <f>資料儲存!E1480</f>
        <v>0</v>
      </c>
      <c r="D52" s="39">
        <f>資料儲存!F1480</f>
        <v>0</v>
      </c>
      <c r="E52" s="39">
        <f>資料儲存!G1480</f>
        <v>0</v>
      </c>
      <c r="F52" s="39">
        <f>資料儲存!H1480</f>
        <v>0</v>
      </c>
      <c r="G52" s="39">
        <f>資料儲存!I1480</f>
        <v>0</v>
      </c>
      <c r="H52" s="39">
        <f>資料儲存!J1480</f>
        <v>0</v>
      </c>
      <c r="I52" s="35"/>
      <c r="J52" s="38">
        <v>39</v>
      </c>
      <c r="K52" s="39">
        <f>資料儲存!D1600</f>
        <v>0</v>
      </c>
      <c r="L52" s="39">
        <f>資料儲存!E1600</f>
        <v>0</v>
      </c>
      <c r="M52" s="39">
        <f>資料儲存!F1600</f>
        <v>0</v>
      </c>
      <c r="N52" s="39">
        <f>資料儲存!G1600</f>
        <v>0</v>
      </c>
      <c r="O52" s="39">
        <f>資料儲存!H1600</f>
        <v>0</v>
      </c>
      <c r="P52" s="39">
        <f>資料儲存!I1600</f>
        <v>0</v>
      </c>
      <c r="Q52" s="39">
        <f>資料儲存!J1600</f>
        <v>0</v>
      </c>
      <c r="R52" s="35"/>
      <c r="S52" s="38">
        <v>39</v>
      </c>
      <c r="T52" s="39">
        <f>資料儲存!D1720</f>
        <v>0</v>
      </c>
      <c r="U52" s="39">
        <f>資料儲存!E1720</f>
        <v>0</v>
      </c>
      <c r="V52" s="39">
        <f>資料儲存!F1720</f>
        <v>0</v>
      </c>
      <c r="W52" s="39">
        <f>資料儲存!G1720</f>
        <v>0</v>
      </c>
      <c r="X52" s="39">
        <f>資料儲存!H1720</f>
        <v>0</v>
      </c>
      <c r="Y52" s="39">
        <f>資料儲存!I1720</f>
        <v>0</v>
      </c>
      <c r="Z52" s="39">
        <f>資料儲存!J1720</f>
        <v>0</v>
      </c>
      <c r="AA52" s="35"/>
      <c r="AB52" s="38">
        <v>39</v>
      </c>
      <c r="AC52" s="39">
        <f>資料儲存!D1840</f>
        <v>0</v>
      </c>
      <c r="AD52" s="39">
        <f>資料儲存!E1840</f>
        <v>0</v>
      </c>
      <c r="AE52" s="39">
        <f>資料儲存!F1840</f>
        <v>0</v>
      </c>
      <c r="AF52" s="39">
        <f>資料儲存!G1840</f>
        <v>0</v>
      </c>
      <c r="AG52" s="39">
        <f>資料儲存!H1840</f>
        <v>0</v>
      </c>
      <c r="AH52" s="39">
        <f>資料儲存!I1840</f>
        <v>0</v>
      </c>
      <c r="AI52" s="39">
        <f>資料儲存!J1840</f>
        <v>0</v>
      </c>
      <c r="AJ52" s="13"/>
    </row>
    <row r="53" spans="1:36" ht="16" thickBot="1">
      <c r="A53" s="38">
        <v>40</v>
      </c>
      <c r="B53" s="39">
        <f>資料儲存!D1481</f>
        <v>0</v>
      </c>
      <c r="C53" s="39">
        <f>資料儲存!E1481</f>
        <v>0</v>
      </c>
      <c r="D53" s="39">
        <f>資料儲存!F1481</f>
        <v>0</v>
      </c>
      <c r="E53" s="39">
        <f>資料儲存!G1481</f>
        <v>0</v>
      </c>
      <c r="F53" s="39">
        <f>資料儲存!H1481</f>
        <v>0</v>
      </c>
      <c r="G53" s="39">
        <f>資料儲存!I1481</f>
        <v>0</v>
      </c>
      <c r="H53" s="39">
        <f>資料儲存!J1481</f>
        <v>0</v>
      </c>
      <c r="I53" s="35"/>
      <c r="J53" s="38">
        <v>40</v>
      </c>
      <c r="K53" s="39">
        <f>資料儲存!D1601</f>
        <v>0</v>
      </c>
      <c r="L53" s="39">
        <f>資料儲存!E1601</f>
        <v>0</v>
      </c>
      <c r="M53" s="39">
        <f>資料儲存!F1601</f>
        <v>0</v>
      </c>
      <c r="N53" s="39">
        <f>資料儲存!G1601</f>
        <v>0</v>
      </c>
      <c r="O53" s="39">
        <f>資料儲存!H1601</f>
        <v>0</v>
      </c>
      <c r="P53" s="39">
        <f>資料儲存!I1601</f>
        <v>0</v>
      </c>
      <c r="Q53" s="39">
        <f>資料儲存!J1601</f>
        <v>0</v>
      </c>
      <c r="R53" s="35"/>
      <c r="S53" s="38">
        <v>40</v>
      </c>
      <c r="T53" s="39">
        <f>資料儲存!D1721</f>
        <v>0</v>
      </c>
      <c r="U53" s="39">
        <f>資料儲存!E1721</f>
        <v>0</v>
      </c>
      <c r="V53" s="39">
        <f>資料儲存!F1721</f>
        <v>0</v>
      </c>
      <c r="W53" s="39">
        <f>資料儲存!G1721</f>
        <v>0</v>
      </c>
      <c r="X53" s="39">
        <f>資料儲存!H1721</f>
        <v>0</v>
      </c>
      <c r="Y53" s="39">
        <f>資料儲存!I1721</f>
        <v>0</v>
      </c>
      <c r="Z53" s="39">
        <f>資料儲存!J1721</f>
        <v>0</v>
      </c>
      <c r="AA53" s="35"/>
      <c r="AB53" s="38">
        <v>40</v>
      </c>
      <c r="AC53" s="39">
        <f>資料儲存!D1841</f>
        <v>0</v>
      </c>
      <c r="AD53" s="39">
        <f>資料儲存!E1841</f>
        <v>0</v>
      </c>
      <c r="AE53" s="39">
        <f>資料儲存!F1841</f>
        <v>0</v>
      </c>
      <c r="AF53" s="39">
        <f>資料儲存!G1841</f>
        <v>0</v>
      </c>
      <c r="AG53" s="39">
        <f>資料儲存!H1841</f>
        <v>0</v>
      </c>
      <c r="AH53" s="39">
        <f>資料儲存!I1841</f>
        <v>0</v>
      </c>
      <c r="AI53" s="39">
        <f>資料儲存!J1841</f>
        <v>0</v>
      </c>
      <c r="AJ53" s="13"/>
    </row>
    <row r="54" spans="1:36" ht="16" thickBot="1">
      <c r="A54" s="38">
        <v>41</v>
      </c>
      <c r="B54" s="39">
        <f>資料儲存!D1482</f>
        <v>0</v>
      </c>
      <c r="C54" s="39">
        <f>資料儲存!E1482</f>
        <v>0</v>
      </c>
      <c r="D54" s="39">
        <f>資料儲存!F1482</f>
        <v>0</v>
      </c>
      <c r="E54" s="39">
        <f>資料儲存!G1482</f>
        <v>0</v>
      </c>
      <c r="F54" s="39">
        <f>資料儲存!H1482</f>
        <v>0</v>
      </c>
      <c r="G54" s="39">
        <f>資料儲存!I1482</f>
        <v>0</v>
      </c>
      <c r="H54" s="39">
        <f>資料儲存!J1482</f>
        <v>0</v>
      </c>
      <c r="I54" s="35"/>
      <c r="J54" s="38">
        <v>41</v>
      </c>
      <c r="K54" s="39">
        <f>資料儲存!D1602</f>
        <v>0</v>
      </c>
      <c r="L54" s="39">
        <f>資料儲存!E1602</f>
        <v>0</v>
      </c>
      <c r="M54" s="39">
        <f>資料儲存!F1602</f>
        <v>0</v>
      </c>
      <c r="N54" s="39">
        <f>資料儲存!G1602</f>
        <v>0</v>
      </c>
      <c r="O54" s="39">
        <f>資料儲存!H1602</f>
        <v>0</v>
      </c>
      <c r="P54" s="39">
        <f>資料儲存!I1602</f>
        <v>0</v>
      </c>
      <c r="Q54" s="39">
        <f>資料儲存!J1602</f>
        <v>0</v>
      </c>
      <c r="R54" s="35"/>
      <c r="S54" s="38">
        <v>41</v>
      </c>
      <c r="T54" s="39">
        <f>資料儲存!D1722</f>
        <v>0</v>
      </c>
      <c r="U54" s="39">
        <f>資料儲存!E1722</f>
        <v>0</v>
      </c>
      <c r="V54" s="39">
        <f>資料儲存!F1722</f>
        <v>0</v>
      </c>
      <c r="W54" s="39">
        <f>資料儲存!G1722</f>
        <v>0</v>
      </c>
      <c r="X54" s="39">
        <f>資料儲存!H1722</f>
        <v>0</v>
      </c>
      <c r="Y54" s="39">
        <f>資料儲存!I1722</f>
        <v>0</v>
      </c>
      <c r="Z54" s="39">
        <f>資料儲存!J1722</f>
        <v>0</v>
      </c>
      <c r="AA54" s="35"/>
      <c r="AB54" s="38">
        <v>41</v>
      </c>
      <c r="AC54" s="39">
        <f>資料儲存!D1842</f>
        <v>0</v>
      </c>
      <c r="AD54" s="39">
        <f>資料儲存!E1842</f>
        <v>0</v>
      </c>
      <c r="AE54" s="39">
        <f>資料儲存!F1842</f>
        <v>0</v>
      </c>
      <c r="AF54" s="39">
        <f>資料儲存!G1842</f>
        <v>0</v>
      </c>
      <c r="AG54" s="39">
        <f>資料儲存!H1842</f>
        <v>0</v>
      </c>
      <c r="AH54" s="39">
        <f>資料儲存!I1842</f>
        <v>0</v>
      </c>
      <c r="AI54" s="39">
        <f>資料儲存!J1842</f>
        <v>0</v>
      </c>
      <c r="AJ54" s="13"/>
    </row>
    <row r="55" spans="1:36" ht="16" thickBot="1">
      <c r="A55" s="38">
        <v>42</v>
      </c>
      <c r="B55" s="39">
        <f>資料儲存!D1483</f>
        <v>0</v>
      </c>
      <c r="C55" s="39">
        <f>資料儲存!E1483</f>
        <v>0</v>
      </c>
      <c r="D55" s="39">
        <f>資料儲存!F1483</f>
        <v>0</v>
      </c>
      <c r="E55" s="39">
        <f>資料儲存!G1483</f>
        <v>0</v>
      </c>
      <c r="F55" s="39">
        <f>資料儲存!H1483</f>
        <v>0</v>
      </c>
      <c r="G55" s="39">
        <f>資料儲存!I1483</f>
        <v>0</v>
      </c>
      <c r="H55" s="39">
        <f>資料儲存!J1483</f>
        <v>0</v>
      </c>
      <c r="I55" s="35"/>
      <c r="J55" s="38">
        <v>42</v>
      </c>
      <c r="K55" s="39">
        <f>資料儲存!D1603</f>
        <v>0</v>
      </c>
      <c r="L55" s="39">
        <f>資料儲存!E1603</f>
        <v>0</v>
      </c>
      <c r="M55" s="39">
        <f>資料儲存!F1603</f>
        <v>0</v>
      </c>
      <c r="N55" s="39">
        <f>資料儲存!G1603</f>
        <v>0</v>
      </c>
      <c r="O55" s="39">
        <f>資料儲存!H1603</f>
        <v>0</v>
      </c>
      <c r="P55" s="39">
        <f>資料儲存!I1603</f>
        <v>0</v>
      </c>
      <c r="Q55" s="39">
        <f>資料儲存!J1603</f>
        <v>0</v>
      </c>
      <c r="R55" s="35"/>
      <c r="S55" s="38">
        <v>42</v>
      </c>
      <c r="T55" s="39">
        <f>資料儲存!D1723</f>
        <v>0</v>
      </c>
      <c r="U55" s="39">
        <f>資料儲存!E1723</f>
        <v>0</v>
      </c>
      <c r="V55" s="39">
        <f>資料儲存!F1723</f>
        <v>0</v>
      </c>
      <c r="W55" s="39">
        <f>資料儲存!G1723</f>
        <v>0</v>
      </c>
      <c r="X55" s="39">
        <f>資料儲存!H1723</f>
        <v>0</v>
      </c>
      <c r="Y55" s="39">
        <f>資料儲存!I1723</f>
        <v>0</v>
      </c>
      <c r="Z55" s="39">
        <f>資料儲存!J1723</f>
        <v>0</v>
      </c>
      <c r="AA55" s="35"/>
      <c r="AB55" s="38">
        <v>42</v>
      </c>
      <c r="AC55" s="39">
        <f>資料儲存!D1843</f>
        <v>0</v>
      </c>
      <c r="AD55" s="39">
        <f>資料儲存!E1843</f>
        <v>0</v>
      </c>
      <c r="AE55" s="39">
        <f>資料儲存!F1843</f>
        <v>0</v>
      </c>
      <c r="AF55" s="39">
        <f>資料儲存!G1843</f>
        <v>0</v>
      </c>
      <c r="AG55" s="39">
        <f>資料儲存!H1843</f>
        <v>0</v>
      </c>
      <c r="AH55" s="39">
        <f>資料儲存!I1843</f>
        <v>0</v>
      </c>
      <c r="AI55" s="39">
        <f>資料儲存!J1843</f>
        <v>0</v>
      </c>
      <c r="AJ55" s="13"/>
    </row>
    <row r="56" spans="1:36" ht="16" thickBot="1">
      <c r="A56" s="38">
        <v>43</v>
      </c>
      <c r="B56" s="39">
        <f>資料儲存!D1484</f>
        <v>0</v>
      </c>
      <c r="C56" s="39">
        <f>資料儲存!E1484</f>
        <v>0</v>
      </c>
      <c r="D56" s="39">
        <f>資料儲存!F1484</f>
        <v>0</v>
      </c>
      <c r="E56" s="39">
        <f>資料儲存!G1484</f>
        <v>0</v>
      </c>
      <c r="F56" s="39">
        <f>資料儲存!H1484</f>
        <v>0</v>
      </c>
      <c r="G56" s="39">
        <f>資料儲存!I1484</f>
        <v>0</v>
      </c>
      <c r="H56" s="39">
        <f>資料儲存!J1484</f>
        <v>0</v>
      </c>
      <c r="I56" s="35"/>
      <c r="J56" s="38">
        <v>43</v>
      </c>
      <c r="K56" s="39">
        <f>資料儲存!D1604</f>
        <v>0</v>
      </c>
      <c r="L56" s="39">
        <f>資料儲存!E1604</f>
        <v>0</v>
      </c>
      <c r="M56" s="39">
        <f>資料儲存!F1604</f>
        <v>0</v>
      </c>
      <c r="N56" s="39">
        <f>資料儲存!G1604</f>
        <v>0</v>
      </c>
      <c r="O56" s="39">
        <f>資料儲存!H1604</f>
        <v>0</v>
      </c>
      <c r="P56" s="39">
        <f>資料儲存!I1604</f>
        <v>0</v>
      </c>
      <c r="Q56" s="39">
        <f>資料儲存!J1604</f>
        <v>0</v>
      </c>
      <c r="R56" s="35"/>
      <c r="S56" s="38">
        <v>43</v>
      </c>
      <c r="T56" s="39">
        <f>資料儲存!D1724</f>
        <v>0</v>
      </c>
      <c r="U56" s="39">
        <f>資料儲存!E1724</f>
        <v>0</v>
      </c>
      <c r="V56" s="39">
        <f>資料儲存!F1724</f>
        <v>0</v>
      </c>
      <c r="W56" s="39">
        <f>資料儲存!G1724</f>
        <v>0</v>
      </c>
      <c r="X56" s="39">
        <f>資料儲存!H1724</f>
        <v>0</v>
      </c>
      <c r="Y56" s="39">
        <f>資料儲存!I1724</f>
        <v>0</v>
      </c>
      <c r="Z56" s="39">
        <f>資料儲存!J1724</f>
        <v>0</v>
      </c>
      <c r="AA56" s="35"/>
      <c r="AB56" s="38">
        <v>43</v>
      </c>
      <c r="AC56" s="39">
        <f>資料儲存!D1844</f>
        <v>0</v>
      </c>
      <c r="AD56" s="39">
        <f>資料儲存!E1844</f>
        <v>0</v>
      </c>
      <c r="AE56" s="39">
        <f>資料儲存!F1844</f>
        <v>0</v>
      </c>
      <c r="AF56" s="39">
        <f>資料儲存!G1844</f>
        <v>0</v>
      </c>
      <c r="AG56" s="39">
        <f>資料儲存!H1844</f>
        <v>0</v>
      </c>
      <c r="AH56" s="39">
        <f>資料儲存!I1844</f>
        <v>0</v>
      </c>
      <c r="AI56" s="39">
        <f>資料儲存!J1844</f>
        <v>0</v>
      </c>
      <c r="AJ56" s="13"/>
    </row>
    <row r="57" spans="1:36" ht="16" thickBot="1">
      <c r="A57" s="38">
        <v>44</v>
      </c>
      <c r="B57" s="39">
        <f>資料儲存!D1485</f>
        <v>0</v>
      </c>
      <c r="C57" s="39">
        <f>資料儲存!E1485</f>
        <v>0</v>
      </c>
      <c r="D57" s="39">
        <f>資料儲存!F1485</f>
        <v>0</v>
      </c>
      <c r="E57" s="39">
        <f>資料儲存!G1485</f>
        <v>0</v>
      </c>
      <c r="F57" s="39">
        <f>資料儲存!H1485</f>
        <v>0</v>
      </c>
      <c r="G57" s="39">
        <f>資料儲存!I1485</f>
        <v>0</v>
      </c>
      <c r="H57" s="39">
        <f>資料儲存!J1485</f>
        <v>0</v>
      </c>
      <c r="I57" s="35"/>
      <c r="J57" s="38">
        <v>44</v>
      </c>
      <c r="K57" s="39">
        <f>資料儲存!D1605</f>
        <v>0</v>
      </c>
      <c r="L57" s="39">
        <f>資料儲存!E1605</f>
        <v>0</v>
      </c>
      <c r="M57" s="39">
        <f>資料儲存!F1605</f>
        <v>0</v>
      </c>
      <c r="N57" s="39">
        <f>資料儲存!G1605</f>
        <v>0</v>
      </c>
      <c r="O57" s="39">
        <f>資料儲存!H1605</f>
        <v>0</v>
      </c>
      <c r="P57" s="39">
        <f>資料儲存!I1605</f>
        <v>0</v>
      </c>
      <c r="Q57" s="39">
        <f>資料儲存!J1605</f>
        <v>0</v>
      </c>
      <c r="R57" s="35"/>
      <c r="S57" s="38">
        <v>44</v>
      </c>
      <c r="T57" s="39">
        <f>資料儲存!D1725</f>
        <v>0</v>
      </c>
      <c r="U57" s="39">
        <f>資料儲存!E1725</f>
        <v>0</v>
      </c>
      <c r="V57" s="39">
        <f>資料儲存!F1725</f>
        <v>0</v>
      </c>
      <c r="W57" s="39">
        <f>資料儲存!G1725</f>
        <v>0</v>
      </c>
      <c r="X57" s="39">
        <f>資料儲存!H1725</f>
        <v>0</v>
      </c>
      <c r="Y57" s="39">
        <f>資料儲存!I1725</f>
        <v>0</v>
      </c>
      <c r="Z57" s="39">
        <f>資料儲存!J1725</f>
        <v>0</v>
      </c>
      <c r="AA57" s="35"/>
      <c r="AB57" s="38">
        <v>44</v>
      </c>
      <c r="AC57" s="39">
        <f>資料儲存!D1845</f>
        <v>0</v>
      </c>
      <c r="AD57" s="39">
        <f>資料儲存!E1845</f>
        <v>0</v>
      </c>
      <c r="AE57" s="39">
        <f>資料儲存!F1845</f>
        <v>0</v>
      </c>
      <c r="AF57" s="39">
        <f>資料儲存!G1845</f>
        <v>0</v>
      </c>
      <c r="AG57" s="39">
        <f>資料儲存!H1845</f>
        <v>0</v>
      </c>
      <c r="AH57" s="39">
        <f>資料儲存!I1845</f>
        <v>0</v>
      </c>
      <c r="AI57" s="39">
        <f>資料儲存!J1845</f>
        <v>0</v>
      </c>
      <c r="AJ57" s="13"/>
    </row>
    <row r="58" spans="1:36" ht="16" thickBot="1">
      <c r="A58" s="38">
        <v>45</v>
      </c>
      <c r="B58" s="39">
        <f>資料儲存!D1486</f>
        <v>0</v>
      </c>
      <c r="C58" s="39">
        <f>資料儲存!E1486</f>
        <v>0</v>
      </c>
      <c r="D58" s="39">
        <f>資料儲存!F1486</f>
        <v>0</v>
      </c>
      <c r="E58" s="39">
        <f>資料儲存!G1486</f>
        <v>0</v>
      </c>
      <c r="F58" s="39">
        <f>資料儲存!H1486</f>
        <v>0</v>
      </c>
      <c r="G58" s="39">
        <f>資料儲存!I1486</f>
        <v>0</v>
      </c>
      <c r="H58" s="39">
        <f>資料儲存!J1486</f>
        <v>0</v>
      </c>
      <c r="I58" s="35"/>
      <c r="J58" s="38">
        <v>45</v>
      </c>
      <c r="K58" s="39">
        <f>資料儲存!D1606</f>
        <v>0</v>
      </c>
      <c r="L58" s="39">
        <f>資料儲存!E1606</f>
        <v>0</v>
      </c>
      <c r="M58" s="39">
        <f>資料儲存!F1606</f>
        <v>0</v>
      </c>
      <c r="N58" s="39">
        <f>資料儲存!G1606</f>
        <v>0</v>
      </c>
      <c r="O58" s="39">
        <f>資料儲存!H1606</f>
        <v>0</v>
      </c>
      <c r="P58" s="39">
        <f>資料儲存!I1606</f>
        <v>0</v>
      </c>
      <c r="Q58" s="39">
        <f>資料儲存!J1606</f>
        <v>0</v>
      </c>
      <c r="R58" s="35"/>
      <c r="S58" s="38">
        <v>45</v>
      </c>
      <c r="T58" s="39">
        <f>資料儲存!D1726</f>
        <v>0</v>
      </c>
      <c r="U58" s="39">
        <f>資料儲存!E1726</f>
        <v>0</v>
      </c>
      <c r="V58" s="39">
        <f>資料儲存!F1726</f>
        <v>0</v>
      </c>
      <c r="W58" s="39">
        <f>資料儲存!G1726</f>
        <v>0</v>
      </c>
      <c r="X58" s="39">
        <f>資料儲存!H1726</f>
        <v>0</v>
      </c>
      <c r="Y58" s="39">
        <f>資料儲存!I1726</f>
        <v>0</v>
      </c>
      <c r="Z58" s="39">
        <f>資料儲存!J1726</f>
        <v>0</v>
      </c>
      <c r="AA58" s="35"/>
      <c r="AB58" s="38">
        <v>45</v>
      </c>
      <c r="AC58" s="39">
        <f>資料儲存!D1846</f>
        <v>0</v>
      </c>
      <c r="AD58" s="39">
        <f>資料儲存!E1846</f>
        <v>0</v>
      </c>
      <c r="AE58" s="39">
        <f>資料儲存!F1846</f>
        <v>0</v>
      </c>
      <c r="AF58" s="39">
        <f>資料儲存!G1846</f>
        <v>0</v>
      </c>
      <c r="AG58" s="39">
        <f>資料儲存!H1846</f>
        <v>0</v>
      </c>
      <c r="AH58" s="39">
        <f>資料儲存!I1846</f>
        <v>0</v>
      </c>
      <c r="AI58" s="39">
        <f>資料儲存!J1846</f>
        <v>0</v>
      </c>
      <c r="AJ58" s="13"/>
    </row>
    <row r="59" spans="1:36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13"/>
    </row>
    <row r="60" spans="1:36" ht="18.5" thickBot="1">
      <c r="A60" s="250" t="s">
        <v>98</v>
      </c>
      <c r="B60" s="251"/>
      <c r="C60" s="251"/>
      <c r="D60" s="251"/>
      <c r="E60" s="251"/>
      <c r="F60" s="251"/>
      <c r="G60" s="251"/>
      <c r="H60" s="252"/>
      <c r="I60" s="13"/>
      <c r="J60" s="250" t="s">
        <v>98</v>
      </c>
      <c r="K60" s="251"/>
      <c r="L60" s="251"/>
      <c r="M60" s="251"/>
      <c r="N60" s="251"/>
      <c r="O60" s="251"/>
      <c r="P60" s="251"/>
      <c r="Q60" s="252"/>
      <c r="R60" s="13"/>
      <c r="S60" s="250" t="s">
        <v>98</v>
      </c>
      <c r="T60" s="251"/>
      <c r="U60" s="251"/>
      <c r="V60" s="251"/>
      <c r="W60" s="251"/>
      <c r="X60" s="251"/>
      <c r="Y60" s="251"/>
      <c r="Z60" s="252"/>
      <c r="AA60" s="13"/>
      <c r="AB60" s="250" t="s">
        <v>98</v>
      </c>
      <c r="AC60" s="251"/>
      <c r="AD60" s="251"/>
      <c r="AE60" s="251"/>
      <c r="AF60" s="251"/>
      <c r="AG60" s="251"/>
      <c r="AH60" s="251"/>
      <c r="AI60" s="252"/>
      <c r="AJ60" s="13"/>
    </row>
    <row r="61" spans="1:36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</row>
    <row r="62" spans="1:36" ht="16" thickBot="1">
      <c r="A62" s="46">
        <v>0.53125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>
        <v>0.53125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>
        <v>0.53125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>
        <v>0.53125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</row>
    <row r="63" spans="1:36" ht="16" thickBot="1">
      <c r="A63" s="48">
        <v>46</v>
      </c>
      <c r="B63" s="49">
        <f>資料儲存!D1487</f>
        <v>0</v>
      </c>
      <c r="C63" s="49">
        <f>資料儲存!E1487</f>
        <v>0</v>
      </c>
      <c r="D63" s="49">
        <f>資料儲存!F1487</f>
        <v>0</v>
      </c>
      <c r="E63" s="49">
        <f>資料儲存!G1487</f>
        <v>0</v>
      </c>
      <c r="F63" s="49">
        <f>資料儲存!H1487</f>
        <v>0</v>
      </c>
      <c r="G63" s="49">
        <f>資料儲存!I1487</f>
        <v>0</v>
      </c>
      <c r="H63" s="49">
        <f>資料儲存!J1487</f>
        <v>0</v>
      </c>
      <c r="I63" s="45"/>
      <c r="J63" s="48">
        <v>46</v>
      </c>
      <c r="K63" s="49">
        <f>資料儲存!D1607</f>
        <v>0</v>
      </c>
      <c r="L63" s="49">
        <f>資料儲存!E1607</f>
        <v>0</v>
      </c>
      <c r="M63" s="49">
        <f>資料儲存!F1607</f>
        <v>0</v>
      </c>
      <c r="N63" s="49">
        <f>資料儲存!G1607</f>
        <v>0</v>
      </c>
      <c r="O63" s="49">
        <f>資料儲存!H1607</f>
        <v>0</v>
      </c>
      <c r="P63" s="49">
        <f>資料儲存!I1607</f>
        <v>0</v>
      </c>
      <c r="Q63" s="49">
        <f>資料儲存!J1607</f>
        <v>0</v>
      </c>
      <c r="R63" s="45"/>
      <c r="S63" s="48">
        <v>46</v>
      </c>
      <c r="T63" s="49">
        <f>資料儲存!D1727</f>
        <v>0</v>
      </c>
      <c r="U63" s="49">
        <f>資料儲存!E1727</f>
        <v>0</v>
      </c>
      <c r="V63" s="49">
        <f>資料儲存!F1727</f>
        <v>0</v>
      </c>
      <c r="W63" s="49">
        <f>資料儲存!G1727</f>
        <v>0</v>
      </c>
      <c r="X63" s="49">
        <f>資料儲存!H1727</f>
        <v>0</v>
      </c>
      <c r="Y63" s="49">
        <f>資料儲存!I1727</f>
        <v>0</v>
      </c>
      <c r="Z63" s="49">
        <f>資料儲存!J1727</f>
        <v>0</v>
      </c>
      <c r="AA63" s="45"/>
      <c r="AB63" s="48">
        <v>46</v>
      </c>
      <c r="AC63" s="49">
        <f>資料儲存!D1847</f>
        <v>0</v>
      </c>
      <c r="AD63" s="49">
        <f>資料儲存!E1847</f>
        <v>0</v>
      </c>
      <c r="AE63" s="49">
        <f>資料儲存!F1847</f>
        <v>0</v>
      </c>
      <c r="AF63" s="49">
        <f>資料儲存!G1847</f>
        <v>0</v>
      </c>
      <c r="AG63" s="49">
        <f>資料儲存!H1847</f>
        <v>0</v>
      </c>
      <c r="AH63" s="49">
        <f>資料儲存!I1847</f>
        <v>0</v>
      </c>
      <c r="AI63" s="49">
        <f>資料儲存!J1847</f>
        <v>0</v>
      </c>
      <c r="AJ63" s="13"/>
    </row>
    <row r="64" spans="1:36" ht="16" thickBot="1">
      <c r="A64" s="48">
        <v>47</v>
      </c>
      <c r="B64" s="49">
        <f>資料儲存!D1488</f>
        <v>0</v>
      </c>
      <c r="C64" s="49">
        <f>資料儲存!E1488</f>
        <v>0</v>
      </c>
      <c r="D64" s="49">
        <f>資料儲存!F1488</f>
        <v>0</v>
      </c>
      <c r="E64" s="49">
        <f>資料儲存!G1488</f>
        <v>0</v>
      </c>
      <c r="F64" s="49">
        <f>資料儲存!H1488</f>
        <v>0</v>
      </c>
      <c r="G64" s="49">
        <f>資料儲存!I1488</f>
        <v>0</v>
      </c>
      <c r="H64" s="49">
        <f>資料儲存!J1488</f>
        <v>0</v>
      </c>
      <c r="I64" s="45"/>
      <c r="J64" s="48">
        <v>47</v>
      </c>
      <c r="K64" s="49">
        <f>資料儲存!D1608</f>
        <v>0</v>
      </c>
      <c r="L64" s="49">
        <f>資料儲存!E1608</f>
        <v>0</v>
      </c>
      <c r="M64" s="49">
        <f>資料儲存!F1608</f>
        <v>0</v>
      </c>
      <c r="N64" s="49">
        <f>資料儲存!G1608</f>
        <v>0</v>
      </c>
      <c r="O64" s="49">
        <f>資料儲存!H1608</f>
        <v>0</v>
      </c>
      <c r="P64" s="49">
        <f>資料儲存!I1608</f>
        <v>0</v>
      </c>
      <c r="Q64" s="49">
        <f>資料儲存!J1608</f>
        <v>0</v>
      </c>
      <c r="R64" s="45"/>
      <c r="S64" s="48">
        <v>47</v>
      </c>
      <c r="T64" s="49">
        <f>資料儲存!D1728</f>
        <v>0</v>
      </c>
      <c r="U64" s="49">
        <f>資料儲存!E1728</f>
        <v>0</v>
      </c>
      <c r="V64" s="49">
        <f>資料儲存!F1728</f>
        <v>0</v>
      </c>
      <c r="W64" s="49">
        <f>資料儲存!G1728</f>
        <v>0</v>
      </c>
      <c r="X64" s="49">
        <f>資料儲存!H1728</f>
        <v>0</v>
      </c>
      <c r="Y64" s="49">
        <f>資料儲存!I1728</f>
        <v>0</v>
      </c>
      <c r="Z64" s="49">
        <f>資料儲存!J1728</f>
        <v>0</v>
      </c>
      <c r="AA64" s="45"/>
      <c r="AB64" s="48">
        <v>47</v>
      </c>
      <c r="AC64" s="49">
        <f>資料儲存!D1848</f>
        <v>0</v>
      </c>
      <c r="AD64" s="49">
        <f>資料儲存!E1848</f>
        <v>0</v>
      </c>
      <c r="AE64" s="49">
        <f>資料儲存!F1848</f>
        <v>0</v>
      </c>
      <c r="AF64" s="49">
        <f>資料儲存!G1848</f>
        <v>0</v>
      </c>
      <c r="AG64" s="49">
        <f>資料儲存!H1848</f>
        <v>0</v>
      </c>
      <c r="AH64" s="49">
        <f>資料儲存!I1848</f>
        <v>0</v>
      </c>
      <c r="AI64" s="49">
        <f>資料儲存!J1848</f>
        <v>0</v>
      </c>
      <c r="AJ64" s="13"/>
    </row>
    <row r="65" spans="1:36" ht="16" thickBot="1">
      <c r="A65" s="48">
        <v>48</v>
      </c>
      <c r="B65" s="49">
        <f>資料儲存!D1489</f>
        <v>0</v>
      </c>
      <c r="C65" s="49">
        <f>資料儲存!E1489</f>
        <v>0</v>
      </c>
      <c r="D65" s="49">
        <f>資料儲存!F1489</f>
        <v>0</v>
      </c>
      <c r="E65" s="49">
        <f>資料儲存!G1489</f>
        <v>0</v>
      </c>
      <c r="F65" s="49">
        <f>資料儲存!H1489</f>
        <v>0</v>
      </c>
      <c r="G65" s="49">
        <f>資料儲存!I1489</f>
        <v>0</v>
      </c>
      <c r="H65" s="49">
        <f>資料儲存!J1489</f>
        <v>0</v>
      </c>
      <c r="I65" s="45"/>
      <c r="J65" s="48">
        <v>48</v>
      </c>
      <c r="K65" s="49">
        <f>資料儲存!D1609</f>
        <v>0</v>
      </c>
      <c r="L65" s="49">
        <f>資料儲存!E1609</f>
        <v>0</v>
      </c>
      <c r="M65" s="49">
        <f>資料儲存!F1609</f>
        <v>0</v>
      </c>
      <c r="N65" s="49">
        <f>資料儲存!G1609</f>
        <v>0</v>
      </c>
      <c r="O65" s="49">
        <f>資料儲存!H1609</f>
        <v>0</v>
      </c>
      <c r="P65" s="49">
        <f>資料儲存!I1609</f>
        <v>0</v>
      </c>
      <c r="Q65" s="49">
        <f>資料儲存!J1609</f>
        <v>0</v>
      </c>
      <c r="R65" s="45"/>
      <c r="S65" s="48">
        <v>48</v>
      </c>
      <c r="T65" s="49">
        <f>資料儲存!D1729</f>
        <v>0</v>
      </c>
      <c r="U65" s="49">
        <f>資料儲存!E1729</f>
        <v>0</v>
      </c>
      <c r="V65" s="49">
        <f>資料儲存!F1729</f>
        <v>0</v>
      </c>
      <c r="W65" s="49">
        <f>資料儲存!G1729</f>
        <v>0</v>
      </c>
      <c r="X65" s="49">
        <f>資料儲存!H1729</f>
        <v>0</v>
      </c>
      <c r="Y65" s="49">
        <f>資料儲存!I1729</f>
        <v>0</v>
      </c>
      <c r="Z65" s="49">
        <f>資料儲存!J1729</f>
        <v>0</v>
      </c>
      <c r="AA65" s="45"/>
      <c r="AB65" s="48">
        <v>48</v>
      </c>
      <c r="AC65" s="49">
        <f>資料儲存!D1849</f>
        <v>0</v>
      </c>
      <c r="AD65" s="49">
        <f>資料儲存!E1849</f>
        <v>0</v>
      </c>
      <c r="AE65" s="49">
        <f>資料儲存!F1849</f>
        <v>0</v>
      </c>
      <c r="AF65" s="49">
        <f>資料儲存!G1849</f>
        <v>0</v>
      </c>
      <c r="AG65" s="49">
        <f>資料儲存!H1849</f>
        <v>0</v>
      </c>
      <c r="AH65" s="49">
        <f>資料儲存!I1849</f>
        <v>0</v>
      </c>
      <c r="AI65" s="49">
        <f>資料儲存!J1849</f>
        <v>0</v>
      </c>
      <c r="AJ65" s="13"/>
    </row>
    <row r="66" spans="1:36" ht="16" thickBot="1">
      <c r="A66" s="48">
        <v>49</v>
      </c>
      <c r="B66" s="49">
        <f>資料儲存!D1490</f>
        <v>0</v>
      </c>
      <c r="C66" s="49">
        <f>資料儲存!E1490</f>
        <v>0</v>
      </c>
      <c r="D66" s="49">
        <f>資料儲存!F1490</f>
        <v>0</v>
      </c>
      <c r="E66" s="49">
        <f>資料儲存!G1490</f>
        <v>0</v>
      </c>
      <c r="F66" s="49">
        <f>資料儲存!H1490</f>
        <v>0</v>
      </c>
      <c r="G66" s="49">
        <f>資料儲存!I1490</f>
        <v>0</v>
      </c>
      <c r="H66" s="49">
        <f>資料儲存!J1490</f>
        <v>0</v>
      </c>
      <c r="I66" s="45"/>
      <c r="J66" s="48">
        <v>49</v>
      </c>
      <c r="K66" s="49">
        <f>資料儲存!D1610</f>
        <v>0</v>
      </c>
      <c r="L66" s="49">
        <f>資料儲存!E1610</f>
        <v>0</v>
      </c>
      <c r="M66" s="49">
        <f>資料儲存!F1610</f>
        <v>0</v>
      </c>
      <c r="N66" s="49">
        <f>資料儲存!G1610</f>
        <v>0</v>
      </c>
      <c r="O66" s="49">
        <f>資料儲存!H1610</f>
        <v>0</v>
      </c>
      <c r="P66" s="49">
        <f>資料儲存!I1610</f>
        <v>0</v>
      </c>
      <c r="Q66" s="49">
        <f>資料儲存!J1610</f>
        <v>0</v>
      </c>
      <c r="R66" s="45"/>
      <c r="S66" s="48">
        <v>49</v>
      </c>
      <c r="T66" s="49">
        <f>資料儲存!D1730</f>
        <v>0</v>
      </c>
      <c r="U66" s="49">
        <f>資料儲存!E1730</f>
        <v>0</v>
      </c>
      <c r="V66" s="49">
        <f>資料儲存!F1730</f>
        <v>0</v>
      </c>
      <c r="W66" s="49">
        <f>資料儲存!G1730</f>
        <v>0</v>
      </c>
      <c r="X66" s="49">
        <f>資料儲存!H1730</f>
        <v>0</v>
      </c>
      <c r="Y66" s="49">
        <f>資料儲存!I1730</f>
        <v>0</v>
      </c>
      <c r="Z66" s="49">
        <f>資料儲存!J1730</f>
        <v>0</v>
      </c>
      <c r="AA66" s="45"/>
      <c r="AB66" s="48">
        <v>49</v>
      </c>
      <c r="AC66" s="49">
        <f>資料儲存!D1850</f>
        <v>0</v>
      </c>
      <c r="AD66" s="49">
        <f>資料儲存!E1850</f>
        <v>0</v>
      </c>
      <c r="AE66" s="49">
        <f>資料儲存!F1850</f>
        <v>0</v>
      </c>
      <c r="AF66" s="49">
        <f>資料儲存!G1850</f>
        <v>0</v>
      </c>
      <c r="AG66" s="49">
        <f>資料儲存!H1850</f>
        <v>0</v>
      </c>
      <c r="AH66" s="49">
        <f>資料儲存!I1850</f>
        <v>0</v>
      </c>
      <c r="AI66" s="49">
        <f>資料儲存!J1850</f>
        <v>0</v>
      </c>
      <c r="AJ66" s="13"/>
    </row>
    <row r="67" spans="1:36" ht="16" thickBot="1">
      <c r="A67" s="48">
        <v>50</v>
      </c>
      <c r="B67" s="49">
        <f>資料儲存!D1491</f>
        <v>0</v>
      </c>
      <c r="C67" s="49">
        <f>資料儲存!E1491</f>
        <v>0</v>
      </c>
      <c r="D67" s="49">
        <f>資料儲存!F1491</f>
        <v>0</v>
      </c>
      <c r="E67" s="49">
        <f>資料儲存!G1491</f>
        <v>0</v>
      </c>
      <c r="F67" s="49">
        <f>資料儲存!H1491</f>
        <v>0</v>
      </c>
      <c r="G67" s="49">
        <f>資料儲存!I1491</f>
        <v>0</v>
      </c>
      <c r="H67" s="49">
        <f>資料儲存!J1491</f>
        <v>0</v>
      </c>
      <c r="I67" s="45"/>
      <c r="J67" s="48">
        <v>50</v>
      </c>
      <c r="K67" s="49">
        <f>資料儲存!D1611</f>
        <v>0</v>
      </c>
      <c r="L67" s="49">
        <f>資料儲存!E1611</f>
        <v>0</v>
      </c>
      <c r="M67" s="49">
        <f>資料儲存!F1611</f>
        <v>0</v>
      </c>
      <c r="N67" s="49">
        <f>資料儲存!G1611</f>
        <v>0</v>
      </c>
      <c r="O67" s="49">
        <f>資料儲存!H1611</f>
        <v>0</v>
      </c>
      <c r="P67" s="49">
        <f>資料儲存!I1611</f>
        <v>0</v>
      </c>
      <c r="Q67" s="49">
        <f>資料儲存!J1611</f>
        <v>0</v>
      </c>
      <c r="R67" s="45"/>
      <c r="S67" s="48">
        <v>50</v>
      </c>
      <c r="T67" s="49">
        <f>資料儲存!D1731</f>
        <v>0</v>
      </c>
      <c r="U67" s="49">
        <f>資料儲存!E1731</f>
        <v>0</v>
      </c>
      <c r="V67" s="49">
        <f>資料儲存!F1731</f>
        <v>0</v>
      </c>
      <c r="W67" s="49">
        <f>資料儲存!G1731</f>
        <v>0</v>
      </c>
      <c r="X67" s="49">
        <f>資料儲存!H1731</f>
        <v>0</v>
      </c>
      <c r="Y67" s="49">
        <f>資料儲存!I1731</f>
        <v>0</v>
      </c>
      <c r="Z67" s="49">
        <f>資料儲存!J1731</f>
        <v>0</v>
      </c>
      <c r="AA67" s="45"/>
      <c r="AB67" s="48">
        <v>50</v>
      </c>
      <c r="AC67" s="49">
        <f>資料儲存!D1851</f>
        <v>0</v>
      </c>
      <c r="AD67" s="49">
        <f>資料儲存!E1851</f>
        <v>0</v>
      </c>
      <c r="AE67" s="49">
        <f>資料儲存!F1851</f>
        <v>0</v>
      </c>
      <c r="AF67" s="49">
        <f>資料儲存!G1851</f>
        <v>0</v>
      </c>
      <c r="AG67" s="49">
        <f>資料儲存!H1851</f>
        <v>0</v>
      </c>
      <c r="AH67" s="49">
        <f>資料儲存!I1851</f>
        <v>0</v>
      </c>
      <c r="AI67" s="49">
        <f>資料儲存!J1851</f>
        <v>0</v>
      </c>
      <c r="AJ67" s="13"/>
    </row>
    <row r="68" spans="1:36" ht="16" thickBot="1">
      <c r="A68" s="48">
        <v>51</v>
      </c>
      <c r="B68" s="49">
        <f>資料儲存!D1492</f>
        <v>0</v>
      </c>
      <c r="C68" s="49">
        <f>資料儲存!E1492</f>
        <v>0</v>
      </c>
      <c r="D68" s="49">
        <f>資料儲存!F1492</f>
        <v>0</v>
      </c>
      <c r="E68" s="49">
        <f>資料儲存!G1492</f>
        <v>0</v>
      </c>
      <c r="F68" s="49">
        <f>資料儲存!H1492</f>
        <v>0</v>
      </c>
      <c r="G68" s="49">
        <f>資料儲存!I1492</f>
        <v>0</v>
      </c>
      <c r="H68" s="49">
        <f>資料儲存!J1492</f>
        <v>0</v>
      </c>
      <c r="I68" s="45"/>
      <c r="J68" s="48">
        <v>51</v>
      </c>
      <c r="K68" s="49">
        <f>資料儲存!D1612</f>
        <v>0</v>
      </c>
      <c r="L68" s="49">
        <f>資料儲存!E1612</f>
        <v>0</v>
      </c>
      <c r="M68" s="49">
        <f>資料儲存!F1612</f>
        <v>0</v>
      </c>
      <c r="N68" s="49">
        <f>資料儲存!G1612</f>
        <v>0</v>
      </c>
      <c r="O68" s="49">
        <f>資料儲存!H1612</f>
        <v>0</v>
      </c>
      <c r="P68" s="49">
        <f>資料儲存!I1612</f>
        <v>0</v>
      </c>
      <c r="Q68" s="49">
        <f>資料儲存!J1612</f>
        <v>0</v>
      </c>
      <c r="R68" s="45"/>
      <c r="S68" s="48">
        <v>51</v>
      </c>
      <c r="T68" s="49">
        <f>資料儲存!D1732</f>
        <v>0</v>
      </c>
      <c r="U68" s="49">
        <f>資料儲存!E1732</f>
        <v>0</v>
      </c>
      <c r="V68" s="49">
        <f>資料儲存!F1732</f>
        <v>0</v>
      </c>
      <c r="W68" s="49">
        <f>資料儲存!G1732</f>
        <v>0</v>
      </c>
      <c r="X68" s="49">
        <f>資料儲存!H1732</f>
        <v>0</v>
      </c>
      <c r="Y68" s="49">
        <f>資料儲存!I1732</f>
        <v>0</v>
      </c>
      <c r="Z68" s="49">
        <f>資料儲存!J1732</f>
        <v>0</v>
      </c>
      <c r="AA68" s="45"/>
      <c r="AB68" s="48">
        <v>51</v>
      </c>
      <c r="AC68" s="49">
        <f>資料儲存!D1852</f>
        <v>0</v>
      </c>
      <c r="AD68" s="49">
        <f>資料儲存!E1852</f>
        <v>0</v>
      </c>
      <c r="AE68" s="49">
        <f>資料儲存!F1852</f>
        <v>0</v>
      </c>
      <c r="AF68" s="49">
        <f>資料儲存!G1852</f>
        <v>0</v>
      </c>
      <c r="AG68" s="49">
        <f>資料儲存!H1852</f>
        <v>0</v>
      </c>
      <c r="AH68" s="49">
        <f>資料儲存!I1852</f>
        <v>0</v>
      </c>
      <c r="AI68" s="49">
        <f>資料儲存!J1852</f>
        <v>0</v>
      </c>
      <c r="AJ68" s="13"/>
    </row>
    <row r="69" spans="1:36" ht="16" thickBot="1">
      <c r="A69" s="48">
        <v>52</v>
      </c>
      <c r="B69" s="49">
        <f>資料儲存!D1493</f>
        <v>0</v>
      </c>
      <c r="C69" s="49">
        <f>資料儲存!E1493</f>
        <v>0</v>
      </c>
      <c r="D69" s="49">
        <f>資料儲存!F1493</f>
        <v>0</v>
      </c>
      <c r="E69" s="49">
        <f>資料儲存!G1493</f>
        <v>0</v>
      </c>
      <c r="F69" s="49">
        <f>資料儲存!H1493</f>
        <v>0</v>
      </c>
      <c r="G69" s="49">
        <f>資料儲存!I1493</f>
        <v>0</v>
      </c>
      <c r="H69" s="49">
        <f>資料儲存!J1493</f>
        <v>0</v>
      </c>
      <c r="I69" s="45"/>
      <c r="J69" s="48">
        <v>52</v>
      </c>
      <c r="K69" s="49">
        <f>資料儲存!D1613</f>
        <v>0</v>
      </c>
      <c r="L69" s="49">
        <f>資料儲存!E1613</f>
        <v>0</v>
      </c>
      <c r="M69" s="49">
        <f>資料儲存!F1613</f>
        <v>0</v>
      </c>
      <c r="N69" s="49">
        <f>資料儲存!G1613</f>
        <v>0</v>
      </c>
      <c r="O69" s="49">
        <f>資料儲存!H1613</f>
        <v>0</v>
      </c>
      <c r="P69" s="49">
        <f>資料儲存!I1613</f>
        <v>0</v>
      </c>
      <c r="Q69" s="49">
        <f>資料儲存!J1613</f>
        <v>0</v>
      </c>
      <c r="R69" s="45"/>
      <c r="S69" s="48">
        <v>52</v>
      </c>
      <c r="T69" s="49">
        <f>資料儲存!D1733</f>
        <v>0</v>
      </c>
      <c r="U69" s="49">
        <f>資料儲存!E1733</f>
        <v>0</v>
      </c>
      <c r="V69" s="49">
        <f>資料儲存!F1733</f>
        <v>0</v>
      </c>
      <c r="W69" s="49">
        <f>資料儲存!G1733</f>
        <v>0</v>
      </c>
      <c r="X69" s="49">
        <f>資料儲存!H1733</f>
        <v>0</v>
      </c>
      <c r="Y69" s="49">
        <f>資料儲存!I1733</f>
        <v>0</v>
      </c>
      <c r="Z69" s="49">
        <f>資料儲存!J1733</f>
        <v>0</v>
      </c>
      <c r="AA69" s="45"/>
      <c r="AB69" s="48">
        <v>52</v>
      </c>
      <c r="AC69" s="49">
        <f>資料儲存!D1853</f>
        <v>0</v>
      </c>
      <c r="AD69" s="49">
        <f>資料儲存!E1853</f>
        <v>0</v>
      </c>
      <c r="AE69" s="49">
        <f>資料儲存!F1853</f>
        <v>0</v>
      </c>
      <c r="AF69" s="49">
        <f>資料儲存!G1853</f>
        <v>0</v>
      </c>
      <c r="AG69" s="49">
        <f>資料儲存!H1853</f>
        <v>0</v>
      </c>
      <c r="AH69" s="49">
        <f>資料儲存!I1853</f>
        <v>0</v>
      </c>
      <c r="AI69" s="49">
        <f>資料儲存!J1853</f>
        <v>0</v>
      </c>
      <c r="AJ69" s="13"/>
    </row>
    <row r="70" spans="1:36" ht="16" thickBot="1">
      <c r="A70" s="48">
        <v>53</v>
      </c>
      <c r="B70" s="49">
        <f>資料儲存!D1494</f>
        <v>0</v>
      </c>
      <c r="C70" s="49">
        <f>資料儲存!E1494</f>
        <v>0</v>
      </c>
      <c r="D70" s="49">
        <f>資料儲存!F1494</f>
        <v>0</v>
      </c>
      <c r="E70" s="49">
        <f>資料儲存!G1494</f>
        <v>0</v>
      </c>
      <c r="F70" s="49">
        <f>資料儲存!H1494</f>
        <v>0</v>
      </c>
      <c r="G70" s="49">
        <f>資料儲存!I1494</f>
        <v>0</v>
      </c>
      <c r="H70" s="49">
        <f>資料儲存!J1494</f>
        <v>0</v>
      </c>
      <c r="I70" s="45"/>
      <c r="J70" s="48">
        <v>53</v>
      </c>
      <c r="K70" s="49">
        <f>資料儲存!D1614</f>
        <v>0</v>
      </c>
      <c r="L70" s="49">
        <f>資料儲存!E1614</f>
        <v>0</v>
      </c>
      <c r="M70" s="49">
        <f>資料儲存!F1614</f>
        <v>0</v>
      </c>
      <c r="N70" s="49">
        <f>資料儲存!G1614</f>
        <v>0</v>
      </c>
      <c r="O70" s="49">
        <f>資料儲存!H1614</f>
        <v>0</v>
      </c>
      <c r="P70" s="49">
        <f>資料儲存!I1614</f>
        <v>0</v>
      </c>
      <c r="Q70" s="49">
        <f>資料儲存!J1614</f>
        <v>0</v>
      </c>
      <c r="R70" s="45"/>
      <c r="S70" s="48">
        <v>53</v>
      </c>
      <c r="T70" s="49">
        <f>資料儲存!D1734</f>
        <v>0</v>
      </c>
      <c r="U70" s="49">
        <f>資料儲存!E1734</f>
        <v>0</v>
      </c>
      <c r="V70" s="49">
        <f>資料儲存!F1734</f>
        <v>0</v>
      </c>
      <c r="W70" s="49">
        <f>資料儲存!G1734</f>
        <v>0</v>
      </c>
      <c r="X70" s="49">
        <f>資料儲存!H1734</f>
        <v>0</v>
      </c>
      <c r="Y70" s="49">
        <f>資料儲存!I1734</f>
        <v>0</v>
      </c>
      <c r="Z70" s="49">
        <f>資料儲存!J1734</f>
        <v>0</v>
      </c>
      <c r="AA70" s="45"/>
      <c r="AB70" s="48">
        <v>53</v>
      </c>
      <c r="AC70" s="49">
        <f>資料儲存!D1854</f>
        <v>0</v>
      </c>
      <c r="AD70" s="49">
        <f>資料儲存!E1854</f>
        <v>0</v>
      </c>
      <c r="AE70" s="49">
        <f>資料儲存!F1854</f>
        <v>0</v>
      </c>
      <c r="AF70" s="49">
        <f>資料儲存!G1854</f>
        <v>0</v>
      </c>
      <c r="AG70" s="49">
        <f>資料儲存!H1854</f>
        <v>0</v>
      </c>
      <c r="AH70" s="49">
        <f>資料儲存!I1854</f>
        <v>0</v>
      </c>
      <c r="AI70" s="49">
        <f>資料儲存!J1854</f>
        <v>0</v>
      </c>
      <c r="AJ70" s="13"/>
    </row>
    <row r="71" spans="1:36" ht="16" thickBot="1">
      <c r="A71" s="48">
        <v>54</v>
      </c>
      <c r="B71" s="49">
        <f>資料儲存!D1495</f>
        <v>0</v>
      </c>
      <c r="C71" s="49">
        <f>資料儲存!E1495</f>
        <v>0</v>
      </c>
      <c r="D71" s="49">
        <f>資料儲存!F1495</f>
        <v>0</v>
      </c>
      <c r="E71" s="49">
        <f>資料儲存!G1495</f>
        <v>0</v>
      </c>
      <c r="F71" s="49">
        <f>資料儲存!H1495</f>
        <v>0</v>
      </c>
      <c r="G71" s="49">
        <f>資料儲存!I1495</f>
        <v>0</v>
      </c>
      <c r="H71" s="49">
        <f>資料儲存!J1495</f>
        <v>0</v>
      </c>
      <c r="I71" s="45"/>
      <c r="J71" s="48">
        <v>54</v>
      </c>
      <c r="K71" s="49">
        <f>資料儲存!D1615</f>
        <v>0</v>
      </c>
      <c r="L71" s="49">
        <f>資料儲存!E1615</f>
        <v>0</v>
      </c>
      <c r="M71" s="49">
        <f>資料儲存!F1615</f>
        <v>0</v>
      </c>
      <c r="N71" s="49">
        <f>資料儲存!G1615</f>
        <v>0</v>
      </c>
      <c r="O71" s="49">
        <f>資料儲存!H1615</f>
        <v>0</v>
      </c>
      <c r="P71" s="49">
        <f>資料儲存!I1615</f>
        <v>0</v>
      </c>
      <c r="Q71" s="49">
        <f>資料儲存!J1615</f>
        <v>0</v>
      </c>
      <c r="R71" s="45"/>
      <c r="S71" s="48">
        <v>54</v>
      </c>
      <c r="T71" s="49">
        <f>資料儲存!D1735</f>
        <v>0</v>
      </c>
      <c r="U71" s="49">
        <f>資料儲存!E1735</f>
        <v>0</v>
      </c>
      <c r="V71" s="49">
        <f>資料儲存!F1735</f>
        <v>0</v>
      </c>
      <c r="W71" s="49">
        <f>資料儲存!G1735</f>
        <v>0</v>
      </c>
      <c r="X71" s="49">
        <f>資料儲存!H1735</f>
        <v>0</v>
      </c>
      <c r="Y71" s="49">
        <f>資料儲存!I1735</f>
        <v>0</v>
      </c>
      <c r="Z71" s="49">
        <f>資料儲存!J1735</f>
        <v>0</v>
      </c>
      <c r="AA71" s="45"/>
      <c r="AB71" s="48">
        <v>54</v>
      </c>
      <c r="AC71" s="49">
        <f>資料儲存!D1855</f>
        <v>0</v>
      </c>
      <c r="AD71" s="49">
        <f>資料儲存!E1855</f>
        <v>0</v>
      </c>
      <c r="AE71" s="49">
        <f>資料儲存!F1855</f>
        <v>0</v>
      </c>
      <c r="AF71" s="49">
        <f>資料儲存!G1855</f>
        <v>0</v>
      </c>
      <c r="AG71" s="49">
        <f>資料儲存!H1855</f>
        <v>0</v>
      </c>
      <c r="AH71" s="49">
        <f>資料儲存!I1855</f>
        <v>0</v>
      </c>
      <c r="AI71" s="49">
        <f>資料儲存!J1855</f>
        <v>0</v>
      </c>
      <c r="AJ71" s="13"/>
    </row>
    <row r="72" spans="1:36" ht="16" thickBot="1">
      <c r="A72" s="48">
        <v>55</v>
      </c>
      <c r="B72" s="49">
        <f>資料儲存!D1496</f>
        <v>0</v>
      </c>
      <c r="C72" s="49">
        <f>資料儲存!E1496</f>
        <v>0</v>
      </c>
      <c r="D72" s="49">
        <f>資料儲存!F1496</f>
        <v>0</v>
      </c>
      <c r="E72" s="49">
        <f>資料儲存!G1496</f>
        <v>0</v>
      </c>
      <c r="F72" s="49">
        <f>資料儲存!H1496</f>
        <v>0</v>
      </c>
      <c r="G72" s="49">
        <f>資料儲存!I1496</f>
        <v>0</v>
      </c>
      <c r="H72" s="49">
        <f>資料儲存!J1496</f>
        <v>0</v>
      </c>
      <c r="I72" s="45"/>
      <c r="J72" s="48">
        <v>55</v>
      </c>
      <c r="K72" s="49">
        <f>資料儲存!D1616</f>
        <v>0</v>
      </c>
      <c r="L72" s="49">
        <f>資料儲存!E1616</f>
        <v>0</v>
      </c>
      <c r="M72" s="49">
        <f>資料儲存!F1616</f>
        <v>0</v>
      </c>
      <c r="N72" s="49">
        <f>資料儲存!G1616</f>
        <v>0</v>
      </c>
      <c r="O72" s="49">
        <f>資料儲存!H1616</f>
        <v>0</v>
      </c>
      <c r="P72" s="49">
        <f>資料儲存!I1616</f>
        <v>0</v>
      </c>
      <c r="Q72" s="49">
        <f>資料儲存!J1616</f>
        <v>0</v>
      </c>
      <c r="R72" s="45"/>
      <c r="S72" s="48">
        <v>55</v>
      </c>
      <c r="T72" s="49">
        <f>資料儲存!D1736</f>
        <v>0</v>
      </c>
      <c r="U72" s="49">
        <f>資料儲存!E1736</f>
        <v>0</v>
      </c>
      <c r="V72" s="49">
        <f>資料儲存!F1736</f>
        <v>0</v>
      </c>
      <c r="W72" s="49">
        <f>資料儲存!G1736</f>
        <v>0</v>
      </c>
      <c r="X72" s="49">
        <f>資料儲存!H1736</f>
        <v>0</v>
      </c>
      <c r="Y72" s="49">
        <f>資料儲存!I1736</f>
        <v>0</v>
      </c>
      <c r="Z72" s="49">
        <f>資料儲存!J1736</f>
        <v>0</v>
      </c>
      <c r="AA72" s="45"/>
      <c r="AB72" s="48">
        <v>55</v>
      </c>
      <c r="AC72" s="49">
        <f>資料儲存!D1856</f>
        <v>0</v>
      </c>
      <c r="AD72" s="49">
        <f>資料儲存!E1856</f>
        <v>0</v>
      </c>
      <c r="AE72" s="49">
        <f>資料儲存!F1856</f>
        <v>0</v>
      </c>
      <c r="AF72" s="49">
        <f>資料儲存!G1856</f>
        <v>0</v>
      </c>
      <c r="AG72" s="49">
        <f>資料儲存!H1856</f>
        <v>0</v>
      </c>
      <c r="AH72" s="49">
        <f>資料儲存!I1856</f>
        <v>0</v>
      </c>
      <c r="AI72" s="49">
        <f>資料儲存!J1856</f>
        <v>0</v>
      </c>
      <c r="AJ72" s="13"/>
    </row>
    <row r="73" spans="1:36" ht="16" thickBot="1">
      <c r="A73" s="48">
        <v>56</v>
      </c>
      <c r="B73" s="49">
        <f>資料儲存!D1497</f>
        <v>0</v>
      </c>
      <c r="C73" s="49">
        <f>資料儲存!E1497</f>
        <v>0</v>
      </c>
      <c r="D73" s="49">
        <f>資料儲存!F1497</f>
        <v>0</v>
      </c>
      <c r="E73" s="49">
        <f>資料儲存!G1497</f>
        <v>0</v>
      </c>
      <c r="F73" s="49">
        <f>資料儲存!H1497</f>
        <v>0</v>
      </c>
      <c r="G73" s="49">
        <f>資料儲存!I1497</f>
        <v>0</v>
      </c>
      <c r="H73" s="49">
        <f>資料儲存!J1497</f>
        <v>0</v>
      </c>
      <c r="I73" s="45"/>
      <c r="J73" s="48">
        <v>56</v>
      </c>
      <c r="K73" s="49">
        <f>資料儲存!D1617</f>
        <v>0</v>
      </c>
      <c r="L73" s="49">
        <f>資料儲存!E1617</f>
        <v>0</v>
      </c>
      <c r="M73" s="49">
        <f>資料儲存!F1617</f>
        <v>0</v>
      </c>
      <c r="N73" s="49">
        <f>資料儲存!G1617</f>
        <v>0</v>
      </c>
      <c r="O73" s="49">
        <f>資料儲存!H1617</f>
        <v>0</v>
      </c>
      <c r="P73" s="49">
        <f>資料儲存!I1617</f>
        <v>0</v>
      </c>
      <c r="Q73" s="49">
        <f>資料儲存!J1617</f>
        <v>0</v>
      </c>
      <c r="R73" s="45"/>
      <c r="S73" s="48">
        <v>56</v>
      </c>
      <c r="T73" s="49">
        <f>資料儲存!D1737</f>
        <v>0</v>
      </c>
      <c r="U73" s="49">
        <f>資料儲存!E1737</f>
        <v>0</v>
      </c>
      <c r="V73" s="49">
        <f>資料儲存!F1737</f>
        <v>0</v>
      </c>
      <c r="W73" s="49">
        <f>資料儲存!G1737</f>
        <v>0</v>
      </c>
      <c r="X73" s="49">
        <f>資料儲存!H1737</f>
        <v>0</v>
      </c>
      <c r="Y73" s="49">
        <f>資料儲存!I1737</f>
        <v>0</v>
      </c>
      <c r="Z73" s="49">
        <f>資料儲存!J1737</f>
        <v>0</v>
      </c>
      <c r="AA73" s="45"/>
      <c r="AB73" s="48">
        <v>56</v>
      </c>
      <c r="AC73" s="49">
        <f>資料儲存!D1857</f>
        <v>0</v>
      </c>
      <c r="AD73" s="49">
        <f>資料儲存!E1857</f>
        <v>0</v>
      </c>
      <c r="AE73" s="49">
        <f>資料儲存!F1857</f>
        <v>0</v>
      </c>
      <c r="AF73" s="49">
        <f>資料儲存!G1857</f>
        <v>0</v>
      </c>
      <c r="AG73" s="49">
        <f>資料儲存!H1857</f>
        <v>0</v>
      </c>
      <c r="AH73" s="49">
        <f>資料儲存!I1857</f>
        <v>0</v>
      </c>
      <c r="AI73" s="49">
        <f>資料儲存!J1857</f>
        <v>0</v>
      </c>
      <c r="AJ73" s="13"/>
    </row>
    <row r="74" spans="1:36" ht="16" thickBot="1">
      <c r="A74" s="48">
        <v>57</v>
      </c>
      <c r="B74" s="49">
        <f>資料儲存!D1498</f>
        <v>0</v>
      </c>
      <c r="C74" s="49">
        <f>資料儲存!E1498</f>
        <v>0</v>
      </c>
      <c r="D74" s="49">
        <f>資料儲存!F1498</f>
        <v>0</v>
      </c>
      <c r="E74" s="49">
        <f>資料儲存!G1498</f>
        <v>0</v>
      </c>
      <c r="F74" s="49">
        <f>資料儲存!H1498</f>
        <v>0</v>
      </c>
      <c r="G74" s="49">
        <f>資料儲存!I1498</f>
        <v>0</v>
      </c>
      <c r="H74" s="49">
        <f>資料儲存!J1498</f>
        <v>0</v>
      </c>
      <c r="I74" s="45"/>
      <c r="J74" s="48">
        <v>57</v>
      </c>
      <c r="K74" s="49">
        <f>資料儲存!D1618</f>
        <v>0</v>
      </c>
      <c r="L74" s="49">
        <f>資料儲存!E1618</f>
        <v>0</v>
      </c>
      <c r="M74" s="49">
        <f>資料儲存!F1618</f>
        <v>0</v>
      </c>
      <c r="N74" s="49">
        <f>資料儲存!G1618</f>
        <v>0</v>
      </c>
      <c r="O74" s="49">
        <f>資料儲存!H1618</f>
        <v>0</v>
      </c>
      <c r="P74" s="49">
        <f>資料儲存!I1618</f>
        <v>0</v>
      </c>
      <c r="Q74" s="49">
        <f>資料儲存!J1618</f>
        <v>0</v>
      </c>
      <c r="R74" s="45"/>
      <c r="S74" s="48">
        <v>57</v>
      </c>
      <c r="T74" s="49">
        <f>資料儲存!D1738</f>
        <v>0</v>
      </c>
      <c r="U74" s="49">
        <f>資料儲存!E1738</f>
        <v>0</v>
      </c>
      <c r="V74" s="49">
        <f>資料儲存!F1738</f>
        <v>0</v>
      </c>
      <c r="W74" s="49">
        <f>資料儲存!G1738</f>
        <v>0</v>
      </c>
      <c r="X74" s="49">
        <f>資料儲存!H1738</f>
        <v>0</v>
      </c>
      <c r="Y74" s="49">
        <f>資料儲存!I1738</f>
        <v>0</v>
      </c>
      <c r="Z74" s="49">
        <f>資料儲存!J1738</f>
        <v>0</v>
      </c>
      <c r="AA74" s="45"/>
      <c r="AB74" s="48">
        <v>57</v>
      </c>
      <c r="AC74" s="49">
        <f>資料儲存!D1858</f>
        <v>0</v>
      </c>
      <c r="AD74" s="49">
        <f>資料儲存!E1858</f>
        <v>0</v>
      </c>
      <c r="AE74" s="49">
        <f>資料儲存!F1858</f>
        <v>0</v>
      </c>
      <c r="AF74" s="49">
        <f>資料儲存!G1858</f>
        <v>0</v>
      </c>
      <c r="AG74" s="49">
        <f>資料儲存!H1858</f>
        <v>0</v>
      </c>
      <c r="AH74" s="49">
        <f>資料儲存!I1858</f>
        <v>0</v>
      </c>
      <c r="AI74" s="49">
        <f>資料儲存!J1858</f>
        <v>0</v>
      </c>
      <c r="AJ74" s="13"/>
    </row>
    <row r="75" spans="1:36" ht="16" thickBot="1">
      <c r="A75" s="48">
        <v>58</v>
      </c>
      <c r="B75" s="49">
        <f>資料儲存!D1499</f>
        <v>0</v>
      </c>
      <c r="C75" s="49">
        <f>資料儲存!E1499</f>
        <v>0</v>
      </c>
      <c r="D75" s="49">
        <f>資料儲存!F1499</f>
        <v>0</v>
      </c>
      <c r="E75" s="49">
        <f>資料儲存!G1499</f>
        <v>0</v>
      </c>
      <c r="F75" s="49">
        <f>資料儲存!H1499</f>
        <v>0</v>
      </c>
      <c r="G75" s="49">
        <f>資料儲存!I1499</f>
        <v>0</v>
      </c>
      <c r="H75" s="49">
        <f>資料儲存!J1499</f>
        <v>0</v>
      </c>
      <c r="I75" s="45"/>
      <c r="J75" s="48">
        <v>58</v>
      </c>
      <c r="K75" s="49">
        <f>資料儲存!D1619</f>
        <v>0</v>
      </c>
      <c r="L75" s="49">
        <f>資料儲存!E1619</f>
        <v>0</v>
      </c>
      <c r="M75" s="49">
        <f>資料儲存!F1619</f>
        <v>0</v>
      </c>
      <c r="N75" s="49">
        <f>資料儲存!G1619</f>
        <v>0</v>
      </c>
      <c r="O75" s="49">
        <f>資料儲存!H1619</f>
        <v>0</v>
      </c>
      <c r="P75" s="49">
        <f>資料儲存!I1619</f>
        <v>0</v>
      </c>
      <c r="Q75" s="49">
        <f>資料儲存!J1619</f>
        <v>0</v>
      </c>
      <c r="R75" s="45"/>
      <c r="S75" s="48">
        <v>58</v>
      </c>
      <c r="T75" s="49">
        <f>資料儲存!D1739</f>
        <v>0</v>
      </c>
      <c r="U75" s="49">
        <f>資料儲存!E1739</f>
        <v>0</v>
      </c>
      <c r="V75" s="49">
        <f>資料儲存!F1739</f>
        <v>0</v>
      </c>
      <c r="W75" s="49">
        <f>資料儲存!G1739</f>
        <v>0</v>
      </c>
      <c r="X75" s="49">
        <f>資料儲存!H1739</f>
        <v>0</v>
      </c>
      <c r="Y75" s="49">
        <f>資料儲存!I1739</f>
        <v>0</v>
      </c>
      <c r="Z75" s="49">
        <f>資料儲存!J1739</f>
        <v>0</v>
      </c>
      <c r="AA75" s="45"/>
      <c r="AB75" s="48">
        <v>58</v>
      </c>
      <c r="AC75" s="49">
        <f>資料儲存!D1859</f>
        <v>0</v>
      </c>
      <c r="AD75" s="49">
        <f>資料儲存!E1859</f>
        <v>0</v>
      </c>
      <c r="AE75" s="49">
        <f>資料儲存!F1859</f>
        <v>0</v>
      </c>
      <c r="AF75" s="49">
        <f>資料儲存!G1859</f>
        <v>0</v>
      </c>
      <c r="AG75" s="49">
        <f>資料儲存!H1859</f>
        <v>0</v>
      </c>
      <c r="AH75" s="49">
        <f>資料儲存!I1859</f>
        <v>0</v>
      </c>
      <c r="AI75" s="49">
        <f>資料儲存!J1859</f>
        <v>0</v>
      </c>
      <c r="AJ75" s="13"/>
    </row>
    <row r="76" spans="1:36" ht="16" thickBot="1">
      <c r="A76" s="48">
        <v>59</v>
      </c>
      <c r="B76" s="49">
        <f>資料儲存!D1500</f>
        <v>0</v>
      </c>
      <c r="C76" s="49">
        <f>資料儲存!E1500</f>
        <v>0</v>
      </c>
      <c r="D76" s="49">
        <f>資料儲存!F1500</f>
        <v>0</v>
      </c>
      <c r="E76" s="49">
        <f>資料儲存!G1500</f>
        <v>0</v>
      </c>
      <c r="F76" s="49">
        <f>資料儲存!H1500</f>
        <v>0</v>
      </c>
      <c r="G76" s="49">
        <f>資料儲存!I1500</f>
        <v>0</v>
      </c>
      <c r="H76" s="49">
        <f>資料儲存!J1500</f>
        <v>0</v>
      </c>
      <c r="I76" s="45"/>
      <c r="J76" s="48">
        <v>59</v>
      </c>
      <c r="K76" s="49">
        <f>資料儲存!D1620</f>
        <v>0</v>
      </c>
      <c r="L76" s="49">
        <f>資料儲存!E1620</f>
        <v>0</v>
      </c>
      <c r="M76" s="49">
        <f>資料儲存!F1620</f>
        <v>0</v>
      </c>
      <c r="N76" s="49">
        <f>資料儲存!G1620</f>
        <v>0</v>
      </c>
      <c r="O76" s="49">
        <f>資料儲存!H1620</f>
        <v>0</v>
      </c>
      <c r="P76" s="49">
        <f>資料儲存!I1620</f>
        <v>0</v>
      </c>
      <c r="Q76" s="49">
        <f>資料儲存!J1620</f>
        <v>0</v>
      </c>
      <c r="R76" s="45"/>
      <c r="S76" s="48">
        <v>59</v>
      </c>
      <c r="T76" s="49">
        <f>資料儲存!D1740</f>
        <v>0</v>
      </c>
      <c r="U76" s="49">
        <f>資料儲存!E1740</f>
        <v>0</v>
      </c>
      <c r="V76" s="49">
        <f>資料儲存!F1740</f>
        <v>0</v>
      </c>
      <c r="W76" s="49">
        <f>資料儲存!G1740</f>
        <v>0</v>
      </c>
      <c r="X76" s="49">
        <f>資料儲存!H1740</f>
        <v>0</v>
      </c>
      <c r="Y76" s="49">
        <f>資料儲存!I1740</f>
        <v>0</v>
      </c>
      <c r="Z76" s="49">
        <f>資料儲存!J1740</f>
        <v>0</v>
      </c>
      <c r="AA76" s="45"/>
      <c r="AB76" s="48">
        <v>59</v>
      </c>
      <c r="AC76" s="49">
        <f>資料儲存!D1860</f>
        <v>0</v>
      </c>
      <c r="AD76" s="49">
        <f>資料儲存!E1860</f>
        <v>0</v>
      </c>
      <c r="AE76" s="49">
        <f>資料儲存!F1860</f>
        <v>0</v>
      </c>
      <c r="AF76" s="49">
        <f>資料儲存!G1860</f>
        <v>0</v>
      </c>
      <c r="AG76" s="49">
        <f>資料儲存!H1860</f>
        <v>0</v>
      </c>
      <c r="AH76" s="49">
        <f>資料儲存!I1860</f>
        <v>0</v>
      </c>
      <c r="AI76" s="49">
        <f>資料儲存!J1860</f>
        <v>0</v>
      </c>
      <c r="AJ76" s="13"/>
    </row>
    <row r="77" spans="1:36" ht="16" thickBot="1">
      <c r="A77" s="48">
        <v>60</v>
      </c>
      <c r="B77" s="49">
        <f>資料儲存!D1501</f>
        <v>0</v>
      </c>
      <c r="C77" s="49">
        <f>資料儲存!E1501</f>
        <v>0</v>
      </c>
      <c r="D77" s="49">
        <f>資料儲存!F1501</f>
        <v>0</v>
      </c>
      <c r="E77" s="49">
        <f>資料儲存!G1501</f>
        <v>0</v>
      </c>
      <c r="F77" s="49">
        <f>資料儲存!H1501</f>
        <v>0</v>
      </c>
      <c r="G77" s="49">
        <f>資料儲存!I1501</f>
        <v>0</v>
      </c>
      <c r="H77" s="49">
        <f>資料儲存!J1501</f>
        <v>0</v>
      </c>
      <c r="I77" s="45"/>
      <c r="J77" s="48">
        <v>60</v>
      </c>
      <c r="K77" s="49">
        <f>資料儲存!D1621</f>
        <v>0</v>
      </c>
      <c r="L77" s="49">
        <f>資料儲存!E1621</f>
        <v>0</v>
      </c>
      <c r="M77" s="49">
        <f>資料儲存!F1621</f>
        <v>0</v>
      </c>
      <c r="N77" s="49">
        <f>資料儲存!G1621</f>
        <v>0</v>
      </c>
      <c r="O77" s="49">
        <f>資料儲存!H1621</f>
        <v>0</v>
      </c>
      <c r="P77" s="49">
        <f>資料儲存!I1621</f>
        <v>0</v>
      </c>
      <c r="Q77" s="49">
        <f>資料儲存!J1621</f>
        <v>0</v>
      </c>
      <c r="R77" s="45"/>
      <c r="S77" s="48">
        <v>60</v>
      </c>
      <c r="T77" s="49">
        <f>資料儲存!D1741</f>
        <v>0</v>
      </c>
      <c r="U77" s="49">
        <f>資料儲存!E1741</f>
        <v>0</v>
      </c>
      <c r="V77" s="49">
        <f>資料儲存!F1741</f>
        <v>0</v>
      </c>
      <c r="W77" s="49">
        <f>資料儲存!G1741</f>
        <v>0</v>
      </c>
      <c r="X77" s="49">
        <f>資料儲存!H1741</f>
        <v>0</v>
      </c>
      <c r="Y77" s="49">
        <f>資料儲存!I1741</f>
        <v>0</v>
      </c>
      <c r="Z77" s="49">
        <f>資料儲存!J1741</f>
        <v>0</v>
      </c>
      <c r="AA77" s="45"/>
      <c r="AB77" s="48">
        <v>60</v>
      </c>
      <c r="AC77" s="49">
        <f>資料儲存!D1861</f>
        <v>0</v>
      </c>
      <c r="AD77" s="49">
        <f>資料儲存!E1861</f>
        <v>0</v>
      </c>
      <c r="AE77" s="49">
        <f>資料儲存!F1861</f>
        <v>0</v>
      </c>
      <c r="AF77" s="49">
        <f>資料儲存!G1861</f>
        <v>0</v>
      </c>
      <c r="AG77" s="49">
        <f>資料儲存!H1861</f>
        <v>0</v>
      </c>
      <c r="AH77" s="49">
        <f>資料儲存!I1861</f>
        <v>0</v>
      </c>
      <c r="AI77" s="49">
        <f>資料儲存!J1861</f>
        <v>0</v>
      </c>
      <c r="AJ77" s="13"/>
    </row>
    <row r="78" spans="1:36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</row>
    <row r="79" spans="1:36" ht="18.5" thickBot="1">
      <c r="A79" s="250" t="s">
        <v>163</v>
      </c>
      <c r="B79" s="251"/>
      <c r="C79" s="251"/>
      <c r="D79" s="251"/>
      <c r="E79" s="251"/>
      <c r="F79" s="251"/>
      <c r="G79" s="251"/>
      <c r="H79" s="252"/>
      <c r="I79" s="13"/>
      <c r="J79" s="250" t="s">
        <v>163</v>
      </c>
      <c r="K79" s="251"/>
      <c r="L79" s="251"/>
      <c r="M79" s="251"/>
      <c r="N79" s="251"/>
      <c r="O79" s="251"/>
      <c r="P79" s="251"/>
      <c r="Q79" s="252"/>
      <c r="R79" s="13"/>
      <c r="S79" s="250" t="s">
        <v>163</v>
      </c>
      <c r="T79" s="251"/>
      <c r="U79" s="251"/>
      <c r="V79" s="251"/>
      <c r="W79" s="251"/>
      <c r="X79" s="251"/>
      <c r="Y79" s="251"/>
      <c r="Z79" s="252"/>
      <c r="AA79" s="13"/>
      <c r="AB79" s="250" t="s">
        <v>163</v>
      </c>
      <c r="AC79" s="251"/>
      <c r="AD79" s="251"/>
      <c r="AE79" s="251"/>
      <c r="AF79" s="251"/>
      <c r="AG79" s="251"/>
      <c r="AH79" s="251"/>
      <c r="AI79" s="252"/>
      <c r="AJ79" s="13"/>
    </row>
    <row r="80" spans="1:36" ht="17.25" customHeight="1" thickBot="1">
      <c r="A80" s="31" t="s">
        <v>2</v>
      </c>
      <c r="B80" s="32" t="s">
        <v>46</v>
      </c>
      <c r="C80" s="33"/>
      <c r="D80" s="33"/>
      <c r="E80" s="34"/>
      <c r="F80" s="32" t="s">
        <v>47</v>
      </c>
      <c r="G80" s="33"/>
      <c r="H80" s="34"/>
      <c r="I80" s="35"/>
      <c r="J80" s="31" t="s">
        <v>2</v>
      </c>
      <c r="K80" s="32" t="s">
        <v>46</v>
      </c>
      <c r="L80" s="33"/>
      <c r="M80" s="33"/>
      <c r="N80" s="34"/>
      <c r="O80" s="32" t="s">
        <v>47</v>
      </c>
      <c r="P80" s="33"/>
      <c r="Q80" s="34"/>
      <c r="R80" s="35"/>
      <c r="S80" s="31" t="s">
        <v>2</v>
      </c>
      <c r="T80" s="32" t="s">
        <v>46</v>
      </c>
      <c r="U80" s="33"/>
      <c r="V80" s="33"/>
      <c r="W80" s="34"/>
      <c r="X80" s="32" t="s">
        <v>47</v>
      </c>
      <c r="Y80" s="33"/>
      <c r="Z80" s="34"/>
      <c r="AA80" s="35"/>
      <c r="AB80" s="31" t="s">
        <v>2</v>
      </c>
      <c r="AC80" s="32" t="s">
        <v>46</v>
      </c>
      <c r="AD80" s="33"/>
      <c r="AE80" s="33"/>
      <c r="AF80" s="34"/>
      <c r="AG80" s="32" t="s">
        <v>47</v>
      </c>
      <c r="AH80" s="33"/>
      <c r="AI80" s="34"/>
      <c r="AJ80" s="13"/>
    </row>
    <row r="81" spans="1:36" ht="16" thickBot="1">
      <c r="A81" s="36">
        <v>0.54166666666666663</v>
      </c>
      <c r="B81" s="37" t="s">
        <v>49</v>
      </c>
      <c r="C81" s="37" t="s">
        <v>50</v>
      </c>
      <c r="D81" s="37" t="s">
        <v>51</v>
      </c>
      <c r="E81" s="37" t="s">
        <v>52</v>
      </c>
      <c r="F81" s="37" t="s">
        <v>53</v>
      </c>
      <c r="G81" s="37" t="s">
        <v>54</v>
      </c>
      <c r="H81" s="37" t="s">
        <v>55</v>
      </c>
      <c r="I81" s="35"/>
      <c r="J81" s="36">
        <v>0.54166666666666663</v>
      </c>
      <c r="K81" s="37" t="s">
        <v>49</v>
      </c>
      <c r="L81" s="37" t="s">
        <v>50</v>
      </c>
      <c r="M81" s="37" t="s">
        <v>51</v>
      </c>
      <c r="N81" s="37" t="s">
        <v>52</v>
      </c>
      <c r="O81" s="37" t="s">
        <v>53</v>
      </c>
      <c r="P81" s="37" t="s">
        <v>54</v>
      </c>
      <c r="Q81" s="37" t="s">
        <v>55</v>
      </c>
      <c r="R81" s="35"/>
      <c r="S81" s="36">
        <v>0.54166666666666663</v>
      </c>
      <c r="T81" s="37" t="s">
        <v>49</v>
      </c>
      <c r="U81" s="37" t="s">
        <v>50</v>
      </c>
      <c r="V81" s="37" t="s">
        <v>51</v>
      </c>
      <c r="W81" s="37" t="s">
        <v>52</v>
      </c>
      <c r="X81" s="37" t="s">
        <v>53</v>
      </c>
      <c r="Y81" s="37" t="s">
        <v>54</v>
      </c>
      <c r="Z81" s="37" t="s">
        <v>55</v>
      </c>
      <c r="AA81" s="35"/>
      <c r="AB81" s="36">
        <v>0.54166666666666663</v>
      </c>
      <c r="AC81" s="37" t="s">
        <v>49</v>
      </c>
      <c r="AD81" s="37" t="s">
        <v>50</v>
      </c>
      <c r="AE81" s="37" t="s">
        <v>51</v>
      </c>
      <c r="AF81" s="37" t="s">
        <v>52</v>
      </c>
      <c r="AG81" s="37" t="s">
        <v>53</v>
      </c>
      <c r="AH81" s="37" t="s">
        <v>54</v>
      </c>
      <c r="AI81" s="37" t="s">
        <v>55</v>
      </c>
      <c r="AJ81" s="13"/>
    </row>
    <row r="82" spans="1:36" ht="16" thickBot="1">
      <c r="A82" s="38">
        <v>1</v>
      </c>
      <c r="B82" s="39">
        <f>資料儲存!D1502</f>
        <v>0</v>
      </c>
      <c r="C82" s="39">
        <f>資料儲存!E1502</f>
        <v>0</v>
      </c>
      <c r="D82" s="39">
        <f>資料儲存!F1502</f>
        <v>0</v>
      </c>
      <c r="E82" s="39">
        <f>資料儲存!G1502</f>
        <v>0</v>
      </c>
      <c r="F82" s="39">
        <f>資料儲存!H1502</f>
        <v>0</v>
      </c>
      <c r="G82" s="39">
        <f>資料儲存!I1502</f>
        <v>0</v>
      </c>
      <c r="H82" s="39">
        <f>資料儲存!J1502</f>
        <v>0</v>
      </c>
      <c r="I82" s="35"/>
      <c r="J82" s="38">
        <v>1</v>
      </c>
      <c r="K82" s="39">
        <f>資料儲存!D1622</f>
        <v>0</v>
      </c>
      <c r="L82" s="39">
        <f>資料儲存!E1622</f>
        <v>0</v>
      </c>
      <c r="M82" s="39">
        <f>資料儲存!F1622</f>
        <v>0</v>
      </c>
      <c r="N82" s="39">
        <f>資料儲存!G1622</f>
        <v>0</v>
      </c>
      <c r="O82" s="39">
        <f>資料儲存!H1622</f>
        <v>0</v>
      </c>
      <c r="P82" s="39">
        <f>資料儲存!I1622</f>
        <v>0</v>
      </c>
      <c r="Q82" s="39">
        <f>資料儲存!J1622</f>
        <v>0</v>
      </c>
      <c r="R82" s="35"/>
      <c r="S82" s="38">
        <v>1</v>
      </c>
      <c r="T82" s="39">
        <f>資料儲存!D1742</f>
        <v>0</v>
      </c>
      <c r="U82" s="39">
        <f>資料儲存!E1742</f>
        <v>0</v>
      </c>
      <c r="V82" s="39">
        <f>資料儲存!F1742</f>
        <v>0</v>
      </c>
      <c r="W82" s="39">
        <f>資料儲存!G1742</f>
        <v>0</v>
      </c>
      <c r="X82" s="39">
        <f>資料儲存!H1742</f>
        <v>0</v>
      </c>
      <c r="Y82" s="39">
        <f>資料儲存!I1742</f>
        <v>0</v>
      </c>
      <c r="Z82" s="39">
        <f>資料儲存!J1742</f>
        <v>0</v>
      </c>
      <c r="AA82" s="35"/>
      <c r="AB82" s="38">
        <v>1</v>
      </c>
      <c r="AC82" s="39">
        <f>資料儲存!D1862</f>
        <v>0</v>
      </c>
      <c r="AD82" s="39">
        <f>資料儲存!E1862</f>
        <v>0</v>
      </c>
      <c r="AE82" s="39">
        <f>資料儲存!F1862</f>
        <v>0</v>
      </c>
      <c r="AF82" s="39">
        <f>資料儲存!G1862</f>
        <v>0</v>
      </c>
      <c r="AG82" s="39">
        <f>資料儲存!H1862</f>
        <v>0</v>
      </c>
      <c r="AH82" s="39">
        <f>資料儲存!I1862</f>
        <v>0</v>
      </c>
      <c r="AI82" s="39">
        <f>資料儲存!J1862</f>
        <v>0</v>
      </c>
      <c r="AJ82" s="13"/>
    </row>
    <row r="83" spans="1:36" ht="16" thickBot="1">
      <c r="A83" s="38">
        <v>2</v>
      </c>
      <c r="B83" s="39">
        <f>資料儲存!D1503</f>
        <v>0</v>
      </c>
      <c r="C83" s="39">
        <f>資料儲存!E1503</f>
        <v>0</v>
      </c>
      <c r="D83" s="39">
        <f>資料儲存!F1503</f>
        <v>0</v>
      </c>
      <c r="E83" s="39">
        <f>資料儲存!G1503</f>
        <v>0</v>
      </c>
      <c r="F83" s="39">
        <f>資料儲存!H1503</f>
        <v>0</v>
      </c>
      <c r="G83" s="39">
        <f>資料儲存!I1503</f>
        <v>0</v>
      </c>
      <c r="H83" s="39">
        <f>資料儲存!J1503</f>
        <v>0</v>
      </c>
      <c r="I83" s="35"/>
      <c r="J83" s="38">
        <v>2</v>
      </c>
      <c r="K83" s="39">
        <f>資料儲存!D1623</f>
        <v>0</v>
      </c>
      <c r="L83" s="39">
        <f>資料儲存!E1623</f>
        <v>0</v>
      </c>
      <c r="M83" s="39">
        <f>資料儲存!F1623</f>
        <v>0</v>
      </c>
      <c r="N83" s="39">
        <f>資料儲存!G1623</f>
        <v>0</v>
      </c>
      <c r="O83" s="39">
        <f>資料儲存!H1623</f>
        <v>0</v>
      </c>
      <c r="P83" s="39">
        <f>資料儲存!I1623</f>
        <v>0</v>
      </c>
      <c r="Q83" s="39">
        <f>資料儲存!J1623</f>
        <v>0</v>
      </c>
      <c r="R83" s="35"/>
      <c r="S83" s="38">
        <v>2</v>
      </c>
      <c r="T83" s="39">
        <f>資料儲存!D1743</f>
        <v>0</v>
      </c>
      <c r="U83" s="39">
        <f>資料儲存!E1743</f>
        <v>0</v>
      </c>
      <c r="V83" s="39">
        <f>資料儲存!F1743</f>
        <v>0</v>
      </c>
      <c r="W83" s="39">
        <f>資料儲存!G1743</f>
        <v>0</v>
      </c>
      <c r="X83" s="39">
        <f>資料儲存!H1743</f>
        <v>0</v>
      </c>
      <c r="Y83" s="39">
        <f>資料儲存!I1743</f>
        <v>0</v>
      </c>
      <c r="Z83" s="39">
        <f>資料儲存!J1743</f>
        <v>0</v>
      </c>
      <c r="AA83" s="35"/>
      <c r="AB83" s="38">
        <v>2</v>
      </c>
      <c r="AC83" s="39">
        <f>資料儲存!D1863</f>
        <v>0</v>
      </c>
      <c r="AD83" s="39">
        <f>資料儲存!E1863</f>
        <v>0</v>
      </c>
      <c r="AE83" s="39">
        <f>資料儲存!F1863</f>
        <v>0</v>
      </c>
      <c r="AF83" s="39">
        <f>資料儲存!G1863</f>
        <v>0</v>
      </c>
      <c r="AG83" s="39">
        <f>資料儲存!H1863</f>
        <v>0</v>
      </c>
      <c r="AH83" s="39">
        <f>資料儲存!I1863</f>
        <v>0</v>
      </c>
      <c r="AI83" s="39">
        <f>資料儲存!J1863</f>
        <v>0</v>
      </c>
      <c r="AJ83" s="13"/>
    </row>
    <row r="84" spans="1:36" ht="16" thickBot="1">
      <c r="A84" s="38">
        <v>3</v>
      </c>
      <c r="B84" s="39">
        <f>資料儲存!D1504</f>
        <v>0</v>
      </c>
      <c r="C84" s="39">
        <f>資料儲存!E1504</f>
        <v>0</v>
      </c>
      <c r="D84" s="39">
        <f>資料儲存!F1504</f>
        <v>0</v>
      </c>
      <c r="E84" s="39">
        <f>資料儲存!G1504</f>
        <v>0</v>
      </c>
      <c r="F84" s="39">
        <f>資料儲存!H1504</f>
        <v>0</v>
      </c>
      <c r="G84" s="39">
        <f>資料儲存!I1504</f>
        <v>0</v>
      </c>
      <c r="H84" s="39">
        <f>資料儲存!J1504</f>
        <v>0</v>
      </c>
      <c r="I84" s="35"/>
      <c r="J84" s="38">
        <v>3</v>
      </c>
      <c r="K84" s="39">
        <f>資料儲存!D1624</f>
        <v>0</v>
      </c>
      <c r="L84" s="39">
        <f>資料儲存!E1624</f>
        <v>0</v>
      </c>
      <c r="M84" s="39">
        <f>資料儲存!F1624</f>
        <v>0</v>
      </c>
      <c r="N84" s="39">
        <f>資料儲存!G1624</f>
        <v>0</v>
      </c>
      <c r="O84" s="39">
        <f>資料儲存!H1624</f>
        <v>0</v>
      </c>
      <c r="P84" s="39">
        <f>資料儲存!I1624</f>
        <v>0</v>
      </c>
      <c r="Q84" s="39">
        <f>資料儲存!J1624</f>
        <v>0</v>
      </c>
      <c r="R84" s="35"/>
      <c r="S84" s="38">
        <v>3</v>
      </c>
      <c r="T84" s="39">
        <f>資料儲存!D1744</f>
        <v>0</v>
      </c>
      <c r="U84" s="39">
        <f>資料儲存!E1744</f>
        <v>0</v>
      </c>
      <c r="V84" s="39">
        <f>資料儲存!F1744</f>
        <v>0</v>
      </c>
      <c r="W84" s="39">
        <f>資料儲存!G1744</f>
        <v>0</v>
      </c>
      <c r="X84" s="39">
        <f>資料儲存!H1744</f>
        <v>0</v>
      </c>
      <c r="Y84" s="39">
        <f>資料儲存!I1744</f>
        <v>0</v>
      </c>
      <c r="Z84" s="39">
        <f>資料儲存!J1744</f>
        <v>0</v>
      </c>
      <c r="AA84" s="35"/>
      <c r="AB84" s="38">
        <v>3</v>
      </c>
      <c r="AC84" s="39">
        <f>資料儲存!D1864</f>
        <v>0</v>
      </c>
      <c r="AD84" s="39">
        <f>資料儲存!E1864</f>
        <v>0</v>
      </c>
      <c r="AE84" s="39">
        <f>資料儲存!F1864</f>
        <v>0</v>
      </c>
      <c r="AF84" s="39">
        <f>資料儲存!G1864</f>
        <v>0</v>
      </c>
      <c r="AG84" s="39">
        <f>資料儲存!H1864</f>
        <v>0</v>
      </c>
      <c r="AH84" s="39">
        <f>資料儲存!I1864</f>
        <v>0</v>
      </c>
      <c r="AI84" s="39">
        <f>資料儲存!J1864</f>
        <v>0</v>
      </c>
      <c r="AJ84" s="13"/>
    </row>
    <row r="85" spans="1:36" ht="16" thickBot="1">
      <c r="A85" s="38">
        <v>4</v>
      </c>
      <c r="B85" s="39">
        <f>資料儲存!D1505</f>
        <v>0</v>
      </c>
      <c r="C85" s="39">
        <f>資料儲存!E1505</f>
        <v>0</v>
      </c>
      <c r="D85" s="39">
        <f>資料儲存!F1505</f>
        <v>0</v>
      </c>
      <c r="E85" s="39">
        <f>資料儲存!G1505</f>
        <v>0</v>
      </c>
      <c r="F85" s="39">
        <f>資料儲存!H1505</f>
        <v>0</v>
      </c>
      <c r="G85" s="39">
        <f>資料儲存!I1505</f>
        <v>0</v>
      </c>
      <c r="H85" s="39">
        <f>資料儲存!J1505</f>
        <v>0</v>
      </c>
      <c r="I85" s="35"/>
      <c r="J85" s="38">
        <v>4</v>
      </c>
      <c r="K85" s="39">
        <f>資料儲存!D1625</f>
        <v>0</v>
      </c>
      <c r="L85" s="39">
        <f>資料儲存!E1625</f>
        <v>0</v>
      </c>
      <c r="M85" s="39">
        <f>資料儲存!F1625</f>
        <v>0</v>
      </c>
      <c r="N85" s="39">
        <f>資料儲存!G1625</f>
        <v>0</v>
      </c>
      <c r="O85" s="39">
        <f>資料儲存!H1625</f>
        <v>0</v>
      </c>
      <c r="P85" s="39">
        <f>資料儲存!I1625</f>
        <v>0</v>
      </c>
      <c r="Q85" s="39">
        <f>資料儲存!J1625</f>
        <v>0</v>
      </c>
      <c r="R85" s="35"/>
      <c r="S85" s="38">
        <v>4</v>
      </c>
      <c r="T85" s="39">
        <f>資料儲存!D1745</f>
        <v>0</v>
      </c>
      <c r="U85" s="39">
        <f>資料儲存!E1745</f>
        <v>0</v>
      </c>
      <c r="V85" s="39">
        <f>資料儲存!F1745</f>
        <v>0</v>
      </c>
      <c r="W85" s="39">
        <f>資料儲存!G1745</f>
        <v>0</v>
      </c>
      <c r="X85" s="39">
        <f>資料儲存!H1745</f>
        <v>0</v>
      </c>
      <c r="Y85" s="39">
        <f>資料儲存!I1745</f>
        <v>0</v>
      </c>
      <c r="Z85" s="39">
        <f>資料儲存!J1745</f>
        <v>0</v>
      </c>
      <c r="AA85" s="35"/>
      <c r="AB85" s="38">
        <v>4</v>
      </c>
      <c r="AC85" s="39">
        <f>資料儲存!D1865</f>
        <v>0</v>
      </c>
      <c r="AD85" s="39">
        <f>資料儲存!E1865</f>
        <v>0</v>
      </c>
      <c r="AE85" s="39">
        <f>資料儲存!F1865</f>
        <v>0</v>
      </c>
      <c r="AF85" s="39">
        <f>資料儲存!G1865</f>
        <v>0</v>
      </c>
      <c r="AG85" s="39">
        <f>資料儲存!H1865</f>
        <v>0</v>
      </c>
      <c r="AH85" s="39">
        <f>資料儲存!I1865</f>
        <v>0</v>
      </c>
      <c r="AI85" s="39">
        <f>資料儲存!J1865</f>
        <v>0</v>
      </c>
      <c r="AJ85" s="13"/>
    </row>
    <row r="86" spans="1:36" ht="16" thickBot="1">
      <c r="A86" s="38">
        <v>5</v>
      </c>
      <c r="B86" s="39">
        <f>資料儲存!D1506</f>
        <v>0</v>
      </c>
      <c r="C86" s="39">
        <f>資料儲存!E1506</f>
        <v>0</v>
      </c>
      <c r="D86" s="39">
        <f>資料儲存!F1506</f>
        <v>0</v>
      </c>
      <c r="E86" s="39">
        <f>資料儲存!G1506</f>
        <v>0</v>
      </c>
      <c r="F86" s="39">
        <f>資料儲存!H1506</f>
        <v>0</v>
      </c>
      <c r="G86" s="39">
        <f>資料儲存!I1506</f>
        <v>0</v>
      </c>
      <c r="H86" s="39">
        <f>資料儲存!J1506</f>
        <v>0</v>
      </c>
      <c r="I86" s="35"/>
      <c r="J86" s="38">
        <v>5</v>
      </c>
      <c r="K86" s="39">
        <f>資料儲存!D1626</f>
        <v>0</v>
      </c>
      <c r="L86" s="39">
        <f>資料儲存!E1626</f>
        <v>0</v>
      </c>
      <c r="M86" s="39">
        <f>資料儲存!F1626</f>
        <v>0</v>
      </c>
      <c r="N86" s="39">
        <f>資料儲存!G1626</f>
        <v>0</v>
      </c>
      <c r="O86" s="39">
        <f>資料儲存!H1626</f>
        <v>0</v>
      </c>
      <c r="P86" s="39">
        <f>資料儲存!I1626</f>
        <v>0</v>
      </c>
      <c r="Q86" s="39">
        <f>資料儲存!J1626</f>
        <v>0</v>
      </c>
      <c r="R86" s="35"/>
      <c r="S86" s="38">
        <v>5</v>
      </c>
      <c r="T86" s="39">
        <f>資料儲存!D1746</f>
        <v>0</v>
      </c>
      <c r="U86" s="39">
        <f>資料儲存!E1746</f>
        <v>0</v>
      </c>
      <c r="V86" s="39">
        <f>資料儲存!F1746</f>
        <v>0</v>
      </c>
      <c r="W86" s="39">
        <f>資料儲存!G1746</f>
        <v>0</v>
      </c>
      <c r="X86" s="39">
        <f>資料儲存!H1746</f>
        <v>0</v>
      </c>
      <c r="Y86" s="39">
        <f>資料儲存!I1746</f>
        <v>0</v>
      </c>
      <c r="Z86" s="39">
        <f>資料儲存!J1746</f>
        <v>0</v>
      </c>
      <c r="AA86" s="35"/>
      <c r="AB86" s="38">
        <v>5</v>
      </c>
      <c r="AC86" s="39">
        <f>資料儲存!D1866</f>
        <v>0</v>
      </c>
      <c r="AD86" s="39">
        <f>資料儲存!E1866</f>
        <v>0</v>
      </c>
      <c r="AE86" s="39">
        <f>資料儲存!F1866</f>
        <v>0</v>
      </c>
      <c r="AF86" s="39">
        <f>資料儲存!G1866</f>
        <v>0</v>
      </c>
      <c r="AG86" s="39">
        <f>資料儲存!H1866</f>
        <v>0</v>
      </c>
      <c r="AH86" s="39">
        <f>資料儲存!I1866</f>
        <v>0</v>
      </c>
      <c r="AI86" s="39">
        <f>資料儲存!J1866</f>
        <v>0</v>
      </c>
      <c r="AJ86" s="13"/>
    </row>
    <row r="87" spans="1:36" ht="16" thickBot="1">
      <c r="A87" s="38">
        <v>6</v>
      </c>
      <c r="B87" s="39">
        <f>資料儲存!D1507</f>
        <v>0</v>
      </c>
      <c r="C87" s="39">
        <f>資料儲存!E1507</f>
        <v>0</v>
      </c>
      <c r="D87" s="39">
        <f>資料儲存!F1507</f>
        <v>0</v>
      </c>
      <c r="E87" s="39">
        <f>資料儲存!G1507</f>
        <v>0</v>
      </c>
      <c r="F87" s="39">
        <f>資料儲存!H1507</f>
        <v>0</v>
      </c>
      <c r="G87" s="39">
        <f>資料儲存!I1507</f>
        <v>0</v>
      </c>
      <c r="H87" s="39">
        <f>資料儲存!J1507</f>
        <v>0</v>
      </c>
      <c r="I87" s="35"/>
      <c r="J87" s="38">
        <v>6</v>
      </c>
      <c r="K87" s="39">
        <f>資料儲存!D1627</f>
        <v>0</v>
      </c>
      <c r="L87" s="39">
        <f>資料儲存!E1627</f>
        <v>0</v>
      </c>
      <c r="M87" s="39">
        <f>資料儲存!F1627</f>
        <v>0</v>
      </c>
      <c r="N87" s="39">
        <f>資料儲存!G1627</f>
        <v>0</v>
      </c>
      <c r="O87" s="39">
        <f>資料儲存!H1627</f>
        <v>0</v>
      </c>
      <c r="P87" s="39">
        <f>資料儲存!I1627</f>
        <v>0</v>
      </c>
      <c r="Q87" s="39">
        <f>資料儲存!J1627</f>
        <v>0</v>
      </c>
      <c r="R87" s="35"/>
      <c r="S87" s="38">
        <v>6</v>
      </c>
      <c r="T87" s="39">
        <f>資料儲存!D1747</f>
        <v>0</v>
      </c>
      <c r="U87" s="39">
        <f>資料儲存!E1747</f>
        <v>0</v>
      </c>
      <c r="V87" s="39">
        <f>資料儲存!F1747</f>
        <v>0</v>
      </c>
      <c r="W87" s="39">
        <f>資料儲存!G1747</f>
        <v>0</v>
      </c>
      <c r="X87" s="39">
        <f>資料儲存!H1747</f>
        <v>0</v>
      </c>
      <c r="Y87" s="39">
        <f>資料儲存!I1747</f>
        <v>0</v>
      </c>
      <c r="Z87" s="39">
        <f>資料儲存!J1747</f>
        <v>0</v>
      </c>
      <c r="AA87" s="35"/>
      <c r="AB87" s="38">
        <v>6</v>
      </c>
      <c r="AC87" s="39">
        <f>資料儲存!D1867</f>
        <v>0</v>
      </c>
      <c r="AD87" s="39">
        <f>資料儲存!E1867</f>
        <v>0</v>
      </c>
      <c r="AE87" s="39">
        <f>資料儲存!F1867</f>
        <v>0</v>
      </c>
      <c r="AF87" s="39">
        <f>資料儲存!G1867</f>
        <v>0</v>
      </c>
      <c r="AG87" s="39">
        <f>資料儲存!H1867</f>
        <v>0</v>
      </c>
      <c r="AH87" s="39">
        <f>資料儲存!I1867</f>
        <v>0</v>
      </c>
      <c r="AI87" s="39">
        <f>資料儲存!J1867</f>
        <v>0</v>
      </c>
      <c r="AJ87" s="13"/>
    </row>
    <row r="88" spans="1:36" ht="16" thickBot="1">
      <c r="A88" s="38">
        <v>7</v>
      </c>
      <c r="B88" s="39">
        <f>資料儲存!D1508</f>
        <v>0</v>
      </c>
      <c r="C88" s="39">
        <f>資料儲存!E1508</f>
        <v>0</v>
      </c>
      <c r="D88" s="39">
        <f>資料儲存!F1508</f>
        <v>0</v>
      </c>
      <c r="E88" s="39">
        <f>資料儲存!G1508</f>
        <v>0</v>
      </c>
      <c r="F88" s="39">
        <f>資料儲存!H1508</f>
        <v>0</v>
      </c>
      <c r="G88" s="39">
        <f>資料儲存!I1508</f>
        <v>0</v>
      </c>
      <c r="H88" s="39">
        <f>資料儲存!J1508</f>
        <v>0</v>
      </c>
      <c r="I88" s="35"/>
      <c r="J88" s="38">
        <v>7</v>
      </c>
      <c r="K88" s="39">
        <f>資料儲存!D1628</f>
        <v>0</v>
      </c>
      <c r="L88" s="39">
        <f>資料儲存!E1628</f>
        <v>0</v>
      </c>
      <c r="M88" s="39">
        <f>資料儲存!F1628</f>
        <v>0</v>
      </c>
      <c r="N88" s="39">
        <f>資料儲存!G1628</f>
        <v>0</v>
      </c>
      <c r="O88" s="39">
        <f>資料儲存!H1628</f>
        <v>0</v>
      </c>
      <c r="P88" s="39">
        <f>資料儲存!I1628</f>
        <v>0</v>
      </c>
      <c r="Q88" s="39">
        <f>資料儲存!J1628</f>
        <v>0</v>
      </c>
      <c r="R88" s="35"/>
      <c r="S88" s="38">
        <v>7</v>
      </c>
      <c r="T88" s="39">
        <f>資料儲存!D1748</f>
        <v>0</v>
      </c>
      <c r="U88" s="39">
        <f>資料儲存!E1748</f>
        <v>0</v>
      </c>
      <c r="V88" s="39">
        <f>資料儲存!F1748</f>
        <v>0</v>
      </c>
      <c r="W88" s="39">
        <f>資料儲存!G1748</f>
        <v>0</v>
      </c>
      <c r="X88" s="39">
        <f>資料儲存!H1748</f>
        <v>0</v>
      </c>
      <c r="Y88" s="39">
        <f>資料儲存!I1748</f>
        <v>0</v>
      </c>
      <c r="Z88" s="39">
        <f>資料儲存!J1748</f>
        <v>0</v>
      </c>
      <c r="AA88" s="35"/>
      <c r="AB88" s="38">
        <v>7</v>
      </c>
      <c r="AC88" s="39">
        <f>資料儲存!D1868</f>
        <v>0</v>
      </c>
      <c r="AD88" s="39">
        <f>資料儲存!E1868</f>
        <v>0</v>
      </c>
      <c r="AE88" s="39">
        <f>資料儲存!F1868</f>
        <v>0</v>
      </c>
      <c r="AF88" s="39">
        <f>資料儲存!G1868</f>
        <v>0</v>
      </c>
      <c r="AG88" s="39">
        <f>資料儲存!H1868</f>
        <v>0</v>
      </c>
      <c r="AH88" s="39">
        <f>資料儲存!I1868</f>
        <v>0</v>
      </c>
      <c r="AI88" s="39">
        <f>資料儲存!J1868</f>
        <v>0</v>
      </c>
      <c r="AJ88" s="13"/>
    </row>
    <row r="89" spans="1:36" ht="16" thickBot="1">
      <c r="A89" s="38">
        <v>8</v>
      </c>
      <c r="B89" s="39">
        <f>資料儲存!D1509</f>
        <v>0</v>
      </c>
      <c r="C89" s="39">
        <f>資料儲存!E1509</f>
        <v>0</v>
      </c>
      <c r="D89" s="39">
        <f>資料儲存!F1509</f>
        <v>0</v>
      </c>
      <c r="E89" s="39">
        <f>資料儲存!G1509</f>
        <v>0</v>
      </c>
      <c r="F89" s="39">
        <f>資料儲存!H1509</f>
        <v>0</v>
      </c>
      <c r="G89" s="39">
        <f>資料儲存!I1509</f>
        <v>0</v>
      </c>
      <c r="H89" s="39">
        <f>資料儲存!J1509</f>
        <v>0</v>
      </c>
      <c r="I89" s="35"/>
      <c r="J89" s="38">
        <v>8</v>
      </c>
      <c r="K89" s="39">
        <f>資料儲存!D1629</f>
        <v>0</v>
      </c>
      <c r="L89" s="39">
        <f>資料儲存!E1629</f>
        <v>0</v>
      </c>
      <c r="M89" s="39">
        <f>資料儲存!F1629</f>
        <v>0</v>
      </c>
      <c r="N89" s="39">
        <f>資料儲存!G1629</f>
        <v>0</v>
      </c>
      <c r="O89" s="39">
        <f>資料儲存!H1629</f>
        <v>0</v>
      </c>
      <c r="P89" s="39">
        <f>資料儲存!I1629</f>
        <v>0</v>
      </c>
      <c r="Q89" s="39">
        <f>資料儲存!J1629</f>
        <v>0</v>
      </c>
      <c r="R89" s="35"/>
      <c r="S89" s="38">
        <v>8</v>
      </c>
      <c r="T89" s="39">
        <f>資料儲存!D1749</f>
        <v>0</v>
      </c>
      <c r="U89" s="39">
        <f>資料儲存!E1749</f>
        <v>0</v>
      </c>
      <c r="V89" s="39">
        <f>資料儲存!F1749</f>
        <v>0</v>
      </c>
      <c r="W89" s="39">
        <f>資料儲存!G1749</f>
        <v>0</v>
      </c>
      <c r="X89" s="39">
        <f>資料儲存!H1749</f>
        <v>0</v>
      </c>
      <c r="Y89" s="39">
        <f>資料儲存!I1749</f>
        <v>0</v>
      </c>
      <c r="Z89" s="39">
        <f>資料儲存!J1749</f>
        <v>0</v>
      </c>
      <c r="AA89" s="35"/>
      <c r="AB89" s="38">
        <v>8</v>
      </c>
      <c r="AC89" s="39">
        <f>資料儲存!D1869</f>
        <v>0</v>
      </c>
      <c r="AD89" s="39">
        <f>資料儲存!E1869</f>
        <v>0</v>
      </c>
      <c r="AE89" s="39">
        <f>資料儲存!F1869</f>
        <v>0</v>
      </c>
      <c r="AF89" s="39">
        <f>資料儲存!G1869</f>
        <v>0</v>
      </c>
      <c r="AG89" s="39">
        <f>資料儲存!H1869</f>
        <v>0</v>
      </c>
      <c r="AH89" s="39">
        <f>資料儲存!I1869</f>
        <v>0</v>
      </c>
      <c r="AI89" s="39">
        <f>資料儲存!J1869</f>
        <v>0</v>
      </c>
      <c r="AJ89" s="13"/>
    </row>
    <row r="90" spans="1:36" ht="16" thickBot="1">
      <c r="A90" s="38">
        <v>9</v>
      </c>
      <c r="B90" s="39">
        <f>資料儲存!D1510</f>
        <v>0</v>
      </c>
      <c r="C90" s="39">
        <f>資料儲存!E1510</f>
        <v>0</v>
      </c>
      <c r="D90" s="39">
        <f>資料儲存!F1510</f>
        <v>0</v>
      </c>
      <c r="E90" s="39">
        <f>資料儲存!G1510</f>
        <v>0</v>
      </c>
      <c r="F90" s="39">
        <f>資料儲存!H1510</f>
        <v>0</v>
      </c>
      <c r="G90" s="39">
        <f>資料儲存!I1510</f>
        <v>0</v>
      </c>
      <c r="H90" s="39">
        <f>資料儲存!J1510</f>
        <v>0</v>
      </c>
      <c r="I90" s="35"/>
      <c r="J90" s="38">
        <v>9</v>
      </c>
      <c r="K90" s="39">
        <f>資料儲存!D1630</f>
        <v>0</v>
      </c>
      <c r="L90" s="39">
        <f>資料儲存!E1630</f>
        <v>0</v>
      </c>
      <c r="M90" s="39">
        <f>資料儲存!F1630</f>
        <v>0</v>
      </c>
      <c r="N90" s="39">
        <f>資料儲存!G1630</f>
        <v>0</v>
      </c>
      <c r="O90" s="39">
        <f>資料儲存!H1630</f>
        <v>0</v>
      </c>
      <c r="P90" s="39">
        <f>資料儲存!I1630</f>
        <v>0</v>
      </c>
      <c r="Q90" s="39">
        <f>資料儲存!J1630</f>
        <v>0</v>
      </c>
      <c r="R90" s="35"/>
      <c r="S90" s="38">
        <v>9</v>
      </c>
      <c r="T90" s="39">
        <f>資料儲存!D1750</f>
        <v>0</v>
      </c>
      <c r="U90" s="39">
        <f>資料儲存!E1750</f>
        <v>0</v>
      </c>
      <c r="V90" s="39">
        <f>資料儲存!F1750</f>
        <v>0</v>
      </c>
      <c r="W90" s="39">
        <f>資料儲存!G1750</f>
        <v>0</v>
      </c>
      <c r="X90" s="39">
        <f>資料儲存!H1750</f>
        <v>0</v>
      </c>
      <c r="Y90" s="39">
        <f>資料儲存!I1750</f>
        <v>0</v>
      </c>
      <c r="Z90" s="39">
        <f>資料儲存!J1750</f>
        <v>0</v>
      </c>
      <c r="AA90" s="35"/>
      <c r="AB90" s="38">
        <v>9</v>
      </c>
      <c r="AC90" s="39">
        <f>資料儲存!D1870</f>
        <v>0</v>
      </c>
      <c r="AD90" s="39">
        <f>資料儲存!E1870</f>
        <v>0</v>
      </c>
      <c r="AE90" s="39">
        <f>資料儲存!F1870</f>
        <v>0</v>
      </c>
      <c r="AF90" s="39">
        <f>資料儲存!G1870</f>
        <v>0</v>
      </c>
      <c r="AG90" s="39">
        <f>資料儲存!H1870</f>
        <v>0</v>
      </c>
      <c r="AH90" s="39">
        <f>資料儲存!I1870</f>
        <v>0</v>
      </c>
      <c r="AI90" s="39">
        <f>資料儲存!J1870</f>
        <v>0</v>
      </c>
      <c r="AJ90" s="13"/>
    </row>
    <row r="91" spans="1:36" ht="16" thickBot="1">
      <c r="A91" s="38">
        <v>10</v>
      </c>
      <c r="B91" s="39">
        <f>資料儲存!D1511</f>
        <v>0</v>
      </c>
      <c r="C91" s="39">
        <f>資料儲存!E1511</f>
        <v>0</v>
      </c>
      <c r="D91" s="39">
        <f>資料儲存!F1511</f>
        <v>0</v>
      </c>
      <c r="E91" s="39">
        <f>資料儲存!G1511</f>
        <v>0</v>
      </c>
      <c r="F91" s="39">
        <f>資料儲存!H1511</f>
        <v>0</v>
      </c>
      <c r="G91" s="39">
        <f>資料儲存!I1511</f>
        <v>0</v>
      </c>
      <c r="H91" s="39">
        <f>資料儲存!J1511</f>
        <v>0</v>
      </c>
      <c r="I91" s="35"/>
      <c r="J91" s="38">
        <v>10</v>
      </c>
      <c r="K91" s="39">
        <f>資料儲存!D1631</f>
        <v>0</v>
      </c>
      <c r="L91" s="39">
        <f>資料儲存!E1631</f>
        <v>0</v>
      </c>
      <c r="M91" s="39">
        <f>資料儲存!F1631</f>
        <v>0</v>
      </c>
      <c r="N91" s="39">
        <f>資料儲存!G1631</f>
        <v>0</v>
      </c>
      <c r="O91" s="39">
        <f>資料儲存!H1631</f>
        <v>0</v>
      </c>
      <c r="P91" s="39">
        <f>資料儲存!I1631</f>
        <v>0</v>
      </c>
      <c r="Q91" s="39">
        <f>資料儲存!J1631</f>
        <v>0</v>
      </c>
      <c r="R91" s="35"/>
      <c r="S91" s="38">
        <v>10</v>
      </c>
      <c r="T91" s="39">
        <f>資料儲存!D1751</f>
        <v>0</v>
      </c>
      <c r="U91" s="39">
        <f>資料儲存!E1751</f>
        <v>0</v>
      </c>
      <c r="V91" s="39">
        <f>資料儲存!F1751</f>
        <v>0</v>
      </c>
      <c r="W91" s="39">
        <f>資料儲存!G1751</f>
        <v>0</v>
      </c>
      <c r="X91" s="39">
        <f>資料儲存!H1751</f>
        <v>0</v>
      </c>
      <c r="Y91" s="39">
        <f>資料儲存!I1751</f>
        <v>0</v>
      </c>
      <c r="Z91" s="39">
        <f>資料儲存!J1751</f>
        <v>0</v>
      </c>
      <c r="AA91" s="35"/>
      <c r="AB91" s="38">
        <v>10</v>
      </c>
      <c r="AC91" s="39">
        <f>資料儲存!D1871</f>
        <v>0</v>
      </c>
      <c r="AD91" s="39">
        <f>資料儲存!E1871</f>
        <v>0</v>
      </c>
      <c r="AE91" s="39">
        <f>資料儲存!F1871</f>
        <v>0</v>
      </c>
      <c r="AF91" s="39">
        <f>資料儲存!G1871</f>
        <v>0</v>
      </c>
      <c r="AG91" s="39">
        <f>資料儲存!H1871</f>
        <v>0</v>
      </c>
      <c r="AH91" s="39">
        <f>資料儲存!I1871</f>
        <v>0</v>
      </c>
      <c r="AI91" s="39">
        <f>資料儲存!J1871</f>
        <v>0</v>
      </c>
      <c r="AJ91" s="13"/>
    </row>
    <row r="92" spans="1:36" ht="16" thickBot="1">
      <c r="A92" s="38">
        <v>11</v>
      </c>
      <c r="B92" s="39">
        <f>資料儲存!D1512</f>
        <v>0</v>
      </c>
      <c r="C92" s="39">
        <f>資料儲存!E1512</f>
        <v>0</v>
      </c>
      <c r="D92" s="39">
        <f>資料儲存!F1512</f>
        <v>0</v>
      </c>
      <c r="E92" s="39">
        <f>資料儲存!G1512</f>
        <v>0</v>
      </c>
      <c r="F92" s="39">
        <f>資料儲存!H1512</f>
        <v>0</v>
      </c>
      <c r="G92" s="39">
        <f>資料儲存!I1512</f>
        <v>0</v>
      </c>
      <c r="H92" s="39">
        <f>資料儲存!J1512</f>
        <v>0</v>
      </c>
      <c r="I92" s="35"/>
      <c r="J92" s="38">
        <v>11</v>
      </c>
      <c r="K92" s="39">
        <f>資料儲存!D1632</f>
        <v>0</v>
      </c>
      <c r="L92" s="39">
        <f>資料儲存!E1632</f>
        <v>0</v>
      </c>
      <c r="M92" s="39">
        <f>資料儲存!F1632</f>
        <v>0</v>
      </c>
      <c r="N92" s="39">
        <f>資料儲存!G1632</f>
        <v>0</v>
      </c>
      <c r="O92" s="39">
        <f>資料儲存!H1632</f>
        <v>0</v>
      </c>
      <c r="P92" s="39">
        <f>資料儲存!I1632</f>
        <v>0</v>
      </c>
      <c r="Q92" s="39">
        <f>資料儲存!J1632</f>
        <v>0</v>
      </c>
      <c r="R92" s="35"/>
      <c r="S92" s="38">
        <v>11</v>
      </c>
      <c r="T92" s="39">
        <f>資料儲存!D1752</f>
        <v>0</v>
      </c>
      <c r="U92" s="39">
        <f>資料儲存!E1752</f>
        <v>0</v>
      </c>
      <c r="V92" s="39">
        <f>資料儲存!F1752</f>
        <v>0</v>
      </c>
      <c r="W92" s="39">
        <f>資料儲存!G1752</f>
        <v>0</v>
      </c>
      <c r="X92" s="39">
        <f>資料儲存!H1752</f>
        <v>0</v>
      </c>
      <c r="Y92" s="39">
        <f>資料儲存!I1752</f>
        <v>0</v>
      </c>
      <c r="Z92" s="39">
        <f>資料儲存!J1752</f>
        <v>0</v>
      </c>
      <c r="AA92" s="35"/>
      <c r="AB92" s="38">
        <v>11</v>
      </c>
      <c r="AC92" s="39">
        <f>資料儲存!D1872</f>
        <v>0</v>
      </c>
      <c r="AD92" s="39">
        <f>資料儲存!E1872</f>
        <v>0</v>
      </c>
      <c r="AE92" s="39">
        <f>資料儲存!F1872</f>
        <v>0</v>
      </c>
      <c r="AF92" s="39">
        <f>資料儲存!G1872</f>
        <v>0</v>
      </c>
      <c r="AG92" s="39">
        <f>資料儲存!H1872</f>
        <v>0</v>
      </c>
      <c r="AH92" s="39">
        <f>資料儲存!I1872</f>
        <v>0</v>
      </c>
      <c r="AI92" s="39">
        <f>資料儲存!J1872</f>
        <v>0</v>
      </c>
      <c r="AJ92" s="13"/>
    </row>
    <row r="93" spans="1:36" ht="16" thickBot="1">
      <c r="A93" s="38">
        <v>12</v>
      </c>
      <c r="B93" s="39">
        <f>資料儲存!D1513</f>
        <v>0</v>
      </c>
      <c r="C93" s="39">
        <f>資料儲存!E1513</f>
        <v>0</v>
      </c>
      <c r="D93" s="39">
        <f>資料儲存!F1513</f>
        <v>0</v>
      </c>
      <c r="E93" s="39">
        <f>資料儲存!G1513</f>
        <v>0</v>
      </c>
      <c r="F93" s="39">
        <f>資料儲存!H1513</f>
        <v>0</v>
      </c>
      <c r="G93" s="39">
        <f>資料儲存!I1513</f>
        <v>0</v>
      </c>
      <c r="H93" s="39">
        <f>資料儲存!J1513</f>
        <v>0</v>
      </c>
      <c r="I93" s="35"/>
      <c r="J93" s="38">
        <v>12</v>
      </c>
      <c r="K93" s="39">
        <f>資料儲存!D1633</f>
        <v>0</v>
      </c>
      <c r="L93" s="39">
        <f>資料儲存!E1633</f>
        <v>0</v>
      </c>
      <c r="M93" s="39">
        <f>資料儲存!F1633</f>
        <v>0</v>
      </c>
      <c r="N93" s="39">
        <f>資料儲存!G1633</f>
        <v>0</v>
      </c>
      <c r="O93" s="39">
        <f>資料儲存!H1633</f>
        <v>0</v>
      </c>
      <c r="P93" s="39">
        <f>資料儲存!I1633</f>
        <v>0</v>
      </c>
      <c r="Q93" s="39">
        <f>資料儲存!J1633</f>
        <v>0</v>
      </c>
      <c r="R93" s="35"/>
      <c r="S93" s="38">
        <v>12</v>
      </c>
      <c r="T93" s="39">
        <f>資料儲存!D1753</f>
        <v>0</v>
      </c>
      <c r="U93" s="39">
        <f>資料儲存!E1753</f>
        <v>0</v>
      </c>
      <c r="V93" s="39">
        <f>資料儲存!F1753</f>
        <v>0</v>
      </c>
      <c r="W93" s="39">
        <f>資料儲存!G1753</f>
        <v>0</v>
      </c>
      <c r="X93" s="39">
        <f>資料儲存!H1753</f>
        <v>0</v>
      </c>
      <c r="Y93" s="39">
        <f>資料儲存!I1753</f>
        <v>0</v>
      </c>
      <c r="Z93" s="39">
        <f>資料儲存!J1753</f>
        <v>0</v>
      </c>
      <c r="AA93" s="35"/>
      <c r="AB93" s="38">
        <v>12</v>
      </c>
      <c r="AC93" s="39">
        <f>資料儲存!D1873</f>
        <v>0</v>
      </c>
      <c r="AD93" s="39">
        <f>資料儲存!E1873</f>
        <v>0</v>
      </c>
      <c r="AE93" s="39">
        <f>資料儲存!F1873</f>
        <v>0</v>
      </c>
      <c r="AF93" s="39">
        <f>資料儲存!G1873</f>
        <v>0</v>
      </c>
      <c r="AG93" s="39">
        <f>資料儲存!H1873</f>
        <v>0</v>
      </c>
      <c r="AH93" s="39">
        <f>資料儲存!I1873</f>
        <v>0</v>
      </c>
      <c r="AI93" s="39">
        <f>資料儲存!J1873</f>
        <v>0</v>
      </c>
      <c r="AJ93" s="13"/>
    </row>
    <row r="94" spans="1:36" ht="16" thickBot="1">
      <c r="A94" s="38">
        <v>13</v>
      </c>
      <c r="B94" s="39">
        <f>資料儲存!D1514</f>
        <v>0</v>
      </c>
      <c r="C94" s="39">
        <f>資料儲存!E1514</f>
        <v>0</v>
      </c>
      <c r="D94" s="39">
        <f>資料儲存!F1514</f>
        <v>0</v>
      </c>
      <c r="E94" s="39">
        <f>資料儲存!G1514</f>
        <v>0</v>
      </c>
      <c r="F94" s="39">
        <f>資料儲存!H1514</f>
        <v>0</v>
      </c>
      <c r="G94" s="39">
        <f>資料儲存!I1514</f>
        <v>0</v>
      </c>
      <c r="H94" s="39">
        <f>資料儲存!J1514</f>
        <v>0</v>
      </c>
      <c r="I94" s="35"/>
      <c r="J94" s="38">
        <v>13</v>
      </c>
      <c r="K94" s="39">
        <f>資料儲存!D1634</f>
        <v>0</v>
      </c>
      <c r="L94" s="39">
        <f>資料儲存!E1634</f>
        <v>0</v>
      </c>
      <c r="M94" s="39">
        <f>資料儲存!F1634</f>
        <v>0</v>
      </c>
      <c r="N94" s="39">
        <f>資料儲存!G1634</f>
        <v>0</v>
      </c>
      <c r="O94" s="39">
        <f>資料儲存!H1634</f>
        <v>0</v>
      </c>
      <c r="P94" s="39">
        <f>資料儲存!I1634</f>
        <v>0</v>
      </c>
      <c r="Q94" s="39">
        <f>資料儲存!J1634</f>
        <v>0</v>
      </c>
      <c r="R94" s="35"/>
      <c r="S94" s="38">
        <v>13</v>
      </c>
      <c r="T94" s="39">
        <f>資料儲存!D1754</f>
        <v>0</v>
      </c>
      <c r="U94" s="39">
        <f>資料儲存!E1754</f>
        <v>0</v>
      </c>
      <c r="V94" s="39">
        <f>資料儲存!F1754</f>
        <v>0</v>
      </c>
      <c r="W94" s="39">
        <f>資料儲存!G1754</f>
        <v>0</v>
      </c>
      <c r="X94" s="39">
        <f>資料儲存!H1754</f>
        <v>0</v>
      </c>
      <c r="Y94" s="39">
        <f>資料儲存!I1754</f>
        <v>0</v>
      </c>
      <c r="Z94" s="39">
        <f>資料儲存!J1754</f>
        <v>0</v>
      </c>
      <c r="AA94" s="35"/>
      <c r="AB94" s="38">
        <v>13</v>
      </c>
      <c r="AC94" s="39">
        <f>資料儲存!D1874</f>
        <v>0</v>
      </c>
      <c r="AD94" s="39">
        <f>資料儲存!E1874</f>
        <v>0</v>
      </c>
      <c r="AE94" s="39">
        <f>資料儲存!F1874</f>
        <v>0</v>
      </c>
      <c r="AF94" s="39">
        <f>資料儲存!G1874</f>
        <v>0</v>
      </c>
      <c r="AG94" s="39">
        <f>資料儲存!H1874</f>
        <v>0</v>
      </c>
      <c r="AH94" s="39">
        <f>資料儲存!I1874</f>
        <v>0</v>
      </c>
      <c r="AI94" s="39">
        <f>資料儲存!J1874</f>
        <v>0</v>
      </c>
      <c r="AJ94" s="13"/>
    </row>
    <row r="95" spans="1:36" ht="16" thickBot="1">
      <c r="A95" s="38">
        <v>14</v>
      </c>
      <c r="B95" s="39">
        <f>資料儲存!D1515</f>
        <v>0</v>
      </c>
      <c r="C95" s="39">
        <f>資料儲存!E1515</f>
        <v>0</v>
      </c>
      <c r="D95" s="39">
        <f>資料儲存!F1515</f>
        <v>0</v>
      </c>
      <c r="E95" s="39">
        <f>資料儲存!G1515</f>
        <v>0</v>
      </c>
      <c r="F95" s="39">
        <f>資料儲存!H1515</f>
        <v>0</v>
      </c>
      <c r="G95" s="39">
        <f>資料儲存!I1515</f>
        <v>0</v>
      </c>
      <c r="H95" s="39">
        <f>資料儲存!J1515</f>
        <v>0</v>
      </c>
      <c r="I95" s="35"/>
      <c r="J95" s="38">
        <v>14</v>
      </c>
      <c r="K95" s="39">
        <f>資料儲存!D1635</f>
        <v>0</v>
      </c>
      <c r="L95" s="39">
        <f>資料儲存!E1635</f>
        <v>0</v>
      </c>
      <c r="M95" s="39">
        <f>資料儲存!F1635</f>
        <v>0</v>
      </c>
      <c r="N95" s="39">
        <f>資料儲存!G1635</f>
        <v>0</v>
      </c>
      <c r="O95" s="39">
        <f>資料儲存!H1635</f>
        <v>0</v>
      </c>
      <c r="P95" s="39">
        <f>資料儲存!I1635</f>
        <v>0</v>
      </c>
      <c r="Q95" s="39">
        <f>資料儲存!J1635</f>
        <v>0</v>
      </c>
      <c r="R95" s="35"/>
      <c r="S95" s="38">
        <v>14</v>
      </c>
      <c r="T95" s="39">
        <f>資料儲存!D1755</f>
        <v>0</v>
      </c>
      <c r="U95" s="39">
        <f>資料儲存!E1755</f>
        <v>0</v>
      </c>
      <c r="V95" s="39">
        <f>資料儲存!F1755</f>
        <v>0</v>
      </c>
      <c r="W95" s="39">
        <f>資料儲存!G1755</f>
        <v>0</v>
      </c>
      <c r="X95" s="39">
        <f>資料儲存!H1755</f>
        <v>0</v>
      </c>
      <c r="Y95" s="39">
        <f>資料儲存!I1755</f>
        <v>0</v>
      </c>
      <c r="Z95" s="39">
        <f>資料儲存!J1755</f>
        <v>0</v>
      </c>
      <c r="AA95" s="35"/>
      <c r="AB95" s="38">
        <v>14</v>
      </c>
      <c r="AC95" s="39">
        <f>資料儲存!D1875</f>
        <v>0</v>
      </c>
      <c r="AD95" s="39">
        <f>資料儲存!E1875</f>
        <v>0</v>
      </c>
      <c r="AE95" s="39">
        <f>資料儲存!F1875</f>
        <v>0</v>
      </c>
      <c r="AF95" s="39">
        <f>資料儲存!G1875</f>
        <v>0</v>
      </c>
      <c r="AG95" s="39">
        <f>資料儲存!H1875</f>
        <v>0</v>
      </c>
      <c r="AH95" s="39">
        <f>資料儲存!I1875</f>
        <v>0</v>
      </c>
      <c r="AI95" s="39">
        <f>資料儲存!J1875</f>
        <v>0</v>
      </c>
      <c r="AJ95" s="13"/>
    </row>
    <row r="96" spans="1:36" ht="16" thickBot="1">
      <c r="A96" s="38">
        <v>15</v>
      </c>
      <c r="B96" s="39">
        <f>資料儲存!D1516</f>
        <v>0</v>
      </c>
      <c r="C96" s="39">
        <f>資料儲存!E1516</f>
        <v>0</v>
      </c>
      <c r="D96" s="39">
        <f>資料儲存!F1516</f>
        <v>0</v>
      </c>
      <c r="E96" s="39">
        <f>資料儲存!G1516</f>
        <v>0</v>
      </c>
      <c r="F96" s="39">
        <f>資料儲存!H1516</f>
        <v>0</v>
      </c>
      <c r="G96" s="39">
        <f>資料儲存!I1516</f>
        <v>0</v>
      </c>
      <c r="H96" s="39">
        <f>資料儲存!J1516</f>
        <v>0</v>
      </c>
      <c r="I96" s="35"/>
      <c r="J96" s="38">
        <v>15</v>
      </c>
      <c r="K96" s="39">
        <f>資料儲存!D1636</f>
        <v>0</v>
      </c>
      <c r="L96" s="39">
        <f>資料儲存!E1636</f>
        <v>0</v>
      </c>
      <c r="M96" s="39">
        <f>資料儲存!F1636</f>
        <v>0</v>
      </c>
      <c r="N96" s="39">
        <f>資料儲存!G1636</f>
        <v>0</v>
      </c>
      <c r="O96" s="39">
        <f>資料儲存!H1636</f>
        <v>0</v>
      </c>
      <c r="P96" s="39">
        <f>資料儲存!I1636</f>
        <v>0</v>
      </c>
      <c r="Q96" s="39">
        <f>資料儲存!J1636</f>
        <v>0</v>
      </c>
      <c r="R96" s="35"/>
      <c r="S96" s="38">
        <v>15</v>
      </c>
      <c r="T96" s="39">
        <f>資料儲存!D1756</f>
        <v>0</v>
      </c>
      <c r="U96" s="39">
        <f>資料儲存!E1756</f>
        <v>0</v>
      </c>
      <c r="V96" s="39">
        <f>資料儲存!F1756</f>
        <v>0</v>
      </c>
      <c r="W96" s="39">
        <f>資料儲存!G1756</f>
        <v>0</v>
      </c>
      <c r="X96" s="39">
        <f>資料儲存!H1756</f>
        <v>0</v>
      </c>
      <c r="Y96" s="39">
        <f>資料儲存!I1756</f>
        <v>0</v>
      </c>
      <c r="Z96" s="39">
        <f>資料儲存!J1756</f>
        <v>0</v>
      </c>
      <c r="AA96" s="35"/>
      <c r="AB96" s="38">
        <v>15</v>
      </c>
      <c r="AC96" s="39">
        <f>資料儲存!D1876</f>
        <v>0</v>
      </c>
      <c r="AD96" s="39">
        <f>資料儲存!E1876</f>
        <v>0</v>
      </c>
      <c r="AE96" s="39">
        <f>資料儲存!F1876</f>
        <v>0</v>
      </c>
      <c r="AF96" s="39">
        <f>資料儲存!G1876</f>
        <v>0</v>
      </c>
      <c r="AG96" s="39">
        <f>資料儲存!H1876</f>
        <v>0</v>
      </c>
      <c r="AH96" s="39">
        <f>資料儲存!I1876</f>
        <v>0</v>
      </c>
      <c r="AI96" s="39">
        <f>資料儲存!J1876</f>
        <v>0</v>
      </c>
      <c r="AJ96" s="13"/>
    </row>
    <row r="97" spans="1:36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13"/>
    </row>
    <row r="98" spans="1:36" ht="18.5" thickBot="1">
      <c r="A98" s="250" t="s">
        <v>164</v>
      </c>
      <c r="B98" s="251"/>
      <c r="C98" s="251"/>
      <c r="D98" s="251"/>
      <c r="E98" s="251"/>
      <c r="F98" s="251"/>
      <c r="G98" s="251"/>
      <c r="H98" s="252"/>
      <c r="I98" s="13"/>
      <c r="J98" s="250" t="s">
        <v>164</v>
      </c>
      <c r="K98" s="251"/>
      <c r="L98" s="251"/>
      <c r="M98" s="251"/>
      <c r="N98" s="251"/>
      <c r="O98" s="251"/>
      <c r="P98" s="251"/>
      <c r="Q98" s="252"/>
      <c r="R98" s="13"/>
      <c r="S98" s="250" t="s">
        <v>164</v>
      </c>
      <c r="T98" s="251"/>
      <c r="U98" s="251"/>
      <c r="V98" s="251"/>
      <c r="W98" s="251"/>
      <c r="X98" s="251"/>
      <c r="Y98" s="251"/>
      <c r="Z98" s="252"/>
      <c r="AA98" s="13"/>
      <c r="AB98" s="250" t="s">
        <v>164</v>
      </c>
      <c r="AC98" s="251"/>
      <c r="AD98" s="251"/>
      <c r="AE98" s="251"/>
      <c r="AF98" s="251"/>
      <c r="AG98" s="251"/>
      <c r="AH98" s="251"/>
      <c r="AI98" s="252"/>
      <c r="AJ98" s="13"/>
    </row>
    <row r="99" spans="1:36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</row>
    <row r="100" spans="1:36" ht="16" thickBot="1">
      <c r="A100" s="46">
        <v>0.55208333333333337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>
        <v>0.55208333333333337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>
        <v>0.55208333333333337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>
        <v>0.55208333333333337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</row>
    <row r="101" spans="1:36" ht="16" thickBot="1">
      <c r="A101" s="48">
        <v>16</v>
      </c>
      <c r="B101" s="49">
        <f>資料儲存!D1517</f>
        <v>0</v>
      </c>
      <c r="C101" s="49">
        <f>資料儲存!E1517</f>
        <v>0</v>
      </c>
      <c r="D101" s="49">
        <f>資料儲存!F1517</f>
        <v>0</v>
      </c>
      <c r="E101" s="49">
        <f>資料儲存!G1517</f>
        <v>0</v>
      </c>
      <c r="F101" s="49">
        <f>資料儲存!H1517</f>
        <v>0</v>
      </c>
      <c r="G101" s="49">
        <f>資料儲存!I1517</f>
        <v>0</v>
      </c>
      <c r="H101" s="49">
        <f>資料儲存!J1517</f>
        <v>0</v>
      </c>
      <c r="I101" s="45"/>
      <c r="J101" s="48">
        <v>16</v>
      </c>
      <c r="K101" s="49">
        <f>資料儲存!D1637</f>
        <v>0</v>
      </c>
      <c r="L101" s="49">
        <f>資料儲存!E1637</f>
        <v>0</v>
      </c>
      <c r="M101" s="49">
        <f>資料儲存!F1637</f>
        <v>0</v>
      </c>
      <c r="N101" s="49">
        <f>資料儲存!G1637</f>
        <v>0</v>
      </c>
      <c r="O101" s="49">
        <f>資料儲存!H1637</f>
        <v>0</v>
      </c>
      <c r="P101" s="49">
        <f>資料儲存!I1637</f>
        <v>0</v>
      </c>
      <c r="Q101" s="49">
        <f>資料儲存!J1637</f>
        <v>0</v>
      </c>
      <c r="R101" s="45"/>
      <c r="S101" s="48">
        <v>16</v>
      </c>
      <c r="T101" s="49">
        <f>資料儲存!D1757</f>
        <v>0</v>
      </c>
      <c r="U101" s="49">
        <f>資料儲存!E1757</f>
        <v>0</v>
      </c>
      <c r="V101" s="49">
        <f>資料儲存!F1757</f>
        <v>0</v>
      </c>
      <c r="W101" s="49">
        <f>資料儲存!G1757</f>
        <v>0</v>
      </c>
      <c r="X101" s="49">
        <f>資料儲存!H1757</f>
        <v>0</v>
      </c>
      <c r="Y101" s="49">
        <f>資料儲存!I1757</f>
        <v>0</v>
      </c>
      <c r="Z101" s="49">
        <f>資料儲存!J1757</f>
        <v>0</v>
      </c>
      <c r="AA101" s="45"/>
      <c r="AB101" s="48">
        <v>16</v>
      </c>
      <c r="AC101" s="49">
        <f>資料儲存!D1877</f>
        <v>0</v>
      </c>
      <c r="AD101" s="49">
        <f>資料儲存!E1877</f>
        <v>0</v>
      </c>
      <c r="AE101" s="49">
        <f>資料儲存!F1877</f>
        <v>0</v>
      </c>
      <c r="AF101" s="49">
        <f>資料儲存!G1877</f>
        <v>0</v>
      </c>
      <c r="AG101" s="49">
        <f>資料儲存!H1877</f>
        <v>0</v>
      </c>
      <c r="AH101" s="49">
        <f>資料儲存!I1877</f>
        <v>0</v>
      </c>
      <c r="AI101" s="49">
        <f>資料儲存!J1877</f>
        <v>0</v>
      </c>
      <c r="AJ101" s="13"/>
    </row>
    <row r="102" spans="1:36" ht="16" thickBot="1">
      <c r="A102" s="48">
        <v>17</v>
      </c>
      <c r="B102" s="49">
        <f>資料儲存!D1518</f>
        <v>0</v>
      </c>
      <c r="C102" s="49">
        <f>資料儲存!E1518</f>
        <v>0</v>
      </c>
      <c r="D102" s="49">
        <f>資料儲存!F1518</f>
        <v>0</v>
      </c>
      <c r="E102" s="49">
        <f>資料儲存!G1518</f>
        <v>0</v>
      </c>
      <c r="F102" s="49">
        <f>資料儲存!H1518</f>
        <v>0</v>
      </c>
      <c r="G102" s="49">
        <f>資料儲存!I1518</f>
        <v>0</v>
      </c>
      <c r="H102" s="49">
        <f>資料儲存!J1518</f>
        <v>0</v>
      </c>
      <c r="I102" s="45"/>
      <c r="J102" s="48">
        <v>17</v>
      </c>
      <c r="K102" s="49">
        <f>資料儲存!D1638</f>
        <v>0</v>
      </c>
      <c r="L102" s="49">
        <f>資料儲存!E1638</f>
        <v>0</v>
      </c>
      <c r="M102" s="49">
        <f>資料儲存!F1638</f>
        <v>0</v>
      </c>
      <c r="N102" s="49">
        <f>資料儲存!G1638</f>
        <v>0</v>
      </c>
      <c r="O102" s="49">
        <f>資料儲存!H1638</f>
        <v>0</v>
      </c>
      <c r="P102" s="49">
        <f>資料儲存!I1638</f>
        <v>0</v>
      </c>
      <c r="Q102" s="49">
        <f>資料儲存!J1638</f>
        <v>0</v>
      </c>
      <c r="R102" s="45"/>
      <c r="S102" s="48">
        <v>17</v>
      </c>
      <c r="T102" s="49">
        <f>資料儲存!D1758</f>
        <v>0</v>
      </c>
      <c r="U102" s="49">
        <f>資料儲存!E1758</f>
        <v>0</v>
      </c>
      <c r="V102" s="49">
        <f>資料儲存!F1758</f>
        <v>0</v>
      </c>
      <c r="W102" s="49">
        <f>資料儲存!G1758</f>
        <v>0</v>
      </c>
      <c r="X102" s="49">
        <f>資料儲存!H1758</f>
        <v>0</v>
      </c>
      <c r="Y102" s="49">
        <f>資料儲存!I1758</f>
        <v>0</v>
      </c>
      <c r="Z102" s="49">
        <f>資料儲存!J1758</f>
        <v>0</v>
      </c>
      <c r="AA102" s="45"/>
      <c r="AB102" s="48">
        <v>17</v>
      </c>
      <c r="AC102" s="49">
        <f>資料儲存!D1878</f>
        <v>0</v>
      </c>
      <c r="AD102" s="49">
        <f>資料儲存!E1878</f>
        <v>0</v>
      </c>
      <c r="AE102" s="49">
        <f>資料儲存!F1878</f>
        <v>0</v>
      </c>
      <c r="AF102" s="49">
        <f>資料儲存!G1878</f>
        <v>0</v>
      </c>
      <c r="AG102" s="49">
        <f>資料儲存!H1878</f>
        <v>0</v>
      </c>
      <c r="AH102" s="49">
        <f>資料儲存!I1878</f>
        <v>0</v>
      </c>
      <c r="AI102" s="49">
        <f>資料儲存!J1878</f>
        <v>0</v>
      </c>
      <c r="AJ102" s="13"/>
    </row>
    <row r="103" spans="1:36" ht="16" thickBot="1">
      <c r="A103" s="48">
        <v>18</v>
      </c>
      <c r="B103" s="49">
        <f>資料儲存!D1519</f>
        <v>0</v>
      </c>
      <c r="C103" s="49">
        <f>資料儲存!E1519</f>
        <v>0</v>
      </c>
      <c r="D103" s="49">
        <f>資料儲存!F1519</f>
        <v>0</v>
      </c>
      <c r="E103" s="49">
        <f>資料儲存!G1519</f>
        <v>0</v>
      </c>
      <c r="F103" s="49">
        <f>資料儲存!H1519</f>
        <v>0</v>
      </c>
      <c r="G103" s="49">
        <f>資料儲存!I1519</f>
        <v>0</v>
      </c>
      <c r="H103" s="49">
        <f>資料儲存!J1519</f>
        <v>0</v>
      </c>
      <c r="I103" s="45"/>
      <c r="J103" s="48">
        <v>18</v>
      </c>
      <c r="K103" s="49">
        <f>資料儲存!D1639</f>
        <v>0</v>
      </c>
      <c r="L103" s="49">
        <f>資料儲存!E1639</f>
        <v>0</v>
      </c>
      <c r="M103" s="49">
        <f>資料儲存!F1639</f>
        <v>0</v>
      </c>
      <c r="N103" s="49">
        <f>資料儲存!G1639</f>
        <v>0</v>
      </c>
      <c r="O103" s="49">
        <f>資料儲存!H1639</f>
        <v>0</v>
      </c>
      <c r="P103" s="49">
        <f>資料儲存!I1639</f>
        <v>0</v>
      </c>
      <c r="Q103" s="49">
        <f>資料儲存!J1639</f>
        <v>0</v>
      </c>
      <c r="R103" s="45"/>
      <c r="S103" s="48">
        <v>18</v>
      </c>
      <c r="T103" s="49">
        <f>資料儲存!D1759</f>
        <v>0</v>
      </c>
      <c r="U103" s="49">
        <f>資料儲存!E1759</f>
        <v>0</v>
      </c>
      <c r="V103" s="49">
        <f>資料儲存!F1759</f>
        <v>0</v>
      </c>
      <c r="W103" s="49">
        <f>資料儲存!G1759</f>
        <v>0</v>
      </c>
      <c r="X103" s="49">
        <f>資料儲存!H1759</f>
        <v>0</v>
      </c>
      <c r="Y103" s="49">
        <f>資料儲存!I1759</f>
        <v>0</v>
      </c>
      <c r="Z103" s="49">
        <f>資料儲存!J1759</f>
        <v>0</v>
      </c>
      <c r="AA103" s="45"/>
      <c r="AB103" s="48">
        <v>18</v>
      </c>
      <c r="AC103" s="49">
        <f>資料儲存!D1879</f>
        <v>0</v>
      </c>
      <c r="AD103" s="49">
        <f>資料儲存!E1879</f>
        <v>0</v>
      </c>
      <c r="AE103" s="49">
        <f>資料儲存!F1879</f>
        <v>0</v>
      </c>
      <c r="AF103" s="49">
        <f>資料儲存!G1879</f>
        <v>0</v>
      </c>
      <c r="AG103" s="49">
        <f>資料儲存!H1879</f>
        <v>0</v>
      </c>
      <c r="AH103" s="49">
        <f>資料儲存!I1879</f>
        <v>0</v>
      </c>
      <c r="AI103" s="49">
        <f>資料儲存!J1879</f>
        <v>0</v>
      </c>
      <c r="AJ103" s="13"/>
    </row>
    <row r="104" spans="1:36" ht="16" thickBot="1">
      <c r="A104" s="48">
        <v>19</v>
      </c>
      <c r="B104" s="49">
        <f>資料儲存!D1520</f>
        <v>0</v>
      </c>
      <c r="C104" s="49">
        <f>資料儲存!E1520</f>
        <v>0</v>
      </c>
      <c r="D104" s="49">
        <f>資料儲存!F1520</f>
        <v>0</v>
      </c>
      <c r="E104" s="49">
        <f>資料儲存!G1520</f>
        <v>0</v>
      </c>
      <c r="F104" s="49">
        <f>資料儲存!H1520</f>
        <v>0</v>
      </c>
      <c r="G104" s="49">
        <f>資料儲存!I1520</f>
        <v>0</v>
      </c>
      <c r="H104" s="49">
        <f>資料儲存!J1520</f>
        <v>0</v>
      </c>
      <c r="I104" s="45"/>
      <c r="J104" s="48">
        <v>19</v>
      </c>
      <c r="K104" s="49">
        <f>資料儲存!D1640</f>
        <v>0</v>
      </c>
      <c r="L104" s="49">
        <f>資料儲存!E1640</f>
        <v>0</v>
      </c>
      <c r="M104" s="49">
        <f>資料儲存!F1640</f>
        <v>0</v>
      </c>
      <c r="N104" s="49">
        <f>資料儲存!G1640</f>
        <v>0</v>
      </c>
      <c r="O104" s="49">
        <f>資料儲存!H1640</f>
        <v>0</v>
      </c>
      <c r="P104" s="49">
        <f>資料儲存!I1640</f>
        <v>0</v>
      </c>
      <c r="Q104" s="49">
        <f>資料儲存!J1640</f>
        <v>0</v>
      </c>
      <c r="R104" s="45"/>
      <c r="S104" s="48">
        <v>19</v>
      </c>
      <c r="T104" s="49">
        <f>資料儲存!D1760</f>
        <v>0</v>
      </c>
      <c r="U104" s="49">
        <f>資料儲存!E1760</f>
        <v>0</v>
      </c>
      <c r="V104" s="49">
        <f>資料儲存!F1760</f>
        <v>0</v>
      </c>
      <c r="W104" s="49">
        <f>資料儲存!G1760</f>
        <v>0</v>
      </c>
      <c r="X104" s="49">
        <f>資料儲存!H1760</f>
        <v>0</v>
      </c>
      <c r="Y104" s="49">
        <f>資料儲存!I1760</f>
        <v>0</v>
      </c>
      <c r="Z104" s="49">
        <f>資料儲存!J1760</f>
        <v>0</v>
      </c>
      <c r="AA104" s="45"/>
      <c r="AB104" s="48">
        <v>19</v>
      </c>
      <c r="AC104" s="49">
        <f>資料儲存!D1880</f>
        <v>0</v>
      </c>
      <c r="AD104" s="49">
        <f>資料儲存!E1880</f>
        <v>0</v>
      </c>
      <c r="AE104" s="49">
        <f>資料儲存!F1880</f>
        <v>0</v>
      </c>
      <c r="AF104" s="49">
        <f>資料儲存!G1880</f>
        <v>0</v>
      </c>
      <c r="AG104" s="49">
        <f>資料儲存!H1880</f>
        <v>0</v>
      </c>
      <c r="AH104" s="49">
        <f>資料儲存!I1880</f>
        <v>0</v>
      </c>
      <c r="AI104" s="49">
        <f>資料儲存!J1880</f>
        <v>0</v>
      </c>
      <c r="AJ104" s="13"/>
    </row>
    <row r="105" spans="1:36" ht="16" thickBot="1">
      <c r="A105" s="48">
        <v>20</v>
      </c>
      <c r="B105" s="49">
        <f>資料儲存!D1521</f>
        <v>0</v>
      </c>
      <c r="C105" s="49">
        <f>資料儲存!E1521</f>
        <v>0</v>
      </c>
      <c r="D105" s="49">
        <f>資料儲存!F1521</f>
        <v>0</v>
      </c>
      <c r="E105" s="49">
        <f>資料儲存!G1521</f>
        <v>0</v>
      </c>
      <c r="F105" s="49">
        <f>資料儲存!H1521</f>
        <v>0</v>
      </c>
      <c r="G105" s="49">
        <f>資料儲存!I1521</f>
        <v>0</v>
      </c>
      <c r="H105" s="49">
        <f>資料儲存!J1521</f>
        <v>0</v>
      </c>
      <c r="I105" s="45"/>
      <c r="J105" s="48">
        <v>20</v>
      </c>
      <c r="K105" s="49">
        <f>資料儲存!D1641</f>
        <v>0</v>
      </c>
      <c r="L105" s="49">
        <f>資料儲存!E1641</f>
        <v>0</v>
      </c>
      <c r="M105" s="49">
        <f>資料儲存!F1641</f>
        <v>0</v>
      </c>
      <c r="N105" s="49">
        <f>資料儲存!G1641</f>
        <v>0</v>
      </c>
      <c r="O105" s="49">
        <f>資料儲存!H1641</f>
        <v>0</v>
      </c>
      <c r="P105" s="49">
        <f>資料儲存!I1641</f>
        <v>0</v>
      </c>
      <c r="Q105" s="49">
        <f>資料儲存!J1641</f>
        <v>0</v>
      </c>
      <c r="R105" s="45"/>
      <c r="S105" s="48">
        <v>20</v>
      </c>
      <c r="T105" s="49">
        <f>資料儲存!D1761</f>
        <v>0</v>
      </c>
      <c r="U105" s="49">
        <f>資料儲存!E1761</f>
        <v>0</v>
      </c>
      <c r="V105" s="49">
        <f>資料儲存!F1761</f>
        <v>0</v>
      </c>
      <c r="W105" s="49">
        <f>資料儲存!G1761</f>
        <v>0</v>
      </c>
      <c r="X105" s="49">
        <f>資料儲存!H1761</f>
        <v>0</v>
      </c>
      <c r="Y105" s="49">
        <f>資料儲存!I1761</f>
        <v>0</v>
      </c>
      <c r="Z105" s="49">
        <f>資料儲存!J1761</f>
        <v>0</v>
      </c>
      <c r="AA105" s="45"/>
      <c r="AB105" s="48">
        <v>20</v>
      </c>
      <c r="AC105" s="49">
        <f>資料儲存!D1881</f>
        <v>0</v>
      </c>
      <c r="AD105" s="49">
        <f>資料儲存!E1881</f>
        <v>0</v>
      </c>
      <c r="AE105" s="49">
        <f>資料儲存!F1881</f>
        <v>0</v>
      </c>
      <c r="AF105" s="49">
        <f>資料儲存!G1881</f>
        <v>0</v>
      </c>
      <c r="AG105" s="49">
        <f>資料儲存!H1881</f>
        <v>0</v>
      </c>
      <c r="AH105" s="49">
        <f>資料儲存!I1881</f>
        <v>0</v>
      </c>
      <c r="AI105" s="49">
        <f>資料儲存!J1881</f>
        <v>0</v>
      </c>
      <c r="AJ105" s="13"/>
    </row>
    <row r="106" spans="1:36" ht="16" thickBot="1">
      <c r="A106" s="48">
        <v>21</v>
      </c>
      <c r="B106" s="49">
        <f>資料儲存!D1522</f>
        <v>0</v>
      </c>
      <c r="C106" s="49">
        <f>資料儲存!E1522</f>
        <v>0</v>
      </c>
      <c r="D106" s="49">
        <f>資料儲存!F1522</f>
        <v>0</v>
      </c>
      <c r="E106" s="49">
        <f>資料儲存!G1522</f>
        <v>0</v>
      </c>
      <c r="F106" s="49">
        <f>資料儲存!H1522</f>
        <v>0</v>
      </c>
      <c r="G106" s="49">
        <f>資料儲存!I1522</f>
        <v>0</v>
      </c>
      <c r="H106" s="49">
        <f>資料儲存!J1522</f>
        <v>0</v>
      </c>
      <c r="I106" s="45"/>
      <c r="J106" s="48">
        <v>21</v>
      </c>
      <c r="K106" s="49">
        <f>資料儲存!D1642</f>
        <v>0</v>
      </c>
      <c r="L106" s="49">
        <f>資料儲存!E1642</f>
        <v>0</v>
      </c>
      <c r="M106" s="49">
        <f>資料儲存!F1642</f>
        <v>0</v>
      </c>
      <c r="N106" s="49">
        <f>資料儲存!G1642</f>
        <v>0</v>
      </c>
      <c r="O106" s="49">
        <f>資料儲存!H1642</f>
        <v>0</v>
      </c>
      <c r="P106" s="49">
        <f>資料儲存!I1642</f>
        <v>0</v>
      </c>
      <c r="Q106" s="49">
        <f>資料儲存!J1642</f>
        <v>0</v>
      </c>
      <c r="R106" s="45"/>
      <c r="S106" s="48">
        <v>21</v>
      </c>
      <c r="T106" s="49">
        <f>資料儲存!D1762</f>
        <v>0</v>
      </c>
      <c r="U106" s="49">
        <f>資料儲存!E1762</f>
        <v>0</v>
      </c>
      <c r="V106" s="49">
        <f>資料儲存!F1762</f>
        <v>0</v>
      </c>
      <c r="W106" s="49">
        <f>資料儲存!G1762</f>
        <v>0</v>
      </c>
      <c r="X106" s="49">
        <f>資料儲存!H1762</f>
        <v>0</v>
      </c>
      <c r="Y106" s="49">
        <f>資料儲存!I1762</f>
        <v>0</v>
      </c>
      <c r="Z106" s="49">
        <f>資料儲存!J1762</f>
        <v>0</v>
      </c>
      <c r="AA106" s="45"/>
      <c r="AB106" s="48">
        <v>21</v>
      </c>
      <c r="AC106" s="49">
        <f>資料儲存!D1882</f>
        <v>0</v>
      </c>
      <c r="AD106" s="49">
        <f>資料儲存!E1882</f>
        <v>0</v>
      </c>
      <c r="AE106" s="49">
        <f>資料儲存!F1882</f>
        <v>0</v>
      </c>
      <c r="AF106" s="49">
        <f>資料儲存!G1882</f>
        <v>0</v>
      </c>
      <c r="AG106" s="49">
        <f>資料儲存!H1882</f>
        <v>0</v>
      </c>
      <c r="AH106" s="49">
        <f>資料儲存!I1882</f>
        <v>0</v>
      </c>
      <c r="AI106" s="49">
        <f>資料儲存!J1882</f>
        <v>0</v>
      </c>
      <c r="AJ106" s="13"/>
    </row>
    <row r="107" spans="1:36" ht="16" thickBot="1">
      <c r="A107" s="48">
        <v>22</v>
      </c>
      <c r="B107" s="49">
        <f>資料儲存!D1523</f>
        <v>0</v>
      </c>
      <c r="C107" s="49">
        <f>資料儲存!E1523</f>
        <v>0</v>
      </c>
      <c r="D107" s="49">
        <f>資料儲存!F1523</f>
        <v>0</v>
      </c>
      <c r="E107" s="49">
        <f>資料儲存!G1523</f>
        <v>0</v>
      </c>
      <c r="F107" s="49">
        <f>資料儲存!H1523</f>
        <v>0</v>
      </c>
      <c r="G107" s="49">
        <f>資料儲存!I1523</f>
        <v>0</v>
      </c>
      <c r="H107" s="49">
        <f>資料儲存!J1523</f>
        <v>0</v>
      </c>
      <c r="I107" s="45"/>
      <c r="J107" s="48">
        <v>22</v>
      </c>
      <c r="K107" s="49">
        <f>資料儲存!D1643</f>
        <v>0</v>
      </c>
      <c r="L107" s="49">
        <f>資料儲存!E1643</f>
        <v>0</v>
      </c>
      <c r="M107" s="49">
        <f>資料儲存!F1643</f>
        <v>0</v>
      </c>
      <c r="N107" s="49">
        <f>資料儲存!G1643</f>
        <v>0</v>
      </c>
      <c r="O107" s="49">
        <f>資料儲存!H1643</f>
        <v>0</v>
      </c>
      <c r="P107" s="49">
        <f>資料儲存!I1643</f>
        <v>0</v>
      </c>
      <c r="Q107" s="49">
        <f>資料儲存!J1643</f>
        <v>0</v>
      </c>
      <c r="R107" s="45"/>
      <c r="S107" s="48">
        <v>22</v>
      </c>
      <c r="T107" s="49">
        <f>資料儲存!D1763</f>
        <v>0</v>
      </c>
      <c r="U107" s="49">
        <f>資料儲存!E1763</f>
        <v>0</v>
      </c>
      <c r="V107" s="49">
        <f>資料儲存!F1763</f>
        <v>0</v>
      </c>
      <c r="W107" s="49">
        <f>資料儲存!G1763</f>
        <v>0</v>
      </c>
      <c r="X107" s="49">
        <f>資料儲存!H1763</f>
        <v>0</v>
      </c>
      <c r="Y107" s="49">
        <f>資料儲存!I1763</f>
        <v>0</v>
      </c>
      <c r="Z107" s="49">
        <f>資料儲存!J1763</f>
        <v>0</v>
      </c>
      <c r="AA107" s="45"/>
      <c r="AB107" s="48">
        <v>22</v>
      </c>
      <c r="AC107" s="49">
        <f>資料儲存!D1883</f>
        <v>0</v>
      </c>
      <c r="AD107" s="49">
        <f>資料儲存!E1883</f>
        <v>0</v>
      </c>
      <c r="AE107" s="49">
        <f>資料儲存!F1883</f>
        <v>0</v>
      </c>
      <c r="AF107" s="49">
        <f>資料儲存!G1883</f>
        <v>0</v>
      </c>
      <c r="AG107" s="49">
        <f>資料儲存!H1883</f>
        <v>0</v>
      </c>
      <c r="AH107" s="49">
        <f>資料儲存!I1883</f>
        <v>0</v>
      </c>
      <c r="AI107" s="49">
        <f>資料儲存!J1883</f>
        <v>0</v>
      </c>
      <c r="AJ107" s="13"/>
    </row>
    <row r="108" spans="1:36" ht="16" thickBot="1">
      <c r="A108" s="48">
        <v>23</v>
      </c>
      <c r="B108" s="49">
        <f>資料儲存!D1524</f>
        <v>0</v>
      </c>
      <c r="C108" s="49">
        <f>資料儲存!E1524</f>
        <v>0</v>
      </c>
      <c r="D108" s="49">
        <f>資料儲存!F1524</f>
        <v>0</v>
      </c>
      <c r="E108" s="49">
        <f>資料儲存!G1524</f>
        <v>0</v>
      </c>
      <c r="F108" s="49">
        <f>資料儲存!H1524</f>
        <v>0</v>
      </c>
      <c r="G108" s="49">
        <f>資料儲存!I1524</f>
        <v>0</v>
      </c>
      <c r="H108" s="49">
        <f>資料儲存!J1524</f>
        <v>0</v>
      </c>
      <c r="I108" s="45"/>
      <c r="J108" s="48">
        <v>23</v>
      </c>
      <c r="K108" s="49">
        <f>資料儲存!D1644</f>
        <v>0</v>
      </c>
      <c r="L108" s="49">
        <f>資料儲存!E1644</f>
        <v>0</v>
      </c>
      <c r="M108" s="49">
        <f>資料儲存!F1644</f>
        <v>0</v>
      </c>
      <c r="N108" s="49">
        <f>資料儲存!G1644</f>
        <v>0</v>
      </c>
      <c r="O108" s="49">
        <f>資料儲存!H1644</f>
        <v>0</v>
      </c>
      <c r="P108" s="49">
        <f>資料儲存!I1644</f>
        <v>0</v>
      </c>
      <c r="Q108" s="49">
        <f>資料儲存!J1644</f>
        <v>0</v>
      </c>
      <c r="R108" s="45"/>
      <c r="S108" s="48">
        <v>23</v>
      </c>
      <c r="T108" s="49">
        <f>資料儲存!D1764</f>
        <v>0</v>
      </c>
      <c r="U108" s="49">
        <f>資料儲存!E1764</f>
        <v>0</v>
      </c>
      <c r="V108" s="49">
        <f>資料儲存!F1764</f>
        <v>0</v>
      </c>
      <c r="W108" s="49">
        <f>資料儲存!G1764</f>
        <v>0</v>
      </c>
      <c r="X108" s="49">
        <f>資料儲存!H1764</f>
        <v>0</v>
      </c>
      <c r="Y108" s="49">
        <f>資料儲存!I1764</f>
        <v>0</v>
      </c>
      <c r="Z108" s="49">
        <f>資料儲存!J1764</f>
        <v>0</v>
      </c>
      <c r="AA108" s="45"/>
      <c r="AB108" s="48">
        <v>23</v>
      </c>
      <c r="AC108" s="49">
        <f>資料儲存!D1884</f>
        <v>0</v>
      </c>
      <c r="AD108" s="49">
        <f>資料儲存!E1884</f>
        <v>0</v>
      </c>
      <c r="AE108" s="49">
        <f>資料儲存!F1884</f>
        <v>0</v>
      </c>
      <c r="AF108" s="49">
        <f>資料儲存!G1884</f>
        <v>0</v>
      </c>
      <c r="AG108" s="49">
        <f>資料儲存!H1884</f>
        <v>0</v>
      </c>
      <c r="AH108" s="49">
        <f>資料儲存!I1884</f>
        <v>0</v>
      </c>
      <c r="AI108" s="49">
        <f>資料儲存!J1884</f>
        <v>0</v>
      </c>
      <c r="AJ108" s="13"/>
    </row>
    <row r="109" spans="1:36" ht="16" thickBot="1">
      <c r="A109" s="48">
        <v>24</v>
      </c>
      <c r="B109" s="49">
        <f>資料儲存!D1525</f>
        <v>0</v>
      </c>
      <c r="C109" s="49">
        <f>資料儲存!E1525</f>
        <v>0</v>
      </c>
      <c r="D109" s="49">
        <f>資料儲存!F1525</f>
        <v>0</v>
      </c>
      <c r="E109" s="49">
        <f>資料儲存!G1525</f>
        <v>0</v>
      </c>
      <c r="F109" s="49">
        <f>資料儲存!H1525</f>
        <v>0</v>
      </c>
      <c r="G109" s="49">
        <f>資料儲存!I1525</f>
        <v>0</v>
      </c>
      <c r="H109" s="49">
        <f>資料儲存!J1525</f>
        <v>0</v>
      </c>
      <c r="I109" s="45"/>
      <c r="J109" s="48">
        <v>24</v>
      </c>
      <c r="K109" s="49">
        <f>資料儲存!D1645</f>
        <v>0</v>
      </c>
      <c r="L109" s="49">
        <f>資料儲存!E1645</f>
        <v>0</v>
      </c>
      <c r="M109" s="49">
        <f>資料儲存!F1645</f>
        <v>0</v>
      </c>
      <c r="N109" s="49">
        <f>資料儲存!G1645</f>
        <v>0</v>
      </c>
      <c r="O109" s="49">
        <f>資料儲存!H1645</f>
        <v>0</v>
      </c>
      <c r="P109" s="49">
        <f>資料儲存!I1645</f>
        <v>0</v>
      </c>
      <c r="Q109" s="49">
        <f>資料儲存!J1645</f>
        <v>0</v>
      </c>
      <c r="R109" s="45"/>
      <c r="S109" s="48">
        <v>24</v>
      </c>
      <c r="T109" s="49">
        <f>資料儲存!D1765</f>
        <v>0</v>
      </c>
      <c r="U109" s="49">
        <f>資料儲存!E1765</f>
        <v>0</v>
      </c>
      <c r="V109" s="49">
        <f>資料儲存!F1765</f>
        <v>0</v>
      </c>
      <c r="W109" s="49">
        <f>資料儲存!G1765</f>
        <v>0</v>
      </c>
      <c r="X109" s="49">
        <f>資料儲存!H1765</f>
        <v>0</v>
      </c>
      <c r="Y109" s="49">
        <f>資料儲存!I1765</f>
        <v>0</v>
      </c>
      <c r="Z109" s="49">
        <f>資料儲存!J1765</f>
        <v>0</v>
      </c>
      <c r="AA109" s="45"/>
      <c r="AB109" s="48">
        <v>24</v>
      </c>
      <c r="AC109" s="49">
        <f>資料儲存!D1885</f>
        <v>0</v>
      </c>
      <c r="AD109" s="49">
        <f>資料儲存!E1885</f>
        <v>0</v>
      </c>
      <c r="AE109" s="49">
        <f>資料儲存!F1885</f>
        <v>0</v>
      </c>
      <c r="AF109" s="49">
        <f>資料儲存!G1885</f>
        <v>0</v>
      </c>
      <c r="AG109" s="49">
        <f>資料儲存!H1885</f>
        <v>0</v>
      </c>
      <c r="AH109" s="49">
        <f>資料儲存!I1885</f>
        <v>0</v>
      </c>
      <c r="AI109" s="49">
        <f>資料儲存!J1885</f>
        <v>0</v>
      </c>
      <c r="AJ109" s="13"/>
    </row>
    <row r="110" spans="1:36" ht="16" thickBot="1">
      <c r="A110" s="48">
        <v>25</v>
      </c>
      <c r="B110" s="49">
        <f>資料儲存!D1526</f>
        <v>0</v>
      </c>
      <c r="C110" s="49">
        <f>資料儲存!E1526</f>
        <v>0</v>
      </c>
      <c r="D110" s="49">
        <f>資料儲存!F1526</f>
        <v>0</v>
      </c>
      <c r="E110" s="49">
        <f>資料儲存!G1526</f>
        <v>0</v>
      </c>
      <c r="F110" s="49">
        <f>資料儲存!H1526</f>
        <v>0</v>
      </c>
      <c r="G110" s="49">
        <f>資料儲存!I1526</f>
        <v>0</v>
      </c>
      <c r="H110" s="49">
        <f>資料儲存!J1526</f>
        <v>0</v>
      </c>
      <c r="I110" s="45"/>
      <c r="J110" s="48">
        <v>25</v>
      </c>
      <c r="K110" s="49">
        <f>資料儲存!D1646</f>
        <v>0</v>
      </c>
      <c r="L110" s="49">
        <f>資料儲存!E1646</f>
        <v>0</v>
      </c>
      <c r="M110" s="49">
        <f>資料儲存!F1646</f>
        <v>0</v>
      </c>
      <c r="N110" s="49">
        <f>資料儲存!G1646</f>
        <v>0</v>
      </c>
      <c r="O110" s="49">
        <f>資料儲存!H1646</f>
        <v>0</v>
      </c>
      <c r="P110" s="49">
        <f>資料儲存!I1646</f>
        <v>0</v>
      </c>
      <c r="Q110" s="49">
        <f>資料儲存!J1646</f>
        <v>0</v>
      </c>
      <c r="R110" s="45"/>
      <c r="S110" s="48">
        <v>25</v>
      </c>
      <c r="T110" s="49">
        <f>資料儲存!D1766</f>
        <v>0</v>
      </c>
      <c r="U110" s="49">
        <f>資料儲存!E1766</f>
        <v>0</v>
      </c>
      <c r="V110" s="49">
        <f>資料儲存!F1766</f>
        <v>0</v>
      </c>
      <c r="W110" s="49">
        <f>資料儲存!G1766</f>
        <v>0</v>
      </c>
      <c r="X110" s="49">
        <f>資料儲存!H1766</f>
        <v>0</v>
      </c>
      <c r="Y110" s="49">
        <f>資料儲存!I1766</f>
        <v>0</v>
      </c>
      <c r="Z110" s="49">
        <f>資料儲存!J1766</f>
        <v>0</v>
      </c>
      <c r="AA110" s="45"/>
      <c r="AB110" s="48">
        <v>25</v>
      </c>
      <c r="AC110" s="49">
        <f>資料儲存!D1886</f>
        <v>0</v>
      </c>
      <c r="AD110" s="49">
        <f>資料儲存!E1886</f>
        <v>0</v>
      </c>
      <c r="AE110" s="49">
        <f>資料儲存!F1886</f>
        <v>0</v>
      </c>
      <c r="AF110" s="49">
        <f>資料儲存!G1886</f>
        <v>0</v>
      </c>
      <c r="AG110" s="49">
        <f>資料儲存!H1886</f>
        <v>0</v>
      </c>
      <c r="AH110" s="49">
        <f>資料儲存!I1886</f>
        <v>0</v>
      </c>
      <c r="AI110" s="49">
        <f>資料儲存!J1886</f>
        <v>0</v>
      </c>
      <c r="AJ110" s="13"/>
    </row>
    <row r="111" spans="1:36" ht="16" thickBot="1">
      <c r="A111" s="48">
        <v>26</v>
      </c>
      <c r="B111" s="49">
        <f>資料儲存!D1527</f>
        <v>0</v>
      </c>
      <c r="C111" s="49">
        <f>資料儲存!E1527</f>
        <v>0</v>
      </c>
      <c r="D111" s="49">
        <f>資料儲存!F1527</f>
        <v>0</v>
      </c>
      <c r="E111" s="49">
        <f>資料儲存!G1527</f>
        <v>0</v>
      </c>
      <c r="F111" s="49">
        <f>資料儲存!H1527</f>
        <v>0</v>
      </c>
      <c r="G111" s="49">
        <f>資料儲存!I1527</f>
        <v>0</v>
      </c>
      <c r="H111" s="49">
        <f>資料儲存!J1527</f>
        <v>0</v>
      </c>
      <c r="I111" s="45"/>
      <c r="J111" s="48">
        <v>26</v>
      </c>
      <c r="K111" s="49">
        <f>資料儲存!D1647</f>
        <v>0</v>
      </c>
      <c r="L111" s="49">
        <f>資料儲存!E1647</f>
        <v>0</v>
      </c>
      <c r="M111" s="49">
        <f>資料儲存!F1647</f>
        <v>0</v>
      </c>
      <c r="N111" s="49">
        <f>資料儲存!G1647</f>
        <v>0</v>
      </c>
      <c r="O111" s="49">
        <f>資料儲存!H1647</f>
        <v>0</v>
      </c>
      <c r="P111" s="49">
        <f>資料儲存!I1647</f>
        <v>0</v>
      </c>
      <c r="Q111" s="49">
        <f>資料儲存!J1647</f>
        <v>0</v>
      </c>
      <c r="R111" s="45"/>
      <c r="S111" s="48">
        <v>26</v>
      </c>
      <c r="T111" s="49">
        <f>資料儲存!D1767</f>
        <v>0</v>
      </c>
      <c r="U111" s="49">
        <f>資料儲存!E1767</f>
        <v>0</v>
      </c>
      <c r="V111" s="49">
        <f>資料儲存!F1767</f>
        <v>0</v>
      </c>
      <c r="W111" s="49">
        <f>資料儲存!G1767</f>
        <v>0</v>
      </c>
      <c r="X111" s="49">
        <f>資料儲存!H1767</f>
        <v>0</v>
      </c>
      <c r="Y111" s="49">
        <f>資料儲存!I1767</f>
        <v>0</v>
      </c>
      <c r="Z111" s="49">
        <f>資料儲存!J1767</f>
        <v>0</v>
      </c>
      <c r="AA111" s="45"/>
      <c r="AB111" s="48">
        <v>26</v>
      </c>
      <c r="AC111" s="49">
        <f>資料儲存!D1887</f>
        <v>0</v>
      </c>
      <c r="AD111" s="49">
        <f>資料儲存!E1887</f>
        <v>0</v>
      </c>
      <c r="AE111" s="49">
        <f>資料儲存!F1887</f>
        <v>0</v>
      </c>
      <c r="AF111" s="49">
        <f>資料儲存!G1887</f>
        <v>0</v>
      </c>
      <c r="AG111" s="49">
        <f>資料儲存!H1887</f>
        <v>0</v>
      </c>
      <c r="AH111" s="49">
        <f>資料儲存!I1887</f>
        <v>0</v>
      </c>
      <c r="AI111" s="49">
        <f>資料儲存!J1887</f>
        <v>0</v>
      </c>
      <c r="AJ111" s="13"/>
    </row>
    <row r="112" spans="1:36" ht="16" thickBot="1">
      <c r="A112" s="48">
        <v>27</v>
      </c>
      <c r="B112" s="49">
        <f>資料儲存!D1528</f>
        <v>0</v>
      </c>
      <c r="C112" s="49">
        <f>資料儲存!E1528</f>
        <v>0</v>
      </c>
      <c r="D112" s="49">
        <f>資料儲存!F1528</f>
        <v>0</v>
      </c>
      <c r="E112" s="49">
        <f>資料儲存!G1528</f>
        <v>0</v>
      </c>
      <c r="F112" s="49">
        <f>資料儲存!H1528</f>
        <v>0</v>
      </c>
      <c r="G112" s="49">
        <f>資料儲存!I1528</f>
        <v>0</v>
      </c>
      <c r="H112" s="49">
        <f>資料儲存!J1528</f>
        <v>0</v>
      </c>
      <c r="I112" s="45"/>
      <c r="J112" s="48">
        <v>27</v>
      </c>
      <c r="K112" s="49">
        <f>資料儲存!D1648</f>
        <v>0</v>
      </c>
      <c r="L112" s="49">
        <f>資料儲存!E1648</f>
        <v>0</v>
      </c>
      <c r="M112" s="49">
        <f>資料儲存!F1648</f>
        <v>0</v>
      </c>
      <c r="N112" s="49">
        <f>資料儲存!G1648</f>
        <v>0</v>
      </c>
      <c r="O112" s="49">
        <f>資料儲存!H1648</f>
        <v>0</v>
      </c>
      <c r="P112" s="49">
        <f>資料儲存!I1648</f>
        <v>0</v>
      </c>
      <c r="Q112" s="49">
        <f>資料儲存!J1648</f>
        <v>0</v>
      </c>
      <c r="R112" s="45"/>
      <c r="S112" s="48">
        <v>27</v>
      </c>
      <c r="T112" s="49">
        <f>資料儲存!D1768</f>
        <v>0</v>
      </c>
      <c r="U112" s="49">
        <f>資料儲存!E1768</f>
        <v>0</v>
      </c>
      <c r="V112" s="49">
        <f>資料儲存!F1768</f>
        <v>0</v>
      </c>
      <c r="W112" s="49">
        <f>資料儲存!G1768</f>
        <v>0</v>
      </c>
      <c r="X112" s="49">
        <f>資料儲存!H1768</f>
        <v>0</v>
      </c>
      <c r="Y112" s="49">
        <f>資料儲存!I1768</f>
        <v>0</v>
      </c>
      <c r="Z112" s="49">
        <f>資料儲存!J1768</f>
        <v>0</v>
      </c>
      <c r="AA112" s="45"/>
      <c r="AB112" s="48">
        <v>27</v>
      </c>
      <c r="AC112" s="49">
        <f>資料儲存!D1888</f>
        <v>0</v>
      </c>
      <c r="AD112" s="49">
        <f>資料儲存!E1888</f>
        <v>0</v>
      </c>
      <c r="AE112" s="49">
        <f>資料儲存!F1888</f>
        <v>0</v>
      </c>
      <c r="AF112" s="49">
        <f>資料儲存!G1888</f>
        <v>0</v>
      </c>
      <c r="AG112" s="49">
        <f>資料儲存!H1888</f>
        <v>0</v>
      </c>
      <c r="AH112" s="49">
        <f>資料儲存!I1888</f>
        <v>0</v>
      </c>
      <c r="AI112" s="49">
        <f>資料儲存!J1888</f>
        <v>0</v>
      </c>
      <c r="AJ112" s="13"/>
    </row>
    <row r="113" spans="1:36" ht="16" thickBot="1">
      <c r="A113" s="48">
        <v>28</v>
      </c>
      <c r="B113" s="49">
        <f>資料儲存!D1529</f>
        <v>0</v>
      </c>
      <c r="C113" s="49">
        <f>資料儲存!E1529</f>
        <v>0</v>
      </c>
      <c r="D113" s="49">
        <f>資料儲存!F1529</f>
        <v>0</v>
      </c>
      <c r="E113" s="49">
        <f>資料儲存!G1529</f>
        <v>0</v>
      </c>
      <c r="F113" s="49">
        <f>資料儲存!H1529</f>
        <v>0</v>
      </c>
      <c r="G113" s="49">
        <f>資料儲存!I1529</f>
        <v>0</v>
      </c>
      <c r="H113" s="49">
        <f>資料儲存!J1529</f>
        <v>0</v>
      </c>
      <c r="I113" s="45"/>
      <c r="J113" s="48">
        <v>28</v>
      </c>
      <c r="K113" s="49">
        <f>資料儲存!D1649</f>
        <v>0</v>
      </c>
      <c r="L113" s="49">
        <f>資料儲存!E1649</f>
        <v>0</v>
      </c>
      <c r="M113" s="49">
        <f>資料儲存!F1649</f>
        <v>0</v>
      </c>
      <c r="N113" s="49">
        <f>資料儲存!G1649</f>
        <v>0</v>
      </c>
      <c r="O113" s="49">
        <f>資料儲存!H1649</f>
        <v>0</v>
      </c>
      <c r="P113" s="49">
        <f>資料儲存!I1649</f>
        <v>0</v>
      </c>
      <c r="Q113" s="49">
        <f>資料儲存!J1649</f>
        <v>0</v>
      </c>
      <c r="R113" s="45"/>
      <c r="S113" s="48">
        <v>28</v>
      </c>
      <c r="T113" s="49">
        <f>資料儲存!D1769</f>
        <v>0</v>
      </c>
      <c r="U113" s="49">
        <f>資料儲存!E1769</f>
        <v>0</v>
      </c>
      <c r="V113" s="49">
        <f>資料儲存!F1769</f>
        <v>0</v>
      </c>
      <c r="W113" s="49">
        <f>資料儲存!G1769</f>
        <v>0</v>
      </c>
      <c r="X113" s="49">
        <f>資料儲存!H1769</f>
        <v>0</v>
      </c>
      <c r="Y113" s="49">
        <f>資料儲存!I1769</f>
        <v>0</v>
      </c>
      <c r="Z113" s="49">
        <f>資料儲存!J1769</f>
        <v>0</v>
      </c>
      <c r="AA113" s="45"/>
      <c r="AB113" s="48">
        <v>28</v>
      </c>
      <c r="AC113" s="49">
        <f>資料儲存!D1889</f>
        <v>0</v>
      </c>
      <c r="AD113" s="49">
        <f>資料儲存!E1889</f>
        <v>0</v>
      </c>
      <c r="AE113" s="49">
        <f>資料儲存!F1889</f>
        <v>0</v>
      </c>
      <c r="AF113" s="49">
        <f>資料儲存!G1889</f>
        <v>0</v>
      </c>
      <c r="AG113" s="49">
        <f>資料儲存!H1889</f>
        <v>0</v>
      </c>
      <c r="AH113" s="49">
        <f>資料儲存!I1889</f>
        <v>0</v>
      </c>
      <c r="AI113" s="49">
        <f>資料儲存!J1889</f>
        <v>0</v>
      </c>
      <c r="AJ113" s="13"/>
    </row>
    <row r="114" spans="1:36" ht="16" thickBot="1">
      <c r="A114" s="48">
        <v>29</v>
      </c>
      <c r="B114" s="49">
        <f>資料儲存!D1530</f>
        <v>0</v>
      </c>
      <c r="C114" s="49">
        <f>資料儲存!E1530</f>
        <v>0</v>
      </c>
      <c r="D114" s="49">
        <f>資料儲存!F1530</f>
        <v>0</v>
      </c>
      <c r="E114" s="49">
        <f>資料儲存!G1530</f>
        <v>0</v>
      </c>
      <c r="F114" s="49">
        <f>資料儲存!H1530</f>
        <v>0</v>
      </c>
      <c r="G114" s="49">
        <f>資料儲存!I1530</f>
        <v>0</v>
      </c>
      <c r="H114" s="49">
        <f>資料儲存!J1530</f>
        <v>0</v>
      </c>
      <c r="I114" s="45"/>
      <c r="J114" s="48">
        <v>29</v>
      </c>
      <c r="K114" s="49">
        <f>資料儲存!D1650</f>
        <v>0</v>
      </c>
      <c r="L114" s="49">
        <f>資料儲存!E1650</f>
        <v>0</v>
      </c>
      <c r="M114" s="49">
        <f>資料儲存!F1650</f>
        <v>0</v>
      </c>
      <c r="N114" s="49">
        <f>資料儲存!G1650</f>
        <v>0</v>
      </c>
      <c r="O114" s="49">
        <f>資料儲存!H1650</f>
        <v>0</v>
      </c>
      <c r="P114" s="49">
        <f>資料儲存!I1650</f>
        <v>0</v>
      </c>
      <c r="Q114" s="49">
        <f>資料儲存!J1650</f>
        <v>0</v>
      </c>
      <c r="R114" s="45"/>
      <c r="S114" s="48">
        <v>29</v>
      </c>
      <c r="T114" s="49">
        <f>資料儲存!D1770</f>
        <v>0</v>
      </c>
      <c r="U114" s="49">
        <f>資料儲存!E1770</f>
        <v>0</v>
      </c>
      <c r="V114" s="49">
        <f>資料儲存!F1770</f>
        <v>0</v>
      </c>
      <c r="W114" s="49">
        <f>資料儲存!G1770</f>
        <v>0</v>
      </c>
      <c r="X114" s="49">
        <f>資料儲存!H1770</f>
        <v>0</v>
      </c>
      <c r="Y114" s="49">
        <f>資料儲存!I1770</f>
        <v>0</v>
      </c>
      <c r="Z114" s="49">
        <f>資料儲存!J1770</f>
        <v>0</v>
      </c>
      <c r="AA114" s="45"/>
      <c r="AB114" s="48">
        <v>29</v>
      </c>
      <c r="AC114" s="49">
        <f>資料儲存!D1890</f>
        <v>0</v>
      </c>
      <c r="AD114" s="49">
        <f>資料儲存!E1890</f>
        <v>0</v>
      </c>
      <c r="AE114" s="49">
        <f>資料儲存!F1890</f>
        <v>0</v>
      </c>
      <c r="AF114" s="49">
        <f>資料儲存!G1890</f>
        <v>0</v>
      </c>
      <c r="AG114" s="49">
        <f>資料儲存!H1890</f>
        <v>0</v>
      </c>
      <c r="AH114" s="49">
        <f>資料儲存!I1890</f>
        <v>0</v>
      </c>
      <c r="AI114" s="49">
        <f>資料儲存!J1890</f>
        <v>0</v>
      </c>
      <c r="AJ114" s="13"/>
    </row>
    <row r="115" spans="1:36" ht="16" thickBot="1">
      <c r="A115" s="48">
        <v>30</v>
      </c>
      <c r="B115" s="49">
        <f>資料儲存!D1531</f>
        <v>0</v>
      </c>
      <c r="C115" s="49">
        <f>資料儲存!E1531</f>
        <v>0</v>
      </c>
      <c r="D115" s="49">
        <f>資料儲存!F1531</f>
        <v>0</v>
      </c>
      <c r="E115" s="49">
        <f>資料儲存!G1531</f>
        <v>0</v>
      </c>
      <c r="F115" s="49">
        <f>資料儲存!H1531</f>
        <v>0</v>
      </c>
      <c r="G115" s="49">
        <f>資料儲存!I1531</f>
        <v>0</v>
      </c>
      <c r="H115" s="49">
        <f>資料儲存!J1531</f>
        <v>0</v>
      </c>
      <c r="I115" s="45"/>
      <c r="J115" s="48">
        <v>30</v>
      </c>
      <c r="K115" s="49">
        <f>資料儲存!D1651</f>
        <v>0</v>
      </c>
      <c r="L115" s="49">
        <f>資料儲存!E1651</f>
        <v>0</v>
      </c>
      <c r="M115" s="49">
        <f>資料儲存!F1651</f>
        <v>0</v>
      </c>
      <c r="N115" s="49">
        <f>資料儲存!G1651</f>
        <v>0</v>
      </c>
      <c r="O115" s="49">
        <f>資料儲存!H1651</f>
        <v>0</v>
      </c>
      <c r="P115" s="49">
        <f>資料儲存!I1651</f>
        <v>0</v>
      </c>
      <c r="Q115" s="49">
        <f>資料儲存!J1651</f>
        <v>0</v>
      </c>
      <c r="R115" s="45"/>
      <c r="S115" s="48">
        <v>30</v>
      </c>
      <c r="T115" s="49">
        <f>資料儲存!D1771</f>
        <v>0</v>
      </c>
      <c r="U115" s="49">
        <f>資料儲存!E1771</f>
        <v>0</v>
      </c>
      <c r="V115" s="49">
        <f>資料儲存!F1771</f>
        <v>0</v>
      </c>
      <c r="W115" s="49">
        <f>資料儲存!G1771</f>
        <v>0</v>
      </c>
      <c r="X115" s="49">
        <f>資料儲存!H1771</f>
        <v>0</v>
      </c>
      <c r="Y115" s="49">
        <f>資料儲存!I1771</f>
        <v>0</v>
      </c>
      <c r="Z115" s="49">
        <f>資料儲存!J1771</f>
        <v>0</v>
      </c>
      <c r="AA115" s="45"/>
      <c r="AB115" s="48">
        <v>30</v>
      </c>
      <c r="AC115" s="49">
        <f>資料儲存!D1891</f>
        <v>0</v>
      </c>
      <c r="AD115" s="49">
        <f>資料儲存!E1891</f>
        <v>0</v>
      </c>
      <c r="AE115" s="49">
        <f>資料儲存!F1891</f>
        <v>0</v>
      </c>
      <c r="AF115" s="49">
        <f>資料儲存!G1891</f>
        <v>0</v>
      </c>
      <c r="AG115" s="49">
        <f>資料儲存!H1891</f>
        <v>0</v>
      </c>
      <c r="AH115" s="49">
        <f>資料儲存!I1891</f>
        <v>0</v>
      </c>
      <c r="AI115" s="49">
        <f>資料儲存!J1891</f>
        <v>0</v>
      </c>
      <c r="AJ115" s="13"/>
    </row>
    <row r="116" spans="1:36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</row>
    <row r="117" spans="1:36" ht="18.5" thickBot="1">
      <c r="A117" s="250" t="s">
        <v>165</v>
      </c>
      <c r="B117" s="251"/>
      <c r="C117" s="251"/>
      <c r="D117" s="251"/>
      <c r="E117" s="251"/>
      <c r="F117" s="251"/>
      <c r="G117" s="251"/>
      <c r="H117" s="252"/>
      <c r="I117" s="13"/>
      <c r="J117" s="250" t="s">
        <v>165</v>
      </c>
      <c r="K117" s="251"/>
      <c r="L117" s="251"/>
      <c r="M117" s="251"/>
      <c r="N117" s="251"/>
      <c r="O117" s="251"/>
      <c r="P117" s="251"/>
      <c r="Q117" s="252"/>
      <c r="R117" s="13"/>
      <c r="S117" s="250" t="s">
        <v>165</v>
      </c>
      <c r="T117" s="251"/>
      <c r="U117" s="251"/>
      <c r="V117" s="251"/>
      <c r="W117" s="251"/>
      <c r="X117" s="251"/>
      <c r="Y117" s="251"/>
      <c r="Z117" s="252"/>
      <c r="AA117" s="13"/>
      <c r="AB117" s="250" t="s">
        <v>165</v>
      </c>
      <c r="AC117" s="251"/>
      <c r="AD117" s="251"/>
      <c r="AE117" s="251"/>
      <c r="AF117" s="251"/>
      <c r="AG117" s="251"/>
      <c r="AH117" s="251"/>
      <c r="AI117" s="252"/>
      <c r="AJ117" s="13"/>
    </row>
    <row r="118" spans="1:36" ht="17.25" customHeight="1" thickBot="1">
      <c r="A118" s="31" t="s">
        <v>2</v>
      </c>
      <c r="B118" s="32" t="s">
        <v>46</v>
      </c>
      <c r="C118" s="33"/>
      <c r="D118" s="33"/>
      <c r="E118" s="34"/>
      <c r="F118" s="32" t="s">
        <v>47</v>
      </c>
      <c r="G118" s="33"/>
      <c r="H118" s="34"/>
      <c r="I118" s="35"/>
      <c r="J118" s="31" t="s">
        <v>2</v>
      </c>
      <c r="K118" s="32" t="s">
        <v>46</v>
      </c>
      <c r="L118" s="33"/>
      <c r="M118" s="33"/>
      <c r="N118" s="34"/>
      <c r="O118" s="32" t="s">
        <v>47</v>
      </c>
      <c r="P118" s="33"/>
      <c r="Q118" s="34"/>
      <c r="R118" s="35"/>
      <c r="S118" s="31" t="s">
        <v>2</v>
      </c>
      <c r="T118" s="32" t="s">
        <v>46</v>
      </c>
      <c r="U118" s="33"/>
      <c r="V118" s="33"/>
      <c r="W118" s="34"/>
      <c r="X118" s="32" t="s">
        <v>47</v>
      </c>
      <c r="Y118" s="33"/>
      <c r="Z118" s="34"/>
      <c r="AA118" s="35"/>
      <c r="AB118" s="31" t="s">
        <v>2</v>
      </c>
      <c r="AC118" s="32" t="s">
        <v>46</v>
      </c>
      <c r="AD118" s="33"/>
      <c r="AE118" s="33"/>
      <c r="AF118" s="34"/>
      <c r="AG118" s="32" t="s">
        <v>47</v>
      </c>
      <c r="AH118" s="33"/>
      <c r="AI118" s="34"/>
      <c r="AJ118" s="13"/>
    </row>
    <row r="119" spans="1:36" ht="16" thickBot="1">
      <c r="A119" s="36">
        <v>0.5625</v>
      </c>
      <c r="B119" s="37" t="s">
        <v>49</v>
      </c>
      <c r="C119" s="37" t="s">
        <v>50</v>
      </c>
      <c r="D119" s="37" t="s">
        <v>51</v>
      </c>
      <c r="E119" s="37" t="s">
        <v>52</v>
      </c>
      <c r="F119" s="37" t="s">
        <v>53</v>
      </c>
      <c r="G119" s="37" t="s">
        <v>54</v>
      </c>
      <c r="H119" s="37" t="s">
        <v>55</v>
      </c>
      <c r="I119" s="35"/>
      <c r="J119" s="36">
        <v>0.5625</v>
      </c>
      <c r="K119" s="37" t="s">
        <v>49</v>
      </c>
      <c r="L119" s="37" t="s">
        <v>50</v>
      </c>
      <c r="M119" s="37" t="s">
        <v>51</v>
      </c>
      <c r="N119" s="37" t="s">
        <v>52</v>
      </c>
      <c r="O119" s="37" t="s">
        <v>53</v>
      </c>
      <c r="P119" s="37" t="s">
        <v>54</v>
      </c>
      <c r="Q119" s="37" t="s">
        <v>55</v>
      </c>
      <c r="R119" s="35"/>
      <c r="S119" s="36">
        <v>0.5625</v>
      </c>
      <c r="T119" s="37" t="s">
        <v>49</v>
      </c>
      <c r="U119" s="37" t="s">
        <v>50</v>
      </c>
      <c r="V119" s="37" t="s">
        <v>51</v>
      </c>
      <c r="W119" s="37" t="s">
        <v>52</v>
      </c>
      <c r="X119" s="37" t="s">
        <v>53</v>
      </c>
      <c r="Y119" s="37" t="s">
        <v>54</v>
      </c>
      <c r="Z119" s="37" t="s">
        <v>55</v>
      </c>
      <c r="AA119" s="35"/>
      <c r="AB119" s="36">
        <v>0.5625</v>
      </c>
      <c r="AC119" s="37" t="s">
        <v>49</v>
      </c>
      <c r="AD119" s="37" t="s">
        <v>50</v>
      </c>
      <c r="AE119" s="37" t="s">
        <v>51</v>
      </c>
      <c r="AF119" s="37" t="s">
        <v>52</v>
      </c>
      <c r="AG119" s="37" t="s">
        <v>53</v>
      </c>
      <c r="AH119" s="37" t="s">
        <v>54</v>
      </c>
      <c r="AI119" s="37" t="s">
        <v>55</v>
      </c>
      <c r="AJ119" s="13"/>
    </row>
    <row r="120" spans="1:36" ht="16" thickBot="1">
      <c r="A120" s="38">
        <v>31</v>
      </c>
      <c r="B120" s="39">
        <f>資料儲存!D1532</f>
        <v>0</v>
      </c>
      <c r="C120" s="39">
        <f>資料儲存!E1532</f>
        <v>0</v>
      </c>
      <c r="D120" s="39">
        <f>資料儲存!F1532</f>
        <v>0</v>
      </c>
      <c r="E120" s="39">
        <f>資料儲存!G1532</f>
        <v>0</v>
      </c>
      <c r="F120" s="39">
        <f>資料儲存!H1532</f>
        <v>0</v>
      </c>
      <c r="G120" s="39">
        <f>資料儲存!I1532</f>
        <v>0</v>
      </c>
      <c r="H120" s="39">
        <f>資料儲存!J1532</f>
        <v>0</v>
      </c>
      <c r="I120" s="35"/>
      <c r="J120" s="38">
        <v>31</v>
      </c>
      <c r="K120" s="39">
        <f>資料儲存!D1652</f>
        <v>0</v>
      </c>
      <c r="L120" s="39">
        <f>資料儲存!E1652</f>
        <v>0</v>
      </c>
      <c r="M120" s="39">
        <f>資料儲存!F1652</f>
        <v>0</v>
      </c>
      <c r="N120" s="39">
        <f>資料儲存!G1652</f>
        <v>0</v>
      </c>
      <c r="O120" s="39">
        <f>資料儲存!H1652</f>
        <v>0</v>
      </c>
      <c r="P120" s="39">
        <f>資料儲存!I1652</f>
        <v>0</v>
      </c>
      <c r="Q120" s="39">
        <f>資料儲存!J1652</f>
        <v>0</v>
      </c>
      <c r="R120" s="35"/>
      <c r="S120" s="38">
        <v>31</v>
      </c>
      <c r="T120" s="39">
        <f>資料儲存!D1772</f>
        <v>0</v>
      </c>
      <c r="U120" s="39">
        <f>資料儲存!E1772</f>
        <v>0</v>
      </c>
      <c r="V120" s="39">
        <f>資料儲存!F1772</f>
        <v>0</v>
      </c>
      <c r="W120" s="39">
        <f>資料儲存!G1772</f>
        <v>0</v>
      </c>
      <c r="X120" s="39">
        <f>資料儲存!H1772</f>
        <v>0</v>
      </c>
      <c r="Y120" s="39">
        <f>資料儲存!I1772</f>
        <v>0</v>
      </c>
      <c r="Z120" s="39">
        <f>資料儲存!J1772</f>
        <v>0</v>
      </c>
      <c r="AA120" s="35"/>
      <c r="AB120" s="38">
        <v>31</v>
      </c>
      <c r="AC120" s="39">
        <f>資料儲存!D1892</f>
        <v>0</v>
      </c>
      <c r="AD120" s="39">
        <f>資料儲存!E1892</f>
        <v>0</v>
      </c>
      <c r="AE120" s="39">
        <f>資料儲存!F1892</f>
        <v>0</v>
      </c>
      <c r="AF120" s="39">
        <f>資料儲存!G1892</f>
        <v>0</v>
      </c>
      <c r="AG120" s="39">
        <f>資料儲存!H1892</f>
        <v>0</v>
      </c>
      <c r="AH120" s="39">
        <f>資料儲存!I1892</f>
        <v>0</v>
      </c>
      <c r="AI120" s="39">
        <f>資料儲存!J1892</f>
        <v>0</v>
      </c>
      <c r="AJ120" s="13"/>
    </row>
    <row r="121" spans="1:36" ht="16" thickBot="1">
      <c r="A121" s="38">
        <v>32</v>
      </c>
      <c r="B121" s="39">
        <f>資料儲存!D1533</f>
        <v>0</v>
      </c>
      <c r="C121" s="39">
        <f>資料儲存!E1533</f>
        <v>0</v>
      </c>
      <c r="D121" s="39">
        <f>資料儲存!F1533</f>
        <v>0</v>
      </c>
      <c r="E121" s="39">
        <f>資料儲存!G1533</f>
        <v>0</v>
      </c>
      <c r="F121" s="39">
        <f>資料儲存!H1533</f>
        <v>0</v>
      </c>
      <c r="G121" s="39">
        <f>資料儲存!I1533</f>
        <v>0</v>
      </c>
      <c r="H121" s="39">
        <f>資料儲存!J1533</f>
        <v>0</v>
      </c>
      <c r="I121" s="35"/>
      <c r="J121" s="38">
        <v>32</v>
      </c>
      <c r="K121" s="39">
        <f>資料儲存!D1653</f>
        <v>0</v>
      </c>
      <c r="L121" s="39">
        <f>資料儲存!E1653</f>
        <v>0</v>
      </c>
      <c r="M121" s="39">
        <f>資料儲存!F1653</f>
        <v>0</v>
      </c>
      <c r="N121" s="39">
        <f>資料儲存!G1653</f>
        <v>0</v>
      </c>
      <c r="O121" s="39">
        <f>資料儲存!H1653</f>
        <v>0</v>
      </c>
      <c r="P121" s="39">
        <f>資料儲存!I1653</f>
        <v>0</v>
      </c>
      <c r="Q121" s="39">
        <f>資料儲存!J1653</f>
        <v>0</v>
      </c>
      <c r="R121" s="35"/>
      <c r="S121" s="38">
        <v>32</v>
      </c>
      <c r="T121" s="39">
        <f>資料儲存!D1773</f>
        <v>0</v>
      </c>
      <c r="U121" s="39">
        <f>資料儲存!E1773</f>
        <v>0</v>
      </c>
      <c r="V121" s="39">
        <f>資料儲存!F1773</f>
        <v>0</v>
      </c>
      <c r="W121" s="39">
        <f>資料儲存!G1773</f>
        <v>0</v>
      </c>
      <c r="X121" s="39">
        <f>資料儲存!H1773</f>
        <v>0</v>
      </c>
      <c r="Y121" s="39">
        <f>資料儲存!I1773</f>
        <v>0</v>
      </c>
      <c r="Z121" s="39">
        <f>資料儲存!J1773</f>
        <v>0</v>
      </c>
      <c r="AA121" s="35"/>
      <c r="AB121" s="38">
        <v>32</v>
      </c>
      <c r="AC121" s="39">
        <f>資料儲存!D1893</f>
        <v>0</v>
      </c>
      <c r="AD121" s="39">
        <f>資料儲存!E1893</f>
        <v>0</v>
      </c>
      <c r="AE121" s="39">
        <f>資料儲存!F1893</f>
        <v>0</v>
      </c>
      <c r="AF121" s="39">
        <f>資料儲存!G1893</f>
        <v>0</v>
      </c>
      <c r="AG121" s="39">
        <f>資料儲存!H1893</f>
        <v>0</v>
      </c>
      <c r="AH121" s="39">
        <f>資料儲存!I1893</f>
        <v>0</v>
      </c>
      <c r="AI121" s="39">
        <f>資料儲存!J1893</f>
        <v>0</v>
      </c>
      <c r="AJ121" s="13"/>
    </row>
    <row r="122" spans="1:36" ht="16" thickBot="1">
      <c r="A122" s="38">
        <v>33</v>
      </c>
      <c r="B122" s="39">
        <f>資料儲存!D1534</f>
        <v>0</v>
      </c>
      <c r="C122" s="39">
        <f>資料儲存!E1534</f>
        <v>0</v>
      </c>
      <c r="D122" s="39">
        <f>資料儲存!F1534</f>
        <v>0</v>
      </c>
      <c r="E122" s="39">
        <f>資料儲存!G1534</f>
        <v>0</v>
      </c>
      <c r="F122" s="39">
        <f>資料儲存!H1534</f>
        <v>0</v>
      </c>
      <c r="G122" s="39">
        <f>資料儲存!I1534</f>
        <v>0</v>
      </c>
      <c r="H122" s="39">
        <f>資料儲存!J1534</f>
        <v>0</v>
      </c>
      <c r="I122" s="35"/>
      <c r="J122" s="38">
        <v>33</v>
      </c>
      <c r="K122" s="39">
        <f>資料儲存!D1654</f>
        <v>0</v>
      </c>
      <c r="L122" s="39">
        <f>資料儲存!E1654</f>
        <v>0</v>
      </c>
      <c r="M122" s="39">
        <f>資料儲存!F1654</f>
        <v>0</v>
      </c>
      <c r="N122" s="39">
        <f>資料儲存!G1654</f>
        <v>0</v>
      </c>
      <c r="O122" s="39">
        <f>資料儲存!H1654</f>
        <v>0</v>
      </c>
      <c r="P122" s="39">
        <f>資料儲存!I1654</f>
        <v>0</v>
      </c>
      <c r="Q122" s="39">
        <f>資料儲存!J1654</f>
        <v>0</v>
      </c>
      <c r="R122" s="35"/>
      <c r="S122" s="38">
        <v>33</v>
      </c>
      <c r="T122" s="39">
        <f>資料儲存!D1774</f>
        <v>0</v>
      </c>
      <c r="U122" s="39">
        <f>資料儲存!E1774</f>
        <v>0</v>
      </c>
      <c r="V122" s="39">
        <f>資料儲存!F1774</f>
        <v>0</v>
      </c>
      <c r="W122" s="39">
        <f>資料儲存!G1774</f>
        <v>0</v>
      </c>
      <c r="X122" s="39">
        <f>資料儲存!H1774</f>
        <v>0</v>
      </c>
      <c r="Y122" s="39">
        <f>資料儲存!I1774</f>
        <v>0</v>
      </c>
      <c r="Z122" s="39">
        <f>資料儲存!J1774</f>
        <v>0</v>
      </c>
      <c r="AA122" s="35"/>
      <c r="AB122" s="38">
        <v>33</v>
      </c>
      <c r="AC122" s="39">
        <f>資料儲存!D1894</f>
        <v>0</v>
      </c>
      <c r="AD122" s="39">
        <f>資料儲存!E1894</f>
        <v>0</v>
      </c>
      <c r="AE122" s="39">
        <f>資料儲存!F1894</f>
        <v>0</v>
      </c>
      <c r="AF122" s="39">
        <f>資料儲存!G1894</f>
        <v>0</v>
      </c>
      <c r="AG122" s="39">
        <f>資料儲存!H1894</f>
        <v>0</v>
      </c>
      <c r="AH122" s="39">
        <f>資料儲存!I1894</f>
        <v>0</v>
      </c>
      <c r="AI122" s="39">
        <f>資料儲存!J1894</f>
        <v>0</v>
      </c>
      <c r="AJ122" s="13"/>
    </row>
    <row r="123" spans="1:36" ht="16" thickBot="1">
      <c r="A123" s="38">
        <v>34</v>
      </c>
      <c r="B123" s="39">
        <f>資料儲存!D1535</f>
        <v>0</v>
      </c>
      <c r="C123" s="39">
        <f>資料儲存!E1535</f>
        <v>0</v>
      </c>
      <c r="D123" s="39">
        <f>資料儲存!F1535</f>
        <v>0</v>
      </c>
      <c r="E123" s="39">
        <f>資料儲存!G1535</f>
        <v>0</v>
      </c>
      <c r="F123" s="39">
        <f>資料儲存!H1535</f>
        <v>0</v>
      </c>
      <c r="G123" s="39">
        <f>資料儲存!I1535</f>
        <v>0</v>
      </c>
      <c r="H123" s="39">
        <f>資料儲存!J1535</f>
        <v>0</v>
      </c>
      <c r="I123" s="35"/>
      <c r="J123" s="38">
        <v>34</v>
      </c>
      <c r="K123" s="39">
        <f>資料儲存!D1655</f>
        <v>0</v>
      </c>
      <c r="L123" s="39">
        <f>資料儲存!E1655</f>
        <v>0</v>
      </c>
      <c r="M123" s="39">
        <f>資料儲存!F1655</f>
        <v>0</v>
      </c>
      <c r="N123" s="39">
        <f>資料儲存!G1655</f>
        <v>0</v>
      </c>
      <c r="O123" s="39">
        <f>資料儲存!H1655</f>
        <v>0</v>
      </c>
      <c r="P123" s="39">
        <f>資料儲存!I1655</f>
        <v>0</v>
      </c>
      <c r="Q123" s="39">
        <f>資料儲存!J1655</f>
        <v>0</v>
      </c>
      <c r="R123" s="35"/>
      <c r="S123" s="38">
        <v>34</v>
      </c>
      <c r="T123" s="39">
        <f>資料儲存!D1775</f>
        <v>0</v>
      </c>
      <c r="U123" s="39">
        <f>資料儲存!E1775</f>
        <v>0</v>
      </c>
      <c r="V123" s="39">
        <f>資料儲存!F1775</f>
        <v>0</v>
      </c>
      <c r="W123" s="39">
        <f>資料儲存!G1775</f>
        <v>0</v>
      </c>
      <c r="X123" s="39">
        <f>資料儲存!H1775</f>
        <v>0</v>
      </c>
      <c r="Y123" s="39">
        <f>資料儲存!I1775</f>
        <v>0</v>
      </c>
      <c r="Z123" s="39">
        <f>資料儲存!J1775</f>
        <v>0</v>
      </c>
      <c r="AA123" s="35"/>
      <c r="AB123" s="38">
        <v>34</v>
      </c>
      <c r="AC123" s="39">
        <f>資料儲存!D1895</f>
        <v>0</v>
      </c>
      <c r="AD123" s="39">
        <f>資料儲存!E1895</f>
        <v>0</v>
      </c>
      <c r="AE123" s="39">
        <f>資料儲存!F1895</f>
        <v>0</v>
      </c>
      <c r="AF123" s="39">
        <f>資料儲存!G1895</f>
        <v>0</v>
      </c>
      <c r="AG123" s="39">
        <f>資料儲存!H1895</f>
        <v>0</v>
      </c>
      <c r="AH123" s="39">
        <f>資料儲存!I1895</f>
        <v>0</v>
      </c>
      <c r="AI123" s="39">
        <f>資料儲存!J1895</f>
        <v>0</v>
      </c>
      <c r="AJ123" s="13"/>
    </row>
    <row r="124" spans="1:36" ht="16" thickBot="1">
      <c r="A124" s="38">
        <v>35</v>
      </c>
      <c r="B124" s="39">
        <f>資料儲存!D1536</f>
        <v>0</v>
      </c>
      <c r="C124" s="39">
        <f>資料儲存!E1536</f>
        <v>0</v>
      </c>
      <c r="D124" s="39">
        <f>資料儲存!F1536</f>
        <v>0</v>
      </c>
      <c r="E124" s="39">
        <f>資料儲存!G1536</f>
        <v>0</v>
      </c>
      <c r="F124" s="39">
        <f>資料儲存!H1536</f>
        <v>0</v>
      </c>
      <c r="G124" s="39">
        <f>資料儲存!I1536</f>
        <v>0</v>
      </c>
      <c r="H124" s="39">
        <f>資料儲存!J1536</f>
        <v>0</v>
      </c>
      <c r="I124" s="35"/>
      <c r="J124" s="38">
        <v>35</v>
      </c>
      <c r="K124" s="39">
        <f>資料儲存!D1656</f>
        <v>0</v>
      </c>
      <c r="L124" s="39">
        <f>資料儲存!E1656</f>
        <v>0</v>
      </c>
      <c r="M124" s="39">
        <f>資料儲存!F1656</f>
        <v>0</v>
      </c>
      <c r="N124" s="39">
        <f>資料儲存!G1656</f>
        <v>0</v>
      </c>
      <c r="O124" s="39">
        <f>資料儲存!H1656</f>
        <v>0</v>
      </c>
      <c r="P124" s="39">
        <f>資料儲存!I1656</f>
        <v>0</v>
      </c>
      <c r="Q124" s="39">
        <f>資料儲存!J1656</f>
        <v>0</v>
      </c>
      <c r="R124" s="35"/>
      <c r="S124" s="38">
        <v>35</v>
      </c>
      <c r="T124" s="39">
        <f>資料儲存!D1776</f>
        <v>0</v>
      </c>
      <c r="U124" s="39">
        <f>資料儲存!E1776</f>
        <v>0</v>
      </c>
      <c r="V124" s="39">
        <f>資料儲存!F1776</f>
        <v>0</v>
      </c>
      <c r="W124" s="39">
        <f>資料儲存!G1776</f>
        <v>0</v>
      </c>
      <c r="X124" s="39">
        <f>資料儲存!H1776</f>
        <v>0</v>
      </c>
      <c r="Y124" s="39">
        <f>資料儲存!I1776</f>
        <v>0</v>
      </c>
      <c r="Z124" s="39">
        <f>資料儲存!J1776</f>
        <v>0</v>
      </c>
      <c r="AA124" s="35"/>
      <c r="AB124" s="38">
        <v>35</v>
      </c>
      <c r="AC124" s="39">
        <f>資料儲存!D1896</f>
        <v>0</v>
      </c>
      <c r="AD124" s="39">
        <f>資料儲存!E1896</f>
        <v>0</v>
      </c>
      <c r="AE124" s="39">
        <f>資料儲存!F1896</f>
        <v>0</v>
      </c>
      <c r="AF124" s="39">
        <f>資料儲存!G1896</f>
        <v>0</v>
      </c>
      <c r="AG124" s="39">
        <f>資料儲存!H1896</f>
        <v>0</v>
      </c>
      <c r="AH124" s="39">
        <f>資料儲存!I1896</f>
        <v>0</v>
      </c>
      <c r="AI124" s="39">
        <f>資料儲存!J1896</f>
        <v>0</v>
      </c>
      <c r="AJ124" s="13"/>
    </row>
    <row r="125" spans="1:36" ht="16" thickBot="1">
      <c r="A125" s="38">
        <v>36</v>
      </c>
      <c r="B125" s="39">
        <f>資料儲存!D1537</f>
        <v>0</v>
      </c>
      <c r="C125" s="39">
        <f>資料儲存!E1537</f>
        <v>0</v>
      </c>
      <c r="D125" s="39">
        <f>資料儲存!F1537</f>
        <v>0</v>
      </c>
      <c r="E125" s="39">
        <f>資料儲存!G1537</f>
        <v>0</v>
      </c>
      <c r="F125" s="39">
        <f>資料儲存!H1537</f>
        <v>0</v>
      </c>
      <c r="G125" s="39">
        <f>資料儲存!I1537</f>
        <v>0</v>
      </c>
      <c r="H125" s="39">
        <f>資料儲存!J1537</f>
        <v>0</v>
      </c>
      <c r="I125" s="35"/>
      <c r="J125" s="38">
        <v>36</v>
      </c>
      <c r="K125" s="39">
        <f>資料儲存!D1657</f>
        <v>0</v>
      </c>
      <c r="L125" s="39">
        <f>資料儲存!E1657</f>
        <v>0</v>
      </c>
      <c r="M125" s="39">
        <f>資料儲存!F1657</f>
        <v>0</v>
      </c>
      <c r="N125" s="39">
        <f>資料儲存!G1657</f>
        <v>0</v>
      </c>
      <c r="O125" s="39">
        <f>資料儲存!H1657</f>
        <v>0</v>
      </c>
      <c r="P125" s="39">
        <f>資料儲存!I1657</f>
        <v>0</v>
      </c>
      <c r="Q125" s="39">
        <f>資料儲存!J1657</f>
        <v>0</v>
      </c>
      <c r="R125" s="35"/>
      <c r="S125" s="38">
        <v>36</v>
      </c>
      <c r="T125" s="39">
        <f>資料儲存!D1777</f>
        <v>0</v>
      </c>
      <c r="U125" s="39">
        <f>資料儲存!E1777</f>
        <v>0</v>
      </c>
      <c r="V125" s="39">
        <f>資料儲存!F1777</f>
        <v>0</v>
      </c>
      <c r="W125" s="39">
        <f>資料儲存!G1777</f>
        <v>0</v>
      </c>
      <c r="X125" s="39">
        <f>資料儲存!H1777</f>
        <v>0</v>
      </c>
      <c r="Y125" s="39">
        <f>資料儲存!I1777</f>
        <v>0</v>
      </c>
      <c r="Z125" s="39">
        <f>資料儲存!J1777</f>
        <v>0</v>
      </c>
      <c r="AA125" s="35"/>
      <c r="AB125" s="38">
        <v>36</v>
      </c>
      <c r="AC125" s="39">
        <f>資料儲存!D1897</f>
        <v>0</v>
      </c>
      <c r="AD125" s="39">
        <f>資料儲存!E1897</f>
        <v>0</v>
      </c>
      <c r="AE125" s="39">
        <f>資料儲存!F1897</f>
        <v>0</v>
      </c>
      <c r="AF125" s="39">
        <f>資料儲存!G1897</f>
        <v>0</v>
      </c>
      <c r="AG125" s="39">
        <f>資料儲存!H1897</f>
        <v>0</v>
      </c>
      <c r="AH125" s="39">
        <f>資料儲存!I1897</f>
        <v>0</v>
      </c>
      <c r="AI125" s="39">
        <f>資料儲存!J1897</f>
        <v>0</v>
      </c>
      <c r="AJ125" s="13"/>
    </row>
    <row r="126" spans="1:36" ht="16" thickBot="1">
      <c r="A126" s="38">
        <v>37</v>
      </c>
      <c r="B126" s="39">
        <f>資料儲存!D1538</f>
        <v>0</v>
      </c>
      <c r="C126" s="39">
        <f>資料儲存!E1538</f>
        <v>0</v>
      </c>
      <c r="D126" s="39">
        <f>資料儲存!F1538</f>
        <v>0</v>
      </c>
      <c r="E126" s="39">
        <f>資料儲存!G1538</f>
        <v>0</v>
      </c>
      <c r="F126" s="39">
        <f>資料儲存!H1538</f>
        <v>0</v>
      </c>
      <c r="G126" s="39">
        <f>資料儲存!I1538</f>
        <v>0</v>
      </c>
      <c r="H126" s="39">
        <f>資料儲存!J1538</f>
        <v>0</v>
      </c>
      <c r="I126" s="35"/>
      <c r="J126" s="38">
        <v>37</v>
      </c>
      <c r="K126" s="39">
        <f>資料儲存!D1658</f>
        <v>0</v>
      </c>
      <c r="L126" s="39">
        <f>資料儲存!E1658</f>
        <v>0</v>
      </c>
      <c r="M126" s="39">
        <f>資料儲存!F1658</f>
        <v>0</v>
      </c>
      <c r="N126" s="39">
        <f>資料儲存!G1658</f>
        <v>0</v>
      </c>
      <c r="O126" s="39">
        <f>資料儲存!H1658</f>
        <v>0</v>
      </c>
      <c r="P126" s="39">
        <f>資料儲存!I1658</f>
        <v>0</v>
      </c>
      <c r="Q126" s="39">
        <f>資料儲存!J1658</f>
        <v>0</v>
      </c>
      <c r="R126" s="35"/>
      <c r="S126" s="38">
        <v>37</v>
      </c>
      <c r="T126" s="39">
        <f>資料儲存!D1778</f>
        <v>0</v>
      </c>
      <c r="U126" s="39">
        <f>資料儲存!E1778</f>
        <v>0</v>
      </c>
      <c r="V126" s="39">
        <f>資料儲存!F1778</f>
        <v>0</v>
      </c>
      <c r="W126" s="39">
        <f>資料儲存!G1778</f>
        <v>0</v>
      </c>
      <c r="X126" s="39">
        <f>資料儲存!H1778</f>
        <v>0</v>
      </c>
      <c r="Y126" s="39">
        <f>資料儲存!I1778</f>
        <v>0</v>
      </c>
      <c r="Z126" s="39">
        <f>資料儲存!J1778</f>
        <v>0</v>
      </c>
      <c r="AA126" s="35"/>
      <c r="AB126" s="38">
        <v>37</v>
      </c>
      <c r="AC126" s="39">
        <f>資料儲存!D1898</f>
        <v>0</v>
      </c>
      <c r="AD126" s="39">
        <f>資料儲存!E1898</f>
        <v>0</v>
      </c>
      <c r="AE126" s="39">
        <f>資料儲存!F1898</f>
        <v>0</v>
      </c>
      <c r="AF126" s="39">
        <f>資料儲存!G1898</f>
        <v>0</v>
      </c>
      <c r="AG126" s="39">
        <f>資料儲存!H1898</f>
        <v>0</v>
      </c>
      <c r="AH126" s="39">
        <f>資料儲存!I1898</f>
        <v>0</v>
      </c>
      <c r="AI126" s="39">
        <f>資料儲存!J1898</f>
        <v>0</v>
      </c>
      <c r="AJ126" s="13"/>
    </row>
    <row r="127" spans="1:36" ht="16" thickBot="1">
      <c r="A127" s="38">
        <v>38</v>
      </c>
      <c r="B127" s="39">
        <f>資料儲存!D1539</f>
        <v>0</v>
      </c>
      <c r="C127" s="39">
        <f>資料儲存!E1539</f>
        <v>0</v>
      </c>
      <c r="D127" s="39">
        <f>資料儲存!F1539</f>
        <v>0</v>
      </c>
      <c r="E127" s="39">
        <f>資料儲存!G1539</f>
        <v>0</v>
      </c>
      <c r="F127" s="39">
        <f>資料儲存!H1539</f>
        <v>0</v>
      </c>
      <c r="G127" s="39">
        <f>資料儲存!I1539</f>
        <v>0</v>
      </c>
      <c r="H127" s="39">
        <f>資料儲存!J1539</f>
        <v>0</v>
      </c>
      <c r="I127" s="35"/>
      <c r="J127" s="38">
        <v>38</v>
      </c>
      <c r="K127" s="39">
        <f>資料儲存!D1659</f>
        <v>0</v>
      </c>
      <c r="L127" s="39">
        <f>資料儲存!E1659</f>
        <v>0</v>
      </c>
      <c r="M127" s="39">
        <f>資料儲存!F1659</f>
        <v>0</v>
      </c>
      <c r="N127" s="39">
        <f>資料儲存!G1659</f>
        <v>0</v>
      </c>
      <c r="O127" s="39">
        <f>資料儲存!H1659</f>
        <v>0</v>
      </c>
      <c r="P127" s="39">
        <f>資料儲存!I1659</f>
        <v>0</v>
      </c>
      <c r="Q127" s="39">
        <f>資料儲存!J1659</f>
        <v>0</v>
      </c>
      <c r="R127" s="35"/>
      <c r="S127" s="38">
        <v>38</v>
      </c>
      <c r="T127" s="39">
        <f>資料儲存!D1779</f>
        <v>0</v>
      </c>
      <c r="U127" s="39">
        <f>資料儲存!E1779</f>
        <v>0</v>
      </c>
      <c r="V127" s="39">
        <f>資料儲存!F1779</f>
        <v>0</v>
      </c>
      <c r="W127" s="39">
        <f>資料儲存!G1779</f>
        <v>0</v>
      </c>
      <c r="X127" s="39">
        <f>資料儲存!H1779</f>
        <v>0</v>
      </c>
      <c r="Y127" s="39">
        <f>資料儲存!I1779</f>
        <v>0</v>
      </c>
      <c r="Z127" s="39">
        <f>資料儲存!J1779</f>
        <v>0</v>
      </c>
      <c r="AA127" s="35"/>
      <c r="AB127" s="38">
        <v>38</v>
      </c>
      <c r="AC127" s="39">
        <f>資料儲存!D1899</f>
        <v>0</v>
      </c>
      <c r="AD127" s="39">
        <f>資料儲存!E1899</f>
        <v>0</v>
      </c>
      <c r="AE127" s="39">
        <f>資料儲存!F1899</f>
        <v>0</v>
      </c>
      <c r="AF127" s="39">
        <f>資料儲存!G1899</f>
        <v>0</v>
      </c>
      <c r="AG127" s="39">
        <f>資料儲存!H1899</f>
        <v>0</v>
      </c>
      <c r="AH127" s="39">
        <f>資料儲存!I1899</f>
        <v>0</v>
      </c>
      <c r="AI127" s="39">
        <f>資料儲存!J1899</f>
        <v>0</v>
      </c>
      <c r="AJ127" s="13"/>
    </row>
    <row r="128" spans="1:36" ht="16" thickBot="1">
      <c r="A128" s="38">
        <v>39</v>
      </c>
      <c r="B128" s="39">
        <f>資料儲存!D1540</f>
        <v>0</v>
      </c>
      <c r="C128" s="39">
        <f>資料儲存!E1540</f>
        <v>0</v>
      </c>
      <c r="D128" s="39">
        <f>資料儲存!F1540</f>
        <v>0</v>
      </c>
      <c r="E128" s="39">
        <f>資料儲存!G1540</f>
        <v>0</v>
      </c>
      <c r="F128" s="39">
        <f>資料儲存!H1540</f>
        <v>0</v>
      </c>
      <c r="G128" s="39">
        <f>資料儲存!I1540</f>
        <v>0</v>
      </c>
      <c r="H128" s="39">
        <f>資料儲存!J1540</f>
        <v>0</v>
      </c>
      <c r="I128" s="35"/>
      <c r="J128" s="38">
        <v>39</v>
      </c>
      <c r="K128" s="39">
        <f>資料儲存!D1660</f>
        <v>0</v>
      </c>
      <c r="L128" s="39">
        <f>資料儲存!E1660</f>
        <v>0</v>
      </c>
      <c r="M128" s="39">
        <f>資料儲存!F1660</f>
        <v>0</v>
      </c>
      <c r="N128" s="39">
        <f>資料儲存!G1660</f>
        <v>0</v>
      </c>
      <c r="O128" s="39">
        <f>資料儲存!H1660</f>
        <v>0</v>
      </c>
      <c r="P128" s="39">
        <f>資料儲存!I1660</f>
        <v>0</v>
      </c>
      <c r="Q128" s="39">
        <f>資料儲存!J1660</f>
        <v>0</v>
      </c>
      <c r="R128" s="35"/>
      <c r="S128" s="38">
        <v>39</v>
      </c>
      <c r="T128" s="39">
        <f>資料儲存!D1780</f>
        <v>0</v>
      </c>
      <c r="U128" s="39">
        <f>資料儲存!E1780</f>
        <v>0</v>
      </c>
      <c r="V128" s="39">
        <f>資料儲存!F1780</f>
        <v>0</v>
      </c>
      <c r="W128" s="39">
        <f>資料儲存!G1780</f>
        <v>0</v>
      </c>
      <c r="X128" s="39">
        <f>資料儲存!H1780</f>
        <v>0</v>
      </c>
      <c r="Y128" s="39">
        <f>資料儲存!I1780</f>
        <v>0</v>
      </c>
      <c r="Z128" s="39">
        <f>資料儲存!J1780</f>
        <v>0</v>
      </c>
      <c r="AA128" s="35"/>
      <c r="AB128" s="38">
        <v>39</v>
      </c>
      <c r="AC128" s="39">
        <f>資料儲存!D1900</f>
        <v>0</v>
      </c>
      <c r="AD128" s="39">
        <f>資料儲存!E1900</f>
        <v>0</v>
      </c>
      <c r="AE128" s="39">
        <f>資料儲存!F1900</f>
        <v>0</v>
      </c>
      <c r="AF128" s="39">
        <f>資料儲存!G1900</f>
        <v>0</v>
      </c>
      <c r="AG128" s="39">
        <f>資料儲存!H1900</f>
        <v>0</v>
      </c>
      <c r="AH128" s="39">
        <f>資料儲存!I1900</f>
        <v>0</v>
      </c>
      <c r="AI128" s="39">
        <f>資料儲存!J1900</f>
        <v>0</v>
      </c>
      <c r="AJ128" s="13"/>
    </row>
    <row r="129" spans="1:36" ht="16" thickBot="1">
      <c r="A129" s="38">
        <v>40</v>
      </c>
      <c r="B129" s="39">
        <f>資料儲存!D1541</f>
        <v>0</v>
      </c>
      <c r="C129" s="39">
        <f>資料儲存!E1541</f>
        <v>0</v>
      </c>
      <c r="D129" s="39">
        <f>資料儲存!F1541</f>
        <v>0</v>
      </c>
      <c r="E129" s="39">
        <f>資料儲存!G1541</f>
        <v>0</v>
      </c>
      <c r="F129" s="39">
        <f>資料儲存!H1541</f>
        <v>0</v>
      </c>
      <c r="G129" s="39">
        <f>資料儲存!I1541</f>
        <v>0</v>
      </c>
      <c r="H129" s="39">
        <f>資料儲存!J1541</f>
        <v>0</v>
      </c>
      <c r="I129" s="35"/>
      <c r="J129" s="38">
        <v>40</v>
      </c>
      <c r="K129" s="39">
        <f>資料儲存!D1661</f>
        <v>0</v>
      </c>
      <c r="L129" s="39">
        <f>資料儲存!E1661</f>
        <v>0</v>
      </c>
      <c r="M129" s="39">
        <f>資料儲存!F1661</f>
        <v>0</v>
      </c>
      <c r="N129" s="39">
        <f>資料儲存!G1661</f>
        <v>0</v>
      </c>
      <c r="O129" s="39">
        <f>資料儲存!H1661</f>
        <v>0</v>
      </c>
      <c r="P129" s="39">
        <f>資料儲存!I1661</f>
        <v>0</v>
      </c>
      <c r="Q129" s="39">
        <f>資料儲存!J1661</f>
        <v>0</v>
      </c>
      <c r="R129" s="35"/>
      <c r="S129" s="38">
        <v>40</v>
      </c>
      <c r="T129" s="39">
        <f>資料儲存!D1781</f>
        <v>0</v>
      </c>
      <c r="U129" s="39">
        <f>資料儲存!E1781</f>
        <v>0</v>
      </c>
      <c r="V129" s="39">
        <f>資料儲存!F1781</f>
        <v>0</v>
      </c>
      <c r="W129" s="39">
        <f>資料儲存!G1781</f>
        <v>0</v>
      </c>
      <c r="X129" s="39">
        <f>資料儲存!H1781</f>
        <v>0</v>
      </c>
      <c r="Y129" s="39">
        <f>資料儲存!I1781</f>
        <v>0</v>
      </c>
      <c r="Z129" s="39">
        <f>資料儲存!J1781</f>
        <v>0</v>
      </c>
      <c r="AA129" s="35"/>
      <c r="AB129" s="38">
        <v>40</v>
      </c>
      <c r="AC129" s="39">
        <f>資料儲存!D1901</f>
        <v>0</v>
      </c>
      <c r="AD129" s="39">
        <f>資料儲存!E1901</f>
        <v>0</v>
      </c>
      <c r="AE129" s="39">
        <f>資料儲存!F1901</f>
        <v>0</v>
      </c>
      <c r="AF129" s="39">
        <f>資料儲存!G1901</f>
        <v>0</v>
      </c>
      <c r="AG129" s="39">
        <f>資料儲存!H1901</f>
        <v>0</v>
      </c>
      <c r="AH129" s="39">
        <f>資料儲存!I1901</f>
        <v>0</v>
      </c>
      <c r="AI129" s="39">
        <f>資料儲存!J1901</f>
        <v>0</v>
      </c>
      <c r="AJ129" s="13"/>
    </row>
    <row r="130" spans="1:36" ht="16" thickBot="1">
      <c r="A130" s="38">
        <v>41</v>
      </c>
      <c r="B130" s="39">
        <f>資料儲存!D1542</f>
        <v>0</v>
      </c>
      <c r="C130" s="39">
        <f>資料儲存!E1542</f>
        <v>0</v>
      </c>
      <c r="D130" s="39">
        <f>資料儲存!F1542</f>
        <v>0</v>
      </c>
      <c r="E130" s="39">
        <f>資料儲存!G1542</f>
        <v>0</v>
      </c>
      <c r="F130" s="39">
        <f>資料儲存!H1542</f>
        <v>0</v>
      </c>
      <c r="G130" s="39">
        <f>資料儲存!I1542</f>
        <v>0</v>
      </c>
      <c r="H130" s="39">
        <f>資料儲存!J1542</f>
        <v>0</v>
      </c>
      <c r="I130" s="35"/>
      <c r="J130" s="38">
        <v>41</v>
      </c>
      <c r="K130" s="39">
        <f>資料儲存!D1662</f>
        <v>0</v>
      </c>
      <c r="L130" s="39">
        <f>資料儲存!E1662</f>
        <v>0</v>
      </c>
      <c r="M130" s="39">
        <f>資料儲存!F1662</f>
        <v>0</v>
      </c>
      <c r="N130" s="39">
        <f>資料儲存!G1662</f>
        <v>0</v>
      </c>
      <c r="O130" s="39">
        <f>資料儲存!H1662</f>
        <v>0</v>
      </c>
      <c r="P130" s="39">
        <f>資料儲存!I1662</f>
        <v>0</v>
      </c>
      <c r="Q130" s="39">
        <f>資料儲存!J1662</f>
        <v>0</v>
      </c>
      <c r="R130" s="35"/>
      <c r="S130" s="38">
        <v>41</v>
      </c>
      <c r="T130" s="39">
        <f>資料儲存!D1782</f>
        <v>0</v>
      </c>
      <c r="U130" s="39">
        <f>資料儲存!E1782</f>
        <v>0</v>
      </c>
      <c r="V130" s="39">
        <f>資料儲存!F1782</f>
        <v>0</v>
      </c>
      <c r="W130" s="39">
        <f>資料儲存!G1782</f>
        <v>0</v>
      </c>
      <c r="X130" s="39">
        <f>資料儲存!H1782</f>
        <v>0</v>
      </c>
      <c r="Y130" s="39">
        <f>資料儲存!I1782</f>
        <v>0</v>
      </c>
      <c r="Z130" s="39">
        <f>資料儲存!J1782</f>
        <v>0</v>
      </c>
      <c r="AA130" s="35"/>
      <c r="AB130" s="38">
        <v>41</v>
      </c>
      <c r="AC130" s="39">
        <f>資料儲存!D1902</f>
        <v>0</v>
      </c>
      <c r="AD130" s="39">
        <f>資料儲存!E1902</f>
        <v>0</v>
      </c>
      <c r="AE130" s="39">
        <f>資料儲存!F1902</f>
        <v>0</v>
      </c>
      <c r="AF130" s="39">
        <f>資料儲存!G1902</f>
        <v>0</v>
      </c>
      <c r="AG130" s="39">
        <f>資料儲存!H1902</f>
        <v>0</v>
      </c>
      <c r="AH130" s="39">
        <f>資料儲存!I1902</f>
        <v>0</v>
      </c>
      <c r="AI130" s="39">
        <f>資料儲存!J1902</f>
        <v>0</v>
      </c>
      <c r="AJ130" s="13"/>
    </row>
    <row r="131" spans="1:36" ht="16" thickBot="1">
      <c r="A131" s="38">
        <v>42</v>
      </c>
      <c r="B131" s="39">
        <f>資料儲存!D1543</f>
        <v>0</v>
      </c>
      <c r="C131" s="39">
        <f>資料儲存!E1543</f>
        <v>0</v>
      </c>
      <c r="D131" s="39">
        <f>資料儲存!F1543</f>
        <v>0</v>
      </c>
      <c r="E131" s="39">
        <f>資料儲存!G1543</f>
        <v>0</v>
      </c>
      <c r="F131" s="39">
        <f>資料儲存!H1543</f>
        <v>0</v>
      </c>
      <c r="G131" s="39">
        <f>資料儲存!I1543</f>
        <v>0</v>
      </c>
      <c r="H131" s="39">
        <f>資料儲存!J1543</f>
        <v>0</v>
      </c>
      <c r="I131" s="35"/>
      <c r="J131" s="38">
        <v>42</v>
      </c>
      <c r="K131" s="39">
        <f>資料儲存!D1663</f>
        <v>0</v>
      </c>
      <c r="L131" s="39">
        <f>資料儲存!E1663</f>
        <v>0</v>
      </c>
      <c r="M131" s="39">
        <f>資料儲存!F1663</f>
        <v>0</v>
      </c>
      <c r="N131" s="39">
        <f>資料儲存!G1663</f>
        <v>0</v>
      </c>
      <c r="O131" s="39">
        <f>資料儲存!H1663</f>
        <v>0</v>
      </c>
      <c r="P131" s="39">
        <f>資料儲存!I1663</f>
        <v>0</v>
      </c>
      <c r="Q131" s="39">
        <f>資料儲存!J1663</f>
        <v>0</v>
      </c>
      <c r="R131" s="35"/>
      <c r="S131" s="38">
        <v>42</v>
      </c>
      <c r="T131" s="39">
        <f>資料儲存!D1783</f>
        <v>0</v>
      </c>
      <c r="U131" s="39">
        <f>資料儲存!E1783</f>
        <v>0</v>
      </c>
      <c r="V131" s="39">
        <f>資料儲存!F1783</f>
        <v>0</v>
      </c>
      <c r="W131" s="39">
        <f>資料儲存!G1783</f>
        <v>0</v>
      </c>
      <c r="X131" s="39">
        <f>資料儲存!H1783</f>
        <v>0</v>
      </c>
      <c r="Y131" s="39">
        <f>資料儲存!I1783</f>
        <v>0</v>
      </c>
      <c r="Z131" s="39">
        <f>資料儲存!J1783</f>
        <v>0</v>
      </c>
      <c r="AA131" s="35"/>
      <c r="AB131" s="38">
        <v>42</v>
      </c>
      <c r="AC131" s="39">
        <f>資料儲存!D1903</f>
        <v>0</v>
      </c>
      <c r="AD131" s="39">
        <f>資料儲存!E1903</f>
        <v>0</v>
      </c>
      <c r="AE131" s="39">
        <f>資料儲存!F1903</f>
        <v>0</v>
      </c>
      <c r="AF131" s="39">
        <f>資料儲存!G1903</f>
        <v>0</v>
      </c>
      <c r="AG131" s="39">
        <f>資料儲存!H1903</f>
        <v>0</v>
      </c>
      <c r="AH131" s="39">
        <f>資料儲存!I1903</f>
        <v>0</v>
      </c>
      <c r="AI131" s="39">
        <f>資料儲存!J1903</f>
        <v>0</v>
      </c>
      <c r="AJ131" s="13"/>
    </row>
    <row r="132" spans="1:36" ht="16" thickBot="1">
      <c r="A132" s="38">
        <v>43</v>
      </c>
      <c r="B132" s="39">
        <f>資料儲存!D1544</f>
        <v>0</v>
      </c>
      <c r="C132" s="39">
        <f>資料儲存!E1544</f>
        <v>0</v>
      </c>
      <c r="D132" s="39">
        <f>資料儲存!F1544</f>
        <v>0</v>
      </c>
      <c r="E132" s="39">
        <f>資料儲存!G1544</f>
        <v>0</v>
      </c>
      <c r="F132" s="39">
        <f>資料儲存!H1544</f>
        <v>0</v>
      </c>
      <c r="G132" s="39">
        <f>資料儲存!I1544</f>
        <v>0</v>
      </c>
      <c r="H132" s="39">
        <f>資料儲存!J1544</f>
        <v>0</v>
      </c>
      <c r="I132" s="35"/>
      <c r="J132" s="38">
        <v>43</v>
      </c>
      <c r="K132" s="39">
        <f>資料儲存!D1664</f>
        <v>0</v>
      </c>
      <c r="L132" s="39">
        <f>資料儲存!E1664</f>
        <v>0</v>
      </c>
      <c r="M132" s="39">
        <f>資料儲存!F1664</f>
        <v>0</v>
      </c>
      <c r="N132" s="39">
        <f>資料儲存!G1664</f>
        <v>0</v>
      </c>
      <c r="O132" s="39">
        <f>資料儲存!H1664</f>
        <v>0</v>
      </c>
      <c r="P132" s="39">
        <f>資料儲存!I1664</f>
        <v>0</v>
      </c>
      <c r="Q132" s="39">
        <f>資料儲存!J1664</f>
        <v>0</v>
      </c>
      <c r="R132" s="35"/>
      <c r="S132" s="38">
        <v>43</v>
      </c>
      <c r="T132" s="39">
        <f>資料儲存!D1784</f>
        <v>0</v>
      </c>
      <c r="U132" s="39">
        <f>資料儲存!E1784</f>
        <v>0</v>
      </c>
      <c r="V132" s="39">
        <f>資料儲存!F1784</f>
        <v>0</v>
      </c>
      <c r="W132" s="39">
        <f>資料儲存!G1784</f>
        <v>0</v>
      </c>
      <c r="X132" s="39">
        <f>資料儲存!H1784</f>
        <v>0</v>
      </c>
      <c r="Y132" s="39">
        <f>資料儲存!I1784</f>
        <v>0</v>
      </c>
      <c r="Z132" s="39">
        <f>資料儲存!J1784</f>
        <v>0</v>
      </c>
      <c r="AA132" s="35"/>
      <c r="AB132" s="38">
        <v>43</v>
      </c>
      <c r="AC132" s="39">
        <f>資料儲存!D1904</f>
        <v>0</v>
      </c>
      <c r="AD132" s="39">
        <f>資料儲存!E1904</f>
        <v>0</v>
      </c>
      <c r="AE132" s="39">
        <f>資料儲存!F1904</f>
        <v>0</v>
      </c>
      <c r="AF132" s="39">
        <f>資料儲存!G1904</f>
        <v>0</v>
      </c>
      <c r="AG132" s="39">
        <f>資料儲存!H1904</f>
        <v>0</v>
      </c>
      <c r="AH132" s="39">
        <f>資料儲存!I1904</f>
        <v>0</v>
      </c>
      <c r="AI132" s="39">
        <f>資料儲存!J1904</f>
        <v>0</v>
      </c>
      <c r="AJ132" s="13"/>
    </row>
    <row r="133" spans="1:36" ht="16" thickBot="1">
      <c r="A133" s="38">
        <v>44</v>
      </c>
      <c r="B133" s="39">
        <f>資料儲存!D1545</f>
        <v>0</v>
      </c>
      <c r="C133" s="39">
        <f>資料儲存!E1545</f>
        <v>0</v>
      </c>
      <c r="D133" s="39">
        <f>資料儲存!F1545</f>
        <v>0</v>
      </c>
      <c r="E133" s="39">
        <f>資料儲存!G1545</f>
        <v>0</v>
      </c>
      <c r="F133" s="39">
        <f>資料儲存!H1545</f>
        <v>0</v>
      </c>
      <c r="G133" s="39">
        <f>資料儲存!I1545</f>
        <v>0</v>
      </c>
      <c r="H133" s="39">
        <f>資料儲存!J1545</f>
        <v>0</v>
      </c>
      <c r="I133" s="35"/>
      <c r="J133" s="38">
        <v>44</v>
      </c>
      <c r="K133" s="39">
        <f>資料儲存!D1665</f>
        <v>0</v>
      </c>
      <c r="L133" s="39">
        <f>資料儲存!E1665</f>
        <v>0</v>
      </c>
      <c r="M133" s="39">
        <f>資料儲存!F1665</f>
        <v>0</v>
      </c>
      <c r="N133" s="39">
        <f>資料儲存!G1665</f>
        <v>0</v>
      </c>
      <c r="O133" s="39">
        <f>資料儲存!H1665</f>
        <v>0</v>
      </c>
      <c r="P133" s="39">
        <f>資料儲存!I1665</f>
        <v>0</v>
      </c>
      <c r="Q133" s="39">
        <f>資料儲存!J1665</f>
        <v>0</v>
      </c>
      <c r="R133" s="35"/>
      <c r="S133" s="38">
        <v>44</v>
      </c>
      <c r="T133" s="39">
        <f>資料儲存!D1785</f>
        <v>0</v>
      </c>
      <c r="U133" s="39">
        <f>資料儲存!E1785</f>
        <v>0</v>
      </c>
      <c r="V133" s="39">
        <f>資料儲存!F1785</f>
        <v>0</v>
      </c>
      <c r="W133" s="39">
        <f>資料儲存!G1785</f>
        <v>0</v>
      </c>
      <c r="X133" s="39">
        <f>資料儲存!H1785</f>
        <v>0</v>
      </c>
      <c r="Y133" s="39">
        <f>資料儲存!I1785</f>
        <v>0</v>
      </c>
      <c r="Z133" s="39">
        <f>資料儲存!J1785</f>
        <v>0</v>
      </c>
      <c r="AA133" s="35"/>
      <c r="AB133" s="38">
        <v>44</v>
      </c>
      <c r="AC133" s="39">
        <f>資料儲存!D1905</f>
        <v>0</v>
      </c>
      <c r="AD133" s="39">
        <f>資料儲存!E1905</f>
        <v>0</v>
      </c>
      <c r="AE133" s="39">
        <f>資料儲存!F1905</f>
        <v>0</v>
      </c>
      <c r="AF133" s="39">
        <f>資料儲存!G1905</f>
        <v>0</v>
      </c>
      <c r="AG133" s="39">
        <f>資料儲存!H1905</f>
        <v>0</v>
      </c>
      <c r="AH133" s="39">
        <f>資料儲存!I1905</f>
        <v>0</v>
      </c>
      <c r="AI133" s="39">
        <f>資料儲存!J1905</f>
        <v>0</v>
      </c>
      <c r="AJ133" s="13"/>
    </row>
    <row r="134" spans="1:36" ht="16" thickBot="1">
      <c r="A134" s="38">
        <v>45</v>
      </c>
      <c r="B134" s="39">
        <f>資料儲存!D1546</f>
        <v>0</v>
      </c>
      <c r="C134" s="39">
        <f>資料儲存!E1546</f>
        <v>0</v>
      </c>
      <c r="D134" s="39">
        <f>資料儲存!F1546</f>
        <v>0</v>
      </c>
      <c r="E134" s="39">
        <f>資料儲存!G1546</f>
        <v>0</v>
      </c>
      <c r="F134" s="39">
        <f>資料儲存!H1546</f>
        <v>0</v>
      </c>
      <c r="G134" s="39">
        <f>資料儲存!I1546</f>
        <v>0</v>
      </c>
      <c r="H134" s="39">
        <f>資料儲存!J1546</f>
        <v>0</v>
      </c>
      <c r="I134" s="35"/>
      <c r="J134" s="38">
        <v>45</v>
      </c>
      <c r="K134" s="39">
        <f>資料儲存!D1666</f>
        <v>0</v>
      </c>
      <c r="L134" s="39">
        <f>資料儲存!E1666</f>
        <v>0</v>
      </c>
      <c r="M134" s="39">
        <f>資料儲存!F1666</f>
        <v>0</v>
      </c>
      <c r="N134" s="39">
        <f>資料儲存!G1666</f>
        <v>0</v>
      </c>
      <c r="O134" s="39">
        <f>資料儲存!H1666</f>
        <v>0</v>
      </c>
      <c r="P134" s="39">
        <f>資料儲存!I1666</f>
        <v>0</v>
      </c>
      <c r="Q134" s="39">
        <f>資料儲存!J1666</f>
        <v>0</v>
      </c>
      <c r="R134" s="35"/>
      <c r="S134" s="38">
        <v>45</v>
      </c>
      <c r="T134" s="39">
        <f>資料儲存!D1786</f>
        <v>0</v>
      </c>
      <c r="U134" s="39">
        <f>資料儲存!E1786</f>
        <v>0</v>
      </c>
      <c r="V134" s="39">
        <f>資料儲存!F1786</f>
        <v>0</v>
      </c>
      <c r="W134" s="39">
        <f>資料儲存!G1786</f>
        <v>0</v>
      </c>
      <c r="X134" s="39">
        <f>資料儲存!H1786</f>
        <v>0</v>
      </c>
      <c r="Y134" s="39">
        <f>資料儲存!I1786</f>
        <v>0</v>
      </c>
      <c r="Z134" s="39">
        <f>資料儲存!J1786</f>
        <v>0</v>
      </c>
      <c r="AA134" s="35"/>
      <c r="AB134" s="38">
        <v>45</v>
      </c>
      <c r="AC134" s="39">
        <f>資料儲存!D1906</f>
        <v>0</v>
      </c>
      <c r="AD134" s="39">
        <f>資料儲存!E1906</f>
        <v>0</v>
      </c>
      <c r="AE134" s="39">
        <f>資料儲存!F1906</f>
        <v>0</v>
      </c>
      <c r="AF134" s="39">
        <f>資料儲存!G1906</f>
        <v>0</v>
      </c>
      <c r="AG134" s="39">
        <f>資料儲存!H1906</f>
        <v>0</v>
      </c>
      <c r="AH134" s="39">
        <f>資料儲存!I1906</f>
        <v>0</v>
      </c>
      <c r="AI134" s="39">
        <f>資料儲存!J1906</f>
        <v>0</v>
      </c>
      <c r="AJ134" s="13"/>
    </row>
    <row r="135" spans="1:36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13"/>
    </row>
    <row r="136" spans="1:36" ht="18.5" thickBot="1">
      <c r="A136" s="250" t="s">
        <v>166</v>
      </c>
      <c r="B136" s="251"/>
      <c r="C136" s="251"/>
      <c r="D136" s="251"/>
      <c r="E136" s="251"/>
      <c r="F136" s="251"/>
      <c r="G136" s="251"/>
      <c r="H136" s="252"/>
      <c r="I136" s="13"/>
      <c r="J136" s="250" t="s">
        <v>166</v>
      </c>
      <c r="K136" s="251"/>
      <c r="L136" s="251"/>
      <c r="M136" s="251"/>
      <c r="N136" s="251"/>
      <c r="O136" s="251"/>
      <c r="P136" s="251"/>
      <c r="Q136" s="252"/>
      <c r="R136" s="13"/>
      <c r="S136" s="250" t="s">
        <v>166</v>
      </c>
      <c r="T136" s="251"/>
      <c r="U136" s="251"/>
      <c r="V136" s="251"/>
      <c r="W136" s="251"/>
      <c r="X136" s="251"/>
      <c r="Y136" s="251"/>
      <c r="Z136" s="252"/>
      <c r="AA136" s="13"/>
      <c r="AB136" s="250" t="s">
        <v>166</v>
      </c>
      <c r="AC136" s="251"/>
      <c r="AD136" s="251"/>
      <c r="AE136" s="251"/>
      <c r="AF136" s="251"/>
      <c r="AG136" s="251"/>
      <c r="AH136" s="251"/>
      <c r="AI136" s="252"/>
      <c r="AJ136" s="13"/>
    </row>
    <row r="137" spans="1:36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</row>
    <row r="138" spans="1:36" ht="16" thickBot="1">
      <c r="A138" s="46">
        <v>0.57291666666666663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>
        <v>0.57291666666666663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>
        <v>0.57291666666666663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>
        <v>0.57291666666666663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</row>
    <row r="139" spans="1:36" ht="16" thickBot="1">
      <c r="A139" s="48">
        <v>46</v>
      </c>
      <c r="B139" s="49">
        <f>資料儲存!D1547</f>
        <v>0</v>
      </c>
      <c r="C139" s="49">
        <f>資料儲存!E1547</f>
        <v>0</v>
      </c>
      <c r="D139" s="49">
        <f>資料儲存!F1547</f>
        <v>0</v>
      </c>
      <c r="E139" s="49">
        <f>資料儲存!G1547</f>
        <v>0</v>
      </c>
      <c r="F139" s="49">
        <f>資料儲存!H1547</f>
        <v>0</v>
      </c>
      <c r="G139" s="49">
        <f>資料儲存!I1547</f>
        <v>0</v>
      </c>
      <c r="H139" s="49">
        <f>資料儲存!J1547</f>
        <v>0</v>
      </c>
      <c r="I139" s="45"/>
      <c r="J139" s="48">
        <v>46</v>
      </c>
      <c r="K139" s="49">
        <f>資料儲存!D1667</f>
        <v>0</v>
      </c>
      <c r="L139" s="49">
        <f>資料儲存!E1667</f>
        <v>0</v>
      </c>
      <c r="M139" s="49">
        <f>資料儲存!F1667</f>
        <v>0</v>
      </c>
      <c r="N139" s="49">
        <f>資料儲存!G1667</f>
        <v>0</v>
      </c>
      <c r="O139" s="49">
        <f>資料儲存!H1667</f>
        <v>0</v>
      </c>
      <c r="P139" s="49">
        <f>資料儲存!I1667</f>
        <v>0</v>
      </c>
      <c r="Q139" s="49">
        <f>資料儲存!J1667</f>
        <v>0</v>
      </c>
      <c r="R139" s="45"/>
      <c r="S139" s="48">
        <v>46</v>
      </c>
      <c r="T139" s="49">
        <f>資料儲存!D1787</f>
        <v>0</v>
      </c>
      <c r="U139" s="49">
        <f>資料儲存!E1787</f>
        <v>0</v>
      </c>
      <c r="V139" s="49">
        <f>資料儲存!F1787</f>
        <v>0</v>
      </c>
      <c r="W139" s="49">
        <f>資料儲存!G1787</f>
        <v>0</v>
      </c>
      <c r="X139" s="49">
        <f>資料儲存!H1787</f>
        <v>0</v>
      </c>
      <c r="Y139" s="49">
        <f>資料儲存!I1787</f>
        <v>0</v>
      </c>
      <c r="Z139" s="49">
        <f>資料儲存!J1787</f>
        <v>0</v>
      </c>
      <c r="AA139" s="45"/>
      <c r="AB139" s="48">
        <v>46</v>
      </c>
      <c r="AC139" s="49">
        <f>資料儲存!D1907</f>
        <v>0</v>
      </c>
      <c r="AD139" s="49">
        <f>資料儲存!E1907</f>
        <v>0</v>
      </c>
      <c r="AE139" s="49">
        <f>資料儲存!F1907</f>
        <v>0</v>
      </c>
      <c r="AF139" s="49">
        <f>資料儲存!G1907</f>
        <v>0</v>
      </c>
      <c r="AG139" s="49">
        <f>資料儲存!H1907</f>
        <v>0</v>
      </c>
      <c r="AH139" s="49">
        <f>資料儲存!I1907</f>
        <v>0</v>
      </c>
      <c r="AI139" s="49">
        <f>資料儲存!J1907</f>
        <v>0</v>
      </c>
      <c r="AJ139" s="13"/>
    </row>
    <row r="140" spans="1:36" ht="16" thickBot="1">
      <c r="A140" s="48">
        <v>47</v>
      </c>
      <c r="B140" s="49">
        <f>資料儲存!D1548</f>
        <v>0</v>
      </c>
      <c r="C140" s="49">
        <f>資料儲存!E1548</f>
        <v>0</v>
      </c>
      <c r="D140" s="49">
        <f>資料儲存!F1548</f>
        <v>0</v>
      </c>
      <c r="E140" s="49">
        <f>資料儲存!G1548</f>
        <v>0</v>
      </c>
      <c r="F140" s="49">
        <f>資料儲存!H1548</f>
        <v>0</v>
      </c>
      <c r="G140" s="49">
        <f>資料儲存!I1548</f>
        <v>0</v>
      </c>
      <c r="H140" s="49">
        <f>資料儲存!J1548</f>
        <v>0</v>
      </c>
      <c r="I140" s="45"/>
      <c r="J140" s="48">
        <v>47</v>
      </c>
      <c r="K140" s="49">
        <f>資料儲存!D1668</f>
        <v>0</v>
      </c>
      <c r="L140" s="49">
        <f>資料儲存!E1668</f>
        <v>0</v>
      </c>
      <c r="M140" s="49">
        <f>資料儲存!F1668</f>
        <v>0</v>
      </c>
      <c r="N140" s="49">
        <f>資料儲存!G1668</f>
        <v>0</v>
      </c>
      <c r="O140" s="49">
        <f>資料儲存!H1668</f>
        <v>0</v>
      </c>
      <c r="P140" s="49">
        <f>資料儲存!I1668</f>
        <v>0</v>
      </c>
      <c r="Q140" s="49">
        <f>資料儲存!J1668</f>
        <v>0</v>
      </c>
      <c r="R140" s="45"/>
      <c r="S140" s="48">
        <v>47</v>
      </c>
      <c r="T140" s="49">
        <f>資料儲存!D1788</f>
        <v>0</v>
      </c>
      <c r="U140" s="49">
        <f>資料儲存!E1788</f>
        <v>0</v>
      </c>
      <c r="V140" s="49">
        <f>資料儲存!F1788</f>
        <v>0</v>
      </c>
      <c r="W140" s="49">
        <f>資料儲存!G1788</f>
        <v>0</v>
      </c>
      <c r="X140" s="49">
        <f>資料儲存!H1788</f>
        <v>0</v>
      </c>
      <c r="Y140" s="49">
        <f>資料儲存!I1788</f>
        <v>0</v>
      </c>
      <c r="Z140" s="49">
        <f>資料儲存!J1788</f>
        <v>0</v>
      </c>
      <c r="AA140" s="45"/>
      <c r="AB140" s="48">
        <v>47</v>
      </c>
      <c r="AC140" s="49">
        <f>資料儲存!D1908</f>
        <v>0</v>
      </c>
      <c r="AD140" s="49">
        <f>資料儲存!E1908</f>
        <v>0</v>
      </c>
      <c r="AE140" s="49">
        <f>資料儲存!F1908</f>
        <v>0</v>
      </c>
      <c r="AF140" s="49">
        <f>資料儲存!G1908</f>
        <v>0</v>
      </c>
      <c r="AG140" s="49">
        <f>資料儲存!H1908</f>
        <v>0</v>
      </c>
      <c r="AH140" s="49">
        <f>資料儲存!I1908</f>
        <v>0</v>
      </c>
      <c r="AI140" s="49">
        <f>資料儲存!J1908</f>
        <v>0</v>
      </c>
      <c r="AJ140" s="13"/>
    </row>
    <row r="141" spans="1:36" ht="16" thickBot="1">
      <c r="A141" s="48">
        <v>48</v>
      </c>
      <c r="B141" s="49">
        <f>資料儲存!D1549</f>
        <v>0</v>
      </c>
      <c r="C141" s="49">
        <f>資料儲存!E1549</f>
        <v>0</v>
      </c>
      <c r="D141" s="49">
        <f>資料儲存!F1549</f>
        <v>0</v>
      </c>
      <c r="E141" s="49">
        <f>資料儲存!G1549</f>
        <v>0</v>
      </c>
      <c r="F141" s="49">
        <f>資料儲存!H1549</f>
        <v>0</v>
      </c>
      <c r="G141" s="49">
        <f>資料儲存!I1549</f>
        <v>0</v>
      </c>
      <c r="H141" s="49">
        <f>資料儲存!J1549</f>
        <v>0</v>
      </c>
      <c r="I141" s="45"/>
      <c r="J141" s="48">
        <v>48</v>
      </c>
      <c r="K141" s="49">
        <f>資料儲存!D1669</f>
        <v>0</v>
      </c>
      <c r="L141" s="49">
        <f>資料儲存!E1669</f>
        <v>0</v>
      </c>
      <c r="M141" s="49">
        <f>資料儲存!F1669</f>
        <v>0</v>
      </c>
      <c r="N141" s="49">
        <f>資料儲存!G1669</f>
        <v>0</v>
      </c>
      <c r="O141" s="49">
        <f>資料儲存!H1669</f>
        <v>0</v>
      </c>
      <c r="P141" s="49">
        <f>資料儲存!I1669</f>
        <v>0</v>
      </c>
      <c r="Q141" s="49">
        <f>資料儲存!J1669</f>
        <v>0</v>
      </c>
      <c r="R141" s="45"/>
      <c r="S141" s="48">
        <v>48</v>
      </c>
      <c r="T141" s="49">
        <f>資料儲存!D1789</f>
        <v>0</v>
      </c>
      <c r="U141" s="49">
        <f>資料儲存!E1789</f>
        <v>0</v>
      </c>
      <c r="V141" s="49">
        <f>資料儲存!F1789</f>
        <v>0</v>
      </c>
      <c r="W141" s="49">
        <f>資料儲存!G1789</f>
        <v>0</v>
      </c>
      <c r="X141" s="49">
        <f>資料儲存!H1789</f>
        <v>0</v>
      </c>
      <c r="Y141" s="49">
        <f>資料儲存!I1789</f>
        <v>0</v>
      </c>
      <c r="Z141" s="49">
        <f>資料儲存!J1789</f>
        <v>0</v>
      </c>
      <c r="AA141" s="45"/>
      <c r="AB141" s="48">
        <v>48</v>
      </c>
      <c r="AC141" s="49">
        <f>資料儲存!D1909</f>
        <v>0</v>
      </c>
      <c r="AD141" s="49">
        <f>資料儲存!E1909</f>
        <v>0</v>
      </c>
      <c r="AE141" s="49">
        <f>資料儲存!F1909</f>
        <v>0</v>
      </c>
      <c r="AF141" s="49">
        <f>資料儲存!G1909</f>
        <v>0</v>
      </c>
      <c r="AG141" s="49">
        <f>資料儲存!H1909</f>
        <v>0</v>
      </c>
      <c r="AH141" s="49">
        <f>資料儲存!I1909</f>
        <v>0</v>
      </c>
      <c r="AI141" s="49">
        <f>資料儲存!J1909</f>
        <v>0</v>
      </c>
      <c r="AJ141" s="13"/>
    </row>
    <row r="142" spans="1:36" ht="16" thickBot="1">
      <c r="A142" s="48">
        <v>49</v>
      </c>
      <c r="B142" s="49">
        <f>資料儲存!D1550</f>
        <v>0</v>
      </c>
      <c r="C142" s="49">
        <f>資料儲存!E1550</f>
        <v>0</v>
      </c>
      <c r="D142" s="49">
        <f>資料儲存!F1550</f>
        <v>0</v>
      </c>
      <c r="E142" s="49">
        <f>資料儲存!G1550</f>
        <v>0</v>
      </c>
      <c r="F142" s="49">
        <f>資料儲存!H1550</f>
        <v>0</v>
      </c>
      <c r="G142" s="49">
        <f>資料儲存!I1550</f>
        <v>0</v>
      </c>
      <c r="H142" s="49">
        <f>資料儲存!J1550</f>
        <v>0</v>
      </c>
      <c r="I142" s="45"/>
      <c r="J142" s="48">
        <v>49</v>
      </c>
      <c r="K142" s="49">
        <f>資料儲存!D1670</f>
        <v>0</v>
      </c>
      <c r="L142" s="49">
        <f>資料儲存!E1670</f>
        <v>0</v>
      </c>
      <c r="M142" s="49">
        <f>資料儲存!F1670</f>
        <v>0</v>
      </c>
      <c r="N142" s="49">
        <f>資料儲存!G1670</f>
        <v>0</v>
      </c>
      <c r="O142" s="49">
        <f>資料儲存!H1670</f>
        <v>0</v>
      </c>
      <c r="P142" s="49">
        <f>資料儲存!I1670</f>
        <v>0</v>
      </c>
      <c r="Q142" s="49">
        <f>資料儲存!J1670</f>
        <v>0</v>
      </c>
      <c r="R142" s="45"/>
      <c r="S142" s="48">
        <v>49</v>
      </c>
      <c r="T142" s="49">
        <f>資料儲存!D1790</f>
        <v>0</v>
      </c>
      <c r="U142" s="49">
        <f>資料儲存!E1790</f>
        <v>0</v>
      </c>
      <c r="V142" s="49">
        <f>資料儲存!F1790</f>
        <v>0</v>
      </c>
      <c r="W142" s="49">
        <f>資料儲存!G1790</f>
        <v>0</v>
      </c>
      <c r="X142" s="49">
        <f>資料儲存!H1790</f>
        <v>0</v>
      </c>
      <c r="Y142" s="49">
        <f>資料儲存!I1790</f>
        <v>0</v>
      </c>
      <c r="Z142" s="49">
        <f>資料儲存!J1790</f>
        <v>0</v>
      </c>
      <c r="AA142" s="45"/>
      <c r="AB142" s="48">
        <v>49</v>
      </c>
      <c r="AC142" s="49">
        <f>資料儲存!D1910</f>
        <v>0</v>
      </c>
      <c r="AD142" s="49">
        <f>資料儲存!E1910</f>
        <v>0</v>
      </c>
      <c r="AE142" s="49">
        <f>資料儲存!F1910</f>
        <v>0</v>
      </c>
      <c r="AF142" s="49">
        <f>資料儲存!G1910</f>
        <v>0</v>
      </c>
      <c r="AG142" s="49">
        <f>資料儲存!H1910</f>
        <v>0</v>
      </c>
      <c r="AH142" s="49">
        <f>資料儲存!I1910</f>
        <v>0</v>
      </c>
      <c r="AI142" s="49">
        <f>資料儲存!J1910</f>
        <v>0</v>
      </c>
      <c r="AJ142" s="13"/>
    </row>
    <row r="143" spans="1:36" ht="16" thickBot="1">
      <c r="A143" s="48">
        <v>50</v>
      </c>
      <c r="B143" s="49">
        <f>資料儲存!D1551</f>
        <v>0</v>
      </c>
      <c r="C143" s="49">
        <f>資料儲存!E1551</f>
        <v>0</v>
      </c>
      <c r="D143" s="49">
        <f>資料儲存!F1551</f>
        <v>0</v>
      </c>
      <c r="E143" s="49">
        <f>資料儲存!G1551</f>
        <v>0</v>
      </c>
      <c r="F143" s="49">
        <f>資料儲存!H1551</f>
        <v>0</v>
      </c>
      <c r="G143" s="49">
        <f>資料儲存!I1551</f>
        <v>0</v>
      </c>
      <c r="H143" s="49">
        <f>資料儲存!J1551</f>
        <v>0</v>
      </c>
      <c r="I143" s="45"/>
      <c r="J143" s="48">
        <v>50</v>
      </c>
      <c r="K143" s="49">
        <f>資料儲存!D1671</f>
        <v>0</v>
      </c>
      <c r="L143" s="49">
        <f>資料儲存!E1671</f>
        <v>0</v>
      </c>
      <c r="M143" s="49">
        <f>資料儲存!F1671</f>
        <v>0</v>
      </c>
      <c r="N143" s="49">
        <f>資料儲存!G1671</f>
        <v>0</v>
      </c>
      <c r="O143" s="49">
        <f>資料儲存!H1671</f>
        <v>0</v>
      </c>
      <c r="P143" s="49">
        <f>資料儲存!I1671</f>
        <v>0</v>
      </c>
      <c r="Q143" s="49">
        <f>資料儲存!J1671</f>
        <v>0</v>
      </c>
      <c r="R143" s="45"/>
      <c r="S143" s="48">
        <v>50</v>
      </c>
      <c r="T143" s="49">
        <f>資料儲存!D1791</f>
        <v>0</v>
      </c>
      <c r="U143" s="49">
        <f>資料儲存!E1791</f>
        <v>0</v>
      </c>
      <c r="V143" s="49">
        <f>資料儲存!F1791</f>
        <v>0</v>
      </c>
      <c r="W143" s="49">
        <f>資料儲存!G1791</f>
        <v>0</v>
      </c>
      <c r="X143" s="49">
        <f>資料儲存!H1791</f>
        <v>0</v>
      </c>
      <c r="Y143" s="49">
        <f>資料儲存!I1791</f>
        <v>0</v>
      </c>
      <c r="Z143" s="49">
        <f>資料儲存!J1791</f>
        <v>0</v>
      </c>
      <c r="AA143" s="45"/>
      <c r="AB143" s="48">
        <v>50</v>
      </c>
      <c r="AC143" s="49">
        <f>資料儲存!D1911</f>
        <v>0</v>
      </c>
      <c r="AD143" s="49">
        <f>資料儲存!E1911</f>
        <v>0</v>
      </c>
      <c r="AE143" s="49">
        <f>資料儲存!F1911</f>
        <v>0</v>
      </c>
      <c r="AF143" s="49">
        <f>資料儲存!G1911</f>
        <v>0</v>
      </c>
      <c r="AG143" s="49">
        <f>資料儲存!H1911</f>
        <v>0</v>
      </c>
      <c r="AH143" s="49">
        <f>資料儲存!I1911</f>
        <v>0</v>
      </c>
      <c r="AI143" s="49">
        <f>資料儲存!J1911</f>
        <v>0</v>
      </c>
      <c r="AJ143" s="13"/>
    </row>
    <row r="144" spans="1:36" ht="16" thickBot="1">
      <c r="A144" s="48">
        <v>51</v>
      </c>
      <c r="B144" s="49">
        <f>資料儲存!D1552</f>
        <v>0</v>
      </c>
      <c r="C144" s="49">
        <f>資料儲存!E1552</f>
        <v>0</v>
      </c>
      <c r="D144" s="49">
        <f>資料儲存!F1552</f>
        <v>0</v>
      </c>
      <c r="E144" s="49">
        <f>資料儲存!G1552</f>
        <v>0</v>
      </c>
      <c r="F144" s="49">
        <f>資料儲存!H1552</f>
        <v>0</v>
      </c>
      <c r="G144" s="49">
        <f>資料儲存!I1552</f>
        <v>0</v>
      </c>
      <c r="H144" s="49">
        <f>資料儲存!J1552</f>
        <v>0</v>
      </c>
      <c r="I144" s="45"/>
      <c r="J144" s="48">
        <v>51</v>
      </c>
      <c r="K144" s="49">
        <f>資料儲存!D1672</f>
        <v>0</v>
      </c>
      <c r="L144" s="49">
        <f>資料儲存!E1672</f>
        <v>0</v>
      </c>
      <c r="M144" s="49">
        <f>資料儲存!F1672</f>
        <v>0</v>
      </c>
      <c r="N144" s="49">
        <f>資料儲存!G1672</f>
        <v>0</v>
      </c>
      <c r="O144" s="49">
        <f>資料儲存!H1672</f>
        <v>0</v>
      </c>
      <c r="P144" s="49">
        <f>資料儲存!I1672</f>
        <v>0</v>
      </c>
      <c r="Q144" s="49">
        <f>資料儲存!J1672</f>
        <v>0</v>
      </c>
      <c r="R144" s="45"/>
      <c r="S144" s="48">
        <v>51</v>
      </c>
      <c r="T144" s="49">
        <f>資料儲存!D1792</f>
        <v>0</v>
      </c>
      <c r="U144" s="49">
        <f>資料儲存!E1792</f>
        <v>0</v>
      </c>
      <c r="V144" s="49">
        <f>資料儲存!F1792</f>
        <v>0</v>
      </c>
      <c r="W144" s="49">
        <f>資料儲存!G1792</f>
        <v>0</v>
      </c>
      <c r="X144" s="49">
        <f>資料儲存!H1792</f>
        <v>0</v>
      </c>
      <c r="Y144" s="49">
        <f>資料儲存!I1792</f>
        <v>0</v>
      </c>
      <c r="Z144" s="49">
        <f>資料儲存!J1792</f>
        <v>0</v>
      </c>
      <c r="AA144" s="45"/>
      <c r="AB144" s="48">
        <v>51</v>
      </c>
      <c r="AC144" s="49">
        <f>資料儲存!D1912</f>
        <v>0</v>
      </c>
      <c r="AD144" s="49">
        <f>資料儲存!E1912</f>
        <v>0</v>
      </c>
      <c r="AE144" s="49">
        <f>資料儲存!F1912</f>
        <v>0</v>
      </c>
      <c r="AF144" s="49">
        <f>資料儲存!G1912</f>
        <v>0</v>
      </c>
      <c r="AG144" s="49">
        <f>資料儲存!H1912</f>
        <v>0</v>
      </c>
      <c r="AH144" s="49">
        <f>資料儲存!I1912</f>
        <v>0</v>
      </c>
      <c r="AI144" s="49">
        <f>資料儲存!J1912</f>
        <v>0</v>
      </c>
      <c r="AJ144" s="13"/>
    </row>
    <row r="145" spans="1:36" ht="16" thickBot="1">
      <c r="A145" s="48">
        <v>52</v>
      </c>
      <c r="B145" s="49">
        <f>資料儲存!D1553</f>
        <v>0</v>
      </c>
      <c r="C145" s="49">
        <f>資料儲存!E1553</f>
        <v>0</v>
      </c>
      <c r="D145" s="49">
        <f>資料儲存!F1553</f>
        <v>0</v>
      </c>
      <c r="E145" s="49">
        <f>資料儲存!G1553</f>
        <v>0</v>
      </c>
      <c r="F145" s="49">
        <f>資料儲存!H1553</f>
        <v>0</v>
      </c>
      <c r="G145" s="49">
        <f>資料儲存!I1553</f>
        <v>0</v>
      </c>
      <c r="H145" s="49">
        <f>資料儲存!J1553</f>
        <v>0</v>
      </c>
      <c r="I145" s="45"/>
      <c r="J145" s="48">
        <v>52</v>
      </c>
      <c r="K145" s="49">
        <f>資料儲存!D1673</f>
        <v>0</v>
      </c>
      <c r="L145" s="49">
        <f>資料儲存!E1673</f>
        <v>0</v>
      </c>
      <c r="M145" s="49">
        <f>資料儲存!F1673</f>
        <v>0</v>
      </c>
      <c r="N145" s="49">
        <f>資料儲存!G1673</f>
        <v>0</v>
      </c>
      <c r="O145" s="49">
        <f>資料儲存!H1673</f>
        <v>0</v>
      </c>
      <c r="P145" s="49">
        <f>資料儲存!I1673</f>
        <v>0</v>
      </c>
      <c r="Q145" s="49">
        <f>資料儲存!J1673</f>
        <v>0</v>
      </c>
      <c r="R145" s="45"/>
      <c r="S145" s="48">
        <v>52</v>
      </c>
      <c r="T145" s="49">
        <f>資料儲存!D1793</f>
        <v>0</v>
      </c>
      <c r="U145" s="49">
        <f>資料儲存!E1793</f>
        <v>0</v>
      </c>
      <c r="V145" s="49">
        <f>資料儲存!F1793</f>
        <v>0</v>
      </c>
      <c r="W145" s="49">
        <f>資料儲存!G1793</f>
        <v>0</v>
      </c>
      <c r="X145" s="49">
        <f>資料儲存!H1793</f>
        <v>0</v>
      </c>
      <c r="Y145" s="49">
        <f>資料儲存!I1793</f>
        <v>0</v>
      </c>
      <c r="Z145" s="49">
        <f>資料儲存!J1793</f>
        <v>0</v>
      </c>
      <c r="AA145" s="45"/>
      <c r="AB145" s="48">
        <v>52</v>
      </c>
      <c r="AC145" s="49">
        <f>資料儲存!D1913</f>
        <v>0</v>
      </c>
      <c r="AD145" s="49">
        <f>資料儲存!E1913</f>
        <v>0</v>
      </c>
      <c r="AE145" s="49">
        <f>資料儲存!F1913</f>
        <v>0</v>
      </c>
      <c r="AF145" s="49">
        <f>資料儲存!G1913</f>
        <v>0</v>
      </c>
      <c r="AG145" s="49">
        <f>資料儲存!H1913</f>
        <v>0</v>
      </c>
      <c r="AH145" s="49">
        <f>資料儲存!I1913</f>
        <v>0</v>
      </c>
      <c r="AI145" s="49">
        <f>資料儲存!J1913</f>
        <v>0</v>
      </c>
      <c r="AJ145" s="13"/>
    </row>
    <row r="146" spans="1:36" ht="16" thickBot="1">
      <c r="A146" s="48">
        <v>53</v>
      </c>
      <c r="B146" s="49">
        <f>資料儲存!D1554</f>
        <v>0</v>
      </c>
      <c r="C146" s="49">
        <f>資料儲存!E1554</f>
        <v>0</v>
      </c>
      <c r="D146" s="49">
        <f>資料儲存!F1554</f>
        <v>0</v>
      </c>
      <c r="E146" s="49">
        <f>資料儲存!G1554</f>
        <v>0</v>
      </c>
      <c r="F146" s="49">
        <f>資料儲存!H1554</f>
        <v>0</v>
      </c>
      <c r="G146" s="49">
        <f>資料儲存!I1554</f>
        <v>0</v>
      </c>
      <c r="H146" s="49">
        <f>資料儲存!J1554</f>
        <v>0</v>
      </c>
      <c r="I146" s="45"/>
      <c r="J146" s="48">
        <v>53</v>
      </c>
      <c r="K146" s="49">
        <f>資料儲存!D1674</f>
        <v>0</v>
      </c>
      <c r="L146" s="49">
        <f>資料儲存!E1674</f>
        <v>0</v>
      </c>
      <c r="M146" s="49">
        <f>資料儲存!F1674</f>
        <v>0</v>
      </c>
      <c r="N146" s="49">
        <f>資料儲存!G1674</f>
        <v>0</v>
      </c>
      <c r="O146" s="49">
        <f>資料儲存!H1674</f>
        <v>0</v>
      </c>
      <c r="P146" s="49">
        <f>資料儲存!I1674</f>
        <v>0</v>
      </c>
      <c r="Q146" s="49">
        <f>資料儲存!J1674</f>
        <v>0</v>
      </c>
      <c r="R146" s="45"/>
      <c r="S146" s="48">
        <v>53</v>
      </c>
      <c r="T146" s="49">
        <f>資料儲存!D1794</f>
        <v>0</v>
      </c>
      <c r="U146" s="49">
        <f>資料儲存!E1794</f>
        <v>0</v>
      </c>
      <c r="V146" s="49">
        <f>資料儲存!F1794</f>
        <v>0</v>
      </c>
      <c r="W146" s="49">
        <f>資料儲存!G1794</f>
        <v>0</v>
      </c>
      <c r="X146" s="49">
        <f>資料儲存!H1794</f>
        <v>0</v>
      </c>
      <c r="Y146" s="49">
        <f>資料儲存!I1794</f>
        <v>0</v>
      </c>
      <c r="Z146" s="49">
        <f>資料儲存!J1794</f>
        <v>0</v>
      </c>
      <c r="AA146" s="45"/>
      <c r="AB146" s="48">
        <v>53</v>
      </c>
      <c r="AC146" s="49">
        <f>資料儲存!D1914</f>
        <v>0</v>
      </c>
      <c r="AD146" s="49">
        <f>資料儲存!E1914</f>
        <v>0</v>
      </c>
      <c r="AE146" s="49">
        <f>資料儲存!F1914</f>
        <v>0</v>
      </c>
      <c r="AF146" s="49">
        <f>資料儲存!G1914</f>
        <v>0</v>
      </c>
      <c r="AG146" s="49">
        <f>資料儲存!H1914</f>
        <v>0</v>
      </c>
      <c r="AH146" s="49">
        <f>資料儲存!I1914</f>
        <v>0</v>
      </c>
      <c r="AI146" s="49">
        <f>資料儲存!J1914</f>
        <v>0</v>
      </c>
      <c r="AJ146" s="13"/>
    </row>
    <row r="147" spans="1:36" ht="16" thickBot="1">
      <c r="A147" s="48">
        <v>54</v>
      </c>
      <c r="B147" s="49">
        <f>資料儲存!D1555</f>
        <v>0</v>
      </c>
      <c r="C147" s="49">
        <f>資料儲存!E1555</f>
        <v>0</v>
      </c>
      <c r="D147" s="49">
        <f>資料儲存!F1555</f>
        <v>0</v>
      </c>
      <c r="E147" s="49">
        <f>資料儲存!G1555</f>
        <v>0</v>
      </c>
      <c r="F147" s="49">
        <f>資料儲存!H1555</f>
        <v>0</v>
      </c>
      <c r="G147" s="49">
        <f>資料儲存!I1555</f>
        <v>0</v>
      </c>
      <c r="H147" s="49">
        <f>資料儲存!J1555</f>
        <v>0</v>
      </c>
      <c r="I147" s="45"/>
      <c r="J147" s="48">
        <v>54</v>
      </c>
      <c r="K147" s="49">
        <f>資料儲存!D1675</f>
        <v>0</v>
      </c>
      <c r="L147" s="49">
        <f>資料儲存!E1675</f>
        <v>0</v>
      </c>
      <c r="M147" s="49">
        <f>資料儲存!F1675</f>
        <v>0</v>
      </c>
      <c r="N147" s="49">
        <f>資料儲存!G1675</f>
        <v>0</v>
      </c>
      <c r="O147" s="49">
        <f>資料儲存!H1675</f>
        <v>0</v>
      </c>
      <c r="P147" s="49">
        <f>資料儲存!I1675</f>
        <v>0</v>
      </c>
      <c r="Q147" s="49">
        <f>資料儲存!J1675</f>
        <v>0</v>
      </c>
      <c r="R147" s="45"/>
      <c r="S147" s="48">
        <v>54</v>
      </c>
      <c r="T147" s="49">
        <f>資料儲存!D1795</f>
        <v>0</v>
      </c>
      <c r="U147" s="49">
        <f>資料儲存!E1795</f>
        <v>0</v>
      </c>
      <c r="V147" s="49">
        <f>資料儲存!F1795</f>
        <v>0</v>
      </c>
      <c r="W147" s="49">
        <f>資料儲存!G1795</f>
        <v>0</v>
      </c>
      <c r="X147" s="49">
        <f>資料儲存!H1795</f>
        <v>0</v>
      </c>
      <c r="Y147" s="49">
        <f>資料儲存!I1795</f>
        <v>0</v>
      </c>
      <c r="Z147" s="49">
        <f>資料儲存!J1795</f>
        <v>0</v>
      </c>
      <c r="AA147" s="45"/>
      <c r="AB147" s="48">
        <v>54</v>
      </c>
      <c r="AC147" s="49">
        <f>資料儲存!D1915</f>
        <v>0</v>
      </c>
      <c r="AD147" s="49">
        <f>資料儲存!E1915</f>
        <v>0</v>
      </c>
      <c r="AE147" s="49">
        <f>資料儲存!F1915</f>
        <v>0</v>
      </c>
      <c r="AF147" s="49">
        <f>資料儲存!G1915</f>
        <v>0</v>
      </c>
      <c r="AG147" s="49">
        <f>資料儲存!H1915</f>
        <v>0</v>
      </c>
      <c r="AH147" s="49">
        <f>資料儲存!I1915</f>
        <v>0</v>
      </c>
      <c r="AI147" s="49">
        <f>資料儲存!J1915</f>
        <v>0</v>
      </c>
      <c r="AJ147" s="13"/>
    </row>
    <row r="148" spans="1:36" ht="16" thickBot="1">
      <c r="A148" s="48">
        <v>55</v>
      </c>
      <c r="B148" s="49">
        <f>資料儲存!D1556</f>
        <v>0</v>
      </c>
      <c r="C148" s="49">
        <f>資料儲存!E1556</f>
        <v>0</v>
      </c>
      <c r="D148" s="49">
        <f>資料儲存!F1556</f>
        <v>0</v>
      </c>
      <c r="E148" s="49">
        <f>資料儲存!G1556</f>
        <v>0</v>
      </c>
      <c r="F148" s="49">
        <f>資料儲存!H1556</f>
        <v>0</v>
      </c>
      <c r="G148" s="49">
        <f>資料儲存!I1556</f>
        <v>0</v>
      </c>
      <c r="H148" s="49">
        <f>資料儲存!J1556</f>
        <v>0</v>
      </c>
      <c r="I148" s="45"/>
      <c r="J148" s="48">
        <v>55</v>
      </c>
      <c r="K148" s="49">
        <f>資料儲存!D1676</f>
        <v>0</v>
      </c>
      <c r="L148" s="49">
        <f>資料儲存!E1676</f>
        <v>0</v>
      </c>
      <c r="M148" s="49">
        <f>資料儲存!F1676</f>
        <v>0</v>
      </c>
      <c r="N148" s="49">
        <f>資料儲存!G1676</f>
        <v>0</v>
      </c>
      <c r="O148" s="49">
        <f>資料儲存!H1676</f>
        <v>0</v>
      </c>
      <c r="P148" s="49">
        <f>資料儲存!I1676</f>
        <v>0</v>
      </c>
      <c r="Q148" s="49">
        <f>資料儲存!J1676</f>
        <v>0</v>
      </c>
      <c r="R148" s="45"/>
      <c r="S148" s="48">
        <v>55</v>
      </c>
      <c r="T148" s="49">
        <f>資料儲存!D1796</f>
        <v>0</v>
      </c>
      <c r="U148" s="49">
        <f>資料儲存!E1796</f>
        <v>0</v>
      </c>
      <c r="V148" s="49">
        <f>資料儲存!F1796</f>
        <v>0</v>
      </c>
      <c r="W148" s="49">
        <f>資料儲存!G1796</f>
        <v>0</v>
      </c>
      <c r="X148" s="49">
        <f>資料儲存!H1796</f>
        <v>0</v>
      </c>
      <c r="Y148" s="49">
        <f>資料儲存!I1796</f>
        <v>0</v>
      </c>
      <c r="Z148" s="49">
        <f>資料儲存!J1796</f>
        <v>0</v>
      </c>
      <c r="AA148" s="45"/>
      <c r="AB148" s="48">
        <v>55</v>
      </c>
      <c r="AC148" s="49">
        <f>資料儲存!D1916</f>
        <v>0</v>
      </c>
      <c r="AD148" s="49">
        <f>資料儲存!E1916</f>
        <v>0</v>
      </c>
      <c r="AE148" s="49">
        <f>資料儲存!F1916</f>
        <v>0</v>
      </c>
      <c r="AF148" s="49">
        <f>資料儲存!G1916</f>
        <v>0</v>
      </c>
      <c r="AG148" s="49">
        <f>資料儲存!H1916</f>
        <v>0</v>
      </c>
      <c r="AH148" s="49">
        <f>資料儲存!I1916</f>
        <v>0</v>
      </c>
      <c r="AI148" s="49">
        <f>資料儲存!J1916</f>
        <v>0</v>
      </c>
      <c r="AJ148" s="13"/>
    </row>
    <row r="149" spans="1:36" ht="16" thickBot="1">
      <c r="A149" s="48">
        <v>56</v>
      </c>
      <c r="B149" s="49">
        <f>資料儲存!D1557</f>
        <v>0</v>
      </c>
      <c r="C149" s="49">
        <f>資料儲存!E1557</f>
        <v>0</v>
      </c>
      <c r="D149" s="49">
        <f>資料儲存!F1557</f>
        <v>0</v>
      </c>
      <c r="E149" s="49">
        <f>資料儲存!G1557</f>
        <v>0</v>
      </c>
      <c r="F149" s="49">
        <f>資料儲存!H1557</f>
        <v>0</v>
      </c>
      <c r="G149" s="49">
        <f>資料儲存!I1557</f>
        <v>0</v>
      </c>
      <c r="H149" s="49">
        <f>資料儲存!J1557</f>
        <v>0</v>
      </c>
      <c r="I149" s="45"/>
      <c r="J149" s="48">
        <v>56</v>
      </c>
      <c r="K149" s="49">
        <f>資料儲存!D1677</f>
        <v>0</v>
      </c>
      <c r="L149" s="49">
        <f>資料儲存!E1677</f>
        <v>0</v>
      </c>
      <c r="M149" s="49">
        <f>資料儲存!F1677</f>
        <v>0</v>
      </c>
      <c r="N149" s="49">
        <f>資料儲存!G1677</f>
        <v>0</v>
      </c>
      <c r="O149" s="49">
        <f>資料儲存!H1677</f>
        <v>0</v>
      </c>
      <c r="P149" s="49">
        <f>資料儲存!I1677</f>
        <v>0</v>
      </c>
      <c r="Q149" s="49">
        <f>資料儲存!J1677</f>
        <v>0</v>
      </c>
      <c r="R149" s="45"/>
      <c r="S149" s="48">
        <v>56</v>
      </c>
      <c r="T149" s="49">
        <f>資料儲存!D1797</f>
        <v>0</v>
      </c>
      <c r="U149" s="49">
        <f>資料儲存!E1797</f>
        <v>0</v>
      </c>
      <c r="V149" s="49">
        <f>資料儲存!F1797</f>
        <v>0</v>
      </c>
      <c r="W149" s="49">
        <f>資料儲存!G1797</f>
        <v>0</v>
      </c>
      <c r="X149" s="49">
        <f>資料儲存!H1797</f>
        <v>0</v>
      </c>
      <c r="Y149" s="49">
        <f>資料儲存!I1797</f>
        <v>0</v>
      </c>
      <c r="Z149" s="49">
        <f>資料儲存!J1797</f>
        <v>0</v>
      </c>
      <c r="AA149" s="45"/>
      <c r="AB149" s="48">
        <v>56</v>
      </c>
      <c r="AC149" s="49">
        <f>資料儲存!D1917</f>
        <v>0</v>
      </c>
      <c r="AD149" s="49">
        <f>資料儲存!E1917</f>
        <v>0</v>
      </c>
      <c r="AE149" s="49">
        <f>資料儲存!F1917</f>
        <v>0</v>
      </c>
      <c r="AF149" s="49">
        <f>資料儲存!G1917</f>
        <v>0</v>
      </c>
      <c r="AG149" s="49">
        <f>資料儲存!H1917</f>
        <v>0</v>
      </c>
      <c r="AH149" s="49">
        <f>資料儲存!I1917</f>
        <v>0</v>
      </c>
      <c r="AI149" s="49">
        <f>資料儲存!J1917</f>
        <v>0</v>
      </c>
      <c r="AJ149" s="13"/>
    </row>
    <row r="150" spans="1:36" ht="16" thickBot="1">
      <c r="A150" s="48">
        <v>57</v>
      </c>
      <c r="B150" s="49">
        <f>資料儲存!D1558</f>
        <v>0</v>
      </c>
      <c r="C150" s="49">
        <f>資料儲存!E1558</f>
        <v>0</v>
      </c>
      <c r="D150" s="49">
        <f>資料儲存!F1558</f>
        <v>0</v>
      </c>
      <c r="E150" s="49">
        <f>資料儲存!G1558</f>
        <v>0</v>
      </c>
      <c r="F150" s="49">
        <f>資料儲存!H1558</f>
        <v>0</v>
      </c>
      <c r="G150" s="49">
        <f>資料儲存!I1558</f>
        <v>0</v>
      </c>
      <c r="H150" s="49">
        <f>資料儲存!J1558</f>
        <v>0</v>
      </c>
      <c r="I150" s="45"/>
      <c r="J150" s="48">
        <v>57</v>
      </c>
      <c r="K150" s="49">
        <f>資料儲存!D1678</f>
        <v>0</v>
      </c>
      <c r="L150" s="49">
        <f>資料儲存!E1678</f>
        <v>0</v>
      </c>
      <c r="M150" s="49">
        <f>資料儲存!F1678</f>
        <v>0</v>
      </c>
      <c r="N150" s="49">
        <f>資料儲存!G1678</f>
        <v>0</v>
      </c>
      <c r="O150" s="49">
        <f>資料儲存!H1678</f>
        <v>0</v>
      </c>
      <c r="P150" s="49">
        <f>資料儲存!I1678</f>
        <v>0</v>
      </c>
      <c r="Q150" s="49">
        <f>資料儲存!J1678</f>
        <v>0</v>
      </c>
      <c r="R150" s="45"/>
      <c r="S150" s="48">
        <v>57</v>
      </c>
      <c r="T150" s="49">
        <f>資料儲存!D1798</f>
        <v>0</v>
      </c>
      <c r="U150" s="49">
        <f>資料儲存!E1798</f>
        <v>0</v>
      </c>
      <c r="V150" s="49">
        <f>資料儲存!F1798</f>
        <v>0</v>
      </c>
      <c r="W150" s="49">
        <f>資料儲存!G1798</f>
        <v>0</v>
      </c>
      <c r="X150" s="49">
        <f>資料儲存!H1798</f>
        <v>0</v>
      </c>
      <c r="Y150" s="49">
        <f>資料儲存!I1798</f>
        <v>0</v>
      </c>
      <c r="Z150" s="49">
        <f>資料儲存!J1798</f>
        <v>0</v>
      </c>
      <c r="AA150" s="45"/>
      <c r="AB150" s="48">
        <v>57</v>
      </c>
      <c r="AC150" s="49">
        <f>資料儲存!D1918</f>
        <v>0</v>
      </c>
      <c r="AD150" s="49">
        <f>資料儲存!E1918</f>
        <v>0</v>
      </c>
      <c r="AE150" s="49">
        <f>資料儲存!F1918</f>
        <v>0</v>
      </c>
      <c r="AF150" s="49">
        <f>資料儲存!G1918</f>
        <v>0</v>
      </c>
      <c r="AG150" s="49">
        <f>資料儲存!H1918</f>
        <v>0</v>
      </c>
      <c r="AH150" s="49">
        <f>資料儲存!I1918</f>
        <v>0</v>
      </c>
      <c r="AI150" s="49">
        <f>資料儲存!J1918</f>
        <v>0</v>
      </c>
      <c r="AJ150" s="13"/>
    </row>
    <row r="151" spans="1:36" ht="16" thickBot="1">
      <c r="A151" s="48">
        <v>58</v>
      </c>
      <c r="B151" s="49">
        <f>資料儲存!D1559</f>
        <v>0</v>
      </c>
      <c r="C151" s="49">
        <f>資料儲存!E1559</f>
        <v>0</v>
      </c>
      <c r="D151" s="49">
        <f>資料儲存!F1559</f>
        <v>0</v>
      </c>
      <c r="E151" s="49">
        <f>資料儲存!G1559</f>
        <v>0</v>
      </c>
      <c r="F151" s="49">
        <f>資料儲存!H1559</f>
        <v>0</v>
      </c>
      <c r="G151" s="49">
        <f>資料儲存!I1559</f>
        <v>0</v>
      </c>
      <c r="H151" s="49">
        <f>資料儲存!J1559</f>
        <v>0</v>
      </c>
      <c r="I151" s="45"/>
      <c r="J151" s="48">
        <v>58</v>
      </c>
      <c r="K151" s="49">
        <f>資料儲存!D1679</f>
        <v>0</v>
      </c>
      <c r="L151" s="49">
        <f>資料儲存!E1679</f>
        <v>0</v>
      </c>
      <c r="M151" s="49">
        <f>資料儲存!F1679</f>
        <v>0</v>
      </c>
      <c r="N151" s="49">
        <f>資料儲存!G1679</f>
        <v>0</v>
      </c>
      <c r="O151" s="49">
        <f>資料儲存!H1679</f>
        <v>0</v>
      </c>
      <c r="P151" s="49">
        <f>資料儲存!I1679</f>
        <v>0</v>
      </c>
      <c r="Q151" s="49">
        <f>資料儲存!J1679</f>
        <v>0</v>
      </c>
      <c r="R151" s="45"/>
      <c r="S151" s="48">
        <v>58</v>
      </c>
      <c r="T151" s="49">
        <f>資料儲存!D1799</f>
        <v>0</v>
      </c>
      <c r="U151" s="49">
        <f>資料儲存!E1799</f>
        <v>0</v>
      </c>
      <c r="V151" s="49">
        <f>資料儲存!F1799</f>
        <v>0</v>
      </c>
      <c r="W151" s="49">
        <f>資料儲存!G1799</f>
        <v>0</v>
      </c>
      <c r="X151" s="49">
        <f>資料儲存!H1799</f>
        <v>0</v>
      </c>
      <c r="Y151" s="49">
        <f>資料儲存!I1799</f>
        <v>0</v>
      </c>
      <c r="Z151" s="49">
        <f>資料儲存!J1799</f>
        <v>0</v>
      </c>
      <c r="AA151" s="45"/>
      <c r="AB151" s="48">
        <v>58</v>
      </c>
      <c r="AC151" s="49">
        <f>資料儲存!D1919</f>
        <v>0</v>
      </c>
      <c r="AD151" s="49">
        <f>資料儲存!E1919</f>
        <v>0</v>
      </c>
      <c r="AE151" s="49">
        <f>資料儲存!F1919</f>
        <v>0</v>
      </c>
      <c r="AF151" s="49">
        <f>資料儲存!G1919</f>
        <v>0</v>
      </c>
      <c r="AG151" s="49">
        <f>資料儲存!H1919</f>
        <v>0</v>
      </c>
      <c r="AH151" s="49">
        <f>資料儲存!I1919</f>
        <v>0</v>
      </c>
      <c r="AI151" s="49">
        <f>資料儲存!J1919</f>
        <v>0</v>
      </c>
      <c r="AJ151" s="13"/>
    </row>
    <row r="152" spans="1:36" ht="16" thickBot="1">
      <c r="A152" s="48">
        <v>59</v>
      </c>
      <c r="B152" s="49">
        <f>資料儲存!D1560</f>
        <v>0</v>
      </c>
      <c r="C152" s="49">
        <f>資料儲存!E1560</f>
        <v>0</v>
      </c>
      <c r="D152" s="49">
        <f>資料儲存!F1560</f>
        <v>0</v>
      </c>
      <c r="E152" s="49">
        <f>資料儲存!G1560</f>
        <v>0</v>
      </c>
      <c r="F152" s="49">
        <f>資料儲存!H1560</f>
        <v>0</v>
      </c>
      <c r="G152" s="49">
        <f>資料儲存!I1560</f>
        <v>0</v>
      </c>
      <c r="H152" s="49">
        <f>資料儲存!J1560</f>
        <v>0</v>
      </c>
      <c r="I152" s="45"/>
      <c r="J152" s="48">
        <v>59</v>
      </c>
      <c r="K152" s="49">
        <f>資料儲存!D1680</f>
        <v>0</v>
      </c>
      <c r="L152" s="49">
        <f>資料儲存!E1680</f>
        <v>0</v>
      </c>
      <c r="M152" s="49">
        <f>資料儲存!F1680</f>
        <v>0</v>
      </c>
      <c r="N152" s="49">
        <f>資料儲存!G1680</f>
        <v>0</v>
      </c>
      <c r="O152" s="49">
        <f>資料儲存!H1680</f>
        <v>0</v>
      </c>
      <c r="P152" s="49">
        <f>資料儲存!I1680</f>
        <v>0</v>
      </c>
      <c r="Q152" s="49">
        <f>資料儲存!J1680</f>
        <v>0</v>
      </c>
      <c r="R152" s="45"/>
      <c r="S152" s="48">
        <v>59</v>
      </c>
      <c r="T152" s="49">
        <f>資料儲存!D1800</f>
        <v>0</v>
      </c>
      <c r="U152" s="49">
        <f>資料儲存!E1800</f>
        <v>0</v>
      </c>
      <c r="V152" s="49">
        <f>資料儲存!F1800</f>
        <v>0</v>
      </c>
      <c r="W152" s="49">
        <f>資料儲存!G1800</f>
        <v>0</v>
      </c>
      <c r="X152" s="49">
        <f>資料儲存!H1800</f>
        <v>0</v>
      </c>
      <c r="Y152" s="49">
        <f>資料儲存!I1800</f>
        <v>0</v>
      </c>
      <c r="Z152" s="49">
        <f>資料儲存!J1800</f>
        <v>0</v>
      </c>
      <c r="AA152" s="45"/>
      <c r="AB152" s="48">
        <v>59</v>
      </c>
      <c r="AC152" s="49">
        <f>資料儲存!D1920</f>
        <v>0</v>
      </c>
      <c r="AD152" s="49">
        <f>資料儲存!E1920</f>
        <v>0</v>
      </c>
      <c r="AE152" s="49">
        <f>資料儲存!F1920</f>
        <v>0</v>
      </c>
      <c r="AF152" s="49">
        <f>資料儲存!G1920</f>
        <v>0</v>
      </c>
      <c r="AG152" s="49">
        <f>資料儲存!H1920</f>
        <v>0</v>
      </c>
      <c r="AH152" s="49">
        <f>資料儲存!I1920</f>
        <v>0</v>
      </c>
      <c r="AI152" s="49">
        <f>資料儲存!J1920</f>
        <v>0</v>
      </c>
      <c r="AJ152" s="13"/>
    </row>
    <row r="153" spans="1:36" ht="16" thickBot="1">
      <c r="A153" s="48">
        <v>60</v>
      </c>
      <c r="B153" s="49">
        <f>資料儲存!D1561</f>
        <v>0</v>
      </c>
      <c r="C153" s="49">
        <f>資料儲存!E1561</f>
        <v>0</v>
      </c>
      <c r="D153" s="49">
        <f>資料儲存!F1561</f>
        <v>0</v>
      </c>
      <c r="E153" s="49">
        <f>資料儲存!G1561</f>
        <v>0</v>
      </c>
      <c r="F153" s="49">
        <f>資料儲存!H1561</f>
        <v>0</v>
      </c>
      <c r="G153" s="49">
        <f>資料儲存!I1561</f>
        <v>0</v>
      </c>
      <c r="H153" s="49">
        <f>資料儲存!J1561</f>
        <v>0</v>
      </c>
      <c r="I153" s="45"/>
      <c r="J153" s="48">
        <v>60</v>
      </c>
      <c r="K153" s="49">
        <f>資料儲存!D1681</f>
        <v>0</v>
      </c>
      <c r="L153" s="49">
        <f>資料儲存!E1681</f>
        <v>0</v>
      </c>
      <c r="M153" s="49">
        <f>資料儲存!F1681</f>
        <v>0</v>
      </c>
      <c r="N153" s="49">
        <f>資料儲存!G1681</f>
        <v>0</v>
      </c>
      <c r="O153" s="49">
        <f>資料儲存!H1681</f>
        <v>0</v>
      </c>
      <c r="P153" s="49">
        <f>資料儲存!I1681</f>
        <v>0</v>
      </c>
      <c r="Q153" s="49">
        <f>資料儲存!J1681</f>
        <v>0</v>
      </c>
      <c r="R153" s="45"/>
      <c r="S153" s="48">
        <v>60</v>
      </c>
      <c r="T153" s="49">
        <f>資料儲存!D1801</f>
        <v>0</v>
      </c>
      <c r="U153" s="49">
        <f>資料儲存!E1801</f>
        <v>0</v>
      </c>
      <c r="V153" s="49">
        <f>資料儲存!F1801</f>
        <v>0</v>
      </c>
      <c r="W153" s="49">
        <f>資料儲存!G1801</f>
        <v>0</v>
      </c>
      <c r="X153" s="49">
        <f>資料儲存!H1801</f>
        <v>0</v>
      </c>
      <c r="Y153" s="49">
        <f>資料儲存!I1801</f>
        <v>0</v>
      </c>
      <c r="Z153" s="49">
        <f>資料儲存!J1801</f>
        <v>0</v>
      </c>
      <c r="AA153" s="45"/>
      <c r="AB153" s="48">
        <v>60</v>
      </c>
      <c r="AC153" s="49">
        <f>資料儲存!D1921</f>
        <v>0</v>
      </c>
      <c r="AD153" s="49">
        <f>資料儲存!E1921</f>
        <v>0</v>
      </c>
      <c r="AE153" s="49">
        <f>資料儲存!F1921</f>
        <v>0</v>
      </c>
      <c r="AF153" s="49">
        <f>資料儲存!G1921</f>
        <v>0</v>
      </c>
      <c r="AG153" s="49">
        <f>資料儲存!H1921</f>
        <v>0</v>
      </c>
      <c r="AH153" s="49">
        <f>資料儲存!I1921</f>
        <v>0</v>
      </c>
      <c r="AI153" s="49">
        <f>資料儲存!J1921</f>
        <v>0</v>
      </c>
      <c r="AJ153" s="13"/>
    </row>
    <row r="154" spans="1:36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</row>
  </sheetData>
  <mergeCells count="40">
    <mergeCell ref="A136:H136"/>
    <mergeCell ref="J136:Q136"/>
    <mergeCell ref="S136:Z136"/>
    <mergeCell ref="AB136:AI136"/>
    <mergeCell ref="A117:H117"/>
    <mergeCell ref="J117:Q117"/>
    <mergeCell ref="S117:Z117"/>
    <mergeCell ref="AB117:AI117"/>
    <mergeCell ref="A98:H98"/>
    <mergeCell ref="J98:Q98"/>
    <mergeCell ref="S98:Z98"/>
    <mergeCell ref="AB98:AI98"/>
    <mergeCell ref="A79:H79"/>
    <mergeCell ref="J79:Q79"/>
    <mergeCell ref="S79:Z79"/>
    <mergeCell ref="AB79:AI79"/>
    <mergeCell ref="A60:H60"/>
    <mergeCell ref="J60:Q60"/>
    <mergeCell ref="S60:Z60"/>
    <mergeCell ref="AB60:AI60"/>
    <mergeCell ref="A41:H41"/>
    <mergeCell ref="J41:Q41"/>
    <mergeCell ref="S41:Z41"/>
    <mergeCell ref="AB41:AI41"/>
    <mergeCell ref="A22:H22"/>
    <mergeCell ref="J22:Q22"/>
    <mergeCell ref="S22:Z22"/>
    <mergeCell ref="AB22:AI22"/>
    <mergeCell ref="A3:H3"/>
    <mergeCell ref="J3:Q3"/>
    <mergeCell ref="S3:Z3"/>
    <mergeCell ref="AB3:AI3"/>
    <mergeCell ref="A2:H2"/>
    <mergeCell ref="J2:Q2"/>
    <mergeCell ref="S2:Z2"/>
    <mergeCell ref="AB2:AI2"/>
    <mergeCell ref="A1:H1"/>
    <mergeCell ref="J1:Q1"/>
    <mergeCell ref="S1:Z1"/>
    <mergeCell ref="AB1:AI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>
    <tabColor theme="7" tint="0.39997558519241921"/>
  </sheetPr>
  <dimension ref="A1:AJ155"/>
  <sheetViews>
    <sheetView topLeftCell="AG1" zoomScale="70" zoomScaleNormal="70" zoomScaleSheetLayoutView="70" workbookViewId="0">
      <selection activeCell="AK4" sqref="AK1:AR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37" width="2.08984375" style="1" customWidth="1"/>
    <col min="38" max="16384" width="10.08984375" style="1"/>
  </cols>
  <sheetData>
    <row r="1" spans="1:36" s="11" customFormat="1" ht="18.5" thickBot="1">
      <c r="A1" s="253" t="str">
        <f>基本資料!$F$11</f>
        <v>平日昏峰(17-19)</v>
      </c>
      <c r="B1" s="254"/>
      <c r="C1" s="254"/>
      <c r="D1" s="254"/>
      <c r="E1" s="254"/>
      <c r="F1" s="254"/>
      <c r="G1" s="254"/>
      <c r="H1" s="255"/>
      <c r="J1" s="253" t="str">
        <f>基本資料!$F$11</f>
        <v>平日昏峰(17-19)</v>
      </c>
      <c r="K1" s="254"/>
      <c r="L1" s="254"/>
      <c r="M1" s="254"/>
      <c r="N1" s="254"/>
      <c r="O1" s="254"/>
      <c r="P1" s="254"/>
      <c r="Q1" s="255"/>
      <c r="S1" s="253" t="str">
        <f>基本資料!$F$11</f>
        <v>平日昏峰(17-19)</v>
      </c>
      <c r="T1" s="254"/>
      <c r="U1" s="254"/>
      <c r="V1" s="254"/>
      <c r="W1" s="254"/>
      <c r="X1" s="254"/>
      <c r="Y1" s="254"/>
      <c r="Z1" s="255"/>
      <c r="AB1" s="253" t="str">
        <f>基本資料!$F$11</f>
        <v>平日昏峰(17-19)</v>
      </c>
      <c r="AC1" s="254"/>
      <c r="AD1" s="254"/>
      <c r="AE1" s="254"/>
      <c r="AF1" s="254"/>
      <c r="AG1" s="254"/>
      <c r="AH1" s="254"/>
      <c r="AI1" s="255"/>
    </row>
    <row r="2" spans="1:36" ht="18.5" thickBot="1">
      <c r="A2" s="256" t="str">
        <f>CONCATENATE(基本資料!B18,"方向：",基本資料!B19,基本資料!B20)</f>
        <v>A方向：</v>
      </c>
      <c r="B2" s="257"/>
      <c r="C2" s="257"/>
      <c r="D2" s="257"/>
      <c r="E2" s="257"/>
      <c r="F2" s="257"/>
      <c r="G2" s="257"/>
      <c r="H2" s="258"/>
      <c r="I2" s="1"/>
      <c r="J2" s="256" t="str">
        <f>CONCATENATE(基本資料!C18,"方向：",基本資料!C19,基本資料!C20)</f>
        <v>B方向：</v>
      </c>
      <c r="K2" s="257"/>
      <c r="L2" s="257"/>
      <c r="M2" s="257"/>
      <c r="N2" s="257"/>
      <c r="O2" s="257"/>
      <c r="P2" s="257"/>
      <c r="Q2" s="258"/>
      <c r="R2" s="1"/>
      <c r="S2" s="256" t="str">
        <f>CONCATENATE(基本資料!D18,"方向：",基本資料!D19,基本資料!D20)</f>
        <v>C方向：</v>
      </c>
      <c r="T2" s="257"/>
      <c r="U2" s="257"/>
      <c r="V2" s="257"/>
      <c r="W2" s="257"/>
      <c r="X2" s="257"/>
      <c r="Y2" s="257"/>
      <c r="Z2" s="258"/>
      <c r="AA2" s="1"/>
      <c r="AB2" s="256" t="str">
        <f>CONCATENATE(基本資料!E18,"方向：",基本資料!E19,基本資料!E20)</f>
        <v>D方向：</v>
      </c>
      <c r="AC2" s="257"/>
      <c r="AD2" s="257"/>
      <c r="AE2" s="257"/>
      <c r="AF2" s="257"/>
      <c r="AG2" s="257"/>
      <c r="AH2" s="257"/>
      <c r="AI2" s="258"/>
      <c r="AJ2" s="1"/>
    </row>
    <row r="3" spans="1:36" ht="18.5" thickBot="1">
      <c r="A3" s="259" t="s">
        <v>72</v>
      </c>
      <c r="B3" s="260"/>
      <c r="C3" s="260"/>
      <c r="D3" s="260"/>
      <c r="E3" s="260"/>
      <c r="F3" s="260"/>
      <c r="G3" s="260"/>
      <c r="H3" s="261"/>
      <c r="I3" s="14"/>
      <c r="J3" s="259" t="s">
        <v>72</v>
      </c>
      <c r="K3" s="260"/>
      <c r="L3" s="260"/>
      <c r="M3" s="260"/>
      <c r="N3" s="260"/>
      <c r="O3" s="260"/>
      <c r="P3" s="260"/>
      <c r="Q3" s="261"/>
      <c r="R3" s="14"/>
      <c r="S3" s="259" t="s">
        <v>72</v>
      </c>
      <c r="T3" s="260"/>
      <c r="U3" s="260"/>
      <c r="V3" s="260"/>
      <c r="W3" s="260"/>
      <c r="X3" s="260"/>
      <c r="Y3" s="260"/>
      <c r="Z3" s="261"/>
      <c r="AA3" s="14"/>
      <c r="AB3" s="259" t="s">
        <v>72</v>
      </c>
      <c r="AC3" s="260"/>
      <c r="AD3" s="260"/>
      <c r="AE3" s="260"/>
      <c r="AF3" s="260"/>
      <c r="AG3" s="260"/>
      <c r="AH3" s="260"/>
      <c r="AI3" s="261"/>
      <c r="AJ3" s="14"/>
    </row>
    <row r="4" spans="1:36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</row>
    <row r="5" spans="1:36" ht="16" thickBot="1">
      <c r="A5" s="59" t="s">
        <v>73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 t="s">
        <v>73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 t="s">
        <v>73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 t="s">
        <v>73</v>
      </c>
      <c r="AC5" s="60" t="s">
        <v>49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</row>
    <row r="6" spans="1:36" ht="16" thickBot="1">
      <c r="A6" s="61">
        <v>1</v>
      </c>
      <c r="B6" s="39">
        <f>資料儲存!D1922</f>
        <v>0</v>
      </c>
      <c r="C6" s="39">
        <f>資料儲存!E1922</f>
        <v>0</v>
      </c>
      <c r="D6" s="39">
        <f>資料儲存!F1922</f>
        <v>0</v>
      </c>
      <c r="E6" s="39">
        <f>資料儲存!G1922</f>
        <v>0</v>
      </c>
      <c r="F6" s="39">
        <f>資料儲存!H1922</f>
        <v>0</v>
      </c>
      <c r="G6" s="39">
        <f>資料儲存!I1922</f>
        <v>0</v>
      </c>
      <c r="H6" s="39">
        <f>資料儲存!J1922</f>
        <v>0</v>
      </c>
      <c r="I6" s="58"/>
      <c r="J6" s="61">
        <v>1</v>
      </c>
      <c r="K6" s="39">
        <f>資料儲存!D2042</f>
        <v>0</v>
      </c>
      <c r="L6" s="39">
        <f>資料儲存!E2042</f>
        <v>0</v>
      </c>
      <c r="M6" s="39">
        <f>資料儲存!F2042</f>
        <v>0</v>
      </c>
      <c r="N6" s="39">
        <f>資料儲存!G2042</f>
        <v>0</v>
      </c>
      <c r="O6" s="39">
        <f>資料儲存!H2042</f>
        <v>0</v>
      </c>
      <c r="P6" s="39">
        <f>資料儲存!I2042</f>
        <v>0</v>
      </c>
      <c r="Q6" s="39">
        <f>資料儲存!J2042</f>
        <v>0</v>
      </c>
      <c r="R6" s="58"/>
      <c r="S6" s="61">
        <v>1</v>
      </c>
      <c r="T6" s="39">
        <f>資料儲存!D2162</f>
        <v>0</v>
      </c>
      <c r="U6" s="39">
        <f>資料儲存!E2162</f>
        <v>0</v>
      </c>
      <c r="V6" s="39">
        <f>資料儲存!F2162</f>
        <v>0</v>
      </c>
      <c r="W6" s="39">
        <f>資料儲存!G2162</f>
        <v>0</v>
      </c>
      <c r="X6" s="39">
        <f>資料儲存!H2162</f>
        <v>0</v>
      </c>
      <c r="Y6" s="39">
        <f>資料儲存!I2162</f>
        <v>0</v>
      </c>
      <c r="Z6" s="39">
        <f>資料儲存!J2162</f>
        <v>0</v>
      </c>
      <c r="AA6" s="58"/>
      <c r="AB6" s="61">
        <v>1</v>
      </c>
      <c r="AC6" s="39">
        <f>資料儲存!D2282</f>
        <v>0</v>
      </c>
      <c r="AD6" s="39">
        <f>資料儲存!E2282</f>
        <v>0</v>
      </c>
      <c r="AE6" s="39">
        <f>資料儲存!F2282</f>
        <v>0</v>
      </c>
      <c r="AF6" s="39">
        <f>資料儲存!G2282</f>
        <v>0</v>
      </c>
      <c r="AG6" s="39">
        <f>資料儲存!H2282</f>
        <v>0</v>
      </c>
      <c r="AH6" s="39">
        <f>資料儲存!I2282</f>
        <v>0</v>
      </c>
      <c r="AI6" s="39">
        <f>資料儲存!J2282</f>
        <v>0</v>
      </c>
      <c r="AJ6" s="58"/>
    </row>
    <row r="7" spans="1:36" ht="16" thickBot="1">
      <c r="A7" s="61">
        <v>2</v>
      </c>
      <c r="B7" s="39">
        <f>資料儲存!D1923</f>
        <v>0</v>
      </c>
      <c r="C7" s="39">
        <f>資料儲存!E1923</f>
        <v>0</v>
      </c>
      <c r="D7" s="39">
        <f>資料儲存!F1923</f>
        <v>0</v>
      </c>
      <c r="E7" s="39">
        <f>資料儲存!G1923</f>
        <v>0</v>
      </c>
      <c r="F7" s="39">
        <f>資料儲存!H1923</f>
        <v>0</v>
      </c>
      <c r="G7" s="39">
        <f>資料儲存!I1923</f>
        <v>0</v>
      </c>
      <c r="H7" s="39">
        <f>資料儲存!J1923</f>
        <v>0</v>
      </c>
      <c r="I7" s="58"/>
      <c r="J7" s="61">
        <v>2</v>
      </c>
      <c r="K7" s="39">
        <f>資料儲存!D2043</f>
        <v>0</v>
      </c>
      <c r="L7" s="39">
        <f>資料儲存!E2043</f>
        <v>0</v>
      </c>
      <c r="M7" s="39">
        <f>資料儲存!F2043</f>
        <v>0</v>
      </c>
      <c r="N7" s="39">
        <f>資料儲存!G2043</f>
        <v>0</v>
      </c>
      <c r="O7" s="39">
        <f>資料儲存!H2043</f>
        <v>0</v>
      </c>
      <c r="P7" s="39">
        <f>資料儲存!I2043</f>
        <v>0</v>
      </c>
      <c r="Q7" s="39">
        <f>資料儲存!J2043</f>
        <v>0</v>
      </c>
      <c r="R7" s="58"/>
      <c r="S7" s="61">
        <v>2</v>
      </c>
      <c r="T7" s="39">
        <f>資料儲存!D2163</f>
        <v>0</v>
      </c>
      <c r="U7" s="39">
        <f>資料儲存!E2163</f>
        <v>0</v>
      </c>
      <c r="V7" s="39">
        <f>資料儲存!F2163</f>
        <v>0</v>
      </c>
      <c r="W7" s="39">
        <f>資料儲存!G2163</f>
        <v>0</v>
      </c>
      <c r="X7" s="39">
        <f>資料儲存!H2163</f>
        <v>0</v>
      </c>
      <c r="Y7" s="39">
        <f>資料儲存!I2163</f>
        <v>0</v>
      </c>
      <c r="Z7" s="39">
        <f>資料儲存!J2163</f>
        <v>0</v>
      </c>
      <c r="AA7" s="58"/>
      <c r="AB7" s="61">
        <v>2</v>
      </c>
      <c r="AC7" s="39">
        <f>資料儲存!D2283</f>
        <v>0</v>
      </c>
      <c r="AD7" s="39">
        <f>資料儲存!E2283</f>
        <v>0</v>
      </c>
      <c r="AE7" s="39">
        <f>資料儲存!F2283</f>
        <v>0</v>
      </c>
      <c r="AF7" s="39">
        <f>資料儲存!G2283</f>
        <v>0</v>
      </c>
      <c r="AG7" s="39">
        <f>資料儲存!H2283</f>
        <v>0</v>
      </c>
      <c r="AH7" s="39">
        <f>資料儲存!I2283</f>
        <v>0</v>
      </c>
      <c r="AI7" s="39">
        <f>資料儲存!J2283</f>
        <v>0</v>
      </c>
      <c r="AJ7" s="58"/>
    </row>
    <row r="8" spans="1:36" ht="16" thickBot="1">
      <c r="A8" s="61">
        <v>3</v>
      </c>
      <c r="B8" s="39">
        <f>資料儲存!D1924</f>
        <v>0</v>
      </c>
      <c r="C8" s="39">
        <f>資料儲存!E1924</f>
        <v>0</v>
      </c>
      <c r="D8" s="39">
        <f>資料儲存!F1924</f>
        <v>0</v>
      </c>
      <c r="E8" s="39">
        <f>資料儲存!G1924</f>
        <v>0</v>
      </c>
      <c r="F8" s="39">
        <f>資料儲存!H1924</f>
        <v>0</v>
      </c>
      <c r="G8" s="39">
        <f>資料儲存!I1924</f>
        <v>0</v>
      </c>
      <c r="H8" s="39">
        <f>資料儲存!J1924</f>
        <v>0</v>
      </c>
      <c r="I8" s="58"/>
      <c r="J8" s="61">
        <v>3</v>
      </c>
      <c r="K8" s="39">
        <f>資料儲存!D2044</f>
        <v>0</v>
      </c>
      <c r="L8" s="39">
        <f>資料儲存!E2044</f>
        <v>0</v>
      </c>
      <c r="M8" s="39">
        <f>資料儲存!F2044</f>
        <v>0</v>
      </c>
      <c r="N8" s="39">
        <f>資料儲存!G2044</f>
        <v>0</v>
      </c>
      <c r="O8" s="39">
        <f>資料儲存!H2044</f>
        <v>0</v>
      </c>
      <c r="P8" s="39">
        <f>資料儲存!I2044</f>
        <v>0</v>
      </c>
      <c r="Q8" s="39">
        <f>資料儲存!J2044</f>
        <v>0</v>
      </c>
      <c r="R8" s="58"/>
      <c r="S8" s="61">
        <v>3</v>
      </c>
      <c r="T8" s="39">
        <f>資料儲存!D2164</f>
        <v>0</v>
      </c>
      <c r="U8" s="39">
        <f>資料儲存!E2164</f>
        <v>0</v>
      </c>
      <c r="V8" s="39">
        <f>資料儲存!F2164</f>
        <v>0</v>
      </c>
      <c r="W8" s="39">
        <f>資料儲存!G2164</f>
        <v>0</v>
      </c>
      <c r="X8" s="39">
        <f>資料儲存!H2164</f>
        <v>0</v>
      </c>
      <c r="Y8" s="39">
        <f>資料儲存!I2164</f>
        <v>0</v>
      </c>
      <c r="Z8" s="39">
        <f>資料儲存!J2164</f>
        <v>0</v>
      </c>
      <c r="AA8" s="58"/>
      <c r="AB8" s="61">
        <v>3</v>
      </c>
      <c r="AC8" s="39">
        <f>資料儲存!D2284</f>
        <v>0</v>
      </c>
      <c r="AD8" s="39">
        <f>資料儲存!E2284</f>
        <v>0</v>
      </c>
      <c r="AE8" s="39">
        <f>資料儲存!F2284</f>
        <v>0</v>
      </c>
      <c r="AF8" s="39">
        <f>資料儲存!G2284</f>
        <v>0</v>
      </c>
      <c r="AG8" s="39">
        <f>資料儲存!H2284</f>
        <v>0</v>
      </c>
      <c r="AH8" s="39">
        <f>資料儲存!I2284</f>
        <v>0</v>
      </c>
      <c r="AI8" s="39">
        <f>資料儲存!J2284</f>
        <v>0</v>
      </c>
      <c r="AJ8" s="58"/>
    </row>
    <row r="9" spans="1:36" ht="16" thickBot="1">
      <c r="A9" s="61">
        <v>4</v>
      </c>
      <c r="B9" s="39">
        <f>資料儲存!D1925</f>
        <v>0</v>
      </c>
      <c r="C9" s="39">
        <f>資料儲存!E1925</f>
        <v>0</v>
      </c>
      <c r="D9" s="39">
        <f>資料儲存!F1925</f>
        <v>0</v>
      </c>
      <c r="E9" s="39">
        <f>資料儲存!G1925</f>
        <v>0</v>
      </c>
      <c r="F9" s="39">
        <f>資料儲存!H1925</f>
        <v>0</v>
      </c>
      <c r="G9" s="39">
        <f>資料儲存!I1925</f>
        <v>0</v>
      </c>
      <c r="H9" s="39">
        <f>資料儲存!J1925</f>
        <v>0</v>
      </c>
      <c r="I9" s="58"/>
      <c r="J9" s="61">
        <v>4</v>
      </c>
      <c r="K9" s="39">
        <f>資料儲存!D2045</f>
        <v>0</v>
      </c>
      <c r="L9" s="39">
        <f>資料儲存!E2045</f>
        <v>0</v>
      </c>
      <c r="M9" s="39">
        <f>資料儲存!F2045</f>
        <v>0</v>
      </c>
      <c r="N9" s="39">
        <f>資料儲存!G2045</f>
        <v>0</v>
      </c>
      <c r="O9" s="39">
        <f>資料儲存!H2045</f>
        <v>0</v>
      </c>
      <c r="P9" s="39">
        <f>資料儲存!I2045</f>
        <v>0</v>
      </c>
      <c r="Q9" s="39">
        <f>資料儲存!J2045</f>
        <v>0</v>
      </c>
      <c r="R9" s="58"/>
      <c r="S9" s="61">
        <v>4</v>
      </c>
      <c r="T9" s="39">
        <f>資料儲存!D2165</f>
        <v>0</v>
      </c>
      <c r="U9" s="39">
        <f>資料儲存!E2165</f>
        <v>0</v>
      </c>
      <c r="V9" s="39">
        <f>資料儲存!F2165</f>
        <v>0</v>
      </c>
      <c r="W9" s="39">
        <f>資料儲存!G2165</f>
        <v>0</v>
      </c>
      <c r="X9" s="39">
        <f>資料儲存!H2165</f>
        <v>0</v>
      </c>
      <c r="Y9" s="39">
        <f>資料儲存!I2165</f>
        <v>0</v>
      </c>
      <c r="Z9" s="39">
        <f>資料儲存!J2165</f>
        <v>0</v>
      </c>
      <c r="AA9" s="58"/>
      <c r="AB9" s="61">
        <v>4</v>
      </c>
      <c r="AC9" s="39">
        <f>資料儲存!D2285</f>
        <v>0</v>
      </c>
      <c r="AD9" s="39">
        <f>資料儲存!E2285</f>
        <v>0</v>
      </c>
      <c r="AE9" s="39">
        <f>資料儲存!F2285</f>
        <v>0</v>
      </c>
      <c r="AF9" s="39">
        <f>資料儲存!G2285</f>
        <v>0</v>
      </c>
      <c r="AG9" s="39">
        <f>資料儲存!H2285</f>
        <v>0</v>
      </c>
      <c r="AH9" s="39">
        <f>資料儲存!I2285</f>
        <v>0</v>
      </c>
      <c r="AI9" s="39">
        <f>資料儲存!J2285</f>
        <v>0</v>
      </c>
      <c r="AJ9" s="58"/>
    </row>
    <row r="10" spans="1:36" ht="16" thickBot="1">
      <c r="A10" s="61">
        <v>5</v>
      </c>
      <c r="B10" s="39">
        <f>資料儲存!D1926</f>
        <v>0</v>
      </c>
      <c r="C10" s="39">
        <f>資料儲存!E1926</f>
        <v>0</v>
      </c>
      <c r="D10" s="39">
        <f>資料儲存!F1926</f>
        <v>0</v>
      </c>
      <c r="E10" s="39">
        <f>資料儲存!G1926</f>
        <v>0</v>
      </c>
      <c r="F10" s="39">
        <f>資料儲存!H1926</f>
        <v>0</v>
      </c>
      <c r="G10" s="39">
        <f>資料儲存!I1926</f>
        <v>0</v>
      </c>
      <c r="H10" s="39">
        <f>資料儲存!J1926</f>
        <v>0</v>
      </c>
      <c r="I10" s="58"/>
      <c r="J10" s="61">
        <v>5</v>
      </c>
      <c r="K10" s="39">
        <f>資料儲存!D2046</f>
        <v>0</v>
      </c>
      <c r="L10" s="39">
        <f>資料儲存!E2046</f>
        <v>0</v>
      </c>
      <c r="M10" s="39">
        <f>資料儲存!F2046</f>
        <v>0</v>
      </c>
      <c r="N10" s="39">
        <f>資料儲存!G2046</f>
        <v>0</v>
      </c>
      <c r="O10" s="39">
        <f>資料儲存!H2046</f>
        <v>0</v>
      </c>
      <c r="P10" s="39">
        <f>資料儲存!I2046</f>
        <v>0</v>
      </c>
      <c r="Q10" s="39">
        <f>資料儲存!J2046</f>
        <v>0</v>
      </c>
      <c r="R10" s="58"/>
      <c r="S10" s="61">
        <v>5</v>
      </c>
      <c r="T10" s="39">
        <f>資料儲存!D2166</f>
        <v>0</v>
      </c>
      <c r="U10" s="39">
        <f>資料儲存!E2166</f>
        <v>0</v>
      </c>
      <c r="V10" s="39">
        <f>資料儲存!F2166</f>
        <v>0</v>
      </c>
      <c r="W10" s="39">
        <f>資料儲存!G2166</f>
        <v>0</v>
      </c>
      <c r="X10" s="39">
        <f>資料儲存!H2166</f>
        <v>0</v>
      </c>
      <c r="Y10" s="39">
        <f>資料儲存!I2166</f>
        <v>0</v>
      </c>
      <c r="Z10" s="39">
        <f>資料儲存!J2166</f>
        <v>0</v>
      </c>
      <c r="AA10" s="58"/>
      <c r="AB10" s="61">
        <v>5</v>
      </c>
      <c r="AC10" s="39">
        <f>資料儲存!D2286</f>
        <v>0</v>
      </c>
      <c r="AD10" s="39">
        <f>資料儲存!E2286</f>
        <v>0</v>
      </c>
      <c r="AE10" s="39">
        <f>資料儲存!F2286</f>
        <v>0</v>
      </c>
      <c r="AF10" s="39">
        <f>資料儲存!G2286</f>
        <v>0</v>
      </c>
      <c r="AG10" s="39">
        <f>資料儲存!H2286</f>
        <v>0</v>
      </c>
      <c r="AH10" s="39">
        <f>資料儲存!I2286</f>
        <v>0</v>
      </c>
      <c r="AI10" s="39">
        <f>資料儲存!J2286</f>
        <v>0</v>
      </c>
      <c r="AJ10" s="58"/>
    </row>
    <row r="11" spans="1:36" ht="16" thickBot="1">
      <c r="A11" s="61">
        <v>6</v>
      </c>
      <c r="B11" s="39">
        <f>資料儲存!D1927</f>
        <v>0</v>
      </c>
      <c r="C11" s="39">
        <f>資料儲存!E1927</f>
        <v>0</v>
      </c>
      <c r="D11" s="39">
        <f>資料儲存!F1927</f>
        <v>0</v>
      </c>
      <c r="E11" s="39">
        <f>資料儲存!G1927</f>
        <v>0</v>
      </c>
      <c r="F11" s="39">
        <f>資料儲存!H1927</f>
        <v>0</v>
      </c>
      <c r="G11" s="39">
        <f>資料儲存!I1927</f>
        <v>0</v>
      </c>
      <c r="H11" s="39">
        <f>資料儲存!J1927</f>
        <v>0</v>
      </c>
      <c r="I11" s="58"/>
      <c r="J11" s="61">
        <v>6</v>
      </c>
      <c r="K11" s="39">
        <f>資料儲存!D2047</f>
        <v>0</v>
      </c>
      <c r="L11" s="39">
        <f>資料儲存!E2047</f>
        <v>0</v>
      </c>
      <c r="M11" s="39">
        <f>資料儲存!F2047</f>
        <v>0</v>
      </c>
      <c r="N11" s="39">
        <f>資料儲存!G2047</f>
        <v>0</v>
      </c>
      <c r="O11" s="39">
        <f>資料儲存!H2047</f>
        <v>0</v>
      </c>
      <c r="P11" s="39">
        <f>資料儲存!I2047</f>
        <v>0</v>
      </c>
      <c r="Q11" s="39">
        <f>資料儲存!J2047</f>
        <v>0</v>
      </c>
      <c r="R11" s="58"/>
      <c r="S11" s="61">
        <v>6</v>
      </c>
      <c r="T11" s="39">
        <f>資料儲存!D2167</f>
        <v>0</v>
      </c>
      <c r="U11" s="39">
        <f>資料儲存!E2167</f>
        <v>0</v>
      </c>
      <c r="V11" s="39">
        <f>資料儲存!F2167</f>
        <v>0</v>
      </c>
      <c r="W11" s="39">
        <f>資料儲存!G2167</f>
        <v>0</v>
      </c>
      <c r="X11" s="39">
        <f>資料儲存!H2167</f>
        <v>0</v>
      </c>
      <c r="Y11" s="39">
        <f>資料儲存!I2167</f>
        <v>0</v>
      </c>
      <c r="Z11" s="39">
        <f>資料儲存!J2167</f>
        <v>0</v>
      </c>
      <c r="AA11" s="58"/>
      <c r="AB11" s="61">
        <v>6</v>
      </c>
      <c r="AC11" s="39">
        <f>資料儲存!D2287</f>
        <v>0</v>
      </c>
      <c r="AD11" s="39">
        <f>資料儲存!E2287</f>
        <v>0</v>
      </c>
      <c r="AE11" s="39">
        <f>資料儲存!F2287</f>
        <v>0</v>
      </c>
      <c r="AF11" s="39">
        <f>資料儲存!G2287</f>
        <v>0</v>
      </c>
      <c r="AG11" s="39">
        <f>資料儲存!H2287</f>
        <v>0</v>
      </c>
      <c r="AH11" s="39">
        <f>資料儲存!I2287</f>
        <v>0</v>
      </c>
      <c r="AI11" s="39">
        <f>資料儲存!J2287</f>
        <v>0</v>
      </c>
      <c r="AJ11" s="58"/>
    </row>
    <row r="12" spans="1:36" ht="16" thickBot="1">
      <c r="A12" s="61">
        <v>7</v>
      </c>
      <c r="B12" s="39">
        <f>資料儲存!D1928</f>
        <v>0</v>
      </c>
      <c r="C12" s="39">
        <f>資料儲存!E1928</f>
        <v>0</v>
      </c>
      <c r="D12" s="39">
        <f>資料儲存!F1928</f>
        <v>0</v>
      </c>
      <c r="E12" s="39">
        <f>資料儲存!G1928</f>
        <v>0</v>
      </c>
      <c r="F12" s="39">
        <f>資料儲存!H1928</f>
        <v>0</v>
      </c>
      <c r="G12" s="39">
        <f>資料儲存!I1928</f>
        <v>0</v>
      </c>
      <c r="H12" s="39">
        <f>資料儲存!J1928</f>
        <v>0</v>
      </c>
      <c r="I12" s="58"/>
      <c r="J12" s="61">
        <v>7</v>
      </c>
      <c r="K12" s="39">
        <f>資料儲存!D2048</f>
        <v>0</v>
      </c>
      <c r="L12" s="39">
        <f>資料儲存!E2048</f>
        <v>0</v>
      </c>
      <c r="M12" s="39">
        <f>資料儲存!F2048</f>
        <v>0</v>
      </c>
      <c r="N12" s="39">
        <f>資料儲存!G2048</f>
        <v>0</v>
      </c>
      <c r="O12" s="39">
        <f>資料儲存!H2048</f>
        <v>0</v>
      </c>
      <c r="P12" s="39">
        <f>資料儲存!I2048</f>
        <v>0</v>
      </c>
      <c r="Q12" s="39">
        <f>資料儲存!J2048</f>
        <v>0</v>
      </c>
      <c r="R12" s="58"/>
      <c r="S12" s="61">
        <v>7</v>
      </c>
      <c r="T12" s="39">
        <f>資料儲存!D2168</f>
        <v>0</v>
      </c>
      <c r="U12" s="39">
        <f>資料儲存!E2168</f>
        <v>0</v>
      </c>
      <c r="V12" s="39">
        <f>資料儲存!F2168</f>
        <v>0</v>
      </c>
      <c r="W12" s="39">
        <f>資料儲存!G2168</f>
        <v>0</v>
      </c>
      <c r="X12" s="39">
        <f>資料儲存!H2168</f>
        <v>0</v>
      </c>
      <c r="Y12" s="39">
        <f>資料儲存!I2168</f>
        <v>0</v>
      </c>
      <c r="Z12" s="39">
        <f>資料儲存!J2168</f>
        <v>0</v>
      </c>
      <c r="AA12" s="58"/>
      <c r="AB12" s="61">
        <v>7</v>
      </c>
      <c r="AC12" s="39">
        <f>資料儲存!D2288</f>
        <v>0</v>
      </c>
      <c r="AD12" s="39">
        <f>資料儲存!E2288</f>
        <v>0</v>
      </c>
      <c r="AE12" s="39">
        <f>資料儲存!F2288</f>
        <v>0</v>
      </c>
      <c r="AF12" s="39">
        <f>資料儲存!G2288</f>
        <v>0</v>
      </c>
      <c r="AG12" s="39">
        <f>資料儲存!H2288</f>
        <v>0</v>
      </c>
      <c r="AH12" s="39">
        <f>資料儲存!I2288</f>
        <v>0</v>
      </c>
      <c r="AI12" s="39">
        <f>資料儲存!J2288</f>
        <v>0</v>
      </c>
      <c r="AJ12" s="58"/>
    </row>
    <row r="13" spans="1:36" ht="16" thickBot="1">
      <c r="A13" s="61">
        <v>8</v>
      </c>
      <c r="B13" s="39">
        <f>資料儲存!D1929</f>
        <v>0</v>
      </c>
      <c r="C13" s="39">
        <f>資料儲存!E1929</f>
        <v>0</v>
      </c>
      <c r="D13" s="39">
        <f>資料儲存!F1929</f>
        <v>0</v>
      </c>
      <c r="E13" s="39">
        <f>資料儲存!G1929</f>
        <v>0</v>
      </c>
      <c r="F13" s="39">
        <f>資料儲存!H1929</f>
        <v>0</v>
      </c>
      <c r="G13" s="39">
        <f>資料儲存!I1929</f>
        <v>0</v>
      </c>
      <c r="H13" s="39">
        <f>資料儲存!J1929</f>
        <v>0</v>
      </c>
      <c r="I13" s="58"/>
      <c r="J13" s="61">
        <v>8</v>
      </c>
      <c r="K13" s="39">
        <f>資料儲存!D2049</f>
        <v>0</v>
      </c>
      <c r="L13" s="39">
        <f>資料儲存!E2049</f>
        <v>0</v>
      </c>
      <c r="M13" s="39">
        <f>資料儲存!F2049</f>
        <v>0</v>
      </c>
      <c r="N13" s="39">
        <f>資料儲存!G2049</f>
        <v>0</v>
      </c>
      <c r="O13" s="39">
        <f>資料儲存!H2049</f>
        <v>0</v>
      </c>
      <c r="P13" s="39">
        <f>資料儲存!I2049</f>
        <v>0</v>
      </c>
      <c r="Q13" s="39">
        <f>資料儲存!J2049</f>
        <v>0</v>
      </c>
      <c r="R13" s="58"/>
      <c r="S13" s="61">
        <v>8</v>
      </c>
      <c r="T13" s="39">
        <f>資料儲存!D2169</f>
        <v>0</v>
      </c>
      <c r="U13" s="39">
        <f>資料儲存!E2169</f>
        <v>0</v>
      </c>
      <c r="V13" s="39">
        <f>資料儲存!F2169</f>
        <v>0</v>
      </c>
      <c r="W13" s="39">
        <f>資料儲存!G2169</f>
        <v>0</v>
      </c>
      <c r="X13" s="39">
        <f>資料儲存!H2169</f>
        <v>0</v>
      </c>
      <c r="Y13" s="39">
        <f>資料儲存!I2169</f>
        <v>0</v>
      </c>
      <c r="Z13" s="39">
        <f>資料儲存!J2169</f>
        <v>0</v>
      </c>
      <c r="AA13" s="58"/>
      <c r="AB13" s="61">
        <v>8</v>
      </c>
      <c r="AC13" s="39">
        <f>資料儲存!D2289</f>
        <v>0</v>
      </c>
      <c r="AD13" s="39">
        <f>資料儲存!E2289</f>
        <v>0</v>
      </c>
      <c r="AE13" s="39">
        <f>資料儲存!F2289</f>
        <v>0</v>
      </c>
      <c r="AF13" s="39">
        <f>資料儲存!G2289</f>
        <v>0</v>
      </c>
      <c r="AG13" s="39">
        <f>資料儲存!H2289</f>
        <v>0</v>
      </c>
      <c r="AH13" s="39">
        <f>資料儲存!I2289</f>
        <v>0</v>
      </c>
      <c r="AI13" s="39">
        <f>資料儲存!J2289</f>
        <v>0</v>
      </c>
      <c r="AJ13" s="58"/>
    </row>
    <row r="14" spans="1:36" ht="16" thickBot="1">
      <c r="A14" s="61">
        <v>9</v>
      </c>
      <c r="B14" s="39">
        <f>資料儲存!D1930</f>
        <v>0</v>
      </c>
      <c r="C14" s="39">
        <f>資料儲存!E1930</f>
        <v>0</v>
      </c>
      <c r="D14" s="39">
        <f>資料儲存!F1930</f>
        <v>0</v>
      </c>
      <c r="E14" s="39">
        <f>資料儲存!G1930</f>
        <v>0</v>
      </c>
      <c r="F14" s="39">
        <f>資料儲存!H1930</f>
        <v>0</v>
      </c>
      <c r="G14" s="39">
        <f>資料儲存!I1930</f>
        <v>0</v>
      </c>
      <c r="H14" s="39">
        <f>資料儲存!J1930</f>
        <v>0</v>
      </c>
      <c r="I14" s="58"/>
      <c r="J14" s="61">
        <v>9</v>
      </c>
      <c r="K14" s="39">
        <f>資料儲存!D2050</f>
        <v>0</v>
      </c>
      <c r="L14" s="39">
        <f>資料儲存!E2050</f>
        <v>0</v>
      </c>
      <c r="M14" s="39">
        <f>資料儲存!F2050</f>
        <v>0</v>
      </c>
      <c r="N14" s="39">
        <f>資料儲存!G2050</f>
        <v>0</v>
      </c>
      <c r="O14" s="39">
        <f>資料儲存!H2050</f>
        <v>0</v>
      </c>
      <c r="P14" s="39">
        <f>資料儲存!I2050</f>
        <v>0</v>
      </c>
      <c r="Q14" s="39">
        <f>資料儲存!J2050</f>
        <v>0</v>
      </c>
      <c r="R14" s="58"/>
      <c r="S14" s="61">
        <v>9</v>
      </c>
      <c r="T14" s="39">
        <f>資料儲存!D2170</f>
        <v>0</v>
      </c>
      <c r="U14" s="39">
        <f>資料儲存!E2170</f>
        <v>0</v>
      </c>
      <c r="V14" s="39">
        <f>資料儲存!F2170</f>
        <v>0</v>
      </c>
      <c r="W14" s="39">
        <f>資料儲存!G2170</f>
        <v>0</v>
      </c>
      <c r="X14" s="39">
        <f>資料儲存!H2170</f>
        <v>0</v>
      </c>
      <c r="Y14" s="39">
        <f>資料儲存!I2170</f>
        <v>0</v>
      </c>
      <c r="Z14" s="39">
        <f>資料儲存!J2170</f>
        <v>0</v>
      </c>
      <c r="AA14" s="58"/>
      <c r="AB14" s="61">
        <v>9</v>
      </c>
      <c r="AC14" s="39">
        <f>資料儲存!D2290</f>
        <v>0</v>
      </c>
      <c r="AD14" s="39">
        <f>資料儲存!E2290</f>
        <v>0</v>
      </c>
      <c r="AE14" s="39">
        <f>資料儲存!F2290</f>
        <v>0</v>
      </c>
      <c r="AF14" s="39">
        <f>資料儲存!G2290</f>
        <v>0</v>
      </c>
      <c r="AG14" s="39">
        <f>資料儲存!H2290</f>
        <v>0</v>
      </c>
      <c r="AH14" s="39">
        <f>資料儲存!I2290</f>
        <v>0</v>
      </c>
      <c r="AI14" s="39">
        <f>資料儲存!J2290</f>
        <v>0</v>
      </c>
      <c r="AJ14" s="58"/>
    </row>
    <row r="15" spans="1:36" ht="16" thickBot="1">
      <c r="A15" s="61">
        <v>10</v>
      </c>
      <c r="B15" s="39">
        <f>資料儲存!D1931</f>
        <v>0</v>
      </c>
      <c r="C15" s="39">
        <f>資料儲存!E1931</f>
        <v>0</v>
      </c>
      <c r="D15" s="39">
        <f>資料儲存!F1931</f>
        <v>0</v>
      </c>
      <c r="E15" s="39">
        <f>資料儲存!G1931</f>
        <v>0</v>
      </c>
      <c r="F15" s="39">
        <f>資料儲存!H1931</f>
        <v>0</v>
      </c>
      <c r="G15" s="39">
        <f>資料儲存!I1931</f>
        <v>0</v>
      </c>
      <c r="H15" s="39">
        <f>資料儲存!J1931</f>
        <v>0</v>
      </c>
      <c r="I15" s="58"/>
      <c r="J15" s="61">
        <v>10</v>
      </c>
      <c r="K15" s="39">
        <f>資料儲存!D2051</f>
        <v>0</v>
      </c>
      <c r="L15" s="39">
        <f>資料儲存!E2051</f>
        <v>0</v>
      </c>
      <c r="M15" s="39">
        <f>資料儲存!F2051</f>
        <v>0</v>
      </c>
      <c r="N15" s="39">
        <f>資料儲存!G2051</f>
        <v>0</v>
      </c>
      <c r="O15" s="39">
        <f>資料儲存!H2051</f>
        <v>0</v>
      </c>
      <c r="P15" s="39">
        <f>資料儲存!I2051</f>
        <v>0</v>
      </c>
      <c r="Q15" s="39">
        <f>資料儲存!J2051</f>
        <v>0</v>
      </c>
      <c r="R15" s="58"/>
      <c r="S15" s="61">
        <v>10</v>
      </c>
      <c r="T15" s="39">
        <f>資料儲存!D2171</f>
        <v>0</v>
      </c>
      <c r="U15" s="39">
        <f>資料儲存!E2171</f>
        <v>0</v>
      </c>
      <c r="V15" s="39">
        <f>資料儲存!F2171</f>
        <v>0</v>
      </c>
      <c r="W15" s="39">
        <f>資料儲存!G2171</f>
        <v>0</v>
      </c>
      <c r="X15" s="39">
        <f>資料儲存!H2171</f>
        <v>0</v>
      </c>
      <c r="Y15" s="39">
        <f>資料儲存!I2171</f>
        <v>0</v>
      </c>
      <c r="Z15" s="39">
        <f>資料儲存!J2171</f>
        <v>0</v>
      </c>
      <c r="AA15" s="58"/>
      <c r="AB15" s="61">
        <v>10</v>
      </c>
      <c r="AC15" s="39">
        <f>資料儲存!D2291</f>
        <v>0</v>
      </c>
      <c r="AD15" s="39">
        <f>資料儲存!E2291</f>
        <v>0</v>
      </c>
      <c r="AE15" s="39">
        <f>資料儲存!F2291</f>
        <v>0</v>
      </c>
      <c r="AF15" s="39">
        <f>資料儲存!G2291</f>
        <v>0</v>
      </c>
      <c r="AG15" s="39">
        <f>資料儲存!H2291</f>
        <v>0</v>
      </c>
      <c r="AH15" s="39">
        <f>資料儲存!I2291</f>
        <v>0</v>
      </c>
      <c r="AI15" s="39">
        <f>資料儲存!J2291</f>
        <v>0</v>
      </c>
      <c r="AJ15" s="58"/>
    </row>
    <row r="16" spans="1:36" ht="16" thickBot="1">
      <c r="A16" s="61">
        <v>11</v>
      </c>
      <c r="B16" s="39">
        <f>資料儲存!D1932</f>
        <v>0</v>
      </c>
      <c r="C16" s="39">
        <f>資料儲存!E1932</f>
        <v>0</v>
      </c>
      <c r="D16" s="39">
        <f>資料儲存!F1932</f>
        <v>0</v>
      </c>
      <c r="E16" s="39">
        <f>資料儲存!G1932</f>
        <v>0</v>
      </c>
      <c r="F16" s="39">
        <f>資料儲存!H1932</f>
        <v>0</v>
      </c>
      <c r="G16" s="39">
        <f>資料儲存!I1932</f>
        <v>0</v>
      </c>
      <c r="H16" s="39">
        <f>資料儲存!J1932</f>
        <v>0</v>
      </c>
      <c r="I16" s="58"/>
      <c r="J16" s="61">
        <v>11</v>
      </c>
      <c r="K16" s="39">
        <f>資料儲存!D2052</f>
        <v>0</v>
      </c>
      <c r="L16" s="39">
        <f>資料儲存!E2052</f>
        <v>0</v>
      </c>
      <c r="M16" s="39">
        <f>資料儲存!F2052</f>
        <v>0</v>
      </c>
      <c r="N16" s="39">
        <f>資料儲存!G2052</f>
        <v>0</v>
      </c>
      <c r="O16" s="39">
        <f>資料儲存!H2052</f>
        <v>0</v>
      </c>
      <c r="P16" s="39">
        <f>資料儲存!I2052</f>
        <v>0</v>
      </c>
      <c r="Q16" s="39">
        <f>資料儲存!J2052</f>
        <v>0</v>
      </c>
      <c r="R16" s="58"/>
      <c r="S16" s="61">
        <v>11</v>
      </c>
      <c r="T16" s="39">
        <f>資料儲存!D2172</f>
        <v>0</v>
      </c>
      <c r="U16" s="39">
        <f>資料儲存!E2172</f>
        <v>0</v>
      </c>
      <c r="V16" s="39">
        <f>資料儲存!F2172</f>
        <v>0</v>
      </c>
      <c r="W16" s="39">
        <f>資料儲存!G2172</f>
        <v>0</v>
      </c>
      <c r="X16" s="39">
        <f>資料儲存!H2172</f>
        <v>0</v>
      </c>
      <c r="Y16" s="39">
        <f>資料儲存!I2172</f>
        <v>0</v>
      </c>
      <c r="Z16" s="39">
        <f>資料儲存!J2172</f>
        <v>0</v>
      </c>
      <c r="AA16" s="58"/>
      <c r="AB16" s="61">
        <v>11</v>
      </c>
      <c r="AC16" s="39">
        <f>資料儲存!D2292</f>
        <v>0</v>
      </c>
      <c r="AD16" s="39">
        <f>資料儲存!E2292</f>
        <v>0</v>
      </c>
      <c r="AE16" s="39">
        <f>資料儲存!F2292</f>
        <v>0</v>
      </c>
      <c r="AF16" s="39">
        <f>資料儲存!G2292</f>
        <v>0</v>
      </c>
      <c r="AG16" s="39">
        <f>資料儲存!H2292</f>
        <v>0</v>
      </c>
      <c r="AH16" s="39">
        <f>資料儲存!I2292</f>
        <v>0</v>
      </c>
      <c r="AI16" s="39">
        <f>資料儲存!J2292</f>
        <v>0</v>
      </c>
      <c r="AJ16" s="58"/>
    </row>
    <row r="17" spans="1:36" ht="16" thickBot="1">
      <c r="A17" s="61">
        <v>12</v>
      </c>
      <c r="B17" s="39">
        <f>資料儲存!D1933</f>
        <v>0</v>
      </c>
      <c r="C17" s="39">
        <f>資料儲存!E1933</f>
        <v>0</v>
      </c>
      <c r="D17" s="39">
        <f>資料儲存!F1933</f>
        <v>0</v>
      </c>
      <c r="E17" s="39">
        <f>資料儲存!G1933</f>
        <v>0</v>
      </c>
      <c r="F17" s="39">
        <f>資料儲存!H1933</f>
        <v>0</v>
      </c>
      <c r="G17" s="39">
        <f>資料儲存!I1933</f>
        <v>0</v>
      </c>
      <c r="H17" s="39">
        <f>資料儲存!J1933</f>
        <v>0</v>
      </c>
      <c r="I17" s="58"/>
      <c r="J17" s="61">
        <v>12</v>
      </c>
      <c r="K17" s="39">
        <f>資料儲存!D2053</f>
        <v>0</v>
      </c>
      <c r="L17" s="39">
        <f>資料儲存!E2053</f>
        <v>0</v>
      </c>
      <c r="M17" s="39">
        <f>資料儲存!F2053</f>
        <v>0</v>
      </c>
      <c r="N17" s="39">
        <f>資料儲存!G2053</f>
        <v>0</v>
      </c>
      <c r="O17" s="39">
        <f>資料儲存!H2053</f>
        <v>0</v>
      </c>
      <c r="P17" s="39">
        <f>資料儲存!I2053</f>
        <v>0</v>
      </c>
      <c r="Q17" s="39">
        <f>資料儲存!J2053</f>
        <v>0</v>
      </c>
      <c r="R17" s="58"/>
      <c r="S17" s="61">
        <v>12</v>
      </c>
      <c r="T17" s="39">
        <f>資料儲存!D2173</f>
        <v>0</v>
      </c>
      <c r="U17" s="39">
        <f>資料儲存!E2173</f>
        <v>0</v>
      </c>
      <c r="V17" s="39">
        <f>資料儲存!F2173</f>
        <v>0</v>
      </c>
      <c r="W17" s="39">
        <f>資料儲存!G2173</f>
        <v>0</v>
      </c>
      <c r="X17" s="39">
        <f>資料儲存!H2173</f>
        <v>0</v>
      </c>
      <c r="Y17" s="39">
        <f>資料儲存!I2173</f>
        <v>0</v>
      </c>
      <c r="Z17" s="39">
        <f>資料儲存!J2173</f>
        <v>0</v>
      </c>
      <c r="AA17" s="58"/>
      <c r="AB17" s="61">
        <v>12</v>
      </c>
      <c r="AC17" s="39">
        <f>資料儲存!D2293</f>
        <v>0</v>
      </c>
      <c r="AD17" s="39">
        <f>資料儲存!E2293</f>
        <v>0</v>
      </c>
      <c r="AE17" s="39">
        <f>資料儲存!F2293</f>
        <v>0</v>
      </c>
      <c r="AF17" s="39">
        <f>資料儲存!G2293</f>
        <v>0</v>
      </c>
      <c r="AG17" s="39">
        <f>資料儲存!H2293</f>
        <v>0</v>
      </c>
      <c r="AH17" s="39">
        <f>資料儲存!I2293</f>
        <v>0</v>
      </c>
      <c r="AI17" s="39">
        <f>資料儲存!J2293</f>
        <v>0</v>
      </c>
      <c r="AJ17" s="58"/>
    </row>
    <row r="18" spans="1:36" ht="16" thickBot="1">
      <c r="A18" s="61">
        <v>13</v>
      </c>
      <c r="B18" s="39">
        <f>資料儲存!D1934</f>
        <v>0</v>
      </c>
      <c r="C18" s="39">
        <f>資料儲存!E1934</f>
        <v>0</v>
      </c>
      <c r="D18" s="39">
        <f>資料儲存!F1934</f>
        <v>0</v>
      </c>
      <c r="E18" s="39">
        <f>資料儲存!G1934</f>
        <v>0</v>
      </c>
      <c r="F18" s="39">
        <f>資料儲存!H1934</f>
        <v>0</v>
      </c>
      <c r="G18" s="39">
        <f>資料儲存!I1934</f>
        <v>0</v>
      </c>
      <c r="H18" s="39">
        <f>資料儲存!J1934</f>
        <v>0</v>
      </c>
      <c r="I18" s="58"/>
      <c r="J18" s="61">
        <v>13</v>
      </c>
      <c r="K18" s="39">
        <f>資料儲存!D2054</f>
        <v>0</v>
      </c>
      <c r="L18" s="39">
        <f>資料儲存!E2054</f>
        <v>0</v>
      </c>
      <c r="M18" s="39">
        <f>資料儲存!F2054</f>
        <v>0</v>
      </c>
      <c r="N18" s="39">
        <f>資料儲存!G2054</f>
        <v>0</v>
      </c>
      <c r="O18" s="39">
        <f>資料儲存!H2054</f>
        <v>0</v>
      </c>
      <c r="P18" s="39">
        <f>資料儲存!I2054</f>
        <v>0</v>
      </c>
      <c r="Q18" s="39">
        <f>資料儲存!J2054</f>
        <v>0</v>
      </c>
      <c r="R18" s="58"/>
      <c r="S18" s="61">
        <v>13</v>
      </c>
      <c r="T18" s="39">
        <f>資料儲存!D2174</f>
        <v>0</v>
      </c>
      <c r="U18" s="39">
        <f>資料儲存!E2174</f>
        <v>0</v>
      </c>
      <c r="V18" s="39">
        <f>資料儲存!F2174</f>
        <v>0</v>
      </c>
      <c r="W18" s="39">
        <f>資料儲存!G2174</f>
        <v>0</v>
      </c>
      <c r="X18" s="39">
        <f>資料儲存!H2174</f>
        <v>0</v>
      </c>
      <c r="Y18" s="39">
        <f>資料儲存!I2174</f>
        <v>0</v>
      </c>
      <c r="Z18" s="39">
        <f>資料儲存!J2174</f>
        <v>0</v>
      </c>
      <c r="AA18" s="58"/>
      <c r="AB18" s="61">
        <v>13</v>
      </c>
      <c r="AC18" s="39">
        <f>資料儲存!D2294</f>
        <v>0</v>
      </c>
      <c r="AD18" s="39">
        <f>資料儲存!E2294</f>
        <v>0</v>
      </c>
      <c r="AE18" s="39">
        <f>資料儲存!F2294</f>
        <v>0</v>
      </c>
      <c r="AF18" s="39">
        <f>資料儲存!G2294</f>
        <v>0</v>
      </c>
      <c r="AG18" s="39">
        <f>資料儲存!H2294</f>
        <v>0</v>
      </c>
      <c r="AH18" s="39">
        <f>資料儲存!I2294</f>
        <v>0</v>
      </c>
      <c r="AI18" s="39">
        <f>資料儲存!J2294</f>
        <v>0</v>
      </c>
      <c r="AJ18" s="58"/>
    </row>
    <row r="19" spans="1:36" ht="16" thickBot="1">
      <c r="A19" s="61">
        <v>14</v>
      </c>
      <c r="B19" s="39">
        <f>資料儲存!D1935</f>
        <v>0</v>
      </c>
      <c r="C19" s="39">
        <f>資料儲存!E1935</f>
        <v>0</v>
      </c>
      <c r="D19" s="39">
        <f>資料儲存!F1935</f>
        <v>0</v>
      </c>
      <c r="E19" s="39">
        <f>資料儲存!G1935</f>
        <v>0</v>
      </c>
      <c r="F19" s="39">
        <f>資料儲存!H1935</f>
        <v>0</v>
      </c>
      <c r="G19" s="39">
        <f>資料儲存!I1935</f>
        <v>0</v>
      </c>
      <c r="H19" s="39">
        <f>資料儲存!J1935</f>
        <v>0</v>
      </c>
      <c r="I19" s="58"/>
      <c r="J19" s="61">
        <v>14</v>
      </c>
      <c r="K19" s="39">
        <f>資料儲存!D2055</f>
        <v>0</v>
      </c>
      <c r="L19" s="39">
        <f>資料儲存!E2055</f>
        <v>0</v>
      </c>
      <c r="M19" s="39">
        <f>資料儲存!F2055</f>
        <v>0</v>
      </c>
      <c r="N19" s="39">
        <f>資料儲存!G2055</f>
        <v>0</v>
      </c>
      <c r="O19" s="39">
        <f>資料儲存!H2055</f>
        <v>0</v>
      </c>
      <c r="P19" s="39">
        <f>資料儲存!I2055</f>
        <v>0</v>
      </c>
      <c r="Q19" s="39">
        <f>資料儲存!J2055</f>
        <v>0</v>
      </c>
      <c r="R19" s="58"/>
      <c r="S19" s="61">
        <v>14</v>
      </c>
      <c r="T19" s="39">
        <f>資料儲存!D2175</f>
        <v>0</v>
      </c>
      <c r="U19" s="39">
        <f>資料儲存!E2175</f>
        <v>0</v>
      </c>
      <c r="V19" s="39">
        <f>資料儲存!F2175</f>
        <v>0</v>
      </c>
      <c r="W19" s="39">
        <f>資料儲存!G2175</f>
        <v>0</v>
      </c>
      <c r="X19" s="39">
        <f>資料儲存!H2175</f>
        <v>0</v>
      </c>
      <c r="Y19" s="39">
        <f>資料儲存!I2175</f>
        <v>0</v>
      </c>
      <c r="Z19" s="39">
        <f>資料儲存!J2175</f>
        <v>0</v>
      </c>
      <c r="AA19" s="58"/>
      <c r="AB19" s="61">
        <v>14</v>
      </c>
      <c r="AC19" s="39">
        <f>資料儲存!D2295</f>
        <v>0</v>
      </c>
      <c r="AD19" s="39">
        <f>資料儲存!E2295</f>
        <v>0</v>
      </c>
      <c r="AE19" s="39">
        <f>資料儲存!F2295</f>
        <v>0</v>
      </c>
      <c r="AF19" s="39">
        <f>資料儲存!G2295</f>
        <v>0</v>
      </c>
      <c r="AG19" s="39">
        <f>資料儲存!H2295</f>
        <v>0</v>
      </c>
      <c r="AH19" s="39">
        <f>資料儲存!I2295</f>
        <v>0</v>
      </c>
      <c r="AI19" s="39">
        <f>資料儲存!J2295</f>
        <v>0</v>
      </c>
      <c r="AJ19" s="58"/>
    </row>
    <row r="20" spans="1:36" ht="16" thickBot="1">
      <c r="A20" s="61">
        <v>15</v>
      </c>
      <c r="B20" s="39">
        <f>資料儲存!D1936</f>
        <v>0</v>
      </c>
      <c r="C20" s="39">
        <f>資料儲存!E1936</f>
        <v>0</v>
      </c>
      <c r="D20" s="39">
        <f>資料儲存!F1936</f>
        <v>0</v>
      </c>
      <c r="E20" s="39">
        <f>資料儲存!G1936</f>
        <v>0</v>
      </c>
      <c r="F20" s="39">
        <f>資料儲存!H1936</f>
        <v>0</v>
      </c>
      <c r="G20" s="39">
        <f>資料儲存!I1936</f>
        <v>0</v>
      </c>
      <c r="H20" s="39">
        <f>資料儲存!J1936</f>
        <v>0</v>
      </c>
      <c r="I20" s="58"/>
      <c r="J20" s="61">
        <v>15</v>
      </c>
      <c r="K20" s="39">
        <f>資料儲存!D2056</f>
        <v>0</v>
      </c>
      <c r="L20" s="39">
        <f>資料儲存!E2056</f>
        <v>0</v>
      </c>
      <c r="M20" s="39">
        <f>資料儲存!F2056</f>
        <v>0</v>
      </c>
      <c r="N20" s="39">
        <f>資料儲存!G2056</f>
        <v>0</v>
      </c>
      <c r="O20" s="39">
        <f>資料儲存!H2056</f>
        <v>0</v>
      </c>
      <c r="P20" s="39">
        <f>資料儲存!I2056</f>
        <v>0</v>
      </c>
      <c r="Q20" s="39">
        <f>資料儲存!J2056</f>
        <v>0</v>
      </c>
      <c r="R20" s="58"/>
      <c r="S20" s="61">
        <v>15</v>
      </c>
      <c r="T20" s="39">
        <f>資料儲存!D2176</f>
        <v>0</v>
      </c>
      <c r="U20" s="39">
        <f>資料儲存!E2176</f>
        <v>0</v>
      </c>
      <c r="V20" s="39">
        <f>資料儲存!F2176</f>
        <v>0</v>
      </c>
      <c r="W20" s="39">
        <f>資料儲存!G2176</f>
        <v>0</v>
      </c>
      <c r="X20" s="39">
        <f>資料儲存!H2176</f>
        <v>0</v>
      </c>
      <c r="Y20" s="39">
        <f>資料儲存!I2176</f>
        <v>0</v>
      </c>
      <c r="Z20" s="39">
        <f>資料儲存!J2176</f>
        <v>0</v>
      </c>
      <c r="AA20" s="58"/>
      <c r="AB20" s="61">
        <v>15</v>
      </c>
      <c r="AC20" s="39">
        <f>資料儲存!D2296</f>
        <v>0</v>
      </c>
      <c r="AD20" s="39">
        <f>資料儲存!E2296</f>
        <v>0</v>
      </c>
      <c r="AE20" s="39">
        <f>資料儲存!F2296</f>
        <v>0</v>
      </c>
      <c r="AF20" s="39">
        <f>資料儲存!G2296</f>
        <v>0</v>
      </c>
      <c r="AG20" s="39">
        <f>資料儲存!H2296</f>
        <v>0</v>
      </c>
      <c r="AH20" s="39">
        <f>資料儲存!I2296</f>
        <v>0</v>
      </c>
      <c r="AI20" s="39">
        <f>資料儲存!J2296</f>
        <v>0</v>
      </c>
      <c r="AJ20" s="58"/>
    </row>
    <row r="21" spans="1:36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</row>
    <row r="22" spans="1:36" ht="18.5" thickBot="1">
      <c r="A22" s="259" t="s">
        <v>74</v>
      </c>
      <c r="B22" s="260"/>
      <c r="C22" s="260"/>
      <c r="D22" s="260"/>
      <c r="E22" s="260"/>
      <c r="F22" s="260"/>
      <c r="G22" s="260"/>
      <c r="H22" s="261"/>
      <c r="I22" s="14"/>
      <c r="J22" s="259" t="s">
        <v>74</v>
      </c>
      <c r="K22" s="260"/>
      <c r="L22" s="260"/>
      <c r="M22" s="260"/>
      <c r="N22" s="260"/>
      <c r="O22" s="260"/>
      <c r="P22" s="260"/>
      <c r="Q22" s="261"/>
      <c r="R22" s="14"/>
      <c r="S22" s="259" t="s">
        <v>74</v>
      </c>
      <c r="T22" s="260"/>
      <c r="U22" s="260"/>
      <c r="V22" s="260"/>
      <c r="W22" s="260"/>
      <c r="X22" s="260"/>
      <c r="Y22" s="260"/>
      <c r="Z22" s="261"/>
      <c r="AA22" s="14"/>
      <c r="AB22" s="259" t="s">
        <v>74</v>
      </c>
      <c r="AC22" s="260"/>
      <c r="AD22" s="260"/>
      <c r="AE22" s="260"/>
      <c r="AF22" s="260"/>
      <c r="AG22" s="260"/>
      <c r="AH22" s="260"/>
      <c r="AI22" s="261"/>
      <c r="AJ22" s="14"/>
    </row>
    <row r="23" spans="1:36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</row>
    <row r="24" spans="1:36" ht="16" thickBot="1">
      <c r="A24" s="66" t="s">
        <v>75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 t="s">
        <v>75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 t="s">
        <v>75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 t="s">
        <v>75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</row>
    <row r="25" spans="1:36" ht="16" thickBot="1">
      <c r="A25" s="68">
        <v>16</v>
      </c>
      <c r="B25" s="49">
        <f>資料儲存!D1937</f>
        <v>0</v>
      </c>
      <c r="C25" s="49">
        <f>資料儲存!E1937</f>
        <v>0</v>
      </c>
      <c r="D25" s="49">
        <f>資料儲存!F1937</f>
        <v>0</v>
      </c>
      <c r="E25" s="49">
        <f>資料儲存!G1937</f>
        <v>0</v>
      </c>
      <c r="F25" s="49">
        <f>資料儲存!H1937</f>
        <v>0</v>
      </c>
      <c r="G25" s="49">
        <f>資料儲存!I1937</f>
        <v>0</v>
      </c>
      <c r="H25" s="49">
        <f>資料儲存!J1937</f>
        <v>0</v>
      </c>
      <c r="I25" s="52"/>
      <c r="J25" s="68">
        <v>16</v>
      </c>
      <c r="K25" s="49">
        <f>資料儲存!D2057</f>
        <v>0</v>
      </c>
      <c r="L25" s="49">
        <f>資料儲存!E2057</f>
        <v>0</v>
      </c>
      <c r="M25" s="49">
        <f>資料儲存!F2057</f>
        <v>0</v>
      </c>
      <c r="N25" s="49">
        <f>資料儲存!G2057</f>
        <v>0</v>
      </c>
      <c r="O25" s="49">
        <f>資料儲存!H2057</f>
        <v>0</v>
      </c>
      <c r="P25" s="49">
        <f>資料儲存!I2057</f>
        <v>0</v>
      </c>
      <c r="Q25" s="49">
        <f>資料儲存!J2057</f>
        <v>0</v>
      </c>
      <c r="R25" s="52"/>
      <c r="S25" s="68">
        <v>16</v>
      </c>
      <c r="T25" s="49">
        <f>資料儲存!D2177</f>
        <v>0</v>
      </c>
      <c r="U25" s="49">
        <f>資料儲存!E2177</f>
        <v>0</v>
      </c>
      <c r="V25" s="49">
        <f>資料儲存!F2177</f>
        <v>0</v>
      </c>
      <c r="W25" s="49">
        <f>資料儲存!G2177</f>
        <v>0</v>
      </c>
      <c r="X25" s="49">
        <f>資料儲存!H2177</f>
        <v>0</v>
      </c>
      <c r="Y25" s="49">
        <f>資料儲存!I2177</f>
        <v>0</v>
      </c>
      <c r="Z25" s="49">
        <f>資料儲存!J2177</f>
        <v>0</v>
      </c>
      <c r="AA25" s="52"/>
      <c r="AB25" s="68">
        <v>16</v>
      </c>
      <c r="AC25" s="49">
        <f>資料儲存!D2297</f>
        <v>0</v>
      </c>
      <c r="AD25" s="49">
        <f>資料儲存!E2297</f>
        <v>0</v>
      </c>
      <c r="AE25" s="49">
        <f>資料儲存!F2297</f>
        <v>0</v>
      </c>
      <c r="AF25" s="49">
        <f>資料儲存!G2297</f>
        <v>0</v>
      </c>
      <c r="AG25" s="49">
        <f>資料儲存!H2297</f>
        <v>0</v>
      </c>
      <c r="AH25" s="49">
        <f>資料儲存!I2297</f>
        <v>0</v>
      </c>
      <c r="AI25" s="49">
        <f>資料儲存!J2297</f>
        <v>0</v>
      </c>
      <c r="AJ25" s="52"/>
    </row>
    <row r="26" spans="1:36" ht="16" thickBot="1">
      <c r="A26" s="68">
        <v>17</v>
      </c>
      <c r="B26" s="49">
        <f>資料儲存!D1938</f>
        <v>0</v>
      </c>
      <c r="C26" s="49">
        <f>資料儲存!E1938</f>
        <v>0</v>
      </c>
      <c r="D26" s="49">
        <f>資料儲存!F1938</f>
        <v>0</v>
      </c>
      <c r="E26" s="49">
        <f>資料儲存!G1938</f>
        <v>0</v>
      </c>
      <c r="F26" s="49">
        <f>資料儲存!H1938</f>
        <v>0</v>
      </c>
      <c r="G26" s="49">
        <f>資料儲存!I1938</f>
        <v>0</v>
      </c>
      <c r="H26" s="49">
        <f>資料儲存!J1938</f>
        <v>0</v>
      </c>
      <c r="I26" s="52"/>
      <c r="J26" s="68">
        <v>17</v>
      </c>
      <c r="K26" s="49">
        <f>資料儲存!D2058</f>
        <v>0</v>
      </c>
      <c r="L26" s="49">
        <f>資料儲存!E2058</f>
        <v>0</v>
      </c>
      <c r="M26" s="49">
        <f>資料儲存!F2058</f>
        <v>0</v>
      </c>
      <c r="N26" s="49">
        <f>資料儲存!G2058</f>
        <v>0</v>
      </c>
      <c r="O26" s="49">
        <f>資料儲存!H2058</f>
        <v>0</v>
      </c>
      <c r="P26" s="49">
        <f>資料儲存!I2058</f>
        <v>0</v>
      </c>
      <c r="Q26" s="49">
        <f>資料儲存!J2058</f>
        <v>0</v>
      </c>
      <c r="R26" s="52"/>
      <c r="S26" s="68">
        <v>17</v>
      </c>
      <c r="T26" s="49">
        <f>資料儲存!D2178</f>
        <v>0</v>
      </c>
      <c r="U26" s="49">
        <f>資料儲存!E2178</f>
        <v>0</v>
      </c>
      <c r="V26" s="49">
        <f>資料儲存!F2178</f>
        <v>0</v>
      </c>
      <c r="W26" s="49">
        <f>資料儲存!G2178</f>
        <v>0</v>
      </c>
      <c r="X26" s="49">
        <f>資料儲存!H2178</f>
        <v>0</v>
      </c>
      <c r="Y26" s="49">
        <f>資料儲存!I2178</f>
        <v>0</v>
      </c>
      <c r="Z26" s="49">
        <f>資料儲存!J2178</f>
        <v>0</v>
      </c>
      <c r="AA26" s="52"/>
      <c r="AB26" s="68">
        <v>17</v>
      </c>
      <c r="AC26" s="49">
        <f>資料儲存!D2298</f>
        <v>0</v>
      </c>
      <c r="AD26" s="49">
        <f>資料儲存!E2298</f>
        <v>0</v>
      </c>
      <c r="AE26" s="49">
        <f>資料儲存!F2298</f>
        <v>0</v>
      </c>
      <c r="AF26" s="49">
        <f>資料儲存!G2298</f>
        <v>0</v>
      </c>
      <c r="AG26" s="49">
        <f>資料儲存!H2298</f>
        <v>0</v>
      </c>
      <c r="AH26" s="49">
        <f>資料儲存!I2298</f>
        <v>0</v>
      </c>
      <c r="AI26" s="49">
        <f>資料儲存!J2298</f>
        <v>0</v>
      </c>
      <c r="AJ26" s="52"/>
    </row>
    <row r="27" spans="1:36" ht="16" thickBot="1">
      <c r="A27" s="68">
        <v>18</v>
      </c>
      <c r="B27" s="49">
        <f>資料儲存!D1939</f>
        <v>0</v>
      </c>
      <c r="C27" s="49">
        <f>資料儲存!E1939</f>
        <v>0</v>
      </c>
      <c r="D27" s="49">
        <f>資料儲存!F1939</f>
        <v>0</v>
      </c>
      <c r="E27" s="49">
        <f>資料儲存!G1939</f>
        <v>0</v>
      </c>
      <c r="F27" s="49">
        <f>資料儲存!H1939</f>
        <v>0</v>
      </c>
      <c r="G27" s="49">
        <f>資料儲存!I1939</f>
        <v>0</v>
      </c>
      <c r="H27" s="49">
        <f>資料儲存!J1939</f>
        <v>0</v>
      </c>
      <c r="I27" s="52"/>
      <c r="J27" s="68">
        <v>18</v>
      </c>
      <c r="K27" s="49">
        <f>資料儲存!D2059</f>
        <v>0</v>
      </c>
      <c r="L27" s="49">
        <f>資料儲存!E2059</f>
        <v>0</v>
      </c>
      <c r="M27" s="49">
        <f>資料儲存!F2059</f>
        <v>0</v>
      </c>
      <c r="N27" s="49">
        <f>資料儲存!G2059</f>
        <v>0</v>
      </c>
      <c r="O27" s="49">
        <f>資料儲存!H2059</f>
        <v>0</v>
      </c>
      <c r="P27" s="49">
        <f>資料儲存!I2059</f>
        <v>0</v>
      </c>
      <c r="Q27" s="49">
        <f>資料儲存!J2059</f>
        <v>0</v>
      </c>
      <c r="R27" s="52"/>
      <c r="S27" s="68">
        <v>18</v>
      </c>
      <c r="T27" s="49">
        <f>資料儲存!D2179</f>
        <v>0</v>
      </c>
      <c r="U27" s="49">
        <f>資料儲存!E2179</f>
        <v>0</v>
      </c>
      <c r="V27" s="49">
        <f>資料儲存!F2179</f>
        <v>0</v>
      </c>
      <c r="W27" s="49">
        <f>資料儲存!G2179</f>
        <v>0</v>
      </c>
      <c r="X27" s="49">
        <f>資料儲存!H2179</f>
        <v>0</v>
      </c>
      <c r="Y27" s="49">
        <f>資料儲存!I2179</f>
        <v>0</v>
      </c>
      <c r="Z27" s="49">
        <f>資料儲存!J2179</f>
        <v>0</v>
      </c>
      <c r="AA27" s="52"/>
      <c r="AB27" s="68">
        <v>18</v>
      </c>
      <c r="AC27" s="49">
        <f>資料儲存!D2299</f>
        <v>0</v>
      </c>
      <c r="AD27" s="49">
        <f>資料儲存!E2299</f>
        <v>0</v>
      </c>
      <c r="AE27" s="49">
        <f>資料儲存!F2299</f>
        <v>0</v>
      </c>
      <c r="AF27" s="49">
        <f>資料儲存!G2299</f>
        <v>0</v>
      </c>
      <c r="AG27" s="49">
        <f>資料儲存!H2299</f>
        <v>0</v>
      </c>
      <c r="AH27" s="49">
        <f>資料儲存!I2299</f>
        <v>0</v>
      </c>
      <c r="AI27" s="49">
        <f>資料儲存!J2299</f>
        <v>0</v>
      </c>
      <c r="AJ27" s="52"/>
    </row>
    <row r="28" spans="1:36" ht="16" thickBot="1">
      <c r="A28" s="68">
        <v>19</v>
      </c>
      <c r="B28" s="49">
        <f>資料儲存!D1940</f>
        <v>0</v>
      </c>
      <c r="C28" s="49">
        <f>資料儲存!E1940</f>
        <v>0</v>
      </c>
      <c r="D28" s="49">
        <f>資料儲存!F1940</f>
        <v>0</v>
      </c>
      <c r="E28" s="49">
        <f>資料儲存!G1940</f>
        <v>0</v>
      </c>
      <c r="F28" s="49">
        <f>資料儲存!H1940</f>
        <v>0</v>
      </c>
      <c r="G28" s="49">
        <f>資料儲存!I1940</f>
        <v>0</v>
      </c>
      <c r="H28" s="49">
        <f>資料儲存!J1940</f>
        <v>0</v>
      </c>
      <c r="I28" s="52"/>
      <c r="J28" s="68">
        <v>19</v>
      </c>
      <c r="K28" s="49">
        <f>資料儲存!D2060</f>
        <v>0</v>
      </c>
      <c r="L28" s="49">
        <f>資料儲存!E2060</f>
        <v>0</v>
      </c>
      <c r="M28" s="49">
        <f>資料儲存!F2060</f>
        <v>0</v>
      </c>
      <c r="N28" s="49">
        <f>資料儲存!G2060</f>
        <v>0</v>
      </c>
      <c r="O28" s="49">
        <f>資料儲存!H2060</f>
        <v>0</v>
      </c>
      <c r="P28" s="49">
        <f>資料儲存!I2060</f>
        <v>0</v>
      </c>
      <c r="Q28" s="49">
        <f>資料儲存!J2060</f>
        <v>0</v>
      </c>
      <c r="R28" s="52"/>
      <c r="S28" s="68">
        <v>19</v>
      </c>
      <c r="T28" s="49">
        <f>資料儲存!D2180</f>
        <v>0</v>
      </c>
      <c r="U28" s="49">
        <f>資料儲存!E2180</f>
        <v>0</v>
      </c>
      <c r="V28" s="49">
        <f>資料儲存!F2180</f>
        <v>0</v>
      </c>
      <c r="W28" s="49">
        <f>資料儲存!G2180</f>
        <v>0</v>
      </c>
      <c r="X28" s="49">
        <f>資料儲存!H2180</f>
        <v>0</v>
      </c>
      <c r="Y28" s="49">
        <f>資料儲存!I2180</f>
        <v>0</v>
      </c>
      <c r="Z28" s="49">
        <f>資料儲存!J2180</f>
        <v>0</v>
      </c>
      <c r="AA28" s="52"/>
      <c r="AB28" s="68">
        <v>19</v>
      </c>
      <c r="AC28" s="49">
        <f>資料儲存!D2300</f>
        <v>0</v>
      </c>
      <c r="AD28" s="49">
        <f>資料儲存!E2300</f>
        <v>0</v>
      </c>
      <c r="AE28" s="49">
        <f>資料儲存!F2300</f>
        <v>0</v>
      </c>
      <c r="AF28" s="49">
        <f>資料儲存!G2300</f>
        <v>0</v>
      </c>
      <c r="AG28" s="49">
        <f>資料儲存!H2300</f>
        <v>0</v>
      </c>
      <c r="AH28" s="49">
        <f>資料儲存!I2300</f>
        <v>0</v>
      </c>
      <c r="AI28" s="49">
        <f>資料儲存!J2300</f>
        <v>0</v>
      </c>
      <c r="AJ28" s="52"/>
    </row>
    <row r="29" spans="1:36" ht="16" thickBot="1">
      <c r="A29" s="68">
        <v>20</v>
      </c>
      <c r="B29" s="49">
        <f>資料儲存!D1941</f>
        <v>0</v>
      </c>
      <c r="C29" s="49">
        <f>資料儲存!E1941</f>
        <v>0</v>
      </c>
      <c r="D29" s="49">
        <f>資料儲存!F1941</f>
        <v>0</v>
      </c>
      <c r="E29" s="49">
        <f>資料儲存!G1941</f>
        <v>0</v>
      </c>
      <c r="F29" s="49">
        <f>資料儲存!H1941</f>
        <v>0</v>
      </c>
      <c r="G29" s="49">
        <f>資料儲存!I1941</f>
        <v>0</v>
      </c>
      <c r="H29" s="49">
        <f>資料儲存!J1941</f>
        <v>0</v>
      </c>
      <c r="I29" s="52"/>
      <c r="J29" s="68">
        <v>20</v>
      </c>
      <c r="K29" s="49">
        <f>資料儲存!D2061</f>
        <v>0</v>
      </c>
      <c r="L29" s="49">
        <f>資料儲存!E2061</f>
        <v>0</v>
      </c>
      <c r="M29" s="49">
        <f>資料儲存!F2061</f>
        <v>0</v>
      </c>
      <c r="N29" s="49">
        <f>資料儲存!G2061</f>
        <v>0</v>
      </c>
      <c r="O29" s="49">
        <f>資料儲存!H2061</f>
        <v>0</v>
      </c>
      <c r="P29" s="49">
        <f>資料儲存!I2061</f>
        <v>0</v>
      </c>
      <c r="Q29" s="49">
        <f>資料儲存!J2061</f>
        <v>0</v>
      </c>
      <c r="R29" s="52"/>
      <c r="S29" s="68">
        <v>20</v>
      </c>
      <c r="T29" s="49">
        <f>資料儲存!D2181</f>
        <v>0</v>
      </c>
      <c r="U29" s="49">
        <f>資料儲存!E2181</f>
        <v>0</v>
      </c>
      <c r="V29" s="49">
        <f>資料儲存!F2181</f>
        <v>0</v>
      </c>
      <c r="W29" s="49">
        <f>資料儲存!G2181</f>
        <v>0</v>
      </c>
      <c r="X29" s="49">
        <f>資料儲存!H2181</f>
        <v>0</v>
      </c>
      <c r="Y29" s="49">
        <f>資料儲存!I2181</f>
        <v>0</v>
      </c>
      <c r="Z29" s="49">
        <f>資料儲存!J2181</f>
        <v>0</v>
      </c>
      <c r="AA29" s="52"/>
      <c r="AB29" s="68">
        <v>20</v>
      </c>
      <c r="AC29" s="49">
        <f>資料儲存!D2301</f>
        <v>0</v>
      </c>
      <c r="AD29" s="49">
        <f>資料儲存!E2301</f>
        <v>0</v>
      </c>
      <c r="AE29" s="49">
        <f>資料儲存!F2301</f>
        <v>0</v>
      </c>
      <c r="AF29" s="49">
        <f>資料儲存!G2301</f>
        <v>0</v>
      </c>
      <c r="AG29" s="49">
        <f>資料儲存!H2301</f>
        <v>0</v>
      </c>
      <c r="AH29" s="49">
        <f>資料儲存!I2301</f>
        <v>0</v>
      </c>
      <c r="AI29" s="49">
        <f>資料儲存!J2301</f>
        <v>0</v>
      </c>
      <c r="AJ29" s="52"/>
    </row>
    <row r="30" spans="1:36" ht="16" thickBot="1">
      <c r="A30" s="68">
        <v>21</v>
      </c>
      <c r="B30" s="49">
        <f>資料儲存!D1942</f>
        <v>0</v>
      </c>
      <c r="C30" s="49">
        <f>資料儲存!E1942</f>
        <v>0</v>
      </c>
      <c r="D30" s="49">
        <f>資料儲存!F1942</f>
        <v>0</v>
      </c>
      <c r="E30" s="49">
        <f>資料儲存!G1942</f>
        <v>0</v>
      </c>
      <c r="F30" s="49">
        <f>資料儲存!H1942</f>
        <v>0</v>
      </c>
      <c r="G30" s="49">
        <f>資料儲存!I1942</f>
        <v>0</v>
      </c>
      <c r="H30" s="49">
        <f>資料儲存!J1942</f>
        <v>0</v>
      </c>
      <c r="I30" s="52"/>
      <c r="J30" s="68">
        <v>21</v>
      </c>
      <c r="K30" s="49">
        <f>資料儲存!D2062</f>
        <v>0</v>
      </c>
      <c r="L30" s="49">
        <f>資料儲存!E2062</f>
        <v>0</v>
      </c>
      <c r="M30" s="49">
        <f>資料儲存!F2062</f>
        <v>0</v>
      </c>
      <c r="N30" s="49">
        <f>資料儲存!G2062</f>
        <v>0</v>
      </c>
      <c r="O30" s="49">
        <f>資料儲存!H2062</f>
        <v>0</v>
      </c>
      <c r="P30" s="49">
        <f>資料儲存!I2062</f>
        <v>0</v>
      </c>
      <c r="Q30" s="49">
        <f>資料儲存!J2062</f>
        <v>0</v>
      </c>
      <c r="R30" s="52"/>
      <c r="S30" s="68">
        <v>21</v>
      </c>
      <c r="T30" s="49">
        <f>資料儲存!D2182</f>
        <v>0</v>
      </c>
      <c r="U30" s="49">
        <f>資料儲存!E2182</f>
        <v>0</v>
      </c>
      <c r="V30" s="49">
        <f>資料儲存!F2182</f>
        <v>0</v>
      </c>
      <c r="W30" s="49">
        <f>資料儲存!G2182</f>
        <v>0</v>
      </c>
      <c r="X30" s="49">
        <f>資料儲存!H2182</f>
        <v>0</v>
      </c>
      <c r="Y30" s="49">
        <f>資料儲存!I2182</f>
        <v>0</v>
      </c>
      <c r="Z30" s="49">
        <f>資料儲存!J2182</f>
        <v>0</v>
      </c>
      <c r="AA30" s="52"/>
      <c r="AB30" s="68">
        <v>21</v>
      </c>
      <c r="AC30" s="49">
        <f>資料儲存!D2302</f>
        <v>0</v>
      </c>
      <c r="AD30" s="49">
        <f>資料儲存!E2302</f>
        <v>0</v>
      </c>
      <c r="AE30" s="49">
        <f>資料儲存!F2302</f>
        <v>0</v>
      </c>
      <c r="AF30" s="49">
        <f>資料儲存!G2302</f>
        <v>0</v>
      </c>
      <c r="AG30" s="49">
        <f>資料儲存!H2302</f>
        <v>0</v>
      </c>
      <c r="AH30" s="49">
        <f>資料儲存!I2302</f>
        <v>0</v>
      </c>
      <c r="AI30" s="49">
        <f>資料儲存!J2302</f>
        <v>0</v>
      </c>
      <c r="AJ30" s="52"/>
    </row>
    <row r="31" spans="1:36" ht="16" thickBot="1">
      <c r="A31" s="68">
        <v>22</v>
      </c>
      <c r="B31" s="49">
        <f>資料儲存!D1943</f>
        <v>0</v>
      </c>
      <c r="C31" s="49">
        <f>資料儲存!E1943</f>
        <v>0</v>
      </c>
      <c r="D31" s="49">
        <f>資料儲存!F1943</f>
        <v>0</v>
      </c>
      <c r="E31" s="49">
        <f>資料儲存!G1943</f>
        <v>0</v>
      </c>
      <c r="F31" s="49">
        <f>資料儲存!H1943</f>
        <v>0</v>
      </c>
      <c r="G31" s="49">
        <f>資料儲存!I1943</f>
        <v>0</v>
      </c>
      <c r="H31" s="49">
        <f>資料儲存!J1943</f>
        <v>0</v>
      </c>
      <c r="I31" s="52"/>
      <c r="J31" s="68">
        <v>22</v>
      </c>
      <c r="K31" s="49">
        <f>資料儲存!D2063</f>
        <v>0</v>
      </c>
      <c r="L31" s="49">
        <f>資料儲存!E2063</f>
        <v>0</v>
      </c>
      <c r="M31" s="49">
        <f>資料儲存!F2063</f>
        <v>0</v>
      </c>
      <c r="N31" s="49">
        <f>資料儲存!G2063</f>
        <v>0</v>
      </c>
      <c r="O31" s="49">
        <f>資料儲存!H2063</f>
        <v>0</v>
      </c>
      <c r="P31" s="49">
        <f>資料儲存!I2063</f>
        <v>0</v>
      </c>
      <c r="Q31" s="49">
        <f>資料儲存!J2063</f>
        <v>0</v>
      </c>
      <c r="R31" s="52"/>
      <c r="S31" s="68">
        <v>22</v>
      </c>
      <c r="T31" s="49">
        <f>資料儲存!D2183</f>
        <v>0</v>
      </c>
      <c r="U31" s="49">
        <f>資料儲存!E2183</f>
        <v>0</v>
      </c>
      <c r="V31" s="49">
        <f>資料儲存!F2183</f>
        <v>0</v>
      </c>
      <c r="W31" s="49">
        <f>資料儲存!G2183</f>
        <v>0</v>
      </c>
      <c r="X31" s="49">
        <f>資料儲存!H2183</f>
        <v>0</v>
      </c>
      <c r="Y31" s="49">
        <f>資料儲存!I2183</f>
        <v>0</v>
      </c>
      <c r="Z31" s="49">
        <f>資料儲存!J2183</f>
        <v>0</v>
      </c>
      <c r="AA31" s="52"/>
      <c r="AB31" s="68">
        <v>22</v>
      </c>
      <c r="AC31" s="49">
        <f>資料儲存!D2303</f>
        <v>0</v>
      </c>
      <c r="AD31" s="49">
        <f>資料儲存!E2303</f>
        <v>0</v>
      </c>
      <c r="AE31" s="49">
        <f>資料儲存!F2303</f>
        <v>0</v>
      </c>
      <c r="AF31" s="49">
        <f>資料儲存!G2303</f>
        <v>0</v>
      </c>
      <c r="AG31" s="49">
        <f>資料儲存!H2303</f>
        <v>0</v>
      </c>
      <c r="AH31" s="49">
        <f>資料儲存!I2303</f>
        <v>0</v>
      </c>
      <c r="AI31" s="49">
        <f>資料儲存!J2303</f>
        <v>0</v>
      </c>
      <c r="AJ31" s="52"/>
    </row>
    <row r="32" spans="1:36" ht="16" thickBot="1">
      <c r="A32" s="68">
        <v>23</v>
      </c>
      <c r="B32" s="49">
        <f>資料儲存!D1944</f>
        <v>0</v>
      </c>
      <c r="C32" s="49">
        <f>資料儲存!E1944</f>
        <v>0</v>
      </c>
      <c r="D32" s="49">
        <f>資料儲存!F1944</f>
        <v>0</v>
      </c>
      <c r="E32" s="49">
        <f>資料儲存!G1944</f>
        <v>0</v>
      </c>
      <c r="F32" s="49">
        <f>資料儲存!H1944</f>
        <v>0</v>
      </c>
      <c r="G32" s="49">
        <f>資料儲存!I1944</f>
        <v>0</v>
      </c>
      <c r="H32" s="49">
        <f>資料儲存!J1944</f>
        <v>0</v>
      </c>
      <c r="I32" s="52"/>
      <c r="J32" s="68">
        <v>23</v>
      </c>
      <c r="K32" s="49">
        <f>資料儲存!D2064</f>
        <v>0</v>
      </c>
      <c r="L32" s="49">
        <f>資料儲存!E2064</f>
        <v>0</v>
      </c>
      <c r="M32" s="49">
        <f>資料儲存!F2064</f>
        <v>0</v>
      </c>
      <c r="N32" s="49">
        <f>資料儲存!G2064</f>
        <v>0</v>
      </c>
      <c r="O32" s="49">
        <f>資料儲存!H2064</f>
        <v>0</v>
      </c>
      <c r="P32" s="49">
        <f>資料儲存!I2064</f>
        <v>0</v>
      </c>
      <c r="Q32" s="49">
        <f>資料儲存!J2064</f>
        <v>0</v>
      </c>
      <c r="R32" s="52"/>
      <c r="S32" s="68">
        <v>23</v>
      </c>
      <c r="T32" s="49">
        <f>資料儲存!D2184</f>
        <v>0</v>
      </c>
      <c r="U32" s="49">
        <f>資料儲存!E2184</f>
        <v>0</v>
      </c>
      <c r="V32" s="49">
        <f>資料儲存!F2184</f>
        <v>0</v>
      </c>
      <c r="W32" s="49">
        <f>資料儲存!G2184</f>
        <v>0</v>
      </c>
      <c r="X32" s="49">
        <f>資料儲存!H2184</f>
        <v>0</v>
      </c>
      <c r="Y32" s="49">
        <f>資料儲存!I2184</f>
        <v>0</v>
      </c>
      <c r="Z32" s="49">
        <f>資料儲存!J2184</f>
        <v>0</v>
      </c>
      <c r="AA32" s="52"/>
      <c r="AB32" s="68">
        <v>23</v>
      </c>
      <c r="AC32" s="49">
        <f>資料儲存!D2304</f>
        <v>0</v>
      </c>
      <c r="AD32" s="49">
        <f>資料儲存!E2304</f>
        <v>0</v>
      </c>
      <c r="AE32" s="49">
        <f>資料儲存!F2304</f>
        <v>0</v>
      </c>
      <c r="AF32" s="49">
        <f>資料儲存!G2304</f>
        <v>0</v>
      </c>
      <c r="AG32" s="49">
        <f>資料儲存!H2304</f>
        <v>0</v>
      </c>
      <c r="AH32" s="49">
        <f>資料儲存!I2304</f>
        <v>0</v>
      </c>
      <c r="AI32" s="49">
        <f>資料儲存!J2304</f>
        <v>0</v>
      </c>
      <c r="AJ32" s="52"/>
    </row>
    <row r="33" spans="1:36" ht="16" thickBot="1">
      <c r="A33" s="68">
        <v>24</v>
      </c>
      <c r="B33" s="49">
        <f>資料儲存!D1945</f>
        <v>0</v>
      </c>
      <c r="C33" s="49">
        <f>資料儲存!E1945</f>
        <v>0</v>
      </c>
      <c r="D33" s="49">
        <f>資料儲存!F1945</f>
        <v>0</v>
      </c>
      <c r="E33" s="49">
        <f>資料儲存!G1945</f>
        <v>0</v>
      </c>
      <c r="F33" s="49">
        <f>資料儲存!H1945</f>
        <v>0</v>
      </c>
      <c r="G33" s="49">
        <f>資料儲存!I1945</f>
        <v>0</v>
      </c>
      <c r="H33" s="49">
        <f>資料儲存!J1945</f>
        <v>0</v>
      </c>
      <c r="I33" s="52"/>
      <c r="J33" s="68">
        <v>24</v>
      </c>
      <c r="K33" s="49">
        <f>資料儲存!D2065</f>
        <v>0</v>
      </c>
      <c r="L33" s="49">
        <f>資料儲存!E2065</f>
        <v>0</v>
      </c>
      <c r="M33" s="49">
        <f>資料儲存!F2065</f>
        <v>0</v>
      </c>
      <c r="N33" s="49">
        <f>資料儲存!G2065</f>
        <v>0</v>
      </c>
      <c r="O33" s="49">
        <f>資料儲存!H2065</f>
        <v>0</v>
      </c>
      <c r="P33" s="49">
        <f>資料儲存!I2065</f>
        <v>0</v>
      </c>
      <c r="Q33" s="49">
        <f>資料儲存!J2065</f>
        <v>0</v>
      </c>
      <c r="R33" s="52"/>
      <c r="S33" s="68">
        <v>24</v>
      </c>
      <c r="T33" s="49">
        <f>資料儲存!D2185</f>
        <v>0</v>
      </c>
      <c r="U33" s="49">
        <f>資料儲存!E2185</f>
        <v>0</v>
      </c>
      <c r="V33" s="49">
        <f>資料儲存!F2185</f>
        <v>0</v>
      </c>
      <c r="W33" s="49">
        <f>資料儲存!G2185</f>
        <v>0</v>
      </c>
      <c r="X33" s="49">
        <f>資料儲存!H2185</f>
        <v>0</v>
      </c>
      <c r="Y33" s="49">
        <f>資料儲存!I2185</f>
        <v>0</v>
      </c>
      <c r="Z33" s="49">
        <f>資料儲存!J2185</f>
        <v>0</v>
      </c>
      <c r="AA33" s="52"/>
      <c r="AB33" s="68">
        <v>24</v>
      </c>
      <c r="AC33" s="49">
        <f>資料儲存!D2305</f>
        <v>0</v>
      </c>
      <c r="AD33" s="49">
        <f>資料儲存!E2305</f>
        <v>0</v>
      </c>
      <c r="AE33" s="49">
        <f>資料儲存!F2305</f>
        <v>0</v>
      </c>
      <c r="AF33" s="49">
        <f>資料儲存!G2305</f>
        <v>0</v>
      </c>
      <c r="AG33" s="49">
        <f>資料儲存!H2305</f>
        <v>0</v>
      </c>
      <c r="AH33" s="49">
        <f>資料儲存!I2305</f>
        <v>0</v>
      </c>
      <c r="AI33" s="49">
        <f>資料儲存!J2305</f>
        <v>0</v>
      </c>
      <c r="AJ33" s="52"/>
    </row>
    <row r="34" spans="1:36" ht="16" thickBot="1">
      <c r="A34" s="68">
        <v>25</v>
      </c>
      <c r="B34" s="49">
        <f>資料儲存!D1946</f>
        <v>0</v>
      </c>
      <c r="C34" s="49">
        <f>資料儲存!E1946</f>
        <v>0</v>
      </c>
      <c r="D34" s="49">
        <f>資料儲存!F1946</f>
        <v>0</v>
      </c>
      <c r="E34" s="49">
        <f>資料儲存!G1946</f>
        <v>0</v>
      </c>
      <c r="F34" s="49">
        <f>資料儲存!H1946</f>
        <v>0</v>
      </c>
      <c r="G34" s="49">
        <f>資料儲存!I1946</f>
        <v>0</v>
      </c>
      <c r="H34" s="49">
        <f>資料儲存!J1946</f>
        <v>0</v>
      </c>
      <c r="I34" s="52"/>
      <c r="J34" s="68">
        <v>25</v>
      </c>
      <c r="K34" s="49">
        <f>資料儲存!D2066</f>
        <v>0</v>
      </c>
      <c r="L34" s="49">
        <f>資料儲存!E2066</f>
        <v>0</v>
      </c>
      <c r="M34" s="49">
        <f>資料儲存!F2066</f>
        <v>0</v>
      </c>
      <c r="N34" s="49">
        <f>資料儲存!G2066</f>
        <v>0</v>
      </c>
      <c r="O34" s="49">
        <f>資料儲存!H2066</f>
        <v>0</v>
      </c>
      <c r="P34" s="49">
        <f>資料儲存!I2066</f>
        <v>0</v>
      </c>
      <c r="Q34" s="49">
        <f>資料儲存!J2066</f>
        <v>0</v>
      </c>
      <c r="R34" s="52"/>
      <c r="S34" s="68">
        <v>25</v>
      </c>
      <c r="T34" s="49">
        <f>資料儲存!D2186</f>
        <v>0</v>
      </c>
      <c r="U34" s="49">
        <f>資料儲存!E2186</f>
        <v>0</v>
      </c>
      <c r="V34" s="49">
        <f>資料儲存!F2186</f>
        <v>0</v>
      </c>
      <c r="W34" s="49">
        <f>資料儲存!G2186</f>
        <v>0</v>
      </c>
      <c r="X34" s="49">
        <f>資料儲存!H2186</f>
        <v>0</v>
      </c>
      <c r="Y34" s="49">
        <f>資料儲存!I2186</f>
        <v>0</v>
      </c>
      <c r="Z34" s="49">
        <f>資料儲存!J2186</f>
        <v>0</v>
      </c>
      <c r="AA34" s="52"/>
      <c r="AB34" s="68">
        <v>25</v>
      </c>
      <c r="AC34" s="49">
        <f>資料儲存!D2306</f>
        <v>0</v>
      </c>
      <c r="AD34" s="49">
        <f>資料儲存!E2306</f>
        <v>0</v>
      </c>
      <c r="AE34" s="49">
        <f>資料儲存!F2306</f>
        <v>0</v>
      </c>
      <c r="AF34" s="49">
        <f>資料儲存!G2306</f>
        <v>0</v>
      </c>
      <c r="AG34" s="49">
        <f>資料儲存!H2306</f>
        <v>0</v>
      </c>
      <c r="AH34" s="49">
        <f>資料儲存!I2306</f>
        <v>0</v>
      </c>
      <c r="AI34" s="49">
        <f>資料儲存!J2306</f>
        <v>0</v>
      </c>
      <c r="AJ34" s="52"/>
    </row>
    <row r="35" spans="1:36" ht="16" thickBot="1">
      <c r="A35" s="68">
        <v>26</v>
      </c>
      <c r="B35" s="49">
        <f>資料儲存!D1947</f>
        <v>0</v>
      </c>
      <c r="C35" s="49">
        <f>資料儲存!E1947</f>
        <v>0</v>
      </c>
      <c r="D35" s="49">
        <f>資料儲存!F1947</f>
        <v>0</v>
      </c>
      <c r="E35" s="49">
        <f>資料儲存!G1947</f>
        <v>0</v>
      </c>
      <c r="F35" s="49">
        <f>資料儲存!H1947</f>
        <v>0</v>
      </c>
      <c r="G35" s="49">
        <f>資料儲存!I1947</f>
        <v>0</v>
      </c>
      <c r="H35" s="49">
        <f>資料儲存!J1947</f>
        <v>0</v>
      </c>
      <c r="I35" s="52"/>
      <c r="J35" s="68">
        <v>26</v>
      </c>
      <c r="K35" s="49">
        <f>資料儲存!D2067</f>
        <v>0</v>
      </c>
      <c r="L35" s="49">
        <f>資料儲存!E2067</f>
        <v>0</v>
      </c>
      <c r="M35" s="49">
        <f>資料儲存!F2067</f>
        <v>0</v>
      </c>
      <c r="N35" s="49">
        <f>資料儲存!G2067</f>
        <v>0</v>
      </c>
      <c r="O35" s="49">
        <f>資料儲存!H2067</f>
        <v>0</v>
      </c>
      <c r="P35" s="49">
        <f>資料儲存!I2067</f>
        <v>0</v>
      </c>
      <c r="Q35" s="49">
        <f>資料儲存!J2067</f>
        <v>0</v>
      </c>
      <c r="R35" s="52"/>
      <c r="S35" s="68">
        <v>26</v>
      </c>
      <c r="T35" s="49">
        <f>資料儲存!D2187</f>
        <v>0</v>
      </c>
      <c r="U35" s="49">
        <f>資料儲存!E2187</f>
        <v>0</v>
      </c>
      <c r="V35" s="49">
        <f>資料儲存!F2187</f>
        <v>0</v>
      </c>
      <c r="W35" s="49">
        <f>資料儲存!G2187</f>
        <v>0</v>
      </c>
      <c r="X35" s="49">
        <f>資料儲存!H2187</f>
        <v>0</v>
      </c>
      <c r="Y35" s="49">
        <f>資料儲存!I2187</f>
        <v>0</v>
      </c>
      <c r="Z35" s="49">
        <f>資料儲存!J2187</f>
        <v>0</v>
      </c>
      <c r="AA35" s="52"/>
      <c r="AB35" s="68">
        <v>26</v>
      </c>
      <c r="AC35" s="49">
        <f>資料儲存!D2307</f>
        <v>0</v>
      </c>
      <c r="AD35" s="49">
        <f>資料儲存!E2307</f>
        <v>0</v>
      </c>
      <c r="AE35" s="49">
        <f>資料儲存!F2307</f>
        <v>0</v>
      </c>
      <c r="AF35" s="49">
        <f>資料儲存!G2307</f>
        <v>0</v>
      </c>
      <c r="AG35" s="49">
        <f>資料儲存!H2307</f>
        <v>0</v>
      </c>
      <c r="AH35" s="49">
        <f>資料儲存!I2307</f>
        <v>0</v>
      </c>
      <c r="AI35" s="49">
        <f>資料儲存!J2307</f>
        <v>0</v>
      </c>
      <c r="AJ35" s="52"/>
    </row>
    <row r="36" spans="1:36" ht="16" thickBot="1">
      <c r="A36" s="68">
        <v>27</v>
      </c>
      <c r="B36" s="49">
        <f>資料儲存!D1948</f>
        <v>0</v>
      </c>
      <c r="C36" s="49">
        <f>資料儲存!E1948</f>
        <v>0</v>
      </c>
      <c r="D36" s="49">
        <f>資料儲存!F1948</f>
        <v>0</v>
      </c>
      <c r="E36" s="49">
        <f>資料儲存!G1948</f>
        <v>0</v>
      </c>
      <c r="F36" s="49">
        <f>資料儲存!H1948</f>
        <v>0</v>
      </c>
      <c r="G36" s="49">
        <f>資料儲存!I1948</f>
        <v>0</v>
      </c>
      <c r="H36" s="49">
        <f>資料儲存!J1948</f>
        <v>0</v>
      </c>
      <c r="I36" s="52"/>
      <c r="J36" s="68">
        <v>27</v>
      </c>
      <c r="K36" s="49">
        <f>資料儲存!D2068</f>
        <v>0</v>
      </c>
      <c r="L36" s="49">
        <f>資料儲存!E2068</f>
        <v>0</v>
      </c>
      <c r="M36" s="49">
        <f>資料儲存!F2068</f>
        <v>0</v>
      </c>
      <c r="N36" s="49">
        <f>資料儲存!G2068</f>
        <v>0</v>
      </c>
      <c r="O36" s="49">
        <f>資料儲存!H2068</f>
        <v>0</v>
      </c>
      <c r="P36" s="49">
        <f>資料儲存!I2068</f>
        <v>0</v>
      </c>
      <c r="Q36" s="49">
        <f>資料儲存!J2068</f>
        <v>0</v>
      </c>
      <c r="R36" s="52"/>
      <c r="S36" s="68">
        <v>27</v>
      </c>
      <c r="T36" s="49">
        <f>資料儲存!D2188</f>
        <v>0</v>
      </c>
      <c r="U36" s="49">
        <f>資料儲存!E2188</f>
        <v>0</v>
      </c>
      <c r="V36" s="49">
        <f>資料儲存!F2188</f>
        <v>0</v>
      </c>
      <c r="W36" s="49">
        <f>資料儲存!G2188</f>
        <v>0</v>
      </c>
      <c r="X36" s="49">
        <f>資料儲存!H2188</f>
        <v>0</v>
      </c>
      <c r="Y36" s="49">
        <f>資料儲存!I2188</f>
        <v>0</v>
      </c>
      <c r="Z36" s="49">
        <f>資料儲存!J2188</f>
        <v>0</v>
      </c>
      <c r="AA36" s="52"/>
      <c r="AB36" s="68">
        <v>27</v>
      </c>
      <c r="AC36" s="49">
        <f>資料儲存!D2308</f>
        <v>0</v>
      </c>
      <c r="AD36" s="49">
        <f>資料儲存!E2308</f>
        <v>0</v>
      </c>
      <c r="AE36" s="49">
        <f>資料儲存!F2308</f>
        <v>0</v>
      </c>
      <c r="AF36" s="49">
        <f>資料儲存!G2308</f>
        <v>0</v>
      </c>
      <c r="AG36" s="49">
        <f>資料儲存!H2308</f>
        <v>0</v>
      </c>
      <c r="AH36" s="49">
        <f>資料儲存!I2308</f>
        <v>0</v>
      </c>
      <c r="AI36" s="49">
        <f>資料儲存!J2308</f>
        <v>0</v>
      </c>
      <c r="AJ36" s="52"/>
    </row>
    <row r="37" spans="1:36" ht="16" thickBot="1">
      <c r="A37" s="68">
        <v>28</v>
      </c>
      <c r="B37" s="49">
        <f>資料儲存!D1949</f>
        <v>0</v>
      </c>
      <c r="C37" s="49">
        <f>資料儲存!E1949</f>
        <v>0</v>
      </c>
      <c r="D37" s="49">
        <f>資料儲存!F1949</f>
        <v>0</v>
      </c>
      <c r="E37" s="49">
        <f>資料儲存!G1949</f>
        <v>0</v>
      </c>
      <c r="F37" s="49">
        <f>資料儲存!H1949</f>
        <v>0</v>
      </c>
      <c r="G37" s="49">
        <f>資料儲存!I1949</f>
        <v>0</v>
      </c>
      <c r="H37" s="49">
        <f>資料儲存!J1949</f>
        <v>0</v>
      </c>
      <c r="I37" s="52"/>
      <c r="J37" s="68">
        <v>28</v>
      </c>
      <c r="K37" s="49">
        <f>資料儲存!D2069</f>
        <v>0</v>
      </c>
      <c r="L37" s="49">
        <f>資料儲存!E2069</f>
        <v>0</v>
      </c>
      <c r="M37" s="49">
        <f>資料儲存!F2069</f>
        <v>0</v>
      </c>
      <c r="N37" s="49">
        <f>資料儲存!G2069</f>
        <v>0</v>
      </c>
      <c r="O37" s="49">
        <f>資料儲存!H2069</f>
        <v>0</v>
      </c>
      <c r="P37" s="49">
        <f>資料儲存!I2069</f>
        <v>0</v>
      </c>
      <c r="Q37" s="49">
        <f>資料儲存!J2069</f>
        <v>0</v>
      </c>
      <c r="R37" s="52"/>
      <c r="S37" s="68">
        <v>28</v>
      </c>
      <c r="T37" s="49">
        <f>資料儲存!D2189</f>
        <v>0</v>
      </c>
      <c r="U37" s="49">
        <f>資料儲存!E2189</f>
        <v>0</v>
      </c>
      <c r="V37" s="49">
        <f>資料儲存!F2189</f>
        <v>0</v>
      </c>
      <c r="W37" s="49">
        <f>資料儲存!G2189</f>
        <v>0</v>
      </c>
      <c r="X37" s="49">
        <f>資料儲存!H2189</f>
        <v>0</v>
      </c>
      <c r="Y37" s="49">
        <f>資料儲存!I2189</f>
        <v>0</v>
      </c>
      <c r="Z37" s="49">
        <f>資料儲存!J2189</f>
        <v>0</v>
      </c>
      <c r="AA37" s="52"/>
      <c r="AB37" s="68">
        <v>28</v>
      </c>
      <c r="AC37" s="49">
        <f>資料儲存!D2309</f>
        <v>0</v>
      </c>
      <c r="AD37" s="49">
        <f>資料儲存!E2309</f>
        <v>0</v>
      </c>
      <c r="AE37" s="49">
        <f>資料儲存!F2309</f>
        <v>0</v>
      </c>
      <c r="AF37" s="49">
        <f>資料儲存!G2309</f>
        <v>0</v>
      </c>
      <c r="AG37" s="49">
        <f>資料儲存!H2309</f>
        <v>0</v>
      </c>
      <c r="AH37" s="49">
        <f>資料儲存!I2309</f>
        <v>0</v>
      </c>
      <c r="AI37" s="49">
        <f>資料儲存!J2309</f>
        <v>0</v>
      </c>
      <c r="AJ37" s="52"/>
    </row>
    <row r="38" spans="1:36" ht="16" thickBot="1">
      <c r="A38" s="68">
        <v>29</v>
      </c>
      <c r="B38" s="49">
        <f>資料儲存!D1950</f>
        <v>0</v>
      </c>
      <c r="C38" s="49">
        <f>資料儲存!E1950</f>
        <v>0</v>
      </c>
      <c r="D38" s="49">
        <f>資料儲存!F1950</f>
        <v>0</v>
      </c>
      <c r="E38" s="49">
        <f>資料儲存!G1950</f>
        <v>0</v>
      </c>
      <c r="F38" s="49">
        <f>資料儲存!H1950</f>
        <v>0</v>
      </c>
      <c r="G38" s="49">
        <f>資料儲存!I1950</f>
        <v>0</v>
      </c>
      <c r="H38" s="49">
        <f>資料儲存!J1950</f>
        <v>0</v>
      </c>
      <c r="I38" s="52"/>
      <c r="J38" s="68">
        <v>29</v>
      </c>
      <c r="K38" s="49">
        <f>資料儲存!D2070</f>
        <v>0</v>
      </c>
      <c r="L38" s="49">
        <f>資料儲存!E2070</f>
        <v>0</v>
      </c>
      <c r="M38" s="49">
        <f>資料儲存!F2070</f>
        <v>0</v>
      </c>
      <c r="N38" s="49">
        <f>資料儲存!G2070</f>
        <v>0</v>
      </c>
      <c r="O38" s="49">
        <f>資料儲存!H2070</f>
        <v>0</v>
      </c>
      <c r="P38" s="49">
        <f>資料儲存!I2070</f>
        <v>0</v>
      </c>
      <c r="Q38" s="49">
        <f>資料儲存!J2070</f>
        <v>0</v>
      </c>
      <c r="R38" s="52"/>
      <c r="S38" s="68">
        <v>29</v>
      </c>
      <c r="T38" s="49">
        <f>資料儲存!D2190</f>
        <v>0</v>
      </c>
      <c r="U38" s="49">
        <f>資料儲存!E2190</f>
        <v>0</v>
      </c>
      <c r="V38" s="49">
        <f>資料儲存!F2190</f>
        <v>0</v>
      </c>
      <c r="W38" s="49">
        <f>資料儲存!G2190</f>
        <v>0</v>
      </c>
      <c r="X38" s="49">
        <f>資料儲存!H2190</f>
        <v>0</v>
      </c>
      <c r="Y38" s="49">
        <f>資料儲存!I2190</f>
        <v>0</v>
      </c>
      <c r="Z38" s="49">
        <f>資料儲存!J2190</f>
        <v>0</v>
      </c>
      <c r="AA38" s="52"/>
      <c r="AB38" s="68">
        <v>29</v>
      </c>
      <c r="AC38" s="49">
        <f>資料儲存!D2310</f>
        <v>0</v>
      </c>
      <c r="AD38" s="49">
        <f>資料儲存!E2310</f>
        <v>0</v>
      </c>
      <c r="AE38" s="49">
        <f>資料儲存!F2310</f>
        <v>0</v>
      </c>
      <c r="AF38" s="49">
        <f>資料儲存!G2310</f>
        <v>0</v>
      </c>
      <c r="AG38" s="49">
        <f>資料儲存!H2310</f>
        <v>0</v>
      </c>
      <c r="AH38" s="49">
        <f>資料儲存!I2310</f>
        <v>0</v>
      </c>
      <c r="AI38" s="49">
        <f>資料儲存!J2310</f>
        <v>0</v>
      </c>
      <c r="AJ38" s="52"/>
    </row>
    <row r="39" spans="1:36" ht="16" thickBot="1">
      <c r="A39" s="68">
        <v>30</v>
      </c>
      <c r="B39" s="49">
        <f>資料儲存!D1951</f>
        <v>0</v>
      </c>
      <c r="C39" s="49">
        <f>資料儲存!E1951</f>
        <v>0</v>
      </c>
      <c r="D39" s="49">
        <f>資料儲存!F1951</f>
        <v>0</v>
      </c>
      <c r="E39" s="49">
        <f>資料儲存!G1951</f>
        <v>0</v>
      </c>
      <c r="F39" s="49">
        <f>資料儲存!H1951</f>
        <v>0</v>
      </c>
      <c r="G39" s="49">
        <f>資料儲存!I1951</f>
        <v>0</v>
      </c>
      <c r="H39" s="49">
        <f>資料儲存!J1951</f>
        <v>0</v>
      </c>
      <c r="I39" s="52"/>
      <c r="J39" s="68">
        <v>30</v>
      </c>
      <c r="K39" s="49">
        <f>資料儲存!D2071</f>
        <v>0</v>
      </c>
      <c r="L39" s="49">
        <f>資料儲存!E2071</f>
        <v>0</v>
      </c>
      <c r="M39" s="49">
        <f>資料儲存!F2071</f>
        <v>0</v>
      </c>
      <c r="N39" s="49">
        <f>資料儲存!G2071</f>
        <v>0</v>
      </c>
      <c r="O39" s="49">
        <f>資料儲存!H2071</f>
        <v>0</v>
      </c>
      <c r="P39" s="49">
        <f>資料儲存!I2071</f>
        <v>0</v>
      </c>
      <c r="Q39" s="49">
        <f>資料儲存!J2071</f>
        <v>0</v>
      </c>
      <c r="R39" s="52"/>
      <c r="S39" s="68">
        <v>30</v>
      </c>
      <c r="T39" s="49">
        <f>資料儲存!D2191</f>
        <v>0</v>
      </c>
      <c r="U39" s="49">
        <f>資料儲存!E2191</f>
        <v>0</v>
      </c>
      <c r="V39" s="49">
        <f>資料儲存!F2191</f>
        <v>0</v>
      </c>
      <c r="W39" s="49">
        <f>資料儲存!G2191</f>
        <v>0</v>
      </c>
      <c r="X39" s="49">
        <f>資料儲存!H2191</f>
        <v>0</v>
      </c>
      <c r="Y39" s="49">
        <f>資料儲存!I2191</f>
        <v>0</v>
      </c>
      <c r="Z39" s="49">
        <f>資料儲存!J2191</f>
        <v>0</v>
      </c>
      <c r="AA39" s="52"/>
      <c r="AB39" s="68">
        <v>30</v>
      </c>
      <c r="AC39" s="49">
        <f>資料儲存!D2311</f>
        <v>0</v>
      </c>
      <c r="AD39" s="49">
        <f>資料儲存!E2311</f>
        <v>0</v>
      </c>
      <c r="AE39" s="49">
        <f>資料儲存!F2311</f>
        <v>0</v>
      </c>
      <c r="AF39" s="49">
        <f>資料儲存!G2311</f>
        <v>0</v>
      </c>
      <c r="AG39" s="49">
        <f>資料儲存!H2311</f>
        <v>0</v>
      </c>
      <c r="AH39" s="49">
        <f>資料儲存!I2311</f>
        <v>0</v>
      </c>
      <c r="AI39" s="49">
        <f>資料儲存!J2311</f>
        <v>0</v>
      </c>
      <c r="AJ39" s="52"/>
    </row>
    <row r="40" spans="1:36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8.5" thickBot="1">
      <c r="A41" s="259" t="s">
        <v>76</v>
      </c>
      <c r="B41" s="260"/>
      <c r="C41" s="260"/>
      <c r="D41" s="260"/>
      <c r="E41" s="260"/>
      <c r="F41" s="260"/>
      <c r="G41" s="260"/>
      <c r="H41" s="261"/>
      <c r="I41" s="14"/>
      <c r="J41" s="259" t="s">
        <v>76</v>
      </c>
      <c r="K41" s="260"/>
      <c r="L41" s="260"/>
      <c r="M41" s="260"/>
      <c r="N41" s="260"/>
      <c r="O41" s="260"/>
      <c r="P41" s="260"/>
      <c r="Q41" s="261"/>
      <c r="R41" s="14"/>
      <c r="S41" s="259" t="s">
        <v>76</v>
      </c>
      <c r="T41" s="260"/>
      <c r="U41" s="260"/>
      <c r="V41" s="260"/>
      <c r="W41" s="260"/>
      <c r="X41" s="260"/>
      <c r="Y41" s="260"/>
      <c r="Z41" s="261"/>
      <c r="AA41" s="14"/>
      <c r="AB41" s="259" t="s">
        <v>76</v>
      </c>
      <c r="AC41" s="260"/>
      <c r="AD41" s="260"/>
      <c r="AE41" s="260"/>
      <c r="AF41" s="260"/>
      <c r="AG41" s="260"/>
      <c r="AH41" s="260"/>
      <c r="AI41" s="261"/>
      <c r="AJ41" s="14"/>
    </row>
    <row r="42" spans="1:36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</row>
    <row r="43" spans="1:36" ht="16" thickBot="1">
      <c r="A43" s="59" t="s">
        <v>77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 t="s">
        <v>77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 t="s">
        <v>77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 t="s">
        <v>77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</row>
    <row r="44" spans="1:36" ht="16" thickBot="1">
      <c r="A44" s="61">
        <v>31</v>
      </c>
      <c r="B44" s="39">
        <f>資料儲存!D1952</f>
        <v>0</v>
      </c>
      <c r="C44" s="39">
        <f>資料儲存!E1952</f>
        <v>0</v>
      </c>
      <c r="D44" s="39">
        <f>資料儲存!F1952</f>
        <v>0</v>
      </c>
      <c r="E44" s="39">
        <f>資料儲存!G1952</f>
        <v>0</v>
      </c>
      <c r="F44" s="39">
        <f>資料儲存!H1952</f>
        <v>0</v>
      </c>
      <c r="G44" s="39">
        <f>資料儲存!I1952</f>
        <v>0</v>
      </c>
      <c r="H44" s="39">
        <f>資料儲存!J1952</f>
        <v>0</v>
      </c>
      <c r="I44" s="58"/>
      <c r="J44" s="61">
        <v>31</v>
      </c>
      <c r="K44" s="39">
        <f>資料儲存!D2072</f>
        <v>0</v>
      </c>
      <c r="L44" s="39">
        <f>資料儲存!E2072</f>
        <v>0</v>
      </c>
      <c r="M44" s="39">
        <f>資料儲存!F2072</f>
        <v>0</v>
      </c>
      <c r="N44" s="39">
        <f>資料儲存!G2072</f>
        <v>0</v>
      </c>
      <c r="O44" s="39">
        <f>資料儲存!H2072</f>
        <v>0</v>
      </c>
      <c r="P44" s="39">
        <f>資料儲存!I2072</f>
        <v>0</v>
      </c>
      <c r="Q44" s="39">
        <f>資料儲存!J2072</f>
        <v>0</v>
      </c>
      <c r="R44" s="58"/>
      <c r="S44" s="61">
        <v>31</v>
      </c>
      <c r="T44" s="39">
        <f>資料儲存!D2192</f>
        <v>0</v>
      </c>
      <c r="U44" s="39">
        <f>資料儲存!E2192</f>
        <v>0</v>
      </c>
      <c r="V44" s="39">
        <f>資料儲存!F2192</f>
        <v>0</v>
      </c>
      <c r="W44" s="39">
        <f>資料儲存!G2192</f>
        <v>0</v>
      </c>
      <c r="X44" s="39">
        <f>資料儲存!H2192</f>
        <v>0</v>
      </c>
      <c r="Y44" s="39">
        <f>資料儲存!I2192</f>
        <v>0</v>
      </c>
      <c r="Z44" s="39">
        <f>資料儲存!J2192</f>
        <v>0</v>
      </c>
      <c r="AA44" s="58"/>
      <c r="AB44" s="61">
        <v>31</v>
      </c>
      <c r="AC44" s="39">
        <f>資料儲存!D2312</f>
        <v>0</v>
      </c>
      <c r="AD44" s="39">
        <f>資料儲存!E2312</f>
        <v>0</v>
      </c>
      <c r="AE44" s="39">
        <f>資料儲存!F2312</f>
        <v>0</v>
      </c>
      <c r="AF44" s="39">
        <f>資料儲存!G2312</f>
        <v>0</v>
      </c>
      <c r="AG44" s="39">
        <f>資料儲存!H2312</f>
        <v>0</v>
      </c>
      <c r="AH44" s="39">
        <f>資料儲存!I2312</f>
        <v>0</v>
      </c>
      <c r="AI44" s="39">
        <f>資料儲存!J2312</f>
        <v>0</v>
      </c>
      <c r="AJ44" s="58"/>
    </row>
    <row r="45" spans="1:36" ht="16" thickBot="1">
      <c r="A45" s="61">
        <v>32</v>
      </c>
      <c r="B45" s="39">
        <f>資料儲存!D1953</f>
        <v>0</v>
      </c>
      <c r="C45" s="39">
        <f>資料儲存!E1953</f>
        <v>0</v>
      </c>
      <c r="D45" s="39">
        <f>資料儲存!F1953</f>
        <v>0</v>
      </c>
      <c r="E45" s="39">
        <f>資料儲存!G1953</f>
        <v>0</v>
      </c>
      <c r="F45" s="39">
        <f>資料儲存!H1953</f>
        <v>0</v>
      </c>
      <c r="G45" s="39">
        <f>資料儲存!I1953</f>
        <v>0</v>
      </c>
      <c r="H45" s="39">
        <f>資料儲存!J1953</f>
        <v>0</v>
      </c>
      <c r="I45" s="58"/>
      <c r="J45" s="61">
        <v>32</v>
      </c>
      <c r="K45" s="39">
        <f>資料儲存!D2073</f>
        <v>0</v>
      </c>
      <c r="L45" s="39">
        <f>資料儲存!E2073</f>
        <v>0</v>
      </c>
      <c r="M45" s="39">
        <f>資料儲存!F2073</f>
        <v>0</v>
      </c>
      <c r="N45" s="39">
        <f>資料儲存!G2073</f>
        <v>0</v>
      </c>
      <c r="O45" s="39">
        <f>資料儲存!H2073</f>
        <v>0</v>
      </c>
      <c r="P45" s="39">
        <f>資料儲存!I2073</f>
        <v>0</v>
      </c>
      <c r="Q45" s="39">
        <f>資料儲存!J2073</f>
        <v>0</v>
      </c>
      <c r="R45" s="58"/>
      <c r="S45" s="61">
        <v>32</v>
      </c>
      <c r="T45" s="39">
        <f>資料儲存!D2193</f>
        <v>0</v>
      </c>
      <c r="U45" s="39">
        <f>資料儲存!E2193</f>
        <v>0</v>
      </c>
      <c r="V45" s="39">
        <f>資料儲存!F2193</f>
        <v>0</v>
      </c>
      <c r="W45" s="39">
        <f>資料儲存!G2193</f>
        <v>0</v>
      </c>
      <c r="X45" s="39">
        <f>資料儲存!H2193</f>
        <v>0</v>
      </c>
      <c r="Y45" s="39">
        <f>資料儲存!I2193</f>
        <v>0</v>
      </c>
      <c r="Z45" s="39">
        <f>資料儲存!J2193</f>
        <v>0</v>
      </c>
      <c r="AA45" s="58"/>
      <c r="AB45" s="61">
        <v>32</v>
      </c>
      <c r="AC45" s="39">
        <f>資料儲存!D2313</f>
        <v>0</v>
      </c>
      <c r="AD45" s="39">
        <f>資料儲存!E2313</f>
        <v>0</v>
      </c>
      <c r="AE45" s="39">
        <f>資料儲存!F2313</f>
        <v>0</v>
      </c>
      <c r="AF45" s="39">
        <f>資料儲存!G2313</f>
        <v>0</v>
      </c>
      <c r="AG45" s="39">
        <f>資料儲存!H2313</f>
        <v>0</v>
      </c>
      <c r="AH45" s="39">
        <f>資料儲存!I2313</f>
        <v>0</v>
      </c>
      <c r="AI45" s="39">
        <f>資料儲存!J2313</f>
        <v>0</v>
      </c>
      <c r="AJ45" s="58"/>
    </row>
    <row r="46" spans="1:36" ht="16" thickBot="1">
      <c r="A46" s="61">
        <v>33</v>
      </c>
      <c r="B46" s="39">
        <f>資料儲存!D1954</f>
        <v>0</v>
      </c>
      <c r="C46" s="39">
        <f>資料儲存!E1954</f>
        <v>0</v>
      </c>
      <c r="D46" s="39">
        <f>資料儲存!F1954</f>
        <v>0</v>
      </c>
      <c r="E46" s="39">
        <f>資料儲存!G1954</f>
        <v>0</v>
      </c>
      <c r="F46" s="39">
        <f>資料儲存!H1954</f>
        <v>0</v>
      </c>
      <c r="G46" s="39">
        <f>資料儲存!I1954</f>
        <v>0</v>
      </c>
      <c r="H46" s="39">
        <f>資料儲存!J1954</f>
        <v>0</v>
      </c>
      <c r="I46" s="58"/>
      <c r="J46" s="61">
        <v>33</v>
      </c>
      <c r="K46" s="39">
        <f>資料儲存!D2074</f>
        <v>0</v>
      </c>
      <c r="L46" s="39">
        <f>資料儲存!E2074</f>
        <v>0</v>
      </c>
      <c r="M46" s="39">
        <f>資料儲存!F2074</f>
        <v>0</v>
      </c>
      <c r="N46" s="39">
        <f>資料儲存!G2074</f>
        <v>0</v>
      </c>
      <c r="O46" s="39">
        <f>資料儲存!H2074</f>
        <v>0</v>
      </c>
      <c r="P46" s="39">
        <f>資料儲存!I2074</f>
        <v>0</v>
      </c>
      <c r="Q46" s="39">
        <f>資料儲存!J2074</f>
        <v>0</v>
      </c>
      <c r="R46" s="58"/>
      <c r="S46" s="61">
        <v>33</v>
      </c>
      <c r="T46" s="39">
        <f>資料儲存!D2194</f>
        <v>0</v>
      </c>
      <c r="U46" s="39">
        <f>資料儲存!E2194</f>
        <v>0</v>
      </c>
      <c r="V46" s="39">
        <f>資料儲存!F2194</f>
        <v>0</v>
      </c>
      <c r="W46" s="39">
        <f>資料儲存!G2194</f>
        <v>0</v>
      </c>
      <c r="X46" s="39">
        <f>資料儲存!H2194</f>
        <v>0</v>
      </c>
      <c r="Y46" s="39">
        <f>資料儲存!I2194</f>
        <v>0</v>
      </c>
      <c r="Z46" s="39">
        <f>資料儲存!J2194</f>
        <v>0</v>
      </c>
      <c r="AA46" s="58"/>
      <c r="AB46" s="61">
        <v>33</v>
      </c>
      <c r="AC46" s="39">
        <f>資料儲存!D2314</f>
        <v>0</v>
      </c>
      <c r="AD46" s="39">
        <f>資料儲存!E2314</f>
        <v>0</v>
      </c>
      <c r="AE46" s="39">
        <f>資料儲存!F2314</f>
        <v>0</v>
      </c>
      <c r="AF46" s="39">
        <f>資料儲存!G2314</f>
        <v>0</v>
      </c>
      <c r="AG46" s="39">
        <f>資料儲存!H2314</f>
        <v>0</v>
      </c>
      <c r="AH46" s="39">
        <f>資料儲存!I2314</f>
        <v>0</v>
      </c>
      <c r="AI46" s="39">
        <f>資料儲存!J2314</f>
        <v>0</v>
      </c>
      <c r="AJ46" s="58"/>
    </row>
    <row r="47" spans="1:36" ht="16" thickBot="1">
      <c r="A47" s="61">
        <v>34</v>
      </c>
      <c r="B47" s="39">
        <f>資料儲存!D1955</f>
        <v>0</v>
      </c>
      <c r="C47" s="39">
        <f>資料儲存!E1955</f>
        <v>0</v>
      </c>
      <c r="D47" s="39">
        <f>資料儲存!F1955</f>
        <v>0</v>
      </c>
      <c r="E47" s="39">
        <f>資料儲存!G1955</f>
        <v>0</v>
      </c>
      <c r="F47" s="39">
        <f>資料儲存!H1955</f>
        <v>0</v>
      </c>
      <c r="G47" s="39">
        <f>資料儲存!I1955</f>
        <v>0</v>
      </c>
      <c r="H47" s="39">
        <f>資料儲存!J1955</f>
        <v>0</v>
      </c>
      <c r="I47" s="58"/>
      <c r="J47" s="61">
        <v>34</v>
      </c>
      <c r="K47" s="39">
        <f>資料儲存!D2075</f>
        <v>0</v>
      </c>
      <c r="L47" s="39">
        <f>資料儲存!E2075</f>
        <v>0</v>
      </c>
      <c r="M47" s="39">
        <f>資料儲存!F2075</f>
        <v>0</v>
      </c>
      <c r="N47" s="39">
        <f>資料儲存!G2075</f>
        <v>0</v>
      </c>
      <c r="O47" s="39">
        <f>資料儲存!H2075</f>
        <v>0</v>
      </c>
      <c r="P47" s="39">
        <f>資料儲存!I2075</f>
        <v>0</v>
      </c>
      <c r="Q47" s="39">
        <f>資料儲存!J2075</f>
        <v>0</v>
      </c>
      <c r="R47" s="58"/>
      <c r="S47" s="61">
        <v>34</v>
      </c>
      <c r="T47" s="39">
        <f>資料儲存!D2195</f>
        <v>0</v>
      </c>
      <c r="U47" s="39">
        <f>資料儲存!E2195</f>
        <v>0</v>
      </c>
      <c r="V47" s="39">
        <f>資料儲存!F2195</f>
        <v>0</v>
      </c>
      <c r="W47" s="39">
        <f>資料儲存!G2195</f>
        <v>0</v>
      </c>
      <c r="X47" s="39">
        <f>資料儲存!H2195</f>
        <v>0</v>
      </c>
      <c r="Y47" s="39">
        <f>資料儲存!I2195</f>
        <v>0</v>
      </c>
      <c r="Z47" s="39">
        <f>資料儲存!J2195</f>
        <v>0</v>
      </c>
      <c r="AA47" s="58"/>
      <c r="AB47" s="61">
        <v>34</v>
      </c>
      <c r="AC47" s="39">
        <f>資料儲存!D2315</f>
        <v>0</v>
      </c>
      <c r="AD47" s="39">
        <f>資料儲存!E2315</f>
        <v>0</v>
      </c>
      <c r="AE47" s="39">
        <f>資料儲存!F2315</f>
        <v>0</v>
      </c>
      <c r="AF47" s="39">
        <f>資料儲存!G2315</f>
        <v>0</v>
      </c>
      <c r="AG47" s="39">
        <f>資料儲存!H2315</f>
        <v>0</v>
      </c>
      <c r="AH47" s="39">
        <f>資料儲存!I2315</f>
        <v>0</v>
      </c>
      <c r="AI47" s="39">
        <f>資料儲存!J2315</f>
        <v>0</v>
      </c>
      <c r="AJ47" s="58"/>
    </row>
    <row r="48" spans="1:36" ht="16" thickBot="1">
      <c r="A48" s="61">
        <v>35</v>
      </c>
      <c r="B48" s="39">
        <f>資料儲存!D1956</f>
        <v>0</v>
      </c>
      <c r="C48" s="39">
        <f>資料儲存!E1956</f>
        <v>0</v>
      </c>
      <c r="D48" s="39">
        <f>資料儲存!F1956</f>
        <v>0</v>
      </c>
      <c r="E48" s="39">
        <f>資料儲存!G1956</f>
        <v>0</v>
      </c>
      <c r="F48" s="39">
        <f>資料儲存!H1956</f>
        <v>0</v>
      </c>
      <c r="G48" s="39">
        <f>資料儲存!I1956</f>
        <v>0</v>
      </c>
      <c r="H48" s="39">
        <f>資料儲存!J1956</f>
        <v>0</v>
      </c>
      <c r="I48" s="58"/>
      <c r="J48" s="61">
        <v>35</v>
      </c>
      <c r="K48" s="39">
        <f>資料儲存!D2076</f>
        <v>0</v>
      </c>
      <c r="L48" s="39">
        <f>資料儲存!E2076</f>
        <v>0</v>
      </c>
      <c r="M48" s="39">
        <f>資料儲存!F2076</f>
        <v>0</v>
      </c>
      <c r="N48" s="39">
        <f>資料儲存!G2076</f>
        <v>0</v>
      </c>
      <c r="O48" s="39">
        <f>資料儲存!H2076</f>
        <v>0</v>
      </c>
      <c r="P48" s="39">
        <f>資料儲存!I2076</f>
        <v>0</v>
      </c>
      <c r="Q48" s="39">
        <f>資料儲存!J2076</f>
        <v>0</v>
      </c>
      <c r="R48" s="58"/>
      <c r="S48" s="61">
        <v>35</v>
      </c>
      <c r="T48" s="39">
        <f>資料儲存!D2196</f>
        <v>0</v>
      </c>
      <c r="U48" s="39">
        <f>資料儲存!E2196</f>
        <v>0</v>
      </c>
      <c r="V48" s="39">
        <f>資料儲存!F2196</f>
        <v>0</v>
      </c>
      <c r="W48" s="39">
        <f>資料儲存!G2196</f>
        <v>0</v>
      </c>
      <c r="X48" s="39">
        <f>資料儲存!H2196</f>
        <v>0</v>
      </c>
      <c r="Y48" s="39">
        <f>資料儲存!I2196</f>
        <v>0</v>
      </c>
      <c r="Z48" s="39">
        <f>資料儲存!J2196</f>
        <v>0</v>
      </c>
      <c r="AA48" s="58"/>
      <c r="AB48" s="61">
        <v>35</v>
      </c>
      <c r="AC48" s="39">
        <f>資料儲存!D2316</f>
        <v>0</v>
      </c>
      <c r="AD48" s="39">
        <f>資料儲存!E2316</f>
        <v>0</v>
      </c>
      <c r="AE48" s="39">
        <f>資料儲存!F2316</f>
        <v>0</v>
      </c>
      <c r="AF48" s="39">
        <f>資料儲存!G2316</f>
        <v>0</v>
      </c>
      <c r="AG48" s="39">
        <f>資料儲存!H2316</f>
        <v>0</v>
      </c>
      <c r="AH48" s="39">
        <f>資料儲存!I2316</f>
        <v>0</v>
      </c>
      <c r="AI48" s="39">
        <f>資料儲存!J2316</f>
        <v>0</v>
      </c>
      <c r="AJ48" s="58"/>
    </row>
    <row r="49" spans="1:36" ht="16" thickBot="1">
      <c r="A49" s="61">
        <v>36</v>
      </c>
      <c r="B49" s="39">
        <f>資料儲存!D1957</f>
        <v>0</v>
      </c>
      <c r="C49" s="39">
        <f>資料儲存!E1957</f>
        <v>0</v>
      </c>
      <c r="D49" s="39">
        <f>資料儲存!F1957</f>
        <v>0</v>
      </c>
      <c r="E49" s="39">
        <f>資料儲存!G1957</f>
        <v>0</v>
      </c>
      <c r="F49" s="39">
        <f>資料儲存!H1957</f>
        <v>0</v>
      </c>
      <c r="G49" s="39">
        <f>資料儲存!I1957</f>
        <v>0</v>
      </c>
      <c r="H49" s="39">
        <f>資料儲存!J1957</f>
        <v>0</v>
      </c>
      <c r="I49" s="58"/>
      <c r="J49" s="61">
        <v>36</v>
      </c>
      <c r="K49" s="39">
        <f>資料儲存!D2077</f>
        <v>0</v>
      </c>
      <c r="L49" s="39">
        <f>資料儲存!E2077</f>
        <v>0</v>
      </c>
      <c r="M49" s="39">
        <f>資料儲存!F2077</f>
        <v>0</v>
      </c>
      <c r="N49" s="39">
        <f>資料儲存!G2077</f>
        <v>0</v>
      </c>
      <c r="O49" s="39">
        <f>資料儲存!H2077</f>
        <v>0</v>
      </c>
      <c r="P49" s="39">
        <f>資料儲存!I2077</f>
        <v>0</v>
      </c>
      <c r="Q49" s="39">
        <f>資料儲存!J2077</f>
        <v>0</v>
      </c>
      <c r="R49" s="58"/>
      <c r="S49" s="61">
        <v>36</v>
      </c>
      <c r="T49" s="39">
        <f>資料儲存!D2197</f>
        <v>0</v>
      </c>
      <c r="U49" s="39">
        <f>資料儲存!E2197</f>
        <v>0</v>
      </c>
      <c r="V49" s="39">
        <f>資料儲存!F2197</f>
        <v>0</v>
      </c>
      <c r="W49" s="39">
        <f>資料儲存!G2197</f>
        <v>0</v>
      </c>
      <c r="X49" s="39">
        <f>資料儲存!H2197</f>
        <v>0</v>
      </c>
      <c r="Y49" s="39">
        <f>資料儲存!I2197</f>
        <v>0</v>
      </c>
      <c r="Z49" s="39">
        <f>資料儲存!J2197</f>
        <v>0</v>
      </c>
      <c r="AA49" s="58"/>
      <c r="AB49" s="61">
        <v>36</v>
      </c>
      <c r="AC49" s="39">
        <f>資料儲存!D2317</f>
        <v>0</v>
      </c>
      <c r="AD49" s="39">
        <f>資料儲存!E2317</f>
        <v>0</v>
      </c>
      <c r="AE49" s="39">
        <f>資料儲存!F2317</f>
        <v>0</v>
      </c>
      <c r="AF49" s="39">
        <f>資料儲存!G2317</f>
        <v>0</v>
      </c>
      <c r="AG49" s="39">
        <f>資料儲存!H2317</f>
        <v>0</v>
      </c>
      <c r="AH49" s="39">
        <f>資料儲存!I2317</f>
        <v>0</v>
      </c>
      <c r="AI49" s="39">
        <f>資料儲存!J2317</f>
        <v>0</v>
      </c>
      <c r="AJ49" s="58"/>
    </row>
    <row r="50" spans="1:36" ht="16" thickBot="1">
      <c r="A50" s="61">
        <v>37</v>
      </c>
      <c r="B50" s="39">
        <f>資料儲存!D1958</f>
        <v>0</v>
      </c>
      <c r="C50" s="39">
        <f>資料儲存!E1958</f>
        <v>0</v>
      </c>
      <c r="D50" s="39">
        <f>資料儲存!F1958</f>
        <v>0</v>
      </c>
      <c r="E50" s="39">
        <f>資料儲存!G1958</f>
        <v>0</v>
      </c>
      <c r="F50" s="39">
        <f>資料儲存!H1958</f>
        <v>0</v>
      </c>
      <c r="G50" s="39">
        <f>資料儲存!I1958</f>
        <v>0</v>
      </c>
      <c r="H50" s="39">
        <f>資料儲存!J1958</f>
        <v>0</v>
      </c>
      <c r="I50" s="58"/>
      <c r="J50" s="61">
        <v>37</v>
      </c>
      <c r="K50" s="39">
        <f>資料儲存!D2078</f>
        <v>0</v>
      </c>
      <c r="L50" s="39">
        <f>資料儲存!E2078</f>
        <v>0</v>
      </c>
      <c r="M50" s="39">
        <f>資料儲存!F2078</f>
        <v>0</v>
      </c>
      <c r="N50" s="39">
        <f>資料儲存!G2078</f>
        <v>0</v>
      </c>
      <c r="O50" s="39">
        <f>資料儲存!H2078</f>
        <v>0</v>
      </c>
      <c r="P50" s="39">
        <f>資料儲存!I2078</f>
        <v>0</v>
      </c>
      <c r="Q50" s="39">
        <f>資料儲存!J2078</f>
        <v>0</v>
      </c>
      <c r="R50" s="58"/>
      <c r="S50" s="61">
        <v>37</v>
      </c>
      <c r="T50" s="39">
        <f>資料儲存!D2198</f>
        <v>0</v>
      </c>
      <c r="U50" s="39">
        <f>資料儲存!E2198</f>
        <v>0</v>
      </c>
      <c r="V50" s="39">
        <f>資料儲存!F2198</f>
        <v>0</v>
      </c>
      <c r="W50" s="39">
        <f>資料儲存!G2198</f>
        <v>0</v>
      </c>
      <c r="X50" s="39">
        <f>資料儲存!H2198</f>
        <v>0</v>
      </c>
      <c r="Y50" s="39">
        <f>資料儲存!I2198</f>
        <v>0</v>
      </c>
      <c r="Z50" s="39">
        <f>資料儲存!J2198</f>
        <v>0</v>
      </c>
      <c r="AA50" s="58"/>
      <c r="AB50" s="61">
        <v>37</v>
      </c>
      <c r="AC50" s="39">
        <f>資料儲存!D2318</f>
        <v>0</v>
      </c>
      <c r="AD50" s="39">
        <f>資料儲存!E2318</f>
        <v>0</v>
      </c>
      <c r="AE50" s="39">
        <f>資料儲存!F2318</f>
        <v>0</v>
      </c>
      <c r="AF50" s="39">
        <f>資料儲存!G2318</f>
        <v>0</v>
      </c>
      <c r="AG50" s="39">
        <f>資料儲存!H2318</f>
        <v>0</v>
      </c>
      <c r="AH50" s="39">
        <f>資料儲存!I2318</f>
        <v>0</v>
      </c>
      <c r="AI50" s="39">
        <f>資料儲存!J2318</f>
        <v>0</v>
      </c>
      <c r="AJ50" s="58"/>
    </row>
    <row r="51" spans="1:36" ht="16" thickBot="1">
      <c r="A51" s="61">
        <v>38</v>
      </c>
      <c r="B51" s="39">
        <f>資料儲存!D1959</f>
        <v>0</v>
      </c>
      <c r="C51" s="39">
        <f>資料儲存!E1959</f>
        <v>0</v>
      </c>
      <c r="D51" s="39">
        <f>資料儲存!F1959</f>
        <v>0</v>
      </c>
      <c r="E51" s="39">
        <f>資料儲存!G1959</f>
        <v>0</v>
      </c>
      <c r="F51" s="39">
        <f>資料儲存!H1959</f>
        <v>0</v>
      </c>
      <c r="G51" s="39">
        <f>資料儲存!I1959</f>
        <v>0</v>
      </c>
      <c r="H51" s="39">
        <f>資料儲存!J1959</f>
        <v>0</v>
      </c>
      <c r="I51" s="58"/>
      <c r="J51" s="61">
        <v>38</v>
      </c>
      <c r="K51" s="39">
        <f>資料儲存!D2079</f>
        <v>0</v>
      </c>
      <c r="L51" s="39">
        <f>資料儲存!E2079</f>
        <v>0</v>
      </c>
      <c r="M51" s="39">
        <f>資料儲存!F2079</f>
        <v>0</v>
      </c>
      <c r="N51" s="39">
        <f>資料儲存!G2079</f>
        <v>0</v>
      </c>
      <c r="O51" s="39">
        <f>資料儲存!H2079</f>
        <v>0</v>
      </c>
      <c r="P51" s="39">
        <f>資料儲存!I2079</f>
        <v>0</v>
      </c>
      <c r="Q51" s="39">
        <f>資料儲存!J2079</f>
        <v>0</v>
      </c>
      <c r="R51" s="58"/>
      <c r="S51" s="61">
        <v>38</v>
      </c>
      <c r="T51" s="39">
        <f>資料儲存!D2199</f>
        <v>0</v>
      </c>
      <c r="U51" s="39">
        <f>資料儲存!E2199</f>
        <v>0</v>
      </c>
      <c r="V51" s="39">
        <f>資料儲存!F2199</f>
        <v>0</v>
      </c>
      <c r="W51" s="39">
        <f>資料儲存!G2199</f>
        <v>0</v>
      </c>
      <c r="X51" s="39">
        <f>資料儲存!H2199</f>
        <v>0</v>
      </c>
      <c r="Y51" s="39">
        <f>資料儲存!I2199</f>
        <v>0</v>
      </c>
      <c r="Z51" s="39">
        <f>資料儲存!J2199</f>
        <v>0</v>
      </c>
      <c r="AA51" s="58"/>
      <c r="AB51" s="61">
        <v>38</v>
      </c>
      <c r="AC51" s="39">
        <f>資料儲存!D2319</f>
        <v>0</v>
      </c>
      <c r="AD51" s="39">
        <f>資料儲存!E2319</f>
        <v>0</v>
      </c>
      <c r="AE51" s="39">
        <f>資料儲存!F2319</f>
        <v>0</v>
      </c>
      <c r="AF51" s="39">
        <f>資料儲存!G2319</f>
        <v>0</v>
      </c>
      <c r="AG51" s="39">
        <f>資料儲存!H2319</f>
        <v>0</v>
      </c>
      <c r="AH51" s="39">
        <f>資料儲存!I2319</f>
        <v>0</v>
      </c>
      <c r="AI51" s="39">
        <f>資料儲存!J2319</f>
        <v>0</v>
      </c>
      <c r="AJ51" s="58"/>
    </row>
    <row r="52" spans="1:36" ht="16" thickBot="1">
      <c r="A52" s="61">
        <v>39</v>
      </c>
      <c r="B52" s="39">
        <f>資料儲存!D1960</f>
        <v>0</v>
      </c>
      <c r="C52" s="39">
        <f>資料儲存!E1960</f>
        <v>0</v>
      </c>
      <c r="D52" s="39">
        <f>資料儲存!F1960</f>
        <v>0</v>
      </c>
      <c r="E52" s="39">
        <f>資料儲存!G1960</f>
        <v>0</v>
      </c>
      <c r="F52" s="39">
        <f>資料儲存!H1960</f>
        <v>0</v>
      </c>
      <c r="G52" s="39">
        <f>資料儲存!I1960</f>
        <v>0</v>
      </c>
      <c r="H52" s="39">
        <f>資料儲存!J1960</f>
        <v>0</v>
      </c>
      <c r="I52" s="58"/>
      <c r="J52" s="61">
        <v>39</v>
      </c>
      <c r="K52" s="39">
        <f>資料儲存!D2080</f>
        <v>0</v>
      </c>
      <c r="L52" s="39">
        <f>資料儲存!E2080</f>
        <v>0</v>
      </c>
      <c r="M52" s="39">
        <f>資料儲存!F2080</f>
        <v>0</v>
      </c>
      <c r="N52" s="39">
        <f>資料儲存!G2080</f>
        <v>0</v>
      </c>
      <c r="O52" s="39">
        <f>資料儲存!H2080</f>
        <v>0</v>
      </c>
      <c r="P52" s="39">
        <f>資料儲存!I2080</f>
        <v>0</v>
      </c>
      <c r="Q52" s="39">
        <f>資料儲存!J2080</f>
        <v>0</v>
      </c>
      <c r="R52" s="58"/>
      <c r="S52" s="61">
        <v>39</v>
      </c>
      <c r="T52" s="39">
        <f>資料儲存!D2200</f>
        <v>0</v>
      </c>
      <c r="U52" s="39">
        <f>資料儲存!E2200</f>
        <v>0</v>
      </c>
      <c r="V52" s="39">
        <f>資料儲存!F2200</f>
        <v>0</v>
      </c>
      <c r="W52" s="39">
        <f>資料儲存!G2200</f>
        <v>0</v>
      </c>
      <c r="X52" s="39">
        <f>資料儲存!H2200</f>
        <v>0</v>
      </c>
      <c r="Y52" s="39">
        <f>資料儲存!I2200</f>
        <v>0</v>
      </c>
      <c r="Z52" s="39">
        <f>資料儲存!J2200</f>
        <v>0</v>
      </c>
      <c r="AA52" s="58"/>
      <c r="AB52" s="61">
        <v>39</v>
      </c>
      <c r="AC52" s="39">
        <f>資料儲存!D2320</f>
        <v>0</v>
      </c>
      <c r="AD52" s="39">
        <f>資料儲存!E2320</f>
        <v>0</v>
      </c>
      <c r="AE52" s="39">
        <f>資料儲存!F2320</f>
        <v>0</v>
      </c>
      <c r="AF52" s="39">
        <f>資料儲存!G2320</f>
        <v>0</v>
      </c>
      <c r="AG52" s="39">
        <f>資料儲存!H2320</f>
        <v>0</v>
      </c>
      <c r="AH52" s="39">
        <f>資料儲存!I2320</f>
        <v>0</v>
      </c>
      <c r="AI52" s="39">
        <f>資料儲存!J2320</f>
        <v>0</v>
      </c>
      <c r="AJ52" s="58"/>
    </row>
    <row r="53" spans="1:36" ht="16" thickBot="1">
      <c r="A53" s="61">
        <v>40</v>
      </c>
      <c r="B53" s="39">
        <f>資料儲存!D1961</f>
        <v>0</v>
      </c>
      <c r="C53" s="39">
        <f>資料儲存!E1961</f>
        <v>0</v>
      </c>
      <c r="D53" s="39">
        <f>資料儲存!F1961</f>
        <v>0</v>
      </c>
      <c r="E53" s="39">
        <f>資料儲存!G1961</f>
        <v>0</v>
      </c>
      <c r="F53" s="39">
        <f>資料儲存!H1961</f>
        <v>0</v>
      </c>
      <c r="G53" s="39">
        <f>資料儲存!I1961</f>
        <v>0</v>
      </c>
      <c r="H53" s="39">
        <f>資料儲存!J1961</f>
        <v>0</v>
      </c>
      <c r="I53" s="58"/>
      <c r="J53" s="61">
        <v>40</v>
      </c>
      <c r="K53" s="39">
        <f>資料儲存!D2081</f>
        <v>0</v>
      </c>
      <c r="L53" s="39">
        <f>資料儲存!E2081</f>
        <v>0</v>
      </c>
      <c r="M53" s="39">
        <f>資料儲存!F2081</f>
        <v>0</v>
      </c>
      <c r="N53" s="39">
        <f>資料儲存!G2081</f>
        <v>0</v>
      </c>
      <c r="O53" s="39">
        <f>資料儲存!H2081</f>
        <v>0</v>
      </c>
      <c r="P53" s="39">
        <f>資料儲存!I2081</f>
        <v>0</v>
      </c>
      <c r="Q53" s="39">
        <f>資料儲存!J2081</f>
        <v>0</v>
      </c>
      <c r="R53" s="58"/>
      <c r="S53" s="61">
        <v>40</v>
      </c>
      <c r="T53" s="39">
        <f>資料儲存!D2201</f>
        <v>0</v>
      </c>
      <c r="U53" s="39">
        <f>資料儲存!E2201</f>
        <v>0</v>
      </c>
      <c r="V53" s="39">
        <f>資料儲存!F2201</f>
        <v>0</v>
      </c>
      <c r="W53" s="39">
        <f>資料儲存!G2201</f>
        <v>0</v>
      </c>
      <c r="X53" s="39">
        <f>資料儲存!H2201</f>
        <v>0</v>
      </c>
      <c r="Y53" s="39">
        <f>資料儲存!I2201</f>
        <v>0</v>
      </c>
      <c r="Z53" s="39">
        <f>資料儲存!J2201</f>
        <v>0</v>
      </c>
      <c r="AA53" s="58"/>
      <c r="AB53" s="61">
        <v>40</v>
      </c>
      <c r="AC53" s="39">
        <f>資料儲存!D2321</f>
        <v>0</v>
      </c>
      <c r="AD53" s="39">
        <f>資料儲存!E2321</f>
        <v>0</v>
      </c>
      <c r="AE53" s="39">
        <f>資料儲存!F2321</f>
        <v>0</v>
      </c>
      <c r="AF53" s="39">
        <f>資料儲存!G2321</f>
        <v>0</v>
      </c>
      <c r="AG53" s="39">
        <f>資料儲存!H2321</f>
        <v>0</v>
      </c>
      <c r="AH53" s="39">
        <f>資料儲存!I2321</f>
        <v>0</v>
      </c>
      <c r="AI53" s="39">
        <f>資料儲存!J2321</f>
        <v>0</v>
      </c>
      <c r="AJ53" s="58"/>
    </row>
    <row r="54" spans="1:36" ht="16" thickBot="1">
      <c r="A54" s="61">
        <v>41</v>
      </c>
      <c r="B54" s="39">
        <f>資料儲存!D1962</f>
        <v>0</v>
      </c>
      <c r="C54" s="39">
        <f>資料儲存!E1962</f>
        <v>0</v>
      </c>
      <c r="D54" s="39">
        <f>資料儲存!F1962</f>
        <v>0</v>
      </c>
      <c r="E54" s="39">
        <f>資料儲存!G1962</f>
        <v>0</v>
      </c>
      <c r="F54" s="39">
        <f>資料儲存!H1962</f>
        <v>0</v>
      </c>
      <c r="G54" s="39">
        <f>資料儲存!I1962</f>
        <v>0</v>
      </c>
      <c r="H54" s="39">
        <f>資料儲存!J1962</f>
        <v>0</v>
      </c>
      <c r="I54" s="58"/>
      <c r="J54" s="61">
        <v>41</v>
      </c>
      <c r="K54" s="39">
        <f>資料儲存!D2082</f>
        <v>0</v>
      </c>
      <c r="L54" s="39">
        <f>資料儲存!E2082</f>
        <v>0</v>
      </c>
      <c r="M54" s="39">
        <f>資料儲存!F2082</f>
        <v>0</v>
      </c>
      <c r="N54" s="39">
        <f>資料儲存!G2082</f>
        <v>0</v>
      </c>
      <c r="O54" s="39">
        <f>資料儲存!H2082</f>
        <v>0</v>
      </c>
      <c r="P54" s="39">
        <f>資料儲存!I2082</f>
        <v>0</v>
      </c>
      <c r="Q54" s="39">
        <f>資料儲存!J2082</f>
        <v>0</v>
      </c>
      <c r="R54" s="58"/>
      <c r="S54" s="61">
        <v>41</v>
      </c>
      <c r="T54" s="39">
        <f>資料儲存!D2202</f>
        <v>0</v>
      </c>
      <c r="U54" s="39">
        <f>資料儲存!E2202</f>
        <v>0</v>
      </c>
      <c r="V54" s="39">
        <f>資料儲存!F2202</f>
        <v>0</v>
      </c>
      <c r="W54" s="39">
        <f>資料儲存!G2202</f>
        <v>0</v>
      </c>
      <c r="X54" s="39">
        <f>資料儲存!H2202</f>
        <v>0</v>
      </c>
      <c r="Y54" s="39">
        <f>資料儲存!I2202</f>
        <v>0</v>
      </c>
      <c r="Z54" s="39">
        <f>資料儲存!J2202</f>
        <v>0</v>
      </c>
      <c r="AA54" s="58"/>
      <c r="AB54" s="61">
        <v>41</v>
      </c>
      <c r="AC54" s="39">
        <f>資料儲存!D2322</f>
        <v>0</v>
      </c>
      <c r="AD54" s="39">
        <f>資料儲存!E2322</f>
        <v>0</v>
      </c>
      <c r="AE54" s="39">
        <f>資料儲存!F2322</f>
        <v>0</v>
      </c>
      <c r="AF54" s="39">
        <f>資料儲存!G2322</f>
        <v>0</v>
      </c>
      <c r="AG54" s="39">
        <f>資料儲存!H2322</f>
        <v>0</v>
      </c>
      <c r="AH54" s="39">
        <f>資料儲存!I2322</f>
        <v>0</v>
      </c>
      <c r="AI54" s="39">
        <f>資料儲存!J2322</f>
        <v>0</v>
      </c>
      <c r="AJ54" s="58"/>
    </row>
    <row r="55" spans="1:36" ht="16" thickBot="1">
      <c r="A55" s="61">
        <v>42</v>
      </c>
      <c r="B55" s="39">
        <f>資料儲存!D1963</f>
        <v>0</v>
      </c>
      <c r="C55" s="39">
        <f>資料儲存!E1963</f>
        <v>0</v>
      </c>
      <c r="D55" s="39">
        <f>資料儲存!F1963</f>
        <v>0</v>
      </c>
      <c r="E55" s="39">
        <f>資料儲存!G1963</f>
        <v>0</v>
      </c>
      <c r="F55" s="39">
        <f>資料儲存!H1963</f>
        <v>0</v>
      </c>
      <c r="G55" s="39">
        <f>資料儲存!I1963</f>
        <v>0</v>
      </c>
      <c r="H55" s="39">
        <f>資料儲存!J1963</f>
        <v>0</v>
      </c>
      <c r="I55" s="58"/>
      <c r="J55" s="61">
        <v>42</v>
      </c>
      <c r="K55" s="39">
        <f>資料儲存!D2083</f>
        <v>0</v>
      </c>
      <c r="L55" s="39">
        <f>資料儲存!E2083</f>
        <v>0</v>
      </c>
      <c r="M55" s="39">
        <f>資料儲存!F2083</f>
        <v>0</v>
      </c>
      <c r="N55" s="39">
        <f>資料儲存!G2083</f>
        <v>0</v>
      </c>
      <c r="O55" s="39">
        <f>資料儲存!H2083</f>
        <v>0</v>
      </c>
      <c r="P55" s="39">
        <f>資料儲存!I2083</f>
        <v>0</v>
      </c>
      <c r="Q55" s="39">
        <f>資料儲存!J2083</f>
        <v>0</v>
      </c>
      <c r="R55" s="58"/>
      <c r="S55" s="61">
        <v>42</v>
      </c>
      <c r="T55" s="39">
        <f>資料儲存!D2203</f>
        <v>0</v>
      </c>
      <c r="U55" s="39">
        <f>資料儲存!E2203</f>
        <v>0</v>
      </c>
      <c r="V55" s="39">
        <f>資料儲存!F2203</f>
        <v>0</v>
      </c>
      <c r="W55" s="39">
        <f>資料儲存!G2203</f>
        <v>0</v>
      </c>
      <c r="X55" s="39">
        <f>資料儲存!H2203</f>
        <v>0</v>
      </c>
      <c r="Y55" s="39">
        <f>資料儲存!I2203</f>
        <v>0</v>
      </c>
      <c r="Z55" s="39">
        <f>資料儲存!J2203</f>
        <v>0</v>
      </c>
      <c r="AA55" s="58"/>
      <c r="AB55" s="61">
        <v>42</v>
      </c>
      <c r="AC55" s="39">
        <f>資料儲存!D2323</f>
        <v>0</v>
      </c>
      <c r="AD55" s="39">
        <f>資料儲存!E2323</f>
        <v>0</v>
      </c>
      <c r="AE55" s="39">
        <f>資料儲存!F2323</f>
        <v>0</v>
      </c>
      <c r="AF55" s="39">
        <f>資料儲存!G2323</f>
        <v>0</v>
      </c>
      <c r="AG55" s="39">
        <f>資料儲存!H2323</f>
        <v>0</v>
      </c>
      <c r="AH55" s="39">
        <f>資料儲存!I2323</f>
        <v>0</v>
      </c>
      <c r="AI55" s="39">
        <f>資料儲存!J2323</f>
        <v>0</v>
      </c>
      <c r="AJ55" s="58"/>
    </row>
    <row r="56" spans="1:36" ht="16" thickBot="1">
      <c r="A56" s="61">
        <v>43</v>
      </c>
      <c r="B56" s="39">
        <f>資料儲存!D1964</f>
        <v>0</v>
      </c>
      <c r="C56" s="39">
        <f>資料儲存!E1964</f>
        <v>0</v>
      </c>
      <c r="D56" s="39">
        <f>資料儲存!F1964</f>
        <v>0</v>
      </c>
      <c r="E56" s="39">
        <f>資料儲存!G1964</f>
        <v>0</v>
      </c>
      <c r="F56" s="39">
        <f>資料儲存!H1964</f>
        <v>0</v>
      </c>
      <c r="G56" s="39">
        <f>資料儲存!I1964</f>
        <v>0</v>
      </c>
      <c r="H56" s="39">
        <f>資料儲存!J1964</f>
        <v>0</v>
      </c>
      <c r="I56" s="58"/>
      <c r="J56" s="61">
        <v>43</v>
      </c>
      <c r="K56" s="39">
        <f>資料儲存!D2084</f>
        <v>0</v>
      </c>
      <c r="L56" s="39">
        <f>資料儲存!E2084</f>
        <v>0</v>
      </c>
      <c r="M56" s="39">
        <f>資料儲存!F2084</f>
        <v>0</v>
      </c>
      <c r="N56" s="39">
        <f>資料儲存!G2084</f>
        <v>0</v>
      </c>
      <c r="O56" s="39">
        <f>資料儲存!H2084</f>
        <v>0</v>
      </c>
      <c r="P56" s="39">
        <f>資料儲存!I2084</f>
        <v>0</v>
      </c>
      <c r="Q56" s="39">
        <f>資料儲存!J2084</f>
        <v>0</v>
      </c>
      <c r="R56" s="58"/>
      <c r="S56" s="61">
        <v>43</v>
      </c>
      <c r="T56" s="39">
        <f>資料儲存!D2204</f>
        <v>0</v>
      </c>
      <c r="U56" s="39">
        <f>資料儲存!E2204</f>
        <v>0</v>
      </c>
      <c r="V56" s="39">
        <f>資料儲存!F2204</f>
        <v>0</v>
      </c>
      <c r="W56" s="39">
        <f>資料儲存!G2204</f>
        <v>0</v>
      </c>
      <c r="X56" s="39">
        <f>資料儲存!H2204</f>
        <v>0</v>
      </c>
      <c r="Y56" s="39">
        <f>資料儲存!I2204</f>
        <v>0</v>
      </c>
      <c r="Z56" s="39">
        <f>資料儲存!J2204</f>
        <v>0</v>
      </c>
      <c r="AA56" s="58"/>
      <c r="AB56" s="61">
        <v>43</v>
      </c>
      <c r="AC56" s="39">
        <f>資料儲存!D2324</f>
        <v>0</v>
      </c>
      <c r="AD56" s="39">
        <f>資料儲存!E2324</f>
        <v>0</v>
      </c>
      <c r="AE56" s="39">
        <f>資料儲存!F2324</f>
        <v>0</v>
      </c>
      <c r="AF56" s="39">
        <f>資料儲存!G2324</f>
        <v>0</v>
      </c>
      <c r="AG56" s="39">
        <f>資料儲存!H2324</f>
        <v>0</v>
      </c>
      <c r="AH56" s="39">
        <f>資料儲存!I2324</f>
        <v>0</v>
      </c>
      <c r="AI56" s="39">
        <f>資料儲存!J2324</f>
        <v>0</v>
      </c>
      <c r="AJ56" s="58"/>
    </row>
    <row r="57" spans="1:36" ht="16" thickBot="1">
      <c r="A57" s="61">
        <v>44</v>
      </c>
      <c r="B57" s="39">
        <f>資料儲存!D1965</f>
        <v>0</v>
      </c>
      <c r="C57" s="39">
        <f>資料儲存!E1965</f>
        <v>0</v>
      </c>
      <c r="D57" s="39">
        <f>資料儲存!F1965</f>
        <v>0</v>
      </c>
      <c r="E57" s="39">
        <f>資料儲存!G1965</f>
        <v>0</v>
      </c>
      <c r="F57" s="39">
        <f>資料儲存!H1965</f>
        <v>0</v>
      </c>
      <c r="G57" s="39">
        <f>資料儲存!I1965</f>
        <v>0</v>
      </c>
      <c r="H57" s="39">
        <f>資料儲存!J1965</f>
        <v>0</v>
      </c>
      <c r="I57" s="58"/>
      <c r="J57" s="61">
        <v>44</v>
      </c>
      <c r="K57" s="39">
        <f>資料儲存!D2085</f>
        <v>0</v>
      </c>
      <c r="L57" s="39">
        <f>資料儲存!E2085</f>
        <v>0</v>
      </c>
      <c r="M57" s="39">
        <f>資料儲存!F2085</f>
        <v>0</v>
      </c>
      <c r="N57" s="39">
        <f>資料儲存!G2085</f>
        <v>0</v>
      </c>
      <c r="O57" s="39">
        <f>資料儲存!H2085</f>
        <v>0</v>
      </c>
      <c r="P57" s="39">
        <f>資料儲存!I2085</f>
        <v>0</v>
      </c>
      <c r="Q57" s="39">
        <f>資料儲存!J2085</f>
        <v>0</v>
      </c>
      <c r="R57" s="58"/>
      <c r="S57" s="61">
        <v>44</v>
      </c>
      <c r="T57" s="39">
        <f>資料儲存!D2205</f>
        <v>0</v>
      </c>
      <c r="U57" s="39">
        <f>資料儲存!E2205</f>
        <v>0</v>
      </c>
      <c r="V57" s="39">
        <f>資料儲存!F2205</f>
        <v>0</v>
      </c>
      <c r="W57" s="39">
        <f>資料儲存!G2205</f>
        <v>0</v>
      </c>
      <c r="X57" s="39">
        <f>資料儲存!H2205</f>
        <v>0</v>
      </c>
      <c r="Y57" s="39">
        <f>資料儲存!I2205</f>
        <v>0</v>
      </c>
      <c r="Z57" s="39">
        <f>資料儲存!J2205</f>
        <v>0</v>
      </c>
      <c r="AA57" s="58"/>
      <c r="AB57" s="61">
        <v>44</v>
      </c>
      <c r="AC57" s="39">
        <f>資料儲存!D2325</f>
        <v>0</v>
      </c>
      <c r="AD57" s="39">
        <f>資料儲存!E2325</f>
        <v>0</v>
      </c>
      <c r="AE57" s="39">
        <f>資料儲存!F2325</f>
        <v>0</v>
      </c>
      <c r="AF57" s="39">
        <f>資料儲存!G2325</f>
        <v>0</v>
      </c>
      <c r="AG57" s="39">
        <f>資料儲存!H2325</f>
        <v>0</v>
      </c>
      <c r="AH57" s="39">
        <f>資料儲存!I2325</f>
        <v>0</v>
      </c>
      <c r="AI57" s="39">
        <f>資料儲存!J2325</f>
        <v>0</v>
      </c>
      <c r="AJ57" s="58"/>
    </row>
    <row r="58" spans="1:36" ht="16" thickBot="1">
      <c r="A58" s="61">
        <v>45</v>
      </c>
      <c r="B58" s="39">
        <f>資料儲存!D1966</f>
        <v>0</v>
      </c>
      <c r="C58" s="39">
        <f>資料儲存!E1966</f>
        <v>0</v>
      </c>
      <c r="D58" s="39">
        <f>資料儲存!F1966</f>
        <v>0</v>
      </c>
      <c r="E58" s="39">
        <f>資料儲存!G1966</f>
        <v>0</v>
      </c>
      <c r="F58" s="39">
        <f>資料儲存!H1966</f>
        <v>0</v>
      </c>
      <c r="G58" s="39">
        <f>資料儲存!I1966</f>
        <v>0</v>
      </c>
      <c r="H58" s="39">
        <f>資料儲存!J1966</f>
        <v>0</v>
      </c>
      <c r="I58" s="58"/>
      <c r="J58" s="61">
        <v>45</v>
      </c>
      <c r="K58" s="39">
        <f>資料儲存!D2086</f>
        <v>0</v>
      </c>
      <c r="L58" s="39">
        <f>資料儲存!E2086</f>
        <v>0</v>
      </c>
      <c r="M58" s="39">
        <f>資料儲存!F2086</f>
        <v>0</v>
      </c>
      <c r="N58" s="39">
        <f>資料儲存!G2086</f>
        <v>0</v>
      </c>
      <c r="O58" s="39">
        <f>資料儲存!H2086</f>
        <v>0</v>
      </c>
      <c r="P58" s="39">
        <f>資料儲存!I2086</f>
        <v>0</v>
      </c>
      <c r="Q58" s="39">
        <f>資料儲存!J2086</f>
        <v>0</v>
      </c>
      <c r="R58" s="58"/>
      <c r="S58" s="61">
        <v>45</v>
      </c>
      <c r="T58" s="39">
        <f>資料儲存!D2206</f>
        <v>0</v>
      </c>
      <c r="U58" s="39">
        <f>資料儲存!E2206</f>
        <v>0</v>
      </c>
      <c r="V58" s="39">
        <f>資料儲存!F2206</f>
        <v>0</v>
      </c>
      <c r="W58" s="39">
        <f>資料儲存!G2206</f>
        <v>0</v>
      </c>
      <c r="X58" s="39">
        <f>資料儲存!H2206</f>
        <v>0</v>
      </c>
      <c r="Y58" s="39">
        <f>資料儲存!I2206</f>
        <v>0</v>
      </c>
      <c r="Z58" s="39">
        <f>資料儲存!J2206</f>
        <v>0</v>
      </c>
      <c r="AA58" s="58"/>
      <c r="AB58" s="61">
        <v>45</v>
      </c>
      <c r="AC58" s="39">
        <f>資料儲存!D2326</f>
        <v>0</v>
      </c>
      <c r="AD58" s="39">
        <f>資料儲存!E2326</f>
        <v>0</v>
      </c>
      <c r="AE58" s="39">
        <f>資料儲存!F2326</f>
        <v>0</v>
      </c>
      <c r="AF58" s="39">
        <f>資料儲存!G2326</f>
        <v>0</v>
      </c>
      <c r="AG58" s="39">
        <f>資料儲存!H2326</f>
        <v>0</v>
      </c>
      <c r="AH58" s="39">
        <f>資料儲存!I2326</f>
        <v>0</v>
      </c>
      <c r="AI58" s="39">
        <f>資料儲存!J2326</f>
        <v>0</v>
      </c>
      <c r="AJ58" s="58"/>
    </row>
    <row r="59" spans="1:36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</row>
    <row r="60" spans="1:36" ht="18.5" thickBot="1">
      <c r="A60" s="259" t="s">
        <v>78</v>
      </c>
      <c r="B60" s="260"/>
      <c r="C60" s="260"/>
      <c r="D60" s="260"/>
      <c r="E60" s="260"/>
      <c r="F60" s="260"/>
      <c r="G60" s="260"/>
      <c r="H60" s="261"/>
      <c r="I60" s="14"/>
      <c r="J60" s="259" t="s">
        <v>78</v>
      </c>
      <c r="K60" s="260"/>
      <c r="L60" s="260"/>
      <c r="M60" s="260"/>
      <c r="N60" s="260"/>
      <c r="O60" s="260"/>
      <c r="P60" s="260"/>
      <c r="Q60" s="261"/>
      <c r="R60" s="14"/>
      <c r="S60" s="259" t="s">
        <v>78</v>
      </c>
      <c r="T60" s="260"/>
      <c r="U60" s="260"/>
      <c r="V60" s="260"/>
      <c r="W60" s="260"/>
      <c r="X60" s="260"/>
      <c r="Y60" s="260"/>
      <c r="Z60" s="261"/>
      <c r="AA60" s="14"/>
      <c r="AB60" s="259" t="s">
        <v>78</v>
      </c>
      <c r="AC60" s="260"/>
      <c r="AD60" s="260"/>
      <c r="AE60" s="260"/>
      <c r="AF60" s="260"/>
      <c r="AG60" s="260"/>
      <c r="AH60" s="260"/>
      <c r="AI60" s="261"/>
      <c r="AJ60" s="14"/>
    </row>
    <row r="61" spans="1:36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</row>
    <row r="62" spans="1:36" ht="16" thickBot="1">
      <c r="A62" s="66" t="s">
        <v>79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 t="s">
        <v>79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 t="s">
        <v>79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 t="s">
        <v>79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</row>
    <row r="63" spans="1:36" ht="16" thickBot="1">
      <c r="A63" s="68">
        <v>46</v>
      </c>
      <c r="B63" s="49">
        <f>資料儲存!D1967</f>
        <v>0</v>
      </c>
      <c r="C63" s="49">
        <f>資料儲存!E1967</f>
        <v>0</v>
      </c>
      <c r="D63" s="49">
        <f>資料儲存!F1967</f>
        <v>0</v>
      </c>
      <c r="E63" s="49">
        <f>資料儲存!G1967</f>
        <v>0</v>
      </c>
      <c r="F63" s="49">
        <f>資料儲存!H1967</f>
        <v>0</v>
      </c>
      <c r="G63" s="49">
        <f>資料儲存!I1967</f>
        <v>0</v>
      </c>
      <c r="H63" s="49">
        <f>資料儲存!J1967</f>
        <v>0</v>
      </c>
      <c r="I63" s="52"/>
      <c r="J63" s="68">
        <v>46</v>
      </c>
      <c r="K63" s="49">
        <f>資料儲存!D2087</f>
        <v>0</v>
      </c>
      <c r="L63" s="49">
        <f>資料儲存!E2087</f>
        <v>0</v>
      </c>
      <c r="M63" s="49">
        <f>資料儲存!F2087</f>
        <v>0</v>
      </c>
      <c r="N63" s="49">
        <f>資料儲存!G2087</f>
        <v>0</v>
      </c>
      <c r="O63" s="49">
        <f>資料儲存!H2087</f>
        <v>0</v>
      </c>
      <c r="P63" s="49">
        <f>資料儲存!I2087</f>
        <v>0</v>
      </c>
      <c r="Q63" s="49">
        <f>資料儲存!J2087</f>
        <v>0</v>
      </c>
      <c r="R63" s="52"/>
      <c r="S63" s="68">
        <v>46</v>
      </c>
      <c r="T63" s="49">
        <f>資料儲存!D2207</f>
        <v>0</v>
      </c>
      <c r="U63" s="49">
        <f>資料儲存!E2207</f>
        <v>0</v>
      </c>
      <c r="V63" s="49">
        <f>資料儲存!F2207</f>
        <v>0</v>
      </c>
      <c r="W63" s="49">
        <f>資料儲存!G2207</f>
        <v>0</v>
      </c>
      <c r="X63" s="49">
        <f>資料儲存!H2207</f>
        <v>0</v>
      </c>
      <c r="Y63" s="49">
        <f>資料儲存!I2207</f>
        <v>0</v>
      </c>
      <c r="Z63" s="49">
        <f>資料儲存!J2207</f>
        <v>0</v>
      </c>
      <c r="AA63" s="52"/>
      <c r="AB63" s="68">
        <v>46</v>
      </c>
      <c r="AC63" s="49">
        <f>資料儲存!D2327</f>
        <v>0</v>
      </c>
      <c r="AD63" s="49">
        <f>資料儲存!E2327</f>
        <v>0</v>
      </c>
      <c r="AE63" s="49">
        <f>資料儲存!F2327</f>
        <v>0</v>
      </c>
      <c r="AF63" s="49">
        <f>資料儲存!G2327</f>
        <v>0</v>
      </c>
      <c r="AG63" s="49">
        <f>資料儲存!H2327</f>
        <v>0</v>
      </c>
      <c r="AH63" s="49">
        <f>資料儲存!I2327</f>
        <v>0</v>
      </c>
      <c r="AI63" s="49">
        <f>資料儲存!J2327</f>
        <v>0</v>
      </c>
      <c r="AJ63" s="52"/>
    </row>
    <row r="64" spans="1:36" ht="16" thickBot="1">
      <c r="A64" s="68">
        <v>47</v>
      </c>
      <c r="B64" s="49">
        <f>資料儲存!D1968</f>
        <v>0</v>
      </c>
      <c r="C64" s="49">
        <f>資料儲存!E1968</f>
        <v>0</v>
      </c>
      <c r="D64" s="49">
        <f>資料儲存!F1968</f>
        <v>0</v>
      </c>
      <c r="E64" s="49">
        <f>資料儲存!G1968</f>
        <v>0</v>
      </c>
      <c r="F64" s="49">
        <f>資料儲存!H1968</f>
        <v>0</v>
      </c>
      <c r="G64" s="49">
        <f>資料儲存!I1968</f>
        <v>0</v>
      </c>
      <c r="H64" s="49">
        <f>資料儲存!J1968</f>
        <v>0</v>
      </c>
      <c r="I64" s="52"/>
      <c r="J64" s="68">
        <v>47</v>
      </c>
      <c r="K64" s="49">
        <f>資料儲存!D2088</f>
        <v>0</v>
      </c>
      <c r="L64" s="49">
        <f>資料儲存!E2088</f>
        <v>0</v>
      </c>
      <c r="M64" s="49">
        <f>資料儲存!F2088</f>
        <v>0</v>
      </c>
      <c r="N64" s="49">
        <f>資料儲存!G2088</f>
        <v>0</v>
      </c>
      <c r="O64" s="49">
        <f>資料儲存!H2088</f>
        <v>0</v>
      </c>
      <c r="P64" s="49">
        <f>資料儲存!I2088</f>
        <v>0</v>
      </c>
      <c r="Q64" s="49">
        <f>資料儲存!J2088</f>
        <v>0</v>
      </c>
      <c r="R64" s="52"/>
      <c r="S64" s="68">
        <v>47</v>
      </c>
      <c r="T64" s="49">
        <f>資料儲存!D2208</f>
        <v>0</v>
      </c>
      <c r="U64" s="49">
        <f>資料儲存!E2208</f>
        <v>0</v>
      </c>
      <c r="V64" s="49">
        <f>資料儲存!F2208</f>
        <v>0</v>
      </c>
      <c r="W64" s="49">
        <f>資料儲存!G2208</f>
        <v>0</v>
      </c>
      <c r="X64" s="49">
        <f>資料儲存!H2208</f>
        <v>0</v>
      </c>
      <c r="Y64" s="49">
        <f>資料儲存!I2208</f>
        <v>0</v>
      </c>
      <c r="Z64" s="49">
        <f>資料儲存!J2208</f>
        <v>0</v>
      </c>
      <c r="AA64" s="52"/>
      <c r="AB64" s="68">
        <v>47</v>
      </c>
      <c r="AC64" s="49">
        <f>資料儲存!D2328</f>
        <v>0</v>
      </c>
      <c r="AD64" s="49">
        <f>資料儲存!E2328</f>
        <v>0</v>
      </c>
      <c r="AE64" s="49">
        <f>資料儲存!F2328</f>
        <v>0</v>
      </c>
      <c r="AF64" s="49">
        <f>資料儲存!G2328</f>
        <v>0</v>
      </c>
      <c r="AG64" s="49">
        <f>資料儲存!H2328</f>
        <v>0</v>
      </c>
      <c r="AH64" s="49">
        <f>資料儲存!I2328</f>
        <v>0</v>
      </c>
      <c r="AI64" s="49">
        <f>資料儲存!J2328</f>
        <v>0</v>
      </c>
      <c r="AJ64" s="52"/>
    </row>
    <row r="65" spans="1:36" ht="16" thickBot="1">
      <c r="A65" s="68">
        <v>48</v>
      </c>
      <c r="B65" s="49">
        <f>資料儲存!D1969</f>
        <v>0</v>
      </c>
      <c r="C65" s="49">
        <f>資料儲存!E1969</f>
        <v>0</v>
      </c>
      <c r="D65" s="49">
        <f>資料儲存!F1969</f>
        <v>0</v>
      </c>
      <c r="E65" s="49">
        <f>資料儲存!G1969</f>
        <v>0</v>
      </c>
      <c r="F65" s="49">
        <f>資料儲存!H1969</f>
        <v>0</v>
      </c>
      <c r="G65" s="49">
        <f>資料儲存!I1969</f>
        <v>0</v>
      </c>
      <c r="H65" s="49">
        <f>資料儲存!J1969</f>
        <v>0</v>
      </c>
      <c r="I65" s="52"/>
      <c r="J65" s="68">
        <v>48</v>
      </c>
      <c r="K65" s="49">
        <f>資料儲存!D2089</f>
        <v>0</v>
      </c>
      <c r="L65" s="49">
        <f>資料儲存!E2089</f>
        <v>0</v>
      </c>
      <c r="M65" s="49">
        <f>資料儲存!F2089</f>
        <v>0</v>
      </c>
      <c r="N65" s="49">
        <f>資料儲存!G2089</f>
        <v>0</v>
      </c>
      <c r="O65" s="49">
        <f>資料儲存!H2089</f>
        <v>0</v>
      </c>
      <c r="P65" s="49">
        <f>資料儲存!I2089</f>
        <v>0</v>
      </c>
      <c r="Q65" s="49">
        <f>資料儲存!J2089</f>
        <v>0</v>
      </c>
      <c r="R65" s="52"/>
      <c r="S65" s="68">
        <v>48</v>
      </c>
      <c r="T65" s="49">
        <f>資料儲存!D2209</f>
        <v>0</v>
      </c>
      <c r="U65" s="49">
        <f>資料儲存!E2209</f>
        <v>0</v>
      </c>
      <c r="V65" s="49">
        <f>資料儲存!F2209</f>
        <v>0</v>
      </c>
      <c r="W65" s="49">
        <f>資料儲存!G2209</f>
        <v>0</v>
      </c>
      <c r="X65" s="49">
        <f>資料儲存!H2209</f>
        <v>0</v>
      </c>
      <c r="Y65" s="49">
        <f>資料儲存!I2209</f>
        <v>0</v>
      </c>
      <c r="Z65" s="49">
        <f>資料儲存!J2209</f>
        <v>0</v>
      </c>
      <c r="AA65" s="52"/>
      <c r="AB65" s="68">
        <v>48</v>
      </c>
      <c r="AC65" s="49">
        <f>資料儲存!D2329</f>
        <v>0</v>
      </c>
      <c r="AD65" s="49">
        <f>資料儲存!E2329</f>
        <v>0</v>
      </c>
      <c r="AE65" s="49">
        <f>資料儲存!F2329</f>
        <v>0</v>
      </c>
      <c r="AF65" s="49">
        <f>資料儲存!G2329</f>
        <v>0</v>
      </c>
      <c r="AG65" s="49">
        <f>資料儲存!H2329</f>
        <v>0</v>
      </c>
      <c r="AH65" s="49">
        <f>資料儲存!I2329</f>
        <v>0</v>
      </c>
      <c r="AI65" s="49">
        <f>資料儲存!J2329</f>
        <v>0</v>
      </c>
      <c r="AJ65" s="52"/>
    </row>
    <row r="66" spans="1:36" ht="16" thickBot="1">
      <c r="A66" s="68">
        <v>49</v>
      </c>
      <c r="B66" s="49">
        <f>資料儲存!D1970</f>
        <v>0</v>
      </c>
      <c r="C66" s="49">
        <f>資料儲存!E1970</f>
        <v>0</v>
      </c>
      <c r="D66" s="49">
        <f>資料儲存!F1970</f>
        <v>0</v>
      </c>
      <c r="E66" s="49">
        <f>資料儲存!G1970</f>
        <v>0</v>
      </c>
      <c r="F66" s="49">
        <f>資料儲存!H1970</f>
        <v>0</v>
      </c>
      <c r="G66" s="49">
        <f>資料儲存!I1970</f>
        <v>0</v>
      </c>
      <c r="H66" s="49">
        <f>資料儲存!J1970</f>
        <v>0</v>
      </c>
      <c r="I66" s="52"/>
      <c r="J66" s="68">
        <v>49</v>
      </c>
      <c r="K66" s="49">
        <f>資料儲存!D2090</f>
        <v>0</v>
      </c>
      <c r="L66" s="49">
        <f>資料儲存!E2090</f>
        <v>0</v>
      </c>
      <c r="M66" s="49">
        <f>資料儲存!F2090</f>
        <v>0</v>
      </c>
      <c r="N66" s="49">
        <f>資料儲存!G2090</f>
        <v>0</v>
      </c>
      <c r="O66" s="49">
        <f>資料儲存!H2090</f>
        <v>0</v>
      </c>
      <c r="P66" s="49">
        <f>資料儲存!I2090</f>
        <v>0</v>
      </c>
      <c r="Q66" s="49">
        <f>資料儲存!J2090</f>
        <v>0</v>
      </c>
      <c r="R66" s="52"/>
      <c r="S66" s="68">
        <v>49</v>
      </c>
      <c r="T66" s="49">
        <f>資料儲存!D2210</f>
        <v>0</v>
      </c>
      <c r="U66" s="49">
        <f>資料儲存!E2210</f>
        <v>0</v>
      </c>
      <c r="V66" s="49">
        <f>資料儲存!F2210</f>
        <v>0</v>
      </c>
      <c r="W66" s="49">
        <f>資料儲存!G2210</f>
        <v>0</v>
      </c>
      <c r="X66" s="49">
        <f>資料儲存!H2210</f>
        <v>0</v>
      </c>
      <c r="Y66" s="49">
        <f>資料儲存!I2210</f>
        <v>0</v>
      </c>
      <c r="Z66" s="49">
        <f>資料儲存!J2210</f>
        <v>0</v>
      </c>
      <c r="AA66" s="52"/>
      <c r="AB66" s="68">
        <v>49</v>
      </c>
      <c r="AC66" s="49">
        <f>資料儲存!D2330</f>
        <v>0</v>
      </c>
      <c r="AD66" s="49">
        <f>資料儲存!E2330</f>
        <v>0</v>
      </c>
      <c r="AE66" s="49">
        <f>資料儲存!F2330</f>
        <v>0</v>
      </c>
      <c r="AF66" s="49">
        <f>資料儲存!G2330</f>
        <v>0</v>
      </c>
      <c r="AG66" s="49">
        <f>資料儲存!H2330</f>
        <v>0</v>
      </c>
      <c r="AH66" s="49">
        <f>資料儲存!I2330</f>
        <v>0</v>
      </c>
      <c r="AI66" s="49">
        <f>資料儲存!J2330</f>
        <v>0</v>
      </c>
      <c r="AJ66" s="52"/>
    </row>
    <row r="67" spans="1:36" ht="16" thickBot="1">
      <c r="A67" s="68">
        <v>50</v>
      </c>
      <c r="B67" s="49">
        <f>資料儲存!D1971</f>
        <v>0</v>
      </c>
      <c r="C67" s="49">
        <f>資料儲存!E1971</f>
        <v>0</v>
      </c>
      <c r="D67" s="49">
        <f>資料儲存!F1971</f>
        <v>0</v>
      </c>
      <c r="E67" s="49">
        <f>資料儲存!G1971</f>
        <v>0</v>
      </c>
      <c r="F67" s="49">
        <f>資料儲存!H1971</f>
        <v>0</v>
      </c>
      <c r="G67" s="49">
        <f>資料儲存!I1971</f>
        <v>0</v>
      </c>
      <c r="H67" s="49">
        <f>資料儲存!J1971</f>
        <v>0</v>
      </c>
      <c r="I67" s="52"/>
      <c r="J67" s="68">
        <v>50</v>
      </c>
      <c r="K67" s="49">
        <f>資料儲存!D2091</f>
        <v>0</v>
      </c>
      <c r="L67" s="49">
        <f>資料儲存!E2091</f>
        <v>0</v>
      </c>
      <c r="M67" s="49">
        <f>資料儲存!F2091</f>
        <v>0</v>
      </c>
      <c r="N67" s="49">
        <f>資料儲存!G2091</f>
        <v>0</v>
      </c>
      <c r="O67" s="49">
        <f>資料儲存!H2091</f>
        <v>0</v>
      </c>
      <c r="P67" s="49">
        <f>資料儲存!I2091</f>
        <v>0</v>
      </c>
      <c r="Q67" s="49">
        <f>資料儲存!J2091</f>
        <v>0</v>
      </c>
      <c r="R67" s="52"/>
      <c r="S67" s="68">
        <v>50</v>
      </c>
      <c r="T67" s="49">
        <f>資料儲存!D2211</f>
        <v>0</v>
      </c>
      <c r="U67" s="49">
        <f>資料儲存!E2211</f>
        <v>0</v>
      </c>
      <c r="V67" s="49">
        <f>資料儲存!F2211</f>
        <v>0</v>
      </c>
      <c r="W67" s="49">
        <f>資料儲存!G2211</f>
        <v>0</v>
      </c>
      <c r="X67" s="49">
        <f>資料儲存!H2211</f>
        <v>0</v>
      </c>
      <c r="Y67" s="49">
        <f>資料儲存!I2211</f>
        <v>0</v>
      </c>
      <c r="Z67" s="49">
        <f>資料儲存!J2211</f>
        <v>0</v>
      </c>
      <c r="AA67" s="52"/>
      <c r="AB67" s="68">
        <v>50</v>
      </c>
      <c r="AC67" s="49">
        <f>資料儲存!D2331</f>
        <v>0</v>
      </c>
      <c r="AD67" s="49">
        <f>資料儲存!E2331</f>
        <v>0</v>
      </c>
      <c r="AE67" s="49">
        <f>資料儲存!F2331</f>
        <v>0</v>
      </c>
      <c r="AF67" s="49">
        <f>資料儲存!G2331</f>
        <v>0</v>
      </c>
      <c r="AG67" s="49">
        <f>資料儲存!H2331</f>
        <v>0</v>
      </c>
      <c r="AH67" s="49">
        <f>資料儲存!I2331</f>
        <v>0</v>
      </c>
      <c r="AI67" s="49">
        <f>資料儲存!J2331</f>
        <v>0</v>
      </c>
      <c r="AJ67" s="52"/>
    </row>
    <row r="68" spans="1:36" ht="16" thickBot="1">
      <c r="A68" s="68">
        <v>51</v>
      </c>
      <c r="B68" s="49">
        <f>資料儲存!D1972</f>
        <v>0</v>
      </c>
      <c r="C68" s="49">
        <f>資料儲存!E1972</f>
        <v>0</v>
      </c>
      <c r="D68" s="49">
        <f>資料儲存!F1972</f>
        <v>0</v>
      </c>
      <c r="E68" s="49">
        <f>資料儲存!G1972</f>
        <v>0</v>
      </c>
      <c r="F68" s="49">
        <f>資料儲存!H1972</f>
        <v>0</v>
      </c>
      <c r="G68" s="49">
        <f>資料儲存!I1972</f>
        <v>0</v>
      </c>
      <c r="H68" s="49">
        <f>資料儲存!J1972</f>
        <v>0</v>
      </c>
      <c r="I68" s="52"/>
      <c r="J68" s="68">
        <v>51</v>
      </c>
      <c r="K68" s="49">
        <f>資料儲存!D2092</f>
        <v>0</v>
      </c>
      <c r="L68" s="49">
        <f>資料儲存!E2092</f>
        <v>0</v>
      </c>
      <c r="M68" s="49">
        <f>資料儲存!F2092</f>
        <v>0</v>
      </c>
      <c r="N68" s="49">
        <f>資料儲存!G2092</f>
        <v>0</v>
      </c>
      <c r="O68" s="49">
        <f>資料儲存!H2092</f>
        <v>0</v>
      </c>
      <c r="P68" s="49">
        <f>資料儲存!I2092</f>
        <v>0</v>
      </c>
      <c r="Q68" s="49">
        <f>資料儲存!J2092</f>
        <v>0</v>
      </c>
      <c r="R68" s="52"/>
      <c r="S68" s="68">
        <v>51</v>
      </c>
      <c r="T68" s="49">
        <f>資料儲存!D2212</f>
        <v>0</v>
      </c>
      <c r="U68" s="49">
        <f>資料儲存!E2212</f>
        <v>0</v>
      </c>
      <c r="V68" s="49">
        <f>資料儲存!F2212</f>
        <v>0</v>
      </c>
      <c r="W68" s="49">
        <f>資料儲存!G2212</f>
        <v>0</v>
      </c>
      <c r="X68" s="49">
        <f>資料儲存!H2212</f>
        <v>0</v>
      </c>
      <c r="Y68" s="49">
        <f>資料儲存!I2212</f>
        <v>0</v>
      </c>
      <c r="Z68" s="49">
        <f>資料儲存!J2212</f>
        <v>0</v>
      </c>
      <c r="AA68" s="52"/>
      <c r="AB68" s="68">
        <v>51</v>
      </c>
      <c r="AC68" s="49">
        <f>資料儲存!D2332</f>
        <v>0</v>
      </c>
      <c r="AD68" s="49">
        <f>資料儲存!E2332</f>
        <v>0</v>
      </c>
      <c r="AE68" s="49">
        <f>資料儲存!F2332</f>
        <v>0</v>
      </c>
      <c r="AF68" s="49">
        <f>資料儲存!G2332</f>
        <v>0</v>
      </c>
      <c r="AG68" s="49">
        <f>資料儲存!H2332</f>
        <v>0</v>
      </c>
      <c r="AH68" s="49">
        <f>資料儲存!I2332</f>
        <v>0</v>
      </c>
      <c r="AI68" s="49">
        <f>資料儲存!J2332</f>
        <v>0</v>
      </c>
      <c r="AJ68" s="52"/>
    </row>
    <row r="69" spans="1:36" ht="16" thickBot="1">
      <c r="A69" s="68">
        <v>52</v>
      </c>
      <c r="B69" s="49">
        <f>資料儲存!D1973</f>
        <v>0</v>
      </c>
      <c r="C69" s="49">
        <f>資料儲存!E1973</f>
        <v>0</v>
      </c>
      <c r="D69" s="49">
        <f>資料儲存!F1973</f>
        <v>0</v>
      </c>
      <c r="E69" s="49">
        <f>資料儲存!G1973</f>
        <v>0</v>
      </c>
      <c r="F69" s="49">
        <f>資料儲存!H1973</f>
        <v>0</v>
      </c>
      <c r="G69" s="49">
        <f>資料儲存!I1973</f>
        <v>0</v>
      </c>
      <c r="H69" s="49">
        <f>資料儲存!J1973</f>
        <v>0</v>
      </c>
      <c r="I69" s="52"/>
      <c r="J69" s="68">
        <v>52</v>
      </c>
      <c r="K69" s="49">
        <f>資料儲存!D2093</f>
        <v>0</v>
      </c>
      <c r="L69" s="49">
        <f>資料儲存!E2093</f>
        <v>0</v>
      </c>
      <c r="M69" s="49">
        <f>資料儲存!F2093</f>
        <v>0</v>
      </c>
      <c r="N69" s="49">
        <f>資料儲存!G2093</f>
        <v>0</v>
      </c>
      <c r="O69" s="49">
        <f>資料儲存!H2093</f>
        <v>0</v>
      </c>
      <c r="P69" s="49">
        <f>資料儲存!I2093</f>
        <v>0</v>
      </c>
      <c r="Q69" s="49">
        <f>資料儲存!J2093</f>
        <v>0</v>
      </c>
      <c r="R69" s="52"/>
      <c r="S69" s="68">
        <v>52</v>
      </c>
      <c r="T69" s="49">
        <f>資料儲存!D2213</f>
        <v>0</v>
      </c>
      <c r="U69" s="49">
        <f>資料儲存!E2213</f>
        <v>0</v>
      </c>
      <c r="V69" s="49">
        <f>資料儲存!F2213</f>
        <v>0</v>
      </c>
      <c r="W69" s="49">
        <f>資料儲存!G2213</f>
        <v>0</v>
      </c>
      <c r="X69" s="49">
        <f>資料儲存!H2213</f>
        <v>0</v>
      </c>
      <c r="Y69" s="49">
        <f>資料儲存!I2213</f>
        <v>0</v>
      </c>
      <c r="Z69" s="49">
        <f>資料儲存!J2213</f>
        <v>0</v>
      </c>
      <c r="AA69" s="52"/>
      <c r="AB69" s="68">
        <v>52</v>
      </c>
      <c r="AC69" s="49">
        <f>資料儲存!D2333</f>
        <v>0</v>
      </c>
      <c r="AD69" s="49">
        <f>資料儲存!E2333</f>
        <v>0</v>
      </c>
      <c r="AE69" s="49">
        <f>資料儲存!F2333</f>
        <v>0</v>
      </c>
      <c r="AF69" s="49">
        <f>資料儲存!G2333</f>
        <v>0</v>
      </c>
      <c r="AG69" s="49">
        <f>資料儲存!H2333</f>
        <v>0</v>
      </c>
      <c r="AH69" s="49">
        <f>資料儲存!I2333</f>
        <v>0</v>
      </c>
      <c r="AI69" s="49">
        <f>資料儲存!J2333</f>
        <v>0</v>
      </c>
      <c r="AJ69" s="52"/>
    </row>
    <row r="70" spans="1:36" ht="16" thickBot="1">
      <c r="A70" s="68">
        <v>53</v>
      </c>
      <c r="B70" s="49">
        <f>資料儲存!D1974</f>
        <v>0</v>
      </c>
      <c r="C70" s="49">
        <f>資料儲存!E1974</f>
        <v>0</v>
      </c>
      <c r="D70" s="49">
        <f>資料儲存!F1974</f>
        <v>0</v>
      </c>
      <c r="E70" s="49">
        <f>資料儲存!G1974</f>
        <v>0</v>
      </c>
      <c r="F70" s="49">
        <f>資料儲存!H1974</f>
        <v>0</v>
      </c>
      <c r="G70" s="49">
        <f>資料儲存!I1974</f>
        <v>0</v>
      </c>
      <c r="H70" s="49">
        <f>資料儲存!J1974</f>
        <v>0</v>
      </c>
      <c r="I70" s="52"/>
      <c r="J70" s="68">
        <v>53</v>
      </c>
      <c r="K70" s="49">
        <f>資料儲存!D2094</f>
        <v>0</v>
      </c>
      <c r="L70" s="49">
        <f>資料儲存!E2094</f>
        <v>0</v>
      </c>
      <c r="M70" s="49">
        <f>資料儲存!F2094</f>
        <v>0</v>
      </c>
      <c r="N70" s="49">
        <f>資料儲存!G2094</f>
        <v>0</v>
      </c>
      <c r="O70" s="49">
        <f>資料儲存!H2094</f>
        <v>0</v>
      </c>
      <c r="P70" s="49">
        <f>資料儲存!I2094</f>
        <v>0</v>
      </c>
      <c r="Q70" s="49">
        <f>資料儲存!J2094</f>
        <v>0</v>
      </c>
      <c r="R70" s="52"/>
      <c r="S70" s="68">
        <v>53</v>
      </c>
      <c r="T70" s="49">
        <f>資料儲存!D2214</f>
        <v>0</v>
      </c>
      <c r="U70" s="49">
        <f>資料儲存!E2214</f>
        <v>0</v>
      </c>
      <c r="V70" s="49">
        <f>資料儲存!F2214</f>
        <v>0</v>
      </c>
      <c r="W70" s="49">
        <f>資料儲存!G2214</f>
        <v>0</v>
      </c>
      <c r="X70" s="49">
        <f>資料儲存!H2214</f>
        <v>0</v>
      </c>
      <c r="Y70" s="49">
        <f>資料儲存!I2214</f>
        <v>0</v>
      </c>
      <c r="Z70" s="49">
        <f>資料儲存!J2214</f>
        <v>0</v>
      </c>
      <c r="AA70" s="52"/>
      <c r="AB70" s="68">
        <v>53</v>
      </c>
      <c r="AC70" s="49">
        <f>資料儲存!D2334</f>
        <v>0</v>
      </c>
      <c r="AD70" s="49">
        <f>資料儲存!E2334</f>
        <v>0</v>
      </c>
      <c r="AE70" s="49">
        <f>資料儲存!F2334</f>
        <v>0</v>
      </c>
      <c r="AF70" s="49">
        <f>資料儲存!G2334</f>
        <v>0</v>
      </c>
      <c r="AG70" s="49">
        <f>資料儲存!H2334</f>
        <v>0</v>
      </c>
      <c r="AH70" s="49">
        <f>資料儲存!I2334</f>
        <v>0</v>
      </c>
      <c r="AI70" s="49">
        <f>資料儲存!J2334</f>
        <v>0</v>
      </c>
      <c r="AJ70" s="52"/>
    </row>
    <row r="71" spans="1:36" ht="16" thickBot="1">
      <c r="A71" s="68">
        <v>54</v>
      </c>
      <c r="B71" s="49">
        <f>資料儲存!D1975</f>
        <v>0</v>
      </c>
      <c r="C71" s="49">
        <f>資料儲存!E1975</f>
        <v>0</v>
      </c>
      <c r="D71" s="49">
        <f>資料儲存!F1975</f>
        <v>0</v>
      </c>
      <c r="E71" s="49">
        <f>資料儲存!G1975</f>
        <v>0</v>
      </c>
      <c r="F71" s="49">
        <f>資料儲存!H1975</f>
        <v>0</v>
      </c>
      <c r="G71" s="49">
        <f>資料儲存!I1975</f>
        <v>0</v>
      </c>
      <c r="H71" s="49">
        <f>資料儲存!J1975</f>
        <v>0</v>
      </c>
      <c r="I71" s="52"/>
      <c r="J71" s="68">
        <v>54</v>
      </c>
      <c r="K71" s="49">
        <f>資料儲存!D2095</f>
        <v>0</v>
      </c>
      <c r="L71" s="49">
        <f>資料儲存!E2095</f>
        <v>0</v>
      </c>
      <c r="M71" s="49">
        <f>資料儲存!F2095</f>
        <v>0</v>
      </c>
      <c r="N71" s="49">
        <f>資料儲存!G2095</f>
        <v>0</v>
      </c>
      <c r="O71" s="49">
        <f>資料儲存!H2095</f>
        <v>0</v>
      </c>
      <c r="P71" s="49">
        <f>資料儲存!I2095</f>
        <v>0</v>
      </c>
      <c r="Q71" s="49">
        <f>資料儲存!J2095</f>
        <v>0</v>
      </c>
      <c r="R71" s="52"/>
      <c r="S71" s="68">
        <v>54</v>
      </c>
      <c r="T71" s="49">
        <f>資料儲存!D2215</f>
        <v>0</v>
      </c>
      <c r="U71" s="49">
        <f>資料儲存!E2215</f>
        <v>0</v>
      </c>
      <c r="V71" s="49">
        <f>資料儲存!F2215</f>
        <v>0</v>
      </c>
      <c r="W71" s="49">
        <f>資料儲存!G2215</f>
        <v>0</v>
      </c>
      <c r="X71" s="49">
        <f>資料儲存!H2215</f>
        <v>0</v>
      </c>
      <c r="Y71" s="49">
        <f>資料儲存!I2215</f>
        <v>0</v>
      </c>
      <c r="Z71" s="49">
        <f>資料儲存!J2215</f>
        <v>0</v>
      </c>
      <c r="AA71" s="52"/>
      <c r="AB71" s="68">
        <v>54</v>
      </c>
      <c r="AC71" s="49">
        <f>資料儲存!D2335</f>
        <v>0</v>
      </c>
      <c r="AD71" s="49">
        <f>資料儲存!E2335</f>
        <v>0</v>
      </c>
      <c r="AE71" s="49">
        <f>資料儲存!F2335</f>
        <v>0</v>
      </c>
      <c r="AF71" s="49">
        <f>資料儲存!G2335</f>
        <v>0</v>
      </c>
      <c r="AG71" s="49">
        <f>資料儲存!H2335</f>
        <v>0</v>
      </c>
      <c r="AH71" s="49">
        <f>資料儲存!I2335</f>
        <v>0</v>
      </c>
      <c r="AI71" s="49">
        <f>資料儲存!J2335</f>
        <v>0</v>
      </c>
      <c r="AJ71" s="52"/>
    </row>
    <row r="72" spans="1:36" ht="16" thickBot="1">
      <c r="A72" s="68">
        <v>55</v>
      </c>
      <c r="B72" s="49">
        <f>資料儲存!D1976</f>
        <v>0</v>
      </c>
      <c r="C72" s="49">
        <f>資料儲存!E1976</f>
        <v>0</v>
      </c>
      <c r="D72" s="49">
        <f>資料儲存!F1976</f>
        <v>0</v>
      </c>
      <c r="E72" s="49">
        <f>資料儲存!G1976</f>
        <v>0</v>
      </c>
      <c r="F72" s="49">
        <f>資料儲存!H1976</f>
        <v>0</v>
      </c>
      <c r="G72" s="49">
        <f>資料儲存!I1976</f>
        <v>0</v>
      </c>
      <c r="H72" s="49">
        <f>資料儲存!J1976</f>
        <v>0</v>
      </c>
      <c r="I72" s="52"/>
      <c r="J72" s="68">
        <v>55</v>
      </c>
      <c r="K72" s="49">
        <f>資料儲存!D2096</f>
        <v>0</v>
      </c>
      <c r="L72" s="49">
        <f>資料儲存!E2096</f>
        <v>0</v>
      </c>
      <c r="M72" s="49">
        <f>資料儲存!F2096</f>
        <v>0</v>
      </c>
      <c r="N72" s="49">
        <f>資料儲存!G2096</f>
        <v>0</v>
      </c>
      <c r="O72" s="49">
        <f>資料儲存!H2096</f>
        <v>0</v>
      </c>
      <c r="P72" s="49">
        <f>資料儲存!I2096</f>
        <v>0</v>
      </c>
      <c r="Q72" s="49">
        <f>資料儲存!J2096</f>
        <v>0</v>
      </c>
      <c r="R72" s="52"/>
      <c r="S72" s="68">
        <v>55</v>
      </c>
      <c r="T72" s="49">
        <f>資料儲存!D2216</f>
        <v>0</v>
      </c>
      <c r="U72" s="49">
        <f>資料儲存!E2216</f>
        <v>0</v>
      </c>
      <c r="V72" s="49">
        <f>資料儲存!F2216</f>
        <v>0</v>
      </c>
      <c r="W72" s="49">
        <f>資料儲存!G2216</f>
        <v>0</v>
      </c>
      <c r="X72" s="49">
        <f>資料儲存!H2216</f>
        <v>0</v>
      </c>
      <c r="Y72" s="49">
        <f>資料儲存!I2216</f>
        <v>0</v>
      </c>
      <c r="Z72" s="49">
        <f>資料儲存!J2216</f>
        <v>0</v>
      </c>
      <c r="AA72" s="52"/>
      <c r="AB72" s="68">
        <v>55</v>
      </c>
      <c r="AC72" s="49">
        <f>資料儲存!D2336</f>
        <v>0</v>
      </c>
      <c r="AD72" s="49">
        <f>資料儲存!E2336</f>
        <v>0</v>
      </c>
      <c r="AE72" s="49">
        <f>資料儲存!F2336</f>
        <v>0</v>
      </c>
      <c r="AF72" s="49">
        <f>資料儲存!G2336</f>
        <v>0</v>
      </c>
      <c r="AG72" s="49">
        <f>資料儲存!H2336</f>
        <v>0</v>
      </c>
      <c r="AH72" s="49">
        <f>資料儲存!I2336</f>
        <v>0</v>
      </c>
      <c r="AI72" s="49">
        <f>資料儲存!J2336</f>
        <v>0</v>
      </c>
      <c r="AJ72" s="52"/>
    </row>
    <row r="73" spans="1:36" ht="16" thickBot="1">
      <c r="A73" s="68">
        <v>56</v>
      </c>
      <c r="B73" s="49">
        <f>資料儲存!D1977</f>
        <v>0</v>
      </c>
      <c r="C73" s="49">
        <f>資料儲存!E1977</f>
        <v>0</v>
      </c>
      <c r="D73" s="49">
        <f>資料儲存!F1977</f>
        <v>0</v>
      </c>
      <c r="E73" s="49">
        <f>資料儲存!G1977</f>
        <v>0</v>
      </c>
      <c r="F73" s="49">
        <f>資料儲存!H1977</f>
        <v>0</v>
      </c>
      <c r="G73" s="49">
        <f>資料儲存!I1977</f>
        <v>0</v>
      </c>
      <c r="H73" s="49">
        <f>資料儲存!J1977</f>
        <v>0</v>
      </c>
      <c r="I73" s="52"/>
      <c r="J73" s="68">
        <v>56</v>
      </c>
      <c r="K73" s="49">
        <f>資料儲存!D2097</f>
        <v>0</v>
      </c>
      <c r="L73" s="49">
        <f>資料儲存!E2097</f>
        <v>0</v>
      </c>
      <c r="M73" s="49">
        <f>資料儲存!F2097</f>
        <v>0</v>
      </c>
      <c r="N73" s="49">
        <f>資料儲存!G2097</f>
        <v>0</v>
      </c>
      <c r="O73" s="49">
        <f>資料儲存!H2097</f>
        <v>0</v>
      </c>
      <c r="P73" s="49">
        <f>資料儲存!I2097</f>
        <v>0</v>
      </c>
      <c r="Q73" s="49">
        <f>資料儲存!J2097</f>
        <v>0</v>
      </c>
      <c r="R73" s="52"/>
      <c r="S73" s="68">
        <v>56</v>
      </c>
      <c r="T73" s="49">
        <f>資料儲存!D2217</f>
        <v>0</v>
      </c>
      <c r="U73" s="49">
        <f>資料儲存!E2217</f>
        <v>0</v>
      </c>
      <c r="V73" s="49">
        <f>資料儲存!F2217</f>
        <v>0</v>
      </c>
      <c r="W73" s="49">
        <f>資料儲存!G2217</f>
        <v>0</v>
      </c>
      <c r="X73" s="49">
        <f>資料儲存!H2217</f>
        <v>0</v>
      </c>
      <c r="Y73" s="49">
        <f>資料儲存!I2217</f>
        <v>0</v>
      </c>
      <c r="Z73" s="49">
        <f>資料儲存!J2217</f>
        <v>0</v>
      </c>
      <c r="AA73" s="52"/>
      <c r="AB73" s="68">
        <v>56</v>
      </c>
      <c r="AC73" s="49">
        <f>資料儲存!D2337</f>
        <v>0</v>
      </c>
      <c r="AD73" s="49">
        <f>資料儲存!E2337</f>
        <v>0</v>
      </c>
      <c r="AE73" s="49">
        <f>資料儲存!F2337</f>
        <v>0</v>
      </c>
      <c r="AF73" s="49">
        <f>資料儲存!G2337</f>
        <v>0</v>
      </c>
      <c r="AG73" s="49">
        <f>資料儲存!H2337</f>
        <v>0</v>
      </c>
      <c r="AH73" s="49">
        <f>資料儲存!I2337</f>
        <v>0</v>
      </c>
      <c r="AI73" s="49">
        <f>資料儲存!J2337</f>
        <v>0</v>
      </c>
      <c r="AJ73" s="52"/>
    </row>
    <row r="74" spans="1:36" ht="16" thickBot="1">
      <c r="A74" s="68">
        <v>57</v>
      </c>
      <c r="B74" s="49">
        <f>資料儲存!D1978</f>
        <v>0</v>
      </c>
      <c r="C74" s="49">
        <f>資料儲存!E1978</f>
        <v>0</v>
      </c>
      <c r="D74" s="49">
        <f>資料儲存!F1978</f>
        <v>0</v>
      </c>
      <c r="E74" s="49">
        <f>資料儲存!G1978</f>
        <v>0</v>
      </c>
      <c r="F74" s="49">
        <f>資料儲存!H1978</f>
        <v>0</v>
      </c>
      <c r="G74" s="49">
        <f>資料儲存!I1978</f>
        <v>0</v>
      </c>
      <c r="H74" s="49">
        <f>資料儲存!J1978</f>
        <v>0</v>
      </c>
      <c r="I74" s="52"/>
      <c r="J74" s="68">
        <v>57</v>
      </c>
      <c r="K74" s="49">
        <f>資料儲存!D2098</f>
        <v>0</v>
      </c>
      <c r="L74" s="49">
        <f>資料儲存!E2098</f>
        <v>0</v>
      </c>
      <c r="M74" s="49">
        <f>資料儲存!F2098</f>
        <v>0</v>
      </c>
      <c r="N74" s="49">
        <f>資料儲存!G2098</f>
        <v>0</v>
      </c>
      <c r="O74" s="49">
        <f>資料儲存!H2098</f>
        <v>0</v>
      </c>
      <c r="P74" s="49">
        <f>資料儲存!I2098</f>
        <v>0</v>
      </c>
      <c r="Q74" s="49">
        <f>資料儲存!J2098</f>
        <v>0</v>
      </c>
      <c r="R74" s="52"/>
      <c r="S74" s="68">
        <v>57</v>
      </c>
      <c r="T74" s="49">
        <f>資料儲存!D2218</f>
        <v>0</v>
      </c>
      <c r="U74" s="49">
        <f>資料儲存!E2218</f>
        <v>0</v>
      </c>
      <c r="V74" s="49">
        <f>資料儲存!F2218</f>
        <v>0</v>
      </c>
      <c r="W74" s="49">
        <f>資料儲存!G2218</f>
        <v>0</v>
      </c>
      <c r="X74" s="49">
        <f>資料儲存!H2218</f>
        <v>0</v>
      </c>
      <c r="Y74" s="49">
        <f>資料儲存!I2218</f>
        <v>0</v>
      </c>
      <c r="Z74" s="49">
        <f>資料儲存!J2218</f>
        <v>0</v>
      </c>
      <c r="AA74" s="52"/>
      <c r="AB74" s="68">
        <v>57</v>
      </c>
      <c r="AC74" s="49">
        <f>資料儲存!D2338</f>
        <v>0</v>
      </c>
      <c r="AD74" s="49">
        <f>資料儲存!E2338</f>
        <v>0</v>
      </c>
      <c r="AE74" s="49">
        <f>資料儲存!F2338</f>
        <v>0</v>
      </c>
      <c r="AF74" s="49">
        <f>資料儲存!G2338</f>
        <v>0</v>
      </c>
      <c r="AG74" s="49">
        <f>資料儲存!H2338</f>
        <v>0</v>
      </c>
      <c r="AH74" s="49">
        <f>資料儲存!I2338</f>
        <v>0</v>
      </c>
      <c r="AI74" s="49">
        <f>資料儲存!J2338</f>
        <v>0</v>
      </c>
      <c r="AJ74" s="52"/>
    </row>
    <row r="75" spans="1:36" ht="16" thickBot="1">
      <c r="A75" s="68">
        <v>58</v>
      </c>
      <c r="B75" s="49">
        <f>資料儲存!D1979</f>
        <v>0</v>
      </c>
      <c r="C75" s="49">
        <f>資料儲存!E1979</f>
        <v>0</v>
      </c>
      <c r="D75" s="49">
        <f>資料儲存!F1979</f>
        <v>0</v>
      </c>
      <c r="E75" s="49">
        <f>資料儲存!G1979</f>
        <v>0</v>
      </c>
      <c r="F75" s="49">
        <f>資料儲存!H1979</f>
        <v>0</v>
      </c>
      <c r="G75" s="49">
        <f>資料儲存!I1979</f>
        <v>0</v>
      </c>
      <c r="H75" s="49">
        <f>資料儲存!J1979</f>
        <v>0</v>
      </c>
      <c r="I75" s="52"/>
      <c r="J75" s="68">
        <v>58</v>
      </c>
      <c r="K75" s="49">
        <f>資料儲存!D2099</f>
        <v>0</v>
      </c>
      <c r="L75" s="49">
        <f>資料儲存!E2099</f>
        <v>0</v>
      </c>
      <c r="M75" s="49">
        <f>資料儲存!F2099</f>
        <v>0</v>
      </c>
      <c r="N75" s="49">
        <f>資料儲存!G2099</f>
        <v>0</v>
      </c>
      <c r="O75" s="49">
        <f>資料儲存!H2099</f>
        <v>0</v>
      </c>
      <c r="P75" s="49">
        <f>資料儲存!I2099</f>
        <v>0</v>
      </c>
      <c r="Q75" s="49">
        <f>資料儲存!J2099</f>
        <v>0</v>
      </c>
      <c r="R75" s="52"/>
      <c r="S75" s="68">
        <v>58</v>
      </c>
      <c r="T75" s="49">
        <f>資料儲存!D2219</f>
        <v>0</v>
      </c>
      <c r="U75" s="49">
        <f>資料儲存!E2219</f>
        <v>0</v>
      </c>
      <c r="V75" s="49">
        <f>資料儲存!F2219</f>
        <v>0</v>
      </c>
      <c r="W75" s="49">
        <f>資料儲存!G2219</f>
        <v>0</v>
      </c>
      <c r="X75" s="49">
        <f>資料儲存!H2219</f>
        <v>0</v>
      </c>
      <c r="Y75" s="49">
        <f>資料儲存!I2219</f>
        <v>0</v>
      </c>
      <c r="Z75" s="49">
        <f>資料儲存!J2219</f>
        <v>0</v>
      </c>
      <c r="AA75" s="52"/>
      <c r="AB75" s="68">
        <v>58</v>
      </c>
      <c r="AC75" s="49">
        <f>資料儲存!D2339</f>
        <v>0</v>
      </c>
      <c r="AD75" s="49">
        <f>資料儲存!E2339</f>
        <v>0</v>
      </c>
      <c r="AE75" s="49">
        <f>資料儲存!F2339</f>
        <v>0</v>
      </c>
      <c r="AF75" s="49">
        <f>資料儲存!G2339</f>
        <v>0</v>
      </c>
      <c r="AG75" s="49">
        <f>資料儲存!H2339</f>
        <v>0</v>
      </c>
      <c r="AH75" s="49">
        <f>資料儲存!I2339</f>
        <v>0</v>
      </c>
      <c r="AI75" s="49">
        <f>資料儲存!J2339</f>
        <v>0</v>
      </c>
      <c r="AJ75" s="52"/>
    </row>
    <row r="76" spans="1:36" ht="16" thickBot="1">
      <c r="A76" s="68">
        <v>59</v>
      </c>
      <c r="B76" s="49">
        <f>資料儲存!D1980</f>
        <v>0</v>
      </c>
      <c r="C76" s="49">
        <f>資料儲存!E1980</f>
        <v>0</v>
      </c>
      <c r="D76" s="49">
        <f>資料儲存!F1980</f>
        <v>0</v>
      </c>
      <c r="E76" s="49">
        <f>資料儲存!G1980</f>
        <v>0</v>
      </c>
      <c r="F76" s="49">
        <f>資料儲存!H1980</f>
        <v>0</v>
      </c>
      <c r="G76" s="49">
        <f>資料儲存!I1980</f>
        <v>0</v>
      </c>
      <c r="H76" s="49">
        <f>資料儲存!J1980</f>
        <v>0</v>
      </c>
      <c r="I76" s="52"/>
      <c r="J76" s="68">
        <v>59</v>
      </c>
      <c r="K76" s="49">
        <f>資料儲存!D2100</f>
        <v>0</v>
      </c>
      <c r="L76" s="49">
        <f>資料儲存!E2100</f>
        <v>0</v>
      </c>
      <c r="M76" s="49">
        <f>資料儲存!F2100</f>
        <v>0</v>
      </c>
      <c r="N76" s="49">
        <f>資料儲存!G2100</f>
        <v>0</v>
      </c>
      <c r="O76" s="49">
        <f>資料儲存!H2100</f>
        <v>0</v>
      </c>
      <c r="P76" s="49">
        <f>資料儲存!I2100</f>
        <v>0</v>
      </c>
      <c r="Q76" s="49">
        <f>資料儲存!J2100</f>
        <v>0</v>
      </c>
      <c r="R76" s="52"/>
      <c r="S76" s="68">
        <v>59</v>
      </c>
      <c r="T76" s="49">
        <f>資料儲存!D2220</f>
        <v>0</v>
      </c>
      <c r="U76" s="49">
        <f>資料儲存!E2220</f>
        <v>0</v>
      </c>
      <c r="V76" s="49">
        <f>資料儲存!F2220</f>
        <v>0</v>
      </c>
      <c r="W76" s="49">
        <f>資料儲存!G2220</f>
        <v>0</v>
      </c>
      <c r="X76" s="49">
        <f>資料儲存!H2220</f>
        <v>0</v>
      </c>
      <c r="Y76" s="49">
        <f>資料儲存!I2220</f>
        <v>0</v>
      </c>
      <c r="Z76" s="49">
        <f>資料儲存!J2220</f>
        <v>0</v>
      </c>
      <c r="AA76" s="52"/>
      <c r="AB76" s="68">
        <v>59</v>
      </c>
      <c r="AC76" s="49">
        <f>資料儲存!D2340</f>
        <v>0</v>
      </c>
      <c r="AD76" s="49">
        <f>資料儲存!E2340</f>
        <v>0</v>
      </c>
      <c r="AE76" s="49">
        <f>資料儲存!F2340</f>
        <v>0</v>
      </c>
      <c r="AF76" s="49">
        <f>資料儲存!G2340</f>
        <v>0</v>
      </c>
      <c r="AG76" s="49">
        <f>資料儲存!H2340</f>
        <v>0</v>
      </c>
      <c r="AH76" s="49">
        <f>資料儲存!I2340</f>
        <v>0</v>
      </c>
      <c r="AI76" s="49">
        <f>資料儲存!J2340</f>
        <v>0</v>
      </c>
      <c r="AJ76" s="52"/>
    </row>
    <row r="77" spans="1:36" ht="16" thickBot="1">
      <c r="A77" s="68">
        <v>60</v>
      </c>
      <c r="B77" s="49">
        <f>資料儲存!D1981</f>
        <v>0</v>
      </c>
      <c r="C77" s="49">
        <f>資料儲存!E1981</f>
        <v>0</v>
      </c>
      <c r="D77" s="49">
        <f>資料儲存!F1981</f>
        <v>0</v>
      </c>
      <c r="E77" s="49">
        <f>資料儲存!G1981</f>
        <v>0</v>
      </c>
      <c r="F77" s="49">
        <f>資料儲存!H1981</f>
        <v>0</v>
      </c>
      <c r="G77" s="49">
        <f>資料儲存!I1981</f>
        <v>0</v>
      </c>
      <c r="H77" s="49">
        <f>資料儲存!J1981</f>
        <v>0</v>
      </c>
      <c r="I77" s="52"/>
      <c r="J77" s="68">
        <v>60</v>
      </c>
      <c r="K77" s="49">
        <f>資料儲存!D2101</f>
        <v>0</v>
      </c>
      <c r="L77" s="49">
        <f>資料儲存!E2101</f>
        <v>0</v>
      </c>
      <c r="M77" s="49">
        <f>資料儲存!F2101</f>
        <v>0</v>
      </c>
      <c r="N77" s="49">
        <f>資料儲存!G2101</f>
        <v>0</v>
      </c>
      <c r="O77" s="49">
        <f>資料儲存!H2101</f>
        <v>0</v>
      </c>
      <c r="P77" s="49">
        <f>資料儲存!I2101</f>
        <v>0</v>
      </c>
      <c r="Q77" s="49">
        <f>資料儲存!J2101</f>
        <v>0</v>
      </c>
      <c r="R77" s="52"/>
      <c r="S77" s="68">
        <v>60</v>
      </c>
      <c r="T77" s="49">
        <f>資料儲存!D2221</f>
        <v>0</v>
      </c>
      <c r="U77" s="49">
        <f>資料儲存!E2221</f>
        <v>0</v>
      </c>
      <c r="V77" s="49">
        <f>資料儲存!F2221</f>
        <v>0</v>
      </c>
      <c r="W77" s="49">
        <f>資料儲存!G2221</f>
        <v>0</v>
      </c>
      <c r="X77" s="49">
        <f>資料儲存!H2221</f>
        <v>0</v>
      </c>
      <c r="Y77" s="49">
        <f>資料儲存!I2221</f>
        <v>0</v>
      </c>
      <c r="Z77" s="49">
        <f>資料儲存!J2221</f>
        <v>0</v>
      </c>
      <c r="AA77" s="52"/>
      <c r="AB77" s="68">
        <v>60</v>
      </c>
      <c r="AC77" s="49">
        <f>資料儲存!D2341</f>
        <v>0</v>
      </c>
      <c r="AD77" s="49">
        <f>資料儲存!E2341</f>
        <v>0</v>
      </c>
      <c r="AE77" s="49">
        <f>資料儲存!F2341</f>
        <v>0</v>
      </c>
      <c r="AF77" s="49">
        <f>資料儲存!G2341</f>
        <v>0</v>
      </c>
      <c r="AG77" s="49">
        <f>資料儲存!H2341</f>
        <v>0</v>
      </c>
      <c r="AH77" s="49">
        <f>資料儲存!I2341</f>
        <v>0</v>
      </c>
      <c r="AI77" s="49">
        <f>資料儲存!J2341</f>
        <v>0</v>
      </c>
      <c r="AJ77" s="52"/>
    </row>
    <row r="78" spans="1:36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  <row r="79" spans="1:36" ht="18.5" thickBot="1">
      <c r="A79" s="259" t="s">
        <v>80</v>
      </c>
      <c r="B79" s="260"/>
      <c r="C79" s="260"/>
      <c r="D79" s="260"/>
      <c r="E79" s="260"/>
      <c r="F79" s="260"/>
      <c r="G79" s="260"/>
      <c r="H79" s="261"/>
      <c r="I79" s="14"/>
      <c r="J79" s="259" t="s">
        <v>80</v>
      </c>
      <c r="K79" s="260"/>
      <c r="L79" s="260"/>
      <c r="M79" s="260"/>
      <c r="N79" s="260"/>
      <c r="O79" s="260"/>
      <c r="P79" s="260"/>
      <c r="Q79" s="261"/>
      <c r="R79" s="14"/>
      <c r="S79" s="259" t="s">
        <v>80</v>
      </c>
      <c r="T79" s="260"/>
      <c r="U79" s="260"/>
      <c r="V79" s="260"/>
      <c r="W79" s="260"/>
      <c r="X79" s="260"/>
      <c r="Y79" s="260"/>
      <c r="Z79" s="261"/>
      <c r="AA79" s="14"/>
      <c r="AB79" s="259" t="s">
        <v>80</v>
      </c>
      <c r="AC79" s="260"/>
      <c r="AD79" s="260"/>
      <c r="AE79" s="260"/>
      <c r="AF79" s="260"/>
      <c r="AG79" s="260"/>
      <c r="AH79" s="260"/>
      <c r="AI79" s="261"/>
      <c r="AJ79" s="14"/>
    </row>
    <row r="80" spans="1:36" ht="17.25" customHeight="1" thickBot="1">
      <c r="A80" s="54" t="s">
        <v>2</v>
      </c>
      <c r="B80" s="55" t="s">
        <v>46</v>
      </c>
      <c r="C80" s="56"/>
      <c r="D80" s="56"/>
      <c r="E80" s="57"/>
      <c r="F80" s="55" t="s">
        <v>47</v>
      </c>
      <c r="G80" s="56"/>
      <c r="H80" s="57"/>
      <c r="I80" s="58"/>
      <c r="J80" s="54" t="s">
        <v>2</v>
      </c>
      <c r="K80" s="55" t="s">
        <v>46</v>
      </c>
      <c r="L80" s="56"/>
      <c r="M80" s="56"/>
      <c r="N80" s="57"/>
      <c r="O80" s="55" t="s">
        <v>47</v>
      </c>
      <c r="P80" s="56"/>
      <c r="Q80" s="57"/>
      <c r="R80" s="58"/>
      <c r="S80" s="54" t="s">
        <v>2</v>
      </c>
      <c r="T80" s="55" t="s">
        <v>46</v>
      </c>
      <c r="U80" s="56"/>
      <c r="V80" s="56"/>
      <c r="W80" s="57"/>
      <c r="X80" s="55" t="s">
        <v>47</v>
      </c>
      <c r="Y80" s="56"/>
      <c r="Z80" s="57"/>
      <c r="AA80" s="58"/>
      <c r="AB80" s="54" t="s">
        <v>2</v>
      </c>
      <c r="AC80" s="55" t="s">
        <v>46</v>
      </c>
      <c r="AD80" s="56"/>
      <c r="AE80" s="56"/>
      <c r="AF80" s="57"/>
      <c r="AG80" s="55" t="s">
        <v>47</v>
      </c>
      <c r="AH80" s="56"/>
      <c r="AI80" s="57"/>
      <c r="AJ80" s="58"/>
    </row>
    <row r="81" spans="1:36" ht="16" thickBot="1">
      <c r="A81" s="59" t="s">
        <v>81</v>
      </c>
      <c r="B81" s="60" t="s">
        <v>49</v>
      </c>
      <c r="C81" s="60" t="s">
        <v>50</v>
      </c>
      <c r="D81" s="60" t="s">
        <v>51</v>
      </c>
      <c r="E81" s="60" t="s">
        <v>52</v>
      </c>
      <c r="F81" s="60" t="s">
        <v>53</v>
      </c>
      <c r="G81" s="60" t="s">
        <v>54</v>
      </c>
      <c r="H81" s="60" t="s">
        <v>55</v>
      </c>
      <c r="I81" s="58"/>
      <c r="J81" s="59" t="s">
        <v>81</v>
      </c>
      <c r="K81" s="60" t="s">
        <v>49</v>
      </c>
      <c r="L81" s="60" t="s">
        <v>50</v>
      </c>
      <c r="M81" s="60" t="s">
        <v>51</v>
      </c>
      <c r="N81" s="60" t="s">
        <v>52</v>
      </c>
      <c r="O81" s="60" t="s">
        <v>53</v>
      </c>
      <c r="P81" s="60" t="s">
        <v>54</v>
      </c>
      <c r="Q81" s="60" t="s">
        <v>55</v>
      </c>
      <c r="R81" s="58"/>
      <c r="S81" s="59" t="s">
        <v>81</v>
      </c>
      <c r="T81" s="60" t="s">
        <v>49</v>
      </c>
      <c r="U81" s="60" t="s">
        <v>50</v>
      </c>
      <c r="V81" s="60" t="s">
        <v>51</v>
      </c>
      <c r="W81" s="60" t="s">
        <v>52</v>
      </c>
      <c r="X81" s="60" t="s">
        <v>53</v>
      </c>
      <c r="Y81" s="60" t="s">
        <v>54</v>
      </c>
      <c r="Z81" s="60" t="s">
        <v>55</v>
      </c>
      <c r="AA81" s="58"/>
      <c r="AB81" s="59" t="s">
        <v>81</v>
      </c>
      <c r="AC81" s="60" t="s">
        <v>49</v>
      </c>
      <c r="AD81" s="60" t="s">
        <v>50</v>
      </c>
      <c r="AE81" s="60" t="s">
        <v>51</v>
      </c>
      <c r="AF81" s="60" t="s">
        <v>52</v>
      </c>
      <c r="AG81" s="60" t="s">
        <v>53</v>
      </c>
      <c r="AH81" s="60" t="s">
        <v>54</v>
      </c>
      <c r="AI81" s="60" t="s">
        <v>55</v>
      </c>
      <c r="AJ81" s="58"/>
    </row>
    <row r="82" spans="1:36" ht="16" thickBot="1">
      <c r="A82" s="61">
        <v>1</v>
      </c>
      <c r="B82" s="39">
        <f>資料儲存!D1982</f>
        <v>0</v>
      </c>
      <c r="C82" s="39">
        <f>資料儲存!E1982</f>
        <v>0</v>
      </c>
      <c r="D82" s="39">
        <f>資料儲存!F1982</f>
        <v>0</v>
      </c>
      <c r="E82" s="39">
        <f>資料儲存!G1982</f>
        <v>0</v>
      </c>
      <c r="F82" s="39">
        <f>資料儲存!H1982</f>
        <v>0</v>
      </c>
      <c r="G82" s="39">
        <f>資料儲存!I1982</f>
        <v>0</v>
      </c>
      <c r="H82" s="39">
        <f>資料儲存!J1982</f>
        <v>0</v>
      </c>
      <c r="I82" s="58"/>
      <c r="J82" s="61">
        <v>1</v>
      </c>
      <c r="K82" s="39">
        <f>資料儲存!D2102</f>
        <v>0</v>
      </c>
      <c r="L82" s="39">
        <f>資料儲存!E2102</f>
        <v>0</v>
      </c>
      <c r="M82" s="39">
        <f>資料儲存!F2102</f>
        <v>0</v>
      </c>
      <c r="N82" s="39">
        <f>資料儲存!G2102</f>
        <v>0</v>
      </c>
      <c r="O82" s="39">
        <f>資料儲存!H2102</f>
        <v>0</v>
      </c>
      <c r="P82" s="39">
        <f>資料儲存!I2102</f>
        <v>0</v>
      </c>
      <c r="Q82" s="39">
        <f>資料儲存!J2102</f>
        <v>0</v>
      </c>
      <c r="R82" s="58"/>
      <c r="S82" s="61">
        <v>1</v>
      </c>
      <c r="T82" s="39">
        <f>資料儲存!D2222</f>
        <v>0</v>
      </c>
      <c r="U82" s="39">
        <f>資料儲存!E2222</f>
        <v>0</v>
      </c>
      <c r="V82" s="39">
        <f>資料儲存!F2222</f>
        <v>0</v>
      </c>
      <c r="W82" s="39">
        <f>資料儲存!G2222</f>
        <v>0</v>
      </c>
      <c r="X82" s="39">
        <f>資料儲存!H2222</f>
        <v>0</v>
      </c>
      <c r="Y82" s="39">
        <f>資料儲存!I2222</f>
        <v>0</v>
      </c>
      <c r="Z82" s="39">
        <f>資料儲存!J2222</f>
        <v>0</v>
      </c>
      <c r="AA82" s="58"/>
      <c r="AB82" s="61">
        <v>1</v>
      </c>
      <c r="AC82" s="39">
        <f>資料儲存!D2342</f>
        <v>0</v>
      </c>
      <c r="AD82" s="39">
        <f>資料儲存!E2342</f>
        <v>0</v>
      </c>
      <c r="AE82" s="39">
        <f>資料儲存!F2342</f>
        <v>0</v>
      </c>
      <c r="AF82" s="39">
        <f>資料儲存!G2342</f>
        <v>0</v>
      </c>
      <c r="AG82" s="39">
        <f>資料儲存!H2342</f>
        <v>0</v>
      </c>
      <c r="AH82" s="39">
        <f>資料儲存!I2342</f>
        <v>0</v>
      </c>
      <c r="AI82" s="39">
        <f>資料儲存!J2342</f>
        <v>0</v>
      </c>
      <c r="AJ82" s="58"/>
    </row>
    <row r="83" spans="1:36" ht="16" thickBot="1">
      <c r="A83" s="61">
        <v>2</v>
      </c>
      <c r="B83" s="39">
        <f>資料儲存!D1983</f>
        <v>0</v>
      </c>
      <c r="C83" s="39">
        <f>資料儲存!E1983</f>
        <v>0</v>
      </c>
      <c r="D83" s="39">
        <f>資料儲存!F1983</f>
        <v>0</v>
      </c>
      <c r="E83" s="39">
        <f>資料儲存!G1983</f>
        <v>0</v>
      </c>
      <c r="F83" s="39">
        <f>資料儲存!H1983</f>
        <v>0</v>
      </c>
      <c r="G83" s="39">
        <f>資料儲存!I1983</f>
        <v>0</v>
      </c>
      <c r="H83" s="39">
        <f>資料儲存!J1983</f>
        <v>0</v>
      </c>
      <c r="I83" s="58"/>
      <c r="J83" s="61">
        <v>2</v>
      </c>
      <c r="K83" s="39">
        <f>資料儲存!D2103</f>
        <v>0</v>
      </c>
      <c r="L83" s="39">
        <f>資料儲存!E2103</f>
        <v>0</v>
      </c>
      <c r="M83" s="39">
        <f>資料儲存!F2103</f>
        <v>0</v>
      </c>
      <c r="N83" s="39">
        <f>資料儲存!G2103</f>
        <v>0</v>
      </c>
      <c r="O83" s="39">
        <f>資料儲存!H2103</f>
        <v>0</v>
      </c>
      <c r="P83" s="39">
        <f>資料儲存!I2103</f>
        <v>0</v>
      </c>
      <c r="Q83" s="39">
        <f>資料儲存!J2103</f>
        <v>0</v>
      </c>
      <c r="R83" s="58"/>
      <c r="S83" s="61">
        <v>2</v>
      </c>
      <c r="T83" s="39">
        <f>資料儲存!D2223</f>
        <v>0</v>
      </c>
      <c r="U83" s="39">
        <f>資料儲存!E2223</f>
        <v>0</v>
      </c>
      <c r="V83" s="39">
        <f>資料儲存!F2223</f>
        <v>0</v>
      </c>
      <c r="W83" s="39">
        <f>資料儲存!G2223</f>
        <v>0</v>
      </c>
      <c r="X83" s="39">
        <f>資料儲存!H2223</f>
        <v>0</v>
      </c>
      <c r="Y83" s="39">
        <f>資料儲存!I2223</f>
        <v>0</v>
      </c>
      <c r="Z83" s="39">
        <f>資料儲存!J2223</f>
        <v>0</v>
      </c>
      <c r="AA83" s="58"/>
      <c r="AB83" s="61">
        <v>2</v>
      </c>
      <c r="AC83" s="39">
        <f>資料儲存!D2343</f>
        <v>0</v>
      </c>
      <c r="AD83" s="39">
        <f>資料儲存!E2343</f>
        <v>0</v>
      </c>
      <c r="AE83" s="39">
        <f>資料儲存!F2343</f>
        <v>0</v>
      </c>
      <c r="AF83" s="39">
        <f>資料儲存!G2343</f>
        <v>0</v>
      </c>
      <c r="AG83" s="39">
        <f>資料儲存!H2343</f>
        <v>0</v>
      </c>
      <c r="AH83" s="39">
        <f>資料儲存!I2343</f>
        <v>0</v>
      </c>
      <c r="AI83" s="39">
        <f>資料儲存!J2343</f>
        <v>0</v>
      </c>
      <c r="AJ83" s="58"/>
    </row>
    <row r="84" spans="1:36" ht="16" thickBot="1">
      <c r="A84" s="61">
        <v>3</v>
      </c>
      <c r="B84" s="39">
        <f>資料儲存!D1984</f>
        <v>0</v>
      </c>
      <c r="C84" s="39">
        <f>資料儲存!E1984</f>
        <v>0</v>
      </c>
      <c r="D84" s="39">
        <f>資料儲存!F1984</f>
        <v>0</v>
      </c>
      <c r="E84" s="39">
        <f>資料儲存!G1984</f>
        <v>0</v>
      </c>
      <c r="F84" s="39">
        <f>資料儲存!H1984</f>
        <v>0</v>
      </c>
      <c r="G84" s="39">
        <f>資料儲存!I1984</f>
        <v>0</v>
      </c>
      <c r="H84" s="39">
        <f>資料儲存!J1984</f>
        <v>0</v>
      </c>
      <c r="I84" s="58"/>
      <c r="J84" s="61">
        <v>3</v>
      </c>
      <c r="K84" s="39">
        <f>資料儲存!D2104</f>
        <v>0</v>
      </c>
      <c r="L84" s="39">
        <f>資料儲存!E2104</f>
        <v>0</v>
      </c>
      <c r="M84" s="39">
        <f>資料儲存!F2104</f>
        <v>0</v>
      </c>
      <c r="N84" s="39">
        <f>資料儲存!G2104</f>
        <v>0</v>
      </c>
      <c r="O84" s="39">
        <f>資料儲存!H2104</f>
        <v>0</v>
      </c>
      <c r="P84" s="39">
        <f>資料儲存!I2104</f>
        <v>0</v>
      </c>
      <c r="Q84" s="39">
        <f>資料儲存!J2104</f>
        <v>0</v>
      </c>
      <c r="R84" s="58"/>
      <c r="S84" s="61">
        <v>3</v>
      </c>
      <c r="T84" s="39">
        <f>資料儲存!D2224</f>
        <v>0</v>
      </c>
      <c r="U84" s="39">
        <f>資料儲存!E2224</f>
        <v>0</v>
      </c>
      <c r="V84" s="39">
        <f>資料儲存!F2224</f>
        <v>0</v>
      </c>
      <c r="W84" s="39">
        <f>資料儲存!G2224</f>
        <v>0</v>
      </c>
      <c r="X84" s="39">
        <f>資料儲存!H2224</f>
        <v>0</v>
      </c>
      <c r="Y84" s="39">
        <f>資料儲存!I2224</f>
        <v>0</v>
      </c>
      <c r="Z84" s="39">
        <f>資料儲存!J2224</f>
        <v>0</v>
      </c>
      <c r="AA84" s="58"/>
      <c r="AB84" s="61">
        <v>3</v>
      </c>
      <c r="AC84" s="39">
        <f>資料儲存!D2344</f>
        <v>0</v>
      </c>
      <c r="AD84" s="39">
        <f>資料儲存!E2344</f>
        <v>0</v>
      </c>
      <c r="AE84" s="39">
        <f>資料儲存!F2344</f>
        <v>0</v>
      </c>
      <c r="AF84" s="39">
        <f>資料儲存!G2344</f>
        <v>0</v>
      </c>
      <c r="AG84" s="39">
        <f>資料儲存!H2344</f>
        <v>0</v>
      </c>
      <c r="AH84" s="39">
        <f>資料儲存!I2344</f>
        <v>0</v>
      </c>
      <c r="AI84" s="39">
        <f>資料儲存!J2344</f>
        <v>0</v>
      </c>
      <c r="AJ84" s="58"/>
    </row>
    <row r="85" spans="1:36" ht="16" thickBot="1">
      <c r="A85" s="61">
        <v>4</v>
      </c>
      <c r="B85" s="39">
        <f>資料儲存!D1985</f>
        <v>0</v>
      </c>
      <c r="C85" s="39">
        <f>資料儲存!E1985</f>
        <v>0</v>
      </c>
      <c r="D85" s="39">
        <f>資料儲存!F1985</f>
        <v>0</v>
      </c>
      <c r="E85" s="39">
        <f>資料儲存!G1985</f>
        <v>0</v>
      </c>
      <c r="F85" s="39">
        <f>資料儲存!H1985</f>
        <v>0</v>
      </c>
      <c r="G85" s="39">
        <f>資料儲存!I1985</f>
        <v>0</v>
      </c>
      <c r="H85" s="39">
        <f>資料儲存!J1985</f>
        <v>0</v>
      </c>
      <c r="I85" s="58"/>
      <c r="J85" s="61">
        <v>4</v>
      </c>
      <c r="K85" s="39">
        <f>資料儲存!D2105</f>
        <v>0</v>
      </c>
      <c r="L85" s="39">
        <f>資料儲存!E2105</f>
        <v>0</v>
      </c>
      <c r="M85" s="39">
        <f>資料儲存!F2105</f>
        <v>0</v>
      </c>
      <c r="N85" s="39">
        <f>資料儲存!G2105</f>
        <v>0</v>
      </c>
      <c r="O85" s="39">
        <f>資料儲存!H2105</f>
        <v>0</v>
      </c>
      <c r="P85" s="39">
        <f>資料儲存!I2105</f>
        <v>0</v>
      </c>
      <c r="Q85" s="39">
        <f>資料儲存!J2105</f>
        <v>0</v>
      </c>
      <c r="R85" s="58"/>
      <c r="S85" s="61">
        <v>4</v>
      </c>
      <c r="T85" s="39">
        <f>資料儲存!D2225</f>
        <v>0</v>
      </c>
      <c r="U85" s="39">
        <f>資料儲存!E2225</f>
        <v>0</v>
      </c>
      <c r="V85" s="39">
        <f>資料儲存!F2225</f>
        <v>0</v>
      </c>
      <c r="W85" s="39">
        <f>資料儲存!G2225</f>
        <v>0</v>
      </c>
      <c r="X85" s="39">
        <f>資料儲存!H2225</f>
        <v>0</v>
      </c>
      <c r="Y85" s="39">
        <f>資料儲存!I2225</f>
        <v>0</v>
      </c>
      <c r="Z85" s="39">
        <f>資料儲存!J2225</f>
        <v>0</v>
      </c>
      <c r="AA85" s="58"/>
      <c r="AB85" s="61">
        <v>4</v>
      </c>
      <c r="AC85" s="39">
        <f>資料儲存!D2345</f>
        <v>0</v>
      </c>
      <c r="AD85" s="39">
        <f>資料儲存!E2345</f>
        <v>0</v>
      </c>
      <c r="AE85" s="39">
        <f>資料儲存!F2345</f>
        <v>0</v>
      </c>
      <c r="AF85" s="39">
        <f>資料儲存!G2345</f>
        <v>0</v>
      </c>
      <c r="AG85" s="39">
        <f>資料儲存!H2345</f>
        <v>0</v>
      </c>
      <c r="AH85" s="39">
        <f>資料儲存!I2345</f>
        <v>0</v>
      </c>
      <c r="AI85" s="39">
        <f>資料儲存!J2345</f>
        <v>0</v>
      </c>
      <c r="AJ85" s="58"/>
    </row>
    <row r="86" spans="1:36" ht="16" thickBot="1">
      <c r="A86" s="61">
        <v>5</v>
      </c>
      <c r="B86" s="39">
        <f>資料儲存!D1986</f>
        <v>0</v>
      </c>
      <c r="C86" s="39">
        <f>資料儲存!E1986</f>
        <v>0</v>
      </c>
      <c r="D86" s="39">
        <f>資料儲存!F1986</f>
        <v>0</v>
      </c>
      <c r="E86" s="39">
        <f>資料儲存!G1986</f>
        <v>0</v>
      </c>
      <c r="F86" s="39">
        <f>資料儲存!H1986</f>
        <v>0</v>
      </c>
      <c r="G86" s="39">
        <f>資料儲存!I1986</f>
        <v>0</v>
      </c>
      <c r="H86" s="39">
        <f>資料儲存!J1986</f>
        <v>0</v>
      </c>
      <c r="I86" s="58"/>
      <c r="J86" s="61">
        <v>5</v>
      </c>
      <c r="K86" s="39">
        <f>資料儲存!D2106</f>
        <v>0</v>
      </c>
      <c r="L86" s="39">
        <f>資料儲存!E2106</f>
        <v>0</v>
      </c>
      <c r="M86" s="39">
        <f>資料儲存!F2106</f>
        <v>0</v>
      </c>
      <c r="N86" s="39">
        <f>資料儲存!G2106</f>
        <v>0</v>
      </c>
      <c r="O86" s="39">
        <f>資料儲存!H2106</f>
        <v>0</v>
      </c>
      <c r="P86" s="39">
        <f>資料儲存!I2106</f>
        <v>0</v>
      </c>
      <c r="Q86" s="39">
        <f>資料儲存!J2106</f>
        <v>0</v>
      </c>
      <c r="R86" s="58"/>
      <c r="S86" s="61">
        <v>5</v>
      </c>
      <c r="T86" s="39">
        <f>資料儲存!D2226</f>
        <v>0</v>
      </c>
      <c r="U86" s="39">
        <f>資料儲存!E2226</f>
        <v>0</v>
      </c>
      <c r="V86" s="39">
        <f>資料儲存!F2226</f>
        <v>0</v>
      </c>
      <c r="W86" s="39">
        <f>資料儲存!G2226</f>
        <v>0</v>
      </c>
      <c r="X86" s="39">
        <f>資料儲存!H2226</f>
        <v>0</v>
      </c>
      <c r="Y86" s="39">
        <f>資料儲存!I2226</f>
        <v>0</v>
      </c>
      <c r="Z86" s="39">
        <f>資料儲存!J2226</f>
        <v>0</v>
      </c>
      <c r="AA86" s="58"/>
      <c r="AB86" s="61">
        <v>5</v>
      </c>
      <c r="AC86" s="39">
        <f>資料儲存!D2346</f>
        <v>0</v>
      </c>
      <c r="AD86" s="39">
        <f>資料儲存!E2346</f>
        <v>0</v>
      </c>
      <c r="AE86" s="39">
        <f>資料儲存!F2346</f>
        <v>0</v>
      </c>
      <c r="AF86" s="39">
        <f>資料儲存!G2346</f>
        <v>0</v>
      </c>
      <c r="AG86" s="39">
        <f>資料儲存!H2346</f>
        <v>0</v>
      </c>
      <c r="AH86" s="39">
        <f>資料儲存!I2346</f>
        <v>0</v>
      </c>
      <c r="AI86" s="39">
        <f>資料儲存!J2346</f>
        <v>0</v>
      </c>
      <c r="AJ86" s="58"/>
    </row>
    <row r="87" spans="1:36" ht="16" thickBot="1">
      <c r="A87" s="61">
        <v>6</v>
      </c>
      <c r="B87" s="39">
        <f>資料儲存!D1987</f>
        <v>0</v>
      </c>
      <c r="C87" s="39">
        <f>資料儲存!E1987</f>
        <v>0</v>
      </c>
      <c r="D87" s="39">
        <f>資料儲存!F1987</f>
        <v>0</v>
      </c>
      <c r="E87" s="39">
        <f>資料儲存!G1987</f>
        <v>0</v>
      </c>
      <c r="F87" s="39">
        <f>資料儲存!H1987</f>
        <v>0</v>
      </c>
      <c r="G87" s="39">
        <f>資料儲存!I1987</f>
        <v>0</v>
      </c>
      <c r="H87" s="39">
        <f>資料儲存!J1987</f>
        <v>0</v>
      </c>
      <c r="I87" s="58"/>
      <c r="J87" s="61">
        <v>6</v>
      </c>
      <c r="K87" s="39">
        <f>資料儲存!D2107</f>
        <v>0</v>
      </c>
      <c r="L87" s="39">
        <f>資料儲存!E2107</f>
        <v>0</v>
      </c>
      <c r="M87" s="39">
        <f>資料儲存!F2107</f>
        <v>0</v>
      </c>
      <c r="N87" s="39">
        <f>資料儲存!G2107</f>
        <v>0</v>
      </c>
      <c r="O87" s="39">
        <f>資料儲存!H2107</f>
        <v>0</v>
      </c>
      <c r="P87" s="39">
        <f>資料儲存!I2107</f>
        <v>0</v>
      </c>
      <c r="Q87" s="39">
        <f>資料儲存!J2107</f>
        <v>0</v>
      </c>
      <c r="R87" s="58"/>
      <c r="S87" s="61">
        <v>6</v>
      </c>
      <c r="T87" s="39">
        <f>資料儲存!D2227</f>
        <v>0</v>
      </c>
      <c r="U87" s="39">
        <f>資料儲存!E2227</f>
        <v>0</v>
      </c>
      <c r="V87" s="39">
        <f>資料儲存!F2227</f>
        <v>0</v>
      </c>
      <c r="W87" s="39">
        <f>資料儲存!G2227</f>
        <v>0</v>
      </c>
      <c r="X87" s="39">
        <f>資料儲存!H2227</f>
        <v>0</v>
      </c>
      <c r="Y87" s="39">
        <f>資料儲存!I2227</f>
        <v>0</v>
      </c>
      <c r="Z87" s="39">
        <f>資料儲存!J2227</f>
        <v>0</v>
      </c>
      <c r="AA87" s="58"/>
      <c r="AB87" s="61">
        <v>6</v>
      </c>
      <c r="AC87" s="39">
        <f>資料儲存!D2347</f>
        <v>0</v>
      </c>
      <c r="AD87" s="39">
        <f>資料儲存!E2347</f>
        <v>0</v>
      </c>
      <c r="AE87" s="39">
        <f>資料儲存!F2347</f>
        <v>0</v>
      </c>
      <c r="AF87" s="39">
        <f>資料儲存!G2347</f>
        <v>0</v>
      </c>
      <c r="AG87" s="39">
        <f>資料儲存!H2347</f>
        <v>0</v>
      </c>
      <c r="AH87" s="39">
        <f>資料儲存!I2347</f>
        <v>0</v>
      </c>
      <c r="AI87" s="39">
        <f>資料儲存!J2347</f>
        <v>0</v>
      </c>
      <c r="AJ87" s="58"/>
    </row>
    <row r="88" spans="1:36" ht="16" thickBot="1">
      <c r="A88" s="61">
        <v>7</v>
      </c>
      <c r="B88" s="39">
        <f>資料儲存!D1988</f>
        <v>0</v>
      </c>
      <c r="C88" s="39">
        <f>資料儲存!E1988</f>
        <v>0</v>
      </c>
      <c r="D88" s="39">
        <f>資料儲存!F1988</f>
        <v>0</v>
      </c>
      <c r="E88" s="39">
        <f>資料儲存!G1988</f>
        <v>0</v>
      </c>
      <c r="F88" s="39">
        <f>資料儲存!H1988</f>
        <v>0</v>
      </c>
      <c r="G88" s="39">
        <f>資料儲存!I1988</f>
        <v>0</v>
      </c>
      <c r="H88" s="39">
        <f>資料儲存!J1988</f>
        <v>0</v>
      </c>
      <c r="I88" s="58"/>
      <c r="J88" s="61">
        <v>7</v>
      </c>
      <c r="K88" s="39">
        <f>資料儲存!D2108</f>
        <v>0</v>
      </c>
      <c r="L88" s="39">
        <f>資料儲存!E2108</f>
        <v>0</v>
      </c>
      <c r="M88" s="39">
        <f>資料儲存!F2108</f>
        <v>0</v>
      </c>
      <c r="N88" s="39">
        <f>資料儲存!G2108</f>
        <v>0</v>
      </c>
      <c r="O88" s="39">
        <f>資料儲存!H2108</f>
        <v>0</v>
      </c>
      <c r="P88" s="39">
        <f>資料儲存!I2108</f>
        <v>0</v>
      </c>
      <c r="Q88" s="39">
        <f>資料儲存!J2108</f>
        <v>0</v>
      </c>
      <c r="R88" s="58"/>
      <c r="S88" s="61">
        <v>7</v>
      </c>
      <c r="T88" s="39">
        <f>資料儲存!D2228</f>
        <v>0</v>
      </c>
      <c r="U88" s="39">
        <f>資料儲存!E2228</f>
        <v>0</v>
      </c>
      <c r="V88" s="39">
        <f>資料儲存!F2228</f>
        <v>0</v>
      </c>
      <c r="W88" s="39">
        <f>資料儲存!G2228</f>
        <v>0</v>
      </c>
      <c r="X88" s="39">
        <f>資料儲存!H2228</f>
        <v>0</v>
      </c>
      <c r="Y88" s="39">
        <f>資料儲存!I2228</f>
        <v>0</v>
      </c>
      <c r="Z88" s="39">
        <f>資料儲存!J2228</f>
        <v>0</v>
      </c>
      <c r="AA88" s="58"/>
      <c r="AB88" s="61">
        <v>7</v>
      </c>
      <c r="AC88" s="39">
        <f>資料儲存!D2348</f>
        <v>0</v>
      </c>
      <c r="AD88" s="39">
        <f>資料儲存!E2348</f>
        <v>0</v>
      </c>
      <c r="AE88" s="39">
        <f>資料儲存!F2348</f>
        <v>0</v>
      </c>
      <c r="AF88" s="39">
        <f>資料儲存!G2348</f>
        <v>0</v>
      </c>
      <c r="AG88" s="39">
        <f>資料儲存!H2348</f>
        <v>0</v>
      </c>
      <c r="AH88" s="39">
        <f>資料儲存!I2348</f>
        <v>0</v>
      </c>
      <c r="AI88" s="39">
        <f>資料儲存!J2348</f>
        <v>0</v>
      </c>
      <c r="AJ88" s="58"/>
    </row>
    <row r="89" spans="1:36" ht="16" thickBot="1">
      <c r="A89" s="61">
        <v>8</v>
      </c>
      <c r="B89" s="39">
        <f>資料儲存!D1989</f>
        <v>0</v>
      </c>
      <c r="C89" s="39">
        <f>資料儲存!E1989</f>
        <v>0</v>
      </c>
      <c r="D89" s="39">
        <f>資料儲存!F1989</f>
        <v>0</v>
      </c>
      <c r="E89" s="39">
        <f>資料儲存!G1989</f>
        <v>0</v>
      </c>
      <c r="F89" s="39">
        <f>資料儲存!H1989</f>
        <v>0</v>
      </c>
      <c r="G89" s="39">
        <f>資料儲存!I1989</f>
        <v>0</v>
      </c>
      <c r="H89" s="39">
        <f>資料儲存!J1989</f>
        <v>0</v>
      </c>
      <c r="I89" s="58"/>
      <c r="J89" s="61">
        <v>8</v>
      </c>
      <c r="K89" s="39">
        <f>資料儲存!D2109</f>
        <v>0</v>
      </c>
      <c r="L89" s="39">
        <f>資料儲存!E2109</f>
        <v>0</v>
      </c>
      <c r="M89" s="39">
        <f>資料儲存!F2109</f>
        <v>0</v>
      </c>
      <c r="N89" s="39">
        <f>資料儲存!G2109</f>
        <v>0</v>
      </c>
      <c r="O89" s="39">
        <f>資料儲存!H2109</f>
        <v>0</v>
      </c>
      <c r="P89" s="39">
        <f>資料儲存!I2109</f>
        <v>0</v>
      </c>
      <c r="Q89" s="39">
        <f>資料儲存!J2109</f>
        <v>0</v>
      </c>
      <c r="R89" s="58"/>
      <c r="S89" s="61">
        <v>8</v>
      </c>
      <c r="T89" s="39">
        <f>資料儲存!D2229</f>
        <v>0</v>
      </c>
      <c r="U89" s="39">
        <f>資料儲存!E2229</f>
        <v>0</v>
      </c>
      <c r="V89" s="39">
        <f>資料儲存!F2229</f>
        <v>0</v>
      </c>
      <c r="W89" s="39">
        <f>資料儲存!G2229</f>
        <v>0</v>
      </c>
      <c r="X89" s="39">
        <f>資料儲存!H2229</f>
        <v>0</v>
      </c>
      <c r="Y89" s="39">
        <f>資料儲存!I2229</f>
        <v>0</v>
      </c>
      <c r="Z89" s="39">
        <f>資料儲存!J2229</f>
        <v>0</v>
      </c>
      <c r="AA89" s="58"/>
      <c r="AB89" s="61">
        <v>8</v>
      </c>
      <c r="AC89" s="39">
        <f>資料儲存!D2349</f>
        <v>0</v>
      </c>
      <c r="AD89" s="39">
        <f>資料儲存!E2349</f>
        <v>0</v>
      </c>
      <c r="AE89" s="39">
        <f>資料儲存!F2349</f>
        <v>0</v>
      </c>
      <c r="AF89" s="39">
        <f>資料儲存!G2349</f>
        <v>0</v>
      </c>
      <c r="AG89" s="39">
        <f>資料儲存!H2349</f>
        <v>0</v>
      </c>
      <c r="AH89" s="39">
        <f>資料儲存!I2349</f>
        <v>0</v>
      </c>
      <c r="AI89" s="39">
        <f>資料儲存!J2349</f>
        <v>0</v>
      </c>
      <c r="AJ89" s="58"/>
    </row>
    <row r="90" spans="1:36" ht="16" thickBot="1">
      <c r="A90" s="61">
        <v>9</v>
      </c>
      <c r="B90" s="39">
        <f>資料儲存!D1990</f>
        <v>0</v>
      </c>
      <c r="C90" s="39">
        <f>資料儲存!E1990</f>
        <v>0</v>
      </c>
      <c r="D90" s="39">
        <f>資料儲存!F1990</f>
        <v>0</v>
      </c>
      <c r="E90" s="39">
        <f>資料儲存!G1990</f>
        <v>0</v>
      </c>
      <c r="F90" s="39">
        <f>資料儲存!H1990</f>
        <v>0</v>
      </c>
      <c r="G90" s="39">
        <f>資料儲存!I1990</f>
        <v>0</v>
      </c>
      <c r="H90" s="39">
        <f>資料儲存!J1990</f>
        <v>0</v>
      </c>
      <c r="I90" s="58"/>
      <c r="J90" s="61">
        <v>9</v>
      </c>
      <c r="K90" s="39">
        <f>資料儲存!D2110</f>
        <v>0</v>
      </c>
      <c r="L90" s="39">
        <f>資料儲存!E2110</f>
        <v>0</v>
      </c>
      <c r="M90" s="39">
        <f>資料儲存!F2110</f>
        <v>0</v>
      </c>
      <c r="N90" s="39">
        <f>資料儲存!G2110</f>
        <v>0</v>
      </c>
      <c r="O90" s="39">
        <f>資料儲存!H2110</f>
        <v>0</v>
      </c>
      <c r="P90" s="39">
        <f>資料儲存!I2110</f>
        <v>0</v>
      </c>
      <c r="Q90" s="39">
        <f>資料儲存!J2110</f>
        <v>0</v>
      </c>
      <c r="R90" s="58"/>
      <c r="S90" s="61">
        <v>9</v>
      </c>
      <c r="T90" s="39">
        <f>資料儲存!D2230</f>
        <v>0</v>
      </c>
      <c r="U90" s="39">
        <f>資料儲存!E2230</f>
        <v>0</v>
      </c>
      <c r="V90" s="39">
        <f>資料儲存!F2230</f>
        <v>0</v>
      </c>
      <c r="W90" s="39">
        <f>資料儲存!G2230</f>
        <v>0</v>
      </c>
      <c r="X90" s="39">
        <f>資料儲存!H2230</f>
        <v>0</v>
      </c>
      <c r="Y90" s="39">
        <f>資料儲存!I2230</f>
        <v>0</v>
      </c>
      <c r="Z90" s="39">
        <f>資料儲存!J2230</f>
        <v>0</v>
      </c>
      <c r="AA90" s="58"/>
      <c r="AB90" s="61">
        <v>9</v>
      </c>
      <c r="AC90" s="39">
        <f>資料儲存!D2350</f>
        <v>0</v>
      </c>
      <c r="AD90" s="39">
        <f>資料儲存!E2350</f>
        <v>0</v>
      </c>
      <c r="AE90" s="39">
        <f>資料儲存!F2350</f>
        <v>0</v>
      </c>
      <c r="AF90" s="39">
        <f>資料儲存!G2350</f>
        <v>0</v>
      </c>
      <c r="AG90" s="39">
        <f>資料儲存!H2350</f>
        <v>0</v>
      </c>
      <c r="AH90" s="39">
        <f>資料儲存!I2350</f>
        <v>0</v>
      </c>
      <c r="AI90" s="39">
        <f>資料儲存!J2350</f>
        <v>0</v>
      </c>
      <c r="AJ90" s="58"/>
    </row>
    <row r="91" spans="1:36" ht="16" thickBot="1">
      <c r="A91" s="61">
        <v>10</v>
      </c>
      <c r="B91" s="39">
        <f>資料儲存!D1991</f>
        <v>0</v>
      </c>
      <c r="C91" s="39">
        <f>資料儲存!E1991</f>
        <v>0</v>
      </c>
      <c r="D91" s="39">
        <f>資料儲存!F1991</f>
        <v>0</v>
      </c>
      <c r="E91" s="39">
        <f>資料儲存!G1991</f>
        <v>0</v>
      </c>
      <c r="F91" s="39">
        <f>資料儲存!H1991</f>
        <v>0</v>
      </c>
      <c r="G91" s="39">
        <f>資料儲存!I1991</f>
        <v>0</v>
      </c>
      <c r="H91" s="39">
        <f>資料儲存!J1991</f>
        <v>0</v>
      </c>
      <c r="I91" s="58"/>
      <c r="J91" s="61">
        <v>10</v>
      </c>
      <c r="K91" s="39">
        <f>資料儲存!D2111</f>
        <v>0</v>
      </c>
      <c r="L91" s="39">
        <f>資料儲存!E2111</f>
        <v>0</v>
      </c>
      <c r="M91" s="39">
        <f>資料儲存!F2111</f>
        <v>0</v>
      </c>
      <c r="N91" s="39">
        <f>資料儲存!G2111</f>
        <v>0</v>
      </c>
      <c r="O91" s="39">
        <f>資料儲存!H2111</f>
        <v>0</v>
      </c>
      <c r="P91" s="39">
        <f>資料儲存!I2111</f>
        <v>0</v>
      </c>
      <c r="Q91" s="39">
        <f>資料儲存!J2111</f>
        <v>0</v>
      </c>
      <c r="R91" s="58"/>
      <c r="S91" s="61">
        <v>10</v>
      </c>
      <c r="T91" s="39">
        <f>資料儲存!D2231</f>
        <v>0</v>
      </c>
      <c r="U91" s="39">
        <f>資料儲存!E2231</f>
        <v>0</v>
      </c>
      <c r="V91" s="39">
        <f>資料儲存!F2231</f>
        <v>0</v>
      </c>
      <c r="W91" s="39">
        <f>資料儲存!G2231</f>
        <v>0</v>
      </c>
      <c r="X91" s="39">
        <f>資料儲存!H2231</f>
        <v>0</v>
      </c>
      <c r="Y91" s="39">
        <f>資料儲存!I2231</f>
        <v>0</v>
      </c>
      <c r="Z91" s="39">
        <f>資料儲存!J2231</f>
        <v>0</v>
      </c>
      <c r="AA91" s="58"/>
      <c r="AB91" s="61">
        <v>10</v>
      </c>
      <c r="AC91" s="39">
        <f>資料儲存!D2351</f>
        <v>0</v>
      </c>
      <c r="AD91" s="39">
        <f>資料儲存!E2351</f>
        <v>0</v>
      </c>
      <c r="AE91" s="39">
        <f>資料儲存!F2351</f>
        <v>0</v>
      </c>
      <c r="AF91" s="39">
        <f>資料儲存!G2351</f>
        <v>0</v>
      </c>
      <c r="AG91" s="39">
        <f>資料儲存!H2351</f>
        <v>0</v>
      </c>
      <c r="AH91" s="39">
        <f>資料儲存!I2351</f>
        <v>0</v>
      </c>
      <c r="AI91" s="39">
        <f>資料儲存!J2351</f>
        <v>0</v>
      </c>
      <c r="AJ91" s="58"/>
    </row>
    <row r="92" spans="1:36" ht="16" thickBot="1">
      <c r="A92" s="61">
        <v>11</v>
      </c>
      <c r="B92" s="39">
        <f>資料儲存!D1992</f>
        <v>0</v>
      </c>
      <c r="C92" s="39">
        <f>資料儲存!E1992</f>
        <v>0</v>
      </c>
      <c r="D92" s="39">
        <f>資料儲存!F1992</f>
        <v>0</v>
      </c>
      <c r="E92" s="39">
        <f>資料儲存!G1992</f>
        <v>0</v>
      </c>
      <c r="F92" s="39">
        <f>資料儲存!H1992</f>
        <v>0</v>
      </c>
      <c r="G92" s="39">
        <f>資料儲存!I1992</f>
        <v>0</v>
      </c>
      <c r="H92" s="39">
        <f>資料儲存!J1992</f>
        <v>0</v>
      </c>
      <c r="I92" s="58"/>
      <c r="J92" s="61">
        <v>11</v>
      </c>
      <c r="K92" s="39">
        <f>資料儲存!D2112</f>
        <v>0</v>
      </c>
      <c r="L92" s="39">
        <f>資料儲存!E2112</f>
        <v>0</v>
      </c>
      <c r="M92" s="39">
        <f>資料儲存!F2112</f>
        <v>0</v>
      </c>
      <c r="N92" s="39">
        <f>資料儲存!G2112</f>
        <v>0</v>
      </c>
      <c r="O92" s="39">
        <f>資料儲存!H2112</f>
        <v>0</v>
      </c>
      <c r="P92" s="39">
        <f>資料儲存!I2112</f>
        <v>0</v>
      </c>
      <c r="Q92" s="39">
        <f>資料儲存!J2112</f>
        <v>0</v>
      </c>
      <c r="R92" s="58"/>
      <c r="S92" s="61">
        <v>11</v>
      </c>
      <c r="T92" s="39">
        <f>資料儲存!D2232</f>
        <v>0</v>
      </c>
      <c r="U92" s="39">
        <f>資料儲存!E2232</f>
        <v>0</v>
      </c>
      <c r="V92" s="39">
        <f>資料儲存!F2232</f>
        <v>0</v>
      </c>
      <c r="W92" s="39">
        <f>資料儲存!G2232</f>
        <v>0</v>
      </c>
      <c r="X92" s="39">
        <f>資料儲存!H2232</f>
        <v>0</v>
      </c>
      <c r="Y92" s="39">
        <f>資料儲存!I2232</f>
        <v>0</v>
      </c>
      <c r="Z92" s="39">
        <f>資料儲存!J2232</f>
        <v>0</v>
      </c>
      <c r="AA92" s="58"/>
      <c r="AB92" s="61">
        <v>11</v>
      </c>
      <c r="AC92" s="39">
        <f>資料儲存!D2352</f>
        <v>0</v>
      </c>
      <c r="AD92" s="39">
        <f>資料儲存!E2352</f>
        <v>0</v>
      </c>
      <c r="AE92" s="39">
        <f>資料儲存!F2352</f>
        <v>0</v>
      </c>
      <c r="AF92" s="39">
        <f>資料儲存!G2352</f>
        <v>0</v>
      </c>
      <c r="AG92" s="39">
        <f>資料儲存!H2352</f>
        <v>0</v>
      </c>
      <c r="AH92" s="39">
        <f>資料儲存!I2352</f>
        <v>0</v>
      </c>
      <c r="AI92" s="39">
        <f>資料儲存!J2352</f>
        <v>0</v>
      </c>
      <c r="AJ92" s="58"/>
    </row>
    <row r="93" spans="1:36" ht="16" thickBot="1">
      <c r="A93" s="61">
        <v>12</v>
      </c>
      <c r="B93" s="39">
        <f>資料儲存!D1993</f>
        <v>0</v>
      </c>
      <c r="C93" s="39">
        <f>資料儲存!E1993</f>
        <v>0</v>
      </c>
      <c r="D93" s="39">
        <f>資料儲存!F1993</f>
        <v>0</v>
      </c>
      <c r="E93" s="39">
        <f>資料儲存!G1993</f>
        <v>0</v>
      </c>
      <c r="F93" s="39">
        <f>資料儲存!H1993</f>
        <v>0</v>
      </c>
      <c r="G93" s="39">
        <f>資料儲存!I1993</f>
        <v>0</v>
      </c>
      <c r="H93" s="39">
        <f>資料儲存!J1993</f>
        <v>0</v>
      </c>
      <c r="I93" s="58"/>
      <c r="J93" s="61">
        <v>12</v>
      </c>
      <c r="K93" s="39">
        <f>資料儲存!D2113</f>
        <v>0</v>
      </c>
      <c r="L93" s="39">
        <f>資料儲存!E2113</f>
        <v>0</v>
      </c>
      <c r="M93" s="39">
        <f>資料儲存!F2113</f>
        <v>0</v>
      </c>
      <c r="N93" s="39">
        <f>資料儲存!G2113</f>
        <v>0</v>
      </c>
      <c r="O93" s="39">
        <f>資料儲存!H2113</f>
        <v>0</v>
      </c>
      <c r="P93" s="39">
        <f>資料儲存!I2113</f>
        <v>0</v>
      </c>
      <c r="Q93" s="39">
        <f>資料儲存!J2113</f>
        <v>0</v>
      </c>
      <c r="R93" s="58"/>
      <c r="S93" s="61">
        <v>12</v>
      </c>
      <c r="T93" s="39">
        <f>資料儲存!D2233</f>
        <v>0</v>
      </c>
      <c r="U93" s="39">
        <f>資料儲存!E2233</f>
        <v>0</v>
      </c>
      <c r="V93" s="39">
        <f>資料儲存!F2233</f>
        <v>0</v>
      </c>
      <c r="W93" s="39">
        <f>資料儲存!G2233</f>
        <v>0</v>
      </c>
      <c r="X93" s="39">
        <f>資料儲存!H2233</f>
        <v>0</v>
      </c>
      <c r="Y93" s="39">
        <f>資料儲存!I2233</f>
        <v>0</v>
      </c>
      <c r="Z93" s="39">
        <f>資料儲存!J2233</f>
        <v>0</v>
      </c>
      <c r="AA93" s="58"/>
      <c r="AB93" s="61">
        <v>12</v>
      </c>
      <c r="AC93" s="39">
        <f>資料儲存!D2353</f>
        <v>0</v>
      </c>
      <c r="AD93" s="39">
        <f>資料儲存!E2353</f>
        <v>0</v>
      </c>
      <c r="AE93" s="39">
        <f>資料儲存!F2353</f>
        <v>0</v>
      </c>
      <c r="AF93" s="39">
        <f>資料儲存!G2353</f>
        <v>0</v>
      </c>
      <c r="AG93" s="39">
        <f>資料儲存!H2353</f>
        <v>0</v>
      </c>
      <c r="AH93" s="39">
        <f>資料儲存!I2353</f>
        <v>0</v>
      </c>
      <c r="AI93" s="39">
        <f>資料儲存!J2353</f>
        <v>0</v>
      </c>
      <c r="AJ93" s="58"/>
    </row>
    <row r="94" spans="1:36" ht="16" thickBot="1">
      <c r="A94" s="61">
        <v>13</v>
      </c>
      <c r="B94" s="39">
        <f>資料儲存!D1994</f>
        <v>0</v>
      </c>
      <c r="C94" s="39">
        <f>資料儲存!E1994</f>
        <v>0</v>
      </c>
      <c r="D94" s="39">
        <f>資料儲存!F1994</f>
        <v>0</v>
      </c>
      <c r="E94" s="39">
        <f>資料儲存!G1994</f>
        <v>0</v>
      </c>
      <c r="F94" s="39">
        <f>資料儲存!H1994</f>
        <v>0</v>
      </c>
      <c r="G94" s="39">
        <f>資料儲存!I1994</f>
        <v>0</v>
      </c>
      <c r="H94" s="39">
        <f>資料儲存!J1994</f>
        <v>0</v>
      </c>
      <c r="I94" s="58"/>
      <c r="J94" s="61">
        <v>13</v>
      </c>
      <c r="K94" s="39">
        <f>資料儲存!D2114</f>
        <v>0</v>
      </c>
      <c r="L94" s="39">
        <f>資料儲存!E2114</f>
        <v>0</v>
      </c>
      <c r="M94" s="39">
        <f>資料儲存!F2114</f>
        <v>0</v>
      </c>
      <c r="N94" s="39">
        <f>資料儲存!G2114</f>
        <v>0</v>
      </c>
      <c r="O94" s="39">
        <f>資料儲存!H2114</f>
        <v>0</v>
      </c>
      <c r="P94" s="39">
        <f>資料儲存!I2114</f>
        <v>0</v>
      </c>
      <c r="Q94" s="39">
        <f>資料儲存!J2114</f>
        <v>0</v>
      </c>
      <c r="R94" s="58"/>
      <c r="S94" s="61">
        <v>13</v>
      </c>
      <c r="T94" s="39">
        <f>資料儲存!D2234</f>
        <v>0</v>
      </c>
      <c r="U94" s="39">
        <f>資料儲存!E2234</f>
        <v>0</v>
      </c>
      <c r="V94" s="39">
        <f>資料儲存!F2234</f>
        <v>0</v>
      </c>
      <c r="W94" s="39">
        <f>資料儲存!G2234</f>
        <v>0</v>
      </c>
      <c r="X94" s="39">
        <f>資料儲存!H2234</f>
        <v>0</v>
      </c>
      <c r="Y94" s="39">
        <f>資料儲存!I2234</f>
        <v>0</v>
      </c>
      <c r="Z94" s="39">
        <f>資料儲存!J2234</f>
        <v>0</v>
      </c>
      <c r="AA94" s="58"/>
      <c r="AB94" s="61">
        <v>13</v>
      </c>
      <c r="AC94" s="39">
        <f>資料儲存!D2354</f>
        <v>0</v>
      </c>
      <c r="AD94" s="39">
        <f>資料儲存!E2354</f>
        <v>0</v>
      </c>
      <c r="AE94" s="39">
        <f>資料儲存!F2354</f>
        <v>0</v>
      </c>
      <c r="AF94" s="39">
        <f>資料儲存!G2354</f>
        <v>0</v>
      </c>
      <c r="AG94" s="39">
        <f>資料儲存!H2354</f>
        <v>0</v>
      </c>
      <c r="AH94" s="39">
        <f>資料儲存!I2354</f>
        <v>0</v>
      </c>
      <c r="AI94" s="39">
        <f>資料儲存!J2354</f>
        <v>0</v>
      </c>
      <c r="AJ94" s="58"/>
    </row>
    <row r="95" spans="1:36" ht="16" thickBot="1">
      <c r="A95" s="61">
        <v>14</v>
      </c>
      <c r="B95" s="39">
        <f>資料儲存!D1995</f>
        <v>0</v>
      </c>
      <c r="C95" s="39">
        <f>資料儲存!E1995</f>
        <v>0</v>
      </c>
      <c r="D95" s="39">
        <f>資料儲存!F1995</f>
        <v>0</v>
      </c>
      <c r="E95" s="39">
        <f>資料儲存!G1995</f>
        <v>0</v>
      </c>
      <c r="F95" s="39">
        <f>資料儲存!H1995</f>
        <v>0</v>
      </c>
      <c r="G95" s="39">
        <f>資料儲存!I1995</f>
        <v>0</v>
      </c>
      <c r="H95" s="39">
        <f>資料儲存!J1995</f>
        <v>0</v>
      </c>
      <c r="I95" s="58"/>
      <c r="J95" s="61">
        <v>14</v>
      </c>
      <c r="K95" s="39">
        <f>資料儲存!D2115</f>
        <v>0</v>
      </c>
      <c r="L95" s="39">
        <f>資料儲存!E2115</f>
        <v>0</v>
      </c>
      <c r="M95" s="39">
        <f>資料儲存!F2115</f>
        <v>0</v>
      </c>
      <c r="N95" s="39">
        <f>資料儲存!G2115</f>
        <v>0</v>
      </c>
      <c r="O95" s="39">
        <f>資料儲存!H2115</f>
        <v>0</v>
      </c>
      <c r="P95" s="39">
        <f>資料儲存!I2115</f>
        <v>0</v>
      </c>
      <c r="Q95" s="39">
        <f>資料儲存!J2115</f>
        <v>0</v>
      </c>
      <c r="R95" s="58"/>
      <c r="S95" s="61">
        <v>14</v>
      </c>
      <c r="T95" s="39">
        <f>資料儲存!D2235</f>
        <v>0</v>
      </c>
      <c r="U95" s="39">
        <f>資料儲存!E2235</f>
        <v>0</v>
      </c>
      <c r="V95" s="39">
        <f>資料儲存!F2235</f>
        <v>0</v>
      </c>
      <c r="W95" s="39">
        <f>資料儲存!G2235</f>
        <v>0</v>
      </c>
      <c r="X95" s="39">
        <f>資料儲存!H2235</f>
        <v>0</v>
      </c>
      <c r="Y95" s="39">
        <f>資料儲存!I2235</f>
        <v>0</v>
      </c>
      <c r="Z95" s="39">
        <f>資料儲存!J2235</f>
        <v>0</v>
      </c>
      <c r="AA95" s="58"/>
      <c r="AB95" s="61">
        <v>14</v>
      </c>
      <c r="AC95" s="39">
        <f>資料儲存!D2355</f>
        <v>0</v>
      </c>
      <c r="AD95" s="39">
        <f>資料儲存!E2355</f>
        <v>0</v>
      </c>
      <c r="AE95" s="39">
        <f>資料儲存!F2355</f>
        <v>0</v>
      </c>
      <c r="AF95" s="39">
        <f>資料儲存!G2355</f>
        <v>0</v>
      </c>
      <c r="AG95" s="39">
        <f>資料儲存!H2355</f>
        <v>0</v>
      </c>
      <c r="AH95" s="39">
        <f>資料儲存!I2355</f>
        <v>0</v>
      </c>
      <c r="AI95" s="39">
        <f>資料儲存!J2355</f>
        <v>0</v>
      </c>
      <c r="AJ95" s="58"/>
    </row>
    <row r="96" spans="1:36" ht="16" thickBot="1">
      <c r="A96" s="61">
        <v>15</v>
      </c>
      <c r="B96" s="39">
        <f>資料儲存!D1996</f>
        <v>0</v>
      </c>
      <c r="C96" s="39">
        <f>資料儲存!E1996</f>
        <v>0</v>
      </c>
      <c r="D96" s="39">
        <f>資料儲存!F1996</f>
        <v>0</v>
      </c>
      <c r="E96" s="39">
        <f>資料儲存!G1996</f>
        <v>0</v>
      </c>
      <c r="F96" s="39">
        <f>資料儲存!H1996</f>
        <v>0</v>
      </c>
      <c r="G96" s="39">
        <f>資料儲存!I1996</f>
        <v>0</v>
      </c>
      <c r="H96" s="39">
        <f>資料儲存!J1996</f>
        <v>0</v>
      </c>
      <c r="I96" s="58"/>
      <c r="J96" s="61">
        <v>15</v>
      </c>
      <c r="K96" s="39">
        <f>資料儲存!D2116</f>
        <v>0</v>
      </c>
      <c r="L96" s="39">
        <f>資料儲存!E2116</f>
        <v>0</v>
      </c>
      <c r="M96" s="39">
        <f>資料儲存!F2116</f>
        <v>0</v>
      </c>
      <c r="N96" s="39">
        <f>資料儲存!G2116</f>
        <v>0</v>
      </c>
      <c r="O96" s="39">
        <f>資料儲存!H2116</f>
        <v>0</v>
      </c>
      <c r="P96" s="39">
        <f>資料儲存!I2116</f>
        <v>0</v>
      </c>
      <c r="Q96" s="39">
        <f>資料儲存!J2116</f>
        <v>0</v>
      </c>
      <c r="R96" s="58"/>
      <c r="S96" s="61">
        <v>15</v>
      </c>
      <c r="T96" s="39">
        <f>資料儲存!D2236</f>
        <v>0</v>
      </c>
      <c r="U96" s="39">
        <f>資料儲存!E2236</f>
        <v>0</v>
      </c>
      <c r="V96" s="39">
        <f>資料儲存!F2236</f>
        <v>0</v>
      </c>
      <c r="W96" s="39">
        <f>資料儲存!G2236</f>
        <v>0</v>
      </c>
      <c r="X96" s="39">
        <f>資料儲存!H2236</f>
        <v>0</v>
      </c>
      <c r="Y96" s="39">
        <f>資料儲存!I2236</f>
        <v>0</v>
      </c>
      <c r="Z96" s="39">
        <f>資料儲存!J2236</f>
        <v>0</v>
      </c>
      <c r="AA96" s="58"/>
      <c r="AB96" s="61">
        <v>15</v>
      </c>
      <c r="AC96" s="39">
        <f>資料儲存!D2356</f>
        <v>0</v>
      </c>
      <c r="AD96" s="39">
        <f>資料儲存!E2356</f>
        <v>0</v>
      </c>
      <c r="AE96" s="39">
        <f>資料儲存!F2356</f>
        <v>0</v>
      </c>
      <c r="AF96" s="39">
        <f>資料儲存!G2356</f>
        <v>0</v>
      </c>
      <c r="AG96" s="39">
        <f>資料儲存!H2356</f>
        <v>0</v>
      </c>
      <c r="AH96" s="39">
        <f>資料儲存!I2356</f>
        <v>0</v>
      </c>
      <c r="AI96" s="39">
        <f>資料儲存!J2356</f>
        <v>0</v>
      </c>
      <c r="AJ96" s="58"/>
    </row>
    <row r="97" spans="1:36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35"/>
    </row>
    <row r="98" spans="1:36" ht="18.5" thickBot="1">
      <c r="A98" s="259" t="s">
        <v>82</v>
      </c>
      <c r="B98" s="260"/>
      <c r="C98" s="260"/>
      <c r="D98" s="260"/>
      <c r="E98" s="260"/>
      <c r="F98" s="260"/>
      <c r="G98" s="260"/>
      <c r="H98" s="261"/>
      <c r="I98" s="14"/>
      <c r="J98" s="259" t="s">
        <v>82</v>
      </c>
      <c r="K98" s="260"/>
      <c r="L98" s="260"/>
      <c r="M98" s="260"/>
      <c r="N98" s="260"/>
      <c r="O98" s="260"/>
      <c r="P98" s="260"/>
      <c r="Q98" s="261"/>
      <c r="R98" s="14"/>
      <c r="S98" s="259" t="s">
        <v>82</v>
      </c>
      <c r="T98" s="260"/>
      <c r="U98" s="260"/>
      <c r="V98" s="260"/>
      <c r="W98" s="260"/>
      <c r="X98" s="260"/>
      <c r="Y98" s="260"/>
      <c r="Z98" s="261"/>
      <c r="AA98" s="14"/>
      <c r="AB98" s="259" t="s">
        <v>82</v>
      </c>
      <c r="AC98" s="260"/>
      <c r="AD98" s="260"/>
      <c r="AE98" s="260"/>
      <c r="AF98" s="260"/>
      <c r="AG98" s="260"/>
      <c r="AH98" s="260"/>
      <c r="AI98" s="261"/>
      <c r="AJ98" s="14"/>
    </row>
    <row r="99" spans="1:36" ht="17.25" customHeight="1" thickBot="1">
      <c r="A99" s="62" t="s">
        <v>2</v>
      </c>
      <c r="B99" s="63" t="s">
        <v>46</v>
      </c>
      <c r="C99" s="64"/>
      <c r="D99" s="64"/>
      <c r="E99" s="65"/>
      <c r="F99" s="63" t="s">
        <v>47</v>
      </c>
      <c r="G99" s="64"/>
      <c r="H99" s="65"/>
      <c r="I99" s="52"/>
      <c r="J99" s="62" t="s">
        <v>2</v>
      </c>
      <c r="K99" s="63" t="s">
        <v>46</v>
      </c>
      <c r="L99" s="64"/>
      <c r="M99" s="64"/>
      <c r="N99" s="65"/>
      <c r="O99" s="63" t="s">
        <v>47</v>
      </c>
      <c r="P99" s="64"/>
      <c r="Q99" s="65"/>
      <c r="R99" s="52"/>
      <c r="S99" s="62" t="s">
        <v>2</v>
      </c>
      <c r="T99" s="63" t="s">
        <v>46</v>
      </c>
      <c r="U99" s="64"/>
      <c r="V99" s="64"/>
      <c r="W99" s="65"/>
      <c r="X99" s="63" t="s">
        <v>47</v>
      </c>
      <c r="Y99" s="64"/>
      <c r="Z99" s="65"/>
      <c r="AA99" s="52"/>
      <c r="AB99" s="62" t="s">
        <v>2</v>
      </c>
      <c r="AC99" s="63" t="s">
        <v>46</v>
      </c>
      <c r="AD99" s="64"/>
      <c r="AE99" s="64"/>
      <c r="AF99" s="65"/>
      <c r="AG99" s="63" t="s">
        <v>47</v>
      </c>
      <c r="AH99" s="64"/>
      <c r="AI99" s="65"/>
      <c r="AJ99" s="52"/>
    </row>
    <row r="100" spans="1:36" ht="16" thickBot="1">
      <c r="A100" s="66" t="s">
        <v>83</v>
      </c>
      <c r="B100" s="67" t="s">
        <v>49</v>
      </c>
      <c r="C100" s="67" t="s">
        <v>50</v>
      </c>
      <c r="D100" s="67" t="s">
        <v>51</v>
      </c>
      <c r="E100" s="67" t="s">
        <v>52</v>
      </c>
      <c r="F100" s="67" t="s">
        <v>53</v>
      </c>
      <c r="G100" s="67" t="s">
        <v>54</v>
      </c>
      <c r="H100" s="67" t="s">
        <v>55</v>
      </c>
      <c r="I100" s="52"/>
      <c r="J100" s="66" t="s">
        <v>83</v>
      </c>
      <c r="K100" s="67" t="s">
        <v>49</v>
      </c>
      <c r="L100" s="67" t="s">
        <v>50</v>
      </c>
      <c r="M100" s="67" t="s">
        <v>51</v>
      </c>
      <c r="N100" s="67" t="s">
        <v>52</v>
      </c>
      <c r="O100" s="67" t="s">
        <v>53</v>
      </c>
      <c r="P100" s="67" t="s">
        <v>54</v>
      </c>
      <c r="Q100" s="67" t="s">
        <v>55</v>
      </c>
      <c r="R100" s="52"/>
      <c r="S100" s="66" t="s">
        <v>83</v>
      </c>
      <c r="T100" s="67" t="s">
        <v>49</v>
      </c>
      <c r="U100" s="67" t="s">
        <v>50</v>
      </c>
      <c r="V100" s="67" t="s">
        <v>51</v>
      </c>
      <c r="W100" s="67" t="s">
        <v>52</v>
      </c>
      <c r="X100" s="67" t="s">
        <v>53</v>
      </c>
      <c r="Y100" s="67" t="s">
        <v>54</v>
      </c>
      <c r="Z100" s="67" t="s">
        <v>55</v>
      </c>
      <c r="AA100" s="52"/>
      <c r="AB100" s="66" t="s">
        <v>83</v>
      </c>
      <c r="AC100" s="67" t="s">
        <v>49</v>
      </c>
      <c r="AD100" s="67" t="s">
        <v>50</v>
      </c>
      <c r="AE100" s="67" t="s">
        <v>51</v>
      </c>
      <c r="AF100" s="67" t="s">
        <v>52</v>
      </c>
      <c r="AG100" s="67" t="s">
        <v>53</v>
      </c>
      <c r="AH100" s="67" t="s">
        <v>54</v>
      </c>
      <c r="AI100" s="67" t="s">
        <v>55</v>
      </c>
      <c r="AJ100" s="52"/>
    </row>
    <row r="101" spans="1:36" ht="16" thickBot="1">
      <c r="A101" s="68">
        <v>16</v>
      </c>
      <c r="B101" s="49">
        <f>資料儲存!D1997</f>
        <v>0</v>
      </c>
      <c r="C101" s="49">
        <f>資料儲存!E1997</f>
        <v>0</v>
      </c>
      <c r="D101" s="49">
        <f>資料儲存!F1997</f>
        <v>0</v>
      </c>
      <c r="E101" s="49">
        <f>資料儲存!G1997</f>
        <v>0</v>
      </c>
      <c r="F101" s="49">
        <f>資料儲存!H1997</f>
        <v>0</v>
      </c>
      <c r="G101" s="49">
        <f>資料儲存!I1997</f>
        <v>0</v>
      </c>
      <c r="H101" s="49">
        <f>資料儲存!J1997</f>
        <v>0</v>
      </c>
      <c r="I101" s="52"/>
      <c r="J101" s="68">
        <v>16</v>
      </c>
      <c r="K101" s="49">
        <f>資料儲存!D2117</f>
        <v>0</v>
      </c>
      <c r="L101" s="49">
        <f>資料儲存!E2117</f>
        <v>0</v>
      </c>
      <c r="M101" s="49">
        <f>資料儲存!F2117</f>
        <v>0</v>
      </c>
      <c r="N101" s="49">
        <f>資料儲存!G2117</f>
        <v>0</v>
      </c>
      <c r="O101" s="49">
        <f>資料儲存!H2117</f>
        <v>0</v>
      </c>
      <c r="P101" s="49">
        <f>資料儲存!I2117</f>
        <v>0</v>
      </c>
      <c r="Q101" s="49">
        <f>資料儲存!J2117</f>
        <v>0</v>
      </c>
      <c r="R101" s="52"/>
      <c r="S101" s="68">
        <v>16</v>
      </c>
      <c r="T101" s="49">
        <f>資料儲存!D2237</f>
        <v>0</v>
      </c>
      <c r="U101" s="49">
        <f>資料儲存!E2237</f>
        <v>0</v>
      </c>
      <c r="V101" s="49">
        <f>資料儲存!F2237</f>
        <v>0</v>
      </c>
      <c r="W101" s="49">
        <f>資料儲存!G2237</f>
        <v>0</v>
      </c>
      <c r="X101" s="49">
        <f>資料儲存!H2237</f>
        <v>0</v>
      </c>
      <c r="Y101" s="49">
        <f>資料儲存!I2237</f>
        <v>0</v>
      </c>
      <c r="Z101" s="49">
        <f>資料儲存!J2237</f>
        <v>0</v>
      </c>
      <c r="AA101" s="52"/>
      <c r="AB101" s="68">
        <v>16</v>
      </c>
      <c r="AC101" s="49">
        <f>資料儲存!D2357</f>
        <v>0</v>
      </c>
      <c r="AD101" s="49">
        <f>資料儲存!E2357</f>
        <v>0</v>
      </c>
      <c r="AE101" s="49">
        <f>資料儲存!F2357</f>
        <v>0</v>
      </c>
      <c r="AF101" s="49">
        <f>資料儲存!G2357</f>
        <v>0</v>
      </c>
      <c r="AG101" s="49">
        <f>資料儲存!H2357</f>
        <v>0</v>
      </c>
      <c r="AH101" s="49">
        <f>資料儲存!I2357</f>
        <v>0</v>
      </c>
      <c r="AI101" s="49">
        <f>資料儲存!J2357</f>
        <v>0</v>
      </c>
      <c r="AJ101" s="52"/>
    </row>
    <row r="102" spans="1:36" ht="16" thickBot="1">
      <c r="A102" s="68">
        <v>17</v>
      </c>
      <c r="B102" s="49">
        <f>資料儲存!D1998</f>
        <v>0</v>
      </c>
      <c r="C102" s="49">
        <f>資料儲存!E1998</f>
        <v>0</v>
      </c>
      <c r="D102" s="49">
        <f>資料儲存!F1998</f>
        <v>0</v>
      </c>
      <c r="E102" s="49">
        <f>資料儲存!G1998</f>
        <v>0</v>
      </c>
      <c r="F102" s="49">
        <f>資料儲存!H1998</f>
        <v>0</v>
      </c>
      <c r="G102" s="49">
        <f>資料儲存!I1998</f>
        <v>0</v>
      </c>
      <c r="H102" s="49">
        <f>資料儲存!J1998</f>
        <v>0</v>
      </c>
      <c r="I102" s="52"/>
      <c r="J102" s="68">
        <v>17</v>
      </c>
      <c r="K102" s="49">
        <f>資料儲存!D2118</f>
        <v>0</v>
      </c>
      <c r="L102" s="49">
        <f>資料儲存!E2118</f>
        <v>0</v>
      </c>
      <c r="M102" s="49">
        <f>資料儲存!F2118</f>
        <v>0</v>
      </c>
      <c r="N102" s="49">
        <f>資料儲存!G2118</f>
        <v>0</v>
      </c>
      <c r="O102" s="49">
        <f>資料儲存!H2118</f>
        <v>0</v>
      </c>
      <c r="P102" s="49">
        <f>資料儲存!I2118</f>
        <v>0</v>
      </c>
      <c r="Q102" s="49">
        <f>資料儲存!J2118</f>
        <v>0</v>
      </c>
      <c r="R102" s="52"/>
      <c r="S102" s="68">
        <v>17</v>
      </c>
      <c r="T102" s="49">
        <f>資料儲存!D2238</f>
        <v>0</v>
      </c>
      <c r="U102" s="49">
        <f>資料儲存!E2238</f>
        <v>0</v>
      </c>
      <c r="V102" s="49">
        <f>資料儲存!F2238</f>
        <v>0</v>
      </c>
      <c r="W102" s="49">
        <f>資料儲存!G2238</f>
        <v>0</v>
      </c>
      <c r="X102" s="49">
        <f>資料儲存!H2238</f>
        <v>0</v>
      </c>
      <c r="Y102" s="49">
        <f>資料儲存!I2238</f>
        <v>0</v>
      </c>
      <c r="Z102" s="49">
        <f>資料儲存!J2238</f>
        <v>0</v>
      </c>
      <c r="AA102" s="52"/>
      <c r="AB102" s="68">
        <v>17</v>
      </c>
      <c r="AC102" s="49">
        <f>資料儲存!D2358</f>
        <v>0</v>
      </c>
      <c r="AD102" s="49">
        <f>資料儲存!E2358</f>
        <v>0</v>
      </c>
      <c r="AE102" s="49">
        <f>資料儲存!F2358</f>
        <v>0</v>
      </c>
      <c r="AF102" s="49">
        <f>資料儲存!G2358</f>
        <v>0</v>
      </c>
      <c r="AG102" s="49">
        <f>資料儲存!H2358</f>
        <v>0</v>
      </c>
      <c r="AH102" s="49">
        <f>資料儲存!I2358</f>
        <v>0</v>
      </c>
      <c r="AI102" s="49">
        <f>資料儲存!J2358</f>
        <v>0</v>
      </c>
      <c r="AJ102" s="52"/>
    </row>
    <row r="103" spans="1:36" ht="16" thickBot="1">
      <c r="A103" s="68">
        <v>18</v>
      </c>
      <c r="B103" s="49">
        <f>資料儲存!D1999</f>
        <v>0</v>
      </c>
      <c r="C103" s="49">
        <f>資料儲存!E1999</f>
        <v>0</v>
      </c>
      <c r="D103" s="49">
        <f>資料儲存!F1999</f>
        <v>0</v>
      </c>
      <c r="E103" s="49">
        <f>資料儲存!G1999</f>
        <v>0</v>
      </c>
      <c r="F103" s="49">
        <f>資料儲存!H1999</f>
        <v>0</v>
      </c>
      <c r="G103" s="49">
        <f>資料儲存!I1999</f>
        <v>0</v>
      </c>
      <c r="H103" s="49">
        <f>資料儲存!J1999</f>
        <v>0</v>
      </c>
      <c r="I103" s="52"/>
      <c r="J103" s="68">
        <v>18</v>
      </c>
      <c r="K103" s="49">
        <f>資料儲存!D2119</f>
        <v>0</v>
      </c>
      <c r="L103" s="49">
        <f>資料儲存!E2119</f>
        <v>0</v>
      </c>
      <c r="M103" s="49">
        <f>資料儲存!F2119</f>
        <v>0</v>
      </c>
      <c r="N103" s="49">
        <f>資料儲存!G2119</f>
        <v>0</v>
      </c>
      <c r="O103" s="49">
        <f>資料儲存!H2119</f>
        <v>0</v>
      </c>
      <c r="P103" s="49">
        <f>資料儲存!I2119</f>
        <v>0</v>
      </c>
      <c r="Q103" s="49">
        <f>資料儲存!J2119</f>
        <v>0</v>
      </c>
      <c r="R103" s="52"/>
      <c r="S103" s="68">
        <v>18</v>
      </c>
      <c r="T103" s="49">
        <f>資料儲存!D2239</f>
        <v>0</v>
      </c>
      <c r="U103" s="49">
        <f>資料儲存!E2239</f>
        <v>0</v>
      </c>
      <c r="V103" s="49">
        <f>資料儲存!F2239</f>
        <v>0</v>
      </c>
      <c r="W103" s="49">
        <f>資料儲存!G2239</f>
        <v>0</v>
      </c>
      <c r="X103" s="49">
        <f>資料儲存!H2239</f>
        <v>0</v>
      </c>
      <c r="Y103" s="49">
        <f>資料儲存!I2239</f>
        <v>0</v>
      </c>
      <c r="Z103" s="49">
        <f>資料儲存!J2239</f>
        <v>0</v>
      </c>
      <c r="AA103" s="52"/>
      <c r="AB103" s="68">
        <v>18</v>
      </c>
      <c r="AC103" s="49">
        <f>資料儲存!D2359</f>
        <v>0</v>
      </c>
      <c r="AD103" s="49">
        <f>資料儲存!E2359</f>
        <v>0</v>
      </c>
      <c r="AE103" s="49">
        <f>資料儲存!F2359</f>
        <v>0</v>
      </c>
      <c r="AF103" s="49">
        <f>資料儲存!G2359</f>
        <v>0</v>
      </c>
      <c r="AG103" s="49">
        <f>資料儲存!H2359</f>
        <v>0</v>
      </c>
      <c r="AH103" s="49">
        <f>資料儲存!I2359</f>
        <v>0</v>
      </c>
      <c r="AI103" s="49">
        <f>資料儲存!J2359</f>
        <v>0</v>
      </c>
      <c r="AJ103" s="52"/>
    </row>
    <row r="104" spans="1:36" ht="16" thickBot="1">
      <c r="A104" s="68">
        <v>19</v>
      </c>
      <c r="B104" s="49">
        <f>資料儲存!D2000</f>
        <v>0</v>
      </c>
      <c r="C104" s="49">
        <f>資料儲存!E2000</f>
        <v>0</v>
      </c>
      <c r="D104" s="49">
        <f>資料儲存!F2000</f>
        <v>0</v>
      </c>
      <c r="E104" s="49">
        <f>資料儲存!G2000</f>
        <v>0</v>
      </c>
      <c r="F104" s="49">
        <f>資料儲存!H2000</f>
        <v>0</v>
      </c>
      <c r="G104" s="49">
        <f>資料儲存!I2000</f>
        <v>0</v>
      </c>
      <c r="H104" s="49">
        <f>資料儲存!J2000</f>
        <v>0</v>
      </c>
      <c r="I104" s="52"/>
      <c r="J104" s="68">
        <v>19</v>
      </c>
      <c r="K104" s="49">
        <f>資料儲存!D2120</f>
        <v>0</v>
      </c>
      <c r="L104" s="49">
        <f>資料儲存!E2120</f>
        <v>0</v>
      </c>
      <c r="M104" s="49">
        <f>資料儲存!F2120</f>
        <v>0</v>
      </c>
      <c r="N104" s="49">
        <f>資料儲存!G2120</f>
        <v>0</v>
      </c>
      <c r="O104" s="49">
        <f>資料儲存!H2120</f>
        <v>0</v>
      </c>
      <c r="P104" s="49">
        <f>資料儲存!I2120</f>
        <v>0</v>
      </c>
      <c r="Q104" s="49">
        <f>資料儲存!J2120</f>
        <v>0</v>
      </c>
      <c r="R104" s="52"/>
      <c r="S104" s="68">
        <v>19</v>
      </c>
      <c r="T104" s="49">
        <f>資料儲存!D2240</f>
        <v>0</v>
      </c>
      <c r="U104" s="49">
        <f>資料儲存!E2240</f>
        <v>0</v>
      </c>
      <c r="V104" s="49">
        <f>資料儲存!F2240</f>
        <v>0</v>
      </c>
      <c r="W104" s="49">
        <f>資料儲存!G2240</f>
        <v>0</v>
      </c>
      <c r="X104" s="49">
        <f>資料儲存!H2240</f>
        <v>0</v>
      </c>
      <c r="Y104" s="49">
        <f>資料儲存!I2240</f>
        <v>0</v>
      </c>
      <c r="Z104" s="49">
        <f>資料儲存!J2240</f>
        <v>0</v>
      </c>
      <c r="AA104" s="52"/>
      <c r="AB104" s="68">
        <v>19</v>
      </c>
      <c r="AC104" s="49">
        <f>資料儲存!D2360</f>
        <v>0</v>
      </c>
      <c r="AD104" s="49">
        <f>資料儲存!E2360</f>
        <v>0</v>
      </c>
      <c r="AE104" s="49">
        <f>資料儲存!F2360</f>
        <v>0</v>
      </c>
      <c r="AF104" s="49">
        <f>資料儲存!G2360</f>
        <v>0</v>
      </c>
      <c r="AG104" s="49">
        <f>資料儲存!H2360</f>
        <v>0</v>
      </c>
      <c r="AH104" s="49">
        <f>資料儲存!I2360</f>
        <v>0</v>
      </c>
      <c r="AI104" s="49">
        <f>資料儲存!J2360</f>
        <v>0</v>
      </c>
      <c r="AJ104" s="52"/>
    </row>
    <row r="105" spans="1:36" ht="16" thickBot="1">
      <c r="A105" s="68">
        <v>20</v>
      </c>
      <c r="B105" s="49">
        <f>資料儲存!D2001</f>
        <v>0</v>
      </c>
      <c r="C105" s="49">
        <f>資料儲存!E2001</f>
        <v>0</v>
      </c>
      <c r="D105" s="49">
        <f>資料儲存!F2001</f>
        <v>0</v>
      </c>
      <c r="E105" s="49">
        <f>資料儲存!G2001</f>
        <v>0</v>
      </c>
      <c r="F105" s="49">
        <f>資料儲存!H2001</f>
        <v>0</v>
      </c>
      <c r="G105" s="49">
        <f>資料儲存!I2001</f>
        <v>0</v>
      </c>
      <c r="H105" s="49">
        <f>資料儲存!J2001</f>
        <v>0</v>
      </c>
      <c r="I105" s="52"/>
      <c r="J105" s="68">
        <v>20</v>
      </c>
      <c r="K105" s="49">
        <f>資料儲存!D2121</f>
        <v>0</v>
      </c>
      <c r="L105" s="49">
        <f>資料儲存!E2121</f>
        <v>0</v>
      </c>
      <c r="M105" s="49">
        <f>資料儲存!F2121</f>
        <v>0</v>
      </c>
      <c r="N105" s="49">
        <f>資料儲存!G2121</f>
        <v>0</v>
      </c>
      <c r="O105" s="49">
        <f>資料儲存!H2121</f>
        <v>0</v>
      </c>
      <c r="P105" s="49">
        <f>資料儲存!I2121</f>
        <v>0</v>
      </c>
      <c r="Q105" s="49">
        <f>資料儲存!J2121</f>
        <v>0</v>
      </c>
      <c r="R105" s="52"/>
      <c r="S105" s="68">
        <v>20</v>
      </c>
      <c r="T105" s="49">
        <f>資料儲存!D2241</f>
        <v>0</v>
      </c>
      <c r="U105" s="49">
        <f>資料儲存!E2241</f>
        <v>0</v>
      </c>
      <c r="V105" s="49">
        <f>資料儲存!F2241</f>
        <v>0</v>
      </c>
      <c r="W105" s="49">
        <f>資料儲存!G2241</f>
        <v>0</v>
      </c>
      <c r="X105" s="49">
        <f>資料儲存!H2241</f>
        <v>0</v>
      </c>
      <c r="Y105" s="49">
        <f>資料儲存!I2241</f>
        <v>0</v>
      </c>
      <c r="Z105" s="49">
        <f>資料儲存!J2241</f>
        <v>0</v>
      </c>
      <c r="AA105" s="52"/>
      <c r="AB105" s="68">
        <v>20</v>
      </c>
      <c r="AC105" s="49">
        <f>資料儲存!D2361</f>
        <v>0</v>
      </c>
      <c r="AD105" s="49">
        <f>資料儲存!E2361</f>
        <v>0</v>
      </c>
      <c r="AE105" s="49">
        <f>資料儲存!F2361</f>
        <v>0</v>
      </c>
      <c r="AF105" s="49">
        <f>資料儲存!G2361</f>
        <v>0</v>
      </c>
      <c r="AG105" s="49">
        <f>資料儲存!H2361</f>
        <v>0</v>
      </c>
      <c r="AH105" s="49">
        <f>資料儲存!I2361</f>
        <v>0</v>
      </c>
      <c r="AI105" s="49">
        <f>資料儲存!J2361</f>
        <v>0</v>
      </c>
      <c r="AJ105" s="52"/>
    </row>
    <row r="106" spans="1:36" ht="16" thickBot="1">
      <c r="A106" s="68">
        <v>21</v>
      </c>
      <c r="B106" s="49">
        <f>資料儲存!D2002</f>
        <v>0</v>
      </c>
      <c r="C106" s="49">
        <f>資料儲存!E2002</f>
        <v>0</v>
      </c>
      <c r="D106" s="49">
        <f>資料儲存!F2002</f>
        <v>0</v>
      </c>
      <c r="E106" s="49">
        <f>資料儲存!G2002</f>
        <v>0</v>
      </c>
      <c r="F106" s="49">
        <f>資料儲存!H2002</f>
        <v>0</v>
      </c>
      <c r="G106" s="49">
        <f>資料儲存!I2002</f>
        <v>0</v>
      </c>
      <c r="H106" s="49">
        <f>資料儲存!J2002</f>
        <v>0</v>
      </c>
      <c r="I106" s="52"/>
      <c r="J106" s="68">
        <v>21</v>
      </c>
      <c r="K106" s="49">
        <f>資料儲存!D2122</f>
        <v>0</v>
      </c>
      <c r="L106" s="49">
        <f>資料儲存!E2122</f>
        <v>0</v>
      </c>
      <c r="M106" s="49">
        <f>資料儲存!F2122</f>
        <v>0</v>
      </c>
      <c r="N106" s="49">
        <f>資料儲存!G2122</f>
        <v>0</v>
      </c>
      <c r="O106" s="49">
        <f>資料儲存!H2122</f>
        <v>0</v>
      </c>
      <c r="P106" s="49">
        <f>資料儲存!I2122</f>
        <v>0</v>
      </c>
      <c r="Q106" s="49">
        <f>資料儲存!J2122</f>
        <v>0</v>
      </c>
      <c r="R106" s="52"/>
      <c r="S106" s="68">
        <v>21</v>
      </c>
      <c r="T106" s="49">
        <f>資料儲存!D2242</f>
        <v>0</v>
      </c>
      <c r="U106" s="49">
        <f>資料儲存!E2242</f>
        <v>0</v>
      </c>
      <c r="V106" s="49">
        <f>資料儲存!F2242</f>
        <v>0</v>
      </c>
      <c r="W106" s="49">
        <f>資料儲存!G2242</f>
        <v>0</v>
      </c>
      <c r="X106" s="49">
        <f>資料儲存!H2242</f>
        <v>0</v>
      </c>
      <c r="Y106" s="49">
        <f>資料儲存!I2242</f>
        <v>0</v>
      </c>
      <c r="Z106" s="49">
        <f>資料儲存!J2242</f>
        <v>0</v>
      </c>
      <c r="AA106" s="52"/>
      <c r="AB106" s="68">
        <v>21</v>
      </c>
      <c r="AC106" s="49">
        <f>資料儲存!D2362</f>
        <v>0</v>
      </c>
      <c r="AD106" s="49">
        <f>資料儲存!E2362</f>
        <v>0</v>
      </c>
      <c r="AE106" s="49">
        <f>資料儲存!F2362</f>
        <v>0</v>
      </c>
      <c r="AF106" s="49">
        <f>資料儲存!G2362</f>
        <v>0</v>
      </c>
      <c r="AG106" s="49">
        <f>資料儲存!H2362</f>
        <v>0</v>
      </c>
      <c r="AH106" s="49">
        <f>資料儲存!I2362</f>
        <v>0</v>
      </c>
      <c r="AI106" s="49">
        <f>資料儲存!J2362</f>
        <v>0</v>
      </c>
      <c r="AJ106" s="52"/>
    </row>
    <row r="107" spans="1:36" ht="16" thickBot="1">
      <c r="A107" s="68">
        <v>22</v>
      </c>
      <c r="B107" s="49">
        <f>資料儲存!D2003</f>
        <v>0</v>
      </c>
      <c r="C107" s="49">
        <f>資料儲存!E2003</f>
        <v>0</v>
      </c>
      <c r="D107" s="49">
        <f>資料儲存!F2003</f>
        <v>0</v>
      </c>
      <c r="E107" s="49">
        <f>資料儲存!G2003</f>
        <v>0</v>
      </c>
      <c r="F107" s="49">
        <f>資料儲存!H2003</f>
        <v>0</v>
      </c>
      <c r="G107" s="49">
        <f>資料儲存!I2003</f>
        <v>0</v>
      </c>
      <c r="H107" s="49">
        <f>資料儲存!J2003</f>
        <v>0</v>
      </c>
      <c r="I107" s="52"/>
      <c r="J107" s="68">
        <v>22</v>
      </c>
      <c r="K107" s="49">
        <f>資料儲存!D2123</f>
        <v>0</v>
      </c>
      <c r="L107" s="49">
        <f>資料儲存!E2123</f>
        <v>0</v>
      </c>
      <c r="M107" s="49">
        <f>資料儲存!F2123</f>
        <v>0</v>
      </c>
      <c r="N107" s="49">
        <f>資料儲存!G2123</f>
        <v>0</v>
      </c>
      <c r="O107" s="49">
        <f>資料儲存!H2123</f>
        <v>0</v>
      </c>
      <c r="P107" s="49">
        <f>資料儲存!I2123</f>
        <v>0</v>
      </c>
      <c r="Q107" s="49">
        <f>資料儲存!J2123</f>
        <v>0</v>
      </c>
      <c r="R107" s="52"/>
      <c r="S107" s="68">
        <v>22</v>
      </c>
      <c r="T107" s="49">
        <f>資料儲存!D2243</f>
        <v>0</v>
      </c>
      <c r="U107" s="49">
        <f>資料儲存!E2243</f>
        <v>0</v>
      </c>
      <c r="V107" s="49">
        <f>資料儲存!F2243</f>
        <v>0</v>
      </c>
      <c r="W107" s="49">
        <f>資料儲存!G2243</f>
        <v>0</v>
      </c>
      <c r="X107" s="49">
        <f>資料儲存!H2243</f>
        <v>0</v>
      </c>
      <c r="Y107" s="49">
        <f>資料儲存!I2243</f>
        <v>0</v>
      </c>
      <c r="Z107" s="49">
        <f>資料儲存!J2243</f>
        <v>0</v>
      </c>
      <c r="AA107" s="52"/>
      <c r="AB107" s="68">
        <v>22</v>
      </c>
      <c r="AC107" s="49">
        <f>資料儲存!D2363</f>
        <v>0</v>
      </c>
      <c r="AD107" s="49">
        <f>資料儲存!E2363</f>
        <v>0</v>
      </c>
      <c r="AE107" s="49">
        <f>資料儲存!F2363</f>
        <v>0</v>
      </c>
      <c r="AF107" s="49">
        <f>資料儲存!G2363</f>
        <v>0</v>
      </c>
      <c r="AG107" s="49">
        <f>資料儲存!H2363</f>
        <v>0</v>
      </c>
      <c r="AH107" s="49">
        <f>資料儲存!I2363</f>
        <v>0</v>
      </c>
      <c r="AI107" s="49">
        <f>資料儲存!J2363</f>
        <v>0</v>
      </c>
      <c r="AJ107" s="52"/>
    </row>
    <row r="108" spans="1:36" ht="16" thickBot="1">
      <c r="A108" s="68">
        <v>23</v>
      </c>
      <c r="B108" s="49">
        <f>資料儲存!D2004</f>
        <v>0</v>
      </c>
      <c r="C108" s="49">
        <f>資料儲存!E2004</f>
        <v>0</v>
      </c>
      <c r="D108" s="49">
        <f>資料儲存!F2004</f>
        <v>0</v>
      </c>
      <c r="E108" s="49">
        <f>資料儲存!G2004</f>
        <v>0</v>
      </c>
      <c r="F108" s="49">
        <f>資料儲存!H2004</f>
        <v>0</v>
      </c>
      <c r="G108" s="49">
        <f>資料儲存!I2004</f>
        <v>0</v>
      </c>
      <c r="H108" s="49">
        <f>資料儲存!J2004</f>
        <v>0</v>
      </c>
      <c r="I108" s="52"/>
      <c r="J108" s="68">
        <v>23</v>
      </c>
      <c r="K108" s="49">
        <f>資料儲存!D2124</f>
        <v>0</v>
      </c>
      <c r="L108" s="49">
        <f>資料儲存!E2124</f>
        <v>0</v>
      </c>
      <c r="M108" s="49">
        <f>資料儲存!F2124</f>
        <v>0</v>
      </c>
      <c r="N108" s="49">
        <f>資料儲存!G2124</f>
        <v>0</v>
      </c>
      <c r="O108" s="49">
        <f>資料儲存!H2124</f>
        <v>0</v>
      </c>
      <c r="P108" s="49">
        <f>資料儲存!I2124</f>
        <v>0</v>
      </c>
      <c r="Q108" s="49">
        <f>資料儲存!J2124</f>
        <v>0</v>
      </c>
      <c r="R108" s="52"/>
      <c r="S108" s="68">
        <v>23</v>
      </c>
      <c r="T108" s="49">
        <f>資料儲存!D2244</f>
        <v>0</v>
      </c>
      <c r="U108" s="49">
        <f>資料儲存!E2244</f>
        <v>0</v>
      </c>
      <c r="V108" s="49">
        <f>資料儲存!F2244</f>
        <v>0</v>
      </c>
      <c r="W108" s="49">
        <f>資料儲存!G2244</f>
        <v>0</v>
      </c>
      <c r="X108" s="49">
        <f>資料儲存!H2244</f>
        <v>0</v>
      </c>
      <c r="Y108" s="49">
        <f>資料儲存!I2244</f>
        <v>0</v>
      </c>
      <c r="Z108" s="49">
        <f>資料儲存!J2244</f>
        <v>0</v>
      </c>
      <c r="AA108" s="52"/>
      <c r="AB108" s="68">
        <v>23</v>
      </c>
      <c r="AC108" s="49">
        <f>資料儲存!D2364</f>
        <v>0</v>
      </c>
      <c r="AD108" s="49">
        <f>資料儲存!E2364</f>
        <v>0</v>
      </c>
      <c r="AE108" s="49">
        <f>資料儲存!F2364</f>
        <v>0</v>
      </c>
      <c r="AF108" s="49">
        <f>資料儲存!G2364</f>
        <v>0</v>
      </c>
      <c r="AG108" s="49">
        <f>資料儲存!H2364</f>
        <v>0</v>
      </c>
      <c r="AH108" s="49">
        <f>資料儲存!I2364</f>
        <v>0</v>
      </c>
      <c r="AI108" s="49">
        <f>資料儲存!J2364</f>
        <v>0</v>
      </c>
      <c r="AJ108" s="52"/>
    </row>
    <row r="109" spans="1:36" ht="16" thickBot="1">
      <c r="A109" s="68">
        <v>24</v>
      </c>
      <c r="B109" s="49">
        <f>資料儲存!D2005</f>
        <v>0</v>
      </c>
      <c r="C109" s="49">
        <f>資料儲存!E2005</f>
        <v>0</v>
      </c>
      <c r="D109" s="49">
        <f>資料儲存!F2005</f>
        <v>0</v>
      </c>
      <c r="E109" s="49">
        <f>資料儲存!G2005</f>
        <v>0</v>
      </c>
      <c r="F109" s="49">
        <f>資料儲存!H2005</f>
        <v>0</v>
      </c>
      <c r="G109" s="49">
        <f>資料儲存!I2005</f>
        <v>0</v>
      </c>
      <c r="H109" s="49">
        <f>資料儲存!J2005</f>
        <v>0</v>
      </c>
      <c r="I109" s="52"/>
      <c r="J109" s="68">
        <v>24</v>
      </c>
      <c r="K109" s="49">
        <f>資料儲存!D2125</f>
        <v>0</v>
      </c>
      <c r="L109" s="49">
        <f>資料儲存!E2125</f>
        <v>0</v>
      </c>
      <c r="M109" s="49">
        <f>資料儲存!F2125</f>
        <v>0</v>
      </c>
      <c r="N109" s="49">
        <f>資料儲存!G2125</f>
        <v>0</v>
      </c>
      <c r="O109" s="49">
        <f>資料儲存!H2125</f>
        <v>0</v>
      </c>
      <c r="P109" s="49">
        <f>資料儲存!I2125</f>
        <v>0</v>
      </c>
      <c r="Q109" s="49">
        <f>資料儲存!J2125</f>
        <v>0</v>
      </c>
      <c r="R109" s="52"/>
      <c r="S109" s="68">
        <v>24</v>
      </c>
      <c r="T109" s="49">
        <f>資料儲存!D2245</f>
        <v>0</v>
      </c>
      <c r="U109" s="49">
        <f>資料儲存!E2245</f>
        <v>0</v>
      </c>
      <c r="V109" s="49">
        <f>資料儲存!F2245</f>
        <v>0</v>
      </c>
      <c r="W109" s="49">
        <f>資料儲存!G2245</f>
        <v>0</v>
      </c>
      <c r="X109" s="49">
        <f>資料儲存!H2245</f>
        <v>0</v>
      </c>
      <c r="Y109" s="49">
        <f>資料儲存!I2245</f>
        <v>0</v>
      </c>
      <c r="Z109" s="49">
        <f>資料儲存!J2245</f>
        <v>0</v>
      </c>
      <c r="AA109" s="52"/>
      <c r="AB109" s="68">
        <v>24</v>
      </c>
      <c r="AC109" s="49">
        <f>資料儲存!D2365</f>
        <v>0</v>
      </c>
      <c r="AD109" s="49">
        <f>資料儲存!E2365</f>
        <v>0</v>
      </c>
      <c r="AE109" s="49">
        <f>資料儲存!F2365</f>
        <v>0</v>
      </c>
      <c r="AF109" s="49">
        <f>資料儲存!G2365</f>
        <v>0</v>
      </c>
      <c r="AG109" s="49">
        <f>資料儲存!H2365</f>
        <v>0</v>
      </c>
      <c r="AH109" s="49">
        <f>資料儲存!I2365</f>
        <v>0</v>
      </c>
      <c r="AI109" s="49">
        <f>資料儲存!J2365</f>
        <v>0</v>
      </c>
      <c r="AJ109" s="52"/>
    </row>
    <row r="110" spans="1:36" ht="16" thickBot="1">
      <c r="A110" s="68">
        <v>25</v>
      </c>
      <c r="B110" s="49">
        <f>資料儲存!D2006</f>
        <v>0</v>
      </c>
      <c r="C110" s="49">
        <f>資料儲存!E2006</f>
        <v>0</v>
      </c>
      <c r="D110" s="49">
        <f>資料儲存!F2006</f>
        <v>0</v>
      </c>
      <c r="E110" s="49">
        <f>資料儲存!G2006</f>
        <v>0</v>
      </c>
      <c r="F110" s="49">
        <f>資料儲存!H2006</f>
        <v>0</v>
      </c>
      <c r="G110" s="49">
        <f>資料儲存!I2006</f>
        <v>0</v>
      </c>
      <c r="H110" s="49">
        <f>資料儲存!J2006</f>
        <v>0</v>
      </c>
      <c r="I110" s="52"/>
      <c r="J110" s="68">
        <v>25</v>
      </c>
      <c r="K110" s="49">
        <f>資料儲存!D2126</f>
        <v>0</v>
      </c>
      <c r="L110" s="49">
        <f>資料儲存!E2126</f>
        <v>0</v>
      </c>
      <c r="M110" s="49">
        <f>資料儲存!F2126</f>
        <v>0</v>
      </c>
      <c r="N110" s="49">
        <f>資料儲存!G2126</f>
        <v>0</v>
      </c>
      <c r="O110" s="49">
        <f>資料儲存!H2126</f>
        <v>0</v>
      </c>
      <c r="P110" s="49">
        <f>資料儲存!I2126</f>
        <v>0</v>
      </c>
      <c r="Q110" s="49">
        <f>資料儲存!J2126</f>
        <v>0</v>
      </c>
      <c r="R110" s="52"/>
      <c r="S110" s="68">
        <v>25</v>
      </c>
      <c r="T110" s="49">
        <f>資料儲存!D2246</f>
        <v>0</v>
      </c>
      <c r="U110" s="49">
        <f>資料儲存!E2246</f>
        <v>0</v>
      </c>
      <c r="V110" s="49">
        <f>資料儲存!F2246</f>
        <v>0</v>
      </c>
      <c r="W110" s="49">
        <f>資料儲存!G2246</f>
        <v>0</v>
      </c>
      <c r="X110" s="49">
        <f>資料儲存!H2246</f>
        <v>0</v>
      </c>
      <c r="Y110" s="49">
        <f>資料儲存!I2246</f>
        <v>0</v>
      </c>
      <c r="Z110" s="49">
        <f>資料儲存!J2246</f>
        <v>0</v>
      </c>
      <c r="AA110" s="52"/>
      <c r="AB110" s="68">
        <v>25</v>
      </c>
      <c r="AC110" s="49">
        <f>資料儲存!D2366</f>
        <v>0</v>
      </c>
      <c r="AD110" s="49">
        <f>資料儲存!E2366</f>
        <v>0</v>
      </c>
      <c r="AE110" s="49">
        <f>資料儲存!F2366</f>
        <v>0</v>
      </c>
      <c r="AF110" s="49">
        <f>資料儲存!G2366</f>
        <v>0</v>
      </c>
      <c r="AG110" s="49">
        <f>資料儲存!H2366</f>
        <v>0</v>
      </c>
      <c r="AH110" s="49">
        <f>資料儲存!I2366</f>
        <v>0</v>
      </c>
      <c r="AI110" s="49">
        <f>資料儲存!J2366</f>
        <v>0</v>
      </c>
      <c r="AJ110" s="52"/>
    </row>
    <row r="111" spans="1:36" ht="16" thickBot="1">
      <c r="A111" s="68">
        <v>26</v>
      </c>
      <c r="B111" s="49">
        <f>資料儲存!D2007</f>
        <v>0</v>
      </c>
      <c r="C111" s="49">
        <f>資料儲存!E2007</f>
        <v>0</v>
      </c>
      <c r="D111" s="49">
        <f>資料儲存!F2007</f>
        <v>0</v>
      </c>
      <c r="E111" s="49">
        <f>資料儲存!G2007</f>
        <v>0</v>
      </c>
      <c r="F111" s="49">
        <f>資料儲存!H2007</f>
        <v>0</v>
      </c>
      <c r="G111" s="49">
        <f>資料儲存!I2007</f>
        <v>0</v>
      </c>
      <c r="H111" s="49">
        <f>資料儲存!J2007</f>
        <v>0</v>
      </c>
      <c r="I111" s="52"/>
      <c r="J111" s="68">
        <v>26</v>
      </c>
      <c r="K111" s="49">
        <f>資料儲存!D2127</f>
        <v>0</v>
      </c>
      <c r="L111" s="49">
        <f>資料儲存!E2127</f>
        <v>0</v>
      </c>
      <c r="M111" s="49">
        <f>資料儲存!F2127</f>
        <v>0</v>
      </c>
      <c r="N111" s="49">
        <f>資料儲存!G2127</f>
        <v>0</v>
      </c>
      <c r="O111" s="49">
        <f>資料儲存!H2127</f>
        <v>0</v>
      </c>
      <c r="P111" s="49">
        <f>資料儲存!I2127</f>
        <v>0</v>
      </c>
      <c r="Q111" s="49">
        <f>資料儲存!J2127</f>
        <v>0</v>
      </c>
      <c r="R111" s="52"/>
      <c r="S111" s="68">
        <v>26</v>
      </c>
      <c r="T111" s="49">
        <f>資料儲存!D2247</f>
        <v>0</v>
      </c>
      <c r="U111" s="49">
        <f>資料儲存!E2247</f>
        <v>0</v>
      </c>
      <c r="V111" s="49">
        <f>資料儲存!F2247</f>
        <v>0</v>
      </c>
      <c r="W111" s="49">
        <f>資料儲存!G2247</f>
        <v>0</v>
      </c>
      <c r="X111" s="49">
        <f>資料儲存!H2247</f>
        <v>0</v>
      </c>
      <c r="Y111" s="49">
        <f>資料儲存!I2247</f>
        <v>0</v>
      </c>
      <c r="Z111" s="49">
        <f>資料儲存!J2247</f>
        <v>0</v>
      </c>
      <c r="AA111" s="52"/>
      <c r="AB111" s="68">
        <v>26</v>
      </c>
      <c r="AC111" s="49">
        <f>資料儲存!D2367</f>
        <v>0</v>
      </c>
      <c r="AD111" s="49">
        <f>資料儲存!E2367</f>
        <v>0</v>
      </c>
      <c r="AE111" s="49">
        <f>資料儲存!F2367</f>
        <v>0</v>
      </c>
      <c r="AF111" s="49">
        <f>資料儲存!G2367</f>
        <v>0</v>
      </c>
      <c r="AG111" s="49">
        <f>資料儲存!H2367</f>
        <v>0</v>
      </c>
      <c r="AH111" s="49">
        <f>資料儲存!I2367</f>
        <v>0</v>
      </c>
      <c r="AI111" s="49">
        <f>資料儲存!J2367</f>
        <v>0</v>
      </c>
      <c r="AJ111" s="52"/>
    </row>
    <row r="112" spans="1:36" ht="16" thickBot="1">
      <c r="A112" s="68">
        <v>27</v>
      </c>
      <c r="B112" s="49">
        <f>資料儲存!D2008</f>
        <v>0</v>
      </c>
      <c r="C112" s="49">
        <f>資料儲存!E2008</f>
        <v>0</v>
      </c>
      <c r="D112" s="49">
        <f>資料儲存!F2008</f>
        <v>0</v>
      </c>
      <c r="E112" s="49">
        <f>資料儲存!G2008</f>
        <v>0</v>
      </c>
      <c r="F112" s="49">
        <f>資料儲存!H2008</f>
        <v>0</v>
      </c>
      <c r="G112" s="49">
        <f>資料儲存!I2008</f>
        <v>0</v>
      </c>
      <c r="H112" s="49">
        <f>資料儲存!J2008</f>
        <v>0</v>
      </c>
      <c r="I112" s="52"/>
      <c r="J112" s="68">
        <v>27</v>
      </c>
      <c r="K112" s="49">
        <f>資料儲存!D2128</f>
        <v>0</v>
      </c>
      <c r="L112" s="49">
        <f>資料儲存!E2128</f>
        <v>0</v>
      </c>
      <c r="M112" s="49">
        <f>資料儲存!F2128</f>
        <v>0</v>
      </c>
      <c r="N112" s="49">
        <f>資料儲存!G2128</f>
        <v>0</v>
      </c>
      <c r="O112" s="49">
        <f>資料儲存!H2128</f>
        <v>0</v>
      </c>
      <c r="P112" s="49">
        <f>資料儲存!I2128</f>
        <v>0</v>
      </c>
      <c r="Q112" s="49">
        <f>資料儲存!J2128</f>
        <v>0</v>
      </c>
      <c r="R112" s="52"/>
      <c r="S112" s="68">
        <v>27</v>
      </c>
      <c r="T112" s="49">
        <f>資料儲存!D2248</f>
        <v>0</v>
      </c>
      <c r="U112" s="49">
        <f>資料儲存!E2248</f>
        <v>0</v>
      </c>
      <c r="V112" s="49">
        <f>資料儲存!F2248</f>
        <v>0</v>
      </c>
      <c r="W112" s="49">
        <f>資料儲存!G2248</f>
        <v>0</v>
      </c>
      <c r="X112" s="49">
        <f>資料儲存!H2248</f>
        <v>0</v>
      </c>
      <c r="Y112" s="49">
        <f>資料儲存!I2248</f>
        <v>0</v>
      </c>
      <c r="Z112" s="49">
        <f>資料儲存!J2248</f>
        <v>0</v>
      </c>
      <c r="AA112" s="52"/>
      <c r="AB112" s="68">
        <v>27</v>
      </c>
      <c r="AC112" s="49">
        <f>資料儲存!D2368</f>
        <v>0</v>
      </c>
      <c r="AD112" s="49">
        <f>資料儲存!E2368</f>
        <v>0</v>
      </c>
      <c r="AE112" s="49">
        <f>資料儲存!F2368</f>
        <v>0</v>
      </c>
      <c r="AF112" s="49">
        <f>資料儲存!G2368</f>
        <v>0</v>
      </c>
      <c r="AG112" s="49">
        <f>資料儲存!H2368</f>
        <v>0</v>
      </c>
      <c r="AH112" s="49">
        <f>資料儲存!I2368</f>
        <v>0</v>
      </c>
      <c r="AI112" s="49">
        <f>資料儲存!J2368</f>
        <v>0</v>
      </c>
      <c r="AJ112" s="52"/>
    </row>
    <row r="113" spans="1:36" ht="16" thickBot="1">
      <c r="A113" s="68">
        <v>28</v>
      </c>
      <c r="B113" s="49">
        <f>資料儲存!D2009</f>
        <v>0</v>
      </c>
      <c r="C113" s="49">
        <f>資料儲存!E2009</f>
        <v>0</v>
      </c>
      <c r="D113" s="49">
        <f>資料儲存!F2009</f>
        <v>0</v>
      </c>
      <c r="E113" s="49">
        <f>資料儲存!G2009</f>
        <v>0</v>
      </c>
      <c r="F113" s="49">
        <f>資料儲存!H2009</f>
        <v>0</v>
      </c>
      <c r="G113" s="49">
        <f>資料儲存!I2009</f>
        <v>0</v>
      </c>
      <c r="H113" s="49">
        <f>資料儲存!J2009</f>
        <v>0</v>
      </c>
      <c r="I113" s="52"/>
      <c r="J113" s="68">
        <v>28</v>
      </c>
      <c r="K113" s="49">
        <f>資料儲存!D2129</f>
        <v>0</v>
      </c>
      <c r="L113" s="49">
        <f>資料儲存!E2129</f>
        <v>0</v>
      </c>
      <c r="M113" s="49">
        <f>資料儲存!F2129</f>
        <v>0</v>
      </c>
      <c r="N113" s="49">
        <f>資料儲存!G2129</f>
        <v>0</v>
      </c>
      <c r="O113" s="49">
        <f>資料儲存!H2129</f>
        <v>0</v>
      </c>
      <c r="P113" s="49">
        <f>資料儲存!I2129</f>
        <v>0</v>
      </c>
      <c r="Q113" s="49">
        <f>資料儲存!J2129</f>
        <v>0</v>
      </c>
      <c r="R113" s="52"/>
      <c r="S113" s="68">
        <v>28</v>
      </c>
      <c r="T113" s="49">
        <f>資料儲存!D2249</f>
        <v>0</v>
      </c>
      <c r="U113" s="49">
        <f>資料儲存!E2249</f>
        <v>0</v>
      </c>
      <c r="V113" s="49">
        <f>資料儲存!F2249</f>
        <v>0</v>
      </c>
      <c r="W113" s="49">
        <f>資料儲存!G2249</f>
        <v>0</v>
      </c>
      <c r="X113" s="49">
        <f>資料儲存!H2249</f>
        <v>0</v>
      </c>
      <c r="Y113" s="49">
        <f>資料儲存!I2249</f>
        <v>0</v>
      </c>
      <c r="Z113" s="49">
        <f>資料儲存!J2249</f>
        <v>0</v>
      </c>
      <c r="AA113" s="52"/>
      <c r="AB113" s="68">
        <v>28</v>
      </c>
      <c r="AC113" s="49">
        <f>資料儲存!D2369</f>
        <v>0</v>
      </c>
      <c r="AD113" s="49">
        <f>資料儲存!E2369</f>
        <v>0</v>
      </c>
      <c r="AE113" s="49">
        <f>資料儲存!F2369</f>
        <v>0</v>
      </c>
      <c r="AF113" s="49">
        <f>資料儲存!G2369</f>
        <v>0</v>
      </c>
      <c r="AG113" s="49">
        <f>資料儲存!H2369</f>
        <v>0</v>
      </c>
      <c r="AH113" s="49">
        <f>資料儲存!I2369</f>
        <v>0</v>
      </c>
      <c r="AI113" s="49">
        <f>資料儲存!J2369</f>
        <v>0</v>
      </c>
      <c r="AJ113" s="52"/>
    </row>
    <row r="114" spans="1:36" ht="16" thickBot="1">
      <c r="A114" s="68">
        <v>29</v>
      </c>
      <c r="B114" s="49">
        <f>資料儲存!D2010</f>
        <v>0</v>
      </c>
      <c r="C114" s="49">
        <f>資料儲存!E2010</f>
        <v>0</v>
      </c>
      <c r="D114" s="49">
        <f>資料儲存!F2010</f>
        <v>0</v>
      </c>
      <c r="E114" s="49">
        <f>資料儲存!G2010</f>
        <v>0</v>
      </c>
      <c r="F114" s="49">
        <f>資料儲存!H2010</f>
        <v>0</v>
      </c>
      <c r="G114" s="49">
        <f>資料儲存!I2010</f>
        <v>0</v>
      </c>
      <c r="H114" s="49">
        <f>資料儲存!J2010</f>
        <v>0</v>
      </c>
      <c r="I114" s="52"/>
      <c r="J114" s="68">
        <v>29</v>
      </c>
      <c r="K114" s="49">
        <f>資料儲存!D2130</f>
        <v>0</v>
      </c>
      <c r="L114" s="49">
        <f>資料儲存!E2130</f>
        <v>0</v>
      </c>
      <c r="M114" s="49">
        <f>資料儲存!F2130</f>
        <v>0</v>
      </c>
      <c r="N114" s="49">
        <f>資料儲存!G2130</f>
        <v>0</v>
      </c>
      <c r="O114" s="49">
        <f>資料儲存!H2130</f>
        <v>0</v>
      </c>
      <c r="P114" s="49">
        <f>資料儲存!I2130</f>
        <v>0</v>
      </c>
      <c r="Q114" s="49">
        <f>資料儲存!J2130</f>
        <v>0</v>
      </c>
      <c r="R114" s="52"/>
      <c r="S114" s="68">
        <v>29</v>
      </c>
      <c r="T114" s="49">
        <f>資料儲存!D2250</f>
        <v>0</v>
      </c>
      <c r="U114" s="49">
        <f>資料儲存!E2250</f>
        <v>0</v>
      </c>
      <c r="V114" s="49">
        <f>資料儲存!F2250</f>
        <v>0</v>
      </c>
      <c r="W114" s="49">
        <f>資料儲存!G2250</f>
        <v>0</v>
      </c>
      <c r="X114" s="49">
        <f>資料儲存!H2250</f>
        <v>0</v>
      </c>
      <c r="Y114" s="49">
        <f>資料儲存!I2250</f>
        <v>0</v>
      </c>
      <c r="Z114" s="49">
        <f>資料儲存!J2250</f>
        <v>0</v>
      </c>
      <c r="AA114" s="52"/>
      <c r="AB114" s="68">
        <v>29</v>
      </c>
      <c r="AC114" s="49">
        <f>資料儲存!D2370</f>
        <v>0</v>
      </c>
      <c r="AD114" s="49">
        <f>資料儲存!E2370</f>
        <v>0</v>
      </c>
      <c r="AE114" s="49">
        <f>資料儲存!F2370</f>
        <v>0</v>
      </c>
      <c r="AF114" s="49">
        <f>資料儲存!G2370</f>
        <v>0</v>
      </c>
      <c r="AG114" s="49">
        <f>資料儲存!H2370</f>
        <v>0</v>
      </c>
      <c r="AH114" s="49">
        <f>資料儲存!I2370</f>
        <v>0</v>
      </c>
      <c r="AI114" s="49">
        <f>資料儲存!J2370</f>
        <v>0</v>
      </c>
      <c r="AJ114" s="52"/>
    </row>
    <row r="115" spans="1:36" ht="16" thickBot="1">
      <c r="A115" s="68">
        <v>30</v>
      </c>
      <c r="B115" s="49">
        <f>資料儲存!D2011</f>
        <v>0</v>
      </c>
      <c r="C115" s="49">
        <f>資料儲存!E2011</f>
        <v>0</v>
      </c>
      <c r="D115" s="49">
        <f>資料儲存!F2011</f>
        <v>0</v>
      </c>
      <c r="E115" s="49">
        <f>資料儲存!G2011</f>
        <v>0</v>
      </c>
      <c r="F115" s="49">
        <f>資料儲存!H2011</f>
        <v>0</v>
      </c>
      <c r="G115" s="49">
        <f>資料儲存!I2011</f>
        <v>0</v>
      </c>
      <c r="H115" s="49">
        <f>資料儲存!J2011</f>
        <v>0</v>
      </c>
      <c r="I115" s="52"/>
      <c r="J115" s="68">
        <v>30</v>
      </c>
      <c r="K115" s="49">
        <f>資料儲存!D2131</f>
        <v>0</v>
      </c>
      <c r="L115" s="49">
        <f>資料儲存!E2131</f>
        <v>0</v>
      </c>
      <c r="M115" s="49">
        <f>資料儲存!F2131</f>
        <v>0</v>
      </c>
      <c r="N115" s="49">
        <f>資料儲存!G2131</f>
        <v>0</v>
      </c>
      <c r="O115" s="49">
        <f>資料儲存!H2131</f>
        <v>0</v>
      </c>
      <c r="P115" s="49">
        <f>資料儲存!I2131</f>
        <v>0</v>
      </c>
      <c r="Q115" s="49">
        <f>資料儲存!J2131</f>
        <v>0</v>
      </c>
      <c r="R115" s="52"/>
      <c r="S115" s="68">
        <v>30</v>
      </c>
      <c r="T115" s="49">
        <f>資料儲存!D2251</f>
        <v>0</v>
      </c>
      <c r="U115" s="49">
        <f>資料儲存!E2251</f>
        <v>0</v>
      </c>
      <c r="V115" s="49">
        <f>資料儲存!F2251</f>
        <v>0</v>
      </c>
      <c r="W115" s="49">
        <f>資料儲存!G2251</f>
        <v>0</v>
      </c>
      <c r="X115" s="49">
        <f>資料儲存!H2251</f>
        <v>0</v>
      </c>
      <c r="Y115" s="49">
        <f>資料儲存!I2251</f>
        <v>0</v>
      </c>
      <c r="Z115" s="49">
        <f>資料儲存!J2251</f>
        <v>0</v>
      </c>
      <c r="AA115" s="52"/>
      <c r="AB115" s="68">
        <v>30</v>
      </c>
      <c r="AC115" s="49">
        <f>資料儲存!D2371</f>
        <v>0</v>
      </c>
      <c r="AD115" s="49">
        <f>資料儲存!E2371</f>
        <v>0</v>
      </c>
      <c r="AE115" s="49">
        <f>資料儲存!F2371</f>
        <v>0</v>
      </c>
      <c r="AF115" s="49">
        <f>資料儲存!G2371</f>
        <v>0</v>
      </c>
      <c r="AG115" s="49">
        <f>資料儲存!H2371</f>
        <v>0</v>
      </c>
      <c r="AH115" s="49">
        <f>資料儲存!I2371</f>
        <v>0</v>
      </c>
      <c r="AI115" s="49">
        <f>資料儲存!J2371</f>
        <v>0</v>
      </c>
      <c r="AJ115" s="52"/>
    </row>
    <row r="116" spans="1:36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</row>
    <row r="117" spans="1:36" ht="18.5" thickBot="1">
      <c r="A117" s="259" t="s">
        <v>84</v>
      </c>
      <c r="B117" s="260"/>
      <c r="C117" s="260"/>
      <c r="D117" s="260"/>
      <c r="E117" s="260"/>
      <c r="F117" s="260"/>
      <c r="G117" s="260"/>
      <c r="H117" s="261"/>
      <c r="I117" s="14"/>
      <c r="J117" s="259" t="s">
        <v>84</v>
      </c>
      <c r="K117" s="260"/>
      <c r="L117" s="260"/>
      <c r="M117" s="260"/>
      <c r="N117" s="260"/>
      <c r="O117" s="260"/>
      <c r="P117" s="260"/>
      <c r="Q117" s="261"/>
      <c r="R117" s="14"/>
      <c r="S117" s="259" t="s">
        <v>84</v>
      </c>
      <c r="T117" s="260"/>
      <c r="U117" s="260"/>
      <c r="V117" s="260"/>
      <c r="W117" s="260"/>
      <c r="X117" s="260"/>
      <c r="Y117" s="260"/>
      <c r="Z117" s="261"/>
      <c r="AA117" s="14"/>
      <c r="AB117" s="259" t="s">
        <v>84</v>
      </c>
      <c r="AC117" s="260"/>
      <c r="AD117" s="260"/>
      <c r="AE117" s="260"/>
      <c r="AF117" s="260"/>
      <c r="AG117" s="260"/>
      <c r="AH117" s="260"/>
      <c r="AI117" s="261"/>
      <c r="AJ117" s="14"/>
    </row>
    <row r="118" spans="1:36" ht="17.25" customHeight="1" thickBot="1">
      <c r="A118" s="54" t="s">
        <v>2</v>
      </c>
      <c r="B118" s="55" t="s">
        <v>46</v>
      </c>
      <c r="C118" s="56"/>
      <c r="D118" s="56"/>
      <c r="E118" s="57"/>
      <c r="F118" s="55" t="s">
        <v>47</v>
      </c>
      <c r="G118" s="56"/>
      <c r="H118" s="57"/>
      <c r="I118" s="58"/>
      <c r="J118" s="54" t="s">
        <v>2</v>
      </c>
      <c r="K118" s="55" t="s">
        <v>46</v>
      </c>
      <c r="L118" s="56"/>
      <c r="M118" s="56"/>
      <c r="N118" s="57"/>
      <c r="O118" s="55" t="s">
        <v>47</v>
      </c>
      <c r="P118" s="56"/>
      <c r="Q118" s="57"/>
      <c r="R118" s="58"/>
      <c r="S118" s="54" t="s">
        <v>2</v>
      </c>
      <c r="T118" s="55" t="s">
        <v>46</v>
      </c>
      <c r="U118" s="56"/>
      <c r="V118" s="56"/>
      <c r="W118" s="57"/>
      <c r="X118" s="55" t="s">
        <v>47</v>
      </c>
      <c r="Y118" s="56"/>
      <c r="Z118" s="57"/>
      <c r="AA118" s="58"/>
      <c r="AB118" s="54" t="s">
        <v>2</v>
      </c>
      <c r="AC118" s="55" t="s">
        <v>46</v>
      </c>
      <c r="AD118" s="56"/>
      <c r="AE118" s="56"/>
      <c r="AF118" s="57"/>
      <c r="AG118" s="55" t="s">
        <v>47</v>
      </c>
      <c r="AH118" s="56"/>
      <c r="AI118" s="57"/>
      <c r="AJ118" s="58"/>
    </row>
    <row r="119" spans="1:36" ht="16" thickBot="1">
      <c r="A119" s="59" t="s">
        <v>85</v>
      </c>
      <c r="B119" s="60" t="s">
        <v>49</v>
      </c>
      <c r="C119" s="60" t="s">
        <v>50</v>
      </c>
      <c r="D119" s="60" t="s">
        <v>51</v>
      </c>
      <c r="E119" s="60" t="s">
        <v>52</v>
      </c>
      <c r="F119" s="60" t="s">
        <v>53</v>
      </c>
      <c r="G119" s="60" t="s">
        <v>54</v>
      </c>
      <c r="H119" s="60" t="s">
        <v>55</v>
      </c>
      <c r="I119" s="58"/>
      <c r="J119" s="59" t="s">
        <v>85</v>
      </c>
      <c r="K119" s="60" t="s">
        <v>49</v>
      </c>
      <c r="L119" s="60" t="s">
        <v>50</v>
      </c>
      <c r="M119" s="60" t="s">
        <v>51</v>
      </c>
      <c r="N119" s="60" t="s">
        <v>52</v>
      </c>
      <c r="O119" s="60" t="s">
        <v>53</v>
      </c>
      <c r="P119" s="60" t="s">
        <v>54</v>
      </c>
      <c r="Q119" s="60" t="s">
        <v>55</v>
      </c>
      <c r="R119" s="58"/>
      <c r="S119" s="59" t="s">
        <v>85</v>
      </c>
      <c r="T119" s="60" t="s">
        <v>49</v>
      </c>
      <c r="U119" s="60" t="s">
        <v>50</v>
      </c>
      <c r="V119" s="60" t="s">
        <v>51</v>
      </c>
      <c r="W119" s="60" t="s">
        <v>52</v>
      </c>
      <c r="X119" s="60" t="s">
        <v>53</v>
      </c>
      <c r="Y119" s="60" t="s">
        <v>54</v>
      </c>
      <c r="Z119" s="60" t="s">
        <v>55</v>
      </c>
      <c r="AA119" s="58"/>
      <c r="AB119" s="59" t="s">
        <v>85</v>
      </c>
      <c r="AC119" s="60" t="s">
        <v>49</v>
      </c>
      <c r="AD119" s="60" t="s">
        <v>50</v>
      </c>
      <c r="AE119" s="60" t="s">
        <v>51</v>
      </c>
      <c r="AF119" s="60" t="s">
        <v>52</v>
      </c>
      <c r="AG119" s="60" t="s">
        <v>53</v>
      </c>
      <c r="AH119" s="60" t="s">
        <v>54</v>
      </c>
      <c r="AI119" s="60" t="s">
        <v>55</v>
      </c>
      <c r="AJ119" s="58"/>
    </row>
    <row r="120" spans="1:36" ht="16" thickBot="1">
      <c r="A120" s="61">
        <v>31</v>
      </c>
      <c r="B120" s="39">
        <f>資料儲存!D2012</f>
        <v>0</v>
      </c>
      <c r="C120" s="39">
        <f>資料儲存!E2012</f>
        <v>0</v>
      </c>
      <c r="D120" s="39">
        <f>資料儲存!F2012</f>
        <v>0</v>
      </c>
      <c r="E120" s="39">
        <f>資料儲存!G2012</f>
        <v>0</v>
      </c>
      <c r="F120" s="39">
        <f>資料儲存!H2012</f>
        <v>0</v>
      </c>
      <c r="G120" s="39">
        <f>資料儲存!I2012</f>
        <v>0</v>
      </c>
      <c r="H120" s="39">
        <f>資料儲存!J2012</f>
        <v>0</v>
      </c>
      <c r="I120" s="58"/>
      <c r="J120" s="61">
        <v>31</v>
      </c>
      <c r="K120" s="39">
        <f>資料儲存!D2132</f>
        <v>0</v>
      </c>
      <c r="L120" s="39">
        <f>資料儲存!E2132</f>
        <v>0</v>
      </c>
      <c r="M120" s="39">
        <f>資料儲存!F2132</f>
        <v>0</v>
      </c>
      <c r="N120" s="39">
        <f>資料儲存!G2132</f>
        <v>0</v>
      </c>
      <c r="O120" s="39">
        <f>資料儲存!H2132</f>
        <v>0</v>
      </c>
      <c r="P120" s="39">
        <f>資料儲存!I2132</f>
        <v>0</v>
      </c>
      <c r="Q120" s="39">
        <f>資料儲存!J2132</f>
        <v>0</v>
      </c>
      <c r="R120" s="58"/>
      <c r="S120" s="61">
        <v>31</v>
      </c>
      <c r="T120" s="39">
        <f>資料儲存!D2252</f>
        <v>0</v>
      </c>
      <c r="U120" s="39">
        <f>資料儲存!E2252</f>
        <v>0</v>
      </c>
      <c r="V120" s="39">
        <f>資料儲存!F2252</f>
        <v>0</v>
      </c>
      <c r="W120" s="39">
        <f>資料儲存!G2252</f>
        <v>0</v>
      </c>
      <c r="X120" s="39">
        <f>資料儲存!H2252</f>
        <v>0</v>
      </c>
      <c r="Y120" s="39">
        <f>資料儲存!I2252</f>
        <v>0</v>
      </c>
      <c r="Z120" s="39">
        <f>資料儲存!J2252</f>
        <v>0</v>
      </c>
      <c r="AA120" s="58"/>
      <c r="AB120" s="61">
        <v>31</v>
      </c>
      <c r="AC120" s="39">
        <f>資料儲存!D2372</f>
        <v>0</v>
      </c>
      <c r="AD120" s="39">
        <f>資料儲存!E2372</f>
        <v>0</v>
      </c>
      <c r="AE120" s="39">
        <f>資料儲存!F2372</f>
        <v>0</v>
      </c>
      <c r="AF120" s="39">
        <f>資料儲存!G2372</f>
        <v>0</v>
      </c>
      <c r="AG120" s="39">
        <f>資料儲存!H2372</f>
        <v>0</v>
      </c>
      <c r="AH120" s="39">
        <f>資料儲存!I2372</f>
        <v>0</v>
      </c>
      <c r="AI120" s="39">
        <f>資料儲存!J2372</f>
        <v>0</v>
      </c>
      <c r="AJ120" s="58"/>
    </row>
    <row r="121" spans="1:36" ht="16" thickBot="1">
      <c r="A121" s="61">
        <v>32</v>
      </c>
      <c r="B121" s="39">
        <f>資料儲存!D2013</f>
        <v>0</v>
      </c>
      <c r="C121" s="39">
        <f>資料儲存!E2013</f>
        <v>0</v>
      </c>
      <c r="D121" s="39">
        <f>資料儲存!F2013</f>
        <v>0</v>
      </c>
      <c r="E121" s="39">
        <f>資料儲存!G2013</f>
        <v>0</v>
      </c>
      <c r="F121" s="39">
        <f>資料儲存!H2013</f>
        <v>0</v>
      </c>
      <c r="G121" s="39">
        <f>資料儲存!I2013</f>
        <v>0</v>
      </c>
      <c r="H121" s="39">
        <f>資料儲存!J2013</f>
        <v>0</v>
      </c>
      <c r="I121" s="58"/>
      <c r="J121" s="61">
        <v>32</v>
      </c>
      <c r="K121" s="39">
        <f>資料儲存!D2133</f>
        <v>0</v>
      </c>
      <c r="L121" s="39">
        <f>資料儲存!E2133</f>
        <v>0</v>
      </c>
      <c r="M121" s="39">
        <f>資料儲存!F2133</f>
        <v>0</v>
      </c>
      <c r="N121" s="39">
        <f>資料儲存!G2133</f>
        <v>0</v>
      </c>
      <c r="O121" s="39">
        <f>資料儲存!H2133</f>
        <v>0</v>
      </c>
      <c r="P121" s="39">
        <f>資料儲存!I2133</f>
        <v>0</v>
      </c>
      <c r="Q121" s="39">
        <f>資料儲存!J2133</f>
        <v>0</v>
      </c>
      <c r="R121" s="58"/>
      <c r="S121" s="61">
        <v>32</v>
      </c>
      <c r="T121" s="39">
        <f>資料儲存!D2253</f>
        <v>0</v>
      </c>
      <c r="U121" s="39">
        <f>資料儲存!E2253</f>
        <v>0</v>
      </c>
      <c r="V121" s="39">
        <f>資料儲存!F2253</f>
        <v>0</v>
      </c>
      <c r="W121" s="39">
        <f>資料儲存!G2253</f>
        <v>0</v>
      </c>
      <c r="X121" s="39">
        <f>資料儲存!H2253</f>
        <v>0</v>
      </c>
      <c r="Y121" s="39">
        <f>資料儲存!I2253</f>
        <v>0</v>
      </c>
      <c r="Z121" s="39">
        <f>資料儲存!J2253</f>
        <v>0</v>
      </c>
      <c r="AA121" s="58"/>
      <c r="AB121" s="61">
        <v>32</v>
      </c>
      <c r="AC121" s="39">
        <f>資料儲存!D2373</f>
        <v>0</v>
      </c>
      <c r="AD121" s="39">
        <f>資料儲存!E2373</f>
        <v>0</v>
      </c>
      <c r="AE121" s="39">
        <f>資料儲存!F2373</f>
        <v>0</v>
      </c>
      <c r="AF121" s="39">
        <f>資料儲存!G2373</f>
        <v>0</v>
      </c>
      <c r="AG121" s="39">
        <f>資料儲存!H2373</f>
        <v>0</v>
      </c>
      <c r="AH121" s="39">
        <f>資料儲存!I2373</f>
        <v>0</v>
      </c>
      <c r="AI121" s="39">
        <f>資料儲存!J2373</f>
        <v>0</v>
      </c>
      <c r="AJ121" s="58"/>
    </row>
    <row r="122" spans="1:36" ht="16" thickBot="1">
      <c r="A122" s="61">
        <v>33</v>
      </c>
      <c r="B122" s="39">
        <f>資料儲存!D2014</f>
        <v>0</v>
      </c>
      <c r="C122" s="39">
        <f>資料儲存!E2014</f>
        <v>0</v>
      </c>
      <c r="D122" s="39">
        <f>資料儲存!F2014</f>
        <v>0</v>
      </c>
      <c r="E122" s="39">
        <f>資料儲存!G2014</f>
        <v>0</v>
      </c>
      <c r="F122" s="39">
        <f>資料儲存!H2014</f>
        <v>0</v>
      </c>
      <c r="G122" s="39">
        <f>資料儲存!I2014</f>
        <v>0</v>
      </c>
      <c r="H122" s="39">
        <f>資料儲存!J2014</f>
        <v>0</v>
      </c>
      <c r="I122" s="58"/>
      <c r="J122" s="61">
        <v>33</v>
      </c>
      <c r="K122" s="39">
        <f>資料儲存!D2134</f>
        <v>0</v>
      </c>
      <c r="L122" s="39">
        <f>資料儲存!E2134</f>
        <v>0</v>
      </c>
      <c r="M122" s="39">
        <f>資料儲存!F2134</f>
        <v>0</v>
      </c>
      <c r="N122" s="39">
        <f>資料儲存!G2134</f>
        <v>0</v>
      </c>
      <c r="O122" s="39">
        <f>資料儲存!H2134</f>
        <v>0</v>
      </c>
      <c r="P122" s="39">
        <f>資料儲存!I2134</f>
        <v>0</v>
      </c>
      <c r="Q122" s="39">
        <f>資料儲存!J2134</f>
        <v>0</v>
      </c>
      <c r="R122" s="58"/>
      <c r="S122" s="61">
        <v>33</v>
      </c>
      <c r="T122" s="39">
        <f>資料儲存!D2254</f>
        <v>0</v>
      </c>
      <c r="U122" s="39">
        <f>資料儲存!E2254</f>
        <v>0</v>
      </c>
      <c r="V122" s="39">
        <f>資料儲存!F2254</f>
        <v>0</v>
      </c>
      <c r="W122" s="39">
        <f>資料儲存!G2254</f>
        <v>0</v>
      </c>
      <c r="X122" s="39">
        <f>資料儲存!H2254</f>
        <v>0</v>
      </c>
      <c r="Y122" s="39">
        <f>資料儲存!I2254</f>
        <v>0</v>
      </c>
      <c r="Z122" s="39">
        <f>資料儲存!J2254</f>
        <v>0</v>
      </c>
      <c r="AA122" s="58"/>
      <c r="AB122" s="61">
        <v>33</v>
      </c>
      <c r="AC122" s="39">
        <f>資料儲存!D2374</f>
        <v>0</v>
      </c>
      <c r="AD122" s="39">
        <f>資料儲存!E2374</f>
        <v>0</v>
      </c>
      <c r="AE122" s="39">
        <f>資料儲存!F2374</f>
        <v>0</v>
      </c>
      <c r="AF122" s="39">
        <f>資料儲存!G2374</f>
        <v>0</v>
      </c>
      <c r="AG122" s="39">
        <f>資料儲存!H2374</f>
        <v>0</v>
      </c>
      <c r="AH122" s="39">
        <f>資料儲存!I2374</f>
        <v>0</v>
      </c>
      <c r="AI122" s="39">
        <f>資料儲存!J2374</f>
        <v>0</v>
      </c>
      <c r="AJ122" s="58"/>
    </row>
    <row r="123" spans="1:36" ht="16" thickBot="1">
      <c r="A123" s="61">
        <v>34</v>
      </c>
      <c r="B123" s="39">
        <f>資料儲存!D2015</f>
        <v>0</v>
      </c>
      <c r="C123" s="39">
        <f>資料儲存!E2015</f>
        <v>0</v>
      </c>
      <c r="D123" s="39">
        <f>資料儲存!F2015</f>
        <v>0</v>
      </c>
      <c r="E123" s="39">
        <f>資料儲存!G2015</f>
        <v>0</v>
      </c>
      <c r="F123" s="39">
        <f>資料儲存!H2015</f>
        <v>0</v>
      </c>
      <c r="G123" s="39">
        <f>資料儲存!I2015</f>
        <v>0</v>
      </c>
      <c r="H123" s="39">
        <f>資料儲存!J2015</f>
        <v>0</v>
      </c>
      <c r="I123" s="58"/>
      <c r="J123" s="61">
        <v>34</v>
      </c>
      <c r="K123" s="39">
        <f>資料儲存!D2135</f>
        <v>0</v>
      </c>
      <c r="L123" s="39">
        <f>資料儲存!E2135</f>
        <v>0</v>
      </c>
      <c r="M123" s="39">
        <f>資料儲存!F2135</f>
        <v>0</v>
      </c>
      <c r="N123" s="39">
        <f>資料儲存!G2135</f>
        <v>0</v>
      </c>
      <c r="O123" s="39">
        <f>資料儲存!H2135</f>
        <v>0</v>
      </c>
      <c r="P123" s="39">
        <f>資料儲存!I2135</f>
        <v>0</v>
      </c>
      <c r="Q123" s="39">
        <f>資料儲存!J2135</f>
        <v>0</v>
      </c>
      <c r="R123" s="58"/>
      <c r="S123" s="61">
        <v>34</v>
      </c>
      <c r="T123" s="39">
        <f>資料儲存!D2255</f>
        <v>0</v>
      </c>
      <c r="U123" s="39">
        <f>資料儲存!E2255</f>
        <v>0</v>
      </c>
      <c r="V123" s="39">
        <f>資料儲存!F2255</f>
        <v>0</v>
      </c>
      <c r="W123" s="39">
        <f>資料儲存!G2255</f>
        <v>0</v>
      </c>
      <c r="X123" s="39">
        <f>資料儲存!H2255</f>
        <v>0</v>
      </c>
      <c r="Y123" s="39">
        <f>資料儲存!I2255</f>
        <v>0</v>
      </c>
      <c r="Z123" s="39">
        <f>資料儲存!J2255</f>
        <v>0</v>
      </c>
      <c r="AA123" s="58"/>
      <c r="AB123" s="61">
        <v>34</v>
      </c>
      <c r="AC123" s="39">
        <f>資料儲存!D2375</f>
        <v>0</v>
      </c>
      <c r="AD123" s="39">
        <f>資料儲存!E2375</f>
        <v>0</v>
      </c>
      <c r="AE123" s="39">
        <f>資料儲存!F2375</f>
        <v>0</v>
      </c>
      <c r="AF123" s="39">
        <f>資料儲存!G2375</f>
        <v>0</v>
      </c>
      <c r="AG123" s="39">
        <f>資料儲存!H2375</f>
        <v>0</v>
      </c>
      <c r="AH123" s="39">
        <f>資料儲存!I2375</f>
        <v>0</v>
      </c>
      <c r="AI123" s="39">
        <f>資料儲存!J2375</f>
        <v>0</v>
      </c>
      <c r="AJ123" s="58"/>
    </row>
    <row r="124" spans="1:36" ht="16" thickBot="1">
      <c r="A124" s="61">
        <v>35</v>
      </c>
      <c r="B124" s="39">
        <f>資料儲存!D2016</f>
        <v>0</v>
      </c>
      <c r="C124" s="39">
        <f>資料儲存!E2016</f>
        <v>0</v>
      </c>
      <c r="D124" s="39">
        <f>資料儲存!F2016</f>
        <v>0</v>
      </c>
      <c r="E124" s="39">
        <f>資料儲存!G2016</f>
        <v>0</v>
      </c>
      <c r="F124" s="39">
        <f>資料儲存!H2016</f>
        <v>0</v>
      </c>
      <c r="G124" s="39">
        <f>資料儲存!I2016</f>
        <v>0</v>
      </c>
      <c r="H124" s="39">
        <f>資料儲存!J2016</f>
        <v>0</v>
      </c>
      <c r="I124" s="58"/>
      <c r="J124" s="61">
        <v>35</v>
      </c>
      <c r="K124" s="39">
        <f>資料儲存!D2136</f>
        <v>0</v>
      </c>
      <c r="L124" s="39">
        <f>資料儲存!E2136</f>
        <v>0</v>
      </c>
      <c r="M124" s="39">
        <f>資料儲存!F2136</f>
        <v>0</v>
      </c>
      <c r="N124" s="39">
        <f>資料儲存!G2136</f>
        <v>0</v>
      </c>
      <c r="O124" s="39">
        <f>資料儲存!H2136</f>
        <v>0</v>
      </c>
      <c r="P124" s="39">
        <f>資料儲存!I2136</f>
        <v>0</v>
      </c>
      <c r="Q124" s="39">
        <f>資料儲存!J2136</f>
        <v>0</v>
      </c>
      <c r="R124" s="58"/>
      <c r="S124" s="61">
        <v>35</v>
      </c>
      <c r="T124" s="39">
        <f>資料儲存!D2256</f>
        <v>0</v>
      </c>
      <c r="U124" s="39">
        <f>資料儲存!E2256</f>
        <v>0</v>
      </c>
      <c r="V124" s="39">
        <f>資料儲存!F2256</f>
        <v>0</v>
      </c>
      <c r="W124" s="39">
        <f>資料儲存!G2256</f>
        <v>0</v>
      </c>
      <c r="X124" s="39">
        <f>資料儲存!H2256</f>
        <v>0</v>
      </c>
      <c r="Y124" s="39">
        <f>資料儲存!I2256</f>
        <v>0</v>
      </c>
      <c r="Z124" s="39">
        <f>資料儲存!J2256</f>
        <v>0</v>
      </c>
      <c r="AA124" s="58"/>
      <c r="AB124" s="61">
        <v>35</v>
      </c>
      <c r="AC124" s="39">
        <f>資料儲存!D2376</f>
        <v>0</v>
      </c>
      <c r="AD124" s="39">
        <f>資料儲存!E2376</f>
        <v>0</v>
      </c>
      <c r="AE124" s="39">
        <f>資料儲存!F2376</f>
        <v>0</v>
      </c>
      <c r="AF124" s="39">
        <f>資料儲存!G2376</f>
        <v>0</v>
      </c>
      <c r="AG124" s="39">
        <f>資料儲存!H2376</f>
        <v>0</v>
      </c>
      <c r="AH124" s="39">
        <f>資料儲存!I2376</f>
        <v>0</v>
      </c>
      <c r="AI124" s="39">
        <f>資料儲存!J2376</f>
        <v>0</v>
      </c>
      <c r="AJ124" s="58"/>
    </row>
    <row r="125" spans="1:36" ht="16" thickBot="1">
      <c r="A125" s="61">
        <v>36</v>
      </c>
      <c r="B125" s="39">
        <f>資料儲存!D2017</f>
        <v>0</v>
      </c>
      <c r="C125" s="39">
        <f>資料儲存!E2017</f>
        <v>0</v>
      </c>
      <c r="D125" s="39">
        <f>資料儲存!F2017</f>
        <v>0</v>
      </c>
      <c r="E125" s="39">
        <f>資料儲存!G2017</f>
        <v>0</v>
      </c>
      <c r="F125" s="39">
        <f>資料儲存!H2017</f>
        <v>0</v>
      </c>
      <c r="G125" s="39">
        <f>資料儲存!I2017</f>
        <v>0</v>
      </c>
      <c r="H125" s="39">
        <f>資料儲存!J2017</f>
        <v>0</v>
      </c>
      <c r="I125" s="58"/>
      <c r="J125" s="61">
        <v>36</v>
      </c>
      <c r="K125" s="39">
        <f>資料儲存!D2137</f>
        <v>0</v>
      </c>
      <c r="L125" s="39">
        <f>資料儲存!E2137</f>
        <v>0</v>
      </c>
      <c r="M125" s="39">
        <f>資料儲存!F2137</f>
        <v>0</v>
      </c>
      <c r="N125" s="39">
        <f>資料儲存!G2137</f>
        <v>0</v>
      </c>
      <c r="O125" s="39">
        <f>資料儲存!H2137</f>
        <v>0</v>
      </c>
      <c r="P125" s="39">
        <f>資料儲存!I2137</f>
        <v>0</v>
      </c>
      <c r="Q125" s="39">
        <f>資料儲存!J2137</f>
        <v>0</v>
      </c>
      <c r="R125" s="58"/>
      <c r="S125" s="61">
        <v>36</v>
      </c>
      <c r="T125" s="39">
        <f>資料儲存!D2257</f>
        <v>0</v>
      </c>
      <c r="U125" s="39">
        <f>資料儲存!E2257</f>
        <v>0</v>
      </c>
      <c r="V125" s="39">
        <f>資料儲存!F2257</f>
        <v>0</v>
      </c>
      <c r="W125" s="39">
        <f>資料儲存!G2257</f>
        <v>0</v>
      </c>
      <c r="X125" s="39">
        <f>資料儲存!H2257</f>
        <v>0</v>
      </c>
      <c r="Y125" s="39">
        <f>資料儲存!I2257</f>
        <v>0</v>
      </c>
      <c r="Z125" s="39">
        <f>資料儲存!J2257</f>
        <v>0</v>
      </c>
      <c r="AA125" s="58"/>
      <c r="AB125" s="61">
        <v>36</v>
      </c>
      <c r="AC125" s="39">
        <f>資料儲存!D2377</f>
        <v>0</v>
      </c>
      <c r="AD125" s="39">
        <f>資料儲存!E2377</f>
        <v>0</v>
      </c>
      <c r="AE125" s="39">
        <f>資料儲存!F2377</f>
        <v>0</v>
      </c>
      <c r="AF125" s="39">
        <f>資料儲存!G2377</f>
        <v>0</v>
      </c>
      <c r="AG125" s="39">
        <f>資料儲存!H2377</f>
        <v>0</v>
      </c>
      <c r="AH125" s="39">
        <f>資料儲存!I2377</f>
        <v>0</v>
      </c>
      <c r="AI125" s="39">
        <f>資料儲存!J2377</f>
        <v>0</v>
      </c>
      <c r="AJ125" s="58"/>
    </row>
    <row r="126" spans="1:36" ht="16" thickBot="1">
      <c r="A126" s="61">
        <v>37</v>
      </c>
      <c r="B126" s="39">
        <f>資料儲存!D2018</f>
        <v>0</v>
      </c>
      <c r="C126" s="39">
        <f>資料儲存!E2018</f>
        <v>0</v>
      </c>
      <c r="D126" s="39">
        <f>資料儲存!F2018</f>
        <v>0</v>
      </c>
      <c r="E126" s="39">
        <f>資料儲存!G2018</f>
        <v>0</v>
      </c>
      <c r="F126" s="39">
        <f>資料儲存!H2018</f>
        <v>0</v>
      </c>
      <c r="G126" s="39">
        <f>資料儲存!I2018</f>
        <v>0</v>
      </c>
      <c r="H126" s="39">
        <f>資料儲存!J2018</f>
        <v>0</v>
      </c>
      <c r="I126" s="58"/>
      <c r="J126" s="61">
        <v>37</v>
      </c>
      <c r="K126" s="39">
        <f>資料儲存!D2138</f>
        <v>0</v>
      </c>
      <c r="L126" s="39">
        <f>資料儲存!E2138</f>
        <v>0</v>
      </c>
      <c r="M126" s="39">
        <f>資料儲存!F2138</f>
        <v>0</v>
      </c>
      <c r="N126" s="39">
        <f>資料儲存!G2138</f>
        <v>0</v>
      </c>
      <c r="O126" s="39">
        <f>資料儲存!H2138</f>
        <v>0</v>
      </c>
      <c r="P126" s="39">
        <f>資料儲存!I2138</f>
        <v>0</v>
      </c>
      <c r="Q126" s="39">
        <f>資料儲存!J2138</f>
        <v>0</v>
      </c>
      <c r="R126" s="58"/>
      <c r="S126" s="61">
        <v>37</v>
      </c>
      <c r="T126" s="39">
        <f>資料儲存!D2258</f>
        <v>0</v>
      </c>
      <c r="U126" s="39">
        <f>資料儲存!E2258</f>
        <v>0</v>
      </c>
      <c r="V126" s="39">
        <f>資料儲存!F2258</f>
        <v>0</v>
      </c>
      <c r="W126" s="39">
        <f>資料儲存!G2258</f>
        <v>0</v>
      </c>
      <c r="X126" s="39">
        <f>資料儲存!H2258</f>
        <v>0</v>
      </c>
      <c r="Y126" s="39">
        <f>資料儲存!I2258</f>
        <v>0</v>
      </c>
      <c r="Z126" s="39">
        <f>資料儲存!J2258</f>
        <v>0</v>
      </c>
      <c r="AA126" s="58"/>
      <c r="AB126" s="61">
        <v>37</v>
      </c>
      <c r="AC126" s="39">
        <f>資料儲存!D2378</f>
        <v>0</v>
      </c>
      <c r="AD126" s="39">
        <f>資料儲存!E2378</f>
        <v>0</v>
      </c>
      <c r="AE126" s="39">
        <f>資料儲存!F2378</f>
        <v>0</v>
      </c>
      <c r="AF126" s="39">
        <f>資料儲存!G2378</f>
        <v>0</v>
      </c>
      <c r="AG126" s="39">
        <f>資料儲存!H2378</f>
        <v>0</v>
      </c>
      <c r="AH126" s="39">
        <f>資料儲存!I2378</f>
        <v>0</v>
      </c>
      <c r="AI126" s="39">
        <f>資料儲存!J2378</f>
        <v>0</v>
      </c>
      <c r="AJ126" s="58"/>
    </row>
    <row r="127" spans="1:36" ht="16" thickBot="1">
      <c r="A127" s="61">
        <v>38</v>
      </c>
      <c r="B127" s="39">
        <f>資料儲存!D2019</f>
        <v>0</v>
      </c>
      <c r="C127" s="39">
        <f>資料儲存!E2019</f>
        <v>0</v>
      </c>
      <c r="D127" s="39">
        <f>資料儲存!F2019</f>
        <v>0</v>
      </c>
      <c r="E127" s="39">
        <f>資料儲存!G2019</f>
        <v>0</v>
      </c>
      <c r="F127" s="39">
        <f>資料儲存!H2019</f>
        <v>0</v>
      </c>
      <c r="G127" s="39">
        <f>資料儲存!I2019</f>
        <v>0</v>
      </c>
      <c r="H127" s="39">
        <f>資料儲存!J2019</f>
        <v>0</v>
      </c>
      <c r="I127" s="58"/>
      <c r="J127" s="61">
        <v>38</v>
      </c>
      <c r="K127" s="39">
        <f>資料儲存!D2139</f>
        <v>0</v>
      </c>
      <c r="L127" s="39">
        <f>資料儲存!E2139</f>
        <v>0</v>
      </c>
      <c r="M127" s="39">
        <f>資料儲存!F2139</f>
        <v>0</v>
      </c>
      <c r="N127" s="39">
        <f>資料儲存!G2139</f>
        <v>0</v>
      </c>
      <c r="O127" s="39">
        <f>資料儲存!H2139</f>
        <v>0</v>
      </c>
      <c r="P127" s="39">
        <f>資料儲存!I2139</f>
        <v>0</v>
      </c>
      <c r="Q127" s="39">
        <f>資料儲存!J2139</f>
        <v>0</v>
      </c>
      <c r="R127" s="58"/>
      <c r="S127" s="61">
        <v>38</v>
      </c>
      <c r="T127" s="39">
        <f>資料儲存!D2259</f>
        <v>0</v>
      </c>
      <c r="U127" s="39">
        <f>資料儲存!E2259</f>
        <v>0</v>
      </c>
      <c r="V127" s="39">
        <f>資料儲存!F2259</f>
        <v>0</v>
      </c>
      <c r="W127" s="39">
        <f>資料儲存!G2259</f>
        <v>0</v>
      </c>
      <c r="X127" s="39">
        <f>資料儲存!H2259</f>
        <v>0</v>
      </c>
      <c r="Y127" s="39">
        <f>資料儲存!I2259</f>
        <v>0</v>
      </c>
      <c r="Z127" s="39">
        <f>資料儲存!J2259</f>
        <v>0</v>
      </c>
      <c r="AA127" s="58"/>
      <c r="AB127" s="61">
        <v>38</v>
      </c>
      <c r="AC127" s="39">
        <f>資料儲存!D2379</f>
        <v>0</v>
      </c>
      <c r="AD127" s="39">
        <f>資料儲存!E2379</f>
        <v>0</v>
      </c>
      <c r="AE127" s="39">
        <f>資料儲存!F2379</f>
        <v>0</v>
      </c>
      <c r="AF127" s="39">
        <f>資料儲存!G2379</f>
        <v>0</v>
      </c>
      <c r="AG127" s="39">
        <f>資料儲存!H2379</f>
        <v>0</v>
      </c>
      <c r="AH127" s="39">
        <f>資料儲存!I2379</f>
        <v>0</v>
      </c>
      <c r="AI127" s="39">
        <f>資料儲存!J2379</f>
        <v>0</v>
      </c>
      <c r="AJ127" s="58"/>
    </row>
    <row r="128" spans="1:36" ht="16" thickBot="1">
      <c r="A128" s="61">
        <v>39</v>
      </c>
      <c r="B128" s="39">
        <f>資料儲存!D2020</f>
        <v>0</v>
      </c>
      <c r="C128" s="39">
        <f>資料儲存!E2020</f>
        <v>0</v>
      </c>
      <c r="D128" s="39">
        <f>資料儲存!F2020</f>
        <v>0</v>
      </c>
      <c r="E128" s="39">
        <f>資料儲存!G2020</f>
        <v>0</v>
      </c>
      <c r="F128" s="39">
        <f>資料儲存!H2020</f>
        <v>0</v>
      </c>
      <c r="G128" s="39">
        <f>資料儲存!I2020</f>
        <v>0</v>
      </c>
      <c r="H128" s="39">
        <f>資料儲存!J2020</f>
        <v>0</v>
      </c>
      <c r="I128" s="58"/>
      <c r="J128" s="61">
        <v>39</v>
      </c>
      <c r="K128" s="39">
        <f>資料儲存!D2140</f>
        <v>0</v>
      </c>
      <c r="L128" s="39">
        <f>資料儲存!E2140</f>
        <v>0</v>
      </c>
      <c r="M128" s="39">
        <f>資料儲存!F2140</f>
        <v>0</v>
      </c>
      <c r="N128" s="39">
        <f>資料儲存!G2140</f>
        <v>0</v>
      </c>
      <c r="O128" s="39">
        <f>資料儲存!H2140</f>
        <v>0</v>
      </c>
      <c r="P128" s="39">
        <f>資料儲存!I2140</f>
        <v>0</v>
      </c>
      <c r="Q128" s="39">
        <f>資料儲存!J2140</f>
        <v>0</v>
      </c>
      <c r="R128" s="58"/>
      <c r="S128" s="61">
        <v>39</v>
      </c>
      <c r="T128" s="39">
        <f>資料儲存!D2260</f>
        <v>0</v>
      </c>
      <c r="U128" s="39">
        <f>資料儲存!E2260</f>
        <v>0</v>
      </c>
      <c r="V128" s="39">
        <f>資料儲存!F2260</f>
        <v>0</v>
      </c>
      <c r="W128" s="39">
        <f>資料儲存!G2260</f>
        <v>0</v>
      </c>
      <c r="X128" s="39">
        <f>資料儲存!H2260</f>
        <v>0</v>
      </c>
      <c r="Y128" s="39">
        <f>資料儲存!I2260</f>
        <v>0</v>
      </c>
      <c r="Z128" s="39">
        <f>資料儲存!J2260</f>
        <v>0</v>
      </c>
      <c r="AA128" s="58"/>
      <c r="AB128" s="61">
        <v>39</v>
      </c>
      <c r="AC128" s="39">
        <f>資料儲存!D2380</f>
        <v>0</v>
      </c>
      <c r="AD128" s="39">
        <f>資料儲存!E2380</f>
        <v>0</v>
      </c>
      <c r="AE128" s="39">
        <f>資料儲存!F2380</f>
        <v>0</v>
      </c>
      <c r="AF128" s="39">
        <f>資料儲存!G2380</f>
        <v>0</v>
      </c>
      <c r="AG128" s="39">
        <f>資料儲存!H2380</f>
        <v>0</v>
      </c>
      <c r="AH128" s="39">
        <f>資料儲存!I2380</f>
        <v>0</v>
      </c>
      <c r="AI128" s="39">
        <f>資料儲存!J2380</f>
        <v>0</v>
      </c>
      <c r="AJ128" s="58"/>
    </row>
    <row r="129" spans="1:36" ht="16" thickBot="1">
      <c r="A129" s="61">
        <v>40</v>
      </c>
      <c r="B129" s="39">
        <f>資料儲存!D2021</f>
        <v>0</v>
      </c>
      <c r="C129" s="39">
        <f>資料儲存!E2021</f>
        <v>0</v>
      </c>
      <c r="D129" s="39">
        <f>資料儲存!F2021</f>
        <v>0</v>
      </c>
      <c r="E129" s="39">
        <f>資料儲存!G2021</f>
        <v>0</v>
      </c>
      <c r="F129" s="39">
        <f>資料儲存!H2021</f>
        <v>0</v>
      </c>
      <c r="G129" s="39">
        <f>資料儲存!I2021</f>
        <v>0</v>
      </c>
      <c r="H129" s="39">
        <f>資料儲存!J2021</f>
        <v>0</v>
      </c>
      <c r="I129" s="58"/>
      <c r="J129" s="61">
        <v>40</v>
      </c>
      <c r="K129" s="39">
        <f>資料儲存!D2141</f>
        <v>0</v>
      </c>
      <c r="L129" s="39">
        <f>資料儲存!E2141</f>
        <v>0</v>
      </c>
      <c r="M129" s="39">
        <f>資料儲存!F2141</f>
        <v>0</v>
      </c>
      <c r="N129" s="39">
        <f>資料儲存!G2141</f>
        <v>0</v>
      </c>
      <c r="O129" s="39">
        <f>資料儲存!H2141</f>
        <v>0</v>
      </c>
      <c r="P129" s="39">
        <f>資料儲存!I2141</f>
        <v>0</v>
      </c>
      <c r="Q129" s="39">
        <f>資料儲存!J2141</f>
        <v>0</v>
      </c>
      <c r="R129" s="58"/>
      <c r="S129" s="61">
        <v>40</v>
      </c>
      <c r="T129" s="39">
        <f>資料儲存!D2261</f>
        <v>0</v>
      </c>
      <c r="U129" s="39">
        <f>資料儲存!E2261</f>
        <v>0</v>
      </c>
      <c r="V129" s="39">
        <f>資料儲存!F2261</f>
        <v>0</v>
      </c>
      <c r="W129" s="39">
        <f>資料儲存!G2261</f>
        <v>0</v>
      </c>
      <c r="X129" s="39">
        <f>資料儲存!H2261</f>
        <v>0</v>
      </c>
      <c r="Y129" s="39">
        <f>資料儲存!I2261</f>
        <v>0</v>
      </c>
      <c r="Z129" s="39">
        <f>資料儲存!J2261</f>
        <v>0</v>
      </c>
      <c r="AA129" s="58"/>
      <c r="AB129" s="61">
        <v>40</v>
      </c>
      <c r="AC129" s="39">
        <f>資料儲存!D2381</f>
        <v>0</v>
      </c>
      <c r="AD129" s="39">
        <f>資料儲存!E2381</f>
        <v>0</v>
      </c>
      <c r="AE129" s="39">
        <f>資料儲存!F2381</f>
        <v>0</v>
      </c>
      <c r="AF129" s="39">
        <f>資料儲存!G2381</f>
        <v>0</v>
      </c>
      <c r="AG129" s="39">
        <f>資料儲存!H2381</f>
        <v>0</v>
      </c>
      <c r="AH129" s="39">
        <f>資料儲存!I2381</f>
        <v>0</v>
      </c>
      <c r="AI129" s="39">
        <f>資料儲存!J2381</f>
        <v>0</v>
      </c>
      <c r="AJ129" s="58"/>
    </row>
    <row r="130" spans="1:36" ht="16" thickBot="1">
      <c r="A130" s="61">
        <v>41</v>
      </c>
      <c r="B130" s="39">
        <f>資料儲存!D2022</f>
        <v>0</v>
      </c>
      <c r="C130" s="39">
        <f>資料儲存!E2022</f>
        <v>0</v>
      </c>
      <c r="D130" s="39">
        <f>資料儲存!F2022</f>
        <v>0</v>
      </c>
      <c r="E130" s="39">
        <f>資料儲存!G2022</f>
        <v>0</v>
      </c>
      <c r="F130" s="39">
        <f>資料儲存!H2022</f>
        <v>0</v>
      </c>
      <c r="G130" s="39">
        <f>資料儲存!I2022</f>
        <v>0</v>
      </c>
      <c r="H130" s="39">
        <f>資料儲存!J2022</f>
        <v>0</v>
      </c>
      <c r="I130" s="58"/>
      <c r="J130" s="61">
        <v>41</v>
      </c>
      <c r="K130" s="39">
        <f>資料儲存!D2142</f>
        <v>0</v>
      </c>
      <c r="L130" s="39">
        <f>資料儲存!E2142</f>
        <v>0</v>
      </c>
      <c r="M130" s="39">
        <f>資料儲存!F2142</f>
        <v>0</v>
      </c>
      <c r="N130" s="39">
        <f>資料儲存!G2142</f>
        <v>0</v>
      </c>
      <c r="O130" s="39">
        <f>資料儲存!H2142</f>
        <v>0</v>
      </c>
      <c r="P130" s="39">
        <f>資料儲存!I2142</f>
        <v>0</v>
      </c>
      <c r="Q130" s="39">
        <f>資料儲存!J2142</f>
        <v>0</v>
      </c>
      <c r="R130" s="58"/>
      <c r="S130" s="61">
        <v>41</v>
      </c>
      <c r="T130" s="39">
        <f>資料儲存!D2262</f>
        <v>0</v>
      </c>
      <c r="U130" s="39">
        <f>資料儲存!E2262</f>
        <v>0</v>
      </c>
      <c r="V130" s="39">
        <f>資料儲存!F2262</f>
        <v>0</v>
      </c>
      <c r="W130" s="39">
        <f>資料儲存!G2262</f>
        <v>0</v>
      </c>
      <c r="X130" s="39">
        <f>資料儲存!H2262</f>
        <v>0</v>
      </c>
      <c r="Y130" s="39">
        <f>資料儲存!I2262</f>
        <v>0</v>
      </c>
      <c r="Z130" s="39">
        <f>資料儲存!J2262</f>
        <v>0</v>
      </c>
      <c r="AA130" s="58"/>
      <c r="AB130" s="61">
        <v>41</v>
      </c>
      <c r="AC130" s="39">
        <f>資料儲存!D2382</f>
        <v>0</v>
      </c>
      <c r="AD130" s="39">
        <f>資料儲存!E2382</f>
        <v>0</v>
      </c>
      <c r="AE130" s="39">
        <f>資料儲存!F2382</f>
        <v>0</v>
      </c>
      <c r="AF130" s="39">
        <f>資料儲存!G2382</f>
        <v>0</v>
      </c>
      <c r="AG130" s="39">
        <f>資料儲存!H2382</f>
        <v>0</v>
      </c>
      <c r="AH130" s="39">
        <f>資料儲存!I2382</f>
        <v>0</v>
      </c>
      <c r="AI130" s="39">
        <f>資料儲存!J2382</f>
        <v>0</v>
      </c>
      <c r="AJ130" s="58"/>
    </row>
    <row r="131" spans="1:36" ht="16" thickBot="1">
      <c r="A131" s="61">
        <v>42</v>
      </c>
      <c r="B131" s="39">
        <f>資料儲存!D2023</f>
        <v>0</v>
      </c>
      <c r="C131" s="39">
        <f>資料儲存!E2023</f>
        <v>0</v>
      </c>
      <c r="D131" s="39">
        <f>資料儲存!F2023</f>
        <v>0</v>
      </c>
      <c r="E131" s="39">
        <f>資料儲存!G2023</f>
        <v>0</v>
      </c>
      <c r="F131" s="39">
        <f>資料儲存!H2023</f>
        <v>0</v>
      </c>
      <c r="G131" s="39">
        <f>資料儲存!I2023</f>
        <v>0</v>
      </c>
      <c r="H131" s="39">
        <f>資料儲存!J2023</f>
        <v>0</v>
      </c>
      <c r="I131" s="58"/>
      <c r="J131" s="61">
        <v>42</v>
      </c>
      <c r="K131" s="39">
        <f>資料儲存!D2143</f>
        <v>0</v>
      </c>
      <c r="L131" s="39">
        <f>資料儲存!E2143</f>
        <v>0</v>
      </c>
      <c r="M131" s="39">
        <f>資料儲存!F2143</f>
        <v>0</v>
      </c>
      <c r="N131" s="39">
        <f>資料儲存!G2143</f>
        <v>0</v>
      </c>
      <c r="O131" s="39">
        <f>資料儲存!H2143</f>
        <v>0</v>
      </c>
      <c r="P131" s="39">
        <f>資料儲存!I2143</f>
        <v>0</v>
      </c>
      <c r="Q131" s="39">
        <f>資料儲存!J2143</f>
        <v>0</v>
      </c>
      <c r="R131" s="58"/>
      <c r="S131" s="61">
        <v>42</v>
      </c>
      <c r="T131" s="39">
        <f>資料儲存!D2263</f>
        <v>0</v>
      </c>
      <c r="U131" s="39">
        <f>資料儲存!E2263</f>
        <v>0</v>
      </c>
      <c r="V131" s="39">
        <f>資料儲存!F2263</f>
        <v>0</v>
      </c>
      <c r="W131" s="39">
        <f>資料儲存!G2263</f>
        <v>0</v>
      </c>
      <c r="X131" s="39">
        <f>資料儲存!H2263</f>
        <v>0</v>
      </c>
      <c r="Y131" s="39">
        <f>資料儲存!I2263</f>
        <v>0</v>
      </c>
      <c r="Z131" s="39">
        <f>資料儲存!J2263</f>
        <v>0</v>
      </c>
      <c r="AA131" s="58"/>
      <c r="AB131" s="61">
        <v>42</v>
      </c>
      <c r="AC131" s="39">
        <f>資料儲存!D2383</f>
        <v>0</v>
      </c>
      <c r="AD131" s="39">
        <f>資料儲存!E2383</f>
        <v>0</v>
      </c>
      <c r="AE131" s="39">
        <f>資料儲存!F2383</f>
        <v>0</v>
      </c>
      <c r="AF131" s="39">
        <f>資料儲存!G2383</f>
        <v>0</v>
      </c>
      <c r="AG131" s="39">
        <f>資料儲存!H2383</f>
        <v>0</v>
      </c>
      <c r="AH131" s="39">
        <f>資料儲存!I2383</f>
        <v>0</v>
      </c>
      <c r="AI131" s="39">
        <f>資料儲存!J2383</f>
        <v>0</v>
      </c>
      <c r="AJ131" s="58"/>
    </row>
    <row r="132" spans="1:36" ht="16" thickBot="1">
      <c r="A132" s="61">
        <v>43</v>
      </c>
      <c r="B132" s="39">
        <f>資料儲存!D2024</f>
        <v>0</v>
      </c>
      <c r="C132" s="39">
        <f>資料儲存!E2024</f>
        <v>0</v>
      </c>
      <c r="D132" s="39">
        <f>資料儲存!F2024</f>
        <v>0</v>
      </c>
      <c r="E132" s="39">
        <f>資料儲存!G2024</f>
        <v>0</v>
      </c>
      <c r="F132" s="39">
        <f>資料儲存!H2024</f>
        <v>0</v>
      </c>
      <c r="G132" s="39">
        <f>資料儲存!I2024</f>
        <v>0</v>
      </c>
      <c r="H132" s="39">
        <f>資料儲存!J2024</f>
        <v>0</v>
      </c>
      <c r="I132" s="58"/>
      <c r="J132" s="61">
        <v>43</v>
      </c>
      <c r="K132" s="39">
        <f>資料儲存!D2144</f>
        <v>0</v>
      </c>
      <c r="L132" s="39">
        <f>資料儲存!E2144</f>
        <v>0</v>
      </c>
      <c r="M132" s="39">
        <f>資料儲存!F2144</f>
        <v>0</v>
      </c>
      <c r="N132" s="39">
        <f>資料儲存!G2144</f>
        <v>0</v>
      </c>
      <c r="O132" s="39">
        <f>資料儲存!H2144</f>
        <v>0</v>
      </c>
      <c r="P132" s="39">
        <f>資料儲存!I2144</f>
        <v>0</v>
      </c>
      <c r="Q132" s="39">
        <f>資料儲存!J2144</f>
        <v>0</v>
      </c>
      <c r="R132" s="58"/>
      <c r="S132" s="61">
        <v>43</v>
      </c>
      <c r="T132" s="39">
        <f>資料儲存!D2264</f>
        <v>0</v>
      </c>
      <c r="U132" s="39">
        <f>資料儲存!E2264</f>
        <v>0</v>
      </c>
      <c r="V132" s="39">
        <f>資料儲存!F2264</f>
        <v>0</v>
      </c>
      <c r="W132" s="39">
        <f>資料儲存!G2264</f>
        <v>0</v>
      </c>
      <c r="X132" s="39">
        <f>資料儲存!H2264</f>
        <v>0</v>
      </c>
      <c r="Y132" s="39">
        <f>資料儲存!I2264</f>
        <v>0</v>
      </c>
      <c r="Z132" s="39">
        <f>資料儲存!J2264</f>
        <v>0</v>
      </c>
      <c r="AA132" s="58"/>
      <c r="AB132" s="61">
        <v>43</v>
      </c>
      <c r="AC132" s="39">
        <f>資料儲存!D2384</f>
        <v>0</v>
      </c>
      <c r="AD132" s="39">
        <f>資料儲存!E2384</f>
        <v>0</v>
      </c>
      <c r="AE132" s="39">
        <f>資料儲存!F2384</f>
        <v>0</v>
      </c>
      <c r="AF132" s="39">
        <f>資料儲存!G2384</f>
        <v>0</v>
      </c>
      <c r="AG132" s="39">
        <f>資料儲存!H2384</f>
        <v>0</v>
      </c>
      <c r="AH132" s="39">
        <f>資料儲存!I2384</f>
        <v>0</v>
      </c>
      <c r="AI132" s="39">
        <f>資料儲存!J2384</f>
        <v>0</v>
      </c>
      <c r="AJ132" s="58"/>
    </row>
    <row r="133" spans="1:36" ht="16" thickBot="1">
      <c r="A133" s="61">
        <v>44</v>
      </c>
      <c r="B133" s="39">
        <f>資料儲存!D2025</f>
        <v>0</v>
      </c>
      <c r="C133" s="39">
        <f>資料儲存!E2025</f>
        <v>0</v>
      </c>
      <c r="D133" s="39">
        <f>資料儲存!F2025</f>
        <v>0</v>
      </c>
      <c r="E133" s="39">
        <f>資料儲存!G2025</f>
        <v>0</v>
      </c>
      <c r="F133" s="39">
        <f>資料儲存!H2025</f>
        <v>0</v>
      </c>
      <c r="G133" s="39">
        <f>資料儲存!I2025</f>
        <v>0</v>
      </c>
      <c r="H133" s="39">
        <f>資料儲存!J2025</f>
        <v>0</v>
      </c>
      <c r="I133" s="58"/>
      <c r="J133" s="61">
        <v>44</v>
      </c>
      <c r="K133" s="39">
        <f>資料儲存!D2145</f>
        <v>0</v>
      </c>
      <c r="L133" s="39">
        <f>資料儲存!E2145</f>
        <v>0</v>
      </c>
      <c r="M133" s="39">
        <f>資料儲存!F2145</f>
        <v>0</v>
      </c>
      <c r="N133" s="39">
        <f>資料儲存!G2145</f>
        <v>0</v>
      </c>
      <c r="O133" s="39">
        <f>資料儲存!H2145</f>
        <v>0</v>
      </c>
      <c r="P133" s="39">
        <f>資料儲存!I2145</f>
        <v>0</v>
      </c>
      <c r="Q133" s="39">
        <f>資料儲存!J2145</f>
        <v>0</v>
      </c>
      <c r="R133" s="58"/>
      <c r="S133" s="61">
        <v>44</v>
      </c>
      <c r="T133" s="39">
        <f>資料儲存!D2265</f>
        <v>0</v>
      </c>
      <c r="U133" s="39">
        <f>資料儲存!E2265</f>
        <v>0</v>
      </c>
      <c r="V133" s="39">
        <f>資料儲存!F2265</f>
        <v>0</v>
      </c>
      <c r="W133" s="39">
        <f>資料儲存!G2265</f>
        <v>0</v>
      </c>
      <c r="X133" s="39">
        <f>資料儲存!H2265</f>
        <v>0</v>
      </c>
      <c r="Y133" s="39">
        <f>資料儲存!I2265</f>
        <v>0</v>
      </c>
      <c r="Z133" s="39">
        <f>資料儲存!J2265</f>
        <v>0</v>
      </c>
      <c r="AA133" s="58"/>
      <c r="AB133" s="61">
        <v>44</v>
      </c>
      <c r="AC133" s="39">
        <f>資料儲存!D2385</f>
        <v>0</v>
      </c>
      <c r="AD133" s="39">
        <f>資料儲存!E2385</f>
        <v>0</v>
      </c>
      <c r="AE133" s="39">
        <f>資料儲存!F2385</f>
        <v>0</v>
      </c>
      <c r="AF133" s="39">
        <f>資料儲存!G2385</f>
        <v>0</v>
      </c>
      <c r="AG133" s="39">
        <f>資料儲存!H2385</f>
        <v>0</v>
      </c>
      <c r="AH133" s="39">
        <f>資料儲存!I2385</f>
        <v>0</v>
      </c>
      <c r="AI133" s="39">
        <f>資料儲存!J2385</f>
        <v>0</v>
      </c>
      <c r="AJ133" s="58"/>
    </row>
    <row r="134" spans="1:36" ht="16" thickBot="1">
      <c r="A134" s="61">
        <v>45</v>
      </c>
      <c r="B134" s="39">
        <f>資料儲存!D2026</f>
        <v>0</v>
      </c>
      <c r="C134" s="39">
        <f>資料儲存!E2026</f>
        <v>0</v>
      </c>
      <c r="D134" s="39">
        <f>資料儲存!F2026</f>
        <v>0</v>
      </c>
      <c r="E134" s="39">
        <f>資料儲存!G2026</f>
        <v>0</v>
      </c>
      <c r="F134" s="39">
        <f>資料儲存!H2026</f>
        <v>0</v>
      </c>
      <c r="G134" s="39">
        <f>資料儲存!I2026</f>
        <v>0</v>
      </c>
      <c r="H134" s="39">
        <f>資料儲存!J2026</f>
        <v>0</v>
      </c>
      <c r="I134" s="58"/>
      <c r="J134" s="61">
        <v>45</v>
      </c>
      <c r="K134" s="39">
        <f>資料儲存!D2146</f>
        <v>0</v>
      </c>
      <c r="L134" s="39">
        <f>資料儲存!E2146</f>
        <v>0</v>
      </c>
      <c r="M134" s="39">
        <f>資料儲存!F2146</f>
        <v>0</v>
      </c>
      <c r="N134" s="39">
        <f>資料儲存!G2146</f>
        <v>0</v>
      </c>
      <c r="O134" s="39">
        <f>資料儲存!H2146</f>
        <v>0</v>
      </c>
      <c r="P134" s="39">
        <f>資料儲存!I2146</f>
        <v>0</v>
      </c>
      <c r="Q134" s="39">
        <f>資料儲存!J2146</f>
        <v>0</v>
      </c>
      <c r="R134" s="58"/>
      <c r="S134" s="61">
        <v>45</v>
      </c>
      <c r="T134" s="39">
        <f>資料儲存!D2266</f>
        <v>0</v>
      </c>
      <c r="U134" s="39">
        <f>資料儲存!E2266</f>
        <v>0</v>
      </c>
      <c r="V134" s="39">
        <f>資料儲存!F2266</f>
        <v>0</v>
      </c>
      <c r="W134" s="39">
        <f>資料儲存!G2266</f>
        <v>0</v>
      </c>
      <c r="X134" s="39">
        <f>資料儲存!H2266</f>
        <v>0</v>
      </c>
      <c r="Y134" s="39">
        <f>資料儲存!I2266</f>
        <v>0</v>
      </c>
      <c r="Z134" s="39">
        <f>資料儲存!J2266</f>
        <v>0</v>
      </c>
      <c r="AA134" s="58"/>
      <c r="AB134" s="61">
        <v>45</v>
      </c>
      <c r="AC134" s="39">
        <f>資料儲存!D2386</f>
        <v>0</v>
      </c>
      <c r="AD134" s="39">
        <f>資料儲存!E2386</f>
        <v>0</v>
      </c>
      <c r="AE134" s="39">
        <f>資料儲存!F2386</f>
        <v>0</v>
      </c>
      <c r="AF134" s="39">
        <f>資料儲存!G2386</f>
        <v>0</v>
      </c>
      <c r="AG134" s="39">
        <f>資料儲存!H2386</f>
        <v>0</v>
      </c>
      <c r="AH134" s="39">
        <f>資料儲存!I2386</f>
        <v>0</v>
      </c>
      <c r="AI134" s="39">
        <f>資料儲存!J2386</f>
        <v>0</v>
      </c>
      <c r="AJ134" s="58"/>
    </row>
    <row r="135" spans="1:36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35"/>
    </row>
    <row r="136" spans="1:36" ht="18.5" thickBot="1">
      <c r="A136" s="259" t="s">
        <v>86</v>
      </c>
      <c r="B136" s="260"/>
      <c r="C136" s="260"/>
      <c r="D136" s="260"/>
      <c r="E136" s="260"/>
      <c r="F136" s="260"/>
      <c r="G136" s="260"/>
      <c r="H136" s="261"/>
      <c r="I136" s="14"/>
      <c r="J136" s="259" t="s">
        <v>86</v>
      </c>
      <c r="K136" s="260"/>
      <c r="L136" s="260"/>
      <c r="M136" s="260"/>
      <c r="N136" s="260"/>
      <c r="O136" s="260"/>
      <c r="P136" s="260"/>
      <c r="Q136" s="261"/>
      <c r="R136" s="14"/>
      <c r="S136" s="259" t="s">
        <v>86</v>
      </c>
      <c r="T136" s="260"/>
      <c r="U136" s="260"/>
      <c r="V136" s="260"/>
      <c r="W136" s="260"/>
      <c r="X136" s="260"/>
      <c r="Y136" s="260"/>
      <c r="Z136" s="261"/>
      <c r="AA136" s="14"/>
      <c r="AB136" s="259" t="s">
        <v>86</v>
      </c>
      <c r="AC136" s="260"/>
      <c r="AD136" s="260"/>
      <c r="AE136" s="260"/>
      <c r="AF136" s="260"/>
      <c r="AG136" s="260"/>
      <c r="AH136" s="260"/>
      <c r="AI136" s="261"/>
      <c r="AJ136" s="14"/>
    </row>
    <row r="137" spans="1:36" ht="17.25" customHeight="1" thickBot="1">
      <c r="A137" s="62" t="s">
        <v>2</v>
      </c>
      <c r="B137" s="63" t="s">
        <v>46</v>
      </c>
      <c r="C137" s="64"/>
      <c r="D137" s="64"/>
      <c r="E137" s="65"/>
      <c r="F137" s="63" t="s">
        <v>47</v>
      </c>
      <c r="G137" s="64"/>
      <c r="H137" s="65"/>
      <c r="I137" s="52"/>
      <c r="J137" s="62" t="s">
        <v>2</v>
      </c>
      <c r="K137" s="63" t="s">
        <v>46</v>
      </c>
      <c r="L137" s="64"/>
      <c r="M137" s="64"/>
      <c r="N137" s="65"/>
      <c r="O137" s="63" t="s">
        <v>47</v>
      </c>
      <c r="P137" s="64"/>
      <c r="Q137" s="65"/>
      <c r="R137" s="52"/>
      <c r="S137" s="62" t="s">
        <v>2</v>
      </c>
      <c r="T137" s="63" t="s">
        <v>46</v>
      </c>
      <c r="U137" s="64"/>
      <c r="V137" s="64"/>
      <c r="W137" s="65"/>
      <c r="X137" s="63" t="s">
        <v>47</v>
      </c>
      <c r="Y137" s="64"/>
      <c r="Z137" s="65"/>
      <c r="AA137" s="52"/>
      <c r="AB137" s="62" t="s">
        <v>2</v>
      </c>
      <c r="AC137" s="63" t="s">
        <v>46</v>
      </c>
      <c r="AD137" s="64"/>
      <c r="AE137" s="64"/>
      <c r="AF137" s="65"/>
      <c r="AG137" s="63" t="s">
        <v>47</v>
      </c>
      <c r="AH137" s="64"/>
      <c r="AI137" s="65"/>
      <c r="AJ137" s="52"/>
    </row>
    <row r="138" spans="1:36" ht="16" thickBot="1">
      <c r="A138" s="66" t="s">
        <v>87</v>
      </c>
      <c r="B138" s="67" t="s">
        <v>49</v>
      </c>
      <c r="C138" s="67" t="s">
        <v>50</v>
      </c>
      <c r="D138" s="67" t="s">
        <v>51</v>
      </c>
      <c r="E138" s="67" t="s">
        <v>52</v>
      </c>
      <c r="F138" s="67" t="s">
        <v>53</v>
      </c>
      <c r="G138" s="67" t="s">
        <v>54</v>
      </c>
      <c r="H138" s="67" t="s">
        <v>55</v>
      </c>
      <c r="I138" s="52"/>
      <c r="J138" s="66" t="s">
        <v>87</v>
      </c>
      <c r="K138" s="67" t="s">
        <v>49</v>
      </c>
      <c r="L138" s="67" t="s">
        <v>50</v>
      </c>
      <c r="M138" s="67" t="s">
        <v>51</v>
      </c>
      <c r="N138" s="67" t="s">
        <v>52</v>
      </c>
      <c r="O138" s="67" t="s">
        <v>53</v>
      </c>
      <c r="P138" s="67" t="s">
        <v>54</v>
      </c>
      <c r="Q138" s="67" t="s">
        <v>55</v>
      </c>
      <c r="R138" s="52"/>
      <c r="S138" s="66" t="s">
        <v>87</v>
      </c>
      <c r="T138" s="67" t="s">
        <v>49</v>
      </c>
      <c r="U138" s="67" t="s">
        <v>50</v>
      </c>
      <c r="V138" s="67" t="s">
        <v>51</v>
      </c>
      <c r="W138" s="67" t="s">
        <v>52</v>
      </c>
      <c r="X138" s="67" t="s">
        <v>53</v>
      </c>
      <c r="Y138" s="67" t="s">
        <v>54</v>
      </c>
      <c r="Z138" s="67" t="s">
        <v>55</v>
      </c>
      <c r="AA138" s="52"/>
      <c r="AB138" s="66" t="s">
        <v>87</v>
      </c>
      <c r="AC138" s="67" t="s">
        <v>49</v>
      </c>
      <c r="AD138" s="67" t="s">
        <v>50</v>
      </c>
      <c r="AE138" s="67" t="s">
        <v>51</v>
      </c>
      <c r="AF138" s="67" t="s">
        <v>52</v>
      </c>
      <c r="AG138" s="67" t="s">
        <v>53</v>
      </c>
      <c r="AH138" s="67" t="s">
        <v>54</v>
      </c>
      <c r="AI138" s="67" t="s">
        <v>55</v>
      </c>
      <c r="AJ138" s="52"/>
    </row>
    <row r="139" spans="1:36" ht="16" thickBot="1">
      <c r="A139" s="68">
        <v>46</v>
      </c>
      <c r="B139" s="49">
        <f>資料儲存!D2027</f>
        <v>0</v>
      </c>
      <c r="C139" s="49">
        <f>資料儲存!E2027</f>
        <v>0</v>
      </c>
      <c r="D139" s="49">
        <f>資料儲存!F2027</f>
        <v>0</v>
      </c>
      <c r="E139" s="49">
        <f>資料儲存!G2027</f>
        <v>0</v>
      </c>
      <c r="F139" s="49">
        <f>資料儲存!H2027</f>
        <v>0</v>
      </c>
      <c r="G139" s="49">
        <f>資料儲存!I2027</f>
        <v>0</v>
      </c>
      <c r="H139" s="49">
        <f>資料儲存!J2027</f>
        <v>0</v>
      </c>
      <c r="I139" s="52"/>
      <c r="J139" s="68">
        <v>46</v>
      </c>
      <c r="K139" s="49">
        <f>資料儲存!D2147</f>
        <v>0</v>
      </c>
      <c r="L139" s="49">
        <f>資料儲存!E2147</f>
        <v>0</v>
      </c>
      <c r="M139" s="49">
        <f>資料儲存!F2147</f>
        <v>0</v>
      </c>
      <c r="N139" s="49">
        <f>資料儲存!G2147</f>
        <v>0</v>
      </c>
      <c r="O139" s="49">
        <f>資料儲存!H2147</f>
        <v>0</v>
      </c>
      <c r="P139" s="49">
        <f>資料儲存!I2147</f>
        <v>0</v>
      </c>
      <c r="Q139" s="49">
        <f>資料儲存!J2147</f>
        <v>0</v>
      </c>
      <c r="R139" s="52"/>
      <c r="S139" s="68">
        <v>46</v>
      </c>
      <c r="T139" s="49">
        <f>資料儲存!D2267</f>
        <v>0</v>
      </c>
      <c r="U139" s="49">
        <f>資料儲存!E2267</f>
        <v>0</v>
      </c>
      <c r="V139" s="49">
        <f>資料儲存!F2267</f>
        <v>0</v>
      </c>
      <c r="W139" s="49">
        <f>資料儲存!G2267</f>
        <v>0</v>
      </c>
      <c r="X139" s="49">
        <f>資料儲存!H2267</f>
        <v>0</v>
      </c>
      <c r="Y139" s="49">
        <f>資料儲存!I2267</f>
        <v>0</v>
      </c>
      <c r="Z139" s="49">
        <f>資料儲存!J2267</f>
        <v>0</v>
      </c>
      <c r="AA139" s="52"/>
      <c r="AB139" s="68">
        <v>46</v>
      </c>
      <c r="AC139" s="49">
        <f>資料儲存!D2387</f>
        <v>0</v>
      </c>
      <c r="AD139" s="49">
        <f>資料儲存!E2387</f>
        <v>0</v>
      </c>
      <c r="AE139" s="49">
        <f>資料儲存!F2387</f>
        <v>0</v>
      </c>
      <c r="AF139" s="49">
        <f>資料儲存!G2387</f>
        <v>0</v>
      </c>
      <c r="AG139" s="49">
        <f>資料儲存!H2387</f>
        <v>0</v>
      </c>
      <c r="AH139" s="49">
        <f>資料儲存!I2387</f>
        <v>0</v>
      </c>
      <c r="AI139" s="49">
        <f>資料儲存!J2387</f>
        <v>0</v>
      </c>
      <c r="AJ139" s="52"/>
    </row>
    <row r="140" spans="1:36" ht="16" thickBot="1">
      <c r="A140" s="68">
        <v>47</v>
      </c>
      <c r="B140" s="49">
        <f>資料儲存!D2028</f>
        <v>0</v>
      </c>
      <c r="C140" s="49">
        <f>資料儲存!E2028</f>
        <v>0</v>
      </c>
      <c r="D140" s="49">
        <f>資料儲存!F2028</f>
        <v>0</v>
      </c>
      <c r="E140" s="49">
        <f>資料儲存!G2028</f>
        <v>0</v>
      </c>
      <c r="F140" s="49">
        <f>資料儲存!H2028</f>
        <v>0</v>
      </c>
      <c r="G140" s="49">
        <f>資料儲存!I2028</f>
        <v>0</v>
      </c>
      <c r="H140" s="49">
        <f>資料儲存!J2028</f>
        <v>0</v>
      </c>
      <c r="I140" s="52"/>
      <c r="J140" s="68">
        <v>47</v>
      </c>
      <c r="K140" s="49">
        <f>資料儲存!D2148</f>
        <v>0</v>
      </c>
      <c r="L140" s="49">
        <f>資料儲存!E2148</f>
        <v>0</v>
      </c>
      <c r="M140" s="49">
        <f>資料儲存!F2148</f>
        <v>0</v>
      </c>
      <c r="N140" s="49">
        <f>資料儲存!G2148</f>
        <v>0</v>
      </c>
      <c r="O140" s="49">
        <f>資料儲存!H2148</f>
        <v>0</v>
      </c>
      <c r="P140" s="49">
        <f>資料儲存!I2148</f>
        <v>0</v>
      </c>
      <c r="Q140" s="49">
        <f>資料儲存!J2148</f>
        <v>0</v>
      </c>
      <c r="R140" s="52"/>
      <c r="S140" s="68">
        <v>47</v>
      </c>
      <c r="T140" s="49">
        <f>資料儲存!D2268</f>
        <v>0</v>
      </c>
      <c r="U140" s="49">
        <f>資料儲存!E2268</f>
        <v>0</v>
      </c>
      <c r="V140" s="49">
        <f>資料儲存!F2268</f>
        <v>0</v>
      </c>
      <c r="W140" s="49">
        <f>資料儲存!G2268</f>
        <v>0</v>
      </c>
      <c r="X140" s="49">
        <f>資料儲存!H2268</f>
        <v>0</v>
      </c>
      <c r="Y140" s="49">
        <f>資料儲存!I2268</f>
        <v>0</v>
      </c>
      <c r="Z140" s="49">
        <f>資料儲存!J2268</f>
        <v>0</v>
      </c>
      <c r="AA140" s="52"/>
      <c r="AB140" s="68">
        <v>47</v>
      </c>
      <c r="AC140" s="49">
        <f>資料儲存!D2388</f>
        <v>0</v>
      </c>
      <c r="AD140" s="49">
        <f>資料儲存!E2388</f>
        <v>0</v>
      </c>
      <c r="AE140" s="49">
        <f>資料儲存!F2388</f>
        <v>0</v>
      </c>
      <c r="AF140" s="49">
        <f>資料儲存!G2388</f>
        <v>0</v>
      </c>
      <c r="AG140" s="49">
        <f>資料儲存!H2388</f>
        <v>0</v>
      </c>
      <c r="AH140" s="49">
        <f>資料儲存!I2388</f>
        <v>0</v>
      </c>
      <c r="AI140" s="49">
        <f>資料儲存!J2388</f>
        <v>0</v>
      </c>
      <c r="AJ140" s="52"/>
    </row>
    <row r="141" spans="1:36" ht="16" thickBot="1">
      <c r="A141" s="68">
        <v>48</v>
      </c>
      <c r="B141" s="49">
        <f>資料儲存!D2029</f>
        <v>0</v>
      </c>
      <c r="C141" s="49">
        <f>資料儲存!E2029</f>
        <v>0</v>
      </c>
      <c r="D141" s="49">
        <f>資料儲存!F2029</f>
        <v>0</v>
      </c>
      <c r="E141" s="49">
        <f>資料儲存!G2029</f>
        <v>0</v>
      </c>
      <c r="F141" s="49">
        <f>資料儲存!H2029</f>
        <v>0</v>
      </c>
      <c r="G141" s="49">
        <f>資料儲存!I2029</f>
        <v>0</v>
      </c>
      <c r="H141" s="49">
        <f>資料儲存!J2029</f>
        <v>0</v>
      </c>
      <c r="I141" s="52"/>
      <c r="J141" s="68">
        <v>48</v>
      </c>
      <c r="K141" s="49">
        <f>資料儲存!D2149</f>
        <v>0</v>
      </c>
      <c r="L141" s="49">
        <f>資料儲存!E2149</f>
        <v>0</v>
      </c>
      <c r="M141" s="49">
        <f>資料儲存!F2149</f>
        <v>0</v>
      </c>
      <c r="N141" s="49">
        <f>資料儲存!G2149</f>
        <v>0</v>
      </c>
      <c r="O141" s="49">
        <f>資料儲存!H2149</f>
        <v>0</v>
      </c>
      <c r="P141" s="49">
        <f>資料儲存!I2149</f>
        <v>0</v>
      </c>
      <c r="Q141" s="49">
        <f>資料儲存!J2149</f>
        <v>0</v>
      </c>
      <c r="R141" s="52"/>
      <c r="S141" s="68">
        <v>48</v>
      </c>
      <c r="T141" s="49">
        <f>資料儲存!D2269</f>
        <v>0</v>
      </c>
      <c r="U141" s="49">
        <f>資料儲存!E2269</f>
        <v>0</v>
      </c>
      <c r="V141" s="49">
        <f>資料儲存!F2269</f>
        <v>0</v>
      </c>
      <c r="W141" s="49">
        <f>資料儲存!G2269</f>
        <v>0</v>
      </c>
      <c r="X141" s="49">
        <f>資料儲存!H2269</f>
        <v>0</v>
      </c>
      <c r="Y141" s="49">
        <f>資料儲存!I2269</f>
        <v>0</v>
      </c>
      <c r="Z141" s="49">
        <f>資料儲存!J2269</f>
        <v>0</v>
      </c>
      <c r="AA141" s="52"/>
      <c r="AB141" s="68">
        <v>48</v>
      </c>
      <c r="AC141" s="49">
        <f>資料儲存!D2389</f>
        <v>0</v>
      </c>
      <c r="AD141" s="49">
        <f>資料儲存!E2389</f>
        <v>0</v>
      </c>
      <c r="AE141" s="49">
        <f>資料儲存!F2389</f>
        <v>0</v>
      </c>
      <c r="AF141" s="49">
        <f>資料儲存!G2389</f>
        <v>0</v>
      </c>
      <c r="AG141" s="49">
        <f>資料儲存!H2389</f>
        <v>0</v>
      </c>
      <c r="AH141" s="49">
        <f>資料儲存!I2389</f>
        <v>0</v>
      </c>
      <c r="AI141" s="49">
        <f>資料儲存!J2389</f>
        <v>0</v>
      </c>
      <c r="AJ141" s="52"/>
    </row>
    <row r="142" spans="1:36" ht="16" thickBot="1">
      <c r="A142" s="68">
        <v>49</v>
      </c>
      <c r="B142" s="49">
        <f>資料儲存!D2030</f>
        <v>0</v>
      </c>
      <c r="C142" s="49">
        <f>資料儲存!E2030</f>
        <v>0</v>
      </c>
      <c r="D142" s="49">
        <f>資料儲存!F2030</f>
        <v>0</v>
      </c>
      <c r="E142" s="49">
        <f>資料儲存!G2030</f>
        <v>0</v>
      </c>
      <c r="F142" s="49">
        <f>資料儲存!H2030</f>
        <v>0</v>
      </c>
      <c r="G142" s="49">
        <f>資料儲存!I2030</f>
        <v>0</v>
      </c>
      <c r="H142" s="49">
        <f>資料儲存!J2030</f>
        <v>0</v>
      </c>
      <c r="I142" s="52"/>
      <c r="J142" s="68">
        <v>49</v>
      </c>
      <c r="K142" s="49">
        <f>資料儲存!D2150</f>
        <v>0</v>
      </c>
      <c r="L142" s="49">
        <f>資料儲存!E2150</f>
        <v>0</v>
      </c>
      <c r="M142" s="49">
        <f>資料儲存!F2150</f>
        <v>0</v>
      </c>
      <c r="N142" s="49">
        <f>資料儲存!G2150</f>
        <v>0</v>
      </c>
      <c r="O142" s="49">
        <f>資料儲存!H2150</f>
        <v>0</v>
      </c>
      <c r="P142" s="49">
        <f>資料儲存!I2150</f>
        <v>0</v>
      </c>
      <c r="Q142" s="49">
        <f>資料儲存!J2150</f>
        <v>0</v>
      </c>
      <c r="R142" s="52"/>
      <c r="S142" s="68">
        <v>49</v>
      </c>
      <c r="T142" s="49">
        <f>資料儲存!D2270</f>
        <v>0</v>
      </c>
      <c r="U142" s="49">
        <f>資料儲存!E2270</f>
        <v>0</v>
      </c>
      <c r="V142" s="49">
        <f>資料儲存!F2270</f>
        <v>0</v>
      </c>
      <c r="W142" s="49">
        <f>資料儲存!G2270</f>
        <v>0</v>
      </c>
      <c r="X142" s="49">
        <f>資料儲存!H2270</f>
        <v>0</v>
      </c>
      <c r="Y142" s="49">
        <f>資料儲存!I2270</f>
        <v>0</v>
      </c>
      <c r="Z142" s="49">
        <f>資料儲存!J2270</f>
        <v>0</v>
      </c>
      <c r="AA142" s="52"/>
      <c r="AB142" s="68">
        <v>49</v>
      </c>
      <c r="AC142" s="49">
        <f>資料儲存!D2390</f>
        <v>0</v>
      </c>
      <c r="AD142" s="49">
        <f>資料儲存!E2390</f>
        <v>0</v>
      </c>
      <c r="AE142" s="49">
        <f>資料儲存!F2390</f>
        <v>0</v>
      </c>
      <c r="AF142" s="49">
        <f>資料儲存!G2390</f>
        <v>0</v>
      </c>
      <c r="AG142" s="49">
        <f>資料儲存!H2390</f>
        <v>0</v>
      </c>
      <c r="AH142" s="49">
        <f>資料儲存!I2390</f>
        <v>0</v>
      </c>
      <c r="AI142" s="49">
        <f>資料儲存!J2390</f>
        <v>0</v>
      </c>
      <c r="AJ142" s="52"/>
    </row>
    <row r="143" spans="1:36" ht="16" thickBot="1">
      <c r="A143" s="68">
        <v>50</v>
      </c>
      <c r="B143" s="49">
        <f>資料儲存!D2031</f>
        <v>0</v>
      </c>
      <c r="C143" s="49">
        <f>資料儲存!E2031</f>
        <v>0</v>
      </c>
      <c r="D143" s="49">
        <f>資料儲存!F2031</f>
        <v>0</v>
      </c>
      <c r="E143" s="49">
        <f>資料儲存!G2031</f>
        <v>0</v>
      </c>
      <c r="F143" s="49">
        <f>資料儲存!H2031</f>
        <v>0</v>
      </c>
      <c r="G143" s="49">
        <f>資料儲存!I2031</f>
        <v>0</v>
      </c>
      <c r="H143" s="49">
        <f>資料儲存!J2031</f>
        <v>0</v>
      </c>
      <c r="I143" s="52"/>
      <c r="J143" s="68">
        <v>50</v>
      </c>
      <c r="K143" s="49">
        <f>資料儲存!D2151</f>
        <v>0</v>
      </c>
      <c r="L143" s="49">
        <f>資料儲存!E2151</f>
        <v>0</v>
      </c>
      <c r="M143" s="49">
        <f>資料儲存!F2151</f>
        <v>0</v>
      </c>
      <c r="N143" s="49">
        <f>資料儲存!G2151</f>
        <v>0</v>
      </c>
      <c r="O143" s="49">
        <f>資料儲存!H2151</f>
        <v>0</v>
      </c>
      <c r="P143" s="49">
        <f>資料儲存!I2151</f>
        <v>0</v>
      </c>
      <c r="Q143" s="49">
        <f>資料儲存!J2151</f>
        <v>0</v>
      </c>
      <c r="R143" s="52"/>
      <c r="S143" s="68">
        <v>50</v>
      </c>
      <c r="T143" s="49">
        <f>資料儲存!D2271</f>
        <v>0</v>
      </c>
      <c r="U143" s="49">
        <f>資料儲存!E2271</f>
        <v>0</v>
      </c>
      <c r="V143" s="49">
        <f>資料儲存!F2271</f>
        <v>0</v>
      </c>
      <c r="W143" s="49">
        <f>資料儲存!G2271</f>
        <v>0</v>
      </c>
      <c r="X143" s="49">
        <f>資料儲存!H2271</f>
        <v>0</v>
      </c>
      <c r="Y143" s="49">
        <f>資料儲存!I2271</f>
        <v>0</v>
      </c>
      <c r="Z143" s="49">
        <f>資料儲存!J2271</f>
        <v>0</v>
      </c>
      <c r="AA143" s="52"/>
      <c r="AB143" s="68">
        <v>50</v>
      </c>
      <c r="AC143" s="49">
        <f>資料儲存!D2391</f>
        <v>0</v>
      </c>
      <c r="AD143" s="49">
        <f>資料儲存!E2391</f>
        <v>0</v>
      </c>
      <c r="AE143" s="49">
        <f>資料儲存!F2391</f>
        <v>0</v>
      </c>
      <c r="AF143" s="49">
        <f>資料儲存!G2391</f>
        <v>0</v>
      </c>
      <c r="AG143" s="49">
        <f>資料儲存!H2391</f>
        <v>0</v>
      </c>
      <c r="AH143" s="49">
        <f>資料儲存!I2391</f>
        <v>0</v>
      </c>
      <c r="AI143" s="49">
        <f>資料儲存!J2391</f>
        <v>0</v>
      </c>
      <c r="AJ143" s="52"/>
    </row>
    <row r="144" spans="1:36" ht="16" thickBot="1">
      <c r="A144" s="68">
        <v>51</v>
      </c>
      <c r="B144" s="49">
        <f>資料儲存!D2032</f>
        <v>0</v>
      </c>
      <c r="C144" s="49">
        <f>資料儲存!E2032</f>
        <v>0</v>
      </c>
      <c r="D144" s="49">
        <f>資料儲存!F2032</f>
        <v>0</v>
      </c>
      <c r="E144" s="49">
        <f>資料儲存!G2032</f>
        <v>0</v>
      </c>
      <c r="F144" s="49">
        <f>資料儲存!H2032</f>
        <v>0</v>
      </c>
      <c r="G144" s="49">
        <f>資料儲存!I2032</f>
        <v>0</v>
      </c>
      <c r="H144" s="49">
        <f>資料儲存!J2032</f>
        <v>0</v>
      </c>
      <c r="I144" s="52"/>
      <c r="J144" s="68">
        <v>51</v>
      </c>
      <c r="K144" s="49">
        <f>資料儲存!D2152</f>
        <v>0</v>
      </c>
      <c r="L144" s="49">
        <f>資料儲存!E2152</f>
        <v>0</v>
      </c>
      <c r="M144" s="49">
        <f>資料儲存!F2152</f>
        <v>0</v>
      </c>
      <c r="N144" s="49">
        <f>資料儲存!G2152</f>
        <v>0</v>
      </c>
      <c r="O144" s="49">
        <f>資料儲存!H2152</f>
        <v>0</v>
      </c>
      <c r="P144" s="49">
        <f>資料儲存!I2152</f>
        <v>0</v>
      </c>
      <c r="Q144" s="49">
        <f>資料儲存!J2152</f>
        <v>0</v>
      </c>
      <c r="R144" s="52"/>
      <c r="S144" s="68">
        <v>51</v>
      </c>
      <c r="T144" s="49">
        <f>資料儲存!D2272</f>
        <v>0</v>
      </c>
      <c r="U144" s="49">
        <f>資料儲存!E2272</f>
        <v>0</v>
      </c>
      <c r="V144" s="49">
        <f>資料儲存!F2272</f>
        <v>0</v>
      </c>
      <c r="W144" s="49">
        <f>資料儲存!G2272</f>
        <v>0</v>
      </c>
      <c r="X144" s="49">
        <f>資料儲存!H2272</f>
        <v>0</v>
      </c>
      <c r="Y144" s="49">
        <f>資料儲存!I2272</f>
        <v>0</v>
      </c>
      <c r="Z144" s="49">
        <f>資料儲存!J2272</f>
        <v>0</v>
      </c>
      <c r="AA144" s="52"/>
      <c r="AB144" s="68">
        <v>51</v>
      </c>
      <c r="AC144" s="49">
        <f>資料儲存!D2392</f>
        <v>0</v>
      </c>
      <c r="AD144" s="49">
        <f>資料儲存!E2392</f>
        <v>0</v>
      </c>
      <c r="AE144" s="49">
        <f>資料儲存!F2392</f>
        <v>0</v>
      </c>
      <c r="AF144" s="49">
        <f>資料儲存!G2392</f>
        <v>0</v>
      </c>
      <c r="AG144" s="49">
        <f>資料儲存!H2392</f>
        <v>0</v>
      </c>
      <c r="AH144" s="49">
        <f>資料儲存!I2392</f>
        <v>0</v>
      </c>
      <c r="AI144" s="49">
        <f>資料儲存!J2392</f>
        <v>0</v>
      </c>
      <c r="AJ144" s="52"/>
    </row>
    <row r="145" spans="1:36" ht="16" thickBot="1">
      <c r="A145" s="68">
        <v>52</v>
      </c>
      <c r="B145" s="49">
        <f>資料儲存!D2033</f>
        <v>0</v>
      </c>
      <c r="C145" s="49">
        <f>資料儲存!E2033</f>
        <v>0</v>
      </c>
      <c r="D145" s="49">
        <f>資料儲存!F2033</f>
        <v>0</v>
      </c>
      <c r="E145" s="49">
        <f>資料儲存!G2033</f>
        <v>0</v>
      </c>
      <c r="F145" s="49">
        <f>資料儲存!H2033</f>
        <v>0</v>
      </c>
      <c r="G145" s="49">
        <f>資料儲存!I2033</f>
        <v>0</v>
      </c>
      <c r="H145" s="49">
        <f>資料儲存!J2033</f>
        <v>0</v>
      </c>
      <c r="I145" s="52"/>
      <c r="J145" s="68">
        <v>52</v>
      </c>
      <c r="K145" s="49">
        <f>資料儲存!D2153</f>
        <v>0</v>
      </c>
      <c r="L145" s="49">
        <f>資料儲存!E2153</f>
        <v>0</v>
      </c>
      <c r="M145" s="49">
        <f>資料儲存!F2153</f>
        <v>0</v>
      </c>
      <c r="N145" s="49">
        <f>資料儲存!G2153</f>
        <v>0</v>
      </c>
      <c r="O145" s="49">
        <f>資料儲存!H2153</f>
        <v>0</v>
      </c>
      <c r="P145" s="49">
        <f>資料儲存!I2153</f>
        <v>0</v>
      </c>
      <c r="Q145" s="49">
        <f>資料儲存!J2153</f>
        <v>0</v>
      </c>
      <c r="R145" s="52"/>
      <c r="S145" s="68">
        <v>52</v>
      </c>
      <c r="T145" s="49">
        <f>資料儲存!D2273</f>
        <v>0</v>
      </c>
      <c r="U145" s="49">
        <f>資料儲存!E2273</f>
        <v>0</v>
      </c>
      <c r="V145" s="49">
        <f>資料儲存!F2273</f>
        <v>0</v>
      </c>
      <c r="W145" s="49">
        <f>資料儲存!G2273</f>
        <v>0</v>
      </c>
      <c r="X145" s="49">
        <f>資料儲存!H2273</f>
        <v>0</v>
      </c>
      <c r="Y145" s="49">
        <f>資料儲存!I2273</f>
        <v>0</v>
      </c>
      <c r="Z145" s="49">
        <f>資料儲存!J2273</f>
        <v>0</v>
      </c>
      <c r="AA145" s="52"/>
      <c r="AB145" s="68">
        <v>52</v>
      </c>
      <c r="AC145" s="49">
        <f>資料儲存!D2393</f>
        <v>0</v>
      </c>
      <c r="AD145" s="49">
        <f>資料儲存!E2393</f>
        <v>0</v>
      </c>
      <c r="AE145" s="49">
        <f>資料儲存!F2393</f>
        <v>0</v>
      </c>
      <c r="AF145" s="49">
        <f>資料儲存!G2393</f>
        <v>0</v>
      </c>
      <c r="AG145" s="49">
        <f>資料儲存!H2393</f>
        <v>0</v>
      </c>
      <c r="AH145" s="49">
        <f>資料儲存!I2393</f>
        <v>0</v>
      </c>
      <c r="AI145" s="49">
        <f>資料儲存!J2393</f>
        <v>0</v>
      </c>
      <c r="AJ145" s="52"/>
    </row>
    <row r="146" spans="1:36" ht="16" thickBot="1">
      <c r="A146" s="68">
        <v>53</v>
      </c>
      <c r="B146" s="49">
        <f>資料儲存!D2034</f>
        <v>0</v>
      </c>
      <c r="C146" s="49">
        <f>資料儲存!E2034</f>
        <v>0</v>
      </c>
      <c r="D146" s="49">
        <f>資料儲存!F2034</f>
        <v>0</v>
      </c>
      <c r="E146" s="49">
        <f>資料儲存!G2034</f>
        <v>0</v>
      </c>
      <c r="F146" s="49">
        <f>資料儲存!H2034</f>
        <v>0</v>
      </c>
      <c r="G146" s="49">
        <f>資料儲存!I2034</f>
        <v>0</v>
      </c>
      <c r="H146" s="49">
        <f>資料儲存!J2034</f>
        <v>0</v>
      </c>
      <c r="I146" s="52"/>
      <c r="J146" s="68">
        <v>53</v>
      </c>
      <c r="K146" s="49">
        <f>資料儲存!D2154</f>
        <v>0</v>
      </c>
      <c r="L146" s="49">
        <f>資料儲存!E2154</f>
        <v>0</v>
      </c>
      <c r="M146" s="49">
        <f>資料儲存!F2154</f>
        <v>0</v>
      </c>
      <c r="N146" s="49">
        <f>資料儲存!G2154</f>
        <v>0</v>
      </c>
      <c r="O146" s="49">
        <f>資料儲存!H2154</f>
        <v>0</v>
      </c>
      <c r="P146" s="49">
        <f>資料儲存!I2154</f>
        <v>0</v>
      </c>
      <c r="Q146" s="49">
        <f>資料儲存!J2154</f>
        <v>0</v>
      </c>
      <c r="R146" s="52"/>
      <c r="S146" s="68">
        <v>53</v>
      </c>
      <c r="T146" s="49">
        <f>資料儲存!D2274</f>
        <v>0</v>
      </c>
      <c r="U146" s="49">
        <f>資料儲存!E2274</f>
        <v>0</v>
      </c>
      <c r="V146" s="49">
        <f>資料儲存!F2274</f>
        <v>0</v>
      </c>
      <c r="W146" s="49">
        <f>資料儲存!G2274</f>
        <v>0</v>
      </c>
      <c r="X146" s="49">
        <f>資料儲存!H2274</f>
        <v>0</v>
      </c>
      <c r="Y146" s="49">
        <f>資料儲存!I2274</f>
        <v>0</v>
      </c>
      <c r="Z146" s="49">
        <f>資料儲存!J2274</f>
        <v>0</v>
      </c>
      <c r="AA146" s="52"/>
      <c r="AB146" s="68">
        <v>53</v>
      </c>
      <c r="AC146" s="49">
        <f>資料儲存!D2394</f>
        <v>0</v>
      </c>
      <c r="AD146" s="49">
        <f>資料儲存!E2394</f>
        <v>0</v>
      </c>
      <c r="AE146" s="49">
        <f>資料儲存!F2394</f>
        <v>0</v>
      </c>
      <c r="AF146" s="49">
        <f>資料儲存!G2394</f>
        <v>0</v>
      </c>
      <c r="AG146" s="49">
        <f>資料儲存!H2394</f>
        <v>0</v>
      </c>
      <c r="AH146" s="49">
        <f>資料儲存!I2394</f>
        <v>0</v>
      </c>
      <c r="AI146" s="49">
        <f>資料儲存!J2394</f>
        <v>0</v>
      </c>
      <c r="AJ146" s="52"/>
    </row>
    <row r="147" spans="1:36" ht="16" thickBot="1">
      <c r="A147" s="68">
        <v>54</v>
      </c>
      <c r="B147" s="49">
        <f>資料儲存!D2035</f>
        <v>0</v>
      </c>
      <c r="C147" s="49">
        <f>資料儲存!E2035</f>
        <v>0</v>
      </c>
      <c r="D147" s="49">
        <f>資料儲存!F2035</f>
        <v>0</v>
      </c>
      <c r="E147" s="49">
        <f>資料儲存!G2035</f>
        <v>0</v>
      </c>
      <c r="F147" s="49">
        <f>資料儲存!H2035</f>
        <v>0</v>
      </c>
      <c r="G147" s="49">
        <f>資料儲存!I2035</f>
        <v>0</v>
      </c>
      <c r="H147" s="49">
        <f>資料儲存!J2035</f>
        <v>0</v>
      </c>
      <c r="I147" s="52"/>
      <c r="J147" s="68">
        <v>54</v>
      </c>
      <c r="K147" s="49">
        <f>資料儲存!D2155</f>
        <v>0</v>
      </c>
      <c r="L147" s="49">
        <f>資料儲存!E2155</f>
        <v>0</v>
      </c>
      <c r="M147" s="49">
        <f>資料儲存!F2155</f>
        <v>0</v>
      </c>
      <c r="N147" s="49">
        <f>資料儲存!G2155</f>
        <v>0</v>
      </c>
      <c r="O147" s="49">
        <f>資料儲存!H2155</f>
        <v>0</v>
      </c>
      <c r="P147" s="49">
        <f>資料儲存!I2155</f>
        <v>0</v>
      </c>
      <c r="Q147" s="49">
        <f>資料儲存!J2155</f>
        <v>0</v>
      </c>
      <c r="R147" s="52"/>
      <c r="S147" s="68">
        <v>54</v>
      </c>
      <c r="T147" s="49">
        <f>資料儲存!D2275</f>
        <v>0</v>
      </c>
      <c r="U147" s="49">
        <f>資料儲存!E2275</f>
        <v>0</v>
      </c>
      <c r="V147" s="49">
        <f>資料儲存!F2275</f>
        <v>0</v>
      </c>
      <c r="W147" s="49">
        <f>資料儲存!G2275</f>
        <v>0</v>
      </c>
      <c r="X147" s="49">
        <f>資料儲存!H2275</f>
        <v>0</v>
      </c>
      <c r="Y147" s="49">
        <f>資料儲存!I2275</f>
        <v>0</v>
      </c>
      <c r="Z147" s="49">
        <f>資料儲存!J2275</f>
        <v>0</v>
      </c>
      <c r="AA147" s="52"/>
      <c r="AB147" s="68">
        <v>54</v>
      </c>
      <c r="AC147" s="49">
        <f>資料儲存!D2395</f>
        <v>0</v>
      </c>
      <c r="AD147" s="49">
        <f>資料儲存!E2395</f>
        <v>0</v>
      </c>
      <c r="AE147" s="49">
        <f>資料儲存!F2395</f>
        <v>0</v>
      </c>
      <c r="AF147" s="49">
        <f>資料儲存!G2395</f>
        <v>0</v>
      </c>
      <c r="AG147" s="49">
        <f>資料儲存!H2395</f>
        <v>0</v>
      </c>
      <c r="AH147" s="49">
        <f>資料儲存!I2395</f>
        <v>0</v>
      </c>
      <c r="AI147" s="49">
        <f>資料儲存!J2395</f>
        <v>0</v>
      </c>
      <c r="AJ147" s="52"/>
    </row>
    <row r="148" spans="1:36" ht="16" thickBot="1">
      <c r="A148" s="68">
        <v>55</v>
      </c>
      <c r="B148" s="49">
        <f>資料儲存!D2036</f>
        <v>0</v>
      </c>
      <c r="C148" s="49">
        <f>資料儲存!E2036</f>
        <v>0</v>
      </c>
      <c r="D148" s="49">
        <f>資料儲存!F2036</f>
        <v>0</v>
      </c>
      <c r="E148" s="49">
        <f>資料儲存!G2036</f>
        <v>0</v>
      </c>
      <c r="F148" s="49">
        <f>資料儲存!H2036</f>
        <v>0</v>
      </c>
      <c r="G148" s="49">
        <f>資料儲存!I2036</f>
        <v>0</v>
      </c>
      <c r="H148" s="49">
        <f>資料儲存!J2036</f>
        <v>0</v>
      </c>
      <c r="I148" s="52"/>
      <c r="J148" s="68">
        <v>55</v>
      </c>
      <c r="K148" s="49">
        <f>資料儲存!D2156</f>
        <v>0</v>
      </c>
      <c r="L148" s="49">
        <f>資料儲存!E2156</f>
        <v>0</v>
      </c>
      <c r="M148" s="49">
        <f>資料儲存!F2156</f>
        <v>0</v>
      </c>
      <c r="N148" s="49">
        <f>資料儲存!G2156</f>
        <v>0</v>
      </c>
      <c r="O148" s="49">
        <f>資料儲存!H2156</f>
        <v>0</v>
      </c>
      <c r="P148" s="49">
        <f>資料儲存!I2156</f>
        <v>0</v>
      </c>
      <c r="Q148" s="49">
        <f>資料儲存!J2156</f>
        <v>0</v>
      </c>
      <c r="R148" s="52"/>
      <c r="S148" s="68">
        <v>55</v>
      </c>
      <c r="T148" s="49">
        <f>資料儲存!D2276</f>
        <v>0</v>
      </c>
      <c r="U148" s="49">
        <f>資料儲存!E2276</f>
        <v>0</v>
      </c>
      <c r="V148" s="49">
        <f>資料儲存!F2276</f>
        <v>0</v>
      </c>
      <c r="W148" s="49">
        <f>資料儲存!G2276</f>
        <v>0</v>
      </c>
      <c r="X148" s="49">
        <f>資料儲存!H2276</f>
        <v>0</v>
      </c>
      <c r="Y148" s="49">
        <f>資料儲存!I2276</f>
        <v>0</v>
      </c>
      <c r="Z148" s="49">
        <f>資料儲存!J2276</f>
        <v>0</v>
      </c>
      <c r="AA148" s="52"/>
      <c r="AB148" s="68">
        <v>55</v>
      </c>
      <c r="AC148" s="49">
        <f>資料儲存!D2396</f>
        <v>0</v>
      </c>
      <c r="AD148" s="49">
        <f>資料儲存!E2396</f>
        <v>0</v>
      </c>
      <c r="AE148" s="49">
        <f>資料儲存!F2396</f>
        <v>0</v>
      </c>
      <c r="AF148" s="49">
        <f>資料儲存!G2396</f>
        <v>0</v>
      </c>
      <c r="AG148" s="49">
        <f>資料儲存!H2396</f>
        <v>0</v>
      </c>
      <c r="AH148" s="49">
        <f>資料儲存!I2396</f>
        <v>0</v>
      </c>
      <c r="AI148" s="49">
        <f>資料儲存!J2396</f>
        <v>0</v>
      </c>
      <c r="AJ148" s="52"/>
    </row>
    <row r="149" spans="1:36" ht="16" thickBot="1">
      <c r="A149" s="68">
        <v>56</v>
      </c>
      <c r="B149" s="49">
        <f>資料儲存!D2037</f>
        <v>0</v>
      </c>
      <c r="C149" s="49">
        <f>資料儲存!E2037</f>
        <v>0</v>
      </c>
      <c r="D149" s="49">
        <f>資料儲存!F2037</f>
        <v>0</v>
      </c>
      <c r="E149" s="49">
        <f>資料儲存!G2037</f>
        <v>0</v>
      </c>
      <c r="F149" s="49">
        <f>資料儲存!H2037</f>
        <v>0</v>
      </c>
      <c r="G149" s="49">
        <f>資料儲存!I2037</f>
        <v>0</v>
      </c>
      <c r="H149" s="49">
        <f>資料儲存!J2037</f>
        <v>0</v>
      </c>
      <c r="I149" s="52"/>
      <c r="J149" s="68">
        <v>56</v>
      </c>
      <c r="K149" s="49">
        <f>資料儲存!D2157</f>
        <v>0</v>
      </c>
      <c r="L149" s="49">
        <f>資料儲存!E2157</f>
        <v>0</v>
      </c>
      <c r="M149" s="49">
        <f>資料儲存!F2157</f>
        <v>0</v>
      </c>
      <c r="N149" s="49">
        <f>資料儲存!G2157</f>
        <v>0</v>
      </c>
      <c r="O149" s="49">
        <f>資料儲存!H2157</f>
        <v>0</v>
      </c>
      <c r="P149" s="49">
        <f>資料儲存!I2157</f>
        <v>0</v>
      </c>
      <c r="Q149" s="49">
        <f>資料儲存!J2157</f>
        <v>0</v>
      </c>
      <c r="R149" s="52"/>
      <c r="S149" s="68">
        <v>56</v>
      </c>
      <c r="T149" s="49">
        <f>資料儲存!D2277</f>
        <v>0</v>
      </c>
      <c r="U149" s="49">
        <f>資料儲存!E2277</f>
        <v>0</v>
      </c>
      <c r="V149" s="49">
        <f>資料儲存!F2277</f>
        <v>0</v>
      </c>
      <c r="W149" s="49">
        <f>資料儲存!G2277</f>
        <v>0</v>
      </c>
      <c r="X149" s="49">
        <f>資料儲存!H2277</f>
        <v>0</v>
      </c>
      <c r="Y149" s="49">
        <f>資料儲存!I2277</f>
        <v>0</v>
      </c>
      <c r="Z149" s="49">
        <f>資料儲存!J2277</f>
        <v>0</v>
      </c>
      <c r="AA149" s="52"/>
      <c r="AB149" s="68">
        <v>56</v>
      </c>
      <c r="AC149" s="49">
        <f>資料儲存!D2397</f>
        <v>0</v>
      </c>
      <c r="AD149" s="49">
        <f>資料儲存!E2397</f>
        <v>0</v>
      </c>
      <c r="AE149" s="49">
        <f>資料儲存!F2397</f>
        <v>0</v>
      </c>
      <c r="AF149" s="49">
        <f>資料儲存!G2397</f>
        <v>0</v>
      </c>
      <c r="AG149" s="49">
        <f>資料儲存!H2397</f>
        <v>0</v>
      </c>
      <c r="AH149" s="49">
        <f>資料儲存!I2397</f>
        <v>0</v>
      </c>
      <c r="AI149" s="49">
        <f>資料儲存!J2397</f>
        <v>0</v>
      </c>
      <c r="AJ149" s="52"/>
    </row>
    <row r="150" spans="1:36" ht="16" thickBot="1">
      <c r="A150" s="68">
        <v>57</v>
      </c>
      <c r="B150" s="49">
        <f>資料儲存!D2038</f>
        <v>0</v>
      </c>
      <c r="C150" s="49">
        <f>資料儲存!E2038</f>
        <v>0</v>
      </c>
      <c r="D150" s="49">
        <f>資料儲存!F2038</f>
        <v>0</v>
      </c>
      <c r="E150" s="49">
        <f>資料儲存!G2038</f>
        <v>0</v>
      </c>
      <c r="F150" s="49">
        <f>資料儲存!H2038</f>
        <v>0</v>
      </c>
      <c r="G150" s="49">
        <f>資料儲存!I2038</f>
        <v>0</v>
      </c>
      <c r="H150" s="49">
        <f>資料儲存!J2038</f>
        <v>0</v>
      </c>
      <c r="I150" s="52"/>
      <c r="J150" s="68">
        <v>57</v>
      </c>
      <c r="K150" s="49">
        <f>資料儲存!D2158</f>
        <v>0</v>
      </c>
      <c r="L150" s="49">
        <f>資料儲存!E2158</f>
        <v>0</v>
      </c>
      <c r="M150" s="49">
        <f>資料儲存!F2158</f>
        <v>0</v>
      </c>
      <c r="N150" s="49">
        <f>資料儲存!G2158</f>
        <v>0</v>
      </c>
      <c r="O150" s="49">
        <f>資料儲存!H2158</f>
        <v>0</v>
      </c>
      <c r="P150" s="49">
        <f>資料儲存!I2158</f>
        <v>0</v>
      </c>
      <c r="Q150" s="49">
        <f>資料儲存!J2158</f>
        <v>0</v>
      </c>
      <c r="R150" s="52"/>
      <c r="S150" s="68">
        <v>57</v>
      </c>
      <c r="T150" s="49">
        <f>資料儲存!D2278</f>
        <v>0</v>
      </c>
      <c r="U150" s="49">
        <f>資料儲存!E2278</f>
        <v>0</v>
      </c>
      <c r="V150" s="49">
        <f>資料儲存!F2278</f>
        <v>0</v>
      </c>
      <c r="W150" s="49">
        <f>資料儲存!G2278</f>
        <v>0</v>
      </c>
      <c r="X150" s="49">
        <f>資料儲存!H2278</f>
        <v>0</v>
      </c>
      <c r="Y150" s="49">
        <f>資料儲存!I2278</f>
        <v>0</v>
      </c>
      <c r="Z150" s="49">
        <f>資料儲存!J2278</f>
        <v>0</v>
      </c>
      <c r="AA150" s="52"/>
      <c r="AB150" s="68">
        <v>57</v>
      </c>
      <c r="AC150" s="49">
        <f>資料儲存!D2398</f>
        <v>0</v>
      </c>
      <c r="AD150" s="49">
        <f>資料儲存!E2398</f>
        <v>0</v>
      </c>
      <c r="AE150" s="49">
        <f>資料儲存!F2398</f>
        <v>0</v>
      </c>
      <c r="AF150" s="49">
        <f>資料儲存!G2398</f>
        <v>0</v>
      </c>
      <c r="AG150" s="49">
        <f>資料儲存!H2398</f>
        <v>0</v>
      </c>
      <c r="AH150" s="49">
        <f>資料儲存!I2398</f>
        <v>0</v>
      </c>
      <c r="AI150" s="49">
        <f>資料儲存!J2398</f>
        <v>0</v>
      </c>
      <c r="AJ150" s="52"/>
    </row>
    <row r="151" spans="1:36" ht="16" thickBot="1">
      <c r="A151" s="68">
        <v>58</v>
      </c>
      <c r="B151" s="49">
        <f>資料儲存!D2039</f>
        <v>0</v>
      </c>
      <c r="C151" s="49">
        <f>資料儲存!E2039</f>
        <v>0</v>
      </c>
      <c r="D151" s="49">
        <f>資料儲存!F2039</f>
        <v>0</v>
      </c>
      <c r="E151" s="49">
        <f>資料儲存!G2039</f>
        <v>0</v>
      </c>
      <c r="F151" s="49">
        <f>資料儲存!H2039</f>
        <v>0</v>
      </c>
      <c r="G151" s="49">
        <f>資料儲存!I2039</f>
        <v>0</v>
      </c>
      <c r="H151" s="49">
        <f>資料儲存!J2039</f>
        <v>0</v>
      </c>
      <c r="I151" s="52"/>
      <c r="J151" s="68">
        <v>58</v>
      </c>
      <c r="K151" s="49">
        <f>資料儲存!D2159</f>
        <v>0</v>
      </c>
      <c r="L151" s="49">
        <f>資料儲存!E2159</f>
        <v>0</v>
      </c>
      <c r="M151" s="49">
        <f>資料儲存!F2159</f>
        <v>0</v>
      </c>
      <c r="N151" s="49">
        <f>資料儲存!G2159</f>
        <v>0</v>
      </c>
      <c r="O151" s="49">
        <f>資料儲存!H2159</f>
        <v>0</v>
      </c>
      <c r="P151" s="49">
        <f>資料儲存!I2159</f>
        <v>0</v>
      </c>
      <c r="Q151" s="49">
        <f>資料儲存!J2159</f>
        <v>0</v>
      </c>
      <c r="R151" s="52"/>
      <c r="S151" s="68">
        <v>58</v>
      </c>
      <c r="T151" s="49">
        <f>資料儲存!D2279</f>
        <v>0</v>
      </c>
      <c r="U151" s="49">
        <f>資料儲存!E2279</f>
        <v>0</v>
      </c>
      <c r="V151" s="49">
        <f>資料儲存!F2279</f>
        <v>0</v>
      </c>
      <c r="W151" s="49">
        <f>資料儲存!G2279</f>
        <v>0</v>
      </c>
      <c r="X151" s="49">
        <f>資料儲存!H2279</f>
        <v>0</v>
      </c>
      <c r="Y151" s="49">
        <f>資料儲存!I2279</f>
        <v>0</v>
      </c>
      <c r="Z151" s="49">
        <f>資料儲存!J2279</f>
        <v>0</v>
      </c>
      <c r="AA151" s="52"/>
      <c r="AB151" s="68">
        <v>58</v>
      </c>
      <c r="AC151" s="49">
        <f>資料儲存!D2399</f>
        <v>0</v>
      </c>
      <c r="AD151" s="49">
        <f>資料儲存!E2399</f>
        <v>0</v>
      </c>
      <c r="AE151" s="49">
        <f>資料儲存!F2399</f>
        <v>0</v>
      </c>
      <c r="AF151" s="49">
        <f>資料儲存!G2399</f>
        <v>0</v>
      </c>
      <c r="AG151" s="49">
        <f>資料儲存!H2399</f>
        <v>0</v>
      </c>
      <c r="AH151" s="49">
        <f>資料儲存!I2399</f>
        <v>0</v>
      </c>
      <c r="AI151" s="49">
        <f>資料儲存!J2399</f>
        <v>0</v>
      </c>
      <c r="AJ151" s="52"/>
    </row>
    <row r="152" spans="1:36" ht="16" thickBot="1">
      <c r="A152" s="68">
        <v>59</v>
      </c>
      <c r="B152" s="49">
        <f>資料儲存!D2040</f>
        <v>0</v>
      </c>
      <c r="C152" s="49">
        <f>資料儲存!E2040</f>
        <v>0</v>
      </c>
      <c r="D152" s="49">
        <f>資料儲存!F2040</f>
        <v>0</v>
      </c>
      <c r="E152" s="49">
        <f>資料儲存!G2040</f>
        <v>0</v>
      </c>
      <c r="F152" s="49">
        <f>資料儲存!H2040</f>
        <v>0</v>
      </c>
      <c r="G152" s="49">
        <f>資料儲存!I2040</f>
        <v>0</v>
      </c>
      <c r="H152" s="49">
        <f>資料儲存!J2040</f>
        <v>0</v>
      </c>
      <c r="I152" s="52"/>
      <c r="J152" s="68">
        <v>59</v>
      </c>
      <c r="K152" s="49">
        <f>資料儲存!D2160</f>
        <v>0</v>
      </c>
      <c r="L152" s="49">
        <f>資料儲存!E2160</f>
        <v>0</v>
      </c>
      <c r="M152" s="49">
        <f>資料儲存!F2160</f>
        <v>0</v>
      </c>
      <c r="N152" s="49">
        <f>資料儲存!G2160</f>
        <v>0</v>
      </c>
      <c r="O152" s="49">
        <f>資料儲存!H2160</f>
        <v>0</v>
      </c>
      <c r="P152" s="49">
        <f>資料儲存!I2160</f>
        <v>0</v>
      </c>
      <c r="Q152" s="49">
        <f>資料儲存!J2160</f>
        <v>0</v>
      </c>
      <c r="R152" s="52"/>
      <c r="S152" s="68">
        <v>59</v>
      </c>
      <c r="T152" s="49">
        <f>資料儲存!D2280</f>
        <v>0</v>
      </c>
      <c r="U152" s="49">
        <f>資料儲存!E2280</f>
        <v>0</v>
      </c>
      <c r="V152" s="49">
        <f>資料儲存!F2280</f>
        <v>0</v>
      </c>
      <c r="W152" s="49">
        <f>資料儲存!G2280</f>
        <v>0</v>
      </c>
      <c r="X152" s="49">
        <f>資料儲存!H2280</f>
        <v>0</v>
      </c>
      <c r="Y152" s="49">
        <f>資料儲存!I2280</f>
        <v>0</v>
      </c>
      <c r="Z152" s="49">
        <f>資料儲存!J2280</f>
        <v>0</v>
      </c>
      <c r="AA152" s="52"/>
      <c r="AB152" s="68">
        <v>59</v>
      </c>
      <c r="AC152" s="49">
        <f>資料儲存!D2400</f>
        <v>0</v>
      </c>
      <c r="AD152" s="49">
        <f>資料儲存!E2400</f>
        <v>0</v>
      </c>
      <c r="AE152" s="49">
        <f>資料儲存!F2400</f>
        <v>0</v>
      </c>
      <c r="AF152" s="49">
        <f>資料儲存!G2400</f>
        <v>0</v>
      </c>
      <c r="AG152" s="49">
        <f>資料儲存!H2400</f>
        <v>0</v>
      </c>
      <c r="AH152" s="49">
        <f>資料儲存!I2400</f>
        <v>0</v>
      </c>
      <c r="AI152" s="49">
        <f>資料儲存!J2400</f>
        <v>0</v>
      </c>
      <c r="AJ152" s="52"/>
    </row>
    <row r="153" spans="1:36" ht="16" thickBot="1">
      <c r="A153" s="68">
        <v>60</v>
      </c>
      <c r="B153" s="49">
        <f>資料儲存!D2041</f>
        <v>0</v>
      </c>
      <c r="C153" s="49">
        <f>資料儲存!E2041</f>
        <v>0</v>
      </c>
      <c r="D153" s="49">
        <f>資料儲存!F2041</f>
        <v>0</v>
      </c>
      <c r="E153" s="49">
        <f>資料儲存!G2041</f>
        <v>0</v>
      </c>
      <c r="F153" s="49">
        <f>資料儲存!H2041</f>
        <v>0</v>
      </c>
      <c r="G153" s="49">
        <f>資料儲存!I2041</f>
        <v>0</v>
      </c>
      <c r="H153" s="49">
        <f>資料儲存!J2041</f>
        <v>0</v>
      </c>
      <c r="I153" s="52"/>
      <c r="J153" s="68">
        <v>60</v>
      </c>
      <c r="K153" s="49">
        <f>資料儲存!D2161</f>
        <v>0</v>
      </c>
      <c r="L153" s="49">
        <f>資料儲存!E2161</f>
        <v>0</v>
      </c>
      <c r="M153" s="49">
        <f>資料儲存!F2161</f>
        <v>0</v>
      </c>
      <c r="N153" s="49">
        <f>資料儲存!G2161</f>
        <v>0</v>
      </c>
      <c r="O153" s="49">
        <f>資料儲存!H2161</f>
        <v>0</v>
      </c>
      <c r="P153" s="49">
        <f>資料儲存!I2161</f>
        <v>0</v>
      </c>
      <c r="Q153" s="49">
        <f>資料儲存!J2161</f>
        <v>0</v>
      </c>
      <c r="R153" s="52"/>
      <c r="S153" s="68">
        <v>60</v>
      </c>
      <c r="T153" s="49">
        <f>資料儲存!D2281</f>
        <v>0</v>
      </c>
      <c r="U153" s="49">
        <f>資料儲存!E2281</f>
        <v>0</v>
      </c>
      <c r="V153" s="49">
        <f>資料儲存!F2281</f>
        <v>0</v>
      </c>
      <c r="W153" s="49">
        <f>資料儲存!G2281</f>
        <v>0</v>
      </c>
      <c r="X153" s="49">
        <f>資料儲存!H2281</f>
        <v>0</v>
      </c>
      <c r="Y153" s="49">
        <f>資料儲存!I2281</f>
        <v>0</v>
      </c>
      <c r="Z153" s="49">
        <f>資料儲存!J2281</f>
        <v>0</v>
      </c>
      <c r="AA153" s="52"/>
      <c r="AB153" s="68">
        <v>60</v>
      </c>
      <c r="AC153" s="49">
        <f>資料儲存!D2401</f>
        <v>0</v>
      </c>
      <c r="AD153" s="49">
        <f>資料儲存!E2401</f>
        <v>0</v>
      </c>
      <c r="AE153" s="49">
        <f>資料儲存!F2401</f>
        <v>0</v>
      </c>
      <c r="AF153" s="49">
        <f>資料儲存!G2401</f>
        <v>0</v>
      </c>
      <c r="AG153" s="49">
        <f>資料儲存!H2401</f>
        <v>0</v>
      </c>
      <c r="AH153" s="49">
        <f>資料儲存!I2401</f>
        <v>0</v>
      </c>
      <c r="AI153" s="49">
        <f>資料儲存!J2401</f>
        <v>0</v>
      </c>
      <c r="AJ153" s="52"/>
    </row>
    <row r="154" spans="1:36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</row>
    <row r="155" spans="1:36">
      <c r="A155" s="69" t="s">
        <v>88</v>
      </c>
      <c r="B155" s="52"/>
      <c r="C155" s="52"/>
      <c r="D155" s="52"/>
      <c r="E155" s="52"/>
      <c r="F155" s="52"/>
      <c r="G155" s="52"/>
      <c r="H155" s="52"/>
      <c r="I155" s="52"/>
      <c r="J155" s="70" t="s">
        <v>88</v>
      </c>
      <c r="K155" s="52"/>
      <c r="L155" s="52"/>
      <c r="M155" s="52"/>
      <c r="N155" s="52"/>
      <c r="O155" s="52"/>
      <c r="P155" s="52"/>
      <c r="Q155" s="52"/>
      <c r="R155" s="52"/>
      <c r="S155" s="70" t="s">
        <v>88</v>
      </c>
      <c r="T155" s="52"/>
      <c r="U155" s="52"/>
      <c r="V155" s="52"/>
      <c r="W155" s="52"/>
      <c r="X155" s="52"/>
      <c r="Y155" s="52"/>
      <c r="Z155" s="52"/>
      <c r="AA155" s="52"/>
      <c r="AB155" s="70" t="s">
        <v>88</v>
      </c>
      <c r="AC155" s="52"/>
      <c r="AD155" s="52"/>
      <c r="AE155" s="52"/>
      <c r="AF155" s="52"/>
      <c r="AG155" s="52"/>
      <c r="AH155" s="52"/>
      <c r="AI155" s="52"/>
      <c r="AJ155" s="52"/>
    </row>
  </sheetData>
  <mergeCells count="40">
    <mergeCell ref="AB41:AI41"/>
    <mergeCell ref="AB79:AI79"/>
    <mergeCell ref="AB60:AI60"/>
    <mergeCell ref="A136:H136"/>
    <mergeCell ref="J136:Q136"/>
    <mergeCell ref="AB98:AI98"/>
    <mergeCell ref="A98:H98"/>
    <mergeCell ref="J98:Q98"/>
    <mergeCell ref="S98:Z98"/>
    <mergeCell ref="A117:H117"/>
    <mergeCell ref="J117:Q117"/>
    <mergeCell ref="S136:Z136"/>
    <mergeCell ref="AB136:AI136"/>
    <mergeCell ref="S117:Z117"/>
    <mergeCell ref="AB117:AI117"/>
    <mergeCell ref="A41:H41"/>
    <mergeCell ref="AB1:AI1"/>
    <mergeCell ref="S3:Z3"/>
    <mergeCell ref="AB3:AI3"/>
    <mergeCell ref="AB2:AI2"/>
    <mergeCell ref="A22:H22"/>
    <mergeCell ref="J22:Q22"/>
    <mergeCell ref="S22:Z22"/>
    <mergeCell ref="AB22:AI22"/>
    <mergeCell ref="A3:H3"/>
    <mergeCell ref="J3:Q3"/>
    <mergeCell ref="A1:H1"/>
    <mergeCell ref="J1:Q1"/>
    <mergeCell ref="A2:H2"/>
    <mergeCell ref="J2:Q2"/>
    <mergeCell ref="S2:Z2"/>
    <mergeCell ref="S1:Z1"/>
    <mergeCell ref="J41:Q41"/>
    <mergeCell ref="A79:H79"/>
    <mergeCell ref="J79:Q79"/>
    <mergeCell ref="S79:Z79"/>
    <mergeCell ref="A60:H60"/>
    <mergeCell ref="J60:Q60"/>
    <mergeCell ref="S60:Z60"/>
    <mergeCell ref="S41:Z4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39997558519241921"/>
  </sheetPr>
  <dimension ref="A1:AJ78"/>
  <sheetViews>
    <sheetView topLeftCell="T1" zoomScale="70" zoomScaleNormal="70" zoomScaleSheetLayoutView="70" workbookViewId="0">
      <pane ySplit="1" topLeftCell="A2" activePane="bottomLeft" state="frozen"/>
      <selection pane="bottomLeft" activeCell="AK4" sqref="AK1:AR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37" width="2.08984375" style="1" customWidth="1"/>
    <col min="38" max="16384" width="10.08984375" style="1"/>
  </cols>
  <sheetData>
    <row r="1" spans="1:36" s="11" customFormat="1" ht="18.5" thickBot="1">
      <c r="A1" s="253" t="str">
        <f>基本資料!$G$11</f>
        <v>假日(11-12)</v>
      </c>
      <c r="B1" s="254"/>
      <c r="C1" s="254"/>
      <c r="D1" s="254"/>
      <c r="E1" s="254"/>
      <c r="F1" s="254"/>
      <c r="G1" s="254"/>
      <c r="H1" s="255"/>
      <c r="J1" s="253" t="str">
        <f>基本資料!$G$11</f>
        <v>假日(11-12)</v>
      </c>
      <c r="K1" s="254"/>
      <c r="L1" s="254"/>
      <c r="M1" s="254"/>
      <c r="N1" s="254"/>
      <c r="O1" s="254"/>
      <c r="P1" s="254"/>
      <c r="Q1" s="255"/>
      <c r="S1" s="253" t="str">
        <f>基本資料!$G$11</f>
        <v>假日(11-12)</v>
      </c>
      <c r="T1" s="254"/>
      <c r="U1" s="254"/>
      <c r="V1" s="254"/>
      <c r="W1" s="254"/>
      <c r="X1" s="254"/>
      <c r="Y1" s="254"/>
      <c r="Z1" s="255"/>
      <c r="AB1" s="253" t="str">
        <f>基本資料!$G$11</f>
        <v>假日(11-12)</v>
      </c>
      <c r="AC1" s="254"/>
      <c r="AD1" s="254"/>
      <c r="AE1" s="254"/>
      <c r="AF1" s="254"/>
      <c r="AG1" s="254"/>
      <c r="AH1" s="254"/>
      <c r="AI1" s="255"/>
    </row>
    <row r="2" spans="1:36" ht="18.5" thickBot="1">
      <c r="A2" s="256" t="str">
        <f>CONCATENATE(基本資料!B18,"方向：",基本資料!B19,基本資料!B20)</f>
        <v>A方向：</v>
      </c>
      <c r="B2" s="257"/>
      <c r="C2" s="257"/>
      <c r="D2" s="257"/>
      <c r="E2" s="257"/>
      <c r="F2" s="257"/>
      <c r="G2" s="257"/>
      <c r="H2" s="258"/>
      <c r="I2" s="1"/>
      <c r="J2" s="256" t="str">
        <f>CONCATENATE(基本資料!C18,"方向：",基本資料!C19,基本資料!C20)</f>
        <v>B方向：</v>
      </c>
      <c r="K2" s="257"/>
      <c r="L2" s="257"/>
      <c r="M2" s="257"/>
      <c r="N2" s="257"/>
      <c r="O2" s="257"/>
      <c r="P2" s="257"/>
      <c r="Q2" s="258"/>
      <c r="R2" s="1"/>
      <c r="S2" s="256" t="str">
        <f>CONCATENATE(基本資料!D18,"方向：",基本資料!D19,基本資料!D20)</f>
        <v>C方向：</v>
      </c>
      <c r="T2" s="257"/>
      <c r="U2" s="257"/>
      <c r="V2" s="257"/>
      <c r="W2" s="257"/>
      <c r="X2" s="257"/>
      <c r="Y2" s="257"/>
      <c r="Z2" s="258"/>
      <c r="AA2" s="1"/>
      <c r="AB2" s="256" t="str">
        <f>CONCATENATE(基本資料!E18,"方向：",基本資料!E19,基本資料!E20)</f>
        <v>D方向：</v>
      </c>
      <c r="AC2" s="257"/>
      <c r="AD2" s="257"/>
      <c r="AE2" s="257"/>
      <c r="AF2" s="257"/>
      <c r="AG2" s="257"/>
      <c r="AH2" s="257"/>
      <c r="AI2" s="258"/>
      <c r="AJ2" s="1"/>
    </row>
    <row r="3" spans="1:36" ht="18.5" thickBot="1">
      <c r="A3" s="250" t="s">
        <v>91</v>
      </c>
      <c r="B3" s="251"/>
      <c r="C3" s="251"/>
      <c r="D3" s="251"/>
      <c r="E3" s="251"/>
      <c r="F3" s="251"/>
      <c r="G3" s="251"/>
      <c r="H3" s="252"/>
      <c r="I3" s="22"/>
      <c r="J3" s="250" t="s">
        <v>91</v>
      </c>
      <c r="K3" s="251"/>
      <c r="L3" s="251"/>
      <c r="M3" s="251"/>
      <c r="N3" s="251"/>
      <c r="O3" s="251"/>
      <c r="P3" s="251"/>
      <c r="Q3" s="252"/>
      <c r="R3" s="22"/>
      <c r="S3" s="250" t="s">
        <v>91</v>
      </c>
      <c r="T3" s="251"/>
      <c r="U3" s="251"/>
      <c r="V3" s="251"/>
      <c r="W3" s="251"/>
      <c r="X3" s="251"/>
      <c r="Y3" s="251"/>
      <c r="Z3" s="252"/>
      <c r="AA3" s="22"/>
      <c r="AB3" s="250" t="s">
        <v>91</v>
      </c>
      <c r="AC3" s="251"/>
      <c r="AD3" s="251"/>
      <c r="AE3" s="251"/>
      <c r="AF3" s="251"/>
      <c r="AG3" s="251"/>
      <c r="AH3" s="251"/>
      <c r="AI3" s="252"/>
      <c r="AJ3" s="22"/>
    </row>
    <row r="4" spans="1:36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</row>
    <row r="5" spans="1:36" ht="16" thickBot="1">
      <c r="A5" s="59">
        <v>0.45833333333333331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>
        <v>0.45833333333333331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>
        <v>0.45833333333333331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>
        <v>0.45833333333333331</v>
      </c>
      <c r="AC5" s="60" t="s">
        <v>49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</row>
    <row r="6" spans="1:36" ht="16" thickBot="1">
      <c r="A6" s="61">
        <v>1</v>
      </c>
      <c r="B6" s="39">
        <f>資料儲存!D2402</f>
        <v>0</v>
      </c>
      <c r="C6" s="39">
        <f>資料儲存!E2402</f>
        <v>0</v>
      </c>
      <c r="D6" s="39">
        <f>資料儲存!F2402</f>
        <v>0</v>
      </c>
      <c r="E6" s="39">
        <f>資料儲存!G2402</f>
        <v>0</v>
      </c>
      <c r="F6" s="39">
        <f>資料儲存!H2402</f>
        <v>0</v>
      </c>
      <c r="G6" s="39">
        <f>資料儲存!I2402</f>
        <v>0</v>
      </c>
      <c r="H6" s="39">
        <f>資料儲存!J2402</f>
        <v>0</v>
      </c>
      <c r="I6" s="58"/>
      <c r="J6" s="61">
        <v>1</v>
      </c>
      <c r="K6" s="39">
        <f>資料儲存!D2462</f>
        <v>0</v>
      </c>
      <c r="L6" s="39">
        <f>資料儲存!E2462</f>
        <v>0</v>
      </c>
      <c r="M6" s="39">
        <f>資料儲存!F2462</f>
        <v>0</v>
      </c>
      <c r="N6" s="39">
        <f>資料儲存!G2462</f>
        <v>0</v>
      </c>
      <c r="O6" s="39">
        <f>資料儲存!H2462</f>
        <v>0</v>
      </c>
      <c r="P6" s="39">
        <f>資料儲存!I2462</f>
        <v>0</v>
      </c>
      <c r="Q6" s="39">
        <f>資料儲存!J2462</f>
        <v>0</v>
      </c>
      <c r="R6" s="58"/>
      <c r="S6" s="61">
        <v>1</v>
      </c>
      <c r="T6" s="39">
        <f>資料儲存!D2522</f>
        <v>0</v>
      </c>
      <c r="U6" s="39">
        <f>資料儲存!E2522</f>
        <v>0</v>
      </c>
      <c r="V6" s="39">
        <f>資料儲存!F2522</f>
        <v>0</v>
      </c>
      <c r="W6" s="39">
        <f>資料儲存!G2522</f>
        <v>0</v>
      </c>
      <c r="X6" s="39">
        <f>資料儲存!H2522</f>
        <v>0</v>
      </c>
      <c r="Y6" s="39">
        <f>資料儲存!I2522</f>
        <v>0</v>
      </c>
      <c r="Z6" s="39">
        <f>資料儲存!J2522</f>
        <v>0</v>
      </c>
      <c r="AA6" s="58"/>
      <c r="AB6" s="61">
        <v>1</v>
      </c>
      <c r="AC6" s="39">
        <f>資料儲存!D2582</f>
        <v>0</v>
      </c>
      <c r="AD6" s="39">
        <f>資料儲存!E2582</f>
        <v>0</v>
      </c>
      <c r="AE6" s="39">
        <f>資料儲存!F2582</f>
        <v>0</v>
      </c>
      <c r="AF6" s="39">
        <f>資料儲存!G2582</f>
        <v>0</v>
      </c>
      <c r="AG6" s="39">
        <f>資料儲存!H2582</f>
        <v>0</v>
      </c>
      <c r="AH6" s="39">
        <f>資料儲存!I2582</f>
        <v>0</v>
      </c>
      <c r="AI6" s="39">
        <f>資料儲存!J2582</f>
        <v>0</v>
      </c>
      <c r="AJ6" s="58"/>
    </row>
    <row r="7" spans="1:36" ht="16" thickBot="1">
      <c r="A7" s="61">
        <v>2</v>
      </c>
      <c r="B7" s="39">
        <f>資料儲存!D2403</f>
        <v>0</v>
      </c>
      <c r="C7" s="39">
        <f>資料儲存!E2403</f>
        <v>0</v>
      </c>
      <c r="D7" s="39">
        <f>資料儲存!F2403</f>
        <v>0</v>
      </c>
      <c r="E7" s="39">
        <f>資料儲存!G2403</f>
        <v>0</v>
      </c>
      <c r="F7" s="39">
        <f>資料儲存!H2403</f>
        <v>0</v>
      </c>
      <c r="G7" s="39">
        <f>資料儲存!I2403</f>
        <v>0</v>
      </c>
      <c r="H7" s="39">
        <f>資料儲存!J2403</f>
        <v>0</v>
      </c>
      <c r="I7" s="58"/>
      <c r="J7" s="61">
        <v>2</v>
      </c>
      <c r="K7" s="39">
        <f>資料儲存!D2463</f>
        <v>0</v>
      </c>
      <c r="L7" s="39">
        <f>資料儲存!E2463</f>
        <v>0</v>
      </c>
      <c r="M7" s="39">
        <f>資料儲存!F2463</f>
        <v>0</v>
      </c>
      <c r="N7" s="39">
        <f>資料儲存!G2463</f>
        <v>0</v>
      </c>
      <c r="O7" s="39">
        <f>資料儲存!H2463</f>
        <v>0</v>
      </c>
      <c r="P7" s="39">
        <f>資料儲存!I2463</f>
        <v>0</v>
      </c>
      <c r="Q7" s="39">
        <f>資料儲存!J2463</f>
        <v>0</v>
      </c>
      <c r="R7" s="58"/>
      <c r="S7" s="61">
        <v>2</v>
      </c>
      <c r="T7" s="39">
        <f>資料儲存!D2523</f>
        <v>0</v>
      </c>
      <c r="U7" s="39">
        <f>資料儲存!E2523</f>
        <v>0</v>
      </c>
      <c r="V7" s="39">
        <f>資料儲存!F2523</f>
        <v>0</v>
      </c>
      <c r="W7" s="39">
        <f>資料儲存!G2523</f>
        <v>0</v>
      </c>
      <c r="X7" s="39">
        <f>資料儲存!H2523</f>
        <v>0</v>
      </c>
      <c r="Y7" s="39">
        <f>資料儲存!I2523</f>
        <v>0</v>
      </c>
      <c r="Z7" s="39">
        <f>資料儲存!J2523</f>
        <v>0</v>
      </c>
      <c r="AA7" s="58"/>
      <c r="AB7" s="61">
        <v>2</v>
      </c>
      <c r="AC7" s="39">
        <f>資料儲存!D2583</f>
        <v>0</v>
      </c>
      <c r="AD7" s="39">
        <f>資料儲存!E2583</f>
        <v>0</v>
      </c>
      <c r="AE7" s="39">
        <f>資料儲存!F2583</f>
        <v>0</v>
      </c>
      <c r="AF7" s="39">
        <f>資料儲存!G2583</f>
        <v>0</v>
      </c>
      <c r="AG7" s="39">
        <f>資料儲存!H2583</f>
        <v>0</v>
      </c>
      <c r="AH7" s="39">
        <f>資料儲存!I2583</f>
        <v>0</v>
      </c>
      <c r="AI7" s="39">
        <f>資料儲存!J2583</f>
        <v>0</v>
      </c>
      <c r="AJ7" s="58"/>
    </row>
    <row r="8" spans="1:36" ht="16" thickBot="1">
      <c r="A8" s="61">
        <v>3</v>
      </c>
      <c r="B8" s="39">
        <f>資料儲存!D2404</f>
        <v>0</v>
      </c>
      <c r="C8" s="39">
        <f>資料儲存!E2404</f>
        <v>0</v>
      </c>
      <c r="D8" s="39">
        <f>資料儲存!F2404</f>
        <v>0</v>
      </c>
      <c r="E8" s="39">
        <f>資料儲存!G2404</f>
        <v>0</v>
      </c>
      <c r="F8" s="39">
        <f>資料儲存!H2404</f>
        <v>0</v>
      </c>
      <c r="G8" s="39">
        <f>資料儲存!I2404</f>
        <v>0</v>
      </c>
      <c r="H8" s="39">
        <f>資料儲存!J2404</f>
        <v>0</v>
      </c>
      <c r="I8" s="58"/>
      <c r="J8" s="61">
        <v>3</v>
      </c>
      <c r="K8" s="39">
        <f>資料儲存!D2464</f>
        <v>0</v>
      </c>
      <c r="L8" s="39">
        <f>資料儲存!E2464</f>
        <v>0</v>
      </c>
      <c r="M8" s="39">
        <f>資料儲存!F2464</f>
        <v>0</v>
      </c>
      <c r="N8" s="39">
        <f>資料儲存!G2464</f>
        <v>0</v>
      </c>
      <c r="O8" s="39">
        <f>資料儲存!H2464</f>
        <v>0</v>
      </c>
      <c r="P8" s="39">
        <f>資料儲存!I2464</f>
        <v>0</v>
      </c>
      <c r="Q8" s="39">
        <f>資料儲存!J2464</f>
        <v>0</v>
      </c>
      <c r="R8" s="58"/>
      <c r="S8" s="61">
        <v>3</v>
      </c>
      <c r="T8" s="39">
        <f>資料儲存!D2524</f>
        <v>0</v>
      </c>
      <c r="U8" s="39">
        <f>資料儲存!E2524</f>
        <v>0</v>
      </c>
      <c r="V8" s="39">
        <f>資料儲存!F2524</f>
        <v>0</v>
      </c>
      <c r="W8" s="39">
        <f>資料儲存!G2524</f>
        <v>0</v>
      </c>
      <c r="X8" s="39">
        <f>資料儲存!H2524</f>
        <v>0</v>
      </c>
      <c r="Y8" s="39">
        <f>資料儲存!I2524</f>
        <v>0</v>
      </c>
      <c r="Z8" s="39">
        <f>資料儲存!J2524</f>
        <v>0</v>
      </c>
      <c r="AA8" s="58"/>
      <c r="AB8" s="61">
        <v>3</v>
      </c>
      <c r="AC8" s="39">
        <f>資料儲存!D2584</f>
        <v>0</v>
      </c>
      <c r="AD8" s="39">
        <f>資料儲存!E2584</f>
        <v>0</v>
      </c>
      <c r="AE8" s="39">
        <f>資料儲存!F2584</f>
        <v>0</v>
      </c>
      <c r="AF8" s="39">
        <f>資料儲存!G2584</f>
        <v>0</v>
      </c>
      <c r="AG8" s="39">
        <f>資料儲存!H2584</f>
        <v>0</v>
      </c>
      <c r="AH8" s="39">
        <f>資料儲存!I2584</f>
        <v>0</v>
      </c>
      <c r="AI8" s="39">
        <f>資料儲存!J2584</f>
        <v>0</v>
      </c>
      <c r="AJ8" s="58"/>
    </row>
    <row r="9" spans="1:36" ht="16" thickBot="1">
      <c r="A9" s="61">
        <v>4</v>
      </c>
      <c r="B9" s="39">
        <f>資料儲存!D2405</f>
        <v>0</v>
      </c>
      <c r="C9" s="39">
        <f>資料儲存!E2405</f>
        <v>0</v>
      </c>
      <c r="D9" s="39">
        <f>資料儲存!F2405</f>
        <v>0</v>
      </c>
      <c r="E9" s="39">
        <f>資料儲存!G2405</f>
        <v>0</v>
      </c>
      <c r="F9" s="39">
        <f>資料儲存!H2405</f>
        <v>0</v>
      </c>
      <c r="G9" s="39">
        <f>資料儲存!I2405</f>
        <v>0</v>
      </c>
      <c r="H9" s="39">
        <f>資料儲存!J2405</f>
        <v>0</v>
      </c>
      <c r="I9" s="58"/>
      <c r="J9" s="61">
        <v>4</v>
      </c>
      <c r="K9" s="39">
        <f>資料儲存!D2465</f>
        <v>0</v>
      </c>
      <c r="L9" s="39">
        <f>資料儲存!E2465</f>
        <v>0</v>
      </c>
      <c r="M9" s="39">
        <f>資料儲存!F2465</f>
        <v>0</v>
      </c>
      <c r="N9" s="39">
        <f>資料儲存!G2465</f>
        <v>0</v>
      </c>
      <c r="O9" s="39">
        <f>資料儲存!H2465</f>
        <v>0</v>
      </c>
      <c r="P9" s="39">
        <f>資料儲存!I2465</f>
        <v>0</v>
      </c>
      <c r="Q9" s="39">
        <f>資料儲存!J2465</f>
        <v>0</v>
      </c>
      <c r="R9" s="58"/>
      <c r="S9" s="61">
        <v>4</v>
      </c>
      <c r="T9" s="39">
        <f>資料儲存!D2525</f>
        <v>0</v>
      </c>
      <c r="U9" s="39">
        <f>資料儲存!E2525</f>
        <v>0</v>
      </c>
      <c r="V9" s="39">
        <f>資料儲存!F2525</f>
        <v>0</v>
      </c>
      <c r="W9" s="39">
        <f>資料儲存!G2525</f>
        <v>0</v>
      </c>
      <c r="X9" s="39">
        <f>資料儲存!H2525</f>
        <v>0</v>
      </c>
      <c r="Y9" s="39">
        <f>資料儲存!I2525</f>
        <v>0</v>
      </c>
      <c r="Z9" s="39">
        <f>資料儲存!J2525</f>
        <v>0</v>
      </c>
      <c r="AA9" s="58"/>
      <c r="AB9" s="61">
        <v>4</v>
      </c>
      <c r="AC9" s="39">
        <f>資料儲存!D2585</f>
        <v>0</v>
      </c>
      <c r="AD9" s="39">
        <f>資料儲存!E2585</f>
        <v>0</v>
      </c>
      <c r="AE9" s="39">
        <f>資料儲存!F2585</f>
        <v>0</v>
      </c>
      <c r="AF9" s="39">
        <f>資料儲存!G2585</f>
        <v>0</v>
      </c>
      <c r="AG9" s="39">
        <f>資料儲存!H2585</f>
        <v>0</v>
      </c>
      <c r="AH9" s="39">
        <f>資料儲存!I2585</f>
        <v>0</v>
      </c>
      <c r="AI9" s="39">
        <f>資料儲存!J2585</f>
        <v>0</v>
      </c>
      <c r="AJ9" s="58"/>
    </row>
    <row r="10" spans="1:36" ht="16" thickBot="1">
      <c r="A10" s="61">
        <v>5</v>
      </c>
      <c r="B10" s="39">
        <f>資料儲存!D2406</f>
        <v>0</v>
      </c>
      <c r="C10" s="39">
        <f>資料儲存!E2406</f>
        <v>0</v>
      </c>
      <c r="D10" s="39">
        <f>資料儲存!F2406</f>
        <v>0</v>
      </c>
      <c r="E10" s="39">
        <f>資料儲存!G2406</f>
        <v>0</v>
      </c>
      <c r="F10" s="39">
        <f>資料儲存!H2406</f>
        <v>0</v>
      </c>
      <c r="G10" s="39">
        <f>資料儲存!I2406</f>
        <v>0</v>
      </c>
      <c r="H10" s="39">
        <f>資料儲存!J2406</f>
        <v>0</v>
      </c>
      <c r="I10" s="58"/>
      <c r="J10" s="61">
        <v>5</v>
      </c>
      <c r="K10" s="39">
        <f>資料儲存!D2466</f>
        <v>0</v>
      </c>
      <c r="L10" s="39">
        <f>資料儲存!E2466</f>
        <v>0</v>
      </c>
      <c r="M10" s="39">
        <f>資料儲存!F2466</f>
        <v>0</v>
      </c>
      <c r="N10" s="39">
        <f>資料儲存!G2466</f>
        <v>0</v>
      </c>
      <c r="O10" s="39">
        <f>資料儲存!H2466</f>
        <v>0</v>
      </c>
      <c r="P10" s="39">
        <f>資料儲存!I2466</f>
        <v>0</v>
      </c>
      <c r="Q10" s="39">
        <f>資料儲存!J2466</f>
        <v>0</v>
      </c>
      <c r="R10" s="58"/>
      <c r="S10" s="61">
        <v>5</v>
      </c>
      <c r="T10" s="39">
        <f>資料儲存!D2526</f>
        <v>0</v>
      </c>
      <c r="U10" s="39">
        <f>資料儲存!E2526</f>
        <v>0</v>
      </c>
      <c r="V10" s="39">
        <f>資料儲存!F2526</f>
        <v>0</v>
      </c>
      <c r="W10" s="39">
        <f>資料儲存!G2526</f>
        <v>0</v>
      </c>
      <c r="X10" s="39">
        <f>資料儲存!H2526</f>
        <v>0</v>
      </c>
      <c r="Y10" s="39">
        <f>資料儲存!I2526</f>
        <v>0</v>
      </c>
      <c r="Z10" s="39">
        <f>資料儲存!J2526</f>
        <v>0</v>
      </c>
      <c r="AA10" s="58"/>
      <c r="AB10" s="61">
        <v>5</v>
      </c>
      <c r="AC10" s="39">
        <f>資料儲存!D2586</f>
        <v>0</v>
      </c>
      <c r="AD10" s="39">
        <f>資料儲存!E2586</f>
        <v>0</v>
      </c>
      <c r="AE10" s="39">
        <f>資料儲存!F2586</f>
        <v>0</v>
      </c>
      <c r="AF10" s="39">
        <f>資料儲存!G2586</f>
        <v>0</v>
      </c>
      <c r="AG10" s="39">
        <f>資料儲存!H2586</f>
        <v>0</v>
      </c>
      <c r="AH10" s="39">
        <f>資料儲存!I2586</f>
        <v>0</v>
      </c>
      <c r="AI10" s="39">
        <f>資料儲存!J2586</f>
        <v>0</v>
      </c>
      <c r="AJ10" s="58"/>
    </row>
    <row r="11" spans="1:36" ht="16" thickBot="1">
      <c r="A11" s="61">
        <v>6</v>
      </c>
      <c r="B11" s="39">
        <f>資料儲存!D2407</f>
        <v>0</v>
      </c>
      <c r="C11" s="39">
        <f>資料儲存!E2407</f>
        <v>0</v>
      </c>
      <c r="D11" s="39">
        <f>資料儲存!F2407</f>
        <v>0</v>
      </c>
      <c r="E11" s="39">
        <f>資料儲存!G2407</f>
        <v>0</v>
      </c>
      <c r="F11" s="39">
        <f>資料儲存!H2407</f>
        <v>0</v>
      </c>
      <c r="G11" s="39">
        <f>資料儲存!I2407</f>
        <v>0</v>
      </c>
      <c r="H11" s="39">
        <f>資料儲存!J2407</f>
        <v>0</v>
      </c>
      <c r="I11" s="58"/>
      <c r="J11" s="61">
        <v>6</v>
      </c>
      <c r="K11" s="39">
        <f>資料儲存!D2467</f>
        <v>0</v>
      </c>
      <c r="L11" s="39">
        <f>資料儲存!E2467</f>
        <v>0</v>
      </c>
      <c r="M11" s="39">
        <f>資料儲存!F2467</f>
        <v>0</v>
      </c>
      <c r="N11" s="39">
        <f>資料儲存!G2467</f>
        <v>0</v>
      </c>
      <c r="O11" s="39">
        <f>資料儲存!H2467</f>
        <v>0</v>
      </c>
      <c r="P11" s="39">
        <f>資料儲存!I2467</f>
        <v>0</v>
      </c>
      <c r="Q11" s="39">
        <f>資料儲存!J2467</f>
        <v>0</v>
      </c>
      <c r="R11" s="58"/>
      <c r="S11" s="61">
        <v>6</v>
      </c>
      <c r="T11" s="39">
        <f>資料儲存!D2527</f>
        <v>0</v>
      </c>
      <c r="U11" s="39">
        <f>資料儲存!E2527</f>
        <v>0</v>
      </c>
      <c r="V11" s="39">
        <f>資料儲存!F2527</f>
        <v>0</v>
      </c>
      <c r="W11" s="39">
        <f>資料儲存!G2527</f>
        <v>0</v>
      </c>
      <c r="X11" s="39">
        <f>資料儲存!H2527</f>
        <v>0</v>
      </c>
      <c r="Y11" s="39">
        <f>資料儲存!I2527</f>
        <v>0</v>
      </c>
      <c r="Z11" s="39">
        <f>資料儲存!J2527</f>
        <v>0</v>
      </c>
      <c r="AA11" s="58"/>
      <c r="AB11" s="61">
        <v>6</v>
      </c>
      <c r="AC11" s="39">
        <f>資料儲存!D2587</f>
        <v>0</v>
      </c>
      <c r="AD11" s="39">
        <f>資料儲存!E2587</f>
        <v>0</v>
      </c>
      <c r="AE11" s="39">
        <f>資料儲存!F2587</f>
        <v>0</v>
      </c>
      <c r="AF11" s="39">
        <f>資料儲存!G2587</f>
        <v>0</v>
      </c>
      <c r="AG11" s="39">
        <f>資料儲存!H2587</f>
        <v>0</v>
      </c>
      <c r="AH11" s="39">
        <f>資料儲存!I2587</f>
        <v>0</v>
      </c>
      <c r="AI11" s="39">
        <f>資料儲存!J2587</f>
        <v>0</v>
      </c>
      <c r="AJ11" s="58"/>
    </row>
    <row r="12" spans="1:36" ht="16" thickBot="1">
      <c r="A12" s="61">
        <v>7</v>
      </c>
      <c r="B12" s="39">
        <f>資料儲存!D2408</f>
        <v>0</v>
      </c>
      <c r="C12" s="39">
        <f>資料儲存!E2408</f>
        <v>0</v>
      </c>
      <c r="D12" s="39">
        <f>資料儲存!F2408</f>
        <v>0</v>
      </c>
      <c r="E12" s="39">
        <f>資料儲存!G2408</f>
        <v>0</v>
      </c>
      <c r="F12" s="39">
        <f>資料儲存!H2408</f>
        <v>0</v>
      </c>
      <c r="G12" s="39">
        <f>資料儲存!I2408</f>
        <v>0</v>
      </c>
      <c r="H12" s="39">
        <f>資料儲存!J2408</f>
        <v>0</v>
      </c>
      <c r="I12" s="58"/>
      <c r="J12" s="61">
        <v>7</v>
      </c>
      <c r="K12" s="39">
        <f>資料儲存!D2468</f>
        <v>0</v>
      </c>
      <c r="L12" s="39">
        <f>資料儲存!E2468</f>
        <v>0</v>
      </c>
      <c r="M12" s="39">
        <f>資料儲存!F2468</f>
        <v>0</v>
      </c>
      <c r="N12" s="39">
        <f>資料儲存!G2468</f>
        <v>0</v>
      </c>
      <c r="O12" s="39">
        <f>資料儲存!H2468</f>
        <v>0</v>
      </c>
      <c r="P12" s="39">
        <f>資料儲存!I2468</f>
        <v>0</v>
      </c>
      <c r="Q12" s="39">
        <f>資料儲存!J2468</f>
        <v>0</v>
      </c>
      <c r="R12" s="58"/>
      <c r="S12" s="61">
        <v>7</v>
      </c>
      <c r="T12" s="39">
        <f>資料儲存!D2528</f>
        <v>0</v>
      </c>
      <c r="U12" s="39">
        <f>資料儲存!E2528</f>
        <v>0</v>
      </c>
      <c r="V12" s="39">
        <f>資料儲存!F2528</f>
        <v>0</v>
      </c>
      <c r="W12" s="39">
        <f>資料儲存!G2528</f>
        <v>0</v>
      </c>
      <c r="X12" s="39">
        <f>資料儲存!H2528</f>
        <v>0</v>
      </c>
      <c r="Y12" s="39">
        <f>資料儲存!I2528</f>
        <v>0</v>
      </c>
      <c r="Z12" s="39">
        <f>資料儲存!J2528</f>
        <v>0</v>
      </c>
      <c r="AA12" s="58"/>
      <c r="AB12" s="61">
        <v>7</v>
      </c>
      <c r="AC12" s="39">
        <f>資料儲存!D2588</f>
        <v>0</v>
      </c>
      <c r="AD12" s="39">
        <f>資料儲存!E2588</f>
        <v>0</v>
      </c>
      <c r="AE12" s="39">
        <f>資料儲存!F2588</f>
        <v>0</v>
      </c>
      <c r="AF12" s="39">
        <f>資料儲存!G2588</f>
        <v>0</v>
      </c>
      <c r="AG12" s="39">
        <f>資料儲存!H2588</f>
        <v>0</v>
      </c>
      <c r="AH12" s="39">
        <f>資料儲存!I2588</f>
        <v>0</v>
      </c>
      <c r="AI12" s="39">
        <f>資料儲存!J2588</f>
        <v>0</v>
      </c>
      <c r="AJ12" s="58"/>
    </row>
    <row r="13" spans="1:36" ht="16" thickBot="1">
      <c r="A13" s="61">
        <v>8</v>
      </c>
      <c r="B13" s="39">
        <f>資料儲存!D2409</f>
        <v>0</v>
      </c>
      <c r="C13" s="39">
        <f>資料儲存!E2409</f>
        <v>0</v>
      </c>
      <c r="D13" s="39">
        <f>資料儲存!F2409</f>
        <v>0</v>
      </c>
      <c r="E13" s="39">
        <f>資料儲存!G2409</f>
        <v>0</v>
      </c>
      <c r="F13" s="39">
        <f>資料儲存!H2409</f>
        <v>0</v>
      </c>
      <c r="G13" s="39">
        <f>資料儲存!I2409</f>
        <v>0</v>
      </c>
      <c r="H13" s="39">
        <f>資料儲存!J2409</f>
        <v>0</v>
      </c>
      <c r="I13" s="58"/>
      <c r="J13" s="61">
        <v>8</v>
      </c>
      <c r="K13" s="39">
        <f>資料儲存!D2469</f>
        <v>0</v>
      </c>
      <c r="L13" s="39">
        <f>資料儲存!E2469</f>
        <v>0</v>
      </c>
      <c r="M13" s="39">
        <f>資料儲存!F2469</f>
        <v>0</v>
      </c>
      <c r="N13" s="39">
        <f>資料儲存!G2469</f>
        <v>0</v>
      </c>
      <c r="O13" s="39">
        <f>資料儲存!H2469</f>
        <v>0</v>
      </c>
      <c r="P13" s="39">
        <f>資料儲存!I2469</f>
        <v>0</v>
      </c>
      <c r="Q13" s="39">
        <f>資料儲存!J2469</f>
        <v>0</v>
      </c>
      <c r="R13" s="58"/>
      <c r="S13" s="61">
        <v>8</v>
      </c>
      <c r="T13" s="39">
        <f>資料儲存!D2529</f>
        <v>0</v>
      </c>
      <c r="U13" s="39">
        <f>資料儲存!E2529</f>
        <v>0</v>
      </c>
      <c r="V13" s="39">
        <f>資料儲存!F2529</f>
        <v>0</v>
      </c>
      <c r="W13" s="39">
        <f>資料儲存!G2529</f>
        <v>0</v>
      </c>
      <c r="X13" s="39">
        <f>資料儲存!H2529</f>
        <v>0</v>
      </c>
      <c r="Y13" s="39">
        <f>資料儲存!I2529</f>
        <v>0</v>
      </c>
      <c r="Z13" s="39">
        <f>資料儲存!J2529</f>
        <v>0</v>
      </c>
      <c r="AA13" s="58"/>
      <c r="AB13" s="61">
        <v>8</v>
      </c>
      <c r="AC13" s="39">
        <f>資料儲存!D2589</f>
        <v>0</v>
      </c>
      <c r="AD13" s="39">
        <f>資料儲存!E2589</f>
        <v>0</v>
      </c>
      <c r="AE13" s="39">
        <f>資料儲存!F2589</f>
        <v>0</v>
      </c>
      <c r="AF13" s="39">
        <f>資料儲存!G2589</f>
        <v>0</v>
      </c>
      <c r="AG13" s="39">
        <f>資料儲存!H2589</f>
        <v>0</v>
      </c>
      <c r="AH13" s="39">
        <f>資料儲存!I2589</f>
        <v>0</v>
      </c>
      <c r="AI13" s="39">
        <f>資料儲存!J2589</f>
        <v>0</v>
      </c>
      <c r="AJ13" s="58"/>
    </row>
    <row r="14" spans="1:36" ht="16" thickBot="1">
      <c r="A14" s="61">
        <v>9</v>
      </c>
      <c r="B14" s="39">
        <f>資料儲存!D2410</f>
        <v>0</v>
      </c>
      <c r="C14" s="39">
        <f>資料儲存!E2410</f>
        <v>0</v>
      </c>
      <c r="D14" s="39">
        <f>資料儲存!F2410</f>
        <v>0</v>
      </c>
      <c r="E14" s="39">
        <f>資料儲存!G2410</f>
        <v>0</v>
      </c>
      <c r="F14" s="39">
        <f>資料儲存!H2410</f>
        <v>0</v>
      </c>
      <c r="G14" s="39">
        <f>資料儲存!I2410</f>
        <v>0</v>
      </c>
      <c r="H14" s="39">
        <f>資料儲存!J2410</f>
        <v>0</v>
      </c>
      <c r="I14" s="58"/>
      <c r="J14" s="61">
        <v>9</v>
      </c>
      <c r="K14" s="39">
        <f>資料儲存!D2470</f>
        <v>0</v>
      </c>
      <c r="L14" s="39">
        <f>資料儲存!E2470</f>
        <v>0</v>
      </c>
      <c r="M14" s="39">
        <f>資料儲存!F2470</f>
        <v>0</v>
      </c>
      <c r="N14" s="39">
        <f>資料儲存!G2470</f>
        <v>0</v>
      </c>
      <c r="O14" s="39">
        <f>資料儲存!H2470</f>
        <v>0</v>
      </c>
      <c r="P14" s="39">
        <f>資料儲存!I2470</f>
        <v>0</v>
      </c>
      <c r="Q14" s="39">
        <f>資料儲存!J2470</f>
        <v>0</v>
      </c>
      <c r="R14" s="58"/>
      <c r="S14" s="61">
        <v>9</v>
      </c>
      <c r="T14" s="39">
        <f>資料儲存!D2530</f>
        <v>0</v>
      </c>
      <c r="U14" s="39">
        <f>資料儲存!E2530</f>
        <v>0</v>
      </c>
      <c r="V14" s="39">
        <f>資料儲存!F2530</f>
        <v>0</v>
      </c>
      <c r="W14" s="39">
        <f>資料儲存!G2530</f>
        <v>0</v>
      </c>
      <c r="X14" s="39">
        <f>資料儲存!H2530</f>
        <v>0</v>
      </c>
      <c r="Y14" s="39">
        <f>資料儲存!I2530</f>
        <v>0</v>
      </c>
      <c r="Z14" s="39">
        <f>資料儲存!J2530</f>
        <v>0</v>
      </c>
      <c r="AA14" s="58"/>
      <c r="AB14" s="61">
        <v>9</v>
      </c>
      <c r="AC14" s="39">
        <f>資料儲存!D2590</f>
        <v>0</v>
      </c>
      <c r="AD14" s="39">
        <f>資料儲存!E2590</f>
        <v>0</v>
      </c>
      <c r="AE14" s="39">
        <f>資料儲存!F2590</f>
        <v>0</v>
      </c>
      <c r="AF14" s="39">
        <f>資料儲存!G2590</f>
        <v>0</v>
      </c>
      <c r="AG14" s="39">
        <f>資料儲存!H2590</f>
        <v>0</v>
      </c>
      <c r="AH14" s="39">
        <f>資料儲存!I2590</f>
        <v>0</v>
      </c>
      <c r="AI14" s="39">
        <f>資料儲存!J2590</f>
        <v>0</v>
      </c>
      <c r="AJ14" s="58"/>
    </row>
    <row r="15" spans="1:36" ht="16" thickBot="1">
      <c r="A15" s="61">
        <v>10</v>
      </c>
      <c r="B15" s="39">
        <f>資料儲存!D2411</f>
        <v>0</v>
      </c>
      <c r="C15" s="39">
        <f>資料儲存!E2411</f>
        <v>0</v>
      </c>
      <c r="D15" s="39">
        <f>資料儲存!F2411</f>
        <v>0</v>
      </c>
      <c r="E15" s="39">
        <f>資料儲存!G2411</f>
        <v>0</v>
      </c>
      <c r="F15" s="39">
        <f>資料儲存!H2411</f>
        <v>0</v>
      </c>
      <c r="G15" s="39">
        <f>資料儲存!I2411</f>
        <v>0</v>
      </c>
      <c r="H15" s="39">
        <f>資料儲存!J2411</f>
        <v>0</v>
      </c>
      <c r="I15" s="58"/>
      <c r="J15" s="61">
        <v>10</v>
      </c>
      <c r="K15" s="39">
        <f>資料儲存!D2471</f>
        <v>0</v>
      </c>
      <c r="L15" s="39">
        <f>資料儲存!E2471</f>
        <v>0</v>
      </c>
      <c r="M15" s="39">
        <f>資料儲存!F2471</f>
        <v>0</v>
      </c>
      <c r="N15" s="39">
        <f>資料儲存!G2471</f>
        <v>0</v>
      </c>
      <c r="O15" s="39">
        <f>資料儲存!H2471</f>
        <v>0</v>
      </c>
      <c r="P15" s="39">
        <f>資料儲存!I2471</f>
        <v>0</v>
      </c>
      <c r="Q15" s="39">
        <f>資料儲存!J2471</f>
        <v>0</v>
      </c>
      <c r="R15" s="58"/>
      <c r="S15" s="61">
        <v>10</v>
      </c>
      <c r="T15" s="39">
        <f>資料儲存!D2531</f>
        <v>0</v>
      </c>
      <c r="U15" s="39">
        <f>資料儲存!E2531</f>
        <v>0</v>
      </c>
      <c r="V15" s="39">
        <f>資料儲存!F2531</f>
        <v>0</v>
      </c>
      <c r="W15" s="39">
        <f>資料儲存!G2531</f>
        <v>0</v>
      </c>
      <c r="X15" s="39">
        <f>資料儲存!H2531</f>
        <v>0</v>
      </c>
      <c r="Y15" s="39">
        <f>資料儲存!I2531</f>
        <v>0</v>
      </c>
      <c r="Z15" s="39">
        <f>資料儲存!J2531</f>
        <v>0</v>
      </c>
      <c r="AA15" s="58"/>
      <c r="AB15" s="61">
        <v>10</v>
      </c>
      <c r="AC15" s="39">
        <f>資料儲存!D2591</f>
        <v>0</v>
      </c>
      <c r="AD15" s="39">
        <f>資料儲存!E2591</f>
        <v>0</v>
      </c>
      <c r="AE15" s="39">
        <f>資料儲存!F2591</f>
        <v>0</v>
      </c>
      <c r="AF15" s="39">
        <f>資料儲存!G2591</f>
        <v>0</v>
      </c>
      <c r="AG15" s="39">
        <f>資料儲存!H2591</f>
        <v>0</v>
      </c>
      <c r="AH15" s="39">
        <f>資料儲存!I2591</f>
        <v>0</v>
      </c>
      <c r="AI15" s="39">
        <f>資料儲存!J2591</f>
        <v>0</v>
      </c>
      <c r="AJ15" s="58"/>
    </row>
    <row r="16" spans="1:36" ht="16" thickBot="1">
      <c r="A16" s="61">
        <v>11</v>
      </c>
      <c r="B16" s="39">
        <f>資料儲存!D2412</f>
        <v>0</v>
      </c>
      <c r="C16" s="39">
        <f>資料儲存!E2412</f>
        <v>0</v>
      </c>
      <c r="D16" s="39">
        <f>資料儲存!F2412</f>
        <v>0</v>
      </c>
      <c r="E16" s="39">
        <f>資料儲存!G2412</f>
        <v>0</v>
      </c>
      <c r="F16" s="39">
        <f>資料儲存!H2412</f>
        <v>0</v>
      </c>
      <c r="G16" s="39">
        <f>資料儲存!I2412</f>
        <v>0</v>
      </c>
      <c r="H16" s="39">
        <f>資料儲存!J2412</f>
        <v>0</v>
      </c>
      <c r="I16" s="58"/>
      <c r="J16" s="61">
        <v>11</v>
      </c>
      <c r="K16" s="39">
        <f>資料儲存!D2472</f>
        <v>0</v>
      </c>
      <c r="L16" s="39">
        <f>資料儲存!E2472</f>
        <v>0</v>
      </c>
      <c r="M16" s="39">
        <f>資料儲存!F2472</f>
        <v>0</v>
      </c>
      <c r="N16" s="39">
        <f>資料儲存!G2472</f>
        <v>0</v>
      </c>
      <c r="O16" s="39">
        <f>資料儲存!H2472</f>
        <v>0</v>
      </c>
      <c r="P16" s="39">
        <f>資料儲存!I2472</f>
        <v>0</v>
      </c>
      <c r="Q16" s="39">
        <f>資料儲存!J2472</f>
        <v>0</v>
      </c>
      <c r="R16" s="58"/>
      <c r="S16" s="61">
        <v>11</v>
      </c>
      <c r="T16" s="39">
        <f>資料儲存!D2532</f>
        <v>0</v>
      </c>
      <c r="U16" s="39">
        <f>資料儲存!E2532</f>
        <v>0</v>
      </c>
      <c r="V16" s="39">
        <f>資料儲存!F2532</f>
        <v>0</v>
      </c>
      <c r="W16" s="39">
        <f>資料儲存!G2532</f>
        <v>0</v>
      </c>
      <c r="X16" s="39">
        <f>資料儲存!H2532</f>
        <v>0</v>
      </c>
      <c r="Y16" s="39">
        <f>資料儲存!I2532</f>
        <v>0</v>
      </c>
      <c r="Z16" s="39">
        <f>資料儲存!J2532</f>
        <v>0</v>
      </c>
      <c r="AA16" s="58"/>
      <c r="AB16" s="61">
        <v>11</v>
      </c>
      <c r="AC16" s="39">
        <f>資料儲存!D2592</f>
        <v>0</v>
      </c>
      <c r="AD16" s="39">
        <f>資料儲存!E2592</f>
        <v>0</v>
      </c>
      <c r="AE16" s="39">
        <f>資料儲存!F2592</f>
        <v>0</v>
      </c>
      <c r="AF16" s="39">
        <f>資料儲存!G2592</f>
        <v>0</v>
      </c>
      <c r="AG16" s="39">
        <f>資料儲存!H2592</f>
        <v>0</v>
      </c>
      <c r="AH16" s="39">
        <f>資料儲存!I2592</f>
        <v>0</v>
      </c>
      <c r="AI16" s="39">
        <f>資料儲存!J2592</f>
        <v>0</v>
      </c>
      <c r="AJ16" s="58"/>
    </row>
    <row r="17" spans="1:36" ht="16" thickBot="1">
      <c r="A17" s="61">
        <v>12</v>
      </c>
      <c r="B17" s="39">
        <f>資料儲存!D2413</f>
        <v>0</v>
      </c>
      <c r="C17" s="39">
        <f>資料儲存!E2413</f>
        <v>0</v>
      </c>
      <c r="D17" s="39">
        <f>資料儲存!F2413</f>
        <v>0</v>
      </c>
      <c r="E17" s="39">
        <f>資料儲存!G2413</f>
        <v>0</v>
      </c>
      <c r="F17" s="39">
        <f>資料儲存!H2413</f>
        <v>0</v>
      </c>
      <c r="G17" s="39">
        <f>資料儲存!I2413</f>
        <v>0</v>
      </c>
      <c r="H17" s="39">
        <f>資料儲存!J2413</f>
        <v>0</v>
      </c>
      <c r="I17" s="58"/>
      <c r="J17" s="61">
        <v>12</v>
      </c>
      <c r="K17" s="39">
        <f>資料儲存!D2473</f>
        <v>0</v>
      </c>
      <c r="L17" s="39">
        <f>資料儲存!E2473</f>
        <v>0</v>
      </c>
      <c r="M17" s="39">
        <f>資料儲存!F2473</f>
        <v>0</v>
      </c>
      <c r="N17" s="39">
        <f>資料儲存!G2473</f>
        <v>0</v>
      </c>
      <c r="O17" s="39">
        <f>資料儲存!H2473</f>
        <v>0</v>
      </c>
      <c r="P17" s="39">
        <f>資料儲存!I2473</f>
        <v>0</v>
      </c>
      <c r="Q17" s="39">
        <f>資料儲存!J2473</f>
        <v>0</v>
      </c>
      <c r="R17" s="58"/>
      <c r="S17" s="61">
        <v>12</v>
      </c>
      <c r="T17" s="39">
        <f>資料儲存!D2533</f>
        <v>0</v>
      </c>
      <c r="U17" s="39">
        <f>資料儲存!E2533</f>
        <v>0</v>
      </c>
      <c r="V17" s="39">
        <f>資料儲存!F2533</f>
        <v>0</v>
      </c>
      <c r="W17" s="39">
        <f>資料儲存!G2533</f>
        <v>0</v>
      </c>
      <c r="X17" s="39">
        <f>資料儲存!H2533</f>
        <v>0</v>
      </c>
      <c r="Y17" s="39">
        <f>資料儲存!I2533</f>
        <v>0</v>
      </c>
      <c r="Z17" s="39">
        <f>資料儲存!J2533</f>
        <v>0</v>
      </c>
      <c r="AA17" s="58"/>
      <c r="AB17" s="61">
        <v>12</v>
      </c>
      <c r="AC17" s="39">
        <f>資料儲存!D2593</f>
        <v>0</v>
      </c>
      <c r="AD17" s="39">
        <f>資料儲存!E2593</f>
        <v>0</v>
      </c>
      <c r="AE17" s="39">
        <f>資料儲存!F2593</f>
        <v>0</v>
      </c>
      <c r="AF17" s="39">
        <f>資料儲存!G2593</f>
        <v>0</v>
      </c>
      <c r="AG17" s="39">
        <f>資料儲存!H2593</f>
        <v>0</v>
      </c>
      <c r="AH17" s="39">
        <f>資料儲存!I2593</f>
        <v>0</v>
      </c>
      <c r="AI17" s="39">
        <f>資料儲存!J2593</f>
        <v>0</v>
      </c>
      <c r="AJ17" s="58"/>
    </row>
    <row r="18" spans="1:36" ht="16" thickBot="1">
      <c r="A18" s="61">
        <v>13</v>
      </c>
      <c r="B18" s="39">
        <f>資料儲存!D2414</f>
        <v>0</v>
      </c>
      <c r="C18" s="39">
        <f>資料儲存!E2414</f>
        <v>0</v>
      </c>
      <c r="D18" s="39">
        <f>資料儲存!F2414</f>
        <v>0</v>
      </c>
      <c r="E18" s="39">
        <f>資料儲存!G2414</f>
        <v>0</v>
      </c>
      <c r="F18" s="39">
        <f>資料儲存!H2414</f>
        <v>0</v>
      </c>
      <c r="G18" s="39">
        <f>資料儲存!I2414</f>
        <v>0</v>
      </c>
      <c r="H18" s="39">
        <f>資料儲存!J2414</f>
        <v>0</v>
      </c>
      <c r="I18" s="58"/>
      <c r="J18" s="61">
        <v>13</v>
      </c>
      <c r="K18" s="39">
        <f>資料儲存!D2474</f>
        <v>0</v>
      </c>
      <c r="L18" s="39">
        <f>資料儲存!E2474</f>
        <v>0</v>
      </c>
      <c r="M18" s="39">
        <f>資料儲存!F2474</f>
        <v>0</v>
      </c>
      <c r="N18" s="39">
        <f>資料儲存!G2474</f>
        <v>0</v>
      </c>
      <c r="O18" s="39">
        <f>資料儲存!H2474</f>
        <v>0</v>
      </c>
      <c r="P18" s="39">
        <f>資料儲存!I2474</f>
        <v>0</v>
      </c>
      <c r="Q18" s="39">
        <f>資料儲存!J2474</f>
        <v>0</v>
      </c>
      <c r="R18" s="58"/>
      <c r="S18" s="61">
        <v>13</v>
      </c>
      <c r="T18" s="39">
        <f>資料儲存!D2534</f>
        <v>0</v>
      </c>
      <c r="U18" s="39">
        <f>資料儲存!E2534</f>
        <v>0</v>
      </c>
      <c r="V18" s="39">
        <f>資料儲存!F2534</f>
        <v>0</v>
      </c>
      <c r="W18" s="39">
        <f>資料儲存!G2534</f>
        <v>0</v>
      </c>
      <c r="X18" s="39">
        <f>資料儲存!H2534</f>
        <v>0</v>
      </c>
      <c r="Y18" s="39">
        <f>資料儲存!I2534</f>
        <v>0</v>
      </c>
      <c r="Z18" s="39">
        <f>資料儲存!J2534</f>
        <v>0</v>
      </c>
      <c r="AA18" s="58"/>
      <c r="AB18" s="61">
        <v>13</v>
      </c>
      <c r="AC18" s="39">
        <f>資料儲存!D2594</f>
        <v>0</v>
      </c>
      <c r="AD18" s="39">
        <f>資料儲存!E2594</f>
        <v>0</v>
      </c>
      <c r="AE18" s="39">
        <f>資料儲存!F2594</f>
        <v>0</v>
      </c>
      <c r="AF18" s="39">
        <f>資料儲存!G2594</f>
        <v>0</v>
      </c>
      <c r="AG18" s="39">
        <f>資料儲存!H2594</f>
        <v>0</v>
      </c>
      <c r="AH18" s="39">
        <f>資料儲存!I2594</f>
        <v>0</v>
      </c>
      <c r="AI18" s="39">
        <f>資料儲存!J2594</f>
        <v>0</v>
      </c>
      <c r="AJ18" s="58"/>
    </row>
    <row r="19" spans="1:36" ht="16" thickBot="1">
      <c r="A19" s="61">
        <v>14</v>
      </c>
      <c r="B19" s="39">
        <f>資料儲存!D2415</f>
        <v>0</v>
      </c>
      <c r="C19" s="39">
        <f>資料儲存!E2415</f>
        <v>0</v>
      </c>
      <c r="D19" s="39">
        <f>資料儲存!F2415</f>
        <v>0</v>
      </c>
      <c r="E19" s="39">
        <f>資料儲存!G2415</f>
        <v>0</v>
      </c>
      <c r="F19" s="39">
        <f>資料儲存!H2415</f>
        <v>0</v>
      </c>
      <c r="G19" s="39">
        <f>資料儲存!I2415</f>
        <v>0</v>
      </c>
      <c r="H19" s="39">
        <f>資料儲存!J2415</f>
        <v>0</v>
      </c>
      <c r="I19" s="58"/>
      <c r="J19" s="61">
        <v>14</v>
      </c>
      <c r="K19" s="39">
        <f>資料儲存!D2475</f>
        <v>0</v>
      </c>
      <c r="L19" s="39">
        <f>資料儲存!E2475</f>
        <v>0</v>
      </c>
      <c r="M19" s="39">
        <f>資料儲存!F2475</f>
        <v>0</v>
      </c>
      <c r="N19" s="39">
        <f>資料儲存!G2475</f>
        <v>0</v>
      </c>
      <c r="O19" s="39">
        <f>資料儲存!H2475</f>
        <v>0</v>
      </c>
      <c r="P19" s="39">
        <f>資料儲存!I2475</f>
        <v>0</v>
      </c>
      <c r="Q19" s="39">
        <f>資料儲存!J2475</f>
        <v>0</v>
      </c>
      <c r="R19" s="58"/>
      <c r="S19" s="61">
        <v>14</v>
      </c>
      <c r="T19" s="39">
        <f>資料儲存!D2535</f>
        <v>0</v>
      </c>
      <c r="U19" s="39">
        <f>資料儲存!E2535</f>
        <v>0</v>
      </c>
      <c r="V19" s="39">
        <f>資料儲存!F2535</f>
        <v>0</v>
      </c>
      <c r="W19" s="39">
        <f>資料儲存!G2535</f>
        <v>0</v>
      </c>
      <c r="X19" s="39">
        <f>資料儲存!H2535</f>
        <v>0</v>
      </c>
      <c r="Y19" s="39">
        <f>資料儲存!I2535</f>
        <v>0</v>
      </c>
      <c r="Z19" s="39">
        <f>資料儲存!J2535</f>
        <v>0</v>
      </c>
      <c r="AA19" s="58"/>
      <c r="AB19" s="61">
        <v>14</v>
      </c>
      <c r="AC19" s="39">
        <f>資料儲存!D2595</f>
        <v>0</v>
      </c>
      <c r="AD19" s="39">
        <f>資料儲存!E2595</f>
        <v>0</v>
      </c>
      <c r="AE19" s="39">
        <f>資料儲存!F2595</f>
        <v>0</v>
      </c>
      <c r="AF19" s="39">
        <f>資料儲存!G2595</f>
        <v>0</v>
      </c>
      <c r="AG19" s="39">
        <f>資料儲存!H2595</f>
        <v>0</v>
      </c>
      <c r="AH19" s="39">
        <f>資料儲存!I2595</f>
        <v>0</v>
      </c>
      <c r="AI19" s="39">
        <f>資料儲存!J2595</f>
        <v>0</v>
      </c>
      <c r="AJ19" s="58"/>
    </row>
    <row r="20" spans="1:36" ht="16" thickBot="1">
      <c r="A20" s="61">
        <v>15</v>
      </c>
      <c r="B20" s="39">
        <f>資料儲存!D2416</f>
        <v>0</v>
      </c>
      <c r="C20" s="39">
        <f>資料儲存!E2416</f>
        <v>0</v>
      </c>
      <c r="D20" s="39">
        <f>資料儲存!F2416</f>
        <v>0</v>
      </c>
      <c r="E20" s="39">
        <f>資料儲存!G2416</f>
        <v>0</v>
      </c>
      <c r="F20" s="39">
        <f>資料儲存!H2416</f>
        <v>0</v>
      </c>
      <c r="G20" s="39">
        <f>資料儲存!I2416</f>
        <v>0</v>
      </c>
      <c r="H20" s="39">
        <f>資料儲存!J2416</f>
        <v>0</v>
      </c>
      <c r="I20" s="58"/>
      <c r="J20" s="61">
        <v>15</v>
      </c>
      <c r="K20" s="39">
        <f>資料儲存!D2476</f>
        <v>0</v>
      </c>
      <c r="L20" s="39">
        <f>資料儲存!E2476</f>
        <v>0</v>
      </c>
      <c r="M20" s="39">
        <f>資料儲存!F2476</f>
        <v>0</v>
      </c>
      <c r="N20" s="39">
        <f>資料儲存!G2476</f>
        <v>0</v>
      </c>
      <c r="O20" s="39">
        <f>資料儲存!H2476</f>
        <v>0</v>
      </c>
      <c r="P20" s="39">
        <f>資料儲存!I2476</f>
        <v>0</v>
      </c>
      <c r="Q20" s="39">
        <f>資料儲存!J2476</f>
        <v>0</v>
      </c>
      <c r="R20" s="58"/>
      <c r="S20" s="61">
        <v>15</v>
      </c>
      <c r="T20" s="39">
        <f>資料儲存!D2536</f>
        <v>0</v>
      </c>
      <c r="U20" s="39">
        <f>資料儲存!E2536</f>
        <v>0</v>
      </c>
      <c r="V20" s="39">
        <f>資料儲存!F2536</f>
        <v>0</v>
      </c>
      <c r="W20" s="39">
        <f>資料儲存!G2536</f>
        <v>0</v>
      </c>
      <c r="X20" s="39">
        <f>資料儲存!H2536</f>
        <v>0</v>
      </c>
      <c r="Y20" s="39">
        <f>資料儲存!I2536</f>
        <v>0</v>
      </c>
      <c r="Z20" s="39">
        <f>資料儲存!J2536</f>
        <v>0</v>
      </c>
      <c r="AA20" s="58"/>
      <c r="AB20" s="61">
        <v>15</v>
      </c>
      <c r="AC20" s="39">
        <f>資料儲存!D2596</f>
        <v>0</v>
      </c>
      <c r="AD20" s="39">
        <f>資料儲存!E2596</f>
        <v>0</v>
      </c>
      <c r="AE20" s="39">
        <f>資料儲存!F2596</f>
        <v>0</v>
      </c>
      <c r="AF20" s="39">
        <f>資料儲存!G2596</f>
        <v>0</v>
      </c>
      <c r="AG20" s="39">
        <f>資料儲存!H2596</f>
        <v>0</v>
      </c>
      <c r="AH20" s="39">
        <f>資料儲存!I2596</f>
        <v>0</v>
      </c>
      <c r="AI20" s="39">
        <f>資料儲存!J2596</f>
        <v>0</v>
      </c>
      <c r="AJ20" s="58"/>
    </row>
    <row r="21" spans="1:36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</row>
    <row r="22" spans="1:36" ht="18.5" thickBot="1">
      <c r="A22" s="259" t="s">
        <v>92</v>
      </c>
      <c r="B22" s="260"/>
      <c r="C22" s="260"/>
      <c r="D22" s="260"/>
      <c r="E22" s="260"/>
      <c r="F22" s="260"/>
      <c r="G22" s="260"/>
      <c r="H22" s="261"/>
      <c r="I22" s="14"/>
      <c r="J22" s="259" t="s">
        <v>92</v>
      </c>
      <c r="K22" s="260"/>
      <c r="L22" s="260"/>
      <c r="M22" s="260"/>
      <c r="N22" s="260"/>
      <c r="O22" s="260"/>
      <c r="P22" s="260"/>
      <c r="Q22" s="261"/>
      <c r="R22" s="14"/>
      <c r="S22" s="259" t="s">
        <v>92</v>
      </c>
      <c r="T22" s="260"/>
      <c r="U22" s="260"/>
      <c r="V22" s="260"/>
      <c r="W22" s="260"/>
      <c r="X22" s="260"/>
      <c r="Y22" s="260"/>
      <c r="Z22" s="261"/>
      <c r="AA22" s="14"/>
      <c r="AB22" s="259" t="s">
        <v>92</v>
      </c>
      <c r="AC22" s="260"/>
      <c r="AD22" s="260"/>
      <c r="AE22" s="260"/>
      <c r="AF22" s="260"/>
      <c r="AG22" s="260"/>
      <c r="AH22" s="260"/>
      <c r="AI22" s="261"/>
      <c r="AJ22" s="14"/>
    </row>
    <row r="23" spans="1:36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</row>
    <row r="24" spans="1:36" ht="16" thickBot="1">
      <c r="A24" s="66">
        <v>0.46875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>
        <v>0.46875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>
        <v>0.46875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>
        <v>0.46875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</row>
    <row r="25" spans="1:36" ht="16" thickBot="1">
      <c r="A25" s="68">
        <v>16</v>
      </c>
      <c r="B25" s="49">
        <f>資料儲存!D2417</f>
        <v>0</v>
      </c>
      <c r="C25" s="49">
        <f>資料儲存!E2417</f>
        <v>0</v>
      </c>
      <c r="D25" s="49">
        <f>資料儲存!F2417</f>
        <v>0</v>
      </c>
      <c r="E25" s="49">
        <f>資料儲存!G2417</f>
        <v>0</v>
      </c>
      <c r="F25" s="49">
        <f>資料儲存!H2417</f>
        <v>0</v>
      </c>
      <c r="G25" s="49">
        <f>資料儲存!I2417</f>
        <v>0</v>
      </c>
      <c r="H25" s="49">
        <f>資料儲存!J2417</f>
        <v>0</v>
      </c>
      <c r="I25" s="52"/>
      <c r="J25" s="68">
        <v>16</v>
      </c>
      <c r="K25" s="49">
        <f>資料儲存!D2477</f>
        <v>0</v>
      </c>
      <c r="L25" s="49">
        <f>資料儲存!E2477</f>
        <v>0</v>
      </c>
      <c r="M25" s="49">
        <f>資料儲存!F2477</f>
        <v>0</v>
      </c>
      <c r="N25" s="49">
        <f>資料儲存!G2477</f>
        <v>0</v>
      </c>
      <c r="O25" s="49">
        <f>資料儲存!H2477</f>
        <v>0</v>
      </c>
      <c r="P25" s="49">
        <f>資料儲存!I2477</f>
        <v>0</v>
      </c>
      <c r="Q25" s="49">
        <f>資料儲存!J2477</f>
        <v>0</v>
      </c>
      <c r="R25" s="52"/>
      <c r="S25" s="68">
        <v>16</v>
      </c>
      <c r="T25" s="49">
        <f>資料儲存!D2537</f>
        <v>0</v>
      </c>
      <c r="U25" s="49">
        <f>資料儲存!E2537</f>
        <v>0</v>
      </c>
      <c r="V25" s="49">
        <f>資料儲存!F2537</f>
        <v>0</v>
      </c>
      <c r="W25" s="49">
        <f>資料儲存!G2537</f>
        <v>0</v>
      </c>
      <c r="X25" s="49">
        <f>資料儲存!H2537</f>
        <v>0</v>
      </c>
      <c r="Y25" s="49">
        <f>資料儲存!I2537</f>
        <v>0</v>
      </c>
      <c r="Z25" s="49">
        <f>資料儲存!J2537</f>
        <v>0</v>
      </c>
      <c r="AA25" s="52"/>
      <c r="AB25" s="68">
        <v>16</v>
      </c>
      <c r="AC25" s="49">
        <f>資料儲存!D2597</f>
        <v>0</v>
      </c>
      <c r="AD25" s="49">
        <f>資料儲存!E2597</f>
        <v>0</v>
      </c>
      <c r="AE25" s="49">
        <f>資料儲存!F2597</f>
        <v>0</v>
      </c>
      <c r="AF25" s="49">
        <f>資料儲存!G2597</f>
        <v>0</v>
      </c>
      <c r="AG25" s="49">
        <f>資料儲存!H2597</f>
        <v>0</v>
      </c>
      <c r="AH25" s="49">
        <f>資料儲存!I2597</f>
        <v>0</v>
      </c>
      <c r="AI25" s="49">
        <f>資料儲存!J2597</f>
        <v>0</v>
      </c>
      <c r="AJ25" s="52"/>
    </row>
    <row r="26" spans="1:36" ht="16" thickBot="1">
      <c r="A26" s="68">
        <v>17</v>
      </c>
      <c r="B26" s="49">
        <f>資料儲存!D2418</f>
        <v>0</v>
      </c>
      <c r="C26" s="49">
        <f>資料儲存!E2418</f>
        <v>0</v>
      </c>
      <c r="D26" s="49">
        <f>資料儲存!F2418</f>
        <v>0</v>
      </c>
      <c r="E26" s="49">
        <f>資料儲存!G2418</f>
        <v>0</v>
      </c>
      <c r="F26" s="49">
        <f>資料儲存!H2418</f>
        <v>0</v>
      </c>
      <c r="G26" s="49">
        <f>資料儲存!I2418</f>
        <v>0</v>
      </c>
      <c r="H26" s="49">
        <f>資料儲存!J2418</f>
        <v>0</v>
      </c>
      <c r="I26" s="52"/>
      <c r="J26" s="68">
        <v>17</v>
      </c>
      <c r="K26" s="49">
        <f>資料儲存!D2478</f>
        <v>0</v>
      </c>
      <c r="L26" s="49">
        <f>資料儲存!E2478</f>
        <v>0</v>
      </c>
      <c r="M26" s="49">
        <f>資料儲存!F2478</f>
        <v>0</v>
      </c>
      <c r="N26" s="49">
        <f>資料儲存!G2478</f>
        <v>0</v>
      </c>
      <c r="O26" s="49">
        <f>資料儲存!H2478</f>
        <v>0</v>
      </c>
      <c r="P26" s="49">
        <f>資料儲存!I2478</f>
        <v>0</v>
      </c>
      <c r="Q26" s="49">
        <f>資料儲存!J2478</f>
        <v>0</v>
      </c>
      <c r="R26" s="52"/>
      <c r="S26" s="68">
        <v>17</v>
      </c>
      <c r="T26" s="49">
        <f>資料儲存!D2538</f>
        <v>0</v>
      </c>
      <c r="U26" s="49">
        <f>資料儲存!E2538</f>
        <v>0</v>
      </c>
      <c r="V26" s="49">
        <f>資料儲存!F2538</f>
        <v>0</v>
      </c>
      <c r="W26" s="49">
        <f>資料儲存!G2538</f>
        <v>0</v>
      </c>
      <c r="X26" s="49">
        <f>資料儲存!H2538</f>
        <v>0</v>
      </c>
      <c r="Y26" s="49">
        <f>資料儲存!I2538</f>
        <v>0</v>
      </c>
      <c r="Z26" s="49">
        <f>資料儲存!J2538</f>
        <v>0</v>
      </c>
      <c r="AA26" s="52"/>
      <c r="AB26" s="68">
        <v>17</v>
      </c>
      <c r="AC26" s="49">
        <f>資料儲存!D2598</f>
        <v>0</v>
      </c>
      <c r="AD26" s="49">
        <f>資料儲存!E2598</f>
        <v>0</v>
      </c>
      <c r="AE26" s="49">
        <f>資料儲存!F2598</f>
        <v>0</v>
      </c>
      <c r="AF26" s="49">
        <f>資料儲存!G2598</f>
        <v>0</v>
      </c>
      <c r="AG26" s="49">
        <f>資料儲存!H2598</f>
        <v>0</v>
      </c>
      <c r="AH26" s="49">
        <f>資料儲存!I2598</f>
        <v>0</v>
      </c>
      <c r="AI26" s="49">
        <f>資料儲存!J2598</f>
        <v>0</v>
      </c>
      <c r="AJ26" s="52"/>
    </row>
    <row r="27" spans="1:36" ht="16" thickBot="1">
      <c r="A27" s="68">
        <v>18</v>
      </c>
      <c r="B27" s="49">
        <f>資料儲存!D2419</f>
        <v>0</v>
      </c>
      <c r="C27" s="49">
        <f>資料儲存!E2419</f>
        <v>0</v>
      </c>
      <c r="D27" s="49">
        <f>資料儲存!F2419</f>
        <v>0</v>
      </c>
      <c r="E27" s="49">
        <f>資料儲存!G2419</f>
        <v>0</v>
      </c>
      <c r="F27" s="49">
        <f>資料儲存!H2419</f>
        <v>0</v>
      </c>
      <c r="G27" s="49">
        <f>資料儲存!I2419</f>
        <v>0</v>
      </c>
      <c r="H27" s="49">
        <f>資料儲存!J2419</f>
        <v>0</v>
      </c>
      <c r="I27" s="52"/>
      <c r="J27" s="68">
        <v>18</v>
      </c>
      <c r="K27" s="49">
        <f>資料儲存!D2479</f>
        <v>0</v>
      </c>
      <c r="L27" s="49">
        <f>資料儲存!E2479</f>
        <v>0</v>
      </c>
      <c r="M27" s="49">
        <f>資料儲存!F2479</f>
        <v>0</v>
      </c>
      <c r="N27" s="49">
        <f>資料儲存!G2479</f>
        <v>0</v>
      </c>
      <c r="O27" s="49">
        <f>資料儲存!H2479</f>
        <v>0</v>
      </c>
      <c r="P27" s="49">
        <f>資料儲存!I2479</f>
        <v>0</v>
      </c>
      <c r="Q27" s="49">
        <f>資料儲存!J2479</f>
        <v>0</v>
      </c>
      <c r="R27" s="52"/>
      <c r="S27" s="68">
        <v>18</v>
      </c>
      <c r="T27" s="49">
        <f>資料儲存!D2539</f>
        <v>0</v>
      </c>
      <c r="U27" s="49">
        <f>資料儲存!E2539</f>
        <v>0</v>
      </c>
      <c r="V27" s="49">
        <f>資料儲存!F2539</f>
        <v>0</v>
      </c>
      <c r="W27" s="49">
        <f>資料儲存!G2539</f>
        <v>0</v>
      </c>
      <c r="X27" s="49">
        <f>資料儲存!H2539</f>
        <v>0</v>
      </c>
      <c r="Y27" s="49">
        <f>資料儲存!I2539</f>
        <v>0</v>
      </c>
      <c r="Z27" s="49">
        <f>資料儲存!J2539</f>
        <v>0</v>
      </c>
      <c r="AA27" s="52"/>
      <c r="AB27" s="68">
        <v>18</v>
      </c>
      <c r="AC27" s="49">
        <f>資料儲存!D2599</f>
        <v>0</v>
      </c>
      <c r="AD27" s="49">
        <f>資料儲存!E2599</f>
        <v>0</v>
      </c>
      <c r="AE27" s="49">
        <f>資料儲存!F2599</f>
        <v>0</v>
      </c>
      <c r="AF27" s="49">
        <f>資料儲存!G2599</f>
        <v>0</v>
      </c>
      <c r="AG27" s="49">
        <f>資料儲存!H2599</f>
        <v>0</v>
      </c>
      <c r="AH27" s="49">
        <f>資料儲存!I2599</f>
        <v>0</v>
      </c>
      <c r="AI27" s="49">
        <f>資料儲存!J2599</f>
        <v>0</v>
      </c>
      <c r="AJ27" s="52"/>
    </row>
    <row r="28" spans="1:36" ht="16" thickBot="1">
      <c r="A28" s="68">
        <v>19</v>
      </c>
      <c r="B28" s="49">
        <f>資料儲存!D2420</f>
        <v>0</v>
      </c>
      <c r="C28" s="49">
        <f>資料儲存!E2420</f>
        <v>0</v>
      </c>
      <c r="D28" s="49">
        <f>資料儲存!F2420</f>
        <v>0</v>
      </c>
      <c r="E28" s="49">
        <f>資料儲存!G2420</f>
        <v>0</v>
      </c>
      <c r="F28" s="49">
        <f>資料儲存!H2420</f>
        <v>0</v>
      </c>
      <c r="G28" s="49">
        <f>資料儲存!I2420</f>
        <v>0</v>
      </c>
      <c r="H28" s="49">
        <f>資料儲存!J2420</f>
        <v>0</v>
      </c>
      <c r="I28" s="52"/>
      <c r="J28" s="68">
        <v>19</v>
      </c>
      <c r="K28" s="49">
        <f>資料儲存!D2480</f>
        <v>0</v>
      </c>
      <c r="L28" s="49">
        <f>資料儲存!E2480</f>
        <v>0</v>
      </c>
      <c r="M28" s="49">
        <f>資料儲存!F2480</f>
        <v>0</v>
      </c>
      <c r="N28" s="49">
        <f>資料儲存!G2480</f>
        <v>0</v>
      </c>
      <c r="O28" s="49">
        <f>資料儲存!H2480</f>
        <v>0</v>
      </c>
      <c r="P28" s="49">
        <f>資料儲存!I2480</f>
        <v>0</v>
      </c>
      <c r="Q28" s="49">
        <f>資料儲存!J2480</f>
        <v>0</v>
      </c>
      <c r="R28" s="52"/>
      <c r="S28" s="68">
        <v>19</v>
      </c>
      <c r="T28" s="49">
        <f>資料儲存!D2540</f>
        <v>0</v>
      </c>
      <c r="U28" s="49">
        <f>資料儲存!E2540</f>
        <v>0</v>
      </c>
      <c r="V28" s="49">
        <f>資料儲存!F2540</f>
        <v>0</v>
      </c>
      <c r="W28" s="49">
        <f>資料儲存!G2540</f>
        <v>0</v>
      </c>
      <c r="X28" s="49">
        <f>資料儲存!H2540</f>
        <v>0</v>
      </c>
      <c r="Y28" s="49">
        <f>資料儲存!I2540</f>
        <v>0</v>
      </c>
      <c r="Z28" s="49">
        <f>資料儲存!J2540</f>
        <v>0</v>
      </c>
      <c r="AA28" s="52"/>
      <c r="AB28" s="68">
        <v>19</v>
      </c>
      <c r="AC28" s="49">
        <f>資料儲存!D2600</f>
        <v>0</v>
      </c>
      <c r="AD28" s="49">
        <f>資料儲存!E2600</f>
        <v>0</v>
      </c>
      <c r="AE28" s="49">
        <f>資料儲存!F2600</f>
        <v>0</v>
      </c>
      <c r="AF28" s="49">
        <f>資料儲存!G2600</f>
        <v>0</v>
      </c>
      <c r="AG28" s="49">
        <f>資料儲存!H2600</f>
        <v>0</v>
      </c>
      <c r="AH28" s="49">
        <f>資料儲存!I2600</f>
        <v>0</v>
      </c>
      <c r="AI28" s="49">
        <f>資料儲存!J2600</f>
        <v>0</v>
      </c>
      <c r="AJ28" s="52"/>
    </row>
    <row r="29" spans="1:36" ht="16" thickBot="1">
      <c r="A29" s="68">
        <v>20</v>
      </c>
      <c r="B29" s="49">
        <f>資料儲存!D2421</f>
        <v>0</v>
      </c>
      <c r="C29" s="49">
        <f>資料儲存!E2421</f>
        <v>0</v>
      </c>
      <c r="D29" s="49">
        <f>資料儲存!F2421</f>
        <v>0</v>
      </c>
      <c r="E29" s="49">
        <f>資料儲存!G2421</f>
        <v>0</v>
      </c>
      <c r="F29" s="49">
        <f>資料儲存!H2421</f>
        <v>0</v>
      </c>
      <c r="G29" s="49">
        <f>資料儲存!I2421</f>
        <v>0</v>
      </c>
      <c r="H29" s="49">
        <f>資料儲存!J2421</f>
        <v>0</v>
      </c>
      <c r="I29" s="52"/>
      <c r="J29" s="68">
        <v>20</v>
      </c>
      <c r="K29" s="49">
        <f>資料儲存!D2481</f>
        <v>0</v>
      </c>
      <c r="L29" s="49">
        <f>資料儲存!E2481</f>
        <v>0</v>
      </c>
      <c r="M29" s="49">
        <f>資料儲存!F2481</f>
        <v>0</v>
      </c>
      <c r="N29" s="49">
        <f>資料儲存!G2481</f>
        <v>0</v>
      </c>
      <c r="O29" s="49">
        <f>資料儲存!H2481</f>
        <v>0</v>
      </c>
      <c r="P29" s="49">
        <f>資料儲存!I2481</f>
        <v>0</v>
      </c>
      <c r="Q29" s="49">
        <f>資料儲存!J2481</f>
        <v>0</v>
      </c>
      <c r="R29" s="52"/>
      <c r="S29" s="68">
        <v>20</v>
      </c>
      <c r="T29" s="49">
        <f>資料儲存!D2541</f>
        <v>0</v>
      </c>
      <c r="U29" s="49">
        <f>資料儲存!E2541</f>
        <v>0</v>
      </c>
      <c r="V29" s="49">
        <f>資料儲存!F2541</f>
        <v>0</v>
      </c>
      <c r="W29" s="49">
        <f>資料儲存!G2541</f>
        <v>0</v>
      </c>
      <c r="X29" s="49">
        <f>資料儲存!H2541</f>
        <v>0</v>
      </c>
      <c r="Y29" s="49">
        <f>資料儲存!I2541</f>
        <v>0</v>
      </c>
      <c r="Z29" s="49">
        <f>資料儲存!J2541</f>
        <v>0</v>
      </c>
      <c r="AA29" s="52"/>
      <c r="AB29" s="68">
        <v>20</v>
      </c>
      <c r="AC29" s="49">
        <f>資料儲存!D2601</f>
        <v>0</v>
      </c>
      <c r="AD29" s="49">
        <f>資料儲存!E2601</f>
        <v>0</v>
      </c>
      <c r="AE29" s="49">
        <f>資料儲存!F2601</f>
        <v>0</v>
      </c>
      <c r="AF29" s="49">
        <f>資料儲存!G2601</f>
        <v>0</v>
      </c>
      <c r="AG29" s="49">
        <f>資料儲存!H2601</f>
        <v>0</v>
      </c>
      <c r="AH29" s="49">
        <f>資料儲存!I2601</f>
        <v>0</v>
      </c>
      <c r="AI29" s="49">
        <f>資料儲存!J2601</f>
        <v>0</v>
      </c>
      <c r="AJ29" s="52"/>
    </row>
    <row r="30" spans="1:36" ht="16" thickBot="1">
      <c r="A30" s="68">
        <v>21</v>
      </c>
      <c r="B30" s="49">
        <f>資料儲存!D2422</f>
        <v>0</v>
      </c>
      <c r="C30" s="49">
        <f>資料儲存!E2422</f>
        <v>0</v>
      </c>
      <c r="D30" s="49">
        <f>資料儲存!F2422</f>
        <v>0</v>
      </c>
      <c r="E30" s="49">
        <f>資料儲存!G2422</f>
        <v>0</v>
      </c>
      <c r="F30" s="49">
        <f>資料儲存!H2422</f>
        <v>0</v>
      </c>
      <c r="G30" s="49">
        <f>資料儲存!I2422</f>
        <v>0</v>
      </c>
      <c r="H30" s="49">
        <f>資料儲存!J2422</f>
        <v>0</v>
      </c>
      <c r="I30" s="52"/>
      <c r="J30" s="68">
        <v>21</v>
      </c>
      <c r="K30" s="49">
        <f>資料儲存!D2482</f>
        <v>0</v>
      </c>
      <c r="L30" s="49">
        <f>資料儲存!E2482</f>
        <v>0</v>
      </c>
      <c r="M30" s="49">
        <f>資料儲存!F2482</f>
        <v>0</v>
      </c>
      <c r="N30" s="49">
        <f>資料儲存!G2482</f>
        <v>0</v>
      </c>
      <c r="O30" s="49">
        <f>資料儲存!H2482</f>
        <v>0</v>
      </c>
      <c r="P30" s="49">
        <f>資料儲存!I2482</f>
        <v>0</v>
      </c>
      <c r="Q30" s="49">
        <f>資料儲存!J2482</f>
        <v>0</v>
      </c>
      <c r="R30" s="52"/>
      <c r="S30" s="68">
        <v>21</v>
      </c>
      <c r="T30" s="49">
        <f>資料儲存!D2542</f>
        <v>0</v>
      </c>
      <c r="U30" s="49">
        <f>資料儲存!E2542</f>
        <v>0</v>
      </c>
      <c r="V30" s="49">
        <f>資料儲存!F2542</f>
        <v>0</v>
      </c>
      <c r="W30" s="49">
        <f>資料儲存!G2542</f>
        <v>0</v>
      </c>
      <c r="X30" s="49">
        <f>資料儲存!H2542</f>
        <v>0</v>
      </c>
      <c r="Y30" s="49">
        <f>資料儲存!I2542</f>
        <v>0</v>
      </c>
      <c r="Z30" s="49">
        <f>資料儲存!J2542</f>
        <v>0</v>
      </c>
      <c r="AA30" s="52"/>
      <c r="AB30" s="68">
        <v>21</v>
      </c>
      <c r="AC30" s="49">
        <f>資料儲存!D2602</f>
        <v>0</v>
      </c>
      <c r="AD30" s="49">
        <f>資料儲存!E2602</f>
        <v>0</v>
      </c>
      <c r="AE30" s="49">
        <f>資料儲存!F2602</f>
        <v>0</v>
      </c>
      <c r="AF30" s="49">
        <f>資料儲存!G2602</f>
        <v>0</v>
      </c>
      <c r="AG30" s="49">
        <f>資料儲存!H2602</f>
        <v>0</v>
      </c>
      <c r="AH30" s="49">
        <f>資料儲存!I2602</f>
        <v>0</v>
      </c>
      <c r="AI30" s="49">
        <f>資料儲存!J2602</f>
        <v>0</v>
      </c>
      <c r="AJ30" s="52"/>
    </row>
    <row r="31" spans="1:36" ht="16" thickBot="1">
      <c r="A31" s="68">
        <v>22</v>
      </c>
      <c r="B31" s="49">
        <f>資料儲存!D2423</f>
        <v>0</v>
      </c>
      <c r="C31" s="49">
        <f>資料儲存!E2423</f>
        <v>0</v>
      </c>
      <c r="D31" s="49">
        <f>資料儲存!F2423</f>
        <v>0</v>
      </c>
      <c r="E31" s="49">
        <f>資料儲存!G2423</f>
        <v>0</v>
      </c>
      <c r="F31" s="49">
        <f>資料儲存!H2423</f>
        <v>0</v>
      </c>
      <c r="G31" s="49">
        <f>資料儲存!I2423</f>
        <v>0</v>
      </c>
      <c r="H31" s="49">
        <f>資料儲存!J2423</f>
        <v>0</v>
      </c>
      <c r="I31" s="52"/>
      <c r="J31" s="68">
        <v>22</v>
      </c>
      <c r="K31" s="49">
        <f>資料儲存!D2483</f>
        <v>0</v>
      </c>
      <c r="L31" s="49">
        <f>資料儲存!E2483</f>
        <v>0</v>
      </c>
      <c r="M31" s="49">
        <f>資料儲存!F2483</f>
        <v>0</v>
      </c>
      <c r="N31" s="49">
        <f>資料儲存!G2483</f>
        <v>0</v>
      </c>
      <c r="O31" s="49">
        <f>資料儲存!H2483</f>
        <v>0</v>
      </c>
      <c r="P31" s="49">
        <f>資料儲存!I2483</f>
        <v>0</v>
      </c>
      <c r="Q31" s="49">
        <f>資料儲存!J2483</f>
        <v>0</v>
      </c>
      <c r="R31" s="52"/>
      <c r="S31" s="68">
        <v>22</v>
      </c>
      <c r="T31" s="49">
        <f>資料儲存!D2543</f>
        <v>0</v>
      </c>
      <c r="U31" s="49">
        <f>資料儲存!E2543</f>
        <v>0</v>
      </c>
      <c r="V31" s="49">
        <f>資料儲存!F2543</f>
        <v>0</v>
      </c>
      <c r="W31" s="49">
        <f>資料儲存!G2543</f>
        <v>0</v>
      </c>
      <c r="X31" s="49">
        <f>資料儲存!H2543</f>
        <v>0</v>
      </c>
      <c r="Y31" s="49">
        <f>資料儲存!I2543</f>
        <v>0</v>
      </c>
      <c r="Z31" s="49">
        <f>資料儲存!J2543</f>
        <v>0</v>
      </c>
      <c r="AA31" s="52"/>
      <c r="AB31" s="68">
        <v>22</v>
      </c>
      <c r="AC31" s="49">
        <f>資料儲存!D2603</f>
        <v>0</v>
      </c>
      <c r="AD31" s="49">
        <f>資料儲存!E2603</f>
        <v>0</v>
      </c>
      <c r="AE31" s="49">
        <f>資料儲存!F2603</f>
        <v>0</v>
      </c>
      <c r="AF31" s="49">
        <f>資料儲存!G2603</f>
        <v>0</v>
      </c>
      <c r="AG31" s="49">
        <f>資料儲存!H2603</f>
        <v>0</v>
      </c>
      <c r="AH31" s="49">
        <f>資料儲存!I2603</f>
        <v>0</v>
      </c>
      <c r="AI31" s="49">
        <f>資料儲存!J2603</f>
        <v>0</v>
      </c>
      <c r="AJ31" s="52"/>
    </row>
    <row r="32" spans="1:36" ht="16" thickBot="1">
      <c r="A32" s="68">
        <v>23</v>
      </c>
      <c r="B32" s="49">
        <f>資料儲存!D2424</f>
        <v>0</v>
      </c>
      <c r="C32" s="49">
        <f>資料儲存!E2424</f>
        <v>0</v>
      </c>
      <c r="D32" s="49">
        <f>資料儲存!F2424</f>
        <v>0</v>
      </c>
      <c r="E32" s="49">
        <f>資料儲存!G2424</f>
        <v>0</v>
      </c>
      <c r="F32" s="49">
        <f>資料儲存!H2424</f>
        <v>0</v>
      </c>
      <c r="G32" s="49">
        <f>資料儲存!I2424</f>
        <v>0</v>
      </c>
      <c r="H32" s="49">
        <f>資料儲存!J2424</f>
        <v>0</v>
      </c>
      <c r="I32" s="52"/>
      <c r="J32" s="68">
        <v>23</v>
      </c>
      <c r="K32" s="49">
        <f>資料儲存!D2484</f>
        <v>0</v>
      </c>
      <c r="L32" s="49">
        <f>資料儲存!E2484</f>
        <v>0</v>
      </c>
      <c r="M32" s="49">
        <f>資料儲存!F2484</f>
        <v>0</v>
      </c>
      <c r="N32" s="49">
        <f>資料儲存!G2484</f>
        <v>0</v>
      </c>
      <c r="O32" s="49">
        <f>資料儲存!H2484</f>
        <v>0</v>
      </c>
      <c r="P32" s="49">
        <f>資料儲存!I2484</f>
        <v>0</v>
      </c>
      <c r="Q32" s="49">
        <f>資料儲存!J2484</f>
        <v>0</v>
      </c>
      <c r="R32" s="52"/>
      <c r="S32" s="68">
        <v>23</v>
      </c>
      <c r="T32" s="49">
        <f>資料儲存!D2544</f>
        <v>0</v>
      </c>
      <c r="U32" s="49">
        <f>資料儲存!E2544</f>
        <v>0</v>
      </c>
      <c r="V32" s="49">
        <f>資料儲存!F2544</f>
        <v>0</v>
      </c>
      <c r="W32" s="49">
        <f>資料儲存!G2544</f>
        <v>0</v>
      </c>
      <c r="X32" s="49">
        <f>資料儲存!H2544</f>
        <v>0</v>
      </c>
      <c r="Y32" s="49">
        <f>資料儲存!I2544</f>
        <v>0</v>
      </c>
      <c r="Z32" s="49">
        <f>資料儲存!J2544</f>
        <v>0</v>
      </c>
      <c r="AA32" s="52"/>
      <c r="AB32" s="68">
        <v>23</v>
      </c>
      <c r="AC32" s="49">
        <f>資料儲存!D2604</f>
        <v>0</v>
      </c>
      <c r="AD32" s="49">
        <f>資料儲存!E2604</f>
        <v>0</v>
      </c>
      <c r="AE32" s="49">
        <f>資料儲存!F2604</f>
        <v>0</v>
      </c>
      <c r="AF32" s="49">
        <f>資料儲存!G2604</f>
        <v>0</v>
      </c>
      <c r="AG32" s="49">
        <f>資料儲存!H2604</f>
        <v>0</v>
      </c>
      <c r="AH32" s="49">
        <f>資料儲存!I2604</f>
        <v>0</v>
      </c>
      <c r="AI32" s="49">
        <f>資料儲存!J2604</f>
        <v>0</v>
      </c>
      <c r="AJ32" s="52"/>
    </row>
    <row r="33" spans="1:36" ht="16" thickBot="1">
      <c r="A33" s="68">
        <v>24</v>
      </c>
      <c r="B33" s="49">
        <f>資料儲存!D2425</f>
        <v>0</v>
      </c>
      <c r="C33" s="49">
        <f>資料儲存!E2425</f>
        <v>0</v>
      </c>
      <c r="D33" s="49">
        <f>資料儲存!F2425</f>
        <v>0</v>
      </c>
      <c r="E33" s="49">
        <f>資料儲存!G2425</f>
        <v>0</v>
      </c>
      <c r="F33" s="49">
        <f>資料儲存!H2425</f>
        <v>0</v>
      </c>
      <c r="G33" s="49">
        <f>資料儲存!I2425</f>
        <v>0</v>
      </c>
      <c r="H33" s="49">
        <f>資料儲存!J2425</f>
        <v>0</v>
      </c>
      <c r="I33" s="52"/>
      <c r="J33" s="68">
        <v>24</v>
      </c>
      <c r="K33" s="49">
        <f>資料儲存!D2485</f>
        <v>0</v>
      </c>
      <c r="L33" s="49">
        <f>資料儲存!E2485</f>
        <v>0</v>
      </c>
      <c r="M33" s="49">
        <f>資料儲存!F2485</f>
        <v>0</v>
      </c>
      <c r="N33" s="49">
        <f>資料儲存!G2485</f>
        <v>0</v>
      </c>
      <c r="O33" s="49">
        <f>資料儲存!H2485</f>
        <v>0</v>
      </c>
      <c r="P33" s="49">
        <f>資料儲存!I2485</f>
        <v>0</v>
      </c>
      <c r="Q33" s="49">
        <f>資料儲存!J2485</f>
        <v>0</v>
      </c>
      <c r="R33" s="52"/>
      <c r="S33" s="68">
        <v>24</v>
      </c>
      <c r="T33" s="49">
        <f>資料儲存!D2545</f>
        <v>0</v>
      </c>
      <c r="U33" s="49">
        <f>資料儲存!E2545</f>
        <v>0</v>
      </c>
      <c r="V33" s="49">
        <f>資料儲存!F2545</f>
        <v>0</v>
      </c>
      <c r="W33" s="49">
        <f>資料儲存!G2545</f>
        <v>0</v>
      </c>
      <c r="X33" s="49">
        <f>資料儲存!H2545</f>
        <v>0</v>
      </c>
      <c r="Y33" s="49">
        <f>資料儲存!I2545</f>
        <v>0</v>
      </c>
      <c r="Z33" s="49">
        <f>資料儲存!J2545</f>
        <v>0</v>
      </c>
      <c r="AA33" s="52"/>
      <c r="AB33" s="68">
        <v>24</v>
      </c>
      <c r="AC33" s="49">
        <f>資料儲存!D2605</f>
        <v>0</v>
      </c>
      <c r="AD33" s="49">
        <f>資料儲存!E2605</f>
        <v>0</v>
      </c>
      <c r="AE33" s="49">
        <f>資料儲存!F2605</f>
        <v>0</v>
      </c>
      <c r="AF33" s="49">
        <f>資料儲存!G2605</f>
        <v>0</v>
      </c>
      <c r="AG33" s="49">
        <f>資料儲存!H2605</f>
        <v>0</v>
      </c>
      <c r="AH33" s="49">
        <f>資料儲存!I2605</f>
        <v>0</v>
      </c>
      <c r="AI33" s="49">
        <f>資料儲存!J2605</f>
        <v>0</v>
      </c>
      <c r="AJ33" s="52"/>
    </row>
    <row r="34" spans="1:36" ht="16" thickBot="1">
      <c r="A34" s="68">
        <v>25</v>
      </c>
      <c r="B34" s="49">
        <f>資料儲存!D2426</f>
        <v>0</v>
      </c>
      <c r="C34" s="49">
        <f>資料儲存!E2426</f>
        <v>0</v>
      </c>
      <c r="D34" s="49">
        <f>資料儲存!F2426</f>
        <v>0</v>
      </c>
      <c r="E34" s="49">
        <f>資料儲存!G2426</f>
        <v>0</v>
      </c>
      <c r="F34" s="49">
        <f>資料儲存!H2426</f>
        <v>0</v>
      </c>
      <c r="G34" s="49">
        <f>資料儲存!I2426</f>
        <v>0</v>
      </c>
      <c r="H34" s="49">
        <f>資料儲存!J2426</f>
        <v>0</v>
      </c>
      <c r="I34" s="52"/>
      <c r="J34" s="68">
        <v>25</v>
      </c>
      <c r="K34" s="49">
        <f>資料儲存!D2486</f>
        <v>0</v>
      </c>
      <c r="L34" s="49">
        <f>資料儲存!E2486</f>
        <v>0</v>
      </c>
      <c r="M34" s="49">
        <f>資料儲存!F2486</f>
        <v>0</v>
      </c>
      <c r="N34" s="49">
        <f>資料儲存!G2486</f>
        <v>0</v>
      </c>
      <c r="O34" s="49">
        <f>資料儲存!H2486</f>
        <v>0</v>
      </c>
      <c r="P34" s="49">
        <f>資料儲存!I2486</f>
        <v>0</v>
      </c>
      <c r="Q34" s="49">
        <f>資料儲存!J2486</f>
        <v>0</v>
      </c>
      <c r="R34" s="52"/>
      <c r="S34" s="68">
        <v>25</v>
      </c>
      <c r="T34" s="49">
        <f>資料儲存!D2546</f>
        <v>0</v>
      </c>
      <c r="U34" s="49">
        <f>資料儲存!E2546</f>
        <v>0</v>
      </c>
      <c r="V34" s="49">
        <f>資料儲存!F2546</f>
        <v>0</v>
      </c>
      <c r="W34" s="49">
        <f>資料儲存!G2546</f>
        <v>0</v>
      </c>
      <c r="X34" s="49">
        <f>資料儲存!H2546</f>
        <v>0</v>
      </c>
      <c r="Y34" s="49">
        <f>資料儲存!I2546</f>
        <v>0</v>
      </c>
      <c r="Z34" s="49">
        <f>資料儲存!J2546</f>
        <v>0</v>
      </c>
      <c r="AA34" s="52"/>
      <c r="AB34" s="68">
        <v>25</v>
      </c>
      <c r="AC34" s="49">
        <f>資料儲存!D2606</f>
        <v>0</v>
      </c>
      <c r="AD34" s="49">
        <f>資料儲存!E2606</f>
        <v>0</v>
      </c>
      <c r="AE34" s="49">
        <f>資料儲存!F2606</f>
        <v>0</v>
      </c>
      <c r="AF34" s="49">
        <f>資料儲存!G2606</f>
        <v>0</v>
      </c>
      <c r="AG34" s="49">
        <f>資料儲存!H2606</f>
        <v>0</v>
      </c>
      <c r="AH34" s="49">
        <f>資料儲存!I2606</f>
        <v>0</v>
      </c>
      <c r="AI34" s="49">
        <f>資料儲存!J2606</f>
        <v>0</v>
      </c>
      <c r="AJ34" s="52"/>
    </row>
    <row r="35" spans="1:36" ht="16" thickBot="1">
      <c r="A35" s="68">
        <v>26</v>
      </c>
      <c r="B35" s="49">
        <f>資料儲存!D2427</f>
        <v>0</v>
      </c>
      <c r="C35" s="49">
        <f>資料儲存!E2427</f>
        <v>0</v>
      </c>
      <c r="D35" s="49">
        <f>資料儲存!F2427</f>
        <v>0</v>
      </c>
      <c r="E35" s="49">
        <f>資料儲存!G2427</f>
        <v>0</v>
      </c>
      <c r="F35" s="49">
        <f>資料儲存!H2427</f>
        <v>0</v>
      </c>
      <c r="G35" s="49">
        <f>資料儲存!I2427</f>
        <v>0</v>
      </c>
      <c r="H35" s="49">
        <f>資料儲存!J2427</f>
        <v>0</v>
      </c>
      <c r="I35" s="52"/>
      <c r="J35" s="68">
        <v>26</v>
      </c>
      <c r="K35" s="49">
        <f>資料儲存!D2487</f>
        <v>0</v>
      </c>
      <c r="L35" s="49">
        <f>資料儲存!E2487</f>
        <v>0</v>
      </c>
      <c r="M35" s="49">
        <f>資料儲存!F2487</f>
        <v>0</v>
      </c>
      <c r="N35" s="49">
        <f>資料儲存!G2487</f>
        <v>0</v>
      </c>
      <c r="O35" s="49">
        <f>資料儲存!H2487</f>
        <v>0</v>
      </c>
      <c r="P35" s="49">
        <f>資料儲存!I2487</f>
        <v>0</v>
      </c>
      <c r="Q35" s="49">
        <f>資料儲存!J2487</f>
        <v>0</v>
      </c>
      <c r="R35" s="52"/>
      <c r="S35" s="68">
        <v>26</v>
      </c>
      <c r="T35" s="49">
        <f>資料儲存!D2547</f>
        <v>0</v>
      </c>
      <c r="U35" s="49">
        <f>資料儲存!E2547</f>
        <v>0</v>
      </c>
      <c r="V35" s="49">
        <f>資料儲存!F2547</f>
        <v>0</v>
      </c>
      <c r="W35" s="49">
        <f>資料儲存!G2547</f>
        <v>0</v>
      </c>
      <c r="X35" s="49">
        <f>資料儲存!H2547</f>
        <v>0</v>
      </c>
      <c r="Y35" s="49">
        <f>資料儲存!I2547</f>
        <v>0</v>
      </c>
      <c r="Z35" s="49">
        <f>資料儲存!J2547</f>
        <v>0</v>
      </c>
      <c r="AA35" s="52"/>
      <c r="AB35" s="68">
        <v>26</v>
      </c>
      <c r="AC35" s="49">
        <f>資料儲存!D2607</f>
        <v>0</v>
      </c>
      <c r="AD35" s="49">
        <f>資料儲存!E2607</f>
        <v>0</v>
      </c>
      <c r="AE35" s="49">
        <f>資料儲存!F2607</f>
        <v>0</v>
      </c>
      <c r="AF35" s="49">
        <f>資料儲存!G2607</f>
        <v>0</v>
      </c>
      <c r="AG35" s="49">
        <f>資料儲存!H2607</f>
        <v>0</v>
      </c>
      <c r="AH35" s="49">
        <f>資料儲存!I2607</f>
        <v>0</v>
      </c>
      <c r="AI35" s="49">
        <f>資料儲存!J2607</f>
        <v>0</v>
      </c>
      <c r="AJ35" s="52"/>
    </row>
    <row r="36" spans="1:36" ht="16" thickBot="1">
      <c r="A36" s="68">
        <v>27</v>
      </c>
      <c r="B36" s="49">
        <f>資料儲存!D2428</f>
        <v>0</v>
      </c>
      <c r="C36" s="49">
        <f>資料儲存!E2428</f>
        <v>0</v>
      </c>
      <c r="D36" s="49">
        <f>資料儲存!F2428</f>
        <v>0</v>
      </c>
      <c r="E36" s="49">
        <f>資料儲存!G2428</f>
        <v>0</v>
      </c>
      <c r="F36" s="49">
        <f>資料儲存!H2428</f>
        <v>0</v>
      </c>
      <c r="G36" s="49">
        <f>資料儲存!I2428</f>
        <v>0</v>
      </c>
      <c r="H36" s="49">
        <f>資料儲存!J2428</f>
        <v>0</v>
      </c>
      <c r="I36" s="52"/>
      <c r="J36" s="68">
        <v>27</v>
      </c>
      <c r="K36" s="49">
        <f>資料儲存!D2488</f>
        <v>0</v>
      </c>
      <c r="L36" s="49">
        <f>資料儲存!E2488</f>
        <v>0</v>
      </c>
      <c r="M36" s="49">
        <f>資料儲存!F2488</f>
        <v>0</v>
      </c>
      <c r="N36" s="49">
        <f>資料儲存!G2488</f>
        <v>0</v>
      </c>
      <c r="O36" s="49">
        <f>資料儲存!H2488</f>
        <v>0</v>
      </c>
      <c r="P36" s="49">
        <f>資料儲存!I2488</f>
        <v>0</v>
      </c>
      <c r="Q36" s="49">
        <f>資料儲存!J2488</f>
        <v>0</v>
      </c>
      <c r="R36" s="52"/>
      <c r="S36" s="68">
        <v>27</v>
      </c>
      <c r="T36" s="49">
        <f>資料儲存!D2548</f>
        <v>0</v>
      </c>
      <c r="U36" s="49">
        <f>資料儲存!E2548</f>
        <v>0</v>
      </c>
      <c r="V36" s="49">
        <f>資料儲存!F2548</f>
        <v>0</v>
      </c>
      <c r="W36" s="49">
        <f>資料儲存!G2548</f>
        <v>0</v>
      </c>
      <c r="X36" s="49">
        <f>資料儲存!H2548</f>
        <v>0</v>
      </c>
      <c r="Y36" s="49">
        <f>資料儲存!I2548</f>
        <v>0</v>
      </c>
      <c r="Z36" s="49">
        <f>資料儲存!J2548</f>
        <v>0</v>
      </c>
      <c r="AA36" s="52"/>
      <c r="AB36" s="68">
        <v>27</v>
      </c>
      <c r="AC36" s="49">
        <f>資料儲存!D2608</f>
        <v>0</v>
      </c>
      <c r="AD36" s="49">
        <f>資料儲存!E2608</f>
        <v>0</v>
      </c>
      <c r="AE36" s="49">
        <f>資料儲存!F2608</f>
        <v>0</v>
      </c>
      <c r="AF36" s="49">
        <f>資料儲存!G2608</f>
        <v>0</v>
      </c>
      <c r="AG36" s="49">
        <f>資料儲存!H2608</f>
        <v>0</v>
      </c>
      <c r="AH36" s="49">
        <f>資料儲存!I2608</f>
        <v>0</v>
      </c>
      <c r="AI36" s="49">
        <f>資料儲存!J2608</f>
        <v>0</v>
      </c>
      <c r="AJ36" s="52"/>
    </row>
    <row r="37" spans="1:36" ht="16" thickBot="1">
      <c r="A37" s="68">
        <v>28</v>
      </c>
      <c r="B37" s="49">
        <f>資料儲存!D2429</f>
        <v>0</v>
      </c>
      <c r="C37" s="49">
        <f>資料儲存!E2429</f>
        <v>0</v>
      </c>
      <c r="D37" s="49">
        <f>資料儲存!F2429</f>
        <v>0</v>
      </c>
      <c r="E37" s="49">
        <f>資料儲存!G2429</f>
        <v>0</v>
      </c>
      <c r="F37" s="49">
        <f>資料儲存!H2429</f>
        <v>0</v>
      </c>
      <c r="G37" s="49">
        <f>資料儲存!I2429</f>
        <v>0</v>
      </c>
      <c r="H37" s="49">
        <f>資料儲存!J2429</f>
        <v>0</v>
      </c>
      <c r="I37" s="52"/>
      <c r="J37" s="68">
        <v>28</v>
      </c>
      <c r="K37" s="49">
        <f>資料儲存!D2489</f>
        <v>0</v>
      </c>
      <c r="L37" s="49">
        <f>資料儲存!E2489</f>
        <v>0</v>
      </c>
      <c r="M37" s="49">
        <f>資料儲存!F2489</f>
        <v>0</v>
      </c>
      <c r="N37" s="49">
        <f>資料儲存!G2489</f>
        <v>0</v>
      </c>
      <c r="O37" s="49">
        <f>資料儲存!H2489</f>
        <v>0</v>
      </c>
      <c r="P37" s="49">
        <f>資料儲存!I2489</f>
        <v>0</v>
      </c>
      <c r="Q37" s="49">
        <f>資料儲存!J2489</f>
        <v>0</v>
      </c>
      <c r="R37" s="52"/>
      <c r="S37" s="68">
        <v>28</v>
      </c>
      <c r="T37" s="49">
        <f>資料儲存!D2549</f>
        <v>0</v>
      </c>
      <c r="U37" s="49">
        <f>資料儲存!E2549</f>
        <v>0</v>
      </c>
      <c r="V37" s="49">
        <f>資料儲存!F2549</f>
        <v>0</v>
      </c>
      <c r="W37" s="49">
        <f>資料儲存!G2549</f>
        <v>0</v>
      </c>
      <c r="X37" s="49">
        <f>資料儲存!H2549</f>
        <v>0</v>
      </c>
      <c r="Y37" s="49">
        <f>資料儲存!I2549</f>
        <v>0</v>
      </c>
      <c r="Z37" s="49">
        <f>資料儲存!J2549</f>
        <v>0</v>
      </c>
      <c r="AA37" s="52"/>
      <c r="AB37" s="68">
        <v>28</v>
      </c>
      <c r="AC37" s="49">
        <f>資料儲存!D2609</f>
        <v>0</v>
      </c>
      <c r="AD37" s="49">
        <f>資料儲存!E2609</f>
        <v>0</v>
      </c>
      <c r="AE37" s="49">
        <f>資料儲存!F2609</f>
        <v>0</v>
      </c>
      <c r="AF37" s="49">
        <f>資料儲存!G2609</f>
        <v>0</v>
      </c>
      <c r="AG37" s="49">
        <f>資料儲存!H2609</f>
        <v>0</v>
      </c>
      <c r="AH37" s="49">
        <f>資料儲存!I2609</f>
        <v>0</v>
      </c>
      <c r="AI37" s="49">
        <f>資料儲存!J2609</f>
        <v>0</v>
      </c>
      <c r="AJ37" s="52"/>
    </row>
    <row r="38" spans="1:36" ht="16" thickBot="1">
      <c r="A38" s="68">
        <v>29</v>
      </c>
      <c r="B38" s="49">
        <f>資料儲存!D2430</f>
        <v>0</v>
      </c>
      <c r="C38" s="49">
        <f>資料儲存!E2430</f>
        <v>0</v>
      </c>
      <c r="D38" s="49">
        <f>資料儲存!F2430</f>
        <v>0</v>
      </c>
      <c r="E38" s="49">
        <f>資料儲存!G2430</f>
        <v>0</v>
      </c>
      <c r="F38" s="49">
        <f>資料儲存!H2430</f>
        <v>0</v>
      </c>
      <c r="G38" s="49">
        <f>資料儲存!I2430</f>
        <v>0</v>
      </c>
      <c r="H38" s="49">
        <f>資料儲存!J2430</f>
        <v>0</v>
      </c>
      <c r="I38" s="52"/>
      <c r="J38" s="68">
        <v>29</v>
      </c>
      <c r="K38" s="49">
        <f>資料儲存!D2490</f>
        <v>0</v>
      </c>
      <c r="L38" s="49">
        <f>資料儲存!E2490</f>
        <v>0</v>
      </c>
      <c r="M38" s="49">
        <f>資料儲存!F2490</f>
        <v>0</v>
      </c>
      <c r="N38" s="49">
        <f>資料儲存!G2490</f>
        <v>0</v>
      </c>
      <c r="O38" s="49">
        <f>資料儲存!H2490</f>
        <v>0</v>
      </c>
      <c r="P38" s="49">
        <f>資料儲存!I2490</f>
        <v>0</v>
      </c>
      <c r="Q38" s="49">
        <f>資料儲存!J2490</f>
        <v>0</v>
      </c>
      <c r="R38" s="52"/>
      <c r="S38" s="68">
        <v>29</v>
      </c>
      <c r="T38" s="49">
        <f>資料儲存!D2550</f>
        <v>0</v>
      </c>
      <c r="U38" s="49">
        <f>資料儲存!E2550</f>
        <v>0</v>
      </c>
      <c r="V38" s="49">
        <f>資料儲存!F2550</f>
        <v>0</v>
      </c>
      <c r="W38" s="49">
        <f>資料儲存!G2550</f>
        <v>0</v>
      </c>
      <c r="X38" s="49">
        <f>資料儲存!H2550</f>
        <v>0</v>
      </c>
      <c r="Y38" s="49">
        <f>資料儲存!I2550</f>
        <v>0</v>
      </c>
      <c r="Z38" s="49">
        <f>資料儲存!J2550</f>
        <v>0</v>
      </c>
      <c r="AA38" s="52"/>
      <c r="AB38" s="68">
        <v>29</v>
      </c>
      <c r="AC38" s="49">
        <f>資料儲存!D2610</f>
        <v>0</v>
      </c>
      <c r="AD38" s="49">
        <f>資料儲存!E2610</f>
        <v>0</v>
      </c>
      <c r="AE38" s="49">
        <f>資料儲存!F2610</f>
        <v>0</v>
      </c>
      <c r="AF38" s="49">
        <f>資料儲存!G2610</f>
        <v>0</v>
      </c>
      <c r="AG38" s="49">
        <f>資料儲存!H2610</f>
        <v>0</v>
      </c>
      <c r="AH38" s="49">
        <f>資料儲存!I2610</f>
        <v>0</v>
      </c>
      <c r="AI38" s="49">
        <f>資料儲存!J2610</f>
        <v>0</v>
      </c>
      <c r="AJ38" s="52"/>
    </row>
    <row r="39" spans="1:36" ht="16" thickBot="1">
      <c r="A39" s="68">
        <v>30</v>
      </c>
      <c r="B39" s="49">
        <f>資料儲存!D2431</f>
        <v>0</v>
      </c>
      <c r="C39" s="49">
        <f>資料儲存!E2431</f>
        <v>0</v>
      </c>
      <c r="D39" s="49">
        <f>資料儲存!F2431</f>
        <v>0</v>
      </c>
      <c r="E39" s="49">
        <f>資料儲存!G2431</f>
        <v>0</v>
      </c>
      <c r="F39" s="49">
        <f>資料儲存!H2431</f>
        <v>0</v>
      </c>
      <c r="G39" s="49">
        <f>資料儲存!I2431</f>
        <v>0</v>
      </c>
      <c r="H39" s="49">
        <f>資料儲存!J2431</f>
        <v>0</v>
      </c>
      <c r="I39" s="52"/>
      <c r="J39" s="68">
        <v>30</v>
      </c>
      <c r="K39" s="49">
        <f>資料儲存!D2491</f>
        <v>0</v>
      </c>
      <c r="L39" s="49">
        <f>資料儲存!E2491</f>
        <v>0</v>
      </c>
      <c r="M39" s="49">
        <f>資料儲存!F2491</f>
        <v>0</v>
      </c>
      <c r="N39" s="49">
        <f>資料儲存!G2491</f>
        <v>0</v>
      </c>
      <c r="O39" s="49">
        <f>資料儲存!H2491</f>
        <v>0</v>
      </c>
      <c r="P39" s="49">
        <f>資料儲存!I2491</f>
        <v>0</v>
      </c>
      <c r="Q39" s="49">
        <f>資料儲存!J2491</f>
        <v>0</v>
      </c>
      <c r="R39" s="52"/>
      <c r="S39" s="68">
        <v>30</v>
      </c>
      <c r="T39" s="49">
        <f>資料儲存!D2551</f>
        <v>0</v>
      </c>
      <c r="U39" s="49">
        <f>資料儲存!E2551</f>
        <v>0</v>
      </c>
      <c r="V39" s="49">
        <f>資料儲存!F2551</f>
        <v>0</v>
      </c>
      <c r="W39" s="49">
        <f>資料儲存!G2551</f>
        <v>0</v>
      </c>
      <c r="X39" s="49">
        <f>資料儲存!H2551</f>
        <v>0</v>
      </c>
      <c r="Y39" s="49">
        <f>資料儲存!I2551</f>
        <v>0</v>
      </c>
      <c r="Z39" s="49">
        <f>資料儲存!J2551</f>
        <v>0</v>
      </c>
      <c r="AA39" s="52"/>
      <c r="AB39" s="68">
        <v>30</v>
      </c>
      <c r="AC39" s="49">
        <f>資料儲存!D2611</f>
        <v>0</v>
      </c>
      <c r="AD39" s="49">
        <f>資料儲存!E2611</f>
        <v>0</v>
      </c>
      <c r="AE39" s="49">
        <f>資料儲存!F2611</f>
        <v>0</v>
      </c>
      <c r="AF39" s="49">
        <f>資料儲存!G2611</f>
        <v>0</v>
      </c>
      <c r="AG39" s="49">
        <f>資料儲存!H2611</f>
        <v>0</v>
      </c>
      <c r="AH39" s="49">
        <f>資料儲存!I2611</f>
        <v>0</v>
      </c>
      <c r="AI39" s="49">
        <f>資料儲存!J2611</f>
        <v>0</v>
      </c>
      <c r="AJ39" s="52"/>
    </row>
    <row r="40" spans="1:36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8.5" thickBot="1">
      <c r="A41" s="259" t="s">
        <v>93</v>
      </c>
      <c r="B41" s="260"/>
      <c r="C41" s="260"/>
      <c r="D41" s="260"/>
      <c r="E41" s="260"/>
      <c r="F41" s="260"/>
      <c r="G41" s="260"/>
      <c r="H41" s="261"/>
      <c r="I41" s="14"/>
      <c r="J41" s="259" t="s">
        <v>93</v>
      </c>
      <c r="K41" s="260"/>
      <c r="L41" s="260"/>
      <c r="M41" s="260"/>
      <c r="N41" s="260"/>
      <c r="O41" s="260"/>
      <c r="P41" s="260"/>
      <c r="Q41" s="261"/>
      <c r="R41" s="14"/>
      <c r="S41" s="259" t="s">
        <v>93</v>
      </c>
      <c r="T41" s="260"/>
      <c r="U41" s="260"/>
      <c r="V41" s="260"/>
      <c r="W41" s="260"/>
      <c r="X41" s="260"/>
      <c r="Y41" s="260"/>
      <c r="Z41" s="261"/>
      <c r="AA41" s="14"/>
      <c r="AB41" s="259" t="s">
        <v>93</v>
      </c>
      <c r="AC41" s="260"/>
      <c r="AD41" s="260"/>
      <c r="AE41" s="260"/>
      <c r="AF41" s="260"/>
      <c r="AG41" s="260"/>
      <c r="AH41" s="260"/>
      <c r="AI41" s="261"/>
      <c r="AJ41" s="14"/>
    </row>
    <row r="42" spans="1:36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</row>
    <row r="43" spans="1:36" ht="16" thickBot="1">
      <c r="A43" s="59">
        <v>0.47916666666666669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>
        <v>0.47916666666666669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>
        <v>0.47916666666666669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>
        <v>0.47916666666666669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</row>
    <row r="44" spans="1:36" ht="16" thickBot="1">
      <c r="A44" s="61">
        <v>31</v>
      </c>
      <c r="B44" s="39">
        <f>資料儲存!D2432</f>
        <v>0</v>
      </c>
      <c r="C44" s="39">
        <f>資料儲存!E2432</f>
        <v>0</v>
      </c>
      <c r="D44" s="39">
        <f>資料儲存!F2432</f>
        <v>0</v>
      </c>
      <c r="E44" s="39">
        <f>資料儲存!G2432</f>
        <v>0</v>
      </c>
      <c r="F44" s="39">
        <f>資料儲存!H2432</f>
        <v>0</v>
      </c>
      <c r="G44" s="39">
        <f>資料儲存!I2432</f>
        <v>0</v>
      </c>
      <c r="H44" s="39">
        <f>資料儲存!J2432</f>
        <v>0</v>
      </c>
      <c r="I44" s="58"/>
      <c r="J44" s="61">
        <v>31</v>
      </c>
      <c r="K44" s="39">
        <f>資料儲存!D2492</f>
        <v>0</v>
      </c>
      <c r="L44" s="39">
        <f>資料儲存!E2492</f>
        <v>0</v>
      </c>
      <c r="M44" s="39">
        <f>資料儲存!F2492</f>
        <v>0</v>
      </c>
      <c r="N44" s="39">
        <f>資料儲存!G2492</f>
        <v>0</v>
      </c>
      <c r="O44" s="39">
        <f>資料儲存!H2492</f>
        <v>0</v>
      </c>
      <c r="P44" s="39">
        <f>資料儲存!I2492</f>
        <v>0</v>
      </c>
      <c r="Q44" s="39">
        <f>資料儲存!J2492</f>
        <v>0</v>
      </c>
      <c r="R44" s="58"/>
      <c r="S44" s="61">
        <v>31</v>
      </c>
      <c r="T44" s="39">
        <f>資料儲存!D2552</f>
        <v>0</v>
      </c>
      <c r="U44" s="39">
        <f>資料儲存!E2552</f>
        <v>0</v>
      </c>
      <c r="V44" s="39">
        <f>資料儲存!F2552</f>
        <v>0</v>
      </c>
      <c r="W44" s="39">
        <f>資料儲存!G2552</f>
        <v>0</v>
      </c>
      <c r="X44" s="39">
        <f>資料儲存!H2552</f>
        <v>0</v>
      </c>
      <c r="Y44" s="39">
        <f>資料儲存!I2552</f>
        <v>0</v>
      </c>
      <c r="Z44" s="39">
        <f>資料儲存!J2552</f>
        <v>0</v>
      </c>
      <c r="AA44" s="58"/>
      <c r="AB44" s="61">
        <v>31</v>
      </c>
      <c r="AC44" s="39">
        <f>資料儲存!D2612</f>
        <v>0</v>
      </c>
      <c r="AD44" s="39">
        <f>資料儲存!E2612</f>
        <v>0</v>
      </c>
      <c r="AE44" s="39">
        <f>資料儲存!F2612</f>
        <v>0</v>
      </c>
      <c r="AF44" s="39">
        <f>資料儲存!G2612</f>
        <v>0</v>
      </c>
      <c r="AG44" s="39">
        <f>資料儲存!H2612</f>
        <v>0</v>
      </c>
      <c r="AH44" s="39">
        <f>資料儲存!I2612</f>
        <v>0</v>
      </c>
      <c r="AI44" s="39">
        <f>資料儲存!J2612</f>
        <v>0</v>
      </c>
      <c r="AJ44" s="58"/>
    </row>
    <row r="45" spans="1:36" ht="16" thickBot="1">
      <c r="A45" s="61">
        <v>32</v>
      </c>
      <c r="B45" s="39">
        <f>資料儲存!D2433</f>
        <v>0</v>
      </c>
      <c r="C45" s="39">
        <f>資料儲存!E2433</f>
        <v>0</v>
      </c>
      <c r="D45" s="39">
        <f>資料儲存!F2433</f>
        <v>0</v>
      </c>
      <c r="E45" s="39">
        <f>資料儲存!G2433</f>
        <v>0</v>
      </c>
      <c r="F45" s="39">
        <f>資料儲存!H2433</f>
        <v>0</v>
      </c>
      <c r="G45" s="39">
        <f>資料儲存!I2433</f>
        <v>0</v>
      </c>
      <c r="H45" s="39">
        <f>資料儲存!J2433</f>
        <v>0</v>
      </c>
      <c r="I45" s="58"/>
      <c r="J45" s="61">
        <v>32</v>
      </c>
      <c r="K45" s="39">
        <f>資料儲存!D2493</f>
        <v>0</v>
      </c>
      <c r="L45" s="39">
        <f>資料儲存!E2493</f>
        <v>0</v>
      </c>
      <c r="M45" s="39">
        <f>資料儲存!F2493</f>
        <v>0</v>
      </c>
      <c r="N45" s="39">
        <f>資料儲存!G2493</f>
        <v>0</v>
      </c>
      <c r="O45" s="39">
        <f>資料儲存!H2493</f>
        <v>0</v>
      </c>
      <c r="P45" s="39">
        <f>資料儲存!I2493</f>
        <v>0</v>
      </c>
      <c r="Q45" s="39">
        <f>資料儲存!J2493</f>
        <v>0</v>
      </c>
      <c r="R45" s="58"/>
      <c r="S45" s="61">
        <v>32</v>
      </c>
      <c r="T45" s="39">
        <f>資料儲存!D2553</f>
        <v>0</v>
      </c>
      <c r="U45" s="39">
        <f>資料儲存!E2553</f>
        <v>0</v>
      </c>
      <c r="V45" s="39">
        <f>資料儲存!F2553</f>
        <v>0</v>
      </c>
      <c r="W45" s="39">
        <f>資料儲存!G2553</f>
        <v>0</v>
      </c>
      <c r="X45" s="39">
        <f>資料儲存!H2553</f>
        <v>0</v>
      </c>
      <c r="Y45" s="39">
        <f>資料儲存!I2553</f>
        <v>0</v>
      </c>
      <c r="Z45" s="39">
        <f>資料儲存!J2553</f>
        <v>0</v>
      </c>
      <c r="AA45" s="58"/>
      <c r="AB45" s="61">
        <v>32</v>
      </c>
      <c r="AC45" s="39">
        <f>資料儲存!D2613</f>
        <v>0</v>
      </c>
      <c r="AD45" s="39">
        <f>資料儲存!E2613</f>
        <v>0</v>
      </c>
      <c r="AE45" s="39">
        <f>資料儲存!F2613</f>
        <v>0</v>
      </c>
      <c r="AF45" s="39">
        <f>資料儲存!G2613</f>
        <v>0</v>
      </c>
      <c r="AG45" s="39">
        <f>資料儲存!H2613</f>
        <v>0</v>
      </c>
      <c r="AH45" s="39">
        <f>資料儲存!I2613</f>
        <v>0</v>
      </c>
      <c r="AI45" s="39">
        <f>資料儲存!J2613</f>
        <v>0</v>
      </c>
      <c r="AJ45" s="58"/>
    </row>
    <row r="46" spans="1:36" ht="16" thickBot="1">
      <c r="A46" s="61">
        <v>33</v>
      </c>
      <c r="B46" s="39">
        <f>資料儲存!D2434</f>
        <v>0</v>
      </c>
      <c r="C46" s="39">
        <f>資料儲存!E2434</f>
        <v>0</v>
      </c>
      <c r="D46" s="39">
        <f>資料儲存!F2434</f>
        <v>0</v>
      </c>
      <c r="E46" s="39">
        <f>資料儲存!G2434</f>
        <v>0</v>
      </c>
      <c r="F46" s="39">
        <f>資料儲存!H2434</f>
        <v>0</v>
      </c>
      <c r="G46" s="39">
        <f>資料儲存!I2434</f>
        <v>0</v>
      </c>
      <c r="H46" s="39">
        <f>資料儲存!J2434</f>
        <v>0</v>
      </c>
      <c r="I46" s="58"/>
      <c r="J46" s="61">
        <v>33</v>
      </c>
      <c r="K46" s="39">
        <f>資料儲存!D2494</f>
        <v>0</v>
      </c>
      <c r="L46" s="39">
        <f>資料儲存!E2494</f>
        <v>0</v>
      </c>
      <c r="M46" s="39">
        <f>資料儲存!F2494</f>
        <v>0</v>
      </c>
      <c r="N46" s="39">
        <f>資料儲存!G2494</f>
        <v>0</v>
      </c>
      <c r="O46" s="39">
        <f>資料儲存!H2494</f>
        <v>0</v>
      </c>
      <c r="P46" s="39">
        <f>資料儲存!I2494</f>
        <v>0</v>
      </c>
      <c r="Q46" s="39">
        <f>資料儲存!J2494</f>
        <v>0</v>
      </c>
      <c r="R46" s="58"/>
      <c r="S46" s="61">
        <v>33</v>
      </c>
      <c r="T46" s="39">
        <f>資料儲存!D2554</f>
        <v>0</v>
      </c>
      <c r="U46" s="39">
        <f>資料儲存!E2554</f>
        <v>0</v>
      </c>
      <c r="V46" s="39">
        <f>資料儲存!F2554</f>
        <v>0</v>
      </c>
      <c r="W46" s="39">
        <f>資料儲存!G2554</f>
        <v>0</v>
      </c>
      <c r="X46" s="39">
        <f>資料儲存!H2554</f>
        <v>0</v>
      </c>
      <c r="Y46" s="39">
        <f>資料儲存!I2554</f>
        <v>0</v>
      </c>
      <c r="Z46" s="39">
        <f>資料儲存!J2554</f>
        <v>0</v>
      </c>
      <c r="AA46" s="58"/>
      <c r="AB46" s="61">
        <v>33</v>
      </c>
      <c r="AC46" s="39">
        <f>資料儲存!D2614</f>
        <v>0</v>
      </c>
      <c r="AD46" s="39">
        <f>資料儲存!E2614</f>
        <v>0</v>
      </c>
      <c r="AE46" s="39">
        <f>資料儲存!F2614</f>
        <v>0</v>
      </c>
      <c r="AF46" s="39">
        <f>資料儲存!G2614</f>
        <v>0</v>
      </c>
      <c r="AG46" s="39">
        <f>資料儲存!H2614</f>
        <v>0</v>
      </c>
      <c r="AH46" s="39">
        <f>資料儲存!I2614</f>
        <v>0</v>
      </c>
      <c r="AI46" s="39">
        <f>資料儲存!J2614</f>
        <v>0</v>
      </c>
      <c r="AJ46" s="58"/>
    </row>
    <row r="47" spans="1:36" ht="16" thickBot="1">
      <c r="A47" s="61">
        <v>34</v>
      </c>
      <c r="B47" s="39">
        <f>資料儲存!D2435</f>
        <v>0</v>
      </c>
      <c r="C47" s="39">
        <f>資料儲存!E2435</f>
        <v>0</v>
      </c>
      <c r="D47" s="39">
        <f>資料儲存!F2435</f>
        <v>0</v>
      </c>
      <c r="E47" s="39">
        <f>資料儲存!G2435</f>
        <v>0</v>
      </c>
      <c r="F47" s="39">
        <f>資料儲存!H2435</f>
        <v>0</v>
      </c>
      <c r="G47" s="39">
        <f>資料儲存!I2435</f>
        <v>0</v>
      </c>
      <c r="H47" s="39">
        <f>資料儲存!J2435</f>
        <v>0</v>
      </c>
      <c r="I47" s="58"/>
      <c r="J47" s="61">
        <v>34</v>
      </c>
      <c r="K47" s="39">
        <f>資料儲存!D2495</f>
        <v>0</v>
      </c>
      <c r="L47" s="39">
        <f>資料儲存!E2495</f>
        <v>0</v>
      </c>
      <c r="M47" s="39">
        <f>資料儲存!F2495</f>
        <v>0</v>
      </c>
      <c r="N47" s="39">
        <f>資料儲存!G2495</f>
        <v>0</v>
      </c>
      <c r="O47" s="39">
        <f>資料儲存!H2495</f>
        <v>0</v>
      </c>
      <c r="P47" s="39">
        <f>資料儲存!I2495</f>
        <v>0</v>
      </c>
      <c r="Q47" s="39">
        <f>資料儲存!J2495</f>
        <v>0</v>
      </c>
      <c r="R47" s="58"/>
      <c r="S47" s="61">
        <v>34</v>
      </c>
      <c r="T47" s="39">
        <f>資料儲存!D2555</f>
        <v>0</v>
      </c>
      <c r="U47" s="39">
        <f>資料儲存!E2555</f>
        <v>0</v>
      </c>
      <c r="V47" s="39">
        <f>資料儲存!F2555</f>
        <v>0</v>
      </c>
      <c r="W47" s="39">
        <f>資料儲存!G2555</f>
        <v>0</v>
      </c>
      <c r="X47" s="39">
        <f>資料儲存!H2555</f>
        <v>0</v>
      </c>
      <c r="Y47" s="39">
        <f>資料儲存!I2555</f>
        <v>0</v>
      </c>
      <c r="Z47" s="39">
        <f>資料儲存!J2555</f>
        <v>0</v>
      </c>
      <c r="AA47" s="58"/>
      <c r="AB47" s="61">
        <v>34</v>
      </c>
      <c r="AC47" s="39">
        <f>資料儲存!D2615</f>
        <v>0</v>
      </c>
      <c r="AD47" s="39">
        <f>資料儲存!E2615</f>
        <v>0</v>
      </c>
      <c r="AE47" s="39">
        <f>資料儲存!F2615</f>
        <v>0</v>
      </c>
      <c r="AF47" s="39">
        <f>資料儲存!G2615</f>
        <v>0</v>
      </c>
      <c r="AG47" s="39">
        <f>資料儲存!H2615</f>
        <v>0</v>
      </c>
      <c r="AH47" s="39">
        <f>資料儲存!I2615</f>
        <v>0</v>
      </c>
      <c r="AI47" s="39">
        <f>資料儲存!J2615</f>
        <v>0</v>
      </c>
      <c r="AJ47" s="58"/>
    </row>
    <row r="48" spans="1:36" ht="16" thickBot="1">
      <c r="A48" s="61">
        <v>35</v>
      </c>
      <c r="B48" s="39">
        <f>資料儲存!D2436</f>
        <v>0</v>
      </c>
      <c r="C48" s="39">
        <f>資料儲存!E2436</f>
        <v>0</v>
      </c>
      <c r="D48" s="39">
        <f>資料儲存!F2436</f>
        <v>0</v>
      </c>
      <c r="E48" s="39">
        <f>資料儲存!G2436</f>
        <v>0</v>
      </c>
      <c r="F48" s="39">
        <f>資料儲存!H2436</f>
        <v>0</v>
      </c>
      <c r="G48" s="39">
        <f>資料儲存!I2436</f>
        <v>0</v>
      </c>
      <c r="H48" s="39">
        <f>資料儲存!J2436</f>
        <v>0</v>
      </c>
      <c r="I48" s="58"/>
      <c r="J48" s="61">
        <v>35</v>
      </c>
      <c r="K48" s="39">
        <f>資料儲存!D2496</f>
        <v>0</v>
      </c>
      <c r="L48" s="39">
        <f>資料儲存!E2496</f>
        <v>0</v>
      </c>
      <c r="M48" s="39">
        <f>資料儲存!F2496</f>
        <v>0</v>
      </c>
      <c r="N48" s="39">
        <f>資料儲存!G2496</f>
        <v>0</v>
      </c>
      <c r="O48" s="39">
        <f>資料儲存!H2496</f>
        <v>0</v>
      </c>
      <c r="P48" s="39">
        <f>資料儲存!I2496</f>
        <v>0</v>
      </c>
      <c r="Q48" s="39">
        <f>資料儲存!J2496</f>
        <v>0</v>
      </c>
      <c r="R48" s="58"/>
      <c r="S48" s="61">
        <v>35</v>
      </c>
      <c r="T48" s="39">
        <f>資料儲存!D2556</f>
        <v>0</v>
      </c>
      <c r="U48" s="39">
        <f>資料儲存!E2556</f>
        <v>0</v>
      </c>
      <c r="V48" s="39">
        <f>資料儲存!F2556</f>
        <v>0</v>
      </c>
      <c r="W48" s="39">
        <f>資料儲存!G2556</f>
        <v>0</v>
      </c>
      <c r="X48" s="39">
        <f>資料儲存!H2556</f>
        <v>0</v>
      </c>
      <c r="Y48" s="39">
        <f>資料儲存!I2556</f>
        <v>0</v>
      </c>
      <c r="Z48" s="39">
        <f>資料儲存!J2556</f>
        <v>0</v>
      </c>
      <c r="AA48" s="58"/>
      <c r="AB48" s="61">
        <v>35</v>
      </c>
      <c r="AC48" s="39">
        <f>資料儲存!D2616</f>
        <v>0</v>
      </c>
      <c r="AD48" s="39">
        <f>資料儲存!E2616</f>
        <v>0</v>
      </c>
      <c r="AE48" s="39">
        <f>資料儲存!F2616</f>
        <v>0</v>
      </c>
      <c r="AF48" s="39">
        <f>資料儲存!G2616</f>
        <v>0</v>
      </c>
      <c r="AG48" s="39">
        <f>資料儲存!H2616</f>
        <v>0</v>
      </c>
      <c r="AH48" s="39">
        <f>資料儲存!I2616</f>
        <v>0</v>
      </c>
      <c r="AI48" s="39">
        <f>資料儲存!J2616</f>
        <v>0</v>
      </c>
      <c r="AJ48" s="58"/>
    </row>
    <row r="49" spans="1:36" ht="16" thickBot="1">
      <c r="A49" s="61">
        <v>36</v>
      </c>
      <c r="B49" s="39">
        <f>資料儲存!D2437</f>
        <v>0</v>
      </c>
      <c r="C49" s="39">
        <f>資料儲存!E2437</f>
        <v>0</v>
      </c>
      <c r="D49" s="39">
        <f>資料儲存!F2437</f>
        <v>0</v>
      </c>
      <c r="E49" s="39">
        <f>資料儲存!G2437</f>
        <v>0</v>
      </c>
      <c r="F49" s="39">
        <f>資料儲存!H2437</f>
        <v>0</v>
      </c>
      <c r="G49" s="39">
        <f>資料儲存!I2437</f>
        <v>0</v>
      </c>
      <c r="H49" s="39">
        <f>資料儲存!J2437</f>
        <v>0</v>
      </c>
      <c r="I49" s="58"/>
      <c r="J49" s="61">
        <v>36</v>
      </c>
      <c r="K49" s="39">
        <f>資料儲存!D2497</f>
        <v>0</v>
      </c>
      <c r="L49" s="39">
        <f>資料儲存!E2497</f>
        <v>0</v>
      </c>
      <c r="M49" s="39">
        <f>資料儲存!F2497</f>
        <v>0</v>
      </c>
      <c r="N49" s="39">
        <f>資料儲存!G2497</f>
        <v>0</v>
      </c>
      <c r="O49" s="39">
        <f>資料儲存!H2497</f>
        <v>0</v>
      </c>
      <c r="P49" s="39">
        <f>資料儲存!I2497</f>
        <v>0</v>
      </c>
      <c r="Q49" s="39">
        <f>資料儲存!J2497</f>
        <v>0</v>
      </c>
      <c r="R49" s="58"/>
      <c r="S49" s="61">
        <v>36</v>
      </c>
      <c r="T49" s="39">
        <f>資料儲存!D2557</f>
        <v>0</v>
      </c>
      <c r="U49" s="39">
        <f>資料儲存!E2557</f>
        <v>0</v>
      </c>
      <c r="V49" s="39">
        <f>資料儲存!F2557</f>
        <v>0</v>
      </c>
      <c r="W49" s="39">
        <f>資料儲存!G2557</f>
        <v>0</v>
      </c>
      <c r="X49" s="39">
        <f>資料儲存!H2557</f>
        <v>0</v>
      </c>
      <c r="Y49" s="39">
        <f>資料儲存!I2557</f>
        <v>0</v>
      </c>
      <c r="Z49" s="39">
        <f>資料儲存!J2557</f>
        <v>0</v>
      </c>
      <c r="AA49" s="58"/>
      <c r="AB49" s="61">
        <v>36</v>
      </c>
      <c r="AC49" s="39">
        <f>資料儲存!D2617</f>
        <v>0</v>
      </c>
      <c r="AD49" s="39">
        <f>資料儲存!E2617</f>
        <v>0</v>
      </c>
      <c r="AE49" s="39">
        <f>資料儲存!F2617</f>
        <v>0</v>
      </c>
      <c r="AF49" s="39">
        <f>資料儲存!G2617</f>
        <v>0</v>
      </c>
      <c r="AG49" s="39">
        <f>資料儲存!H2617</f>
        <v>0</v>
      </c>
      <c r="AH49" s="39">
        <f>資料儲存!I2617</f>
        <v>0</v>
      </c>
      <c r="AI49" s="39">
        <f>資料儲存!J2617</f>
        <v>0</v>
      </c>
      <c r="AJ49" s="58"/>
    </row>
    <row r="50" spans="1:36" ht="16" thickBot="1">
      <c r="A50" s="61">
        <v>37</v>
      </c>
      <c r="B50" s="39">
        <f>資料儲存!D2438</f>
        <v>0</v>
      </c>
      <c r="C50" s="39">
        <f>資料儲存!E2438</f>
        <v>0</v>
      </c>
      <c r="D50" s="39">
        <f>資料儲存!F2438</f>
        <v>0</v>
      </c>
      <c r="E50" s="39">
        <f>資料儲存!G2438</f>
        <v>0</v>
      </c>
      <c r="F50" s="39">
        <f>資料儲存!H2438</f>
        <v>0</v>
      </c>
      <c r="G50" s="39">
        <f>資料儲存!I2438</f>
        <v>0</v>
      </c>
      <c r="H50" s="39">
        <f>資料儲存!J2438</f>
        <v>0</v>
      </c>
      <c r="I50" s="58"/>
      <c r="J50" s="61">
        <v>37</v>
      </c>
      <c r="K50" s="39">
        <f>資料儲存!D2498</f>
        <v>0</v>
      </c>
      <c r="L50" s="39">
        <f>資料儲存!E2498</f>
        <v>0</v>
      </c>
      <c r="M50" s="39">
        <f>資料儲存!F2498</f>
        <v>0</v>
      </c>
      <c r="N50" s="39">
        <f>資料儲存!G2498</f>
        <v>0</v>
      </c>
      <c r="O50" s="39">
        <f>資料儲存!H2498</f>
        <v>0</v>
      </c>
      <c r="P50" s="39">
        <f>資料儲存!I2498</f>
        <v>0</v>
      </c>
      <c r="Q50" s="39">
        <f>資料儲存!J2498</f>
        <v>0</v>
      </c>
      <c r="R50" s="58"/>
      <c r="S50" s="61">
        <v>37</v>
      </c>
      <c r="T50" s="39">
        <f>資料儲存!D2558</f>
        <v>0</v>
      </c>
      <c r="U50" s="39">
        <f>資料儲存!E2558</f>
        <v>0</v>
      </c>
      <c r="V50" s="39">
        <f>資料儲存!F2558</f>
        <v>0</v>
      </c>
      <c r="W50" s="39">
        <f>資料儲存!G2558</f>
        <v>0</v>
      </c>
      <c r="X50" s="39">
        <f>資料儲存!H2558</f>
        <v>0</v>
      </c>
      <c r="Y50" s="39">
        <f>資料儲存!I2558</f>
        <v>0</v>
      </c>
      <c r="Z50" s="39">
        <f>資料儲存!J2558</f>
        <v>0</v>
      </c>
      <c r="AA50" s="58"/>
      <c r="AB50" s="61">
        <v>37</v>
      </c>
      <c r="AC50" s="39">
        <f>資料儲存!D2618</f>
        <v>0</v>
      </c>
      <c r="AD50" s="39">
        <f>資料儲存!E2618</f>
        <v>0</v>
      </c>
      <c r="AE50" s="39">
        <f>資料儲存!F2618</f>
        <v>0</v>
      </c>
      <c r="AF50" s="39">
        <f>資料儲存!G2618</f>
        <v>0</v>
      </c>
      <c r="AG50" s="39">
        <f>資料儲存!H2618</f>
        <v>0</v>
      </c>
      <c r="AH50" s="39">
        <f>資料儲存!I2618</f>
        <v>0</v>
      </c>
      <c r="AI50" s="39">
        <f>資料儲存!J2618</f>
        <v>0</v>
      </c>
      <c r="AJ50" s="58"/>
    </row>
    <row r="51" spans="1:36" ht="16" thickBot="1">
      <c r="A51" s="61">
        <v>38</v>
      </c>
      <c r="B51" s="39">
        <f>資料儲存!D2439</f>
        <v>0</v>
      </c>
      <c r="C51" s="39">
        <f>資料儲存!E2439</f>
        <v>0</v>
      </c>
      <c r="D51" s="39">
        <f>資料儲存!F2439</f>
        <v>0</v>
      </c>
      <c r="E51" s="39">
        <f>資料儲存!G2439</f>
        <v>0</v>
      </c>
      <c r="F51" s="39">
        <f>資料儲存!H2439</f>
        <v>0</v>
      </c>
      <c r="G51" s="39">
        <f>資料儲存!I2439</f>
        <v>0</v>
      </c>
      <c r="H51" s="39">
        <f>資料儲存!J2439</f>
        <v>0</v>
      </c>
      <c r="I51" s="58"/>
      <c r="J51" s="61">
        <v>38</v>
      </c>
      <c r="K51" s="39">
        <f>資料儲存!D2499</f>
        <v>0</v>
      </c>
      <c r="L51" s="39">
        <f>資料儲存!E2499</f>
        <v>0</v>
      </c>
      <c r="M51" s="39">
        <f>資料儲存!F2499</f>
        <v>0</v>
      </c>
      <c r="N51" s="39">
        <f>資料儲存!G2499</f>
        <v>0</v>
      </c>
      <c r="O51" s="39">
        <f>資料儲存!H2499</f>
        <v>0</v>
      </c>
      <c r="P51" s="39">
        <f>資料儲存!I2499</f>
        <v>0</v>
      </c>
      <c r="Q51" s="39">
        <f>資料儲存!J2499</f>
        <v>0</v>
      </c>
      <c r="R51" s="58"/>
      <c r="S51" s="61">
        <v>38</v>
      </c>
      <c r="T51" s="39">
        <f>資料儲存!D2559</f>
        <v>0</v>
      </c>
      <c r="U51" s="39">
        <f>資料儲存!E2559</f>
        <v>0</v>
      </c>
      <c r="V51" s="39">
        <f>資料儲存!F2559</f>
        <v>0</v>
      </c>
      <c r="W51" s="39">
        <f>資料儲存!G2559</f>
        <v>0</v>
      </c>
      <c r="X51" s="39">
        <f>資料儲存!H2559</f>
        <v>0</v>
      </c>
      <c r="Y51" s="39">
        <f>資料儲存!I2559</f>
        <v>0</v>
      </c>
      <c r="Z51" s="39">
        <f>資料儲存!J2559</f>
        <v>0</v>
      </c>
      <c r="AA51" s="58"/>
      <c r="AB51" s="61">
        <v>38</v>
      </c>
      <c r="AC51" s="39">
        <f>資料儲存!D2619</f>
        <v>0</v>
      </c>
      <c r="AD51" s="39">
        <f>資料儲存!E2619</f>
        <v>0</v>
      </c>
      <c r="AE51" s="39">
        <f>資料儲存!F2619</f>
        <v>0</v>
      </c>
      <c r="AF51" s="39">
        <f>資料儲存!G2619</f>
        <v>0</v>
      </c>
      <c r="AG51" s="39">
        <f>資料儲存!H2619</f>
        <v>0</v>
      </c>
      <c r="AH51" s="39">
        <f>資料儲存!I2619</f>
        <v>0</v>
      </c>
      <c r="AI51" s="39">
        <f>資料儲存!J2619</f>
        <v>0</v>
      </c>
      <c r="AJ51" s="58"/>
    </row>
    <row r="52" spans="1:36" ht="16" thickBot="1">
      <c r="A52" s="61">
        <v>39</v>
      </c>
      <c r="B52" s="39">
        <f>資料儲存!D2440</f>
        <v>0</v>
      </c>
      <c r="C52" s="39">
        <f>資料儲存!E2440</f>
        <v>0</v>
      </c>
      <c r="D52" s="39">
        <f>資料儲存!F2440</f>
        <v>0</v>
      </c>
      <c r="E52" s="39">
        <f>資料儲存!G2440</f>
        <v>0</v>
      </c>
      <c r="F52" s="39">
        <f>資料儲存!H2440</f>
        <v>0</v>
      </c>
      <c r="G52" s="39">
        <f>資料儲存!I2440</f>
        <v>0</v>
      </c>
      <c r="H52" s="39">
        <f>資料儲存!J2440</f>
        <v>0</v>
      </c>
      <c r="I52" s="58"/>
      <c r="J52" s="61">
        <v>39</v>
      </c>
      <c r="K52" s="39">
        <f>資料儲存!D2500</f>
        <v>0</v>
      </c>
      <c r="L52" s="39">
        <f>資料儲存!E2500</f>
        <v>0</v>
      </c>
      <c r="M52" s="39">
        <f>資料儲存!F2500</f>
        <v>0</v>
      </c>
      <c r="N52" s="39">
        <f>資料儲存!G2500</f>
        <v>0</v>
      </c>
      <c r="O52" s="39">
        <f>資料儲存!H2500</f>
        <v>0</v>
      </c>
      <c r="P52" s="39">
        <f>資料儲存!I2500</f>
        <v>0</v>
      </c>
      <c r="Q52" s="39">
        <f>資料儲存!J2500</f>
        <v>0</v>
      </c>
      <c r="R52" s="58"/>
      <c r="S52" s="61">
        <v>39</v>
      </c>
      <c r="T52" s="39">
        <f>資料儲存!D2560</f>
        <v>0</v>
      </c>
      <c r="U52" s="39">
        <f>資料儲存!E2560</f>
        <v>0</v>
      </c>
      <c r="V52" s="39">
        <f>資料儲存!F2560</f>
        <v>0</v>
      </c>
      <c r="W52" s="39">
        <f>資料儲存!G2560</f>
        <v>0</v>
      </c>
      <c r="X52" s="39">
        <f>資料儲存!H2560</f>
        <v>0</v>
      </c>
      <c r="Y52" s="39">
        <f>資料儲存!I2560</f>
        <v>0</v>
      </c>
      <c r="Z52" s="39">
        <f>資料儲存!J2560</f>
        <v>0</v>
      </c>
      <c r="AA52" s="58"/>
      <c r="AB52" s="61">
        <v>39</v>
      </c>
      <c r="AC52" s="39">
        <f>資料儲存!D2620</f>
        <v>0</v>
      </c>
      <c r="AD52" s="39">
        <f>資料儲存!E2620</f>
        <v>0</v>
      </c>
      <c r="AE52" s="39">
        <f>資料儲存!F2620</f>
        <v>0</v>
      </c>
      <c r="AF52" s="39">
        <f>資料儲存!G2620</f>
        <v>0</v>
      </c>
      <c r="AG52" s="39">
        <f>資料儲存!H2620</f>
        <v>0</v>
      </c>
      <c r="AH52" s="39">
        <f>資料儲存!I2620</f>
        <v>0</v>
      </c>
      <c r="AI52" s="39">
        <f>資料儲存!J2620</f>
        <v>0</v>
      </c>
      <c r="AJ52" s="58"/>
    </row>
    <row r="53" spans="1:36" ht="16" thickBot="1">
      <c r="A53" s="61">
        <v>40</v>
      </c>
      <c r="B53" s="39">
        <f>資料儲存!D2441</f>
        <v>0</v>
      </c>
      <c r="C53" s="39">
        <f>資料儲存!E2441</f>
        <v>0</v>
      </c>
      <c r="D53" s="39">
        <f>資料儲存!F2441</f>
        <v>0</v>
      </c>
      <c r="E53" s="39">
        <f>資料儲存!G2441</f>
        <v>0</v>
      </c>
      <c r="F53" s="39">
        <f>資料儲存!H2441</f>
        <v>0</v>
      </c>
      <c r="G53" s="39">
        <f>資料儲存!I2441</f>
        <v>0</v>
      </c>
      <c r="H53" s="39">
        <f>資料儲存!J2441</f>
        <v>0</v>
      </c>
      <c r="I53" s="58"/>
      <c r="J53" s="61">
        <v>40</v>
      </c>
      <c r="K53" s="39">
        <f>資料儲存!D2501</f>
        <v>0</v>
      </c>
      <c r="L53" s="39">
        <f>資料儲存!E2501</f>
        <v>0</v>
      </c>
      <c r="M53" s="39">
        <f>資料儲存!F2501</f>
        <v>0</v>
      </c>
      <c r="N53" s="39">
        <f>資料儲存!G2501</f>
        <v>0</v>
      </c>
      <c r="O53" s="39">
        <f>資料儲存!H2501</f>
        <v>0</v>
      </c>
      <c r="P53" s="39">
        <f>資料儲存!I2501</f>
        <v>0</v>
      </c>
      <c r="Q53" s="39">
        <f>資料儲存!J2501</f>
        <v>0</v>
      </c>
      <c r="R53" s="58"/>
      <c r="S53" s="61">
        <v>40</v>
      </c>
      <c r="T53" s="39">
        <f>資料儲存!D2561</f>
        <v>0</v>
      </c>
      <c r="U53" s="39">
        <f>資料儲存!E2561</f>
        <v>0</v>
      </c>
      <c r="V53" s="39">
        <f>資料儲存!F2561</f>
        <v>0</v>
      </c>
      <c r="W53" s="39">
        <f>資料儲存!G2561</f>
        <v>0</v>
      </c>
      <c r="X53" s="39">
        <f>資料儲存!H2561</f>
        <v>0</v>
      </c>
      <c r="Y53" s="39">
        <f>資料儲存!I2561</f>
        <v>0</v>
      </c>
      <c r="Z53" s="39">
        <f>資料儲存!J2561</f>
        <v>0</v>
      </c>
      <c r="AA53" s="58"/>
      <c r="AB53" s="61">
        <v>40</v>
      </c>
      <c r="AC53" s="39">
        <f>資料儲存!D2621</f>
        <v>0</v>
      </c>
      <c r="AD53" s="39">
        <f>資料儲存!E2621</f>
        <v>0</v>
      </c>
      <c r="AE53" s="39">
        <f>資料儲存!F2621</f>
        <v>0</v>
      </c>
      <c r="AF53" s="39">
        <f>資料儲存!G2621</f>
        <v>0</v>
      </c>
      <c r="AG53" s="39">
        <f>資料儲存!H2621</f>
        <v>0</v>
      </c>
      <c r="AH53" s="39">
        <f>資料儲存!I2621</f>
        <v>0</v>
      </c>
      <c r="AI53" s="39">
        <f>資料儲存!J2621</f>
        <v>0</v>
      </c>
      <c r="AJ53" s="58"/>
    </row>
    <row r="54" spans="1:36" ht="16" thickBot="1">
      <c r="A54" s="61">
        <v>41</v>
      </c>
      <c r="B54" s="39">
        <f>資料儲存!D2442</f>
        <v>0</v>
      </c>
      <c r="C54" s="39">
        <f>資料儲存!E2442</f>
        <v>0</v>
      </c>
      <c r="D54" s="39">
        <f>資料儲存!F2442</f>
        <v>0</v>
      </c>
      <c r="E54" s="39">
        <f>資料儲存!G2442</f>
        <v>0</v>
      </c>
      <c r="F54" s="39">
        <f>資料儲存!H2442</f>
        <v>0</v>
      </c>
      <c r="G54" s="39">
        <f>資料儲存!I2442</f>
        <v>0</v>
      </c>
      <c r="H54" s="39">
        <f>資料儲存!J2442</f>
        <v>0</v>
      </c>
      <c r="I54" s="58"/>
      <c r="J54" s="61">
        <v>41</v>
      </c>
      <c r="K54" s="39">
        <f>資料儲存!D2502</f>
        <v>0</v>
      </c>
      <c r="L54" s="39">
        <f>資料儲存!E2502</f>
        <v>0</v>
      </c>
      <c r="M54" s="39">
        <f>資料儲存!F2502</f>
        <v>0</v>
      </c>
      <c r="N54" s="39">
        <f>資料儲存!G2502</f>
        <v>0</v>
      </c>
      <c r="O54" s="39">
        <f>資料儲存!H2502</f>
        <v>0</v>
      </c>
      <c r="P54" s="39">
        <f>資料儲存!I2502</f>
        <v>0</v>
      </c>
      <c r="Q54" s="39">
        <f>資料儲存!J2502</f>
        <v>0</v>
      </c>
      <c r="R54" s="58"/>
      <c r="S54" s="61">
        <v>41</v>
      </c>
      <c r="T54" s="39">
        <f>資料儲存!D2562</f>
        <v>0</v>
      </c>
      <c r="U54" s="39">
        <f>資料儲存!E2562</f>
        <v>0</v>
      </c>
      <c r="V54" s="39">
        <f>資料儲存!F2562</f>
        <v>0</v>
      </c>
      <c r="W54" s="39">
        <f>資料儲存!G2562</f>
        <v>0</v>
      </c>
      <c r="X54" s="39">
        <f>資料儲存!H2562</f>
        <v>0</v>
      </c>
      <c r="Y54" s="39">
        <f>資料儲存!I2562</f>
        <v>0</v>
      </c>
      <c r="Z54" s="39">
        <f>資料儲存!J2562</f>
        <v>0</v>
      </c>
      <c r="AA54" s="58"/>
      <c r="AB54" s="61">
        <v>41</v>
      </c>
      <c r="AC54" s="39">
        <f>資料儲存!D2622</f>
        <v>0</v>
      </c>
      <c r="AD54" s="39">
        <f>資料儲存!E2622</f>
        <v>0</v>
      </c>
      <c r="AE54" s="39">
        <f>資料儲存!F2622</f>
        <v>0</v>
      </c>
      <c r="AF54" s="39">
        <f>資料儲存!G2622</f>
        <v>0</v>
      </c>
      <c r="AG54" s="39">
        <f>資料儲存!H2622</f>
        <v>0</v>
      </c>
      <c r="AH54" s="39">
        <f>資料儲存!I2622</f>
        <v>0</v>
      </c>
      <c r="AI54" s="39">
        <f>資料儲存!J2622</f>
        <v>0</v>
      </c>
      <c r="AJ54" s="58"/>
    </row>
    <row r="55" spans="1:36" ht="16" thickBot="1">
      <c r="A55" s="61">
        <v>42</v>
      </c>
      <c r="B55" s="39">
        <f>資料儲存!D2443</f>
        <v>0</v>
      </c>
      <c r="C55" s="39">
        <f>資料儲存!E2443</f>
        <v>0</v>
      </c>
      <c r="D55" s="39">
        <f>資料儲存!F2443</f>
        <v>0</v>
      </c>
      <c r="E55" s="39">
        <f>資料儲存!G2443</f>
        <v>0</v>
      </c>
      <c r="F55" s="39">
        <f>資料儲存!H2443</f>
        <v>0</v>
      </c>
      <c r="G55" s="39">
        <f>資料儲存!I2443</f>
        <v>0</v>
      </c>
      <c r="H55" s="39">
        <f>資料儲存!J2443</f>
        <v>0</v>
      </c>
      <c r="I55" s="58"/>
      <c r="J55" s="61">
        <v>42</v>
      </c>
      <c r="K55" s="39">
        <f>資料儲存!D2503</f>
        <v>0</v>
      </c>
      <c r="L55" s="39">
        <f>資料儲存!E2503</f>
        <v>0</v>
      </c>
      <c r="M55" s="39">
        <f>資料儲存!F2503</f>
        <v>0</v>
      </c>
      <c r="N55" s="39">
        <f>資料儲存!G2503</f>
        <v>0</v>
      </c>
      <c r="O55" s="39">
        <f>資料儲存!H2503</f>
        <v>0</v>
      </c>
      <c r="P55" s="39">
        <f>資料儲存!I2503</f>
        <v>0</v>
      </c>
      <c r="Q55" s="39">
        <f>資料儲存!J2503</f>
        <v>0</v>
      </c>
      <c r="R55" s="58"/>
      <c r="S55" s="61">
        <v>42</v>
      </c>
      <c r="T55" s="39">
        <f>資料儲存!D2563</f>
        <v>0</v>
      </c>
      <c r="U55" s="39">
        <f>資料儲存!E2563</f>
        <v>0</v>
      </c>
      <c r="V55" s="39">
        <f>資料儲存!F2563</f>
        <v>0</v>
      </c>
      <c r="W55" s="39">
        <f>資料儲存!G2563</f>
        <v>0</v>
      </c>
      <c r="X55" s="39">
        <f>資料儲存!H2563</f>
        <v>0</v>
      </c>
      <c r="Y55" s="39">
        <f>資料儲存!I2563</f>
        <v>0</v>
      </c>
      <c r="Z55" s="39">
        <f>資料儲存!J2563</f>
        <v>0</v>
      </c>
      <c r="AA55" s="58"/>
      <c r="AB55" s="61">
        <v>42</v>
      </c>
      <c r="AC55" s="39">
        <f>資料儲存!D2623</f>
        <v>0</v>
      </c>
      <c r="AD55" s="39">
        <f>資料儲存!E2623</f>
        <v>0</v>
      </c>
      <c r="AE55" s="39">
        <f>資料儲存!F2623</f>
        <v>0</v>
      </c>
      <c r="AF55" s="39">
        <f>資料儲存!G2623</f>
        <v>0</v>
      </c>
      <c r="AG55" s="39">
        <f>資料儲存!H2623</f>
        <v>0</v>
      </c>
      <c r="AH55" s="39">
        <f>資料儲存!I2623</f>
        <v>0</v>
      </c>
      <c r="AI55" s="39">
        <f>資料儲存!J2623</f>
        <v>0</v>
      </c>
      <c r="AJ55" s="58"/>
    </row>
    <row r="56" spans="1:36" ht="16" thickBot="1">
      <c r="A56" s="61">
        <v>43</v>
      </c>
      <c r="B56" s="39">
        <f>資料儲存!D2444</f>
        <v>0</v>
      </c>
      <c r="C56" s="39">
        <f>資料儲存!E2444</f>
        <v>0</v>
      </c>
      <c r="D56" s="39">
        <f>資料儲存!F2444</f>
        <v>0</v>
      </c>
      <c r="E56" s="39">
        <f>資料儲存!G2444</f>
        <v>0</v>
      </c>
      <c r="F56" s="39">
        <f>資料儲存!H2444</f>
        <v>0</v>
      </c>
      <c r="G56" s="39">
        <f>資料儲存!I2444</f>
        <v>0</v>
      </c>
      <c r="H56" s="39">
        <f>資料儲存!J2444</f>
        <v>0</v>
      </c>
      <c r="I56" s="58"/>
      <c r="J56" s="61">
        <v>43</v>
      </c>
      <c r="K56" s="39">
        <f>資料儲存!D2504</f>
        <v>0</v>
      </c>
      <c r="L56" s="39">
        <f>資料儲存!E2504</f>
        <v>0</v>
      </c>
      <c r="M56" s="39">
        <f>資料儲存!F2504</f>
        <v>0</v>
      </c>
      <c r="N56" s="39">
        <f>資料儲存!G2504</f>
        <v>0</v>
      </c>
      <c r="O56" s="39">
        <f>資料儲存!H2504</f>
        <v>0</v>
      </c>
      <c r="P56" s="39">
        <f>資料儲存!I2504</f>
        <v>0</v>
      </c>
      <c r="Q56" s="39">
        <f>資料儲存!J2504</f>
        <v>0</v>
      </c>
      <c r="R56" s="58"/>
      <c r="S56" s="61">
        <v>43</v>
      </c>
      <c r="T56" s="39">
        <f>資料儲存!D2564</f>
        <v>0</v>
      </c>
      <c r="U56" s="39">
        <f>資料儲存!E2564</f>
        <v>0</v>
      </c>
      <c r="V56" s="39">
        <f>資料儲存!F2564</f>
        <v>0</v>
      </c>
      <c r="W56" s="39">
        <f>資料儲存!G2564</f>
        <v>0</v>
      </c>
      <c r="X56" s="39">
        <f>資料儲存!H2564</f>
        <v>0</v>
      </c>
      <c r="Y56" s="39">
        <f>資料儲存!I2564</f>
        <v>0</v>
      </c>
      <c r="Z56" s="39">
        <f>資料儲存!J2564</f>
        <v>0</v>
      </c>
      <c r="AA56" s="58"/>
      <c r="AB56" s="61">
        <v>43</v>
      </c>
      <c r="AC56" s="39">
        <f>資料儲存!D2624</f>
        <v>0</v>
      </c>
      <c r="AD56" s="39">
        <f>資料儲存!E2624</f>
        <v>0</v>
      </c>
      <c r="AE56" s="39">
        <f>資料儲存!F2624</f>
        <v>0</v>
      </c>
      <c r="AF56" s="39">
        <f>資料儲存!G2624</f>
        <v>0</v>
      </c>
      <c r="AG56" s="39">
        <f>資料儲存!H2624</f>
        <v>0</v>
      </c>
      <c r="AH56" s="39">
        <f>資料儲存!I2624</f>
        <v>0</v>
      </c>
      <c r="AI56" s="39">
        <f>資料儲存!J2624</f>
        <v>0</v>
      </c>
      <c r="AJ56" s="58"/>
    </row>
    <row r="57" spans="1:36" ht="16" thickBot="1">
      <c r="A57" s="61">
        <v>44</v>
      </c>
      <c r="B57" s="39">
        <f>資料儲存!D2445</f>
        <v>0</v>
      </c>
      <c r="C57" s="39">
        <f>資料儲存!E2445</f>
        <v>0</v>
      </c>
      <c r="D57" s="39">
        <f>資料儲存!F2445</f>
        <v>0</v>
      </c>
      <c r="E57" s="39">
        <f>資料儲存!G2445</f>
        <v>0</v>
      </c>
      <c r="F57" s="39">
        <f>資料儲存!H2445</f>
        <v>0</v>
      </c>
      <c r="G57" s="39">
        <f>資料儲存!I2445</f>
        <v>0</v>
      </c>
      <c r="H57" s="39">
        <f>資料儲存!J2445</f>
        <v>0</v>
      </c>
      <c r="I57" s="58"/>
      <c r="J57" s="61">
        <v>44</v>
      </c>
      <c r="K57" s="39">
        <f>資料儲存!D2505</f>
        <v>0</v>
      </c>
      <c r="L57" s="39">
        <f>資料儲存!E2505</f>
        <v>0</v>
      </c>
      <c r="M57" s="39">
        <f>資料儲存!F2505</f>
        <v>0</v>
      </c>
      <c r="N57" s="39">
        <f>資料儲存!G2505</f>
        <v>0</v>
      </c>
      <c r="O57" s="39">
        <f>資料儲存!H2505</f>
        <v>0</v>
      </c>
      <c r="P57" s="39">
        <f>資料儲存!I2505</f>
        <v>0</v>
      </c>
      <c r="Q57" s="39">
        <f>資料儲存!J2505</f>
        <v>0</v>
      </c>
      <c r="R57" s="58"/>
      <c r="S57" s="61">
        <v>44</v>
      </c>
      <c r="T57" s="39">
        <f>資料儲存!D2565</f>
        <v>0</v>
      </c>
      <c r="U57" s="39">
        <f>資料儲存!E2565</f>
        <v>0</v>
      </c>
      <c r="V57" s="39">
        <f>資料儲存!F2565</f>
        <v>0</v>
      </c>
      <c r="W57" s="39">
        <f>資料儲存!G2565</f>
        <v>0</v>
      </c>
      <c r="X57" s="39">
        <f>資料儲存!H2565</f>
        <v>0</v>
      </c>
      <c r="Y57" s="39">
        <f>資料儲存!I2565</f>
        <v>0</v>
      </c>
      <c r="Z57" s="39">
        <f>資料儲存!J2565</f>
        <v>0</v>
      </c>
      <c r="AA57" s="58"/>
      <c r="AB57" s="61">
        <v>44</v>
      </c>
      <c r="AC57" s="39">
        <f>資料儲存!D2625</f>
        <v>0</v>
      </c>
      <c r="AD57" s="39">
        <f>資料儲存!E2625</f>
        <v>0</v>
      </c>
      <c r="AE57" s="39">
        <f>資料儲存!F2625</f>
        <v>0</v>
      </c>
      <c r="AF57" s="39">
        <f>資料儲存!G2625</f>
        <v>0</v>
      </c>
      <c r="AG57" s="39">
        <f>資料儲存!H2625</f>
        <v>0</v>
      </c>
      <c r="AH57" s="39">
        <f>資料儲存!I2625</f>
        <v>0</v>
      </c>
      <c r="AI57" s="39">
        <f>資料儲存!J2625</f>
        <v>0</v>
      </c>
      <c r="AJ57" s="58"/>
    </row>
    <row r="58" spans="1:36" ht="16" thickBot="1">
      <c r="A58" s="61">
        <v>45</v>
      </c>
      <c r="B58" s="39">
        <f>資料儲存!D2446</f>
        <v>0</v>
      </c>
      <c r="C58" s="39">
        <f>資料儲存!E2446</f>
        <v>0</v>
      </c>
      <c r="D58" s="39">
        <f>資料儲存!F2446</f>
        <v>0</v>
      </c>
      <c r="E58" s="39">
        <f>資料儲存!G2446</f>
        <v>0</v>
      </c>
      <c r="F58" s="39">
        <f>資料儲存!H2446</f>
        <v>0</v>
      </c>
      <c r="G58" s="39">
        <f>資料儲存!I2446</f>
        <v>0</v>
      </c>
      <c r="H58" s="39">
        <f>資料儲存!J2446</f>
        <v>0</v>
      </c>
      <c r="I58" s="58"/>
      <c r="J58" s="61">
        <v>45</v>
      </c>
      <c r="K58" s="39">
        <f>資料儲存!D2506</f>
        <v>0</v>
      </c>
      <c r="L58" s="39">
        <f>資料儲存!E2506</f>
        <v>0</v>
      </c>
      <c r="M58" s="39">
        <f>資料儲存!F2506</f>
        <v>0</v>
      </c>
      <c r="N58" s="39">
        <f>資料儲存!G2506</f>
        <v>0</v>
      </c>
      <c r="O58" s="39">
        <f>資料儲存!H2506</f>
        <v>0</v>
      </c>
      <c r="P58" s="39">
        <f>資料儲存!I2506</f>
        <v>0</v>
      </c>
      <c r="Q58" s="39">
        <f>資料儲存!J2506</f>
        <v>0</v>
      </c>
      <c r="R58" s="58"/>
      <c r="S58" s="61">
        <v>45</v>
      </c>
      <c r="T58" s="39">
        <f>資料儲存!D2566</f>
        <v>0</v>
      </c>
      <c r="U58" s="39">
        <f>資料儲存!E2566</f>
        <v>0</v>
      </c>
      <c r="V58" s="39">
        <f>資料儲存!F2566</f>
        <v>0</v>
      </c>
      <c r="W58" s="39">
        <f>資料儲存!G2566</f>
        <v>0</v>
      </c>
      <c r="X58" s="39">
        <f>資料儲存!H2566</f>
        <v>0</v>
      </c>
      <c r="Y58" s="39">
        <f>資料儲存!I2566</f>
        <v>0</v>
      </c>
      <c r="Z58" s="39">
        <f>資料儲存!J2566</f>
        <v>0</v>
      </c>
      <c r="AA58" s="58"/>
      <c r="AB58" s="61">
        <v>45</v>
      </c>
      <c r="AC58" s="39">
        <f>資料儲存!D2626</f>
        <v>0</v>
      </c>
      <c r="AD58" s="39">
        <f>資料儲存!E2626</f>
        <v>0</v>
      </c>
      <c r="AE58" s="39">
        <f>資料儲存!F2626</f>
        <v>0</v>
      </c>
      <c r="AF58" s="39">
        <f>資料儲存!G2626</f>
        <v>0</v>
      </c>
      <c r="AG58" s="39">
        <f>資料儲存!H2626</f>
        <v>0</v>
      </c>
      <c r="AH58" s="39">
        <f>資料儲存!I2626</f>
        <v>0</v>
      </c>
      <c r="AI58" s="39">
        <f>資料儲存!J2626</f>
        <v>0</v>
      </c>
      <c r="AJ58" s="58"/>
    </row>
    <row r="59" spans="1:36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</row>
    <row r="60" spans="1:36" ht="18.5" thickBot="1">
      <c r="A60" s="259" t="s">
        <v>94</v>
      </c>
      <c r="B60" s="260"/>
      <c r="C60" s="260"/>
      <c r="D60" s="260"/>
      <c r="E60" s="260"/>
      <c r="F60" s="260"/>
      <c r="G60" s="260"/>
      <c r="H60" s="261"/>
      <c r="I60" s="14"/>
      <c r="J60" s="259" t="s">
        <v>94</v>
      </c>
      <c r="K60" s="260"/>
      <c r="L60" s="260"/>
      <c r="M60" s="260"/>
      <c r="N60" s="260"/>
      <c r="O60" s="260"/>
      <c r="P60" s="260"/>
      <c r="Q60" s="261"/>
      <c r="R60" s="14"/>
      <c r="S60" s="259" t="s">
        <v>94</v>
      </c>
      <c r="T60" s="260"/>
      <c r="U60" s="260"/>
      <c r="V60" s="260"/>
      <c r="W60" s="260"/>
      <c r="X60" s="260"/>
      <c r="Y60" s="260"/>
      <c r="Z60" s="261"/>
      <c r="AA60" s="14"/>
      <c r="AB60" s="259" t="s">
        <v>94</v>
      </c>
      <c r="AC60" s="260"/>
      <c r="AD60" s="260"/>
      <c r="AE60" s="260"/>
      <c r="AF60" s="260"/>
      <c r="AG60" s="260"/>
      <c r="AH60" s="260"/>
      <c r="AI60" s="261"/>
      <c r="AJ60" s="14"/>
    </row>
    <row r="61" spans="1:36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</row>
    <row r="62" spans="1:36" ht="16" thickBot="1">
      <c r="A62" s="66">
        <v>0.48958333333333331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>
        <v>0.48958333333333331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>
        <v>0.48958333333333331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>
        <v>0.48958333333333331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</row>
    <row r="63" spans="1:36" ht="16" thickBot="1">
      <c r="A63" s="68">
        <v>46</v>
      </c>
      <c r="B63" s="49">
        <f>資料儲存!D2447</f>
        <v>0</v>
      </c>
      <c r="C63" s="49">
        <f>資料儲存!E2447</f>
        <v>0</v>
      </c>
      <c r="D63" s="49">
        <f>資料儲存!F2447</f>
        <v>0</v>
      </c>
      <c r="E63" s="49">
        <f>資料儲存!G2447</f>
        <v>0</v>
      </c>
      <c r="F63" s="49">
        <f>資料儲存!H2447</f>
        <v>0</v>
      </c>
      <c r="G63" s="49">
        <f>資料儲存!I2447</f>
        <v>0</v>
      </c>
      <c r="H63" s="49">
        <f>資料儲存!J2447</f>
        <v>0</v>
      </c>
      <c r="I63" s="52"/>
      <c r="J63" s="68">
        <v>46</v>
      </c>
      <c r="K63" s="49">
        <f>資料儲存!D2507</f>
        <v>0</v>
      </c>
      <c r="L63" s="49">
        <f>資料儲存!E2507</f>
        <v>0</v>
      </c>
      <c r="M63" s="49">
        <f>資料儲存!F2507</f>
        <v>0</v>
      </c>
      <c r="N63" s="49">
        <f>資料儲存!G2507</f>
        <v>0</v>
      </c>
      <c r="O63" s="49">
        <f>資料儲存!H2507</f>
        <v>0</v>
      </c>
      <c r="P63" s="49">
        <f>資料儲存!I2507</f>
        <v>0</v>
      </c>
      <c r="Q63" s="49">
        <f>資料儲存!J2507</f>
        <v>0</v>
      </c>
      <c r="R63" s="52"/>
      <c r="S63" s="68">
        <v>46</v>
      </c>
      <c r="T63" s="49">
        <f>資料儲存!D2567</f>
        <v>0</v>
      </c>
      <c r="U63" s="49">
        <f>資料儲存!E2567</f>
        <v>0</v>
      </c>
      <c r="V63" s="49">
        <f>資料儲存!F2567</f>
        <v>0</v>
      </c>
      <c r="W63" s="49">
        <f>資料儲存!G2567</f>
        <v>0</v>
      </c>
      <c r="X63" s="49">
        <f>資料儲存!H2567</f>
        <v>0</v>
      </c>
      <c r="Y63" s="49">
        <f>資料儲存!I2567</f>
        <v>0</v>
      </c>
      <c r="Z63" s="49">
        <f>資料儲存!J2567</f>
        <v>0</v>
      </c>
      <c r="AA63" s="52"/>
      <c r="AB63" s="68">
        <v>46</v>
      </c>
      <c r="AC63" s="49">
        <f>資料儲存!D2627</f>
        <v>0</v>
      </c>
      <c r="AD63" s="49">
        <f>資料儲存!E2627</f>
        <v>0</v>
      </c>
      <c r="AE63" s="49">
        <f>資料儲存!F2627</f>
        <v>0</v>
      </c>
      <c r="AF63" s="49">
        <f>資料儲存!G2627</f>
        <v>0</v>
      </c>
      <c r="AG63" s="49">
        <f>資料儲存!H2627</f>
        <v>0</v>
      </c>
      <c r="AH63" s="49">
        <f>資料儲存!I2627</f>
        <v>0</v>
      </c>
      <c r="AI63" s="49">
        <f>資料儲存!J2627</f>
        <v>0</v>
      </c>
      <c r="AJ63" s="52"/>
    </row>
    <row r="64" spans="1:36" ht="16" thickBot="1">
      <c r="A64" s="68">
        <v>47</v>
      </c>
      <c r="B64" s="49">
        <f>資料儲存!D2448</f>
        <v>0</v>
      </c>
      <c r="C64" s="49">
        <f>資料儲存!E2448</f>
        <v>0</v>
      </c>
      <c r="D64" s="49">
        <f>資料儲存!F2448</f>
        <v>0</v>
      </c>
      <c r="E64" s="49">
        <f>資料儲存!G2448</f>
        <v>0</v>
      </c>
      <c r="F64" s="49">
        <f>資料儲存!H2448</f>
        <v>0</v>
      </c>
      <c r="G64" s="49">
        <f>資料儲存!I2448</f>
        <v>0</v>
      </c>
      <c r="H64" s="49">
        <f>資料儲存!J2448</f>
        <v>0</v>
      </c>
      <c r="I64" s="52"/>
      <c r="J64" s="68">
        <v>47</v>
      </c>
      <c r="K64" s="49">
        <f>資料儲存!D2508</f>
        <v>0</v>
      </c>
      <c r="L64" s="49">
        <f>資料儲存!E2508</f>
        <v>0</v>
      </c>
      <c r="M64" s="49">
        <f>資料儲存!F2508</f>
        <v>0</v>
      </c>
      <c r="N64" s="49">
        <f>資料儲存!G2508</f>
        <v>0</v>
      </c>
      <c r="O64" s="49">
        <f>資料儲存!H2508</f>
        <v>0</v>
      </c>
      <c r="P64" s="49">
        <f>資料儲存!I2508</f>
        <v>0</v>
      </c>
      <c r="Q64" s="49">
        <f>資料儲存!J2508</f>
        <v>0</v>
      </c>
      <c r="R64" s="52"/>
      <c r="S64" s="68">
        <v>47</v>
      </c>
      <c r="T64" s="49">
        <f>資料儲存!D2568</f>
        <v>0</v>
      </c>
      <c r="U64" s="49">
        <f>資料儲存!E2568</f>
        <v>0</v>
      </c>
      <c r="V64" s="49">
        <f>資料儲存!F2568</f>
        <v>0</v>
      </c>
      <c r="W64" s="49">
        <f>資料儲存!G2568</f>
        <v>0</v>
      </c>
      <c r="X64" s="49">
        <f>資料儲存!H2568</f>
        <v>0</v>
      </c>
      <c r="Y64" s="49">
        <f>資料儲存!I2568</f>
        <v>0</v>
      </c>
      <c r="Z64" s="49">
        <f>資料儲存!J2568</f>
        <v>0</v>
      </c>
      <c r="AA64" s="52"/>
      <c r="AB64" s="68">
        <v>47</v>
      </c>
      <c r="AC64" s="49">
        <f>資料儲存!D2628</f>
        <v>0</v>
      </c>
      <c r="AD64" s="49">
        <f>資料儲存!E2628</f>
        <v>0</v>
      </c>
      <c r="AE64" s="49">
        <f>資料儲存!F2628</f>
        <v>0</v>
      </c>
      <c r="AF64" s="49">
        <f>資料儲存!G2628</f>
        <v>0</v>
      </c>
      <c r="AG64" s="49">
        <f>資料儲存!H2628</f>
        <v>0</v>
      </c>
      <c r="AH64" s="49">
        <f>資料儲存!I2628</f>
        <v>0</v>
      </c>
      <c r="AI64" s="49">
        <f>資料儲存!J2628</f>
        <v>0</v>
      </c>
      <c r="AJ64" s="52"/>
    </row>
    <row r="65" spans="1:36" ht="16" thickBot="1">
      <c r="A65" s="68">
        <v>48</v>
      </c>
      <c r="B65" s="49">
        <f>資料儲存!D2449</f>
        <v>0</v>
      </c>
      <c r="C65" s="49">
        <f>資料儲存!E2449</f>
        <v>0</v>
      </c>
      <c r="D65" s="49">
        <f>資料儲存!F2449</f>
        <v>0</v>
      </c>
      <c r="E65" s="49">
        <f>資料儲存!G2449</f>
        <v>0</v>
      </c>
      <c r="F65" s="49">
        <f>資料儲存!H2449</f>
        <v>0</v>
      </c>
      <c r="G65" s="49">
        <f>資料儲存!I2449</f>
        <v>0</v>
      </c>
      <c r="H65" s="49">
        <f>資料儲存!J2449</f>
        <v>0</v>
      </c>
      <c r="I65" s="52"/>
      <c r="J65" s="68">
        <v>48</v>
      </c>
      <c r="K65" s="49">
        <f>資料儲存!D2509</f>
        <v>0</v>
      </c>
      <c r="L65" s="49">
        <f>資料儲存!E2509</f>
        <v>0</v>
      </c>
      <c r="M65" s="49">
        <f>資料儲存!F2509</f>
        <v>0</v>
      </c>
      <c r="N65" s="49">
        <f>資料儲存!G2509</f>
        <v>0</v>
      </c>
      <c r="O65" s="49">
        <f>資料儲存!H2509</f>
        <v>0</v>
      </c>
      <c r="P65" s="49">
        <f>資料儲存!I2509</f>
        <v>0</v>
      </c>
      <c r="Q65" s="49">
        <f>資料儲存!J2509</f>
        <v>0</v>
      </c>
      <c r="R65" s="52"/>
      <c r="S65" s="68">
        <v>48</v>
      </c>
      <c r="T65" s="49">
        <f>資料儲存!D2569</f>
        <v>0</v>
      </c>
      <c r="U65" s="49">
        <f>資料儲存!E2569</f>
        <v>0</v>
      </c>
      <c r="V65" s="49">
        <f>資料儲存!F2569</f>
        <v>0</v>
      </c>
      <c r="W65" s="49">
        <f>資料儲存!G2569</f>
        <v>0</v>
      </c>
      <c r="X65" s="49">
        <f>資料儲存!H2569</f>
        <v>0</v>
      </c>
      <c r="Y65" s="49">
        <f>資料儲存!I2569</f>
        <v>0</v>
      </c>
      <c r="Z65" s="49">
        <f>資料儲存!J2569</f>
        <v>0</v>
      </c>
      <c r="AA65" s="52"/>
      <c r="AB65" s="68">
        <v>48</v>
      </c>
      <c r="AC65" s="49">
        <f>資料儲存!D2629</f>
        <v>0</v>
      </c>
      <c r="AD65" s="49">
        <f>資料儲存!E2629</f>
        <v>0</v>
      </c>
      <c r="AE65" s="49">
        <f>資料儲存!F2629</f>
        <v>0</v>
      </c>
      <c r="AF65" s="49">
        <f>資料儲存!G2629</f>
        <v>0</v>
      </c>
      <c r="AG65" s="49">
        <f>資料儲存!H2629</f>
        <v>0</v>
      </c>
      <c r="AH65" s="49">
        <f>資料儲存!I2629</f>
        <v>0</v>
      </c>
      <c r="AI65" s="49">
        <f>資料儲存!J2629</f>
        <v>0</v>
      </c>
      <c r="AJ65" s="52"/>
    </row>
    <row r="66" spans="1:36" ht="16" thickBot="1">
      <c r="A66" s="68">
        <v>49</v>
      </c>
      <c r="B66" s="49">
        <f>資料儲存!D2450</f>
        <v>0</v>
      </c>
      <c r="C66" s="49">
        <f>資料儲存!E2450</f>
        <v>0</v>
      </c>
      <c r="D66" s="49">
        <f>資料儲存!F2450</f>
        <v>0</v>
      </c>
      <c r="E66" s="49">
        <f>資料儲存!G2450</f>
        <v>0</v>
      </c>
      <c r="F66" s="49">
        <f>資料儲存!H2450</f>
        <v>0</v>
      </c>
      <c r="G66" s="49">
        <f>資料儲存!I2450</f>
        <v>0</v>
      </c>
      <c r="H66" s="49">
        <f>資料儲存!J2450</f>
        <v>0</v>
      </c>
      <c r="I66" s="52"/>
      <c r="J66" s="68">
        <v>49</v>
      </c>
      <c r="K66" s="49">
        <f>資料儲存!D2510</f>
        <v>0</v>
      </c>
      <c r="L66" s="49">
        <f>資料儲存!E2510</f>
        <v>0</v>
      </c>
      <c r="M66" s="49">
        <f>資料儲存!F2510</f>
        <v>0</v>
      </c>
      <c r="N66" s="49">
        <f>資料儲存!G2510</f>
        <v>0</v>
      </c>
      <c r="O66" s="49">
        <f>資料儲存!H2510</f>
        <v>0</v>
      </c>
      <c r="P66" s="49">
        <f>資料儲存!I2510</f>
        <v>0</v>
      </c>
      <c r="Q66" s="49">
        <f>資料儲存!J2510</f>
        <v>0</v>
      </c>
      <c r="R66" s="52"/>
      <c r="S66" s="68">
        <v>49</v>
      </c>
      <c r="T66" s="49">
        <f>資料儲存!D2570</f>
        <v>0</v>
      </c>
      <c r="U66" s="49">
        <f>資料儲存!E2570</f>
        <v>0</v>
      </c>
      <c r="V66" s="49">
        <f>資料儲存!F2570</f>
        <v>0</v>
      </c>
      <c r="W66" s="49">
        <f>資料儲存!G2570</f>
        <v>0</v>
      </c>
      <c r="X66" s="49">
        <f>資料儲存!H2570</f>
        <v>0</v>
      </c>
      <c r="Y66" s="49">
        <f>資料儲存!I2570</f>
        <v>0</v>
      </c>
      <c r="Z66" s="49">
        <f>資料儲存!J2570</f>
        <v>0</v>
      </c>
      <c r="AA66" s="52"/>
      <c r="AB66" s="68">
        <v>49</v>
      </c>
      <c r="AC66" s="49">
        <f>資料儲存!D2630</f>
        <v>0</v>
      </c>
      <c r="AD66" s="49">
        <f>資料儲存!E2630</f>
        <v>0</v>
      </c>
      <c r="AE66" s="49">
        <f>資料儲存!F2630</f>
        <v>0</v>
      </c>
      <c r="AF66" s="49">
        <f>資料儲存!G2630</f>
        <v>0</v>
      </c>
      <c r="AG66" s="49">
        <f>資料儲存!H2630</f>
        <v>0</v>
      </c>
      <c r="AH66" s="49">
        <f>資料儲存!I2630</f>
        <v>0</v>
      </c>
      <c r="AI66" s="49">
        <f>資料儲存!J2630</f>
        <v>0</v>
      </c>
      <c r="AJ66" s="52"/>
    </row>
    <row r="67" spans="1:36" ht="16" thickBot="1">
      <c r="A67" s="68">
        <v>50</v>
      </c>
      <c r="B67" s="49">
        <f>資料儲存!D2451</f>
        <v>0</v>
      </c>
      <c r="C67" s="49">
        <f>資料儲存!E2451</f>
        <v>0</v>
      </c>
      <c r="D67" s="49">
        <f>資料儲存!F2451</f>
        <v>0</v>
      </c>
      <c r="E67" s="49">
        <f>資料儲存!G2451</f>
        <v>0</v>
      </c>
      <c r="F67" s="49">
        <f>資料儲存!H2451</f>
        <v>0</v>
      </c>
      <c r="G67" s="49">
        <f>資料儲存!I2451</f>
        <v>0</v>
      </c>
      <c r="H67" s="49">
        <f>資料儲存!J2451</f>
        <v>0</v>
      </c>
      <c r="I67" s="52"/>
      <c r="J67" s="68">
        <v>50</v>
      </c>
      <c r="K67" s="49">
        <f>資料儲存!D2511</f>
        <v>0</v>
      </c>
      <c r="L67" s="49">
        <f>資料儲存!E2511</f>
        <v>0</v>
      </c>
      <c r="M67" s="49">
        <f>資料儲存!F2511</f>
        <v>0</v>
      </c>
      <c r="N67" s="49">
        <f>資料儲存!G2511</f>
        <v>0</v>
      </c>
      <c r="O67" s="49">
        <f>資料儲存!H2511</f>
        <v>0</v>
      </c>
      <c r="P67" s="49">
        <f>資料儲存!I2511</f>
        <v>0</v>
      </c>
      <c r="Q67" s="49">
        <f>資料儲存!J2511</f>
        <v>0</v>
      </c>
      <c r="R67" s="52"/>
      <c r="S67" s="68">
        <v>50</v>
      </c>
      <c r="T67" s="49">
        <f>資料儲存!D2571</f>
        <v>0</v>
      </c>
      <c r="U67" s="49">
        <f>資料儲存!E2571</f>
        <v>0</v>
      </c>
      <c r="V67" s="49">
        <f>資料儲存!F2571</f>
        <v>0</v>
      </c>
      <c r="W67" s="49">
        <f>資料儲存!G2571</f>
        <v>0</v>
      </c>
      <c r="X67" s="49">
        <f>資料儲存!H2571</f>
        <v>0</v>
      </c>
      <c r="Y67" s="49">
        <f>資料儲存!I2571</f>
        <v>0</v>
      </c>
      <c r="Z67" s="49">
        <f>資料儲存!J2571</f>
        <v>0</v>
      </c>
      <c r="AA67" s="52"/>
      <c r="AB67" s="68">
        <v>50</v>
      </c>
      <c r="AC67" s="49">
        <f>資料儲存!D2631</f>
        <v>0</v>
      </c>
      <c r="AD67" s="49">
        <f>資料儲存!E2631</f>
        <v>0</v>
      </c>
      <c r="AE67" s="49">
        <f>資料儲存!F2631</f>
        <v>0</v>
      </c>
      <c r="AF67" s="49">
        <f>資料儲存!G2631</f>
        <v>0</v>
      </c>
      <c r="AG67" s="49">
        <f>資料儲存!H2631</f>
        <v>0</v>
      </c>
      <c r="AH67" s="49">
        <f>資料儲存!I2631</f>
        <v>0</v>
      </c>
      <c r="AI67" s="49">
        <f>資料儲存!J2631</f>
        <v>0</v>
      </c>
      <c r="AJ67" s="52"/>
    </row>
    <row r="68" spans="1:36" ht="16" thickBot="1">
      <c r="A68" s="68">
        <v>51</v>
      </c>
      <c r="B68" s="49">
        <f>資料儲存!D2452</f>
        <v>0</v>
      </c>
      <c r="C68" s="49">
        <f>資料儲存!E2452</f>
        <v>0</v>
      </c>
      <c r="D68" s="49">
        <f>資料儲存!F2452</f>
        <v>0</v>
      </c>
      <c r="E68" s="49">
        <f>資料儲存!G2452</f>
        <v>0</v>
      </c>
      <c r="F68" s="49">
        <f>資料儲存!H2452</f>
        <v>0</v>
      </c>
      <c r="G68" s="49">
        <f>資料儲存!I2452</f>
        <v>0</v>
      </c>
      <c r="H68" s="49">
        <f>資料儲存!J2452</f>
        <v>0</v>
      </c>
      <c r="I68" s="52"/>
      <c r="J68" s="68">
        <v>51</v>
      </c>
      <c r="K68" s="49">
        <f>資料儲存!D2512</f>
        <v>0</v>
      </c>
      <c r="L68" s="49">
        <f>資料儲存!E2512</f>
        <v>0</v>
      </c>
      <c r="M68" s="49">
        <f>資料儲存!F2512</f>
        <v>0</v>
      </c>
      <c r="N68" s="49">
        <f>資料儲存!G2512</f>
        <v>0</v>
      </c>
      <c r="O68" s="49">
        <f>資料儲存!H2512</f>
        <v>0</v>
      </c>
      <c r="P68" s="49">
        <f>資料儲存!I2512</f>
        <v>0</v>
      </c>
      <c r="Q68" s="49">
        <f>資料儲存!J2512</f>
        <v>0</v>
      </c>
      <c r="R68" s="52"/>
      <c r="S68" s="68">
        <v>51</v>
      </c>
      <c r="T68" s="49">
        <f>資料儲存!D2572</f>
        <v>0</v>
      </c>
      <c r="U68" s="49">
        <f>資料儲存!E2572</f>
        <v>0</v>
      </c>
      <c r="V68" s="49">
        <f>資料儲存!F2572</f>
        <v>0</v>
      </c>
      <c r="W68" s="49">
        <f>資料儲存!G2572</f>
        <v>0</v>
      </c>
      <c r="X68" s="49">
        <f>資料儲存!H2572</f>
        <v>0</v>
      </c>
      <c r="Y68" s="49">
        <f>資料儲存!I2572</f>
        <v>0</v>
      </c>
      <c r="Z68" s="49">
        <f>資料儲存!J2572</f>
        <v>0</v>
      </c>
      <c r="AA68" s="52"/>
      <c r="AB68" s="68">
        <v>51</v>
      </c>
      <c r="AC68" s="49">
        <f>資料儲存!D2632</f>
        <v>0</v>
      </c>
      <c r="AD68" s="49">
        <f>資料儲存!E2632</f>
        <v>0</v>
      </c>
      <c r="AE68" s="49">
        <f>資料儲存!F2632</f>
        <v>0</v>
      </c>
      <c r="AF68" s="49">
        <f>資料儲存!G2632</f>
        <v>0</v>
      </c>
      <c r="AG68" s="49">
        <f>資料儲存!H2632</f>
        <v>0</v>
      </c>
      <c r="AH68" s="49">
        <f>資料儲存!I2632</f>
        <v>0</v>
      </c>
      <c r="AI68" s="49">
        <f>資料儲存!J2632</f>
        <v>0</v>
      </c>
      <c r="AJ68" s="52"/>
    </row>
    <row r="69" spans="1:36" ht="16" thickBot="1">
      <c r="A69" s="68">
        <v>52</v>
      </c>
      <c r="B69" s="49">
        <f>資料儲存!D2453</f>
        <v>0</v>
      </c>
      <c r="C69" s="49">
        <f>資料儲存!E2453</f>
        <v>0</v>
      </c>
      <c r="D69" s="49">
        <f>資料儲存!F2453</f>
        <v>0</v>
      </c>
      <c r="E69" s="49">
        <f>資料儲存!G2453</f>
        <v>0</v>
      </c>
      <c r="F69" s="49">
        <f>資料儲存!H2453</f>
        <v>0</v>
      </c>
      <c r="G69" s="49">
        <f>資料儲存!I2453</f>
        <v>0</v>
      </c>
      <c r="H69" s="49">
        <f>資料儲存!J2453</f>
        <v>0</v>
      </c>
      <c r="I69" s="52"/>
      <c r="J69" s="68">
        <v>52</v>
      </c>
      <c r="K69" s="49">
        <f>資料儲存!D2513</f>
        <v>0</v>
      </c>
      <c r="L69" s="49">
        <f>資料儲存!E2513</f>
        <v>0</v>
      </c>
      <c r="M69" s="49">
        <f>資料儲存!F2513</f>
        <v>0</v>
      </c>
      <c r="N69" s="49">
        <f>資料儲存!G2513</f>
        <v>0</v>
      </c>
      <c r="O69" s="49">
        <f>資料儲存!H2513</f>
        <v>0</v>
      </c>
      <c r="P69" s="49">
        <f>資料儲存!I2513</f>
        <v>0</v>
      </c>
      <c r="Q69" s="49">
        <f>資料儲存!J2513</f>
        <v>0</v>
      </c>
      <c r="R69" s="52"/>
      <c r="S69" s="68">
        <v>52</v>
      </c>
      <c r="T69" s="49">
        <f>資料儲存!D2573</f>
        <v>0</v>
      </c>
      <c r="U69" s="49">
        <f>資料儲存!E2573</f>
        <v>0</v>
      </c>
      <c r="V69" s="49">
        <f>資料儲存!F2573</f>
        <v>0</v>
      </c>
      <c r="W69" s="49">
        <f>資料儲存!G2573</f>
        <v>0</v>
      </c>
      <c r="X69" s="49">
        <f>資料儲存!H2573</f>
        <v>0</v>
      </c>
      <c r="Y69" s="49">
        <f>資料儲存!I2573</f>
        <v>0</v>
      </c>
      <c r="Z69" s="49">
        <f>資料儲存!J2573</f>
        <v>0</v>
      </c>
      <c r="AA69" s="52"/>
      <c r="AB69" s="68">
        <v>52</v>
      </c>
      <c r="AC69" s="49">
        <f>資料儲存!D2633</f>
        <v>0</v>
      </c>
      <c r="AD69" s="49">
        <f>資料儲存!E2633</f>
        <v>0</v>
      </c>
      <c r="AE69" s="49">
        <f>資料儲存!F2633</f>
        <v>0</v>
      </c>
      <c r="AF69" s="49">
        <f>資料儲存!G2633</f>
        <v>0</v>
      </c>
      <c r="AG69" s="49">
        <f>資料儲存!H2633</f>
        <v>0</v>
      </c>
      <c r="AH69" s="49">
        <f>資料儲存!I2633</f>
        <v>0</v>
      </c>
      <c r="AI69" s="49">
        <f>資料儲存!J2633</f>
        <v>0</v>
      </c>
      <c r="AJ69" s="52"/>
    </row>
    <row r="70" spans="1:36" ht="16" thickBot="1">
      <c r="A70" s="68">
        <v>53</v>
      </c>
      <c r="B70" s="49">
        <f>資料儲存!D2454</f>
        <v>0</v>
      </c>
      <c r="C70" s="49">
        <f>資料儲存!E2454</f>
        <v>0</v>
      </c>
      <c r="D70" s="49">
        <f>資料儲存!F2454</f>
        <v>0</v>
      </c>
      <c r="E70" s="49">
        <f>資料儲存!G2454</f>
        <v>0</v>
      </c>
      <c r="F70" s="49">
        <f>資料儲存!H2454</f>
        <v>0</v>
      </c>
      <c r="G70" s="49">
        <f>資料儲存!I2454</f>
        <v>0</v>
      </c>
      <c r="H70" s="49">
        <f>資料儲存!J2454</f>
        <v>0</v>
      </c>
      <c r="I70" s="52"/>
      <c r="J70" s="68">
        <v>53</v>
      </c>
      <c r="K70" s="49">
        <f>資料儲存!D2514</f>
        <v>0</v>
      </c>
      <c r="L70" s="49">
        <f>資料儲存!E2514</f>
        <v>0</v>
      </c>
      <c r="M70" s="49">
        <f>資料儲存!F2514</f>
        <v>0</v>
      </c>
      <c r="N70" s="49">
        <f>資料儲存!G2514</f>
        <v>0</v>
      </c>
      <c r="O70" s="49">
        <f>資料儲存!H2514</f>
        <v>0</v>
      </c>
      <c r="P70" s="49">
        <f>資料儲存!I2514</f>
        <v>0</v>
      </c>
      <c r="Q70" s="49">
        <f>資料儲存!J2514</f>
        <v>0</v>
      </c>
      <c r="R70" s="52"/>
      <c r="S70" s="68">
        <v>53</v>
      </c>
      <c r="T70" s="49">
        <f>資料儲存!D2574</f>
        <v>0</v>
      </c>
      <c r="U70" s="49">
        <f>資料儲存!E2574</f>
        <v>0</v>
      </c>
      <c r="V70" s="49">
        <f>資料儲存!F2574</f>
        <v>0</v>
      </c>
      <c r="W70" s="49">
        <f>資料儲存!G2574</f>
        <v>0</v>
      </c>
      <c r="X70" s="49">
        <f>資料儲存!H2574</f>
        <v>0</v>
      </c>
      <c r="Y70" s="49">
        <f>資料儲存!I2574</f>
        <v>0</v>
      </c>
      <c r="Z70" s="49">
        <f>資料儲存!J2574</f>
        <v>0</v>
      </c>
      <c r="AA70" s="52"/>
      <c r="AB70" s="68">
        <v>53</v>
      </c>
      <c r="AC70" s="49">
        <f>資料儲存!D2634</f>
        <v>0</v>
      </c>
      <c r="AD70" s="49">
        <f>資料儲存!E2634</f>
        <v>0</v>
      </c>
      <c r="AE70" s="49">
        <f>資料儲存!F2634</f>
        <v>0</v>
      </c>
      <c r="AF70" s="49">
        <f>資料儲存!G2634</f>
        <v>0</v>
      </c>
      <c r="AG70" s="49">
        <f>資料儲存!H2634</f>
        <v>0</v>
      </c>
      <c r="AH70" s="49">
        <f>資料儲存!I2634</f>
        <v>0</v>
      </c>
      <c r="AI70" s="49">
        <f>資料儲存!J2634</f>
        <v>0</v>
      </c>
      <c r="AJ70" s="52"/>
    </row>
    <row r="71" spans="1:36" ht="16" thickBot="1">
      <c r="A71" s="68">
        <v>54</v>
      </c>
      <c r="B71" s="49">
        <f>資料儲存!D2455</f>
        <v>0</v>
      </c>
      <c r="C71" s="49">
        <f>資料儲存!E2455</f>
        <v>0</v>
      </c>
      <c r="D71" s="49">
        <f>資料儲存!F2455</f>
        <v>0</v>
      </c>
      <c r="E71" s="49">
        <f>資料儲存!G2455</f>
        <v>0</v>
      </c>
      <c r="F71" s="49">
        <f>資料儲存!H2455</f>
        <v>0</v>
      </c>
      <c r="G71" s="49">
        <f>資料儲存!I2455</f>
        <v>0</v>
      </c>
      <c r="H71" s="49">
        <f>資料儲存!J2455</f>
        <v>0</v>
      </c>
      <c r="I71" s="52"/>
      <c r="J71" s="68">
        <v>54</v>
      </c>
      <c r="K71" s="49">
        <f>資料儲存!D2515</f>
        <v>0</v>
      </c>
      <c r="L71" s="49">
        <f>資料儲存!E2515</f>
        <v>0</v>
      </c>
      <c r="M71" s="49">
        <f>資料儲存!F2515</f>
        <v>0</v>
      </c>
      <c r="N71" s="49">
        <f>資料儲存!G2515</f>
        <v>0</v>
      </c>
      <c r="O71" s="49">
        <f>資料儲存!H2515</f>
        <v>0</v>
      </c>
      <c r="P71" s="49">
        <f>資料儲存!I2515</f>
        <v>0</v>
      </c>
      <c r="Q71" s="49">
        <f>資料儲存!J2515</f>
        <v>0</v>
      </c>
      <c r="R71" s="52"/>
      <c r="S71" s="68">
        <v>54</v>
      </c>
      <c r="T71" s="49">
        <f>資料儲存!D2575</f>
        <v>0</v>
      </c>
      <c r="U71" s="49">
        <f>資料儲存!E2575</f>
        <v>0</v>
      </c>
      <c r="V71" s="49">
        <f>資料儲存!F2575</f>
        <v>0</v>
      </c>
      <c r="W71" s="49">
        <f>資料儲存!G2575</f>
        <v>0</v>
      </c>
      <c r="X71" s="49">
        <f>資料儲存!H2575</f>
        <v>0</v>
      </c>
      <c r="Y71" s="49">
        <f>資料儲存!I2575</f>
        <v>0</v>
      </c>
      <c r="Z71" s="49">
        <f>資料儲存!J2575</f>
        <v>0</v>
      </c>
      <c r="AA71" s="52"/>
      <c r="AB71" s="68">
        <v>54</v>
      </c>
      <c r="AC71" s="49">
        <f>資料儲存!D2635</f>
        <v>0</v>
      </c>
      <c r="AD71" s="49">
        <f>資料儲存!E2635</f>
        <v>0</v>
      </c>
      <c r="AE71" s="49">
        <f>資料儲存!F2635</f>
        <v>0</v>
      </c>
      <c r="AF71" s="49">
        <f>資料儲存!G2635</f>
        <v>0</v>
      </c>
      <c r="AG71" s="49">
        <f>資料儲存!H2635</f>
        <v>0</v>
      </c>
      <c r="AH71" s="49">
        <f>資料儲存!I2635</f>
        <v>0</v>
      </c>
      <c r="AI71" s="49">
        <f>資料儲存!J2635</f>
        <v>0</v>
      </c>
      <c r="AJ71" s="52"/>
    </row>
    <row r="72" spans="1:36" ht="16" thickBot="1">
      <c r="A72" s="68">
        <v>55</v>
      </c>
      <c r="B72" s="49">
        <f>資料儲存!D2456</f>
        <v>0</v>
      </c>
      <c r="C72" s="49">
        <f>資料儲存!E2456</f>
        <v>0</v>
      </c>
      <c r="D72" s="49">
        <f>資料儲存!F2456</f>
        <v>0</v>
      </c>
      <c r="E72" s="49">
        <f>資料儲存!G2456</f>
        <v>0</v>
      </c>
      <c r="F72" s="49">
        <f>資料儲存!H2456</f>
        <v>0</v>
      </c>
      <c r="G72" s="49">
        <f>資料儲存!I2456</f>
        <v>0</v>
      </c>
      <c r="H72" s="49">
        <f>資料儲存!J2456</f>
        <v>0</v>
      </c>
      <c r="I72" s="52"/>
      <c r="J72" s="68">
        <v>55</v>
      </c>
      <c r="K72" s="49">
        <f>資料儲存!D2516</f>
        <v>0</v>
      </c>
      <c r="L72" s="49">
        <f>資料儲存!E2516</f>
        <v>0</v>
      </c>
      <c r="M72" s="49">
        <f>資料儲存!F2516</f>
        <v>0</v>
      </c>
      <c r="N72" s="49">
        <f>資料儲存!G2516</f>
        <v>0</v>
      </c>
      <c r="O72" s="49">
        <f>資料儲存!H2516</f>
        <v>0</v>
      </c>
      <c r="P72" s="49">
        <f>資料儲存!I2516</f>
        <v>0</v>
      </c>
      <c r="Q72" s="49">
        <f>資料儲存!J2516</f>
        <v>0</v>
      </c>
      <c r="R72" s="52"/>
      <c r="S72" s="68">
        <v>55</v>
      </c>
      <c r="T72" s="49">
        <f>資料儲存!D2576</f>
        <v>0</v>
      </c>
      <c r="U72" s="49">
        <f>資料儲存!E2576</f>
        <v>0</v>
      </c>
      <c r="V72" s="49">
        <f>資料儲存!F2576</f>
        <v>0</v>
      </c>
      <c r="W72" s="49">
        <f>資料儲存!G2576</f>
        <v>0</v>
      </c>
      <c r="X72" s="49">
        <f>資料儲存!H2576</f>
        <v>0</v>
      </c>
      <c r="Y72" s="49">
        <f>資料儲存!I2576</f>
        <v>0</v>
      </c>
      <c r="Z72" s="49">
        <f>資料儲存!J2576</f>
        <v>0</v>
      </c>
      <c r="AA72" s="52"/>
      <c r="AB72" s="68">
        <v>55</v>
      </c>
      <c r="AC72" s="49">
        <f>資料儲存!D2636</f>
        <v>0</v>
      </c>
      <c r="AD72" s="49">
        <f>資料儲存!E2636</f>
        <v>0</v>
      </c>
      <c r="AE72" s="49">
        <f>資料儲存!F2636</f>
        <v>0</v>
      </c>
      <c r="AF72" s="49">
        <f>資料儲存!G2636</f>
        <v>0</v>
      </c>
      <c r="AG72" s="49">
        <f>資料儲存!H2636</f>
        <v>0</v>
      </c>
      <c r="AH72" s="49">
        <f>資料儲存!I2636</f>
        <v>0</v>
      </c>
      <c r="AI72" s="49">
        <f>資料儲存!J2636</f>
        <v>0</v>
      </c>
      <c r="AJ72" s="52"/>
    </row>
    <row r="73" spans="1:36" ht="16" thickBot="1">
      <c r="A73" s="68">
        <v>56</v>
      </c>
      <c r="B73" s="49">
        <f>資料儲存!D2457</f>
        <v>0</v>
      </c>
      <c r="C73" s="49">
        <f>資料儲存!E2457</f>
        <v>0</v>
      </c>
      <c r="D73" s="49">
        <f>資料儲存!F2457</f>
        <v>0</v>
      </c>
      <c r="E73" s="49">
        <f>資料儲存!G2457</f>
        <v>0</v>
      </c>
      <c r="F73" s="49">
        <f>資料儲存!H2457</f>
        <v>0</v>
      </c>
      <c r="G73" s="49">
        <f>資料儲存!I2457</f>
        <v>0</v>
      </c>
      <c r="H73" s="49">
        <f>資料儲存!J2457</f>
        <v>0</v>
      </c>
      <c r="I73" s="52"/>
      <c r="J73" s="68">
        <v>56</v>
      </c>
      <c r="K73" s="49">
        <f>資料儲存!D2517</f>
        <v>0</v>
      </c>
      <c r="L73" s="49">
        <f>資料儲存!E2517</f>
        <v>0</v>
      </c>
      <c r="M73" s="49">
        <f>資料儲存!F2517</f>
        <v>0</v>
      </c>
      <c r="N73" s="49">
        <f>資料儲存!G2517</f>
        <v>0</v>
      </c>
      <c r="O73" s="49">
        <f>資料儲存!H2517</f>
        <v>0</v>
      </c>
      <c r="P73" s="49">
        <f>資料儲存!I2517</f>
        <v>0</v>
      </c>
      <c r="Q73" s="49">
        <f>資料儲存!J2517</f>
        <v>0</v>
      </c>
      <c r="R73" s="52"/>
      <c r="S73" s="68">
        <v>56</v>
      </c>
      <c r="T73" s="49">
        <f>資料儲存!D2577</f>
        <v>0</v>
      </c>
      <c r="U73" s="49">
        <f>資料儲存!E2577</f>
        <v>0</v>
      </c>
      <c r="V73" s="49">
        <f>資料儲存!F2577</f>
        <v>0</v>
      </c>
      <c r="W73" s="49">
        <f>資料儲存!G2577</f>
        <v>0</v>
      </c>
      <c r="X73" s="49">
        <f>資料儲存!H2577</f>
        <v>0</v>
      </c>
      <c r="Y73" s="49">
        <f>資料儲存!I2577</f>
        <v>0</v>
      </c>
      <c r="Z73" s="49">
        <f>資料儲存!J2577</f>
        <v>0</v>
      </c>
      <c r="AA73" s="52"/>
      <c r="AB73" s="68">
        <v>56</v>
      </c>
      <c r="AC73" s="49">
        <f>資料儲存!D2637</f>
        <v>0</v>
      </c>
      <c r="AD73" s="49">
        <f>資料儲存!E2637</f>
        <v>0</v>
      </c>
      <c r="AE73" s="49">
        <f>資料儲存!F2637</f>
        <v>0</v>
      </c>
      <c r="AF73" s="49">
        <f>資料儲存!G2637</f>
        <v>0</v>
      </c>
      <c r="AG73" s="49">
        <f>資料儲存!H2637</f>
        <v>0</v>
      </c>
      <c r="AH73" s="49">
        <f>資料儲存!I2637</f>
        <v>0</v>
      </c>
      <c r="AI73" s="49">
        <f>資料儲存!J2637</f>
        <v>0</v>
      </c>
      <c r="AJ73" s="52"/>
    </row>
    <row r="74" spans="1:36" ht="16" thickBot="1">
      <c r="A74" s="68">
        <v>57</v>
      </c>
      <c r="B74" s="49">
        <f>資料儲存!D2458</f>
        <v>0</v>
      </c>
      <c r="C74" s="49">
        <f>資料儲存!E2458</f>
        <v>0</v>
      </c>
      <c r="D74" s="49">
        <f>資料儲存!F2458</f>
        <v>0</v>
      </c>
      <c r="E74" s="49">
        <f>資料儲存!G2458</f>
        <v>0</v>
      </c>
      <c r="F74" s="49">
        <f>資料儲存!H2458</f>
        <v>0</v>
      </c>
      <c r="G74" s="49">
        <f>資料儲存!I2458</f>
        <v>0</v>
      </c>
      <c r="H74" s="49">
        <f>資料儲存!J2458</f>
        <v>0</v>
      </c>
      <c r="I74" s="52"/>
      <c r="J74" s="68">
        <v>57</v>
      </c>
      <c r="K74" s="49">
        <f>資料儲存!D2518</f>
        <v>0</v>
      </c>
      <c r="L74" s="49">
        <f>資料儲存!E2518</f>
        <v>0</v>
      </c>
      <c r="M74" s="49">
        <f>資料儲存!F2518</f>
        <v>0</v>
      </c>
      <c r="N74" s="49">
        <f>資料儲存!G2518</f>
        <v>0</v>
      </c>
      <c r="O74" s="49">
        <f>資料儲存!H2518</f>
        <v>0</v>
      </c>
      <c r="P74" s="49">
        <f>資料儲存!I2518</f>
        <v>0</v>
      </c>
      <c r="Q74" s="49">
        <f>資料儲存!J2518</f>
        <v>0</v>
      </c>
      <c r="R74" s="52"/>
      <c r="S74" s="68">
        <v>57</v>
      </c>
      <c r="T74" s="49">
        <f>資料儲存!D2578</f>
        <v>0</v>
      </c>
      <c r="U74" s="49">
        <f>資料儲存!E2578</f>
        <v>0</v>
      </c>
      <c r="V74" s="49">
        <f>資料儲存!F2578</f>
        <v>0</v>
      </c>
      <c r="W74" s="49">
        <f>資料儲存!G2578</f>
        <v>0</v>
      </c>
      <c r="X74" s="49">
        <f>資料儲存!H2578</f>
        <v>0</v>
      </c>
      <c r="Y74" s="49">
        <f>資料儲存!I2578</f>
        <v>0</v>
      </c>
      <c r="Z74" s="49">
        <f>資料儲存!J2578</f>
        <v>0</v>
      </c>
      <c r="AA74" s="52"/>
      <c r="AB74" s="68">
        <v>57</v>
      </c>
      <c r="AC74" s="49">
        <f>資料儲存!D2638</f>
        <v>0</v>
      </c>
      <c r="AD74" s="49">
        <f>資料儲存!E2638</f>
        <v>0</v>
      </c>
      <c r="AE74" s="49">
        <f>資料儲存!F2638</f>
        <v>0</v>
      </c>
      <c r="AF74" s="49">
        <f>資料儲存!G2638</f>
        <v>0</v>
      </c>
      <c r="AG74" s="49">
        <f>資料儲存!H2638</f>
        <v>0</v>
      </c>
      <c r="AH74" s="49">
        <f>資料儲存!I2638</f>
        <v>0</v>
      </c>
      <c r="AI74" s="49">
        <f>資料儲存!J2638</f>
        <v>0</v>
      </c>
      <c r="AJ74" s="52"/>
    </row>
    <row r="75" spans="1:36" ht="16" thickBot="1">
      <c r="A75" s="68">
        <v>58</v>
      </c>
      <c r="B75" s="49">
        <f>資料儲存!D2459</f>
        <v>0</v>
      </c>
      <c r="C75" s="49">
        <f>資料儲存!E2459</f>
        <v>0</v>
      </c>
      <c r="D75" s="49">
        <f>資料儲存!F2459</f>
        <v>0</v>
      </c>
      <c r="E75" s="49">
        <f>資料儲存!G2459</f>
        <v>0</v>
      </c>
      <c r="F75" s="49">
        <f>資料儲存!H2459</f>
        <v>0</v>
      </c>
      <c r="G75" s="49">
        <f>資料儲存!I2459</f>
        <v>0</v>
      </c>
      <c r="H75" s="49">
        <f>資料儲存!J2459</f>
        <v>0</v>
      </c>
      <c r="I75" s="52"/>
      <c r="J75" s="68">
        <v>58</v>
      </c>
      <c r="K75" s="49">
        <f>資料儲存!D2519</f>
        <v>0</v>
      </c>
      <c r="L75" s="49">
        <f>資料儲存!E2519</f>
        <v>0</v>
      </c>
      <c r="M75" s="49">
        <f>資料儲存!F2519</f>
        <v>0</v>
      </c>
      <c r="N75" s="49">
        <f>資料儲存!G2519</f>
        <v>0</v>
      </c>
      <c r="O75" s="49">
        <f>資料儲存!H2519</f>
        <v>0</v>
      </c>
      <c r="P75" s="49">
        <f>資料儲存!I2519</f>
        <v>0</v>
      </c>
      <c r="Q75" s="49">
        <f>資料儲存!J2519</f>
        <v>0</v>
      </c>
      <c r="R75" s="52"/>
      <c r="S75" s="68">
        <v>58</v>
      </c>
      <c r="T75" s="49">
        <f>資料儲存!D2579</f>
        <v>0</v>
      </c>
      <c r="U75" s="49">
        <f>資料儲存!E2579</f>
        <v>0</v>
      </c>
      <c r="V75" s="49">
        <f>資料儲存!F2579</f>
        <v>0</v>
      </c>
      <c r="W75" s="49">
        <f>資料儲存!G2579</f>
        <v>0</v>
      </c>
      <c r="X75" s="49">
        <f>資料儲存!H2579</f>
        <v>0</v>
      </c>
      <c r="Y75" s="49">
        <f>資料儲存!I2579</f>
        <v>0</v>
      </c>
      <c r="Z75" s="49">
        <f>資料儲存!J2579</f>
        <v>0</v>
      </c>
      <c r="AA75" s="52"/>
      <c r="AB75" s="68">
        <v>58</v>
      </c>
      <c r="AC75" s="49">
        <f>資料儲存!D2639</f>
        <v>0</v>
      </c>
      <c r="AD75" s="49">
        <f>資料儲存!E2639</f>
        <v>0</v>
      </c>
      <c r="AE75" s="49">
        <f>資料儲存!F2639</f>
        <v>0</v>
      </c>
      <c r="AF75" s="49">
        <f>資料儲存!G2639</f>
        <v>0</v>
      </c>
      <c r="AG75" s="49">
        <f>資料儲存!H2639</f>
        <v>0</v>
      </c>
      <c r="AH75" s="49">
        <f>資料儲存!I2639</f>
        <v>0</v>
      </c>
      <c r="AI75" s="49">
        <f>資料儲存!J2639</f>
        <v>0</v>
      </c>
      <c r="AJ75" s="52"/>
    </row>
    <row r="76" spans="1:36" ht="16" thickBot="1">
      <c r="A76" s="68">
        <v>59</v>
      </c>
      <c r="B76" s="49">
        <f>資料儲存!D2460</f>
        <v>0</v>
      </c>
      <c r="C76" s="49">
        <f>資料儲存!E2460</f>
        <v>0</v>
      </c>
      <c r="D76" s="49">
        <f>資料儲存!F2460</f>
        <v>0</v>
      </c>
      <c r="E76" s="49">
        <f>資料儲存!G2460</f>
        <v>0</v>
      </c>
      <c r="F76" s="49">
        <f>資料儲存!H2460</f>
        <v>0</v>
      </c>
      <c r="G76" s="49">
        <f>資料儲存!I2460</f>
        <v>0</v>
      </c>
      <c r="H76" s="49">
        <f>資料儲存!J2460</f>
        <v>0</v>
      </c>
      <c r="I76" s="52"/>
      <c r="J76" s="68">
        <v>59</v>
      </c>
      <c r="K76" s="49">
        <f>資料儲存!D2520</f>
        <v>0</v>
      </c>
      <c r="L76" s="49">
        <f>資料儲存!E2520</f>
        <v>0</v>
      </c>
      <c r="M76" s="49">
        <f>資料儲存!F2520</f>
        <v>0</v>
      </c>
      <c r="N76" s="49">
        <f>資料儲存!G2520</f>
        <v>0</v>
      </c>
      <c r="O76" s="49">
        <f>資料儲存!H2520</f>
        <v>0</v>
      </c>
      <c r="P76" s="49">
        <f>資料儲存!I2520</f>
        <v>0</v>
      </c>
      <c r="Q76" s="49">
        <f>資料儲存!J2520</f>
        <v>0</v>
      </c>
      <c r="R76" s="52"/>
      <c r="S76" s="68">
        <v>59</v>
      </c>
      <c r="T76" s="49">
        <f>資料儲存!D2580</f>
        <v>0</v>
      </c>
      <c r="U76" s="49">
        <f>資料儲存!E2580</f>
        <v>0</v>
      </c>
      <c r="V76" s="49">
        <f>資料儲存!F2580</f>
        <v>0</v>
      </c>
      <c r="W76" s="49">
        <f>資料儲存!G2580</f>
        <v>0</v>
      </c>
      <c r="X76" s="49">
        <f>資料儲存!H2580</f>
        <v>0</v>
      </c>
      <c r="Y76" s="49">
        <f>資料儲存!I2580</f>
        <v>0</v>
      </c>
      <c r="Z76" s="49">
        <f>資料儲存!J2580</f>
        <v>0</v>
      </c>
      <c r="AA76" s="52"/>
      <c r="AB76" s="68">
        <v>59</v>
      </c>
      <c r="AC76" s="49">
        <f>資料儲存!D2640</f>
        <v>0</v>
      </c>
      <c r="AD76" s="49">
        <f>資料儲存!E2640</f>
        <v>0</v>
      </c>
      <c r="AE76" s="49">
        <f>資料儲存!F2640</f>
        <v>0</v>
      </c>
      <c r="AF76" s="49">
        <f>資料儲存!G2640</f>
        <v>0</v>
      </c>
      <c r="AG76" s="49">
        <f>資料儲存!H2640</f>
        <v>0</v>
      </c>
      <c r="AH76" s="49">
        <f>資料儲存!I2640</f>
        <v>0</v>
      </c>
      <c r="AI76" s="49">
        <f>資料儲存!J2640</f>
        <v>0</v>
      </c>
      <c r="AJ76" s="52"/>
    </row>
    <row r="77" spans="1:36" ht="16" thickBot="1">
      <c r="A77" s="68">
        <v>60</v>
      </c>
      <c r="B77" s="49">
        <f>資料儲存!D2461</f>
        <v>0</v>
      </c>
      <c r="C77" s="49">
        <f>資料儲存!E2461</f>
        <v>0</v>
      </c>
      <c r="D77" s="49">
        <f>資料儲存!F2461</f>
        <v>0</v>
      </c>
      <c r="E77" s="49">
        <f>資料儲存!G2461</f>
        <v>0</v>
      </c>
      <c r="F77" s="49">
        <f>資料儲存!H2461</f>
        <v>0</v>
      </c>
      <c r="G77" s="49">
        <f>資料儲存!I2461</f>
        <v>0</v>
      </c>
      <c r="H77" s="49">
        <f>資料儲存!J2461</f>
        <v>0</v>
      </c>
      <c r="I77" s="52"/>
      <c r="J77" s="68">
        <v>60</v>
      </c>
      <c r="K77" s="49">
        <f>資料儲存!D2521</f>
        <v>0</v>
      </c>
      <c r="L77" s="49">
        <f>資料儲存!E2521</f>
        <v>0</v>
      </c>
      <c r="M77" s="49">
        <f>資料儲存!F2521</f>
        <v>0</v>
      </c>
      <c r="N77" s="49">
        <f>資料儲存!G2521</f>
        <v>0</v>
      </c>
      <c r="O77" s="49">
        <f>資料儲存!H2521</f>
        <v>0</v>
      </c>
      <c r="P77" s="49">
        <f>資料儲存!I2521</f>
        <v>0</v>
      </c>
      <c r="Q77" s="49">
        <f>資料儲存!J2521</f>
        <v>0</v>
      </c>
      <c r="R77" s="52"/>
      <c r="S77" s="68">
        <v>60</v>
      </c>
      <c r="T77" s="49">
        <f>資料儲存!D2581</f>
        <v>0</v>
      </c>
      <c r="U77" s="49">
        <f>資料儲存!E2581</f>
        <v>0</v>
      </c>
      <c r="V77" s="49">
        <f>資料儲存!F2581</f>
        <v>0</v>
      </c>
      <c r="W77" s="49">
        <f>資料儲存!G2581</f>
        <v>0</v>
      </c>
      <c r="X77" s="49">
        <f>資料儲存!H2581</f>
        <v>0</v>
      </c>
      <c r="Y77" s="49">
        <f>資料儲存!I2581</f>
        <v>0</v>
      </c>
      <c r="Z77" s="49">
        <f>資料儲存!J2581</f>
        <v>0</v>
      </c>
      <c r="AA77" s="52"/>
      <c r="AB77" s="68">
        <v>60</v>
      </c>
      <c r="AC77" s="49">
        <f>資料儲存!D2641</f>
        <v>0</v>
      </c>
      <c r="AD77" s="49">
        <f>資料儲存!E2641</f>
        <v>0</v>
      </c>
      <c r="AE77" s="49">
        <f>資料儲存!F2641</f>
        <v>0</v>
      </c>
      <c r="AF77" s="49">
        <f>資料儲存!G2641</f>
        <v>0</v>
      </c>
      <c r="AG77" s="49">
        <f>資料儲存!H2641</f>
        <v>0</v>
      </c>
      <c r="AH77" s="49">
        <f>資料儲存!I2641</f>
        <v>0</v>
      </c>
      <c r="AI77" s="49">
        <f>資料儲存!J2641</f>
        <v>0</v>
      </c>
      <c r="AJ77" s="52"/>
    </row>
    <row r="78" spans="1:36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</sheetData>
  <mergeCells count="24">
    <mergeCell ref="A1:H1"/>
    <mergeCell ref="J1:Q1"/>
    <mergeCell ref="S1:Z1"/>
    <mergeCell ref="AB1:AI1"/>
    <mergeCell ref="A2:H2"/>
    <mergeCell ref="J2:Q2"/>
    <mergeCell ref="S2:Z2"/>
    <mergeCell ref="AB2:AI2"/>
    <mergeCell ref="A3:H3"/>
    <mergeCell ref="J3:Q3"/>
    <mergeCell ref="S3:Z3"/>
    <mergeCell ref="AB3:AI3"/>
    <mergeCell ref="A22:H22"/>
    <mergeCell ref="J22:Q22"/>
    <mergeCell ref="S22:Z22"/>
    <mergeCell ref="AB22:AI22"/>
    <mergeCell ref="A41:H41"/>
    <mergeCell ref="J41:Q41"/>
    <mergeCell ref="S41:Z41"/>
    <mergeCell ref="AB41:AI41"/>
    <mergeCell ref="A60:H60"/>
    <mergeCell ref="J60:Q60"/>
    <mergeCell ref="S60:Z60"/>
    <mergeCell ref="AB60:AI60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39997558519241921"/>
  </sheetPr>
  <dimension ref="A1:AJ78"/>
  <sheetViews>
    <sheetView topLeftCell="T1" zoomScale="70" zoomScaleNormal="70" zoomScaleSheetLayoutView="70" workbookViewId="0">
      <pane ySplit="1" topLeftCell="A2" activePane="bottomLeft" state="frozen"/>
      <selection pane="bottomLeft" activeCell="AK4" sqref="AK1:AR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37" width="2.08984375" style="1" customWidth="1"/>
    <col min="38" max="16384" width="10.08984375" style="1"/>
  </cols>
  <sheetData>
    <row r="1" spans="1:36" s="11" customFormat="1" ht="18.5" thickBot="1">
      <c r="A1" s="253" t="str">
        <f>基本資料!$H$11</f>
        <v>假日(1430-1530)</v>
      </c>
      <c r="B1" s="254"/>
      <c r="C1" s="254"/>
      <c r="D1" s="254"/>
      <c r="E1" s="254"/>
      <c r="F1" s="254"/>
      <c r="G1" s="254"/>
      <c r="H1" s="255"/>
      <c r="J1" s="253" t="str">
        <f>基本資料!$H$11</f>
        <v>假日(1430-1530)</v>
      </c>
      <c r="K1" s="254"/>
      <c r="L1" s="254"/>
      <c r="M1" s="254"/>
      <c r="N1" s="254"/>
      <c r="O1" s="254"/>
      <c r="P1" s="254"/>
      <c r="Q1" s="255"/>
      <c r="S1" s="253" t="str">
        <f>基本資料!$H$11</f>
        <v>假日(1430-1530)</v>
      </c>
      <c r="T1" s="254"/>
      <c r="U1" s="254"/>
      <c r="V1" s="254"/>
      <c r="W1" s="254"/>
      <c r="X1" s="254"/>
      <c r="Y1" s="254"/>
      <c r="Z1" s="255"/>
      <c r="AB1" s="253" t="str">
        <f>基本資料!$H$11</f>
        <v>假日(1430-1530)</v>
      </c>
      <c r="AC1" s="254"/>
      <c r="AD1" s="254"/>
      <c r="AE1" s="254"/>
      <c r="AF1" s="254"/>
      <c r="AG1" s="254"/>
      <c r="AH1" s="254"/>
      <c r="AI1" s="255"/>
    </row>
    <row r="2" spans="1:36" ht="18.5" thickBot="1">
      <c r="A2" s="256" t="str">
        <f>CONCATENATE(基本資料!B18,"方向：",基本資料!B19,基本資料!B20)</f>
        <v>A方向：</v>
      </c>
      <c r="B2" s="257"/>
      <c r="C2" s="257"/>
      <c r="D2" s="257"/>
      <c r="E2" s="257"/>
      <c r="F2" s="257"/>
      <c r="G2" s="257"/>
      <c r="H2" s="258"/>
      <c r="I2" s="1"/>
      <c r="J2" s="256" t="str">
        <f>CONCATENATE(基本資料!C18,"方向：",基本資料!C19,基本資料!C20)</f>
        <v>B方向：</v>
      </c>
      <c r="K2" s="257"/>
      <c r="L2" s="257"/>
      <c r="M2" s="257"/>
      <c r="N2" s="257"/>
      <c r="O2" s="257"/>
      <c r="P2" s="257"/>
      <c r="Q2" s="258"/>
      <c r="R2" s="1"/>
      <c r="S2" s="256" t="str">
        <f>CONCATENATE(基本資料!D18,"方向：",基本資料!D19,基本資料!D20)</f>
        <v>C方向：</v>
      </c>
      <c r="T2" s="257"/>
      <c r="U2" s="257"/>
      <c r="V2" s="257"/>
      <c r="W2" s="257"/>
      <c r="X2" s="257"/>
      <c r="Y2" s="257"/>
      <c r="Z2" s="258"/>
      <c r="AA2" s="1"/>
      <c r="AB2" s="256" t="str">
        <f>CONCATENATE(基本資料!E18,"方向：",基本資料!E19,基本資料!E20)</f>
        <v>D方向：</v>
      </c>
      <c r="AC2" s="257"/>
      <c r="AD2" s="257"/>
      <c r="AE2" s="257"/>
      <c r="AF2" s="257"/>
      <c r="AG2" s="257"/>
      <c r="AH2" s="257"/>
      <c r="AI2" s="258"/>
      <c r="AJ2" s="1"/>
    </row>
    <row r="3" spans="1:36" ht="18.5" thickBot="1">
      <c r="A3" s="250" t="s">
        <v>109</v>
      </c>
      <c r="B3" s="251"/>
      <c r="C3" s="251"/>
      <c r="D3" s="251"/>
      <c r="E3" s="251"/>
      <c r="F3" s="251"/>
      <c r="G3" s="251"/>
      <c r="H3" s="252"/>
      <c r="I3" s="22"/>
      <c r="J3" s="250" t="s">
        <v>109</v>
      </c>
      <c r="K3" s="251"/>
      <c r="L3" s="251"/>
      <c r="M3" s="251"/>
      <c r="N3" s="251"/>
      <c r="O3" s="251"/>
      <c r="P3" s="251"/>
      <c r="Q3" s="252"/>
      <c r="R3" s="22"/>
      <c r="S3" s="250" t="s">
        <v>109</v>
      </c>
      <c r="T3" s="251"/>
      <c r="U3" s="251"/>
      <c r="V3" s="251"/>
      <c r="W3" s="251"/>
      <c r="X3" s="251"/>
      <c r="Y3" s="251"/>
      <c r="Z3" s="252"/>
      <c r="AA3" s="22"/>
      <c r="AB3" s="250" t="s">
        <v>109</v>
      </c>
      <c r="AC3" s="251"/>
      <c r="AD3" s="251"/>
      <c r="AE3" s="251"/>
      <c r="AF3" s="251"/>
      <c r="AG3" s="251"/>
      <c r="AH3" s="251"/>
      <c r="AI3" s="252"/>
      <c r="AJ3" s="22"/>
    </row>
    <row r="4" spans="1:36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</row>
    <row r="5" spans="1:36" ht="16" thickBot="1">
      <c r="A5" s="59">
        <v>0.60416666666666663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>
        <v>0.60416666666666663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>
        <v>0.60416666666666663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>
        <v>0.60416666666666663</v>
      </c>
      <c r="AC5" s="60" t="s">
        <v>173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</row>
    <row r="6" spans="1:36" ht="16" thickBot="1">
      <c r="A6" s="61">
        <v>31</v>
      </c>
      <c r="B6" s="39">
        <f>資料儲存!D2642</f>
        <v>0</v>
      </c>
      <c r="C6" s="39">
        <f>資料儲存!E2642</f>
        <v>0</v>
      </c>
      <c r="D6" s="39">
        <f>資料儲存!F2642</f>
        <v>0</v>
      </c>
      <c r="E6" s="39">
        <f>資料儲存!G2642</f>
        <v>0</v>
      </c>
      <c r="F6" s="39">
        <f>資料儲存!H2642</f>
        <v>0</v>
      </c>
      <c r="G6" s="39">
        <f>資料儲存!I2642</f>
        <v>0</v>
      </c>
      <c r="H6" s="39">
        <f>資料儲存!J2642</f>
        <v>0</v>
      </c>
      <c r="I6" s="58"/>
      <c r="J6" s="61">
        <v>31</v>
      </c>
      <c r="K6" s="39">
        <f>資料儲存!D2702</f>
        <v>0</v>
      </c>
      <c r="L6" s="39">
        <f>資料儲存!E2702</f>
        <v>0</v>
      </c>
      <c r="M6" s="39">
        <f>資料儲存!F2702</f>
        <v>0</v>
      </c>
      <c r="N6" s="39">
        <f>資料儲存!G2702</f>
        <v>0</v>
      </c>
      <c r="O6" s="39">
        <f>資料儲存!H2702</f>
        <v>0</v>
      </c>
      <c r="P6" s="39">
        <f>資料儲存!I2702</f>
        <v>0</v>
      </c>
      <c r="Q6" s="39">
        <f>資料儲存!J2702</f>
        <v>0</v>
      </c>
      <c r="R6" s="58"/>
      <c r="S6" s="61">
        <v>31</v>
      </c>
      <c r="T6" s="39">
        <f>資料儲存!D2762</f>
        <v>0</v>
      </c>
      <c r="U6" s="39">
        <f>資料儲存!E2762</f>
        <v>0</v>
      </c>
      <c r="V6" s="39">
        <f>資料儲存!F2762</f>
        <v>0</v>
      </c>
      <c r="W6" s="39">
        <f>資料儲存!G2762</f>
        <v>0</v>
      </c>
      <c r="X6" s="39">
        <f>資料儲存!H2762</f>
        <v>0</v>
      </c>
      <c r="Y6" s="39">
        <f>資料儲存!I2762</f>
        <v>0</v>
      </c>
      <c r="Z6" s="39">
        <f>資料儲存!J2762</f>
        <v>0</v>
      </c>
      <c r="AA6" s="58"/>
      <c r="AB6" s="61">
        <v>31</v>
      </c>
      <c r="AC6" s="39">
        <f>資料儲存!D2822</f>
        <v>0</v>
      </c>
      <c r="AD6" s="39">
        <f>資料儲存!E2822</f>
        <v>0</v>
      </c>
      <c r="AE6" s="39">
        <f>資料儲存!F2822</f>
        <v>0</v>
      </c>
      <c r="AF6" s="39">
        <f>資料儲存!G2822</f>
        <v>0</v>
      </c>
      <c r="AG6" s="39">
        <f>資料儲存!H2822</f>
        <v>0</v>
      </c>
      <c r="AH6" s="39">
        <f>資料儲存!I2822</f>
        <v>0</v>
      </c>
      <c r="AI6" s="39">
        <f>資料儲存!J2822</f>
        <v>0</v>
      </c>
      <c r="AJ6" s="58"/>
    </row>
    <row r="7" spans="1:36" ht="16" thickBot="1">
      <c r="A7" s="61">
        <v>32</v>
      </c>
      <c r="B7" s="39">
        <f>資料儲存!D2643</f>
        <v>0</v>
      </c>
      <c r="C7" s="39">
        <f>資料儲存!E2643</f>
        <v>0</v>
      </c>
      <c r="D7" s="39">
        <f>資料儲存!F2643</f>
        <v>0</v>
      </c>
      <c r="E7" s="39">
        <f>資料儲存!G2643</f>
        <v>0</v>
      </c>
      <c r="F7" s="39">
        <f>資料儲存!H2643</f>
        <v>0</v>
      </c>
      <c r="G7" s="39">
        <f>資料儲存!I2643</f>
        <v>0</v>
      </c>
      <c r="H7" s="39">
        <f>資料儲存!J2643</f>
        <v>0</v>
      </c>
      <c r="I7" s="58"/>
      <c r="J7" s="61">
        <v>32</v>
      </c>
      <c r="K7" s="39">
        <f>資料儲存!D2703</f>
        <v>0</v>
      </c>
      <c r="L7" s="39">
        <f>資料儲存!E2703</f>
        <v>0</v>
      </c>
      <c r="M7" s="39">
        <f>資料儲存!F2703</f>
        <v>0</v>
      </c>
      <c r="N7" s="39">
        <f>資料儲存!G2703</f>
        <v>0</v>
      </c>
      <c r="O7" s="39">
        <f>資料儲存!H2703</f>
        <v>0</v>
      </c>
      <c r="P7" s="39">
        <f>資料儲存!I2703</f>
        <v>0</v>
      </c>
      <c r="Q7" s="39">
        <f>資料儲存!J2703</f>
        <v>0</v>
      </c>
      <c r="R7" s="58"/>
      <c r="S7" s="61">
        <v>32</v>
      </c>
      <c r="T7" s="39">
        <f>資料儲存!D2763</f>
        <v>0</v>
      </c>
      <c r="U7" s="39">
        <f>資料儲存!E2763</f>
        <v>0</v>
      </c>
      <c r="V7" s="39">
        <f>資料儲存!F2763</f>
        <v>0</v>
      </c>
      <c r="W7" s="39">
        <f>資料儲存!G2763</f>
        <v>0</v>
      </c>
      <c r="X7" s="39">
        <f>資料儲存!H2763</f>
        <v>0</v>
      </c>
      <c r="Y7" s="39">
        <f>資料儲存!I2763</f>
        <v>0</v>
      </c>
      <c r="Z7" s="39">
        <f>資料儲存!J2763</f>
        <v>0</v>
      </c>
      <c r="AA7" s="58"/>
      <c r="AB7" s="61">
        <v>32</v>
      </c>
      <c r="AC7" s="39">
        <f>資料儲存!D2823</f>
        <v>0</v>
      </c>
      <c r="AD7" s="39">
        <f>資料儲存!E2823</f>
        <v>0</v>
      </c>
      <c r="AE7" s="39">
        <f>資料儲存!F2823</f>
        <v>0</v>
      </c>
      <c r="AF7" s="39">
        <f>資料儲存!G2823</f>
        <v>0</v>
      </c>
      <c r="AG7" s="39">
        <f>資料儲存!H2823</f>
        <v>0</v>
      </c>
      <c r="AH7" s="39">
        <f>資料儲存!I2823</f>
        <v>0</v>
      </c>
      <c r="AI7" s="39">
        <f>資料儲存!J2823</f>
        <v>0</v>
      </c>
      <c r="AJ7" s="58"/>
    </row>
    <row r="8" spans="1:36" ht="16" thickBot="1">
      <c r="A8" s="61">
        <v>33</v>
      </c>
      <c r="B8" s="39">
        <f>資料儲存!D2644</f>
        <v>0</v>
      </c>
      <c r="C8" s="39">
        <f>資料儲存!E2644</f>
        <v>0</v>
      </c>
      <c r="D8" s="39">
        <f>資料儲存!F2644</f>
        <v>0</v>
      </c>
      <c r="E8" s="39">
        <f>資料儲存!G2644</f>
        <v>0</v>
      </c>
      <c r="F8" s="39">
        <f>資料儲存!H2644</f>
        <v>0</v>
      </c>
      <c r="G8" s="39">
        <f>資料儲存!I2644</f>
        <v>0</v>
      </c>
      <c r="H8" s="39">
        <f>資料儲存!J2644</f>
        <v>0</v>
      </c>
      <c r="I8" s="58"/>
      <c r="J8" s="61">
        <v>33</v>
      </c>
      <c r="K8" s="39">
        <f>資料儲存!D2704</f>
        <v>0</v>
      </c>
      <c r="L8" s="39">
        <f>資料儲存!E2704</f>
        <v>0</v>
      </c>
      <c r="M8" s="39">
        <f>資料儲存!F2704</f>
        <v>0</v>
      </c>
      <c r="N8" s="39">
        <f>資料儲存!G2704</f>
        <v>0</v>
      </c>
      <c r="O8" s="39">
        <f>資料儲存!H2704</f>
        <v>0</v>
      </c>
      <c r="P8" s="39">
        <f>資料儲存!I2704</f>
        <v>0</v>
      </c>
      <c r="Q8" s="39">
        <f>資料儲存!J2704</f>
        <v>0</v>
      </c>
      <c r="R8" s="58"/>
      <c r="S8" s="61">
        <v>33</v>
      </c>
      <c r="T8" s="39">
        <f>資料儲存!D2764</f>
        <v>0</v>
      </c>
      <c r="U8" s="39">
        <f>資料儲存!E2764</f>
        <v>0</v>
      </c>
      <c r="V8" s="39">
        <f>資料儲存!F2764</f>
        <v>0</v>
      </c>
      <c r="W8" s="39">
        <f>資料儲存!G2764</f>
        <v>0</v>
      </c>
      <c r="X8" s="39">
        <f>資料儲存!H2764</f>
        <v>0</v>
      </c>
      <c r="Y8" s="39">
        <f>資料儲存!I2764</f>
        <v>0</v>
      </c>
      <c r="Z8" s="39">
        <f>資料儲存!J2764</f>
        <v>0</v>
      </c>
      <c r="AA8" s="58"/>
      <c r="AB8" s="61">
        <v>33</v>
      </c>
      <c r="AC8" s="39">
        <f>資料儲存!D2824</f>
        <v>0</v>
      </c>
      <c r="AD8" s="39">
        <f>資料儲存!E2824</f>
        <v>0</v>
      </c>
      <c r="AE8" s="39">
        <f>資料儲存!F2824</f>
        <v>0</v>
      </c>
      <c r="AF8" s="39">
        <f>資料儲存!G2824</f>
        <v>0</v>
      </c>
      <c r="AG8" s="39">
        <f>資料儲存!H2824</f>
        <v>0</v>
      </c>
      <c r="AH8" s="39">
        <f>資料儲存!I2824</f>
        <v>0</v>
      </c>
      <c r="AI8" s="39">
        <f>資料儲存!J2824</f>
        <v>0</v>
      </c>
      <c r="AJ8" s="58"/>
    </row>
    <row r="9" spans="1:36" ht="16" thickBot="1">
      <c r="A9" s="61">
        <v>34</v>
      </c>
      <c r="B9" s="39">
        <f>資料儲存!D2645</f>
        <v>0</v>
      </c>
      <c r="C9" s="39">
        <f>資料儲存!E2645</f>
        <v>0</v>
      </c>
      <c r="D9" s="39">
        <f>資料儲存!F2645</f>
        <v>0</v>
      </c>
      <c r="E9" s="39">
        <f>資料儲存!G2645</f>
        <v>0</v>
      </c>
      <c r="F9" s="39">
        <f>資料儲存!H2645</f>
        <v>0</v>
      </c>
      <c r="G9" s="39">
        <f>資料儲存!I2645</f>
        <v>0</v>
      </c>
      <c r="H9" s="39">
        <f>資料儲存!J2645</f>
        <v>0</v>
      </c>
      <c r="I9" s="58"/>
      <c r="J9" s="61">
        <v>34</v>
      </c>
      <c r="K9" s="39">
        <f>資料儲存!D2705</f>
        <v>0</v>
      </c>
      <c r="L9" s="39">
        <f>資料儲存!E2705</f>
        <v>0</v>
      </c>
      <c r="M9" s="39">
        <f>資料儲存!F2705</f>
        <v>0</v>
      </c>
      <c r="N9" s="39">
        <f>資料儲存!G2705</f>
        <v>0</v>
      </c>
      <c r="O9" s="39">
        <f>資料儲存!H2705</f>
        <v>0</v>
      </c>
      <c r="P9" s="39">
        <f>資料儲存!I2705</f>
        <v>0</v>
      </c>
      <c r="Q9" s="39">
        <f>資料儲存!J2705</f>
        <v>0</v>
      </c>
      <c r="R9" s="58"/>
      <c r="S9" s="61">
        <v>34</v>
      </c>
      <c r="T9" s="39">
        <f>資料儲存!D2765</f>
        <v>0</v>
      </c>
      <c r="U9" s="39">
        <f>資料儲存!E2765</f>
        <v>0</v>
      </c>
      <c r="V9" s="39">
        <f>資料儲存!F2765</f>
        <v>0</v>
      </c>
      <c r="W9" s="39">
        <f>資料儲存!G2765</f>
        <v>0</v>
      </c>
      <c r="X9" s="39">
        <f>資料儲存!H2765</f>
        <v>0</v>
      </c>
      <c r="Y9" s="39">
        <f>資料儲存!I2765</f>
        <v>0</v>
      </c>
      <c r="Z9" s="39">
        <f>資料儲存!J2765</f>
        <v>0</v>
      </c>
      <c r="AA9" s="58"/>
      <c r="AB9" s="61">
        <v>34</v>
      </c>
      <c r="AC9" s="39">
        <f>資料儲存!D2825</f>
        <v>0</v>
      </c>
      <c r="AD9" s="39">
        <f>資料儲存!E2825</f>
        <v>0</v>
      </c>
      <c r="AE9" s="39">
        <f>資料儲存!F2825</f>
        <v>0</v>
      </c>
      <c r="AF9" s="39">
        <f>資料儲存!G2825</f>
        <v>0</v>
      </c>
      <c r="AG9" s="39">
        <f>資料儲存!H2825</f>
        <v>0</v>
      </c>
      <c r="AH9" s="39">
        <f>資料儲存!I2825</f>
        <v>0</v>
      </c>
      <c r="AI9" s="39">
        <f>資料儲存!J2825</f>
        <v>0</v>
      </c>
      <c r="AJ9" s="58"/>
    </row>
    <row r="10" spans="1:36" ht="16" thickBot="1">
      <c r="A10" s="61">
        <v>35</v>
      </c>
      <c r="B10" s="39">
        <f>資料儲存!D2646</f>
        <v>0</v>
      </c>
      <c r="C10" s="39">
        <f>資料儲存!E2646</f>
        <v>0</v>
      </c>
      <c r="D10" s="39">
        <f>資料儲存!F2646</f>
        <v>0</v>
      </c>
      <c r="E10" s="39">
        <f>資料儲存!G2646</f>
        <v>0</v>
      </c>
      <c r="F10" s="39">
        <f>資料儲存!H2646</f>
        <v>0</v>
      </c>
      <c r="G10" s="39">
        <f>資料儲存!I2646</f>
        <v>0</v>
      </c>
      <c r="H10" s="39">
        <f>資料儲存!J2646</f>
        <v>0</v>
      </c>
      <c r="I10" s="58"/>
      <c r="J10" s="61">
        <v>35</v>
      </c>
      <c r="K10" s="39">
        <f>資料儲存!D2706</f>
        <v>0</v>
      </c>
      <c r="L10" s="39">
        <f>資料儲存!E2706</f>
        <v>0</v>
      </c>
      <c r="M10" s="39">
        <f>資料儲存!F2706</f>
        <v>0</v>
      </c>
      <c r="N10" s="39">
        <f>資料儲存!G2706</f>
        <v>0</v>
      </c>
      <c r="O10" s="39">
        <f>資料儲存!H2706</f>
        <v>0</v>
      </c>
      <c r="P10" s="39">
        <f>資料儲存!I2706</f>
        <v>0</v>
      </c>
      <c r="Q10" s="39">
        <f>資料儲存!J2706</f>
        <v>0</v>
      </c>
      <c r="R10" s="58"/>
      <c r="S10" s="61">
        <v>35</v>
      </c>
      <c r="T10" s="39">
        <f>資料儲存!D2766</f>
        <v>0</v>
      </c>
      <c r="U10" s="39">
        <f>資料儲存!E2766</f>
        <v>0</v>
      </c>
      <c r="V10" s="39">
        <f>資料儲存!F2766</f>
        <v>0</v>
      </c>
      <c r="W10" s="39">
        <f>資料儲存!G2766</f>
        <v>0</v>
      </c>
      <c r="X10" s="39">
        <f>資料儲存!H2766</f>
        <v>0</v>
      </c>
      <c r="Y10" s="39">
        <f>資料儲存!I2766</f>
        <v>0</v>
      </c>
      <c r="Z10" s="39">
        <f>資料儲存!J2766</f>
        <v>0</v>
      </c>
      <c r="AA10" s="58"/>
      <c r="AB10" s="61">
        <v>35</v>
      </c>
      <c r="AC10" s="39">
        <f>資料儲存!D2826</f>
        <v>0</v>
      </c>
      <c r="AD10" s="39">
        <f>資料儲存!E2826</f>
        <v>0</v>
      </c>
      <c r="AE10" s="39">
        <f>資料儲存!F2826</f>
        <v>0</v>
      </c>
      <c r="AF10" s="39">
        <f>資料儲存!G2826</f>
        <v>0</v>
      </c>
      <c r="AG10" s="39">
        <f>資料儲存!H2826</f>
        <v>0</v>
      </c>
      <c r="AH10" s="39">
        <f>資料儲存!I2826</f>
        <v>0</v>
      </c>
      <c r="AI10" s="39">
        <f>資料儲存!J2826</f>
        <v>0</v>
      </c>
      <c r="AJ10" s="58"/>
    </row>
    <row r="11" spans="1:36" ht="16" thickBot="1">
      <c r="A11" s="61">
        <v>36</v>
      </c>
      <c r="B11" s="39">
        <f>資料儲存!D2647</f>
        <v>0</v>
      </c>
      <c r="C11" s="39">
        <f>資料儲存!E2647</f>
        <v>0</v>
      </c>
      <c r="D11" s="39">
        <f>資料儲存!F2647</f>
        <v>0</v>
      </c>
      <c r="E11" s="39">
        <f>資料儲存!G2647</f>
        <v>0</v>
      </c>
      <c r="F11" s="39">
        <f>資料儲存!H2647</f>
        <v>0</v>
      </c>
      <c r="G11" s="39">
        <f>資料儲存!I2647</f>
        <v>0</v>
      </c>
      <c r="H11" s="39">
        <f>資料儲存!J2647</f>
        <v>0</v>
      </c>
      <c r="I11" s="58"/>
      <c r="J11" s="61">
        <v>36</v>
      </c>
      <c r="K11" s="39">
        <f>資料儲存!D2707</f>
        <v>0</v>
      </c>
      <c r="L11" s="39">
        <f>資料儲存!E2707</f>
        <v>0</v>
      </c>
      <c r="M11" s="39">
        <f>資料儲存!F2707</f>
        <v>0</v>
      </c>
      <c r="N11" s="39">
        <f>資料儲存!G2707</f>
        <v>0</v>
      </c>
      <c r="O11" s="39">
        <f>資料儲存!H2707</f>
        <v>0</v>
      </c>
      <c r="P11" s="39">
        <f>資料儲存!I2707</f>
        <v>0</v>
      </c>
      <c r="Q11" s="39">
        <f>資料儲存!J2707</f>
        <v>0</v>
      </c>
      <c r="R11" s="58"/>
      <c r="S11" s="61">
        <v>36</v>
      </c>
      <c r="T11" s="39">
        <f>資料儲存!D2767</f>
        <v>0</v>
      </c>
      <c r="U11" s="39">
        <f>資料儲存!E2767</f>
        <v>0</v>
      </c>
      <c r="V11" s="39">
        <f>資料儲存!F2767</f>
        <v>0</v>
      </c>
      <c r="W11" s="39">
        <f>資料儲存!G2767</f>
        <v>0</v>
      </c>
      <c r="X11" s="39">
        <f>資料儲存!H2767</f>
        <v>0</v>
      </c>
      <c r="Y11" s="39">
        <f>資料儲存!I2767</f>
        <v>0</v>
      </c>
      <c r="Z11" s="39">
        <f>資料儲存!J2767</f>
        <v>0</v>
      </c>
      <c r="AA11" s="58"/>
      <c r="AB11" s="61">
        <v>36</v>
      </c>
      <c r="AC11" s="39">
        <f>資料儲存!D2827</f>
        <v>0</v>
      </c>
      <c r="AD11" s="39">
        <f>資料儲存!E2827</f>
        <v>0</v>
      </c>
      <c r="AE11" s="39">
        <f>資料儲存!F2827</f>
        <v>0</v>
      </c>
      <c r="AF11" s="39">
        <f>資料儲存!G2827</f>
        <v>0</v>
      </c>
      <c r="AG11" s="39">
        <f>資料儲存!H2827</f>
        <v>0</v>
      </c>
      <c r="AH11" s="39">
        <f>資料儲存!I2827</f>
        <v>0</v>
      </c>
      <c r="AI11" s="39">
        <f>資料儲存!J2827</f>
        <v>0</v>
      </c>
      <c r="AJ11" s="58"/>
    </row>
    <row r="12" spans="1:36" ht="16" thickBot="1">
      <c r="A12" s="61">
        <v>37</v>
      </c>
      <c r="B12" s="39">
        <f>資料儲存!D2648</f>
        <v>0</v>
      </c>
      <c r="C12" s="39">
        <f>資料儲存!E2648</f>
        <v>0</v>
      </c>
      <c r="D12" s="39">
        <f>資料儲存!F2648</f>
        <v>0</v>
      </c>
      <c r="E12" s="39">
        <f>資料儲存!G2648</f>
        <v>0</v>
      </c>
      <c r="F12" s="39">
        <f>資料儲存!H2648</f>
        <v>0</v>
      </c>
      <c r="G12" s="39">
        <f>資料儲存!I2648</f>
        <v>0</v>
      </c>
      <c r="H12" s="39">
        <f>資料儲存!J2648</f>
        <v>0</v>
      </c>
      <c r="I12" s="58"/>
      <c r="J12" s="61">
        <v>37</v>
      </c>
      <c r="K12" s="39">
        <f>資料儲存!D2708</f>
        <v>0</v>
      </c>
      <c r="L12" s="39">
        <f>資料儲存!E2708</f>
        <v>0</v>
      </c>
      <c r="M12" s="39">
        <f>資料儲存!F2708</f>
        <v>0</v>
      </c>
      <c r="N12" s="39">
        <f>資料儲存!G2708</f>
        <v>0</v>
      </c>
      <c r="O12" s="39">
        <f>資料儲存!H2708</f>
        <v>0</v>
      </c>
      <c r="P12" s="39">
        <f>資料儲存!I2708</f>
        <v>0</v>
      </c>
      <c r="Q12" s="39">
        <f>資料儲存!J2708</f>
        <v>0</v>
      </c>
      <c r="R12" s="58"/>
      <c r="S12" s="61">
        <v>37</v>
      </c>
      <c r="T12" s="39">
        <f>資料儲存!D2768</f>
        <v>0</v>
      </c>
      <c r="U12" s="39">
        <f>資料儲存!E2768</f>
        <v>0</v>
      </c>
      <c r="V12" s="39">
        <f>資料儲存!F2768</f>
        <v>0</v>
      </c>
      <c r="W12" s="39">
        <f>資料儲存!G2768</f>
        <v>0</v>
      </c>
      <c r="X12" s="39">
        <f>資料儲存!H2768</f>
        <v>0</v>
      </c>
      <c r="Y12" s="39">
        <f>資料儲存!I2768</f>
        <v>0</v>
      </c>
      <c r="Z12" s="39">
        <f>資料儲存!J2768</f>
        <v>0</v>
      </c>
      <c r="AA12" s="58"/>
      <c r="AB12" s="61">
        <v>37</v>
      </c>
      <c r="AC12" s="39">
        <f>資料儲存!D2828</f>
        <v>0</v>
      </c>
      <c r="AD12" s="39">
        <f>資料儲存!E2828</f>
        <v>0</v>
      </c>
      <c r="AE12" s="39">
        <f>資料儲存!F2828</f>
        <v>0</v>
      </c>
      <c r="AF12" s="39">
        <f>資料儲存!G2828</f>
        <v>0</v>
      </c>
      <c r="AG12" s="39">
        <f>資料儲存!H2828</f>
        <v>0</v>
      </c>
      <c r="AH12" s="39">
        <f>資料儲存!I2828</f>
        <v>0</v>
      </c>
      <c r="AI12" s="39">
        <f>資料儲存!J2828</f>
        <v>0</v>
      </c>
      <c r="AJ12" s="58"/>
    </row>
    <row r="13" spans="1:36" ht="16" thickBot="1">
      <c r="A13" s="61">
        <v>38</v>
      </c>
      <c r="B13" s="39">
        <f>資料儲存!D2649</f>
        <v>0</v>
      </c>
      <c r="C13" s="39">
        <f>資料儲存!E2649</f>
        <v>0</v>
      </c>
      <c r="D13" s="39">
        <f>資料儲存!F2649</f>
        <v>0</v>
      </c>
      <c r="E13" s="39">
        <f>資料儲存!G2649</f>
        <v>0</v>
      </c>
      <c r="F13" s="39">
        <f>資料儲存!H2649</f>
        <v>0</v>
      </c>
      <c r="G13" s="39">
        <f>資料儲存!I2649</f>
        <v>0</v>
      </c>
      <c r="H13" s="39">
        <f>資料儲存!J2649</f>
        <v>0</v>
      </c>
      <c r="I13" s="58"/>
      <c r="J13" s="61">
        <v>38</v>
      </c>
      <c r="K13" s="39">
        <f>資料儲存!D2709</f>
        <v>0</v>
      </c>
      <c r="L13" s="39">
        <f>資料儲存!E2709</f>
        <v>0</v>
      </c>
      <c r="M13" s="39">
        <f>資料儲存!F2709</f>
        <v>0</v>
      </c>
      <c r="N13" s="39">
        <f>資料儲存!G2709</f>
        <v>0</v>
      </c>
      <c r="O13" s="39">
        <f>資料儲存!H2709</f>
        <v>0</v>
      </c>
      <c r="P13" s="39">
        <f>資料儲存!I2709</f>
        <v>0</v>
      </c>
      <c r="Q13" s="39">
        <f>資料儲存!J2709</f>
        <v>0</v>
      </c>
      <c r="R13" s="58"/>
      <c r="S13" s="61">
        <v>38</v>
      </c>
      <c r="T13" s="39">
        <f>資料儲存!D2769</f>
        <v>0</v>
      </c>
      <c r="U13" s="39">
        <f>資料儲存!E2769</f>
        <v>0</v>
      </c>
      <c r="V13" s="39">
        <f>資料儲存!F2769</f>
        <v>0</v>
      </c>
      <c r="W13" s="39">
        <f>資料儲存!G2769</f>
        <v>0</v>
      </c>
      <c r="X13" s="39">
        <f>資料儲存!H2769</f>
        <v>0</v>
      </c>
      <c r="Y13" s="39">
        <f>資料儲存!I2769</f>
        <v>0</v>
      </c>
      <c r="Z13" s="39">
        <f>資料儲存!J2769</f>
        <v>0</v>
      </c>
      <c r="AA13" s="58"/>
      <c r="AB13" s="61">
        <v>38</v>
      </c>
      <c r="AC13" s="39">
        <f>資料儲存!D2829</f>
        <v>0</v>
      </c>
      <c r="AD13" s="39">
        <f>資料儲存!E2829</f>
        <v>0</v>
      </c>
      <c r="AE13" s="39">
        <f>資料儲存!F2829</f>
        <v>0</v>
      </c>
      <c r="AF13" s="39">
        <f>資料儲存!G2829</f>
        <v>0</v>
      </c>
      <c r="AG13" s="39">
        <f>資料儲存!H2829</f>
        <v>0</v>
      </c>
      <c r="AH13" s="39">
        <f>資料儲存!I2829</f>
        <v>0</v>
      </c>
      <c r="AI13" s="39">
        <f>資料儲存!J2829</f>
        <v>0</v>
      </c>
      <c r="AJ13" s="58"/>
    </row>
    <row r="14" spans="1:36" ht="16" thickBot="1">
      <c r="A14" s="61">
        <v>39</v>
      </c>
      <c r="B14" s="39">
        <f>資料儲存!D2650</f>
        <v>0</v>
      </c>
      <c r="C14" s="39">
        <f>資料儲存!E2650</f>
        <v>0</v>
      </c>
      <c r="D14" s="39">
        <f>資料儲存!F2650</f>
        <v>0</v>
      </c>
      <c r="E14" s="39">
        <f>資料儲存!G2650</f>
        <v>0</v>
      </c>
      <c r="F14" s="39">
        <f>資料儲存!H2650</f>
        <v>0</v>
      </c>
      <c r="G14" s="39">
        <f>資料儲存!I2650</f>
        <v>0</v>
      </c>
      <c r="H14" s="39">
        <f>資料儲存!J2650</f>
        <v>0</v>
      </c>
      <c r="I14" s="58"/>
      <c r="J14" s="61">
        <v>39</v>
      </c>
      <c r="K14" s="39">
        <f>資料儲存!D2710</f>
        <v>0</v>
      </c>
      <c r="L14" s="39">
        <f>資料儲存!E2710</f>
        <v>0</v>
      </c>
      <c r="M14" s="39">
        <f>資料儲存!F2710</f>
        <v>0</v>
      </c>
      <c r="N14" s="39">
        <f>資料儲存!G2710</f>
        <v>0</v>
      </c>
      <c r="O14" s="39">
        <f>資料儲存!H2710</f>
        <v>0</v>
      </c>
      <c r="P14" s="39">
        <f>資料儲存!I2710</f>
        <v>0</v>
      </c>
      <c r="Q14" s="39">
        <f>資料儲存!J2710</f>
        <v>0</v>
      </c>
      <c r="R14" s="58"/>
      <c r="S14" s="61">
        <v>39</v>
      </c>
      <c r="T14" s="39">
        <f>資料儲存!D2770</f>
        <v>0</v>
      </c>
      <c r="U14" s="39">
        <f>資料儲存!E2770</f>
        <v>0</v>
      </c>
      <c r="V14" s="39">
        <f>資料儲存!F2770</f>
        <v>0</v>
      </c>
      <c r="W14" s="39">
        <f>資料儲存!G2770</f>
        <v>0</v>
      </c>
      <c r="X14" s="39">
        <f>資料儲存!H2770</f>
        <v>0</v>
      </c>
      <c r="Y14" s="39">
        <f>資料儲存!I2770</f>
        <v>0</v>
      </c>
      <c r="Z14" s="39">
        <f>資料儲存!J2770</f>
        <v>0</v>
      </c>
      <c r="AA14" s="58"/>
      <c r="AB14" s="61">
        <v>39</v>
      </c>
      <c r="AC14" s="39">
        <f>資料儲存!D2830</f>
        <v>0</v>
      </c>
      <c r="AD14" s="39">
        <f>資料儲存!E2830</f>
        <v>0</v>
      </c>
      <c r="AE14" s="39">
        <f>資料儲存!F2830</f>
        <v>0</v>
      </c>
      <c r="AF14" s="39">
        <f>資料儲存!G2830</f>
        <v>0</v>
      </c>
      <c r="AG14" s="39">
        <f>資料儲存!H2830</f>
        <v>0</v>
      </c>
      <c r="AH14" s="39">
        <f>資料儲存!I2830</f>
        <v>0</v>
      </c>
      <c r="AI14" s="39">
        <f>資料儲存!J2830</f>
        <v>0</v>
      </c>
      <c r="AJ14" s="58"/>
    </row>
    <row r="15" spans="1:36" ht="16" thickBot="1">
      <c r="A15" s="61">
        <v>40</v>
      </c>
      <c r="B15" s="39">
        <f>資料儲存!D2651</f>
        <v>0</v>
      </c>
      <c r="C15" s="39">
        <f>資料儲存!E2651</f>
        <v>0</v>
      </c>
      <c r="D15" s="39">
        <f>資料儲存!F2651</f>
        <v>0</v>
      </c>
      <c r="E15" s="39">
        <f>資料儲存!G2651</f>
        <v>0</v>
      </c>
      <c r="F15" s="39">
        <f>資料儲存!H2651</f>
        <v>0</v>
      </c>
      <c r="G15" s="39">
        <f>資料儲存!I2651</f>
        <v>0</v>
      </c>
      <c r="H15" s="39">
        <f>資料儲存!J2651</f>
        <v>0</v>
      </c>
      <c r="I15" s="58"/>
      <c r="J15" s="61">
        <v>40</v>
      </c>
      <c r="K15" s="39">
        <f>資料儲存!D2711</f>
        <v>0</v>
      </c>
      <c r="L15" s="39">
        <f>資料儲存!E2711</f>
        <v>0</v>
      </c>
      <c r="M15" s="39">
        <f>資料儲存!F2711</f>
        <v>0</v>
      </c>
      <c r="N15" s="39">
        <f>資料儲存!G2711</f>
        <v>0</v>
      </c>
      <c r="O15" s="39">
        <f>資料儲存!H2711</f>
        <v>0</v>
      </c>
      <c r="P15" s="39">
        <f>資料儲存!I2711</f>
        <v>0</v>
      </c>
      <c r="Q15" s="39">
        <f>資料儲存!J2711</f>
        <v>0</v>
      </c>
      <c r="R15" s="58"/>
      <c r="S15" s="61">
        <v>40</v>
      </c>
      <c r="T15" s="39">
        <f>資料儲存!D2771</f>
        <v>0</v>
      </c>
      <c r="U15" s="39">
        <f>資料儲存!E2771</f>
        <v>0</v>
      </c>
      <c r="V15" s="39">
        <f>資料儲存!F2771</f>
        <v>0</v>
      </c>
      <c r="W15" s="39">
        <f>資料儲存!G2771</f>
        <v>0</v>
      </c>
      <c r="X15" s="39">
        <f>資料儲存!H2771</f>
        <v>0</v>
      </c>
      <c r="Y15" s="39">
        <f>資料儲存!I2771</f>
        <v>0</v>
      </c>
      <c r="Z15" s="39">
        <f>資料儲存!J2771</f>
        <v>0</v>
      </c>
      <c r="AA15" s="58"/>
      <c r="AB15" s="61">
        <v>40</v>
      </c>
      <c r="AC15" s="39">
        <f>資料儲存!D2831</f>
        <v>0</v>
      </c>
      <c r="AD15" s="39">
        <f>資料儲存!E2831</f>
        <v>0</v>
      </c>
      <c r="AE15" s="39">
        <f>資料儲存!F2831</f>
        <v>0</v>
      </c>
      <c r="AF15" s="39">
        <f>資料儲存!G2831</f>
        <v>0</v>
      </c>
      <c r="AG15" s="39">
        <f>資料儲存!H2831</f>
        <v>0</v>
      </c>
      <c r="AH15" s="39">
        <f>資料儲存!I2831</f>
        <v>0</v>
      </c>
      <c r="AI15" s="39">
        <f>資料儲存!J2831</f>
        <v>0</v>
      </c>
      <c r="AJ15" s="58"/>
    </row>
    <row r="16" spans="1:36" ht="16" thickBot="1">
      <c r="A16" s="61">
        <v>41</v>
      </c>
      <c r="B16" s="39">
        <f>資料儲存!D2652</f>
        <v>0</v>
      </c>
      <c r="C16" s="39">
        <f>資料儲存!E2652</f>
        <v>0</v>
      </c>
      <c r="D16" s="39">
        <f>資料儲存!F2652</f>
        <v>0</v>
      </c>
      <c r="E16" s="39">
        <f>資料儲存!G2652</f>
        <v>0</v>
      </c>
      <c r="F16" s="39">
        <f>資料儲存!H2652</f>
        <v>0</v>
      </c>
      <c r="G16" s="39">
        <f>資料儲存!I2652</f>
        <v>0</v>
      </c>
      <c r="H16" s="39">
        <f>資料儲存!J2652</f>
        <v>0</v>
      </c>
      <c r="I16" s="58"/>
      <c r="J16" s="61">
        <v>41</v>
      </c>
      <c r="K16" s="39">
        <f>資料儲存!D2712</f>
        <v>0</v>
      </c>
      <c r="L16" s="39">
        <f>資料儲存!E2712</f>
        <v>0</v>
      </c>
      <c r="M16" s="39">
        <f>資料儲存!F2712</f>
        <v>0</v>
      </c>
      <c r="N16" s="39">
        <f>資料儲存!G2712</f>
        <v>0</v>
      </c>
      <c r="O16" s="39">
        <f>資料儲存!H2712</f>
        <v>0</v>
      </c>
      <c r="P16" s="39">
        <f>資料儲存!I2712</f>
        <v>0</v>
      </c>
      <c r="Q16" s="39">
        <f>資料儲存!J2712</f>
        <v>0</v>
      </c>
      <c r="R16" s="58"/>
      <c r="S16" s="61">
        <v>41</v>
      </c>
      <c r="T16" s="39">
        <f>資料儲存!D2772</f>
        <v>0</v>
      </c>
      <c r="U16" s="39">
        <f>資料儲存!E2772</f>
        <v>0</v>
      </c>
      <c r="V16" s="39">
        <f>資料儲存!F2772</f>
        <v>0</v>
      </c>
      <c r="W16" s="39">
        <f>資料儲存!G2772</f>
        <v>0</v>
      </c>
      <c r="X16" s="39">
        <f>資料儲存!H2772</f>
        <v>0</v>
      </c>
      <c r="Y16" s="39">
        <f>資料儲存!I2772</f>
        <v>0</v>
      </c>
      <c r="Z16" s="39">
        <f>資料儲存!J2772</f>
        <v>0</v>
      </c>
      <c r="AA16" s="58"/>
      <c r="AB16" s="61">
        <v>41</v>
      </c>
      <c r="AC16" s="39">
        <f>資料儲存!D2832</f>
        <v>0</v>
      </c>
      <c r="AD16" s="39">
        <f>資料儲存!E2832</f>
        <v>0</v>
      </c>
      <c r="AE16" s="39">
        <f>資料儲存!F2832</f>
        <v>0</v>
      </c>
      <c r="AF16" s="39">
        <f>資料儲存!G2832</f>
        <v>0</v>
      </c>
      <c r="AG16" s="39">
        <f>資料儲存!H2832</f>
        <v>0</v>
      </c>
      <c r="AH16" s="39">
        <f>資料儲存!I2832</f>
        <v>0</v>
      </c>
      <c r="AI16" s="39">
        <f>資料儲存!J2832</f>
        <v>0</v>
      </c>
      <c r="AJ16" s="58"/>
    </row>
    <row r="17" spans="1:36" ht="16" thickBot="1">
      <c r="A17" s="61">
        <v>42</v>
      </c>
      <c r="B17" s="39">
        <f>資料儲存!D2653</f>
        <v>0</v>
      </c>
      <c r="C17" s="39">
        <f>資料儲存!E2653</f>
        <v>0</v>
      </c>
      <c r="D17" s="39">
        <f>資料儲存!F2653</f>
        <v>0</v>
      </c>
      <c r="E17" s="39">
        <f>資料儲存!G2653</f>
        <v>0</v>
      </c>
      <c r="F17" s="39">
        <f>資料儲存!H2653</f>
        <v>0</v>
      </c>
      <c r="G17" s="39">
        <f>資料儲存!I2653</f>
        <v>0</v>
      </c>
      <c r="H17" s="39">
        <f>資料儲存!J2653</f>
        <v>0</v>
      </c>
      <c r="I17" s="58"/>
      <c r="J17" s="61">
        <v>42</v>
      </c>
      <c r="K17" s="39">
        <f>資料儲存!D2713</f>
        <v>0</v>
      </c>
      <c r="L17" s="39">
        <f>資料儲存!E2713</f>
        <v>0</v>
      </c>
      <c r="M17" s="39">
        <f>資料儲存!F2713</f>
        <v>0</v>
      </c>
      <c r="N17" s="39">
        <f>資料儲存!G2713</f>
        <v>0</v>
      </c>
      <c r="O17" s="39">
        <f>資料儲存!H2713</f>
        <v>0</v>
      </c>
      <c r="P17" s="39">
        <f>資料儲存!I2713</f>
        <v>0</v>
      </c>
      <c r="Q17" s="39">
        <f>資料儲存!J2713</f>
        <v>0</v>
      </c>
      <c r="R17" s="58"/>
      <c r="S17" s="61">
        <v>42</v>
      </c>
      <c r="T17" s="39">
        <f>資料儲存!D2773</f>
        <v>0</v>
      </c>
      <c r="U17" s="39">
        <f>資料儲存!E2773</f>
        <v>0</v>
      </c>
      <c r="V17" s="39">
        <f>資料儲存!F2773</f>
        <v>0</v>
      </c>
      <c r="W17" s="39">
        <f>資料儲存!G2773</f>
        <v>0</v>
      </c>
      <c r="X17" s="39">
        <f>資料儲存!H2773</f>
        <v>0</v>
      </c>
      <c r="Y17" s="39">
        <f>資料儲存!I2773</f>
        <v>0</v>
      </c>
      <c r="Z17" s="39">
        <f>資料儲存!J2773</f>
        <v>0</v>
      </c>
      <c r="AA17" s="58"/>
      <c r="AB17" s="61">
        <v>42</v>
      </c>
      <c r="AC17" s="39">
        <f>資料儲存!D2833</f>
        <v>0</v>
      </c>
      <c r="AD17" s="39">
        <f>資料儲存!E2833</f>
        <v>0</v>
      </c>
      <c r="AE17" s="39">
        <f>資料儲存!F2833</f>
        <v>0</v>
      </c>
      <c r="AF17" s="39">
        <f>資料儲存!G2833</f>
        <v>0</v>
      </c>
      <c r="AG17" s="39">
        <f>資料儲存!H2833</f>
        <v>0</v>
      </c>
      <c r="AH17" s="39">
        <f>資料儲存!I2833</f>
        <v>0</v>
      </c>
      <c r="AI17" s="39">
        <f>資料儲存!J2833</f>
        <v>0</v>
      </c>
      <c r="AJ17" s="58"/>
    </row>
    <row r="18" spans="1:36" ht="16" thickBot="1">
      <c r="A18" s="61">
        <v>43</v>
      </c>
      <c r="B18" s="39">
        <f>資料儲存!D2654</f>
        <v>0</v>
      </c>
      <c r="C18" s="39">
        <f>資料儲存!E2654</f>
        <v>0</v>
      </c>
      <c r="D18" s="39">
        <f>資料儲存!F2654</f>
        <v>0</v>
      </c>
      <c r="E18" s="39">
        <f>資料儲存!G2654</f>
        <v>0</v>
      </c>
      <c r="F18" s="39">
        <f>資料儲存!H2654</f>
        <v>0</v>
      </c>
      <c r="G18" s="39">
        <f>資料儲存!I2654</f>
        <v>0</v>
      </c>
      <c r="H18" s="39">
        <f>資料儲存!J2654</f>
        <v>0</v>
      </c>
      <c r="I18" s="58"/>
      <c r="J18" s="61">
        <v>43</v>
      </c>
      <c r="K18" s="39">
        <f>資料儲存!D2714</f>
        <v>0</v>
      </c>
      <c r="L18" s="39">
        <f>資料儲存!E2714</f>
        <v>0</v>
      </c>
      <c r="M18" s="39">
        <f>資料儲存!F2714</f>
        <v>0</v>
      </c>
      <c r="N18" s="39">
        <f>資料儲存!G2714</f>
        <v>0</v>
      </c>
      <c r="O18" s="39">
        <f>資料儲存!H2714</f>
        <v>0</v>
      </c>
      <c r="P18" s="39">
        <f>資料儲存!I2714</f>
        <v>0</v>
      </c>
      <c r="Q18" s="39">
        <f>資料儲存!J2714</f>
        <v>0</v>
      </c>
      <c r="R18" s="58"/>
      <c r="S18" s="61">
        <v>43</v>
      </c>
      <c r="T18" s="39">
        <f>資料儲存!D2774</f>
        <v>0</v>
      </c>
      <c r="U18" s="39">
        <f>資料儲存!E2774</f>
        <v>0</v>
      </c>
      <c r="V18" s="39">
        <f>資料儲存!F2774</f>
        <v>0</v>
      </c>
      <c r="W18" s="39">
        <f>資料儲存!G2774</f>
        <v>0</v>
      </c>
      <c r="X18" s="39">
        <f>資料儲存!H2774</f>
        <v>0</v>
      </c>
      <c r="Y18" s="39">
        <f>資料儲存!I2774</f>
        <v>0</v>
      </c>
      <c r="Z18" s="39">
        <f>資料儲存!J2774</f>
        <v>0</v>
      </c>
      <c r="AA18" s="58"/>
      <c r="AB18" s="61">
        <v>43</v>
      </c>
      <c r="AC18" s="39">
        <f>資料儲存!D2834</f>
        <v>0</v>
      </c>
      <c r="AD18" s="39">
        <f>資料儲存!E2834</f>
        <v>0</v>
      </c>
      <c r="AE18" s="39">
        <f>資料儲存!F2834</f>
        <v>0</v>
      </c>
      <c r="AF18" s="39">
        <f>資料儲存!G2834</f>
        <v>0</v>
      </c>
      <c r="AG18" s="39">
        <f>資料儲存!H2834</f>
        <v>0</v>
      </c>
      <c r="AH18" s="39">
        <f>資料儲存!I2834</f>
        <v>0</v>
      </c>
      <c r="AI18" s="39">
        <f>資料儲存!J2834</f>
        <v>0</v>
      </c>
      <c r="AJ18" s="58"/>
    </row>
    <row r="19" spans="1:36" ht="16" thickBot="1">
      <c r="A19" s="61">
        <v>44</v>
      </c>
      <c r="B19" s="39">
        <f>資料儲存!D2655</f>
        <v>0</v>
      </c>
      <c r="C19" s="39">
        <f>資料儲存!E2655</f>
        <v>0</v>
      </c>
      <c r="D19" s="39">
        <f>資料儲存!F2655</f>
        <v>0</v>
      </c>
      <c r="E19" s="39">
        <f>資料儲存!G2655</f>
        <v>0</v>
      </c>
      <c r="F19" s="39">
        <f>資料儲存!H2655</f>
        <v>0</v>
      </c>
      <c r="G19" s="39">
        <f>資料儲存!I2655</f>
        <v>0</v>
      </c>
      <c r="H19" s="39">
        <f>資料儲存!J2655</f>
        <v>0</v>
      </c>
      <c r="I19" s="58"/>
      <c r="J19" s="61">
        <v>44</v>
      </c>
      <c r="K19" s="39">
        <f>資料儲存!D2715</f>
        <v>0</v>
      </c>
      <c r="L19" s="39">
        <f>資料儲存!E2715</f>
        <v>0</v>
      </c>
      <c r="M19" s="39">
        <f>資料儲存!F2715</f>
        <v>0</v>
      </c>
      <c r="N19" s="39">
        <f>資料儲存!G2715</f>
        <v>0</v>
      </c>
      <c r="O19" s="39">
        <f>資料儲存!H2715</f>
        <v>0</v>
      </c>
      <c r="P19" s="39">
        <f>資料儲存!I2715</f>
        <v>0</v>
      </c>
      <c r="Q19" s="39">
        <f>資料儲存!J2715</f>
        <v>0</v>
      </c>
      <c r="R19" s="58"/>
      <c r="S19" s="61">
        <v>44</v>
      </c>
      <c r="T19" s="39">
        <f>資料儲存!D2775</f>
        <v>0</v>
      </c>
      <c r="U19" s="39">
        <f>資料儲存!E2775</f>
        <v>0</v>
      </c>
      <c r="V19" s="39">
        <f>資料儲存!F2775</f>
        <v>0</v>
      </c>
      <c r="W19" s="39">
        <f>資料儲存!G2775</f>
        <v>0</v>
      </c>
      <c r="X19" s="39">
        <f>資料儲存!H2775</f>
        <v>0</v>
      </c>
      <c r="Y19" s="39">
        <f>資料儲存!I2775</f>
        <v>0</v>
      </c>
      <c r="Z19" s="39">
        <f>資料儲存!J2775</f>
        <v>0</v>
      </c>
      <c r="AA19" s="58"/>
      <c r="AB19" s="61">
        <v>44</v>
      </c>
      <c r="AC19" s="39">
        <f>資料儲存!D2835</f>
        <v>0</v>
      </c>
      <c r="AD19" s="39">
        <f>資料儲存!E2835</f>
        <v>0</v>
      </c>
      <c r="AE19" s="39">
        <f>資料儲存!F2835</f>
        <v>0</v>
      </c>
      <c r="AF19" s="39">
        <f>資料儲存!G2835</f>
        <v>0</v>
      </c>
      <c r="AG19" s="39">
        <f>資料儲存!H2835</f>
        <v>0</v>
      </c>
      <c r="AH19" s="39">
        <f>資料儲存!I2835</f>
        <v>0</v>
      </c>
      <c r="AI19" s="39">
        <f>資料儲存!J2835</f>
        <v>0</v>
      </c>
      <c r="AJ19" s="58"/>
    </row>
    <row r="20" spans="1:36" ht="16" thickBot="1">
      <c r="A20" s="61">
        <v>45</v>
      </c>
      <c r="B20" s="39">
        <f>資料儲存!D2656</f>
        <v>0</v>
      </c>
      <c r="C20" s="39">
        <f>資料儲存!E2656</f>
        <v>0</v>
      </c>
      <c r="D20" s="39">
        <f>資料儲存!F2656</f>
        <v>0</v>
      </c>
      <c r="E20" s="39">
        <f>資料儲存!G2656</f>
        <v>0</v>
      </c>
      <c r="F20" s="39">
        <f>資料儲存!H2656</f>
        <v>0</v>
      </c>
      <c r="G20" s="39">
        <f>資料儲存!I2656</f>
        <v>0</v>
      </c>
      <c r="H20" s="39">
        <f>資料儲存!J2656</f>
        <v>0</v>
      </c>
      <c r="I20" s="58"/>
      <c r="J20" s="61">
        <v>45</v>
      </c>
      <c r="K20" s="39">
        <f>資料儲存!D2716</f>
        <v>0</v>
      </c>
      <c r="L20" s="39">
        <f>資料儲存!E2716</f>
        <v>0</v>
      </c>
      <c r="M20" s="39">
        <f>資料儲存!F2716</f>
        <v>0</v>
      </c>
      <c r="N20" s="39">
        <f>資料儲存!G2716</f>
        <v>0</v>
      </c>
      <c r="O20" s="39">
        <f>資料儲存!H2716</f>
        <v>0</v>
      </c>
      <c r="P20" s="39">
        <f>資料儲存!I2716</f>
        <v>0</v>
      </c>
      <c r="Q20" s="39">
        <f>資料儲存!J2716</f>
        <v>0</v>
      </c>
      <c r="R20" s="58"/>
      <c r="S20" s="61">
        <v>45</v>
      </c>
      <c r="T20" s="39">
        <f>資料儲存!D2776</f>
        <v>0</v>
      </c>
      <c r="U20" s="39">
        <f>資料儲存!E2776</f>
        <v>0</v>
      </c>
      <c r="V20" s="39">
        <f>資料儲存!F2776</f>
        <v>0</v>
      </c>
      <c r="W20" s="39">
        <f>資料儲存!G2776</f>
        <v>0</v>
      </c>
      <c r="X20" s="39">
        <f>資料儲存!H2776</f>
        <v>0</v>
      </c>
      <c r="Y20" s="39">
        <f>資料儲存!I2776</f>
        <v>0</v>
      </c>
      <c r="Z20" s="39">
        <f>資料儲存!J2776</f>
        <v>0</v>
      </c>
      <c r="AA20" s="58"/>
      <c r="AB20" s="61">
        <v>45</v>
      </c>
      <c r="AC20" s="39">
        <f>資料儲存!D2836</f>
        <v>0</v>
      </c>
      <c r="AD20" s="39">
        <f>資料儲存!E2836</f>
        <v>0</v>
      </c>
      <c r="AE20" s="39">
        <f>資料儲存!F2836</f>
        <v>0</v>
      </c>
      <c r="AF20" s="39">
        <f>資料儲存!G2836</f>
        <v>0</v>
      </c>
      <c r="AG20" s="39">
        <f>資料儲存!H2836</f>
        <v>0</v>
      </c>
      <c r="AH20" s="39">
        <f>資料儲存!I2836</f>
        <v>0</v>
      </c>
      <c r="AI20" s="39">
        <f>資料儲存!J2836</f>
        <v>0</v>
      </c>
      <c r="AJ20" s="58"/>
    </row>
    <row r="21" spans="1:36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</row>
    <row r="22" spans="1:36" ht="18.5" thickBot="1">
      <c r="A22" s="259" t="s">
        <v>110</v>
      </c>
      <c r="B22" s="260"/>
      <c r="C22" s="260"/>
      <c r="D22" s="260"/>
      <c r="E22" s="260"/>
      <c r="F22" s="260"/>
      <c r="G22" s="260"/>
      <c r="H22" s="261"/>
      <c r="I22" s="14"/>
      <c r="J22" s="259" t="s">
        <v>110</v>
      </c>
      <c r="K22" s="260"/>
      <c r="L22" s="260"/>
      <c r="M22" s="260"/>
      <c r="N22" s="260"/>
      <c r="O22" s="260"/>
      <c r="P22" s="260"/>
      <c r="Q22" s="261"/>
      <c r="R22" s="14"/>
      <c r="S22" s="259" t="s">
        <v>110</v>
      </c>
      <c r="T22" s="260"/>
      <c r="U22" s="260"/>
      <c r="V22" s="260"/>
      <c r="W22" s="260"/>
      <c r="X22" s="260"/>
      <c r="Y22" s="260"/>
      <c r="Z22" s="261"/>
      <c r="AA22" s="14"/>
      <c r="AB22" s="259" t="s">
        <v>110</v>
      </c>
      <c r="AC22" s="260"/>
      <c r="AD22" s="260"/>
      <c r="AE22" s="260"/>
      <c r="AF22" s="260"/>
      <c r="AG22" s="260"/>
      <c r="AH22" s="260"/>
      <c r="AI22" s="261"/>
      <c r="AJ22" s="14"/>
    </row>
    <row r="23" spans="1:36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</row>
    <row r="24" spans="1:36" ht="16" thickBot="1">
      <c r="A24" s="66">
        <v>0.61458333333333337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>
        <v>0.61458333333333337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>
        <v>0.61458333333333337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>
        <v>0.61458333333333337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</row>
    <row r="25" spans="1:36" ht="16" thickBot="1">
      <c r="A25" s="68">
        <v>46</v>
      </c>
      <c r="B25" s="49">
        <f>資料儲存!D2657</f>
        <v>0</v>
      </c>
      <c r="C25" s="49">
        <f>資料儲存!E2657</f>
        <v>0</v>
      </c>
      <c r="D25" s="49">
        <f>資料儲存!F2657</f>
        <v>0</v>
      </c>
      <c r="E25" s="49">
        <f>資料儲存!G2657</f>
        <v>0</v>
      </c>
      <c r="F25" s="49">
        <f>資料儲存!H2657</f>
        <v>0</v>
      </c>
      <c r="G25" s="49">
        <f>資料儲存!I2657</f>
        <v>0</v>
      </c>
      <c r="H25" s="49">
        <f>資料儲存!J2657</f>
        <v>0</v>
      </c>
      <c r="I25" s="52"/>
      <c r="J25" s="68">
        <v>46</v>
      </c>
      <c r="K25" s="49">
        <f>資料儲存!D2717</f>
        <v>0</v>
      </c>
      <c r="L25" s="49">
        <f>資料儲存!E2717</f>
        <v>0</v>
      </c>
      <c r="M25" s="49">
        <f>資料儲存!F2717</f>
        <v>0</v>
      </c>
      <c r="N25" s="49">
        <f>資料儲存!G2717</f>
        <v>0</v>
      </c>
      <c r="O25" s="49">
        <f>資料儲存!H2717</f>
        <v>0</v>
      </c>
      <c r="P25" s="49">
        <f>資料儲存!I2717</f>
        <v>0</v>
      </c>
      <c r="Q25" s="49">
        <f>資料儲存!J2717</f>
        <v>0</v>
      </c>
      <c r="R25" s="52"/>
      <c r="S25" s="68">
        <v>46</v>
      </c>
      <c r="T25" s="49">
        <f>資料儲存!D2777</f>
        <v>0</v>
      </c>
      <c r="U25" s="49">
        <f>資料儲存!E2777</f>
        <v>0</v>
      </c>
      <c r="V25" s="49">
        <f>資料儲存!F2777</f>
        <v>0</v>
      </c>
      <c r="W25" s="49">
        <f>資料儲存!G2777</f>
        <v>0</v>
      </c>
      <c r="X25" s="49">
        <f>資料儲存!H2777</f>
        <v>0</v>
      </c>
      <c r="Y25" s="49">
        <f>資料儲存!I2777</f>
        <v>0</v>
      </c>
      <c r="Z25" s="49">
        <f>資料儲存!J2777</f>
        <v>0</v>
      </c>
      <c r="AA25" s="52"/>
      <c r="AB25" s="68">
        <v>46</v>
      </c>
      <c r="AC25" s="49">
        <f>資料儲存!D2837</f>
        <v>0</v>
      </c>
      <c r="AD25" s="49">
        <f>資料儲存!E2837</f>
        <v>0</v>
      </c>
      <c r="AE25" s="49">
        <f>資料儲存!F2837</f>
        <v>0</v>
      </c>
      <c r="AF25" s="49">
        <f>資料儲存!G2837</f>
        <v>0</v>
      </c>
      <c r="AG25" s="49">
        <f>資料儲存!H2837</f>
        <v>0</v>
      </c>
      <c r="AH25" s="49">
        <f>資料儲存!I2837</f>
        <v>0</v>
      </c>
      <c r="AI25" s="49">
        <f>資料儲存!J2837</f>
        <v>0</v>
      </c>
      <c r="AJ25" s="52"/>
    </row>
    <row r="26" spans="1:36" ht="16" thickBot="1">
      <c r="A26" s="68">
        <v>47</v>
      </c>
      <c r="B26" s="49">
        <f>資料儲存!D2658</f>
        <v>0</v>
      </c>
      <c r="C26" s="49">
        <f>資料儲存!E2658</f>
        <v>0</v>
      </c>
      <c r="D26" s="49">
        <f>資料儲存!F2658</f>
        <v>0</v>
      </c>
      <c r="E26" s="49">
        <f>資料儲存!G2658</f>
        <v>0</v>
      </c>
      <c r="F26" s="49">
        <f>資料儲存!H2658</f>
        <v>0</v>
      </c>
      <c r="G26" s="49">
        <f>資料儲存!I2658</f>
        <v>0</v>
      </c>
      <c r="H26" s="49">
        <f>資料儲存!J2658</f>
        <v>0</v>
      </c>
      <c r="I26" s="52"/>
      <c r="J26" s="68">
        <v>47</v>
      </c>
      <c r="K26" s="49">
        <f>資料儲存!D2718</f>
        <v>0</v>
      </c>
      <c r="L26" s="49">
        <f>資料儲存!E2718</f>
        <v>0</v>
      </c>
      <c r="M26" s="49">
        <f>資料儲存!F2718</f>
        <v>0</v>
      </c>
      <c r="N26" s="49">
        <f>資料儲存!G2718</f>
        <v>0</v>
      </c>
      <c r="O26" s="49">
        <f>資料儲存!H2718</f>
        <v>0</v>
      </c>
      <c r="P26" s="49">
        <f>資料儲存!I2718</f>
        <v>0</v>
      </c>
      <c r="Q26" s="49">
        <f>資料儲存!J2718</f>
        <v>0</v>
      </c>
      <c r="R26" s="52"/>
      <c r="S26" s="68">
        <v>47</v>
      </c>
      <c r="T26" s="49">
        <f>資料儲存!D2778</f>
        <v>0</v>
      </c>
      <c r="U26" s="49">
        <f>資料儲存!E2778</f>
        <v>0</v>
      </c>
      <c r="V26" s="49">
        <f>資料儲存!F2778</f>
        <v>0</v>
      </c>
      <c r="W26" s="49">
        <f>資料儲存!G2778</f>
        <v>0</v>
      </c>
      <c r="X26" s="49">
        <f>資料儲存!H2778</f>
        <v>0</v>
      </c>
      <c r="Y26" s="49">
        <f>資料儲存!I2778</f>
        <v>0</v>
      </c>
      <c r="Z26" s="49">
        <f>資料儲存!J2778</f>
        <v>0</v>
      </c>
      <c r="AA26" s="52"/>
      <c r="AB26" s="68">
        <v>47</v>
      </c>
      <c r="AC26" s="49">
        <f>資料儲存!D2838</f>
        <v>0</v>
      </c>
      <c r="AD26" s="49">
        <f>資料儲存!E2838</f>
        <v>0</v>
      </c>
      <c r="AE26" s="49">
        <f>資料儲存!F2838</f>
        <v>0</v>
      </c>
      <c r="AF26" s="49">
        <f>資料儲存!G2838</f>
        <v>0</v>
      </c>
      <c r="AG26" s="49">
        <f>資料儲存!H2838</f>
        <v>0</v>
      </c>
      <c r="AH26" s="49">
        <f>資料儲存!I2838</f>
        <v>0</v>
      </c>
      <c r="AI26" s="49">
        <f>資料儲存!J2838</f>
        <v>0</v>
      </c>
      <c r="AJ26" s="52"/>
    </row>
    <row r="27" spans="1:36" ht="16" thickBot="1">
      <c r="A27" s="68">
        <v>48</v>
      </c>
      <c r="B27" s="49">
        <f>資料儲存!D2659</f>
        <v>0</v>
      </c>
      <c r="C27" s="49">
        <f>資料儲存!E2659</f>
        <v>0</v>
      </c>
      <c r="D27" s="49">
        <f>資料儲存!F2659</f>
        <v>0</v>
      </c>
      <c r="E27" s="49">
        <f>資料儲存!G2659</f>
        <v>0</v>
      </c>
      <c r="F27" s="49">
        <f>資料儲存!H2659</f>
        <v>0</v>
      </c>
      <c r="G27" s="49">
        <f>資料儲存!I2659</f>
        <v>0</v>
      </c>
      <c r="H27" s="49">
        <f>資料儲存!J2659</f>
        <v>0</v>
      </c>
      <c r="I27" s="52"/>
      <c r="J27" s="68">
        <v>48</v>
      </c>
      <c r="K27" s="49">
        <f>資料儲存!D2719</f>
        <v>0</v>
      </c>
      <c r="L27" s="49">
        <f>資料儲存!E2719</f>
        <v>0</v>
      </c>
      <c r="M27" s="49">
        <f>資料儲存!F2719</f>
        <v>0</v>
      </c>
      <c r="N27" s="49">
        <f>資料儲存!G2719</f>
        <v>0</v>
      </c>
      <c r="O27" s="49">
        <f>資料儲存!H2719</f>
        <v>0</v>
      </c>
      <c r="P27" s="49">
        <f>資料儲存!I2719</f>
        <v>0</v>
      </c>
      <c r="Q27" s="49">
        <f>資料儲存!J2719</f>
        <v>0</v>
      </c>
      <c r="R27" s="52"/>
      <c r="S27" s="68">
        <v>48</v>
      </c>
      <c r="T27" s="49">
        <f>資料儲存!D2779</f>
        <v>0</v>
      </c>
      <c r="U27" s="49">
        <f>資料儲存!E2779</f>
        <v>0</v>
      </c>
      <c r="V27" s="49">
        <f>資料儲存!F2779</f>
        <v>0</v>
      </c>
      <c r="W27" s="49">
        <f>資料儲存!G2779</f>
        <v>0</v>
      </c>
      <c r="X27" s="49">
        <f>資料儲存!H2779</f>
        <v>0</v>
      </c>
      <c r="Y27" s="49">
        <f>資料儲存!I2779</f>
        <v>0</v>
      </c>
      <c r="Z27" s="49">
        <f>資料儲存!J2779</f>
        <v>0</v>
      </c>
      <c r="AA27" s="52"/>
      <c r="AB27" s="68">
        <v>48</v>
      </c>
      <c r="AC27" s="49">
        <f>資料儲存!D2839</f>
        <v>0</v>
      </c>
      <c r="AD27" s="49">
        <f>資料儲存!E2839</f>
        <v>0</v>
      </c>
      <c r="AE27" s="49">
        <f>資料儲存!F2839</f>
        <v>0</v>
      </c>
      <c r="AF27" s="49">
        <f>資料儲存!G2839</f>
        <v>0</v>
      </c>
      <c r="AG27" s="49">
        <f>資料儲存!H2839</f>
        <v>0</v>
      </c>
      <c r="AH27" s="49">
        <f>資料儲存!I2839</f>
        <v>0</v>
      </c>
      <c r="AI27" s="49">
        <f>資料儲存!J2839</f>
        <v>0</v>
      </c>
      <c r="AJ27" s="52"/>
    </row>
    <row r="28" spans="1:36" ht="16" thickBot="1">
      <c r="A28" s="68">
        <v>49</v>
      </c>
      <c r="B28" s="49">
        <f>資料儲存!D2660</f>
        <v>0</v>
      </c>
      <c r="C28" s="49">
        <f>資料儲存!E2660</f>
        <v>0</v>
      </c>
      <c r="D28" s="49">
        <f>資料儲存!F2660</f>
        <v>0</v>
      </c>
      <c r="E28" s="49">
        <f>資料儲存!G2660</f>
        <v>0</v>
      </c>
      <c r="F28" s="49">
        <f>資料儲存!H2660</f>
        <v>0</v>
      </c>
      <c r="G28" s="49">
        <f>資料儲存!I2660</f>
        <v>0</v>
      </c>
      <c r="H28" s="49">
        <f>資料儲存!J2660</f>
        <v>0</v>
      </c>
      <c r="I28" s="52"/>
      <c r="J28" s="68">
        <v>49</v>
      </c>
      <c r="K28" s="49">
        <f>資料儲存!D2720</f>
        <v>0</v>
      </c>
      <c r="L28" s="49">
        <f>資料儲存!E2720</f>
        <v>0</v>
      </c>
      <c r="M28" s="49">
        <f>資料儲存!F2720</f>
        <v>0</v>
      </c>
      <c r="N28" s="49">
        <f>資料儲存!G2720</f>
        <v>0</v>
      </c>
      <c r="O28" s="49">
        <f>資料儲存!H2720</f>
        <v>0</v>
      </c>
      <c r="P28" s="49">
        <f>資料儲存!I2720</f>
        <v>0</v>
      </c>
      <c r="Q28" s="49">
        <f>資料儲存!J2720</f>
        <v>0</v>
      </c>
      <c r="R28" s="52"/>
      <c r="S28" s="68">
        <v>49</v>
      </c>
      <c r="T28" s="49">
        <f>資料儲存!D2780</f>
        <v>0</v>
      </c>
      <c r="U28" s="49">
        <f>資料儲存!E2780</f>
        <v>0</v>
      </c>
      <c r="V28" s="49">
        <f>資料儲存!F2780</f>
        <v>0</v>
      </c>
      <c r="W28" s="49">
        <f>資料儲存!G2780</f>
        <v>0</v>
      </c>
      <c r="X28" s="49">
        <f>資料儲存!H2780</f>
        <v>0</v>
      </c>
      <c r="Y28" s="49">
        <f>資料儲存!I2780</f>
        <v>0</v>
      </c>
      <c r="Z28" s="49">
        <f>資料儲存!J2780</f>
        <v>0</v>
      </c>
      <c r="AA28" s="52"/>
      <c r="AB28" s="68">
        <v>49</v>
      </c>
      <c r="AC28" s="49">
        <f>資料儲存!D2840</f>
        <v>0</v>
      </c>
      <c r="AD28" s="49">
        <f>資料儲存!E2840</f>
        <v>0</v>
      </c>
      <c r="AE28" s="49">
        <f>資料儲存!F2840</f>
        <v>0</v>
      </c>
      <c r="AF28" s="49">
        <f>資料儲存!G2840</f>
        <v>0</v>
      </c>
      <c r="AG28" s="49">
        <f>資料儲存!H2840</f>
        <v>0</v>
      </c>
      <c r="AH28" s="49">
        <f>資料儲存!I2840</f>
        <v>0</v>
      </c>
      <c r="AI28" s="49">
        <f>資料儲存!J2840</f>
        <v>0</v>
      </c>
      <c r="AJ28" s="52"/>
    </row>
    <row r="29" spans="1:36" ht="16" thickBot="1">
      <c r="A29" s="68">
        <v>50</v>
      </c>
      <c r="B29" s="49">
        <f>資料儲存!D2661</f>
        <v>0</v>
      </c>
      <c r="C29" s="49">
        <f>資料儲存!E2661</f>
        <v>0</v>
      </c>
      <c r="D29" s="49">
        <f>資料儲存!F2661</f>
        <v>0</v>
      </c>
      <c r="E29" s="49">
        <f>資料儲存!G2661</f>
        <v>0</v>
      </c>
      <c r="F29" s="49">
        <f>資料儲存!H2661</f>
        <v>0</v>
      </c>
      <c r="G29" s="49">
        <f>資料儲存!I2661</f>
        <v>0</v>
      </c>
      <c r="H29" s="49">
        <f>資料儲存!J2661</f>
        <v>0</v>
      </c>
      <c r="I29" s="52"/>
      <c r="J29" s="68">
        <v>50</v>
      </c>
      <c r="K29" s="49">
        <f>資料儲存!D2721</f>
        <v>0</v>
      </c>
      <c r="L29" s="49">
        <f>資料儲存!E2721</f>
        <v>0</v>
      </c>
      <c r="M29" s="49">
        <f>資料儲存!F2721</f>
        <v>0</v>
      </c>
      <c r="N29" s="49">
        <f>資料儲存!G2721</f>
        <v>0</v>
      </c>
      <c r="O29" s="49">
        <f>資料儲存!H2721</f>
        <v>0</v>
      </c>
      <c r="P29" s="49">
        <f>資料儲存!I2721</f>
        <v>0</v>
      </c>
      <c r="Q29" s="49">
        <f>資料儲存!J2721</f>
        <v>0</v>
      </c>
      <c r="R29" s="52"/>
      <c r="S29" s="68">
        <v>50</v>
      </c>
      <c r="T29" s="49">
        <f>資料儲存!D2781</f>
        <v>0</v>
      </c>
      <c r="U29" s="49">
        <f>資料儲存!E2781</f>
        <v>0</v>
      </c>
      <c r="V29" s="49">
        <f>資料儲存!F2781</f>
        <v>0</v>
      </c>
      <c r="W29" s="49">
        <f>資料儲存!G2781</f>
        <v>0</v>
      </c>
      <c r="X29" s="49">
        <f>資料儲存!H2781</f>
        <v>0</v>
      </c>
      <c r="Y29" s="49">
        <f>資料儲存!I2781</f>
        <v>0</v>
      </c>
      <c r="Z29" s="49">
        <f>資料儲存!J2781</f>
        <v>0</v>
      </c>
      <c r="AA29" s="52"/>
      <c r="AB29" s="68">
        <v>50</v>
      </c>
      <c r="AC29" s="49">
        <f>資料儲存!D2841</f>
        <v>0</v>
      </c>
      <c r="AD29" s="49">
        <f>資料儲存!E2841</f>
        <v>0</v>
      </c>
      <c r="AE29" s="49">
        <f>資料儲存!F2841</f>
        <v>0</v>
      </c>
      <c r="AF29" s="49">
        <f>資料儲存!G2841</f>
        <v>0</v>
      </c>
      <c r="AG29" s="49">
        <f>資料儲存!H2841</f>
        <v>0</v>
      </c>
      <c r="AH29" s="49">
        <f>資料儲存!I2841</f>
        <v>0</v>
      </c>
      <c r="AI29" s="49">
        <f>資料儲存!J2841</f>
        <v>0</v>
      </c>
      <c r="AJ29" s="52"/>
    </row>
    <row r="30" spans="1:36" ht="16" thickBot="1">
      <c r="A30" s="68">
        <v>51</v>
      </c>
      <c r="B30" s="49">
        <f>資料儲存!D2662</f>
        <v>0</v>
      </c>
      <c r="C30" s="49">
        <f>資料儲存!E2662</f>
        <v>0</v>
      </c>
      <c r="D30" s="49">
        <f>資料儲存!F2662</f>
        <v>0</v>
      </c>
      <c r="E30" s="49">
        <f>資料儲存!G2662</f>
        <v>0</v>
      </c>
      <c r="F30" s="49">
        <f>資料儲存!H2662</f>
        <v>0</v>
      </c>
      <c r="G30" s="49">
        <f>資料儲存!I2662</f>
        <v>0</v>
      </c>
      <c r="H30" s="49">
        <f>資料儲存!J2662</f>
        <v>0</v>
      </c>
      <c r="I30" s="52"/>
      <c r="J30" s="68">
        <v>51</v>
      </c>
      <c r="K30" s="49">
        <f>資料儲存!D2722</f>
        <v>0</v>
      </c>
      <c r="L30" s="49">
        <f>資料儲存!E2722</f>
        <v>0</v>
      </c>
      <c r="M30" s="49">
        <f>資料儲存!F2722</f>
        <v>0</v>
      </c>
      <c r="N30" s="49">
        <f>資料儲存!G2722</f>
        <v>0</v>
      </c>
      <c r="O30" s="49">
        <f>資料儲存!H2722</f>
        <v>0</v>
      </c>
      <c r="P30" s="49">
        <f>資料儲存!I2722</f>
        <v>0</v>
      </c>
      <c r="Q30" s="49">
        <f>資料儲存!J2722</f>
        <v>0</v>
      </c>
      <c r="R30" s="52"/>
      <c r="S30" s="68">
        <v>51</v>
      </c>
      <c r="T30" s="49">
        <f>資料儲存!D2782</f>
        <v>0</v>
      </c>
      <c r="U30" s="49">
        <f>資料儲存!E2782</f>
        <v>0</v>
      </c>
      <c r="V30" s="49">
        <f>資料儲存!F2782</f>
        <v>0</v>
      </c>
      <c r="W30" s="49">
        <f>資料儲存!G2782</f>
        <v>0</v>
      </c>
      <c r="X30" s="49">
        <f>資料儲存!H2782</f>
        <v>0</v>
      </c>
      <c r="Y30" s="49">
        <f>資料儲存!I2782</f>
        <v>0</v>
      </c>
      <c r="Z30" s="49">
        <f>資料儲存!J2782</f>
        <v>0</v>
      </c>
      <c r="AA30" s="52"/>
      <c r="AB30" s="68">
        <v>51</v>
      </c>
      <c r="AC30" s="49">
        <f>資料儲存!D2842</f>
        <v>0</v>
      </c>
      <c r="AD30" s="49">
        <f>資料儲存!E2842</f>
        <v>0</v>
      </c>
      <c r="AE30" s="49">
        <f>資料儲存!F2842</f>
        <v>0</v>
      </c>
      <c r="AF30" s="49">
        <f>資料儲存!G2842</f>
        <v>0</v>
      </c>
      <c r="AG30" s="49">
        <f>資料儲存!H2842</f>
        <v>0</v>
      </c>
      <c r="AH30" s="49">
        <f>資料儲存!I2842</f>
        <v>0</v>
      </c>
      <c r="AI30" s="49">
        <f>資料儲存!J2842</f>
        <v>0</v>
      </c>
      <c r="AJ30" s="52"/>
    </row>
    <row r="31" spans="1:36" ht="16" thickBot="1">
      <c r="A31" s="68">
        <v>52</v>
      </c>
      <c r="B31" s="49">
        <f>資料儲存!D2663</f>
        <v>0</v>
      </c>
      <c r="C31" s="49">
        <f>資料儲存!E2663</f>
        <v>0</v>
      </c>
      <c r="D31" s="49">
        <f>資料儲存!F2663</f>
        <v>0</v>
      </c>
      <c r="E31" s="49">
        <f>資料儲存!G2663</f>
        <v>0</v>
      </c>
      <c r="F31" s="49">
        <f>資料儲存!H2663</f>
        <v>0</v>
      </c>
      <c r="G31" s="49">
        <f>資料儲存!I2663</f>
        <v>0</v>
      </c>
      <c r="H31" s="49">
        <f>資料儲存!J2663</f>
        <v>0</v>
      </c>
      <c r="I31" s="52"/>
      <c r="J31" s="68">
        <v>52</v>
      </c>
      <c r="K31" s="49">
        <f>資料儲存!D2723</f>
        <v>0</v>
      </c>
      <c r="L31" s="49">
        <f>資料儲存!E2723</f>
        <v>0</v>
      </c>
      <c r="M31" s="49">
        <f>資料儲存!F2723</f>
        <v>0</v>
      </c>
      <c r="N31" s="49">
        <f>資料儲存!G2723</f>
        <v>0</v>
      </c>
      <c r="O31" s="49">
        <f>資料儲存!H2723</f>
        <v>0</v>
      </c>
      <c r="P31" s="49">
        <f>資料儲存!I2723</f>
        <v>0</v>
      </c>
      <c r="Q31" s="49">
        <f>資料儲存!J2723</f>
        <v>0</v>
      </c>
      <c r="R31" s="52"/>
      <c r="S31" s="68">
        <v>52</v>
      </c>
      <c r="T31" s="49">
        <f>資料儲存!D2783</f>
        <v>0</v>
      </c>
      <c r="U31" s="49">
        <f>資料儲存!E2783</f>
        <v>0</v>
      </c>
      <c r="V31" s="49">
        <f>資料儲存!F2783</f>
        <v>0</v>
      </c>
      <c r="W31" s="49">
        <f>資料儲存!G2783</f>
        <v>0</v>
      </c>
      <c r="X31" s="49">
        <f>資料儲存!H2783</f>
        <v>0</v>
      </c>
      <c r="Y31" s="49">
        <f>資料儲存!I2783</f>
        <v>0</v>
      </c>
      <c r="Z31" s="49">
        <f>資料儲存!J2783</f>
        <v>0</v>
      </c>
      <c r="AA31" s="52"/>
      <c r="AB31" s="68">
        <v>52</v>
      </c>
      <c r="AC31" s="49">
        <f>資料儲存!D2843</f>
        <v>0</v>
      </c>
      <c r="AD31" s="49">
        <f>資料儲存!E2843</f>
        <v>0</v>
      </c>
      <c r="AE31" s="49">
        <f>資料儲存!F2843</f>
        <v>0</v>
      </c>
      <c r="AF31" s="49">
        <f>資料儲存!G2843</f>
        <v>0</v>
      </c>
      <c r="AG31" s="49">
        <f>資料儲存!H2843</f>
        <v>0</v>
      </c>
      <c r="AH31" s="49">
        <f>資料儲存!I2843</f>
        <v>0</v>
      </c>
      <c r="AI31" s="49">
        <f>資料儲存!J2843</f>
        <v>0</v>
      </c>
      <c r="AJ31" s="52"/>
    </row>
    <row r="32" spans="1:36" ht="16" thickBot="1">
      <c r="A32" s="68">
        <v>53</v>
      </c>
      <c r="B32" s="49">
        <f>資料儲存!D2664</f>
        <v>0</v>
      </c>
      <c r="C32" s="49">
        <f>資料儲存!E2664</f>
        <v>0</v>
      </c>
      <c r="D32" s="49">
        <f>資料儲存!F2664</f>
        <v>0</v>
      </c>
      <c r="E32" s="49">
        <f>資料儲存!G2664</f>
        <v>0</v>
      </c>
      <c r="F32" s="49">
        <f>資料儲存!H2664</f>
        <v>0</v>
      </c>
      <c r="G32" s="49">
        <f>資料儲存!I2664</f>
        <v>0</v>
      </c>
      <c r="H32" s="49">
        <f>資料儲存!J2664</f>
        <v>0</v>
      </c>
      <c r="I32" s="52"/>
      <c r="J32" s="68">
        <v>53</v>
      </c>
      <c r="K32" s="49">
        <f>資料儲存!D2724</f>
        <v>0</v>
      </c>
      <c r="L32" s="49">
        <f>資料儲存!E2724</f>
        <v>0</v>
      </c>
      <c r="M32" s="49">
        <f>資料儲存!F2724</f>
        <v>0</v>
      </c>
      <c r="N32" s="49">
        <f>資料儲存!G2724</f>
        <v>0</v>
      </c>
      <c r="O32" s="49">
        <f>資料儲存!H2724</f>
        <v>0</v>
      </c>
      <c r="P32" s="49">
        <f>資料儲存!I2724</f>
        <v>0</v>
      </c>
      <c r="Q32" s="49">
        <f>資料儲存!J2724</f>
        <v>0</v>
      </c>
      <c r="R32" s="52"/>
      <c r="S32" s="68">
        <v>53</v>
      </c>
      <c r="T32" s="49">
        <f>資料儲存!D2784</f>
        <v>0</v>
      </c>
      <c r="U32" s="49">
        <f>資料儲存!E2784</f>
        <v>0</v>
      </c>
      <c r="V32" s="49">
        <f>資料儲存!F2784</f>
        <v>0</v>
      </c>
      <c r="W32" s="49">
        <f>資料儲存!G2784</f>
        <v>0</v>
      </c>
      <c r="X32" s="49">
        <f>資料儲存!H2784</f>
        <v>0</v>
      </c>
      <c r="Y32" s="49">
        <f>資料儲存!I2784</f>
        <v>0</v>
      </c>
      <c r="Z32" s="49">
        <f>資料儲存!J2784</f>
        <v>0</v>
      </c>
      <c r="AA32" s="52"/>
      <c r="AB32" s="68">
        <v>53</v>
      </c>
      <c r="AC32" s="49">
        <f>資料儲存!D2844</f>
        <v>0</v>
      </c>
      <c r="AD32" s="49">
        <f>資料儲存!E2844</f>
        <v>0</v>
      </c>
      <c r="AE32" s="49">
        <f>資料儲存!F2844</f>
        <v>0</v>
      </c>
      <c r="AF32" s="49">
        <f>資料儲存!G2844</f>
        <v>0</v>
      </c>
      <c r="AG32" s="49">
        <f>資料儲存!H2844</f>
        <v>0</v>
      </c>
      <c r="AH32" s="49">
        <f>資料儲存!I2844</f>
        <v>0</v>
      </c>
      <c r="AI32" s="49">
        <f>資料儲存!J2844</f>
        <v>0</v>
      </c>
      <c r="AJ32" s="52"/>
    </row>
    <row r="33" spans="1:36" ht="16" thickBot="1">
      <c r="A33" s="68">
        <v>54</v>
      </c>
      <c r="B33" s="49">
        <f>資料儲存!D2665</f>
        <v>0</v>
      </c>
      <c r="C33" s="49">
        <f>資料儲存!E2665</f>
        <v>0</v>
      </c>
      <c r="D33" s="49">
        <f>資料儲存!F2665</f>
        <v>0</v>
      </c>
      <c r="E33" s="49">
        <f>資料儲存!G2665</f>
        <v>0</v>
      </c>
      <c r="F33" s="49">
        <f>資料儲存!H2665</f>
        <v>0</v>
      </c>
      <c r="G33" s="49">
        <f>資料儲存!I2665</f>
        <v>0</v>
      </c>
      <c r="H33" s="49">
        <f>資料儲存!J2665</f>
        <v>0</v>
      </c>
      <c r="I33" s="52"/>
      <c r="J33" s="68">
        <v>54</v>
      </c>
      <c r="K33" s="49">
        <f>資料儲存!D2725</f>
        <v>0</v>
      </c>
      <c r="L33" s="49">
        <f>資料儲存!E2725</f>
        <v>0</v>
      </c>
      <c r="M33" s="49">
        <f>資料儲存!F2725</f>
        <v>0</v>
      </c>
      <c r="N33" s="49">
        <f>資料儲存!G2725</f>
        <v>0</v>
      </c>
      <c r="O33" s="49">
        <f>資料儲存!H2725</f>
        <v>0</v>
      </c>
      <c r="P33" s="49">
        <f>資料儲存!I2725</f>
        <v>0</v>
      </c>
      <c r="Q33" s="49">
        <f>資料儲存!J2725</f>
        <v>0</v>
      </c>
      <c r="R33" s="52"/>
      <c r="S33" s="68">
        <v>54</v>
      </c>
      <c r="T33" s="49">
        <f>資料儲存!D2785</f>
        <v>0</v>
      </c>
      <c r="U33" s="49">
        <f>資料儲存!E2785</f>
        <v>0</v>
      </c>
      <c r="V33" s="49">
        <f>資料儲存!F2785</f>
        <v>0</v>
      </c>
      <c r="W33" s="49">
        <f>資料儲存!G2785</f>
        <v>0</v>
      </c>
      <c r="X33" s="49">
        <f>資料儲存!H2785</f>
        <v>0</v>
      </c>
      <c r="Y33" s="49">
        <f>資料儲存!I2785</f>
        <v>0</v>
      </c>
      <c r="Z33" s="49">
        <f>資料儲存!J2785</f>
        <v>0</v>
      </c>
      <c r="AA33" s="52"/>
      <c r="AB33" s="68">
        <v>54</v>
      </c>
      <c r="AC33" s="49">
        <f>資料儲存!D2845</f>
        <v>0</v>
      </c>
      <c r="AD33" s="49">
        <f>資料儲存!E2845</f>
        <v>0</v>
      </c>
      <c r="AE33" s="49">
        <f>資料儲存!F2845</f>
        <v>0</v>
      </c>
      <c r="AF33" s="49">
        <f>資料儲存!G2845</f>
        <v>0</v>
      </c>
      <c r="AG33" s="49">
        <f>資料儲存!H2845</f>
        <v>0</v>
      </c>
      <c r="AH33" s="49">
        <f>資料儲存!I2845</f>
        <v>0</v>
      </c>
      <c r="AI33" s="49">
        <f>資料儲存!J2845</f>
        <v>0</v>
      </c>
      <c r="AJ33" s="52"/>
    </row>
    <row r="34" spans="1:36" ht="16" thickBot="1">
      <c r="A34" s="68">
        <v>55</v>
      </c>
      <c r="B34" s="49">
        <f>資料儲存!D2666</f>
        <v>0</v>
      </c>
      <c r="C34" s="49">
        <f>資料儲存!E2666</f>
        <v>0</v>
      </c>
      <c r="D34" s="49">
        <f>資料儲存!F2666</f>
        <v>0</v>
      </c>
      <c r="E34" s="49">
        <f>資料儲存!G2666</f>
        <v>0</v>
      </c>
      <c r="F34" s="49">
        <f>資料儲存!H2666</f>
        <v>0</v>
      </c>
      <c r="G34" s="49">
        <f>資料儲存!I2666</f>
        <v>0</v>
      </c>
      <c r="H34" s="49">
        <f>資料儲存!J2666</f>
        <v>0</v>
      </c>
      <c r="I34" s="52"/>
      <c r="J34" s="68">
        <v>55</v>
      </c>
      <c r="K34" s="49">
        <f>資料儲存!D2726</f>
        <v>0</v>
      </c>
      <c r="L34" s="49">
        <f>資料儲存!E2726</f>
        <v>0</v>
      </c>
      <c r="M34" s="49">
        <f>資料儲存!F2726</f>
        <v>0</v>
      </c>
      <c r="N34" s="49">
        <f>資料儲存!G2726</f>
        <v>0</v>
      </c>
      <c r="O34" s="49">
        <f>資料儲存!H2726</f>
        <v>0</v>
      </c>
      <c r="P34" s="49">
        <f>資料儲存!I2726</f>
        <v>0</v>
      </c>
      <c r="Q34" s="49">
        <f>資料儲存!J2726</f>
        <v>0</v>
      </c>
      <c r="R34" s="52"/>
      <c r="S34" s="68">
        <v>55</v>
      </c>
      <c r="T34" s="49">
        <f>資料儲存!D2786</f>
        <v>0</v>
      </c>
      <c r="U34" s="49">
        <f>資料儲存!E2786</f>
        <v>0</v>
      </c>
      <c r="V34" s="49">
        <f>資料儲存!F2786</f>
        <v>0</v>
      </c>
      <c r="W34" s="49">
        <f>資料儲存!G2786</f>
        <v>0</v>
      </c>
      <c r="X34" s="49">
        <f>資料儲存!H2786</f>
        <v>0</v>
      </c>
      <c r="Y34" s="49">
        <f>資料儲存!I2786</f>
        <v>0</v>
      </c>
      <c r="Z34" s="49">
        <f>資料儲存!J2786</f>
        <v>0</v>
      </c>
      <c r="AA34" s="52"/>
      <c r="AB34" s="68">
        <v>55</v>
      </c>
      <c r="AC34" s="49">
        <f>資料儲存!D2846</f>
        <v>0</v>
      </c>
      <c r="AD34" s="49">
        <f>資料儲存!E2846</f>
        <v>0</v>
      </c>
      <c r="AE34" s="49">
        <f>資料儲存!F2846</f>
        <v>0</v>
      </c>
      <c r="AF34" s="49">
        <f>資料儲存!G2846</f>
        <v>0</v>
      </c>
      <c r="AG34" s="49">
        <f>資料儲存!H2846</f>
        <v>0</v>
      </c>
      <c r="AH34" s="49">
        <f>資料儲存!I2846</f>
        <v>0</v>
      </c>
      <c r="AI34" s="49">
        <f>資料儲存!J2846</f>
        <v>0</v>
      </c>
      <c r="AJ34" s="52"/>
    </row>
    <row r="35" spans="1:36" ht="16" thickBot="1">
      <c r="A35" s="68">
        <v>56</v>
      </c>
      <c r="B35" s="49">
        <f>資料儲存!D2667</f>
        <v>0</v>
      </c>
      <c r="C35" s="49">
        <f>資料儲存!E2667</f>
        <v>0</v>
      </c>
      <c r="D35" s="49">
        <f>資料儲存!F2667</f>
        <v>0</v>
      </c>
      <c r="E35" s="49">
        <f>資料儲存!G2667</f>
        <v>0</v>
      </c>
      <c r="F35" s="49">
        <f>資料儲存!H2667</f>
        <v>0</v>
      </c>
      <c r="G35" s="49">
        <f>資料儲存!I2667</f>
        <v>0</v>
      </c>
      <c r="H35" s="49">
        <f>資料儲存!J2667</f>
        <v>0</v>
      </c>
      <c r="I35" s="52"/>
      <c r="J35" s="68">
        <v>56</v>
      </c>
      <c r="K35" s="49">
        <f>資料儲存!D2727</f>
        <v>0</v>
      </c>
      <c r="L35" s="49">
        <f>資料儲存!E2727</f>
        <v>0</v>
      </c>
      <c r="M35" s="49">
        <f>資料儲存!F2727</f>
        <v>0</v>
      </c>
      <c r="N35" s="49">
        <f>資料儲存!G2727</f>
        <v>0</v>
      </c>
      <c r="O35" s="49">
        <f>資料儲存!H2727</f>
        <v>0</v>
      </c>
      <c r="P35" s="49">
        <f>資料儲存!I2727</f>
        <v>0</v>
      </c>
      <c r="Q35" s="49">
        <f>資料儲存!J2727</f>
        <v>0</v>
      </c>
      <c r="R35" s="52"/>
      <c r="S35" s="68">
        <v>56</v>
      </c>
      <c r="T35" s="49">
        <f>資料儲存!D2787</f>
        <v>0</v>
      </c>
      <c r="U35" s="49">
        <f>資料儲存!E2787</f>
        <v>0</v>
      </c>
      <c r="V35" s="49">
        <f>資料儲存!F2787</f>
        <v>0</v>
      </c>
      <c r="W35" s="49">
        <f>資料儲存!G2787</f>
        <v>0</v>
      </c>
      <c r="X35" s="49">
        <f>資料儲存!H2787</f>
        <v>0</v>
      </c>
      <c r="Y35" s="49">
        <f>資料儲存!I2787</f>
        <v>0</v>
      </c>
      <c r="Z35" s="49">
        <f>資料儲存!J2787</f>
        <v>0</v>
      </c>
      <c r="AA35" s="52"/>
      <c r="AB35" s="68">
        <v>56</v>
      </c>
      <c r="AC35" s="49">
        <f>資料儲存!D2847</f>
        <v>0</v>
      </c>
      <c r="AD35" s="49">
        <f>資料儲存!E2847</f>
        <v>0</v>
      </c>
      <c r="AE35" s="49">
        <f>資料儲存!F2847</f>
        <v>0</v>
      </c>
      <c r="AF35" s="49">
        <f>資料儲存!G2847</f>
        <v>0</v>
      </c>
      <c r="AG35" s="49">
        <f>資料儲存!H2847</f>
        <v>0</v>
      </c>
      <c r="AH35" s="49">
        <f>資料儲存!I2847</f>
        <v>0</v>
      </c>
      <c r="AI35" s="49">
        <f>資料儲存!J2847</f>
        <v>0</v>
      </c>
      <c r="AJ35" s="52"/>
    </row>
    <row r="36" spans="1:36" ht="16" thickBot="1">
      <c r="A36" s="68">
        <v>57</v>
      </c>
      <c r="B36" s="49">
        <f>資料儲存!D2668</f>
        <v>0</v>
      </c>
      <c r="C36" s="49">
        <f>資料儲存!E2668</f>
        <v>0</v>
      </c>
      <c r="D36" s="49">
        <f>資料儲存!F2668</f>
        <v>0</v>
      </c>
      <c r="E36" s="49">
        <f>資料儲存!G2668</f>
        <v>0</v>
      </c>
      <c r="F36" s="49">
        <f>資料儲存!H2668</f>
        <v>0</v>
      </c>
      <c r="G36" s="49">
        <f>資料儲存!I2668</f>
        <v>0</v>
      </c>
      <c r="H36" s="49">
        <f>資料儲存!J2668</f>
        <v>0</v>
      </c>
      <c r="I36" s="52"/>
      <c r="J36" s="68">
        <v>57</v>
      </c>
      <c r="K36" s="49">
        <f>資料儲存!D2728</f>
        <v>0</v>
      </c>
      <c r="L36" s="49">
        <f>資料儲存!E2728</f>
        <v>0</v>
      </c>
      <c r="M36" s="49">
        <f>資料儲存!F2728</f>
        <v>0</v>
      </c>
      <c r="N36" s="49">
        <f>資料儲存!G2728</f>
        <v>0</v>
      </c>
      <c r="O36" s="49">
        <f>資料儲存!H2728</f>
        <v>0</v>
      </c>
      <c r="P36" s="49">
        <f>資料儲存!I2728</f>
        <v>0</v>
      </c>
      <c r="Q36" s="49">
        <f>資料儲存!J2728</f>
        <v>0</v>
      </c>
      <c r="R36" s="52"/>
      <c r="S36" s="68">
        <v>57</v>
      </c>
      <c r="T36" s="49">
        <f>資料儲存!D2788</f>
        <v>0</v>
      </c>
      <c r="U36" s="49">
        <f>資料儲存!E2788</f>
        <v>0</v>
      </c>
      <c r="V36" s="49">
        <f>資料儲存!F2788</f>
        <v>0</v>
      </c>
      <c r="W36" s="49">
        <f>資料儲存!G2788</f>
        <v>0</v>
      </c>
      <c r="X36" s="49">
        <f>資料儲存!H2788</f>
        <v>0</v>
      </c>
      <c r="Y36" s="49">
        <f>資料儲存!I2788</f>
        <v>0</v>
      </c>
      <c r="Z36" s="49">
        <f>資料儲存!J2788</f>
        <v>0</v>
      </c>
      <c r="AA36" s="52"/>
      <c r="AB36" s="68">
        <v>57</v>
      </c>
      <c r="AC36" s="49">
        <f>資料儲存!D2848</f>
        <v>0</v>
      </c>
      <c r="AD36" s="49">
        <f>資料儲存!E2848</f>
        <v>0</v>
      </c>
      <c r="AE36" s="49">
        <f>資料儲存!F2848</f>
        <v>0</v>
      </c>
      <c r="AF36" s="49">
        <f>資料儲存!G2848</f>
        <v>0</v>
      </c>
      <c r="AG36" s="49">
        <f>資料儲存!H2848</f>
        <v>0</v>
      </c>
      <c r="AH36" s="49">
        <f>資料儲存!I2848</f>
        <v>0</v>
      </c>
      <c r="AI36" s="49">
        <f>資料儲存!J2848</f>
        <v>0</v>
      </c>
      <c r="AJ36" s="52"/>
    </row>
    <row r="37" spans="1:36" ht="16" thickBot="1">
      <c r="A37" s="68">
        <v>58</v>
      </c>
      <c r="B37" s="49">
        <f>資料儲存!D2669</f>
        <v>0</v>
      </c>
      <c r="C37" s="49">
        <f>資料儲存!E2669</f>
        <v>0</v>
      </c>
      <c r="D37" s="49">
        <f>資料儲存!F2669</f>
        <v>0</v>
      </c>
      <c r="E37" s="49">
        <f>資料儲存!G2669</f>
        <v>0</v>
      </c>
      <c r="F37" s="49">
        <f>資料儲存!H2669</f>
        <v>0</v>
      </c>
      <c r="G37" s="49">
        <f>資料儲存!I2669</f>
        <v>0</v>
      </c>
      <c r="H37" s="49">
        <f>資料儲存!J2669</f>
        <v>0</v>
      </c>
      <c r="I37" s="52"/>
      <c r="J37" s="68">
        <v>58</v>
      </c>
      <c r="K37" s="49">
        <f>資料儲存!D2729</f>
        <v>0</v>
      </c>
      <c r="L37" s="49">
        <f>資料儲存!E2729</f>
        <v>0</v>
      </c>
      <c r="M37" s="49">
        <f>資料儲存!F2729</f>
        <v>0</v>
      </c>
      <c r="N37" s="49">
        <f>資料儲存!G2729</f>
        <v>0</v>
      </c>
      <c r="O37" s="49">
        <f>資料儲存!H2729</f>
        <v>0</v>
      </c>
      <c r="P37" s="49">
        <f>資料儲存!I2729</f>
        <v>0</v>
      </c>
      <c r="Q37" s="49">
        <f>資料儲存!J2729</f>
        <v>0</v>
      </c>
      <c r="R37" s="52"/>
      <c r="S37" s="68">
        <v>58</v>
      </c>
      <c r="T37" s="49">
        <f>資料儲存!D2789</f>
        <v>0</v>
      </c>
      <c r="U37" s="49">
        <f>資料儲存!E2789</f>
        <v>0</v>
      </c>
      <c r="V37" s="49">
        <f>資料儲存!F2789</f>
        <v>0</v>
      </c>
      <c r="W37" s="49">
        <f>資料儲存!G2789</f>
        <v>0</v>
      </c>
      <c r="X37" s="49">
        <f>資料儲存!H2789</f>
        <v>0</v>
      </c>
      <c r="Y37" s="49">
        <f>資料儲存!I2789</f>
        <v>0</v>
      </c>
      <c r="Z37" s="49">
        <f>資料儲存!J2789</f>
        <v>0</v>
      </c>
      <c r="AA37" s="52"/>
      <c r="AB37" s="68">
        <v>58</v>
      </c>
      <c r="AC37" s="49">
        <f>資料儲存!D2849</f>
        <v>0</v>
      </c>
      <c r="AD37" s="49">
        <f>資料儲存!E2849</f>
        <v>0</v>
      </c>
      <c r="AE37" s="49">
        <f>資料儲存!F2849</f>
        <v>0</v>
      </c>
      <c r="AF37" s="49">
        <f>資料儲存!G2849</f>
        <v>0</v>
      </c>
      <c r="AG37" s="49">
        <f>資料儲存!H2849</f>
        <v>0</v>
      </c>
      <c r="AH37" s="49">
        <f>資料儲存!I2849</f>
        <v>0</v>
      </c>
      <c r="AI37" s="49">
        <f>資料儲存!J2849</f>
        <v>0</v>
      </c>
      <c r="AJ37" s="52"/>
    </row>
    <row r="38" spans="1:36" ht="16" thickBot="1">
      <c r="A38" s="68">
        <v>59</v>
      </c>
      <c r="B38" s="49">
        <f>資料儲存!D2670</f>
        <v>0</v>
      </c>
      <c r="C38" s="49">
        <f>資料儲存!E2670</f>
        <v>0</v>
      </c>
      <c r="D38" s="49">
        <f>資料儲存!F2670</f>
        <v>0</v>
      </c>
      <c r="E38" s="49">
        <f>資料儲存!G2670</f>
        <v>0</v>
      </c>
      <c r="F38" s="49">
        <f>資料儲存!H2670</f>
        <v>0</v>
      </c>
      <c r="G38" s="49">
        <f>資料儲存!I2670</f>
        <v>0</v>
      </c>
      <c r="H38" s="49">
        <f>資料儲存!J2670</f>
        <v>0</v>
      </c>
      <c r="I38" s="52"/>
      <c r="J38" s="68">
        <v>59</v>
      </c>
      <c r="K38" s="49">
        <f>資料儲存!D2730</f>
        <v>0</v>
      </c>
      <c r="L38" s="49">
        <f>資料儲存!E2730</f>
        <v>0</v>
      </c>
      <c r="M38" s="49">
        <f>資料儲存!F2730</f>
        <v>0</v>
      </c>
      <c r="N38" s="49">
        <f>資料儲存!G2730</f>
        <v>0</v>
      </c>
      <c r="O38" s="49">
        <f>資料儲存!H2730</f>
        <v>0</v>
      </c>
      <c r="P38" s="49">
        <f>資料儲存!I2730</f>
        <v>0</v>
      </c>
      <c r="Q38" s="49">
        <f>資料儲存!J2730</f>
        <v>0</v>
      </c>
      <c r="R38" s="52"/>
      <c r="S38" s="68">
        <v>59</v>
      </c>
      <c r="T38" s="49">
        <f>資料儲存!D2790</f>
        <v>0</v>
      </c>
      <c r="U38" s="49">
        <f>資料儲存!E2790</f>
        <v>0</v>
      </c>
      <c r="V38" s="49">
        <f>資料儲存!F2790</f>
        <v>0</v>
      </c>
      <c r="W38" s="49">
        <f>資料儲存!G2790</f>
        <v>0</v>
      </c>
      <c r="X38" s="49">
        <f>資料儲存!H2790</f>
        <v>0</v>
      </c>
      <c r="Y38" s="49">
        <f>資料儲存!I2790</f>
        <v>0</v>
      </c>
      <c r="Z38" s="49">
        <f>資料儲存!J2790</f>
        <v>0</v>
      </c>
      <c r="AA38" s="52"/>
      <c r="AB38" s="68">
        <v>59</v>
      </c>
      <c r="AC38" s="49">
        <f>資料儲存!D2850</f>
        <v>0</v>
      </c>
      <c r="AD38" s="49">
        <f>資料儲存!E2850</f>
        <v>0</v>
      </c>
      <c r="AE38" s="49">
        <f>資料儲存!F2850</f>
        <v>0</v>
      </c>
      <c r="AF38" s="49">
        <f>資料儲存!G2850</f>
        <v>0</v>
      </c>
      <c r="AG38" s="49">
        <f>資料儲存!H2850</f>
        <v>0</v>
      </c>
      <c r="AH38" s="49">
        <f>資料儲存!I2850</f>
        <v>0</v>
      </c>
      <c r="AI38" s="49">
        <f>資料儲存!J2850</f>
        <v>0</v>
      </c>
      <c r="AJ38" s="52"/>
    </row>
    <row r="39" spans="1:36" ht="16" thickBot="1">
      <c r="A39" s="68">
        <v>60</v>
      </c>
      <c r="B39" s="49">
        <f>資料儲存!D2671</f>
        <v>0</v>
      </c>
      <c r="C39" s="49">
        <f>資料儲存!E2671</f>
        <v>0</v>
      </c>
      <c r="D39" s="49">
        <f>資料儲存!F2671</f>
        <v>0</v>
      </c>
      <c r="E39" s="49">
        <f>資料儲存!G2671</f>
        <v>0</v>
      </c>
      <c r="F39" s="49">
        <f>資料儲存!H2671</f>
        <v>0</v>
      </c>
      <c r="G39" s="49">
        <f>資料儲存!I2671</f>
        <v>0</v>
      </c>
      <c r="H39" s="49">
        <f>資料儲存!J2671</f>
        <v>0</v>
      </c>
      <c r="I39" s="52"/>
      <c r="J39" s="68">
        <v>60</v>
      </c>
      <c r="K39" s="49">
        <f>資料儲存!D2731</f>
        <v>0</v>
      </c>
      <c r="L39" s="49">
        <f>資料儲存!E2731</f>
        <v>0</v>
      </c>
      <c r="M39" s="49">
        <f>資料儲存!F2731</f>
        <v>0</v>
      </c>
      <c r="N39" s="49">
        <f>資料儲存!G2731</f>
        <v>0</v>
      </c>
      <c r="O39" s="49">
        <f>資料儲存!H2731</f>
        <v>0</v>
      </c>
      <c r="P39" s="49">
        <f>資料儲存!I2731</f>
        <v>0</v>
      </c>
      <c r="Q39" s="49">
        <f>資料儲存!J2731</f>
        <v>0</v>
      </c>
      <c r="R39" s="52"/>
      <c r="S39" s="68">
        <v>60</v>
      </c>
      <c r="T39" s="49">
        <f>資料儲存!D2791</f>
        <v>0</v>
      </c>
      <c r="U39" s="49">
        <f>資料儲存!E2791</f>
        <v>0</v>
      </c>
      <c r="V39" s="49">
        <f>資料儲存!F2791</f>
        <v>0</v>
      </c>
      <c r="W39" s="49">
        <f>資料儲存!G2791</f>
        <v>0</v>
      </c>
      <c r="X39" s="49">
        <f>資料儲存!H2791</f>
        <v>0</v>
      </c>
      <c r="Y39" s="49">
        <f>資料儲存!I2791</f>
        <v>0</v>
      </c>
      <c r="Z39" s="49">
        <f>資料儲存!J2791</f>
        <v>0</v>
      </c>
      <c r="AA39" s="52"/>
      <c r="AB39" s="68">
        <v>60</v>
      </c>
      <c r="AC39" s="49">
        <f>資料儲存!D2851</f>
        <v>0</v>
      </c>
      <c r="AD39" s="49">
        <f>資料儲存!E2851</f>
        <v>0</v>
      </c>
      <c r="AE39" s="49">
        <f>資料儲存!F2851</f>
        <v>0</v>
      </c>
      <c r="AF39" s="49">
        <f>資料儲存!G2851</f>
        <v>0</v>
      </c>
      <c r="AG39" s="49">
        <f>資料儲存!H2851</f>
        <v>0</v>
      </c>
      <c r="AH39" s="49">
        <f>資料儲存!I2851</f>
        <v>0</v>
      </c>
      <c r="AI39" s="49">
        <f>資料儲存!J2851</f>
        <v>0</v>
      </c>
      <c r="AJ39" s="52"/>
    </row>
    <row r="40" spans="1:36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8.5" thickBot="1">
      <c r="A41" s="259" t="s">
        <v>111</v>
      </c>
      <c r="B41" s="260"/>
      <c r="C41" s="260"/>
      <c r="D41" s="260"/>
      <c r="E41" s="260"/>
      <c r="F41" s="260"/>
      <c r="G41" s="260"/>
      <c r="H41" s="261"/>
      <c r="I41" s="14"/>
      <c r="J41" s="259" t="s">
        <v>111</v>
      </c>
      <c r="K41" s="260"/>
      <c r="L41" s="260"/>
      <c r="M41" s="260"/>
      <c r="N41" s="260"/>
      <c r="O41" s="260"/>
      <c r="P41" s="260"/>
      <c r="Q41" s="261"/>
      <c r="R41" s="14"/>
      <c r="S41" s="259" t="s">
        <v>111</v>
      </c>
      <c r="T41" s="260"/>
      <c r="U41" s="260"/>
      <c r="V41" s="260"/>
      <c r="W41" s="260"/>
      <c r="X41" s="260"/>
      <c r="Y41" s="260"/>
      <c r="Z41" s="261"/>
      <c r="AA41" s="14"/>
      <c r="AB41" s="259" t="s">
        <v>111</v>
      </c>
      <c r="AC41" s="260"/>
      <c r="AD41" s="260"/>
      <c r="AE41" s="260"/>
      <c r="AF41" s="260"/>
      <c r="AG41" s="260"/>
      <c r="AH41" s="260"/>
      <c r="AI41" s="261"/>
      <c r="AJ41" s="14"/>
    </row>
    <row r="42" spans="1:36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</row>
    <row r="43" spans="1:36" ht="16" thickBot="1">
      <c r="A43" s="59">
        <v>0.625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>
        <v>0.625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>
        <v>0.625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>
        <v>0.625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</row>
    <row r="44" spans="1:36" ht="16" thickBot="1">
      <c r="A44" s="61">
        <v>1</v>
      </c>
      <c r="B44" s="39">
        <f>資料儲存!D2672</f>
        <v>0</v>
      </c>
      <c r="C44" s="39">
        <f>資料儲存!E2672</f>
        <v>0</v>
      </c>
      <c r="D44" s="39">
        <f>資料儲存!F2672</f>
        <v>0</v>
      </c>
      <c r="E44" s="39">
        <f>資料儲存!G2672</f>
        <v>0</v>
      </c>
      <c r="F44" s="39">
        <f>資料儲存!H2672</f>
        <v>0</v>
      </c>
      <c r="G44" s="39">
        <f>資料儲存!I2672</f>
        <v>0</v>
      </c>
      <c r="H44" s="39">
        <f>資料儲存!J2672</f>
        <v>0</v>
      </c>
      <c r="I44" s="58"/>
      <c r="J44" s="61">
        <v>1</v>
      </c>
      <c r="K44" s="39">
        <f>資料儲存!D2732</f>
        <v>0</v>
      </c>
      <c r="L44" s="39">
        <f>資料儲存!E2732</f>
        <v>0</v>
      </c>
      <c r="M44" s="39">
        <f>資料儲存!F2732</f>
        <v>0</v>
      </c>
      <c r="N44" s="39">
        <f>資料儲存!G2732</f>
        <v>0</v>
      </c>
      <c r="O44" s="39">
        <f>資料儲存!H2732</f>
        <v>0</v>
      </c>
      <c r="P44" s="39">
        <f>資料儲存!I2732</f>
        <v>0</v>
      </c>
      <c r="Q44" s="39">
        <f>資料儲存!J2732</f>
        <v>0</v>
      </c>
      <c r="R44" s="58"/>
      <c r="S44" s="61">
        <v>1</v>
      </c>
      <c r="T44" s="39">
        <f>資料儲存!D2792</f>
        <v>0</v>
      </c>
      <c r="U44" s="39">
        <f>資料儲存!E2792</f>
        <v>0</v>
      </c>
      <c r="V44" s="39">
        <f>資料儲存!F2792</f>
        <v>0</v>
      </c>
      <c r="W44" s="39">
        <f>資料儲存!G2792</f>
        <v>0</v>
      </c>
      <c r="X44" s="39">
        <f>資料儲存!H2792</f>
        <v>0</v>
      </c>
      <c r="Y44" s="39">
        <f>資料儲存!I2792</f>
        <v>0</v>
      </c>
      <c r="Z44" s="39">
        <f>資料儲存!J2792</f>
        <v>0</v>
      </c>
      <c r="AA44" s="58"/>
      <c r="AB44" s="61">
        <v>1</v>
      </c>
      <c r="AC44" s="39">
        <f>資料儲存!D2852</f>
        <v>0</v>
      </c>
      <c r="AD44" s="39">
        <f>資料儲存!E2852</f>
        <v>0</v>
      </c>
      <c r="AE44" s="39">
        <f>資料儲存!F2852</f>
        <v>0</v>
      </c>
      <c r="AF44" s="39">
        <f>資料儲存!G2852</f>
        <v>0</v>
      </c>
      <c r="AG44" s="39">
        <f>資料儲存!H2852</f>
        <v>0</v>
      </c>
      <c r="AH44" s="39">
        <f>資料儲存!I2852</f>
        <v>0</v>
      </c>
      <c r="AI44" s="39">
        <f>資料儲存!J2852</f>
        <v>0</v>
      </c>
      <c r="AJ44" s="58"/>
    </row>
    <row r="45" spans="1:36" ht="16" thickBot="1">
      <c r="A45" s="61">
        <v>2</v>
      </c>
      <c r="B45" s="39">
        <f>資料儲存!D2673</f>
        <v>0</v>
      </c>
      <c r="C45" s="39">
        <f>資料儲存!E2673</f>
        <v>0</v>
      </c>
      <c r="D45" s="39">
        <f>資料儲存!F2673</f>
        <v>0</v>
      </c>
      <c r="E45" s="39">
        <f>資料儲存!G2673</f>
        <v>0</v>
      </c>
      <c r="F45" s="39">
        <f>資料儲存!H2673</f>
        <v>0</v>
      </c>
      <c r="G45" s="39">
        <f>資料儲存!I2673</f>
        <v>0</v>
      </c>
      <c r="H45" s="39">
        <f>資料儲存!J2673</f>
        <v>0</v>
      </c>
      <c r="I45" s="58"/>
      <c r="J45" s="61">
        <v>2</v>
      </c>
      <c r="K45" s="39">
        <f>資料儲存!D2733</f>
        <v>0</v>
      </c>
      <c r="L45" s="39">
        <f>資料儲存!E2733</f>
        <v>0</v>
      </c>
      <c r="M45" s="39">
        <f>資料儲存!F2733</f>
        <v>0</v>
      </c>
      <c r="N45" s="39">
        <f>資料儲存!G2733</f>
        <v>0</v>
      </c>
      <c r="O45" s="39">
        <f>資料儲存!H2733</f>
        <v>0</v>
      </c>
      <c r="P45" s="39">
        <f>資料儲存!I2733</f>
        <v>0</v>
      </c>
      <c r="Q45" s="39">
        <f>資料儲存!J2733</f>
        <v>0</v>
      </c>
      <c r="R45" s="58"/>
      <c r="S45" s="61">
        <v>2</v>
      </c>
      <c r="T45" s="39">
        <f>資料儲存!D2793</f>
        <v>0</v>
      </c>
      <c r="U45" s="39">
        <f>資料儲存!E2793</f>
        <v>0</v>
      </c>
      <c r="V45" s="39">
        <f>資料儲存!F2793</f>
        <v>0</v>
      </c>
      <c r="W45" s="39">
        <f>資料儲存!G2793</f>
        <v>0</v>
      </c>
      <c r="X45" s="39">
        <f>資料儲存!H2793</f>
        <v>0</v>
      </c>
      <c r="Y45" s="39">
        <f>資料儲存!I2793</f>
        <v>0</v>
      </c>
      <c r="Z45" s="39">
        <f>資料儲存!J2793</f>
        <v>0</v>
      </c>
      <c r="AA45" s="58"/>
      <c r="AB45" s="61">
        <v>2</v>
      </c>
      <c r="AC45" s="39">
        <f>資料儲存!D2853</f>
        <v>0</v>
      </c>
      <c r="AD45" s="39">
        <f>資料儲存!E2853</f>
        <v>0</v>
      </c>
      <c r="AE45" s="39">
        <f>資料儲存!F2853</f>
        <v>0</v>
      </c>
      <c r="AF45" s="39">
        <f>資料儲存!G2853</f>
        <v>0</v>
      </c>
      <c r="AG45" s="39">
        <f>資料儲存!H2853</f>
        <v>0</v>
      </c>
      <c r="AH45" s="39">
        <f>資料儲存!I2853</f>
        <v>0</v>
      </c>
      <c r="AI45" s="39">
        <f>資料儲存!J2853</f>
        <v>0</v>
      </c>
      <c r="AJ45" s="58"/>
    </row>
    <row r="46" spans="1:36" ht="16" thickBot="1">
      <c r="A46" s="61">
        <v>3</v>
      </c>
      <c r="B46" s="39">
        <f>資料儲存!D2674</f>
        <v>0</v>
      </c>
      <c r="C46" s="39">
        <f>資料儲存!E2674</f>
        <v>0</v>
      </c>
      <c r="D46" s="39">
        <f>資料儲存!F2674</f>
        <v>0</v>
      </c>
      <c r="E46" s="39">
        <f>資料儲存!G2674</f>
        <v>0</v>
      </c>
      <c r="F46" s="39">
        <f>資料儲存!H2674</f>
        <v>0</v>
      </c>
      <c r="G46" s="39">
        <f>資料儲存!I2674</f>
        <v>0</v>
      </c>
      <c r="H46" s="39">
        <f>資料儲存!J2674</f>
        <v>0</v>
      </c>
      <c r="I46" s="58"/>
      <c r="J46" s="61">
        <v>3</v>
      </c>
      <c r="K46" s="39">
        <f>資料儲存!D2734</f>
        <v>0</v>
      </c>
      <c r="L46" s="39">
        <f>資料儲存!E2734</f>
        <v>0</v>
      </c>
      <c r="M46" s="39">
        <f>資料儲存!F2734</f>
        <v>0</v>
      </c>
      <c r="N46" s="39">
        <f>資料儲存!G2734</f>
        <v>0</v>
      </c>
      <c r="O46" s="39">
        <f>資料儲存!H2734</f>
        <v>0</v>
      </c>
      <c r="P46" s="39">
        <f>資料儲存!I2734</f>
        <v>0</v>
      </c>
      <c r="Q46" s="39">
        <f>資料儲存!J2734</f>
        <v>0</v>
      </c>
      <c r="R46" s="58"/>
      <c r="S46" s="61">
        <v>3</v>
      </c>
      <c r="T46" s="39">
        <f>資料儲存!D2794</f>
        <v>0</v>
      </c>
      <c r="U46" s="39">
        <f>資料儲存!E2794</f>
        <v>0</v>
      </c>
      <c r="V46" s="39">
        <f>資料儲存!F2794</f>
        <v>0</v>
      </c>
      <c r="W46" s="39">
        <f>資料儲存!G2794</f>
        <v>0</v>
      </c>
      <c r="X46" s="39">
        <f>資料儲存!H2794</f>
        <v>0</v>
      </c>
      <c r="Y46" s="39">
        <f>資料儲存!I2794</f>
        <v>0</v>
      </c>
      <c r="Z46" s="39">
        <f>資料儲存!J2794</f>
        <v>0</v>
      </c>
      <c r="AA46" s="58"/>
      <c r="AB46" s="61">
        <v>3</v>
      </c>
      <c r="AC46" s="39">
        <f>資料儲存!D2854</f>
        <v>0</v>
      </c>
      <c r="AD46" s="39">
        <f>資料儲存!E2854</f>
        <v>0</v>
      </c>
      <c r="AE46" s="39">
        <f>資料儲存!F2854</f>
        <v>0</v>
      </c>
      <c r="AF46" s="39">
        <f>資料儲存!G2854</f>
        <v>0</v>
      </c>
      <c r="AG46" s="39">
        <f>資料儲存!H2854</f>
        <v>0</v>
      </c>
      <c r="AH46" s="39">
        <f>資料儲存!I2854</f>
        <v>0</v>
      </c>
      <c r="AI46" s="39">
        <f>資料儲存!J2854</f>
        <v>0</v>
      </c>
      <c r="AJ46" s="58"/>
    </row>
    <row r="47" spans="1:36" ht="16" thickBot="1">
      <c r="A47" s="61">
        <v>4</v>
      </c>
      <c r="B47" s="39">
        <f>資料儲存!D2675</f>
        <v>0</v>
      </c>
      <c r="C47" s="39">
        <f>資料儲存!E2675</f>
        <v>0</v>
      </c>
      <c r="D47" s="39">
        <f>資料儲存!F2675</f>
        <v>0</v>
      </c>
      <c r="E47" s="39">
        <f>資料儲存!G2675</f>
        <v>0</v>
      </c>
      <c r="F47" s="39">
        <f>資料儲存!H2675</f>
        <v>0</v>
      </c>
      <c r="G47" s="39">
        <f>資料儲存!I2675</f>
        <v>0</v>
      </c>
      <c r="H47" s="39">
        <f>資料儲存!J2675</f>
        <v>0</v>
      </c>
      <c r="I47" s="58"/>
      <c r="J47" s="61">
        <v>4</v>
      </c>
      <c r="K47" s="39">
        <f>資料儲存!D2735</f>
        <v>0</v>
      </c>
      <c r="L47" s="39">
        <f>資料儲存!E2735</f>
        <v>0</v>
      </c>
      <c r="M47" s="39">
        <f>資料儲存!F2735</f>
        <v>0</v>
      </c>
      <c r="N47" s="39">
        <f>資料儲存!G2735</f>
        <v>0</v>
      </c>
      <c r="O47" s="39">
        <f>資料儲存!H2735</f>
        <v>0</v>
      </c>
      <c r="P47" s="39">
        <f>資料儲存!I2735</f>
        <v>0</v>
      </c>
      <c r="Q47" s="39">
        <f>資料儲存!J2735</f>
        <v>0</v>
      </c>
      <c r="R47" s="58"/>
      <c r="S47" s="61">
        <v>4</v>
      </c>
      <c r="T47" s="39">
        <f>資料儲存!D2795</f>
        <v>0</v>
      </c>
      <c r="U47" s="39">
        <f>資料儲存!E2795</f>
        <v>0</v>
      </c>
      <c r="V47" s="39">
        <f>資料儲存!F2795</f>
        <v>0</v>
      </c>
      <c r="W47" s="39">
        <f>資料儲存!G2795</f>
        <v>0</v>
      </c>
      <c r="X47" s="39">
        <f>資料儲存!H2795</f>
        <v>0</v>
      </c>
      <c r="Y47" s="39">
        <f>資料儲存!I2795</f>
        <v>0</v>
      </c>
      <c r="Z47" s="39">
        <f>資料儲存!J2795</f>
        <v>0</v>
      </c>
      <c r="AA47" s="58"/>
      <c r="AB47" s="61">
        <v>4</v>
      </c>
      <c r="AC47" s="39">
        <f>資料儲存!D2855</f>
        <v>0</v>
      </c>
      <c r="AD47" s="39">
        <f>資料儲存!E2855</f>
        <v>0</v>
      </c>
      <c r="AE47" s="39">
        <f>資料儲存!F2855</f>
        <v>0</v>
      </c>
      <c r="AF47" s="39">
        <f>資料儲存!G2855</f>
        <v>0</v>
      </c>
      <c r="AG47" s="39">
        <f>資料儲存!H2855</f>
        <v>0</v>
      </c>
      <c r="AH47" s="39">
        <f>資料儲存!I2855</f>
        <v>0</v>
      </c>
      <c r="AI47" s="39">
        <f>資料儲存!J2855</f>
        <v>0</v>
      </c>
      <c r="AJ47" s="58"/>
    </row>
    <row r="48" spans="1:36" ht="16" thickBot="1">
      <c r="A48" s="61">
        <v>5</v>
      </c>
      <c r="B48" s="39">
        <f>資料儲存!D2676</f>
        <v>0</v>
      </c>
      <c r="C48" s="39">
        <f>資料儲存!E2676</f>
        <v>0</v>
      </c>
      <c r="D48" s="39">
        <f>資料儲存!F2676</f>
        <v>0</v>
      </c>
      <c r="E48" s="39">
        <f>資料儲存!G2676</f>
        <v>0</v>
      </c>
      <c r="F48" s="39">
        <f>資料儲存!H2676</f>
        <v>0</v>
      </c>
      <c r="G48" s="39">
        <f>資料儲存!I2676</f>
        <v>0</v>
      </c>
      <c r="H48" s="39">
        <f>資料儲存!J2676</f>
        <v>0</v>
      </c>
      <c r="I48" s="58"/>
      <c r="J48" s="61">
        <v>5</v>
      </c>
      <c r="K48" s="39">
        <f>資料儲存!D2736</f>
        <v>0</v>
      </c>
      <c r="L48" s="39">
        <f>資料儲存!E2736</f>
        <v>0</v>
      </c>
      <c r="M48" s="39">
        <f>資料儲存!F2736</f>
        <v>0</v>
      </c>
      <c r="N48" s="39">
        <f>資料儲存!G2736</f>
        <v>0</v>
      </c>
      <c r="O48" s="39">
        <f>資料儲存!H2736</f>
        <v>0</v>
      </c>
      <c r="P48" s="39">
        <f>資料儲存!I2736</f>
        <v>0</v>
      </c>
      <c r="Q48" s="39">
        <f>資料儲存!J2736</f>
        <v>0</v>
      </c>
      <c r="R48" s="58"/>
      <c r="S48" s="61">
        <v>5</v>
      </c>
      <c r="T48" s="39">
        <f>資料儲存!D2796</f>
        <v>0</v>
      </c>
      <c r="U48" s="39">
        <f>資料儲存!E2796</f>
        <v>0</v>
      </c>
      <c r="V48" s="39">
        <f>資料儲存!F2796</f>
        <v>0</v>
      </c>
      <c r="W48" s="39">
        <f>資料儲存!G2796</f>
        <v>0</v>
      </c>
      <c r="X48" s="39">
        <f>資料儲存!H2796</f>
        <v>0</v>
      </c>
      <c r="Y48" s="39">
        <f>資料儲存!I2796</f>
        <v>0</v>
      </c>
      <c r="Z48" s="39">
        <f>資料儲存!J2796</f>
        <v>0</v>
      </c>
      <c r="AA48" s="58"/>
      <c r="AB48" s="61">
        <v>5</v>
      </c>
      <c r="AC48" s="39">
        <f>資料儲存!D2856</f>
        <v>0</v>
      </c>
      <c r="AD48" s="39">
        <f>資料儲存!E2856</f>
        <v>0</v>
      </c>
      <c r="AE48" s="39">
        <f>資料儲存!F2856</f>
        <v>0</v>
      </c>
      <c r="AF48" s="39">
        <f>資料儲存!G2856</f>
        <v>0</v>
      </c>
      <c r="AG48" s="39">
        <f>資料儲存!H2856</f>
        <v>0</v>
      </c>
      <c r="AH48" s="39">
        <f>資料儲存!I2856</f>
        <v>0</v>
      </c>
      <c r="AI48" s="39">
        <f>資料儲存!J2856</f>
        <v>0</v>
      </c>
      <c r="AJ48" s="58"/>
    </row>
    <row r="49" spans="1:36" ht="16" thickBot="1">
      <c r="A49" s="61">
        <v>6</v>
      </c>
      <c r="B49" s="39">
        <f>資料儲存!D2677</f>
        <v>0</v>
      </c>
      <c r="C49" s="39">
        <f>資料儲存!E2677</f>
        <v>0</v>
      </c>
      <c r="D49" s="39">
        <f>資料儲存!F2677</f>
        <v>0</v>
      </c>
      <c r="E49" s="39">
        <f>資料儲存!G2677</f>
        <v>0</v>
      </c>
      <c r="F49" s="39">
        <f>資料儲存!H2677</f>
        <v>0</v>
      </c>
      <c r="G49" s="39">
        <f>資料儲存!I2677</f>
        <v>0</v>
      </c>
      <c r="H49" s="39">
        <f>資料儲存!J2677</f>
        <v>0</v>
      </c>
      <c r="I49" s="58"/>
      <c r="J49" s="61">
        <v>6</v>
      </c>
      <c r="K49" s="39">
        <f>資料儲存!D2737</f>
        <v>0</v>
      </c>
      <c r="L49" s="39">
        <f>資料儲存!E2737</f>
        <v>0</v>
      </c>
      <c r="M49" s="39">
        <f>資料儲存!F2737</f>
        <v>0</v>
      </c>
      <c r="N49" s="39">
        <f>資料儲存!G2737</f>
        <v>0</v>
      </c>
      <c r="O49" s="39">
        <f>資料儲存!H2737</f>
        <v>0</v>
      </c>
      <c r="P49" s="39">
        <f>資料儲存!I2737</f>
        <v>0</v>
      </c>
      <c r="Q49" s="39">
        <f>資料儲存!J2737</f>
        <v>0</v>
      </c>
      <c r="R49" s="58"/>
      <c r="S49" s="61">
        <v>6</v>
      </c>
      <c r="T49" s="39">
        <f>資料儲存!D2797</f>
        <v>0</v>
      </c>
      <c r="U49" s="39">
        <f>資料儲存!E2797</f>
        <v>0</v>
      </c>
      <c r="V49" s="39">
        <f>資料儲存!F2797</f>
        <v>0</v>
      </c>
      <c r="W49" s="39">
        <f>資料儲存!G2797</f>
        <v>0</v>
      </c>
      <c r="X49" s="39">
        <f>資料儲存!H2797</f>
        <v>0</v>
      </c>
      <c r="Y49" s="39">
        <f>資料儲存!I2797</f>
        <v>0</v>
      </c>
      <c r="Z49" s="39">
        <f>資料儲存!J2797</f>
        <v>0</v>
      </c>
      <c r="AA49" s="58"/>
      <c r="AB49" s="61">
        <v>6</v>
      </c>
      <c r="AC49" s="39">
        <f>資料儲存!D2857</f>
        <v>0</v>
      </c>
      <c r="AD49" s="39">
        <f>資料儲存!E2857</f>
        <v>0</v>
      </c>
      <c r="AE49" s="39">
        <f>資料儲存!F2857</f>
        <v>0</v>
      </c>
      <c r="AF49" s="39">
        <f>資料儲存!G2857</f>
        <v>0</v>
      </c>
      <c r="AG49" s="39">
        <f>資料儲存!H2857</f>
        <v>0</v>
      </c>
      <c r="AH49" s="39">
        <f>資料儲存!I2857</f>
        <v>0</v>
      </c>
      <c r="AI49" s="39">
        <f>資料儲存!J2857</f>
        <v>0</v>
      </c>
      <c r="AJ49" s="58"/>
    </row>
    <row r="50" spans="1:36" ht="16" thickBot="1">
      <c r="A50" s="61">
        <v>7</v>
      </c>
      <c r="B50" s="39">
        <f>資料儲存!D2678</f>
        <v>0</v>
      </c>
      <c r="C50" s="39">
        <f>資料儲存!E2678</f>
        <v>0</v>
      </c>
      <c r="D50" s="39">
        <f>資料儲存!F2678</f>
        <v>0</v>
      </c>
      <c r="E50" s="39">
        <f>資料儲存!G2678</f>
        <v>0</v>
      </c>
      <c r="F50" s="39">
        <f>資料儲存!H2678</f>
        <v>0</v>
      </c>
      <c r="G50" s="39">
        <f>資料儲存!I2678</f>
        <v>0</v>
      </c>
      <c r="H50" s="39">
        <f>資料儲存!J2678</f>
        <v>0</v>
      </c>
      <c r="I50" s="58"/>
      <c r="J50" s="61">
        <v>7</v>
      </c>
      <c r="K50" s="39">
        <f>資料儲存!D2738</f>
        <v>0</v>
      </c>
      <c r="L50" s="39">
        <f>資料儲存!E2738</f>
        <v>0</v>
      </c>
      <c r="M50" s="39">
        <f>資料儲存!F2738</f>
        <v>0</v>
      </c>
      <c r="N50" s="39">
        <f>資料儲存!G2738</f>
        <v>0</v>
      </c>
      <c r="O50" s="39">
        <f>資料儲存!H2738</f>
        <v>0</v>
      </c>
      <c r="P50" s="39">
        <f>資料儲存!I2738</f>
        <v>0</v>
      </c>
      <c r="Q50" s="39">
        <f>資料儲存!J2738</f>
        <v>0</v>
      </c>
      <c r="R50" s="58"/>
      <c r="S50" s="61">
        <v>7</v>
      </c>
      <c r="T50" s="39">
        <f>資料儲存!D2798</f>
        <v>0</v>
      </c>
      <c r="U50" s="39">
        <f>資料儲存!E2798</f>
        <v>0</v>
      </c>
      <c r="V50" s="39">
        <f>資料儲存!F2798</f>
        <v>0</v>
      </c>
      <c r="W50" s="39">
        <f>資料儲存!G2798</f>
        <v>0</v>
      </c>
      <c r="X50" s="39">
        <f>資料儲存!H2798</f>
        <v>0</v>
      </c>
      <c r="Y50" s="39">
        <f>資料儲存!I2798</f>
        <v>0</v>
      </c>
      <c r="Z50" s="39">
        <f>資料儲存!J2798</f>
        <v>0</v>
      </c>
      <c r="AA50" s="58"/>
      <c r="AB50" s="61">
        <v>7</v>
      </c>
      <c r="AC50" s="39">
        <f>資料儲存!D2858</f>
        <v>0</v>
      </c>
      <c r="AD50" s="39">
        <f>資料儲存!E2858</f>
        <v>0</v>
      </c>
      <c r="AE50" s="39">
        <f>資料儲存!F2858</f>
        <v>0</v>
      </c>
      <c r="AF50" s="39">
        <f>資料儲存!G2858</f>
        <v>0</v>
      </c>
      <c r="AG50" s="39">
        <f>資料儲存!H2858</f>
        <v>0</v>
      </c>
      <c r="AH50" s="39">
        <f>資料儲存!I2858</f>
        <v>0</v>
      </c>
      <c r="AI50" s="39">
        <f>資料儲存!J2858</f>
        <v>0</v>
      </c>
      <c r="AJ50" s="58"/>
    </row>
    <row r="51" spans="1:36" ht="16" thickBot="1">
      <c r="A51" s="61">
        <v>8</v>
      </c>
      <c r="B51" s="39">
        <f>資料儲存!D2679</f>
        <v>0</v>
      </c>
      <c r="C51" s="39">
        <f>資料儲存!E2679</f>
        <v>0</v>
      </c>
      <c r="D51" s="39">
        <f>資料儲存!F2679</f>
        <v>0</v>
      </c>
      <c r="E51" s="39">
        <f>資料儲存!G2679</f>
        <v>0</v>
      </c>
      <c r="F51" s="39">
        <f>資料儲存!H2679</f>
        <v>0</v>
      </c>
      <c r="G51" s="39">
        <f>資料儲存!I2679</f>
        <v>0</v>
      </c>
      <c r="H51" s="39">
        <f>資料儲存!J2679</f>
        <v>0</v>
      </c>
      <c r="I51" s="58"/>
      <c r="J51" s="61">
        <v>8</v>
      </c>
      <c r="K51" s="39">
        <f>資料儲存!D2739</f>
        <v>0</v>
      </c>
      <c r="L51" s="39">
        <f>資料儲存!E2739</f>
        <v>0</v>
      </c>
      <c r="M51" s="39">
        <f>資料儲存!F2739</f>
        <v>0</v>
      </c>
      <c r="N51" s="39">
        <f>資料儲存!G2739</f>
        <v>0</v>
      </c>
      <c r="O51" s="39">
        <f>資料儲存!H2739</f>
        <v>0</v>
      </c>
      <c r="P51" s="39">
        <f>資料儲存!I2739</f>
        <v>0</v>
      </c>
      <c r="Q51" s="39">
        <f>資料儲存!J2739</f>
        <v>0</v>
      </c>
      <c r="R51" s="58"/>
      <c r="S51" s="61">
        <v>8</v>
      </c>
      <c r="T51" s="39">
        <f>資料儲存!D2799</f>
        <v>0</v>
      </c>
      <c r="U51" s="39">
        <f>資料儲存!E2799</f>
        <v>0</v>
      </c>
      <c r="V51" s="39">
        <f>資料儲存!F2799</f>
        <v>0</v>
      </c>
      <c r="W51" s="39">
        <f>資料儲存!G2799</f>
        <v>0</v>
      </c>
      <c r="X51" s="39">
        <f>資料儲存!H2799</f>
        <v>0</v>
      </c>
      <c r="Y51" s="39">
        <f>資料儲存!I2799</f>
        <v>0</v>
      </c>
      <c r="Z51" s="39">
        <f>資料儲存!J2799</f>
        <v>0</v>
      </c>
      <c r="AA51" s="58"/>
      <c r="AB51" s="61">
        <v>8</v>
      </c>
      <c r="AC51" s="39">
        <f>資料儲存!D2859</f>
        <v>0</v>
      </c>
      <c r="AD51" s="39">
        <f>資料儲存!E2859</f>
        <v>0</v>
      </c>
      <c r="AE51" s="39">
        <f>資料儲存!F2859</f>
        <v>0</v>
      </c>
      <c r="AF51" s="39">
        <f>資料儲存!G2859</f>
        <v>0</v>
      </c>
      <c r="AG51" s="39">
        <f>資料儲存!H2859</f>
        <v>0</v>
      </c>
      <c r="AH51" s="39">
        <f>資料儲存!I2859</f>
        <v>0</v>
      </c>
      <c r="AI51" s="39">
        <f>資料儲存!J2859</f>
        <v>0</v>
      </c>
      <c r="AJ51" s="58"/>
    </row>
    <row r="52" spans="1:36" ht="16" thickBot="1">
      <c r="A52" s="61">
        <v>9</v>
      </c>
      <c r="B52" s="39">
        <f>資料儲存!D2680</f>
        <v>0</v>
      </c>
      <c r="C52" s="39">
        <f>資料儲存!E2680</f>
        <v>0</v>
      </c>
      <c r="D52" s="39">
        <f>資料儲存!F2680</f>
        <v>0</v>
      </c>
      <c r="E52" s="39">
        <f>資料儲存!G2680</f>
        <v>0</v>
      </c>
      <c r="F52" s="39">
        <f>資料儲存!H2680</f>
        <v>0</v>
      </c>
      <c r="G52" s="39">
        <f>資料儲存!I2680</f>
        <v>0</v>
      </c>
      <c r="H52" s="39">
        <f>資料儲存!J2680</f>
        <v>0</v>
      </c>
      <c r="I52" s="58"/>
      <c r="J52" s="61">
        <v>9</v>
      </c>
      <c r="K52" s="39">
        <f>資料儲存!D2740</f>
        <v>0</v>
      </c>
      <c r="L52" s="39">
        <f>資料儲存!E2740</f>
        <v>0</v>
      </c>
      <c r="M52" s="39">
        <f>資料儲存!F2740</f>
        <v>0</v>
      </c>
      <c r="N52" s="39">
        <f>資料儲存!G2740</f>
        <v>0</v>
      </c>
      <c r="O52" s="39">
        <f>資料儲存!H2740</f>
        <v>0</v>
      </c>
      <c r="P52" s="39">
        <f>資料儲存!I2740</f>
        <v>0</v>
      </c>
      <c r="Q52" s="39">
        <f>資料儲存!J2740</f>
        <v>0</v>
      </c>
      <c r="R52" s="58"/>
      <c r="S52" s="61">
        <v>9</v>
      </c>
      <c r="T52" s="39">
        <f>資料儲存!D2800</f>
        <v>0</v>
      </c>
      <c r="U52" s="39">
        <f>資料儲存!E2800</f>
        <v>0</v>
      </c>
      <c r="V52" s="39">
        <f>資料儲存!F2800</f>
        <v>0</v>
      </c>
      <c r="W52" s="39">
        <f>資料儲存!G2800</f>
        <v>0</v>
      </c>
      <c r="X52" s="39">
        <f>資料儲存!H2800</f>
        <v>0</v>
      </c>
      <c r="Y52" s="39">
        <f>資料儲存!I2800</f>
        <v>0</v>
      </c>
      <c r="Z52" s="39">
        <f>資料儲存!J2800</f>
        <v>0</v>
      </c>
      <c r="AA52" s="58"/>
      <c r="AB52" s="61">
        <v>9</v>
      </c>
      <c r="AC52" s="39">
        <f>資料儲存!D2860</f>
        <v>0</v>
      </c>
      <c r="AD52" s="39">
        <f>資料儲存!E2860</f>
        <v>0</v>
      </c>
      <c r="AE52" s="39">
        <f>資料儲存!F2860</f>
        <v>0</v>
      </c>
      <c r="AF52" s="39">
        <f>資料儲存!G2860</f>
        <v>0</v>
      </c>
      <c r="AG52" s="39">
        <f>資料儲存!H2860</f>
        <v>0</v>
      </c>
      <c r="AH52" s="39">
        <f>資料儲存!I2860</f>
        <v>0</v>
      </c>
      <c r="AI52" s="39">
        <f>資料儲存!J2860</f>
        <v>0</v>
      </c>
      <c r="AJ52" s="58"/>
    </row>
    <row r="53" spans="1:36" ht="16" thickBot="1">
      <c r="A53" s="61">
        <v>10</v>
      </c>
      <c r="B53" s="39">
        <f>資料儲存!D2681</f>
        <v>0</v>
      </c>
      <c r="C53" s="39">
        <f>資料儲存!E2681</f>
        <v>0</v>
      </c>
      <c r="D53" s="39">
        <f>資料儲存!F2681</f>
        <v>0</v>
      </c>
      <c r="E53" s="39">
        <f>資料儲存!G2681</f>
        <v>0</v>
      </c>
      <c r="F53" s="39">
        <f>資料儲存!H2681</f>
        <v>0</v>
      </c>
      <c r="G53" s="39">
        <f>資料儲存!I2681</f>
        <v>0</v>
      </c>
      <c r="H53" s="39">
        <f>資料儲存!J2681</f>
        <v>0</v>
      </c>
      <c r="I53" s="58"/>
      <c r="J53" s="61">
        <v>10</v>
      </c>
      <c r="K53" s="39">
        <f>資料儲存!D2741</f>
        <v>0</v>
      </c>
      <c r="L53" s="39">
        <f>資料儲存!E2741</f>
        <v>0</v>
      </c>
      <c r="M53" s="39">
        <f>資料儲存!F2741</f>
        <v>0</v>
      </c>
      <c r="N53" s="39">
        <f>資料儲存!G2741</f>
        <v>0</v>
      </c>
      <c r="O53" s="39">
        <f>資料儲存!H2741</f>
        <v>0</v>
      </c>
      <c r="P53" s="39">
        <f>資料儲存!I2741</f>
        <v>0</v>
      </c>
      <c r="Q53" s="39">
        <f>資料儲存!J2741</f>
        <v>0</v>
      </c>
      <c r="R53" s="58"/>
      <c r="S53" s="61">
        <v>10</v>
      </c>
      <c r="T53" s="39">
        <f>資料儲存!D2801</f>
        <v>0</v>
      </c>
      <c r="U53" s="39">
        <f>資料儲存!E2801</f>
        <v>0</v>
      </c>
      <c r="V53" s="39">
        <f>資料儲存!F2801</f>
        <v>0</v>
      </c>
      <c r="W53" s="39">
        <f>資料儲存!G2801</f>
        <v>0</v>
      </c>
      <c r="X53" s="39">
        <f>資料儲存!H2801</f>
        <v>0</v>
      </c>
      <c r="Y53" s="39">
        <f>資料儲存!I2801</f>
        <v>0</v>
      </c>
      <c r="Z53" s="39">
        <f>資料儲存!J2801</f>
        <v>0</v>
      </c>
      <c r="AA53" s="58"/>
      <c r="AB53" s="61">
        <v>10</v>
      </c>
      <c r="AC53" s="39">
        <f>資料儲存!D2861</f>
        <v>0</v>
      </c>
      <c r="AD53" s="39">
        <f>資料儲存!E2861</f>
        <v>0</v>
      </c>
      <c r="AE53" s="39">
        <f>資料儲存!F2861</f>
        <v>0</v>
      </c>
      <c r="AF53" s="39">
        <f>資料儲存!G2861</f>
        <v>0</v>
      </c>
      <c r="AG53" s="39">
        <f>資料儲存!H2861</f>
        <v>0</v>
      </c>
      <c r="AH53" s="39">
        <f>資料儲存!I2861</f>
        <v>0</v>
      </c>
      <c r="AI53" s="39">
        <f>資料儲存!J2861</f>
        <v>0</v>
      </c>
      <c r="AJ53" s="58"/>
    </row>
    <row r="54" spans="1:36" ht="16" thickBot="1">
      <c r="A54" s="61">
        <v>11</v>
      </c>
      <c r="B54" s="39">
        <f>資料儲存!D2682</f>
        <v>0</v>
      </c>
      <c r="C54" s="39">
        <f>資料儲存!E2682</f>
        <v>0</v>
      </c>
      <c r="D54" s="39">
        <f>資料儲存!F2682</f>
        <v>0</v>
      </c>
      <c r="E54" s="39">
        <f>資料儲存!G2682</f>
        <v>0</v>
      </c>
      <c r="F54" s="39">
        <f>資料儲存!H2682</f>
        <v>0</v>
      </c>
      <c r="G54" s="39">
        <f>資料儲存!I2682</f>
        <v>0</v>
      </c>
      <c r="H54" s="39">
        <f>資料儲存!J2682</f>
        <v>0</v>
      </c>
      <c r="I54" s="58"/>
      <c r="J54" s="61">
        <v>11</v>
      </c>
      <c r="K54" s="39">
        <f>資料儲存!D2742</f>
        <v>0</v>
      </c>
      <c r="L54" s="39">
        <f>資料儲存!E2742</f>
        <v>0</v>
      </c>
      <c r="M54" s="39">
        <f>資料儲存!F2742</f>
        <v>0</v>
      </c>
      <c r="N54" s="39">
        <f>資料儲存!G2742</f>
        <v>0</v>
      </c>
      <c r="O54" s="39">
        <f>資料儲存!H2742</f>
        <v>0</v>
      </c>
      <c r="P54" s="39">
        <f>資料儲存!I2742</f>
        <v>0</v>
      </c>
      <c r="Q54" s="39">
        <f>資料儲存!J2742</f>
        <v>0</v>
      </c>
      <c r="R54" s="58"/>
      <c r="S54" s="61">
        <v>11</v>
      </c>
      <c r="T54" s="39">
        <f>資料儲存!D2802</f>
        <v>0</v>
      </c>
      <c r="U54" s="39">
        <f>資料儲存!E2802</f>
        <v>0</v>
      </c>
      <c r="V54" s="39">
        <f>資料儲存!F2802</f>
        <v>0</v>
      </c>
      <c r="W54" s="39">
        <f>資料儲存!G2802</f>
        <v>0</v>
      </c>
      <c r="X54" s="39">
        <f>資料儲存!H2802</f>
        <v>0</v>
      </c>
      <c r="Y54" s="39">
        <f>資料儲存!I2802</f>
        <v>0</v>
      </c>
      <c r="Z54" s="39">
        <f>資料儲存!J2802</f>
        <v>0</v>
      </c>
      <c r="AA54" s="58"/>
      <c r="AB54" s="61">
        <v>11</v>
      </c>
      <c r="AC54" s="39">
        <f>資料儲存!D2862</f>
        <v>0</v>
      </c>
      <c r="AD54" s="39">
        <f>資料儲存!E2862</f>
        <v>0</v>
      </c>
      <c r="AE54" s="39">
        <f>資料儲存!F2862</f>
        <v>0</v>
      </c>
      <c r="AF54" s="39">
        <f>資料儲存!G2862</f>
        <v>0</v>
      </c>
      <c r="AG54" s="39">
        <f>資料儲存!H2862</f>
        <v>0</v>
      </c>
      <c r="AH54" s="39">
        <f>資料儲存!I2862</f>
        <v>0</v>
      </c>
      <c r="AI54" s="39">
        <f>資料儲存!J2862</f>
        <v>0</v>
      </c>
      <c r="AJ54" s="58"/>
    </row>
    <row r="55" spans="1:36" ht="16" thickBot="1">
      <c r="A55" s="61">
        <v>12</v>
      </c>
      <c r="B55" s="39">
        <f>資料儲存!D2683</f>
        <v>0</v>
      </c>
      <c r="C55" s="39">
        <f>資料儲存!E2683</f>
        <v>0</v>
      </c>
      <c r="D55" s="39">
        <f>資料儲存!F2683</f>
        <v>0</v>
      </c>
      <c r="E55" s="39">
        <f>資料儲存!G2683</f>
        <v>0</v>
      </c>
      <c r="F55" s="39">
        <f>資料儲存!H2683</f>
        <v>0</v>
      </c>
      <c r="G55" s="39">
        <f>資料儲存!I2683</f>
        <v>0</v>
      </c>
      <c r="H55" s="39">
        <f>資料儲存!J2683</f>
        <v>0</v>
      </c>
      <c r="I55" s="58"/>
      <c r="J55" s="61">
        <v>12</v>
      </c>
      <c r="K55" s="39">
        <f>資料儲存!D2743</f>
        <v>0</v>
      </c>
      <c r="L55" s="39">
        <f>資料儲存!E2743</f>
        <v>0</v>
      </c>
      <c r="M55" s="39">
        <f>資料儲存!F2743</f>
        <v>0</v>
      </c>
      <c r="N55" s="39">
        <f>資料儲存!G2743</f>
        <v>0</v>
      </c>
      <c r="O55" s="39">
        <f>資料儲存!H2743</f>
        <v>0</v>
      </c>
      <c r="P55" s="39">
        <f>資料儲存!I2743</f>
        <v>0</v>
      </c>
      <c r="Q55" s="39">
        <f>資料儲存!J2743</f>
        <v>0</v>
      </c>
      <c r="R55" s="58"/>
      <c r="S55" s="61">
        <v>12</v>
      </c>
      <c r="T55" s="39">
        <f>資料儲存!D2803</f>
        <v>0</v>
      </c>
      <c r="U55" s="39">
        <f>資料儲存!E2803</f>
        <v>0</v>
      </c>
      <c r="V55" s="39">
        <f>資料儲存!F2803</f>
        <v>0</v>
      </c>
      <c r="W55" s="39">
        <f>資料儲存!G2803</f>
        <v>0</v>
      </c>
      <c r="X55" s="39">
        <f>資料儲存!H2803</f>
        <v>0</v>
      </c>
      <c r="Y55" s="39">
        <f>資料儲存!I2803</f>
        <v>0</v>
      </c>
      <c r="Z55" s="39">
        <f>資料儲存!J2803</f>
        <v>0</v>
      </c>
      <c r="AA55" s="58"/>
      <c r="AB55" s="61">
        <v>12</v>
      </c>
      <c r="AC55" s="39">
        <f>資料儲存!D2863</f>
        <v>0</v>
      </c>
      <c r="AD55" s="39">
        <f>資料儲存!E2863</f>
        <v>0</v>
      </c>
      <c r="AE55" s="39">
        <f>資料儲存!F2863</f>
        <v>0</v>
      </c>
      <c r="AF55" s="39">
        <f>資料儲存!G2863</f>
        <v>0</v>
      </c>
      <c r="AG55" s="39">
        <f>資料儲存!H2863</f>
        <v>0</v>
      </c>
      <c r="AH55" s="39">
        <f>資料儲存!I2863</f>
        <v>0</v>
      </c>
      <c r="AI55" s="39">
        <f>資料儲存!J2863</f>
        <v>0</v>
      </c>
      <c r="AJ55" s="58"/>
    </row>
    <row r="56" spans="1:36" ht="16" thickBot="1">
      <c r="A56" s="61">
        <v>13</v>
      </c>
      <c r="B56" s="39">
        <f>資料儲存!D2684</f>
        <v>0</v>
      </c>
      <c r="C56" s="39">
        <f>資料儲存!E2684</f>
        <v>0</v>
      </c>
      <c r="D56" s="39">
        <f>資料儲存!F2684</f>
        <v>0</v>
      </c>
      <c r="E56" s="39">
        <f>資料儲存!G2684</f>
        <v>0</v>
      </c>
      <c r="F56" s="39">
        <f>資料儲存!H2684</f>
        <v>0</v>
      </c>
      <c r="G56" s="39">
        <f>資料儲存!I2684</f>
        <v>0</v>
      </c>
      <c r="H56" s="39">
        <f>資料儲存!J2684</f>
        <v>0</v>
      </c>
      <c r="I56" s="58"/>
      <c r="J56" s="61">
        <v>13</v>
      </c>
      <c r="K56" s="39">
        <f>資料儲存!D2744</f>
        <v>0</v>
      </c>
      <c r="L56" s="39">
        <f>資料儲存!E2744</f>
        <v>0</v>
      </c>
      <c r="M56" s="39">
        <f>資料儲存!F2744</f>
        <v>0</v>
      </c>
      <c r="N56" s="39">
        <f>資料儲存!G2744</f>
        <v>0</v>
      </c>
      <c r="O56" s="39">
        <f>資料儲存!H2744</f>
        <v>0</v>
      </c>
      <c r="P56" s="39">
        <f>資料儲存!I2744</f>
        <v>0</v>
      </c>
      <c r="Q56" s="39">
        <f>資料儲存!J2744</f>
        <v>0</v>
      </c>
      <c r="R56" s="58"/>
      <c r="S56" s="61">
        <v>13</v>
      </c>
      <c r="T56" s="39">
        <f>資料儲存!D2804</f>
        <v>0</v>
      </c>
      <c r="U56" s="39">
        <f>資料儲存!E2804</f>
        <v>0</v>
      </c>
      <c r="V56" s="39">
        <f>資料儲存!F2804</f>
        <v>0</v>
      </c>
      <c r="W56" s="39">
        <f>資料儲存!G2804</f>
        <v>0</v>
      </c>
      <c r="X56" s="39">
        <f>資料儲存!H2804</f>
        <v>0</v>
      </c>
      <c r="Y56" s="39">
        <f>資料儲存!I2804</f>
        <v>0</v>
      </c>
      <c r="Z56" s="39">
        <f>資料儲存!J2804</f>
        <v>0</v>
      </c>
      <c r="AA56" s="58"/>
      <c r="AB56" s="61">
        <v>13</v>
      </c>
      <c r="AC56" s="39">
        <f>資料儲存!D2864</f>
        <v>0</v>
      </c>
      <c r="AD56" s="39">
        <f>資料儲存!E2864</f>
        <v>0</v>
      </c>
      <c r="AE56" s="39">
        <f>資料儲存!F2864</f>
        <v>0</v>
      </c>
      <c r="AF56" s="39">
        <f>資料儲存!G2864</f>
        <v>0</v>
      </c>
      <c r="AG56" s="39">
        <f>資料儲存!H2864</f>
        <v>0</v>
      </c>
      <c r="AH56" s="39">
        <f>資料儲存!I2864</f>
        <v>0</v>
      </c>
      <c r="AI56" s="39">
        <f>資料儲存!J2864</f>
        <v>0</v>
      </c>
      <c r="AJ56" s="58"/>
    </row>
    <row r="57" spans="1:36" ht="16" thickBot="1">
      <c r="A57" s="61">
        <v>14</v>
      </c>
      <c r="B57" s="39">
        <f>資料儲存!D2685</f>
        <v>0</v>
      </c>
      <c r="C57" s="39">
        <f>資料儲存!E2685</f>
        <v>0</v>
      </c>
      <c r="D57" s="39">
        <f>資料儲存!F2685</f>
        <v>0</v>
      </c>
      <c r="E57" s="39">
        <f>資料儲存!G2685</f>
        <v>0</v>
      </c>
      <c r="F57" s="39">
        <f>資料儲存!H2685</f>
        <v>0</v>
      </c>
      <c r="G57" s="39">
        <f>資料儲存!I2685</f>
        <v>0</v>
      </c>
      <c r="H57" s="39">
        <f>資料儲存!J2685</f>
        <v>0</v>
      </c>
      <c r="I57" s="58"/>
      <c r="J57" s="61">
        <v>14</v>
      </c>
      <c r="K57" s="39">
        <f>資料儲存!D2745</f>
        <v>0</v>
      </c>
      <c r="L57" s="39">
        <f>資料儲存!E2745</f>
        <v>0</v>
      </c>
      <c r="M57" s="39">
        <f>資料儲存!F2745</f>
        <v>0</v>
      </c>
      <c r="N57" s="39">
        <f>資料儲存!G2745</f>
        <v>0</v>
      </c>
      <c r="O57" s="39">
        <f>資料儲存!H2745</f>
        <v>0</v>
      </c>
      <c r="P57" s="39">
        <f>資料儲存!I2745</f>
        <v>0</v>
      </c>
      <c r="Q57" s="39">
        <f>資料儲存!J2745</f>
        <v>0</v>
      </c>
      <c r="R57" s="58"/>
      <c r="S57" s="61">
        <v>14</v>
      </c>
      <c r="T57" s="39">
        <f>資料儲存!D2805</f>
        <v>0</v>
      </c>
      <c r="U57" s="39">
        <f>資料儲存!E2805</f>
        <v>0</v>
      </c>
      <c r="V57" s="39">
        <f>資料儲存!F2805</f>
        <v>0</v>
      </c>
      <c r="W57" s="39">
        <f>資料儲存!G2805</f>
        <v>0</v>
      </c>
      <c r="X57" s="39">
        <f>資料儲存!H2805</f>
        <v>0</v>
      </c>
      <c r="Y57" s="39">
        <f>資料儲存!I2805</f>
        <v>0</v>
      </c>
      <c r="Z57" s="39">
        <f>資料儲存!J2805</f>
        <v>0</v>
      </c>
      <c r="AA57" s="58"/>
      <c r="AB57" s="61">
        <v>14</v>
      </c>
      <c r="AC57" s="39">
        <f>資料儲存!D2865</f>
        <v>0</v>
      </c>
      <c r="AD57" s="39">
        <f>資料儲存!E2865</f>
        <v>0</v>
      </c>
      <c r="AE57" s="39">
        <f>資料儲存!F2865</f>
        <v>0</v>
      </c>
      <c r="AF57" s="39">
        <f>資料儲存!G2865</f>
        <v>0</v>
      </c>
      <c r="AG57" s="39">
        <f>資料儲存!H2865</f>
        <v>0</v>
      </c>
      <c r="AH57" s="39">
        <f>資料儲存!I2865</f>
        <v>0</v>
      </c>
      <c r="AI57" s="39">
        <f>資料儲存!J2865</f>
        <v>0</v>
      </c>
      <c r="AJ57" s="58"/>
    </row>
    <row r="58" spans="1:36" ht="16" thickBot="1">
      <c r="A58" s="61">
        <v>15</v>
      </c>
      <c r="B58" s="39">
        <f>資料儲存!D2686</f>
        <v>0</v>
      </c>
      <c r="C58" s="39">
        <f>資料儲存!E2686</f>
        <v>0</v>
      </c>
      <c r="D58" s="39">
        <f>資料儲存!F2686</f>
        <v>0</v>
      </c>
      <c r="E58" s="39">
        <f>資料儲存!G2686</f>
        <v>0</v>
      </c>
      <c r="F58" s="39">
        <f>資料儲存!H2686</f>
        <v>0</v>
      </c>
      <c r="G58" s="39">
        <f>資料儲存!I2686</f>
        <v>0</v>
      </c>
      <c r="H58" s="39">
        <f>資料儲存!J2686</f>
        <v>0</v>
      </c>
      <c r="I58" s="58"/>
      <c r="J58" s="61">
        <v>15</v>
      </c>
      <c r="K58" s="39">
        <f>資料儲存!D2746</f>
        <v>0</v>
      </c>
      <c r="L58" s="39">
        <f>資料儲存!E2746</f>
        <v>0</v>
      </c>
      <c r="M58" s="39">
        <f>資料儲存!F2746</f>
        <v>0</v>
      </c>
      <c r="N58" s="39">
        <f>資料儲存!G2746</f>
        <v>0</v>
      </c>
      <c r="O58" s="39">
        <f>資料儲存!H2746</f>
        <v>0</v>
      </c>
      <c r="P58" s="39">
        <f>資料儲存!I2746</f>
        <v>0</v>
      </c>
      <c r="Q58" s="39">
        <f>資料儲存!J2746</f>
        <v>0</v>
      </c>
      <c r="R58" s="58"/>
      <c r="S58" s="61">
        <v>15</v>
      </c>
      <c r="T58" s="39">
        <f>資料儲存!D2806</f>
        <v>0</v>
      </c>
      <c r="U58" s="39">
        <f>資料儲存!E2806</f>
        <v>0</v>
      </c>
      <c r="V58" s="39">
        <f>資料儲存!F2806</f>
        <v>0</v>
      </c>
      <c r="W58" s="39">
        <f>資料儲存!G2806</f>
        <v>0</v>
      </c>
      <c r="X58" s="39">
        <f>資料儲存!H2806</f>
        <v>0</v>
      </c>
      <c r="Y58" s="39">
        <f>資料儲存!I2806</f>
        <v>0</v>
      </c>
      <c r="Z58" s="39">
        <f>資料儲存!J2806</f>
        <v>0</v>
      </c>
      <c r="AA58" s="58"/>
      <c r="AB58" s="61">
        <v>15</v>
      </c>
      <c r="AC58" s="39">
        <f>資料儲存!D2866</f>
        <v>0</v>
      </c>
      <c r="AD58" s="39">
        <f>資料儲存!E2866</f>
        <v>0</v>
      </c>
      <c r="AE58" s="39">
        <f>資料儲存!F2866</f>
        <v>0</v>
      </c>
      <c r="AF58" s="39">
        <f>資料儲存!G2866</f>
        <v>0</v>
      </c>
      <c r="AG58" s="39">
        <f>資料儲存!H2866</f>
        <v>0</v>
      </c>
      <c r="AH58" s="39">
        <f>資料儲存!I2866</f>
        <v>0</v>
      </c>
      <c r="AI58" s="39">
        <f>資料儲存!J2866</f>
        <v>0</v>
      </c>
      <c r="AJ58" s="58"/>
    </row>
    <row r="59" spans="1:36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</row>
    <row r="60" spans="1:36" ht="18.5" thickBot="1">
      <c r="A60" s="259" t="s">
        <v>112</v>
      </c>
      <c r="B60" s="260"/>
      <c r="C60" s="260"/>
      <c r="D60" s="260"/>
      <c r="E60" s="260"/>
      <c r="F60" s="260"/>
      <c r="G60" s="260"/>
      <c r="H60" s="261"/>
      <c r="I60" s="14"/>
      <c r="J60" s="259" t="s">
        <v>112</v>
      </c>
      <c r="K60" s="260"/>
      <c r="L60" s="260"/>
      <c r="M60" s="260"/>
      <c r="N60" s="260"/>
      <c r="O60" s="260"/>
      <c r="P60" s="260"/>
      <c r="Q60" s="261"/>
      <c r="R60" s="14"/>
      <c r="S60" s="259" t="s">
        <v>112</v>
      </c>
      <c r="T60" s="260"/>
      <c r="U60" s="260"/>
      <c r="V60" s="260"/>
      <c r="W60" s="260"/>
      <c r="X60" s="260"/>
      <c r="Y60" s="260"/>
      <c r="Z60" s="261"/>
      <c r="AA60" s="14"/>
      <c r="AB60" s="259" t="s">
        <v>112</v>
      </c>
      <c r="AC60" s="260"/>
      <c r="AD60" s="260"/>
      <c r="AE60" s="260"/>
      <c r="AF60" s="260"/>
      <c r="AG60" s="260"/>
      <c r="AH60" s="260"/>
      <c r="AI60" s="261"/>
      <c r="AJ60" s="14"/>
    </row>
    <row r="61" spans="1:36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</row>
    <row r="62" spans="1:36" ht="16" thickBot="1">
      <c r="A62" s="66">
        <v>0.63541666666666663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>
        <v>0.63541666666666663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>
        <v>0.63541666666666663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>
        <v>0.63541666666666663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</row>
    <row r="63" spans="1:36" ht="16" thickBot="1">
      <c r="A63" s="68">
        <v>16</v>
      </c>
      <c r="B63" s="49">
        <f>資料儲存!D2687</f>
        <v>0</v>
      </c>
      <c r="C63" s="49">
        <f>資料儲存!E2687</f>
        <v>0</v>
      </c>
      <c r="D63" s="49">
        <f>資料儲存!F2687</f>
        <v>0</v>
      </c>
      <c r="E63" s="49">
        <f>資料儲存!G2687</f>
        <v>0</v>
      </c>
      <c r="F63" s="49">
        <f>資料儲存!H2687</f>
        <v>0</v>
      </c>
      <c r="G63" s="49">
        <f>資料儲存!I2687</f>
        <v>0</v>
      </c>
      <c r="H63" s="49">
        <f>資料儲存!J2687</f>
        <v>0</v>
      </c>
      <c r="I63" s="52"/>
      <c r="J63" s="68">
        <v>16</v>
      </c>
      <c r="K63" s="49">
        <f>資料儲存!D2747</f>
        <v>0</v>
      </c>
      <c r="L63" s="49">
        <f>資料儲存!E2747</f>
        <v>0</v>
      </c>
      <c r="M63" s="49">
        <f>資料儲存!F2747</f>
        <v>0</v>
      </c>
      <c r="N63" s="49">
        <f>資料儲存!G2747</f>
        <v>0</v>
      </c>
      <c r="O63" s="49">
        <f>資料儲存!H2747</f>
        <v>0</v>
      </c>
      <c r="P63" s="49">
        <f>資料儲存!I2747</f>
        <v>0</v>
      </c>
      <c r="Q63" s="49">
        <f>資料儲存!J2747</f>
        <v>0</v>
      </c>
      <c r="R63" s="52"/>
      <c r="S63" s="68">
        <v>16</v>
      </c>
      <c r="T63" s="49">
        <f>資料儲存!D2807</f>
        <v>0</v>
      </c>
      <c r="U63" s="49">
        <f>資料儲存!E2807</f>
        <v>0</v>
      </c>
      <c r="V63" s="49">
        <f>資料儲存!F2807</f>
        <v>0</v>
      </c>
      <c r="W63" s="49">
        <f>資料儲存!G2807</f>
        <v>0</v>
      </c>
      <c r="X63" s="49">
        <f>資料儲存!H2807</f>
        <v>0</v>
      </c>
      <c r="Y63" s="49">
        <f>資料儲存!I2807</f>
        <v>0</v>
      </c>
      <c r="Z63" s="49">
        <f>資料儲存!J2807</f>
        <v>0</v>
      </c>
      <c r="AA63" s="52"/>
      <c r="AB63" s="68">
        <v>16</v>
      </c>
      <c r="AC63" s="49">
        <f>資料儲存!D2867</f>
        <v>0</v>
      </c>
      <c r="AD63" s="49">
        <f>資料儲存!E2867</f>
        <v>0</v>
      </c>
      <c r="AE63" s="49">
        <f>資料儲存!F2867</f>
        <v>0</v>
      </c>
      <c r="AF63" s="49">
        <f>資料儲存!G2867</f>
        <v>0</v>
      </c>
      <c r="AG63" s="49">
        <f>資料儲存!H2867</f>
        <v>0</v>
      </c>
      <c r="AH63" s="49">
        <f>資料儲存!I2867</f>
        <v>0</v>
      </c>
      <c r="AI63" s="49">
        <f>資料儲存!J2867</f>
        <v>0</v>
      </c>
      <c r="AJ63" s="52"/>
    </row>
    <row r="64" spans="1:36" ht="16" thickBot="1">
      <c r="A64" s="68">
        <v>17</v>
      </c>
      <c r="B64" s="49">
        <f>資料儲存!D2688</f>
        <v>0</v>
      </c>
      <c r="C64" s="49">
        <f>資料儲存!E2688</f>
        <v>0</v>
      </c>
      <c r="D64" s="49">
        <f>資料儲存!F2688</f>
        <v>0</v>
      </c>
      <c r="E64" s="49">
        <f>資料儲存!G2688</f>
        <v>0</v>
      </c>
      <c r="F64" s="49">
        <f>資料儲存!H2688</f>
        <v>0</v>
      </c>
      <c r="G64" s="49">
        <f>資料儲存!I2688</f>
        <v>0</v>
      </c>
      <c r="H64" s="49">
        <f>資料儲存!J2688</f>
        <v>0</v>
      </c>
      <c r="I64" s="52"/>
      <c r="J64" s="68">
        <v>17</v>
      </c>
      <c r="K64" s="49">
        <f>資料儲存!D2748</f>
        <v>0</v>
      </c>
      <c r="L64" s="49">
        <f>資料儲存!E2748</f>
        <v>0</v>
      </c>
      <c r="M64" s="49">
        <f>資料儲存!F2748</f>
        <v>0</v>
      </c>
      <c r="N64" s="49">
        <f>資料儲存!G2748</f>
        <v>0</v>
      </c>
      <c r="O64" s="49">
        <f>資料儲存!H2748</f>
        <v>0</v>
      </c>
      <c r="P64" s="49">
        <f>資料儲存!I2748</f>
        <v>0</v>
      </c>
      <c r="Q64" s="49">
        <f>資料儲存!J2748</f>
        <v>0</v>
      </c>
      <c r="R64" s="52"/>
      <c r="S64" s="68">
        <v>17</v>
      </c>
      <c r="T64" s="49">
        <f>資料儲存!D2808</f>
        <v>0</v>
      </c>
      <c r="U64" s="49">
        <f>資料儲存!E2808</f>
        <v>0</v>
      </c>
      <c r="V64" s="49">
        <f>資料儲存!F2808</f>
        <v>0</v>
      </c>
      <c r="W64" s="49">
        <f>資料儲存!G2808</f>
        <v>0</v>
      </c>
      <c r="X64" s="49">
        <f>資料儲存!H2808</f>
        <v>0</v>
      </c>
      <c r="Y64" s="49">
        <f>資料儲存!I2808</f>
        <v>0</v>
      </c>
      <c r="Z64" s="49">
        <f>資料儲存!J2808</f>
        <v>0</v>
      </c>
      <c r="AA64" s="52"/>
      <c r="AB64" s="68">
        <v>17</v>
      </c>
      <c r="AC64" s="49">
        <f>資料儲存!D2868</f>
        <v>0</v>
      </c>
      <c r="AD64" s="49">
        <f>資料儲存!E2868</f>
        <v>0</v>
      </c>
      <c r="AE64" s="49">
        <f>資料儲存!F2868</f>
        <v>0</v>
      </c>
      <c r="AF64" s="49">
        <f>資料儲存!G2868</f>
        <v>0</v>
      </c>
      <c r="AG64" s="49">
        <f>資料儲存!H2868</f>
        <v>0</v>
      </c>
      <c r="AH64" s="49">
        <f>資料儲存!I2868</f>
        <v>0</v>
      </c>
      <c r="AI64" s="49">
        <f>資料儲存!J2868</f>
        <v>0</v>
      </c>
      <c r="AJ64" s="52"/>
    </row>
    <row r="65" spans="1:36" ht="16" thickBot="1">
      <c r="A65" s="68">
        <v>18</v>
      </c>
      <c r="B65" s="49">
        <f>資料儲存!D2689</f>
        <v>0</v>
      </c>
      <c r="C65" s="49">
        <f>資料儲存!E2689</f>
        <v>0</v>
      </c>
      <c r="D65" s="49">
        <f>資料儲存!F2689</f>
        <v>0</v>
      </c>
      <c r="E65" s="49">
        <f>資料儲存!G2689</f>
        <v>0</v>
      </c>
      <c r="F65" s="49">
        <f>資料儲存!H2689</f>
        <v>0</v>
      </c>
      <c r="G65" s="49">
        <f>資料儲存!I2689</f>
        <v>0</v>
      </c>
      <c r="H65" s="49">
        <f>資料儲存!J2689</f>
        <v>0</v>
      </c>
      <c r="I65" s="52"/>
      <c r="J65" s="68">
        <v>18</v>
      </c>
      <c r="K65" s="49">
        <f>資料儲存!D2749</f>
        <v>0</v>
      </c>
      <c r="L65" s="49">
        <f>資料儲存!E2749</f>
        <v>0</v>
      </c>
      <c r="M65" s="49">
        <f>資料儲存!F2749</f>
        <v>0</v>
      </c>
      <c r="N65" s="49">
        <f>資料儲存!G2749</f>
        <v>0</v>
      </c>
      <c r="O65" s="49">
        <f>資料儲存!H2749</f>
        <v>0</v>
      </c>
      <c r="P65" s="49">
        <f>資料儲存!I2749</f>
        <v>0</v>
      </c>
      <c r="Q65" s="49">
        <f>資料儲存!J2749</f>
        <v>0</v>
      </c>
      <c r="R65" s="52"/>
      <c r="S65" s="68">
        <v>18</v>
      </c>
      <c r="T65" s="49">
        <f>資料儲存!D2809</f>
        <v>0</v>
      </c>
      <c r="U65" s="49">
        <f>資料儲存!E2809</f>
        <v>0</v>
      </c>
      <c r="V65" s="49">
        <f>資料儲存!F2809</f>
        <v>0</v>
      </c>
      <c r="W65" s="49">
        <f>資料儲存!G2809</f>
        <v>0</v>
      </c>
      <c r="X65" s="49">
        <f>資料儲存!H2809</f>
        <v>0</v>
      </c>
      <c r="Y65" s="49">
        <f>資料儲存!I2809</f>
        <v>0</v>
      </c>
      <c r="Z65" s="49">
        <f>資料儲存!J2809</f>
        <v>0</v>
      </c>
      <c r="AA65" s="52"/>
      <c r="AB65" s="68">
        <v>18</v>
      </c>
      <c r="AC65" s="49">
        <f>資料儲存!D2869</f>
        <v>0</v>
      </c>
      <c r="AD65" s="49">
        <f>資料儲存!E2869</f>
        <v>0</v>
      </c>
      <c r="AE65" s="49">
        <f>資料儲存!F2869</f>
        <v>0</v>
      </c>
      <c r="AF65" s="49">
        <f>資料儲存!G2869</f>
        <v>0</v>
      </c>
      <c r="AG65" s="49">
        <f>資料儲存!H2869</f>
        <v>0</v>
      </c>
      <c r="AH65" s="49">
        <f>資料儲存!I2869</f>
        <v>0</v>
      </c>
      <c r="AI65" s="49">
        <f>資料儲存!J2869</f>
        <v>0</v>
      </c>
      <c r="AJ65" s="52"/>
    </row>
    <row r="66" spans="1:36" ht="16" thickBot="1">
      <c r="A66" s="68">
        <v>19</v>
      </c>
      <c r="B66" s="49">
        <f>資料儲存!D2690</f>
        <v>0</v>
      </c>
      <c r="C66" s="49">
        <f>資料儲存!E2690</f>
        <v>0</v>
      </c>
      <c r="D66" s="49">
        <f>資料儲存!F2690</f>
        <v>0</v>
      </c>
      <c r="E66" s="49">
        <f>資料儲存!G2690</f>
        <v>0</v>
      </c>
      <c r="F66" s="49">
        <f>資料儲存!H2690</f>
        <v>0</v>
      </c>
      <c r="G66" s="49">
        <f>資料儲存!I2690</f>
        <v>0</v>
      </c>
      <c r="H66" s="49">
        <f>資料儲存!J2690</f>
        <v>0</v>
      </c>
      <c r="I66" s="52"/>
      <c r="J66" s="68">
        <v>19</v>
      </c>
      <c r="K66" s="49">
        <f>資料儲存!D2750</f>
        <v>0</v>
      </c>
      <c r="L66" s="49">
        <f>資料儲存!E2750</f>
        <v>0</v>
      </c>
      <c r="M66" s="49">
        <f>資料儲存!F2750</f>
        <v>0</v>
      </c>
      <c r="N66" s="49">
        <f>資料儲存!G2750</f>
        <v>0</v>
      </c>
      <c r="O66" s="49">
        <f>資料儲存!H2750</f>
        <v>0</v>
      </c>
      <c r="P66" s="49">
        <f>資料儲存!I2750</f>
        <v>0</v>
      </c>
      <c r="Q66" s="49">
        <f>資料儲存!J2750</f>
        <v>0</v>
      </c>
      <c r="R66" s="52"/>
      <c r="S66" s="68">
        <v>19</v>
      </c>
      <c r="T66" s="49">
        <f>資料儲存!D2810</f>
        <v>0</v>
      </c>
      <c r="U66" s="49">
        <f>資料儲存!E2810</f>
        <v>0</v>
      </c>
      <c r="V66" s="49">
        <f>資料儲存!F2810</f>
        <v>0</v>
      </c>
      <c r="W66" s="49">
        <f>資料儲存!G2810</f>
        <v>0</v>
      </c>
      <c r="X66" s="49">
        <f>資料儲存!H2810</f>
        <v>0</v>
      </c>
      <c r="Y66" s="49">
        <f>資料儲存!I2810</f>
        <v>0</v>
      </c>
      <c r="Z66" s="49">
        <f>資料儲存!J2810</f>
        <v>0</v>
      </c>
      <c r="AA66" s="52"/>
      <c r="AB66" s="68">
        <v>19</v>
      </c>
      <c r="AC66" s="49">
        <f>資料儲存!D2870</f>
        <v>0</v>
      </c>
      <c r="AD66" s="49">
        <f>資料儲存!E2870</f>
        <v>0</v>
      </c>
      <c r="AE66" s="49">
        <f>資料儲存!F2870</f>
        <v>0</v>
      </c>
      <c r="AF66" s="49">
        <f>資料儲存!G2870</f>
        <v>0</v>
      </c>
      <c r="AG66" s="49">
        <f>資料儲存!H2870</f>
        <v>0</v>
      </c>
      <c r="AH66" s="49">
        <f>資料儲存!I2870</f>
        <v>0</v>
      </c>
      <c r="AI66" s="49">
        <f>資料儲存!J2870</f>
        <v>0</v>
      </c>
      <c r="AJ66" s="52"/>
    </row>
    <row r="67" spans="1:36" ht="16" thickBot="1">
      <c r="A67" s="68">
        <v>20</v>
      </c>
      <c r="B67" s="49">
        <f>資料儲存!D2691</f>
        <v>0</v>
      </c>
      <c r="C67" s="49">
        <f>資料儲存!E2691</f>
        <v>0</v>
      </c>
      <c r="D67" s="49">
        <f>資料儲存!F2691</f>
        <v>0</v>
      </c>
      <c r="E67" s="49">
        <f>資料儲存!G2691</f>
        <v>0</v>
      </c>
      <c r="F67" s="49">
        <f>資料儲存!H2691</f>
        <v>0</v>
      </c>
      <c r="G67" s="49">
        <f>資料儲存!I2691</f>
        <v>0</v>
      </c>
      <c r="H67" s="49">
        <f>資料儲存!J2691</f>
        <v>0</v>
      </c>
      <c r="I67" s="52"/>
      <c r="J67" s="68">
        <v>20</v>
      </c>
      <c r="K67" s="49">
        <f>資料儲存!D2751</f>
        <v>0</v>
      </c>
      <c r="L67" s="49">
        <f>資料儲存!E2751</f>
        <v>0</v>
      </c>
      <c r="M67" s="49">
        <f>資料儲存!F2751</f>
        <v>0</v>
      </c>
      <c r="N67" s="49">
        <f>資料儲存!G2751</f>
        <v>0</v>
      </c>
      <c r="O67" s="49">
        <f>資料儲存!H2751</f>
        <v>0</v>
      </c>
      <c r="P67" s="49">
        <f>資料儲存!I2751</f>
        <v>0</v>
      </c>
      <c r="Q67" s="49">
        <f>資料儲存!J2751</f>
        <v>0</v>
      </c>
      <c r="R67" s="52"/>
      <c r="S67" s="68">
        <v>20</v>
      </c>
      <c r="T67" s="49">
        <f>資料儲存!D2811</f>
        <v>0</v>
      </c>
      <c r="U67" s="49">
        <f>資料儲存!E2811</f>
        <v>0</v>
      </c>
      <c r="V67" s="49">
        <f>資料儲存!F2811</f>
        <v>0</v>
      </c>
      <c r="W67" s="49">
        <f>資料儲存!G2811</f>
        <v>0</v>
      </c>
      <c r="X67" s="49">
        <f>資料儲存!H2811</f>
        <v>0</v>
      </c>
      <c r="Y67" s="49">
        <f>資料儲存!I2811</f>
        <v>0</v>
      </c>
      <c r="Z67" s="49">
        <f>資料儲存!J2811</f>
        <v>0</v>
      </c>
      <c r="AA67" s="52"/>
      <c r="AB67" s="68">
        <v>20</v>
      </c>
      <c r="AC67" s="49">
        <f>資料儲存!D2871</f>
        <v>0</v>
      </c>
      <c r="AD67" s="49">
        <f>資料儲存!E2871</f>
        <v>0</v>
      </c>
      <c r="AE67" s="49">
        <f>資料儲存!F2871</f>
        <v>0</v>
      </c>
      <c r="AF67" s="49">
        <f>資料儲存!G2871</f>
        <v>0</v>
      </c>
      <c r="AG67" s="49">
        <f>資料儲存!H2871</f>
        <v>0</v>
      </c>
      <c r="AH67" s="49">
        <f>資料儲存!I2871</f>
        <v>0</v>
      </c>
      <c r="AI67" s="49">
        <f>資料儲存!J2871</f>
        <v>0</v>
      </c>
      <c r="AJ67" s="52"/>
    </row>
    <row r="68" spans="1:36" ht="16" thickBot="1">
      <c r="A68" s="68">
        <v>21</v>
      </c>
      <c r="B68" s="49">
        <f>資料儲存!D2692</f>
        <v>0</v>
      </c>
      <c r="C68" s="49">
        <f>資料儲存!E2692</f>
        <v>0</v>
      </c>
      <c r="D68" s="49">
        <f>資料儲存!F2692</f>
        <v>0</v>
      </c>
      <c r="E68" s="49">
        <f>資料儲存!G2692</f>
        <v>0</v>
      </c>
      <c r="F68" s="49">
        <f>資料儲存!H2692</f>
        <v>0</v>
      </c>
      <c r="G68" s="49">
        <f>資料儲存!I2692</f>
        <v>0</v>
      </c>
      <c r="H68" s="49">
        <f>資料儲存!J2692</f>
        <v>0</v>
      </c>
      <c r="I68" s="52"/>
      <c r="J68" s="68">
        <v>21</v>
      </c>
      <c r="K68" s="49">
        <f>資料儲存!D2752</f>
        <v>0</v>
      </c>
      <c r="L68" s="49">
        <f>資料儲存!E2752</f>
        <v>0</v>
      </c>
      <c r="M68" s="49">
        <f>資料儲存!F2752</f>
        <v>0</v>
      </c>
      <c r="N68" s="49">
        <f>資料儲存!G2752</f>
        <v>0</v>
      </c>
      <c r="O68" s="49">
        <f>資料儲存!H2752</f>
        <v>0</v>
      </c>
      <c r="P68" s="49">
        <f>資料儲存!I2752</f>
        <v>0</v>
      </c>
      <c r="Q68" s="49">
        <f>資料儲存!J2752</f>
        <v>0</v>
      </c>
      <c r="R68" s="52"/>
      <c r="S68" s="68">
        <v>21</v>
      </c>
      <c r="T68" s="49">
        <f>資料儲存!D2812</f>
        <v>0</v>
      </c>
      <c r="U68" s="49">
        <f>資料儲存!E2812</f>
        <v>0</v>
      </c>
      <c r="V68" s="49">
        <f>資料儲存!F2812</f>
        <v>0</v>
      </c>
      <c r="W68" s="49">
        <f>資料儲存!G2812</f>
        <v>0</v>
      </c>
      <c r="X68" s="49">
        <f>資料儲存!H2812</f>
        <v>0</v>
      </c>
      <c r="Y68" s="49">
        <f>資料儲存!I2812</f>
        <v>0</v>
      </c>
      <c r="Z68" s="49">
        <f>資料儲存!J2812</f>
        <v>0</v>
      </c>
      <c r="AA68" s="52"/>
      <c r="AB68" s="68">
        <v>21</v>
      </c>
      <c r="AC68" s="49">
        <f>資料儲存!D2872</f>
        <v>0</v>
      </c>
      <c r="AD68" s="49">
        <f>資料儲存!E2872</f>
        <v>0</v>
      </c>
      <c r="AE68" s="49">
        <f>資料儲存!F2872</f>
        <v>0</v>
      </c>
      <c r="AF68" s="49">
        <f>資料儲存!G2872</f>
        <v>0</v>
      </c>
      <c r="AG68" s="49">
        <f>資料儲存!H2872</f>
        <v>0</v>
      </c>
      <c r="AH68" s="49">
        <f>資料儲存!I2872</f>
        <v>0</v>
      </c>
      <c r="AI68" s="49">
        <f>資料儲存!J2872</f>
        <v>0</v>
      </c>
      <c r="AJ68" s="52"/>
    </row>
    <row r="69" spans="1:36" ht="16" thickBot="1">
      <c r="A69" s="68">
        <v>22</v>
      </c>
      <c r="B69" s="49">
        <f>資料儲存!D2693</f>
        <v>0</v>
      </c>
      <c r="C69" s="49">
        <f>資料儲存!E2693</f>
        <v>0</v>
      </c>
      <c r="D69" s="49">
        <f>資料儲存!F2693</f>
        <v>0</v>
      </c>
      <c r="E69" s="49">
        <f>資料儲存!G2693</f>
        <v>0</v>
      </c>
      <c r="F69" s="49">
        <f>資料儲存!H2693</f>
        <v>0</v>
      </c>
      <c r="G69" s="49">
        <f>資料儲存!I2693</f>
        <v>0</v>
      </c>
      <c r="H69" s="49">
        <f>資料儲存!J2693</f>
        <v>0</v>
      </c>
      <c r="I69" s="52"/>
      <c r="J69" s="68">
        <v>22</v>
      </c>
      <c r="K69" s="49">
        <f>資料儲存!D2753</f>
        <v>0</v>
      </c>
      <c r="L69" s="49">
        <f>資料儲存!E2753</f>
        <v>0</v>
      </c>
      <c r="M69" s="49">
        <f>資料儲存!F2753</f>
        <v>0</v>
      </c>
      <c r="N69" s="49">
        <f>資料儲存!G2753</f>
        <v>0</v>
      </c>
      <c r="O69" s="49">
        <f>資料儲存!H2753</f>
        <v>0</v>
      </c>
      <c r="P69" s="49">
        <f>資料儲存!I2753</f>
        <v>0</v>
      </c>
      <c r="Q69" s="49">
        <f>資料儲存!J2753</f>
        <v>0</v>
      </c>
      <c r="R69" s="52"/>
      <c r="S69" s="68">
        <v>22</v>
      </c>
      <c r="T69" s="49">
        <f>資料儲存!D2813</f>
        <v>0</v>
      </c>
      <c r="U69" s="49">
        <f>資料儲存!E2813</f>
        <v>0</v>
      </c>
      <c r="V69" s="49">
        <f>資料儲存!F2813</f>
        <v>0</v>
      </c>
      <c r="W69" s="49">
        <f>資料儲存!G2813</f>
        <v>0</v>
      </c>
      <c r="X69" s="49">
        <f>資料儲存!H2813</f>
        <v>0</v>
      </c>
      <c r="Y69" s="49">
        <f>資料儲存!I2813</f>
        <v>0</v>
      </c>
      <c r="Z69" s="49">
        <f>資料儲存!J2813</f>
        <v>0</v>
      </c>
      <c r="AA69" s="52"/>
      <c r="AB69" s="68">
        <v>22</v>
      </c>
      <c r="AC69" s="49">
        <f>資料儲存!D2873</f>
        <v>0</v>
      </c>
      <c r="AD69" s="49">
        <f>資料儲存!E2873</f>
        <v>0</v>
      </c>
      <c r="AE69" s="49">
        <f>資料儲存!F2873</f>
        <v>0</v>
      </c>
      <c r="AF69" s="49">
        <f>資料儲存!G2873</f>
        <v>0</v>
      </c>
      <c r="AG69" s="49">
        <f>資料儲存!H2873</f>
        <v>0</v>
      </c>
      <c r="AH69" s="49">
        <f>資料儲存!I2873</f>
        <v>0</v>
      </c>
      <c r="AI69" s="49">
        <f>資料儲存!J2873</f>
        <v>0</v>
      </c>
      <c r="AJ69" s="52"/>
    </row>
    <row r="70" spans="1:36" ht="16" thickBot="1">
      <c r="A70" s="68">
        <v>23</v>
      </c>
      <c r="B70" s="49">
        <f>資料儲存!D2694</f>
        <v>0</v>
      </c>
      <c r="C70" s="49">
        <f>資料儲存!E2694</f>
        <v>0</v>
      </c>
      <c r="D70" s="49">
        <f>資料儲存!F2694</f>
        <v>0</v>
      </c>
      <c r="E70" s="49">
        <f>資料儲存!G2694</f>
        <v>0</v>
      </c>
      <c r="F70" s="49">
        <f>資料儲存!H2694</f>
        <v>0</v>
      </c>
      <c r="G70" s="49">
        <f>資料儲存!I2694</f>
        <v>0</v>
      </c>
      <c r="H70" s="49">
        <f>資料儲存!J2694</f>
        <v>0</v>
      </c>
      <c r="I70" s="52"/>
      <c r="J70" s="68">
        <v>23</v>
      </c>
      <c r="K70" s="49">
        <f>資料儲存!D2754</f>
        <v>0</v>
      </c>
      <c r="L70" s="49">
        <f>資料儲存!E2754</f>
        <v>0</v>
      </c>
      <c r="M70" s="49">
        <f>資料儲存!F2754</f>
        <v>0</v>
      </c>
      <c r="N70" s="49">
        <f>資料儲存!G2754</f>
        <v>0</v>
      </c>
      <c r="O70" s="49">
        <f>資料儲存!H2754</f>
        <v>0</v>
      </c>
      <c r="P70" s="49">
        <f>資料儲存!I2754</f>
        <v>0</v>
      </c>
      <c r="Q70" s="49">
        <f>資料儲存!J2754</f>
        <v>0</v>
      </c>
      <c r="R70" s="52"/>
      <c r="S70" s="68">
        <v>23</v>
      </c>
      <c r="T70" s="49">
        <f>資料儲存!D2814</f>
        <v>0</v>
      </c>
      <c r="U70" s="49">
        <f>資料儲存!E2814</f>
        <v>0</v>
      </c>
      <c r="V70" s="49">
        <f>資料儲存!F2814</f>
        <v>0</v>
      </c>
      <c r="W70" s="49">
        <f>資料儲存!G2814</f>
        <v>0</v>
      </c>
      <c r="X70" s="49">
        <f>資料儲存!H2814</f>
        <v>0</v>
      </c>
      <c r="Y70" s="49">
        <f>資料儲存!I2814</f>
        <v>0</v>
      </c>
      <c r="Z70" s="49">
        <f>資料儲存!J2814</f>
        <v>0</v>
      </c>
      <c r="AA70" s="52"/>
      <c r="AB70" s="68">
        <v>23</v>
      </c>
      <c r="AC70" s="49">
        <f>資料儲存!D2874</f>
        <v>0</v>
      </c>
      <c r="AD70" s="49">
        <f>資料儲存!E2874</f>
        <v>0</v>
      </c>
      <c r="AE70" s="49">
        <f>資料儲存!F2874</f>
        <v>0</v>
      </c>
      <c r="AF70" s="49">
        <f>資料儲存!G2874</f>
        <v>0</v>
      </c>
      <c r="AG70" s="49">
        <f>資料儲存!H2874</f>
        <v>0</v>
      </c>
      <c r="AH70" s="49">
        <f>資料儲存!I2874</f>
        <v>0</v>
      </c>
      <c r="AI70" s="49">
        <f>資料儲存!J2874</f>
        <v>0</v>
      </c>
      <c r="AJ70" s="52"/>
    </row>
    <row r="71" spans="1:36" ht="16" thickBot="1">
      <c r="A71" s="68">
        <v>24</v>
      </c>
      <c r="B71" s="49">
        <f>資料儲存!D2695</f>
        <v>0</v>
      </c>
      <c r="C71" s="49">
        <f>資料儲存!E2695</f>
        <v>0</v>
      </c>
      <c r="D71" s="49">
        <f>資料儲存!F2695</f>
        <v>0</v>
      </c>
      <c r="E71" s="49">
        <f>資料儲存!G2695</f>
        <v>0</v>
      </c>
      <c r="F71" s="49">
        <f>資料儲存!H2695</f>
        <v>0</v>
      </c>
      <c r="G71" s="49">
        <f>資料儲存!I2695</f>
        <v>0</v>
      </c>
      <c r="H71" s="49">
        <f>資料儲存!J2695</f>
        <v>0</v>
      </c>
      <c r="I71" s="52"/>
      <c r="J71" s="68">
        <v>24</v>
      </c>
      <c r="K71" s="49">
        <f>資料儲存!D2755</f>
        <v>0</v>
      </c>
      <c r="L71" s="49">
        <f>資料儲存!E2755</f>
        <v>0</v>
      </c>
      <c r="M71" s="49">
        <f>資料儲存!F2755</f>
        <v>0</v>
      </c>
      <c r="N71" s="49">
        <f>資料儲存!G2755</f>
        <v>0</v>
      </c>
      <c r="O71" s="49">
        <f>資料儲存!H2755</f>
        <v>0</v>
      </c>
      <c r="P71" s="49">
        <f>資料儲存!I2755</f>
        <v>0</v>
      </c>
      <c r="Q71" s="49">
        <f>資料儲存!J2755</f>
        <v>0</v>
      </c>
      <c r="R71" s="52"/>
      <c r="S71" s="68">
        <v>24</v>
      </c>
      <c r="T71" s="49">
        <f>資料儲存!D2815</f>
        <v>0</v>
      </c>
      <c r="U71" s="49">
        <f>資料儲存!E2815</f>
        <v>0</v>
      </c>
      <c r="V71" s="49">
        <f>資料儲存!F2815</f>
        <v>0</v>
      </c>
      <c r="W71" s="49">
        <f>資料儲存!G2815</f>
        <v>0</v>
      </c>
      <c r="X71" s="49">
        <f>資料儲存!H2815</f>
        <v>0</v>
      </c>
      <c r="Y71" s="49">
        <f>資料儲存!I2815</f>
        <v>0</v>
      </c>
      <c r="Z71" s="49">
        <f>資料儲存!J2815</f>
        <v>0</v>
      </c>
      <c r="AA71" s="52"/>
      <c r="AB71" s="68">
        <v>24</v>
      </c>
      <c r="AC71" s="49">
        <f>資料儲存!D2875</f>
        <v>0</v>
      </c>
      <c r="AD71" s="49">
        <f>資料儲存!E2875</f>
        <v>0</v>
      </c>
      <c r="AE71" s="49">
        <f>資料儲存!F2875</f>
        <v>0</v>
      </c>
      <c r="AF71" s="49">
        <f>資料儲存!G2875</f>
        <v>0</v>
      </c>
      <c r="AG71" s="49">
        <f>資料儲存!H2875</f>
        <v>0</v>
      </c>
      <c r="AH71" s="49">
        <f>資料儲存!I2875</f>
        <v>0</v>
      </c>
      <c r="AI71" s="49">
        <f>資料儲存!J2875</f>
        <v>0</v>
      </c>
      <c r="AJ71" s="52"/>
    </row>
    <row r="72" spans="1:36" ht="16" thickBot="1">
      <c r="A72" s="68">
        <v>25</v>
      </c>
      <c r="B72" s="49">
        <f>資料儲存!D2696</f>
        <v>0</v>
      </c>
      <c r="C72" s="49">
        <f>資料儲存!E2696</f>
        <v>0</v>
      </c>
      <c r="D72" s="49">
        <f>資料儲存!F2696</f>
        <v>0</v>
      </c>
      <c r="E72" s="49">
        <f>資料儲存!G2696</f>
        <v>0</v>
      </c>
      <c r="F72" s="49">
        <f>資料儲存!H2696</f>
        <v>0</v>
      </c>
      <c r="G72" s="49">
        <f>資料儲存!I2696</f>
        <v>0</v>
      </c>
      <c r="H72" s="49">
        <f>資料儲存!J2696</f>
        <v>0</v>
      </c>
      <c r="I72" s="52"/>
      <c r="J72" s="68">
        <v>25</v>
      </c>
      <c r="K72" s="49">
        <f>資料儲存!D2756</f>
        <v>0</v>
      </c>
      <c r="L72" s="49">
        <f>資料儲存!E2756</f>
        <v>0</v>
      </c>
      <c r="M72" s="49">
        <f>資料儲存!F2756</f>
        <v>0</v>
      </c>
      <c r="N72" s="49">
        <f>資料儲存!G2756</f>
        <v>0</v>
      </c>
      <c r="O72" s="49">
        <f>資料儲存!H2756</f>
        <v>0</v>
      </c>
      <c r="P72" s="49">
        <f>資料儲存!I2756</f>
        <v>0</v>
      </c>
      <c r="Q72" s="49">
        <f>資料儲存!J2756</f>
        <v>0</v>
      </c>
      <c r="R72" s="52"/>
      <c r="S72" s="68">
        <v>25</v>
      </c>
      <c r="T72" s="49">
        <f>資料儲存!D2816</f>
        <v>0</v>
      </c>
      <c r="U72" s="49">
        <f>資料儲存!E2816</f>
        <v>0</v>
      </c>
      <c r="V72" s="49">
        <f>資料儲存!F2816</f>
        <v>0</v>
      </c>
      <c r="W72" s="49">
        <f>資料儲存!G2816</f>
        <v>0</v>
      </c>
      <c r="X72" s="49">
        <f>資料儲存!H2816</f>
        <v>0</v>
      </c>
      <c r="Y72" s="49">
        <f>資料儲存!I2816</f>
        <v>0</v>
      </c>
      <c r="Z72" s="49">
        <f>資料儲存!J2816</f>
        <v>0</v>
      </c>
      <c r="AA72" s="52"/>
      <c r="AB72" s="68">
        <v>25</v>
      </c>
      <c r="AC72" s="49">
        <f>資料儲存!D2876</f>
        <v>0</v>
      </c>
      <c r="AD72" s="49">
        <f>資料儲存!E2876</f>
        <v>0</v>
      </c>
      <c r="AE72" s="49">
        <f>資料儲存!F2876</f>
        <v>0</v>
      </c>
      <c r="AF72" s="49">
        <f>資料儲存!G2876</f>
        <v>0</v>
      </c>
      <c r="AG72" s="49">
        <f>資料儲存!H2876</f>
        <v>0</v>
      </c>
      <c r="AH72" s="49">
        <f>資料儲存!I2876</f>
        <v>0</v>
      </c>
      <c r="AI72" s="49">
        <f>資料儲存!J2876</f>
        <v>0</v>
      </c>
      <c r="AJ72" s="52"/>
    </row>
    <row r="73" spans="1:36" ht="16" thickBot="1">
      <c r="A73" s="68">
        <v>26</v>
      </c>
      <c r="B73" s="49">
        <f>資料儲存!D2697</f>
        <v>0</v>
      </c>
      <c r="C73" s="49">
        <f>資料儲存!E2697</f>
        <v>0</v>
      </c>
      <c r="D73" s="49">
        <f>資料儲存!F2697</f>
        <v>0</v>
      </c>
      <c r="E73" s="49">
        <f>資料儲存!G2697</f>
        <v>0</v>
      </c>
      <c r="F73" s="49">
        <f>資料儲存!H2697</f>
        <v>0</v>
      </c>
      <c r="G73" s="49">
        <f>資料儲存!I2697</f>
        <v>0</v>
      </c>
      <c r="H73" s="49">
        <f>資料儲存!J2697</f>
        <v>0</v>
      </c>
      <c r="I73" s="52"/>
      <c r="J73" s="68">
        <v>26</v>
      </c>
      <c r="K73" s="49">
        <f>資料儲存!D2757</f>
        <v>0</v>
      </c>
      <c r="L73" s="49">
        <f>資料儲存!E2757</f>
        <v>0</v>
      </c>
      <c r="M73" s="49">
        <f>資料儲存!F2757</f>
        <v>0</v>
      </c>
      <c r="N73" s="49">
        <f>資料儲存!G2757</f>
        <v>0</v>
      </c>
      <c r="O73" s="49">
        <f>資料儲存!H2757</f>
        <v>0</v>
      </c>
      <c r="P73" s="49">
        <f>資料儲存!I2757</f>
        <v>0</v>
      </c>
      <c r="Q73" s="49">
        <f>資料儲存!J2757</f>
        <v>0</v>
      </c>
      <c r="R73" s="52"/>
      <c r="S73" s="68">
        <v>26</v>
      </c>
      <c r="T73" s="49">
        <f>資料儲存!D2817</f>
        <v>0</v>
      </c>
      <c r="U73" s="49">
        <f>資料儲存!E2817</f>
        <v>0</v>
      </c>
      <c r="V73" s="49">
        <f>資料儲存!F2817</f>
        <v>0</v>
      </c>
      <c r="W73" s="49">
        <f>資料儲存!G2817</f>
        <v>0</v>
      </c>
      <c r="X73" s="49">
        <f>資料儲存!H2817</f>
        <v>0</v>
      </c>
      <c r="Y73" s="49">
        <f>資料儲存!I2817</f>
        <v>0</v>
      </c>
      <c r="Z73" s="49">
        <f>資料儲存!J2817</f>
        <v>0</v>
      </c>
      <c r="AA73" s="52"/>
      <c r="AB73" s="68">
        <v>26</v>
      </c>
      <c r="AC73" s="49">
        <f>資料儲存!D2877</f>
        <v>0</v>
      </c>
      <c r="AD73" s="49">
        <f>資料儲存!E2877</f>
        <v>0</v>
      </c>
      <c r="AE73" s="49">
        <f>資料儲存!F2877</f>
        <v>0</v>
      </c>
      <c r="AF73" s="49">
        <f>資料儲存!G2877</f>
        <v>0</v>
      </c>
      <c r="AG73" s="49">
        <f>資料儲存!H2877</f>
        <v>0</v>
      </c>
      <c r="AH73" s="49">
        <f>資料儲存!I2877</f>
        <v>0</v>
      </c>
      <c r="AI73" s="49">
        <f>資料儲存!J2877</f>
        <v>0</v>
      </c>
      <c r="AJ73" s="52"/>
    </row>
    <row r="74" spans="1:36" ht="16" thickBot="1">
      <c r="A74" s="68">
        <v>27</v>
      </c>
      <c r="B74" s="49">
        <f>資料儲存!D2698</f>
        <v>0</v>
      </c>
      <c r="C74" s="49">
        <f>資料儲存!E2698</f>
        <v>0</v>
      </c>
      <c r="D74" s="49">
        <f>資料儲存!F2698</f>
        <v>0</v>
      </c>
      <c r="E74" s="49">
        <f>資料儲存!G2698</f>
        <v>0</v>
      </c>
      <c r="F74" s="49">
        <f>資料儲存!H2698</f>
        <v>0</v>
      </c>
      <c r="G74" s="49">
        <f>資料儲存!I2698</f>
        <v>0</v>
      </c>
      <c r="H74" s="49">
        <f>資料儲存!J2698</f>
        <v>0</v>
      </c>
      <c r="I74" s="52"/>
      <c r="J74" s="68">
        <v>27</v>
      </c>
      <c r="K74" s="49">
        <f>資料儲存!D2758</f>
        <v>0</v>
      </c>
      <c r="L74" s="49">
        <f>資料儲存!E2758</f>
        <v>0</v>
      </c>
      <c r="M74" s="49">
        <f>資料儲存!F2758</f>
        <v>0</v>
      </c>
      <c r="N74" s="49">
        <f>資料儲存!G2758</f>
        <v>0</v>
      </c>
      <c r="O74" s="49">
        <f>資料儲存!H2758</f>
        <v>0</v>
      </c>
      <c r="P74" s="49">
        <f>資料儲存!I2758</f>
        <v>0</v>
      </c>
      <c r="Q74" s="49">
        <f>資料儲存!J2758</f>
        <v>0</v>
      </c>
      <c r="R74" s="52"/>
      <c r="S74" s="68">
        <v>27</v>
      </c>
      <c r="T74" s="49">
        <f>資料儲存!D2818</f>
        <v>0</v>
      </c>
      <c r="U74" s="49">
        <f>資料儲存!E2818</f>
        <v>0</v>
      </c>
      <c r="V74" s="49">
        <f>資料儲存!F2818</f>
        <v>0</v>
      </c>
      <c r="W74" s="49">
        <f>資料儲存!G2818</f>
        <v>0</v>
      </c>
      <c r="X74" s="49">
        <f>資料儲存!H2818</f>
        <v>0</v>
      </c>
      <c r="Y74" s="49">
        <f>資料儲存!I2818</f>
        <v>0</v>
      </c>
      <c r="Z74" s="49">
        <f>資料儲存!J2818</f>
        <v>0</v>
      </c>
      <c r="AA74" s="52"/>
      <c r="AB74" s="68">
        <v>27</v>
      </c>
      <c r="AC74" s="49">
        <f>資料儲存!D2878</f>
        <v>0</v>
      </c>
      <c r="AD74" s="49">
        <f>資料儲存!E2878</f>
        <v>0</v>
      </c>
      <c r="AE74" s="49">
        <f>資料儲存!F2878</f>
        <v>0</v>
      </c>
      <c r="AF74" s="49">
        <f>資料儲存!G2878</f>
        <v>0</v>
      </c>
      <c r="AG74" s="49">
        <f>資料儲存!H2878</f>
        <v>0</v>
      </c>
      <c r="AH74" s="49">
        <f>資料儲存!I2878</f>
        <v>0</v>
      </c>
      <c r="AI74" s="49">
        <f>資料儲存!J2878</f>
        <v>0</v>
      </c>
      <c r="AJ74" s="52"/>
    </row>
    <row r="75" spans="1:36" ht="16" thickBot="1">
      <c r="A75" s="68">
        <v>28</v>
      </c>
      <c r="B75" s="49">
        <f>資料儲存!D2699</f>
        <v>0</v>
      </c>
      <c r="C75" s="49">
        <f>資料儲存!E2699</f>
        <v>0</v>
      </c>
      <c r="D75" s="49">
        <f>資料儲存!F2699</f>
        <v>0</v>
      </c>
      <c r="E75" s="49">
        <f>資料儲存!G2699</f>
        <v>0</v>
      </c>
      <c r="F75" s="49">
        <f>資料儲存!H2699</f>
        <v>0</v>
      </c>
      <c r="G75" s="49">
        <f>資料儲存!I2699</f>
        <v>0</v>
      </c>
      <c r="H75" s="49">
        <f>資料儲存!J2699</f>
        <v>0</v>
      </c>
      <c r="I75" s="52"/>
      <c r="J75" s="68">
        <v>28</v>
      </c>
      <c r="K75" s="49">
        <f>資料儲存!D2759</f>
        <v>0</v>
      </c>
      <c r="L75" s="49">
        <f>資料儲存!E2759</f>
        <v>0</v>
      </c>
      <c r="M75" s="49">
        <f>資料儲存!F2759</f>
        <v>0</v>
      </c>
      <c r="N75" s="49">
        <f>資料儲存!G2759</f>
        <v>0</v>
      </c>
      <c r="O75" s="49">
        <f>資料儲存!H2759</f>
        <v>0</v>
      </c>
      <c r="P75" s="49">
        <f>資料儲存!I2759</f>
        <v>0</v>
      </c>
      <c r="Q75" s="49">
        <f>資料儲存!J2759</f>
        <v>0</v>
      </c>
      <c r="R75" s="52"/>
      <c r="S75" s="68">
        <v>28</v>
      </c>
      <c r="T75" s="49">
        <f>資料儲存!D2819</f>
        <v>0</v>
      </c>
      <c r="U75" s="49">
        <f>資料儲存!E2819</f>
        <v>0</v>
      </c>
      <c r="V75" s="49">
        <f>資料儲存!F2819</f>
        <v>0</v>
      </c>
      <c r="W75" s="49">
        <f>資料儲存!G2819</f>
        <v>0</v>
      </c>
      <c r="X75" s="49">
        <f>資料儲存!H2819</f>
        <v>0</v>
      </c>
      <c r="Y75" s="49">
        <f>資料儲存!I2819</f>
        <v>0</v>
      </c>
      <c r="Z75" s="49">
        <f>資料儲存!J2819</f>
        <v>0</v>
      </c>
      <c r="AA75" s="52"/>
      <c r="AB75" s="68">
        <v>28</v>
      </c>
      <c r="AC75" s="49">
        <f>資料儲存!D2879</f>
        <v>0</v>
      </c>
      <c r="AD75" s="49">
        <f>資料儲存!E2879</f>
        <v>0</v>
      </c>
      <c r="AE75" s="49">
        <f>資料儲存!F2879</f>
        <v>0</v>
      </c>
      <c r="AF75" s="49">
        <f>資料儲存!G2879</f>
        <v>0</v>
      </c>
      <c r="AG75" s="49">
        <f>資料儲存!H2879</f>
        <v>0</v>
      </c>
      <c r="AH75" s="49">
        <f>資料儲存!I2879</f>
        <v>0</v>
      </c>
      <c r="AI75" s="49">
        <f>資料儲存!J2879</f>
        <v>0</v>
      </c>
      <c r="AJ75" s="52"/>
    </row>
    <row r="76" spans="1:36" ht="16" thickBot="1">
      <c r="A76" s="68">
        <v>29</v>
      </c>
      <c r="B76" s="49">
        <f>資料儲存!D2700</f>
        <v>0</v>
      </c>
      <c r="C76" s="49">
        <f>資料儲存!E2700</f>
        <v>0</v>
      </c>
      <c r="D76" s="49">
        <f>資料儲存!F2700</f>
        <v>0</v>
      </c>
      <c r="E76" s="49">
        <f>資料儲存!G2700</f>
        <v>0</v>
      </c>
      <c r="F76" s="49">
        <f>資料儲存!H2700</f>
        <v>0</v>
      </c>
      <c r="G76" s="49">
        <f>資料儲存!I2700</f>
        <v>0</v>
      </c>
      <c r="H76" s="49">
        <f>資料儲存!J2700</f>
        <v>0</v>
      </c>
      <c r="I76" s="52"/>
      <c r="J76" s="68">
        <v>29</v>
      </c>
      <c r="K76" s="49">
        <f>資料儲存!D2760</f>
        <v>0</v>
      </c>
      <c r="L76" s="49">
        <f>資料儲存!E2760</f>
        <v>0</v>
      </c>
      <c r="M76" s="49">
        <f>資料儲存!F2760</f>
        <v>0</v>
      </c>
      <c r="N76" s="49">
        <f>資料儲存!G2760</f>
        <v>0</v>
      </c>
      <c r="O76" s="49">
        <f>資料儲存!H2760</f>
        <v>0</v>
      </c>
      <c r="P76" s="49">
        <f>資料儲存!I2760</f>
        <v>0</v>
      </c>
      <c r="Q76" s="49">
        <f>資料儲存!J2760</f>
        <v>0</v>
      </c>
      <c r="R76" s="52"/>
      <c r="S76" s="68">
        <v>29</v>
      </c>
      <c r="T76" s="49">
        <f>資料儲存!D2820</f>
        <v>0</v>
      </c>
      <c r="U76" s="49">
        <f>資料儲存!E2820</f>
        <v>0</v>
      </c>
      <c r="V76" s="49">
        <f>資料儲存!F2820</f>
        <v>0</v>
      </c>
      <c r="W76" s="49">
        <f>資料儲存!G2820</f>
        <v>0</v>
      </c>
      <c r="X76" s="49">
        <f>資料儲存!H2820</f>
        <v>0</v>
      </c>
      <c r="Y76" s="49">
        <f>資料儲存!I2820</f>
        <v>0</v>
      </c>
      <c r="Z76" s="49">
        <f>資料儲存!J2820</f>
        <v>0</v>
      </c>
      <c r="AA76" s="52"/>
      <c r="AB76" s="68">
        <v>29</v>
      </c>
      <c r="AC76" s="49">
        <f>資料儲存!D2880</f>
        <v>0</v>
      </c>
      <c r="AD76" s="49">
        <f>資料儲存!E2880</f>
        <v>0</v>
      </c>
      <c r="AE76" s="49">
        <f>資料儲存!F2880</f>
        <v>0</v>
      </c>
      <c r="AF76" s="49">
        <f>資料儲存!G2880</f>
        <v>0</v>
      </c>
      <c r="AG76" s="49">
        <f>資料儲存!H2880</f>
        <v>0</v>
      </c>
      <c r="AH76" s="49">
        <f>資料儲存!I2880</f>
        <v>0</v>
      </c>
      <c r="AI76" s="49">
        <f>資料儲存!J2880</f>
        <v>0</v>
      </c>
      <c r="AJ76" s="52"/>
    </row>
    <row r="77" spans="1:36" ht="16" thickBot="1">
      <c r="A77" s="68">
        <v>30</v>
      </c>
      <c r="B77" s="49">
        <f>資料儲存!D2701</f>
        <v>0</v>
      </c>
      <c r="C77" s="49">
        <f>資料儲存!E2701</f>
        <v>0</v>
      </c>
      <c r="D77" s="49">
        <f>資料儲存!F2701</f>
        <v>0</v>
      </c>
      <c r="E77" s="49">
        <f>資料儲存!G2701</f>
        <v>0</v>
      </c>
      <c r="F77" s="49">
        <f>資料儲存!H2701</f>
        <v>0</v>
      </c>
      <c r="G77" s="49">
        <f>資料儲存!I2701</f>
        <v>0</v>
      </c>
      <c r="H77" s="49">
        <f>資料儲存!J2701</f>
        <v>0</v>
      </c>
      <c r="I77" s="52"/>
      <c r="J77" s="68">
        <v>30</v>
      </c>
      <c r="K77" s="49">
        <f>資料儲存!D2761</f>
        <v>0</v>
      </c>
      <c r="L77" s="49">
        <f>資料儲存!E2761</f>
        <v>0</v>
      </c>
      <c r="M77" s="49">
        <f>資料儲存!F2761</f>
        <v>0</v>
      </c>
      <c r="N77" s="49">
        <f>資料儲存!G2761</f>
        <v>0</v>
      </c>
      <c r="O77" s="49">
        <f>資料儲存!H2761</f>
        <v>0</v>
      </c>
      <c r="P77" s="49">
        <f>資料儲存!I2761</f>
        <v>0</v>
      </c>
      <c r="Q77" s="49">
        <f>資料儲存!J2761</f>
        <v>0</v>
      </c>
      <c r="R77" s="52"/>
      <c r="S77" s="68">
        <v>30</v>
      </c>
      <c r="T77" s="49">
        <f>資料儲存!D2821</f>
        <v>0</v>
      </c>
      <c r="U77" s="49">
        <f>資料儲存!E2821</f>
        <v>0</v>
      </c>
      <c r="V77" s="49">
        <f>資料儲存!F2821</f>
        <v>0</v>
      </c>
      <c r="W77" s="49">
        <f>資料儲存!G2821</f>
        <v>0</v>
      </c>
      <c r="X77" s="49">
        <f>資料儲存!H2821</f>
        <v>0</v>
      </c>
      <c r="Y77" s="49">
        <f>資料儲存!I2821</f>
        <v>0</v>
      </c>
      <c r="Z77" s="49">
        <f>資料儲存!J2821</f>
        <v>0</v>
      </c>
      <c r="AA77" s="52"/>
      <c r="AB77" s="68">
        <v>30</v>
      </c>
      <c r="AC77" s="49">
        <f>資料儲存!D2881</f>
        <v>0</v>
      </c>
      <c r="AD77" s="49">
        <f>資料儲存!E2881</f>
        <v>0</v>
      </c>
      <c r="AE77" s="49">
        <f>資料儲存!F2881</f>
        <v>0</v>
      </c>
      <c r="AF77" s="49">
        <f>資料儲存!G2881</f>
        <v>0</v>
      </c>
      <c r="AG77" s="49">
        <f>資料儲存!H2881</f>
        <v>0</v>
      </c>
      <c r="AH77" s="49">
        <f>資料儲存!I2881</f>
        <v>0</v>
      </c>
      <c r="AI77" s="49">
        <f>資料儲存!J2881</f>
        <v>0</v>
      </c>
      <c r="AJ77" s="52"/>
    </row>
    <row r="78" spans="1:36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</sheetData>
  <mergeCells count="24">
    <mergeCell ref="A1:H1"/>
    <mergeCell ref="J1:Q1"/>
    <mergeCell ref="S1:Z1"/>
    <mergeCell ref="AB1:AI1"/>
    <mergeCell ref="A2:H2"/>
    <mergeCell ref="J2:Q2"/>
    <mergeCell ref="S2:Z2"/>
    <mergeCell ref="AB2:AI2"/>
    <mergeCell ref="A3:H3"/>
    <mergeCell ref="J3:Q3"/>
    <mergeCell ref="S3:Z3"/>
    <mergeCell ref="AB3:AI3"/>
    <mergeCell ref="A22:H22"/>
    <mergeCell ref="J22:Q22"/>
    <mergeCell ref="S22:Z22"/>
    <mergeCell ref="AB22:AI22"/>
    <mergeCell ref="A41:H41"/>
    <mergeCell ref="J41:Q41"/>
    <mergeCell ref="S41:Z41"/>
    <mergeCell ref="AB41:AI41"/>
    <mergeCell ref="A60:H60"/>
    <mergeCell ref="J60:Q60"/>
    <mergeCell ref="S60:Z60"/>
    <mergeCell ref="AB60:AI60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39997558519241921"/>
  </sheetPr>
  <dimension ref="A1:AJ78"/>
  <sheetViews>
    <sheetView topLeftCell="T1" zoomScale="70" zoomScaleNormal="70" zoomScaleSheetLayoutView="70" workbookViewId="0">
      <pane ySplit="1" topLeftCell="A2" activePane="bottomLeft" state="frozen"/>
      <selection pane="bottomLeft" activeCell="AK4" sqref="AK1:AR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37" width="2.08984375" style="1" customWidth="1"/>
    <col min="38" max="16384" width="10.08984375" style="1"/>
  </cols>
  <sheetData>
    <row r="1" spans="1:36" s="11" customFormat="1" ht="18.5" thickBot="1">
      <c r="A1" s="253" t="str">
        <f>基本資料!$I$11</f>
        <v>假日(1730-1830)</v>
      </c>
      <c r="B1" s="254"/>
      <c r="C1" s="254"/>
      <c r="D1" s="254"/>
      <c r="E1" s="254"/>
      <c r="F1" s="254"/>
      <c r="G1" s="254"/>
      <c r="H1" s="255"/>
      <c r="J1" s="253" t="str">
        <f>基本資料!$I$11</f>
        <v>假日(1730-1830)</v>
      </c>
      <c r="K1" s="254"/>
      <c r="L1" s="254"/>
      <c r="M1" s="254"/>
      <c r="N1" s="254"/>
      <c r="O1" s="254"/>
      <c r="P1" s="254"/>
      <c r="Q1" s="255"/>
      <c r="S1" s="253" t="str">
        <f>基本資料!$I$11</f>
        <v>假日(1730-1830)</v>
      </c>
      <c r="T1" s="254"/>
      <c r="U1" s="254"/>
      <c r="V1" s="254"/>
      <c r="W1" s="254"/>
      <c r="X1" s="254"/>
      <c r="Y1" s="254"/>
      <c r="Z1" s="255"/>
      <c r="AB1" s="253" t="str">
        <f>基本資料!$I$11</f>
        <v>假日(1730-1830)</v>
      </c>
      <c r="AC1" s="254"/>
      <c r="AD1" s="254"/>
      <c r="AE1" s="254"/>
      <c r="AF1" s="254"/>
      <c r="AG1" s="254"/>
      <c r="AH1" s="254"/>
      <c r="AI1" s="255"/>
    </row>
    <row r="2" spans="1:36" ht="18.5" thickBot="1">
      <c r="A2" s="256" t="str">
        <f>CONCATENATE(基本資料!B18,"方向：",基本資料!B19,基本資料!B20)</f>
        <v>A方向：</v>
      </c>
      <c r="B2" s="257"/>
      <c r="C2" s="257"/>
      <c r="D2" s="257"/>
      <c r="E2" s="257"/>
      <c r="F2" s="257"/>
      <c r="G2" s="257"/>
      <c r="H2" s="258"/>
      <c r="I2" s="1"/>
      <c r="J2" s="256" t="str">
        <f>CONCATENATE(基本資料!C18,"方向：",基本資料!C19,基本資料!C20)</f>
        <v>B方向：</v>
      </c>
      <c r="K2" s="257"/>
      <c r="L2" s="257"/>
      <c r="M2" s="257"/>
      <c r="N2" s="257"/>
      <c r="O2" s="257"/>
      <c r="P2" s="257"/>
      <c r="Q2" s="258"/>
      <c r="R2" s="1"/>
      <c r="S2" s="256" t="str">
        <f>CONCATENATE(基本資料!D18,"方向：",基本資料!D19,基本資料!D20)</f>
        <v>C方向：</v>
      </c>
      <c r="T2" s="257"/>
      <c r="U2" s="257"/>
      <c r="V2" s="257"/>
      <c r="W2" s="257"/>
      <c r="X2" s="257"/>
      <c r="Y2" s="257"/>
      <c r="Z2" s="258"/>
      <c r="AA2" s="1"/>
      <c r="AB2" s="256" t="str">
        <f>CONCATENATE(基本資料!E18,"方向：",基本資料!E19,基本資料!E20)</f>
        <v>D方向：</v>
      </c>
      <c r="AC2" s="257"/>
      <c r="AD2" s="257"/>
      <c r="AE2" s="257"/>
      <c r="AF2" s="257"/>
      <c r="AG2" s="257"/>
      <c r="AH2" s="257"/>
      <c r="AI2" s="258"/>
      <c r="AJ2" s="1"/>
    </row>
    <row r="3" spans="1:36" ht="18.5" thickBot="1">
      <c r="A3" s="250" t="s">
        <v>113</v>
      </c>
      <c r="B3" s="251"/>
      <c r="C3" s="251"/>
      <c r="D3" s="251"/>
      <c r="E3" s="251"/>
      <c r="F3" s="251"/>
      <c r="G3" s="251"/>
      <c r="H3" s="252"/>
      <c r="I3" s="22"/>
      <c r="J3" s="250" t="s">
        <v>113</v>
      </c>
      <c r="K3" s="251"/>
      <c r="L3" s="251"/>
      <c r="M3" s="251"/>
      <c r="N3" s="251"/>
      <c r="O3" s="251"/>
      <c r="P3" s="251"/>
      <c r="Q3" s="252"/>
      <c r="R3" s="22"/>
      <c r="S3" s="250" t="s">
        <v>113</v>
      </c>
      <c r="T3" s="251"/>
      <c r="U3" s="251"/>
      <c r="V3" s="251"/>
      <c r="W3" s="251"/>
      <c r="X3" s="251"/>
      <c r="Y3" s="251"/>
      <c r="Z3" s="252"/>
      <c r="AA3" s="22"/>
      <c r="AB3" s="250" t="s">
        <v>113</v>
      </c>
      <c r="AC3" s="251"/>
      <c r="AD3" s="251"/>
      <c r="AE3" s="251"/>
      <c r="AF3" s="251"/>
      <c r="AG3" s="251"/>
      <c r="AH3" s="251"/>
      <c r="AI3" s="252"/>
      <c r="AJ3" s="22"/>
    </row>
    <row r="4" spans="1:36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</row>
    <row r="5" spans="1:36" ht="16" thickBot="1">
      <c r="A5" s="59">
        <v>0.72916666666666663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>
        <v>0.72916666666666663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>
        <v>0.72916666666666663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>
        <v>0.72916666666666663</v>
      </c>
      <c r="AC5" s="60" t="s">
        <v>49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</row>
    <row r="6" spans="1:36" ht="16" thickBot="1">
      <c r="A6" s="61">
        <v>31</v>
      </c>
      <c r="B6" s="39">
        <f>資料儲存!D2882</f>
        <v>0</v>
      </c>
      <c r="C6" s="39">
        <f>資料儲存!E2882</f>
        <v>0</v>
      </c>
      <c r="D6" s="39">
        <f>資料儲存!F2882</f>
        <v>0</v>
      </c>
      <c r="E6" s="39">
        <f>資料儲存!G2882</f>
        <v>0</v>
      </c>
      <c r="F6" s="39">
        <f>資料儲存!H2882</f>
        <v>0</v>
      </c>
      <c r="G6" s="39">
        <f>資料儲存!I2882</f>
        <v>0</v>
      </c>
      <c r="H6" s="39">
        <f>資料儲存!J2882</f>
        <v>0</v>
      </c>
      <c r="I6" s="58"/>
      <c r="J6" s="61">
        <v>31</v>
      </c>
      <c r="K6" s="39">
        <f>資料儲存!D2942</f>
        <v>0</v>
      </c>
      <c r="L6" s="39">
        <f>資料儲存!E2942</f>
        <v>0</v>
      </c>
      <c r="M6" s="39">
        <f>資料儲存!F2942</f>
        <v>0</v>
      </c>
      <c r="N6" s="39">
        <f>資料儲存!G2942</f>
        <v>0</v>
      </c>
      <c r="O6" s="39">
        <f>資料儲存!H2942</f>
        <v>0</v>
      </c>
      <c r="P6" s="39">
        <f>資料儲存!I2942</f>
        <v>0</v>
      </c>
      <c r="Q6" s="39">
        <f>資料儲存!J2942</f>
        <v>0</v>
      </c>
      <c r="R6" s="58"/>
      <c r="S6" s="61">
        <v>31</v>
      </c>
      <c r="T6" s="39">
        <f>資料儲存!D3002</f>
        <v>0</v>
      </c>
      <c r="U6" s="39">
        <f>資料儲存!E3002</f>
        <v>0</v>
      </c>
      <c r="V6" s="39">
        <f>資料儲存!F3002</f>
        <v>0</v>
      </c>
      <c r="W6" s="39">
        <f>資料儲存!G3002</f>
        <v>0</v>
      </c>
      <c r="X6" s="39">
        <f>資料儲存!H3002</f>
        <v>0</v>
      </c>
      <c r="Y6" s="39">
        <f>資料儲存!I3002</f>
        <v>0</v>
      </c>
      <c r="Z6" s="39">
        <f>資料儲存!J3002</f>
        <v>0</v>
      </c>
      <c r="AA6" s="58"/>
      <c r="AB6" s="61">
        <v>31</v>
      </c>
      <c r="AC6" s="39">
        <f>資料儲存!D3062</f>
        <v>0</v>
      </c>
      <c r="AD6" s="39">
        <f>資料儲存!E3062</f>
        <v>0</v>
      </c>
      <c r="AE6" s="39">
        <f>資料儲存!F3062</f>
        <v>0</v>
      </c>
      <c r="AF6" s="39">
        <f>資料儲存!G3062</f>
        <v>0</v>
      </c>
      <c r="AG6" s="39">
        <f>資料儲存!H3062</f>
        <v>0</v>
      </c>
      <c r="AH6" s="39">
        <f>資料儲存!I3062</f>
        <v>0</v>
      </c>
      <c r="AI6" s="39">
        <f>資料儲存!J3062</f>
        <v>0</v>
      </c>
      <c r="AJ6" s="58"/>
    </row>
    <row r="7" spans="1:36" ht="16" thickBot="1">
      <c r="A7" s="61">
        <v>32</v>
      </c>
      <c r="B7" s="39">
        <f>資料儲存!D2883</f>
        <v>0</v>
      </c>
      <c r="C7" s="39">
        <f>資料儲存!E2883</f>
        <v>0</v>
      </c>
      <c r="D7" s="39">
        <f>資料儲存!F2883</f>
        <v>0</v>
      </c>
      <c r="E7" s="39">
        <f>資料儲存!G2883</f>
        <v>0</v>
      </c>
      <c r="F7" s="39">
        <f>資料儲存!H2883</f>
        <v>0</v>
      </c>
      <c r="G7" s="39">
        <f>資料儲存!I2883</f>
        <v>0</v>
      </c>
      <c r="H7" s="39">
        <f>資料儲存!J2883</f>
        <v>0</v>
      </c>
      <c r="I7" s="58"/>
      <c r="J7" s="61">
        <v>32</v>
      </c>
      <c r="K7" s="39">
        <f>資料儲存!D2943</f>
        <v>0</v>
      </c>
      <c r="L7" s="39">
        <f>資料儲存!E2943</f>
        <v>0</v>
      </c>
      <c r="M7" s="39">
        <f>資料儲存!F2943</f>
        <v>0</v>
      </c>
      <c r="N7" s="39">
        <f>資料儲存!G2943</f>
        <v>0</v>
      </c>
      <c r="O7" s="39">
        <f>資料儲存!H2943</f>
        <v>0</v>
      </c>
      <c r="P7" s="39">
        <f>資料儲存!I2943</f>
        <v>0</v>
      </c>
      <c r="Q7" s="39">
        <f>資料儲存!J2943</f>
        <v>0</v>
      </c>
      <c r="R7" s="58"/>
      <c r="S7" s="61">
        <v>32</v>
      </c>
      <c r="T7" s="39">
        <f>資料儲存!D3003</f>
        <v>0</v>
      </c>
      <c r="U7" s="39">
        <f>資料儲存!E3003</f>
        <v>0</v>
      </c>
      <c r="V7" s="39">
        <f>資料儲存!F3003</f>
        <v>0</v>
      </c>
      <c r="W7" s="39">
        <f>資料儲存!G3003</f>
        <v>0</v>
      </c>
      <c r="X7" s="39">
        <f>資料儲存!H3003</f>
        <v>0</v>
      </c>
      <c r="Y7" s="39">
        <f>資料儲存!I3003</f>
        <v>0</v>
      </c>
      <c r="Z7" s="39">
        <f>資料儲存!J3003</f>
        <v>0</v>
      </c>
      <c r="AA7" s="58"/>
      <c r="AB7" s="61">
        <v>32</v>
      </c>
      <c r="AC7" s="39">
        <f>資料儲存!D3063</f>
        <v>0</v>
      </c>
      <c r="AD7" s="39">
        <f>資料儲存!E3063</f>
        <v>0</v>
      </c>
      <c r="AE7" s="39">
        <f>資料儲存!F3063</f>
        <v>0</v>
      </c>
      <c r="AF7" s="39">
        <f>資料儲存!G3063</f>
        <v>0</v>
      </c>
      <c r="AG7" s="39">
        <f>資料儲存!H3063</f>
        <v>0</v>
      </c>
      <c r="AH7" s="39">
        <f>資料儲存!I3063</f>
        <v>0</v>
      </c>
      <c r="AI7" s="39">
        <f>資料儲存!J3063</f>
        <v>0</v>
      </c>
      <c r="AJ7" s="58"/>
    </row>
    <row r="8" spans="1:36" ht="16" thickBot="1">
      <c r="A8" s="61">
        <v>33</v>
      </c>
      <c r="B8" s="39">
        <f>資料儲存!D2884</f>
        <v>0</v>
      </c>
      <c r="C8" s="39">
        <f>資料儲存!E2884</f>
        <v>0</v>
      </c>
      <c r="D8" s="39">
        <f>資料儲存!F2884</f>
        <v>0</v>
      </c>
      <c r="E8" s="39">
        <f>資料儲存!G2884</f>
        <v>0</v>
      </c>
      <c r="F8" s="39">
        <f>資料儲存!H2884</f>
        <v>0</v>
      </c>
      <c r="G8" s="39">
        <f>資料儲存!I2884</f>
        <v>0</v>
      </c>
      <c r="H8" s="39">
        <f>資料儲存!J2884</f>
        <v>0</v>
      </c>
      <c r="I8" s="58"/>
      <c r="J8" s="61">
        <v>33</v>
      </c>
      <c r="K8" s="39">
        <f>資料儲存!D2944</f>
        <v>0</v>
      </c>
      <c r="L8" s="39">
        <f>資料儲存!E2944</f>
        <v>0</v>
      </c>
      <c r="M8" s="39">
        <f>資料儲存!F2944</f>
        <v>0</v>
      </c>
      <c r="N8" s="39">
        <f>資料儲存!G2944</f>
        <v>0</v>
      </c>
      <c r="O8" s="39">
        <f>資料儲存!H2944</f>
        <v>0</v>
      </c>
      <c r="P8" s="39">
        <f>資料儲存!I2944</f>
        <v>0</v>
      </c>
      <c r="Q8" s="39">
        <f>資料儲存!J2944</f>
        <v>0</v>
      </c>
      <c r="R8" s="58"/>
      <c r="S8" s="61">
        <v>33</v>
      </c>
      <c r="T8" s="39">
        <f>資料儲存!D3004</f>
        <v>0</v>
      </c>
      <c r="U8" s="39">
        <f>資料儲存!E3004</f>
        <v>0</v>
      </c>
      <c r="V8" s="39">
        <f>資料儲存!F3004</f>
        <v>0</v>
      </c>
      <c r="W8" s="39">
        <f>資料儲存!G3004</f>
        <v>0</v>
      </c>
      <c r="X8" s="39">
        <f>資料儲存!H3004</f>
        <v>0</v>
      </c>
      <c r="Y8" s="39">
        <f>資料儲存!I3004</f>
        <v>0</v>
      </c>
      <c r="Z8" s="39">
        <f>資料儲存!J3004</f>
        <v>0</v>
      </c>
      <c r="AA8" s="58"/>
      <c r="AB8" s="61">
        <v>33</v>
      </c>
      <c r="AC8" s="39">
        <f>資料儲存!D3064</f>
        <v>0</v>
      </c>
      <c r="AD8" s="39">
        <f>資料儲存!E3064</f>
        <v>0</v>
      </c>
      <c r="AE8" s="39">
        <f>資料儲存!F3064</f>
        <v>0</v>
      </c>
      <c r="AF8" s="39">
        <f>資料儲存!G3064</f>
        <v>0</v>
      </c>
      <c r="AG8" s="39">
        <f>資料儲存!H3064</f>
        <v>0</v>
      </c>
      <c r="AH8" s="39">
        <f>資料儲存!I3064</f>
        <v>0</v>
      </c>
      <c r="AI8" s="39">
        <f>資料儲存!J3064</f>
        <v>0</v>
      </c>
      <c r="AJ8" s="58"/>
    </row>
    <row r="9" spans="1:36" ht="16" thickBot="1">
      <c r="A9" s="61">
        <v>34</v>
      </c>
      <c r="B9" s="39">
        <f>資料儲存!D2885</f>
        <v>0</v>
      </c>
      <c r="C9" s="39">
        <f>資料儲存!E2885</f>
        <v>0</v>
      </c>
      <c r="D9" s="39">
        <f>資料儲存!F2885</f>
        <v>0</v>
      </c>
      <c r="E9" s="39">
        <f>資料儲存!G2885</f>
        <v>0</v>
      </c>
      <c r="F9" s="39">
        <f>資料儲存!H2885</f>
        <v>0</v>
      </c>
      <c r="G9" s="39">
        <f>資料儲存!I2885</f>
        <v>0</v>
      </c>
      <c r="H9" s="39">
        <f>資料儲存!J2885</f>
        <v>0</v>
      </c>
      <c r="I9" s="58"/>
      <c r="J9" s="61">
        <v>34</v>
      </c>
      <c r="K9" s="39">
        <f>資料儲存!D2945</f>
        <v>0</v>
      </c>
      <c r="L9" s="39">
        <f>資料儲存!E2945</f>
        <v>0</v>
      </c>
      <c r="M9" s="39">
        <f>資料儲存!F2945</f>
        <v>0</v>
      </c>
      <c r="N9" s="39">
        <f>資料儲存!G2945</f>
        <v>0</v>
      </c>
      <c r="O9" s="39">
        <f>資料儲存!H2945</f>
        <v>0</v>
      </c>
      <c r="P9" s="39">
        <f>資料儲存!I2945</f>
        <v>0</v>
      </c>
      <c r="Q9" s="39">
        <f>資料儲存!J2945</f>
        <v>0</v>
      </c>
      <c r="R9" s="58"/>
      <c r="S9" s="61">
        <v>34</v>
      </c>
      <c r="T9" s="39">
        <f>資料儲存!D3005</f>
        <v>0</v>
      </c>
      <c r="U9" s="39">
        <f>資料儲存!E3005</f>
        <v>0</v>
      </c>
      <c r="V9" s="39">
        <f>資料儲存!F3005</f>
        <v>0</v>
      </c>
      <c r="W9" s="39">
        <f>資料儲存!G3005</f>
        <v>0</v>
      </c>
      <c r="X9" s="39">
        <f>資料儲存!H3005</f>
        <v>0</v>
      </c>
      <c r="Y9" s="39">
        <f>資料儲存!I3005</f>
        <v>0</v>
      </c>
      <c r="Z9" s="39">
        <f>資料儲存!J3005</f>
        <v>0</v>
      </c>
      <c r="AA9" s="58"/>
      <c r="AB9" s="61">
        <v>34</v>
      </c>
      <c r="AC9" s="39">
        <f>資料儲存!D3065</f>
        <v>0</v>
      </c>
      <c r="AD9" s="39">
        <f>資料儲存!E3065</f>
        <v>0</v>
      </c>
      <c r="AE9" s="39">
        <f>資料儲存!F3065</f>
        <v>0</v>
      </c>
      <c r="AF9" s="39">
        <f>資料儲存!G3065</f>
        <v>0</v>
      </c>
      <c r="AG9" s="39">
        <f>資料儲存!H3065</f>
        <v>0</v>
      </c>
      <c r="AH9" s="39">
        <f>資料儲存!I3065</f>
        <v>0</v>
      </c>
      <c r="AI9" s="39">
        <f>資料儲存!J3065</f>
        <v>0</v>
      </c>
      <c r="AJ9" s="58"/>
    </row>
    <row r="10" spans="1:36" ht="16" thickBot="1">
      <c r="A10" s="61">
        <v>35</v>
      </c>
      <c r="B10" s="39">
        <f>資料儲存!D2886</f>
        <v>0</v>
      </c>
      <c r="C10" s="39">
        <f>資料儲存!E2886</f>
        <v>0</v>
      </c>
      <c r="D10" s="39">
        <f>資料儲存!F2886</f>
        <v>0</v>
      </c>
      <c r="E10" s="39">
        <f>資料儲存!G2886</f>
        <v>0</v>
      </c>
      <c r="F10" s="39">
        <f>資料儲存!H2886</f>
        <v>0</v>
      </c>
      <c r="G10" s="39">
        <f>資料儲存!I2886</f>
        <v>0</v>
      </c>
      <c r="H10" s="39">
        <f>資料儲存!J2886</f>
        <v>0</v>
      </c>
      <c r="I10" s="58"/>
      <c r="J10" s="61">
        <v>35</v>
      </c>
      <c r="K10" s="39">
        <f>資料儲存!D2946</f>
        <v>0</v>
      </c>
      <c r="L10" s="39">
        <f>資料儲存!E2946</f>
        <v>0</v>
      </c>
      <c r="M10" s="39">
        <f>資料儲存!F2946</f>
        <v>0</v>
      </c>
      <c r="N10" s="39">
        <f>資料儲存!G2946</f>
        <v>0</v>
      </c>
      <c r="O10" s="39">
        <f>資料儲存!H2946</f>
        <v>0</v>
      </c>
      <c r="P10" s="39">
        <f>資料儲存!I2946</f>
        <v>0</v>
      </c>
      <c r="Q10" s="39">
        <f>資料儲存!J2946</f>
        <v>0</v>
      </c>
      <c r="R10" s="58"/>
      <c r="S10" s="61">
        <v>35</v>
      </c>
      <c r="T10" s="39">
        <f>資料儲存!D3006</f>
        <v>0</v>
      </c>
      <c r="U10" s="39">
        <f>資料儲存!E3006</f>
        <v>0</v>
      </c>
      <c r="V10" s="39">
        <f>資料儲存!F3006</f>
        <v>0</v>
      </c>
      <c r="W10" s="39">
        <f>資料儲存!G3006</f>
        <v>0</v>
      </c>
      <c r="X10" s="39">
        <f>資料儲存!H3006</f>
        <v>0</v>
      </c>
      <c r="Y10" s="39">
        <f>資料儲存!I3006</f>
        <v>0</v>
      </c>
      <c r="Z10" s="39">
        <f>資料儲存!J3006</f>
        <v>0</v>
      </c>
      <c r="AA10" s="58"/>
      <c r="AB10" s="61">
        <v>35</v>
      </c>
      <c r="AC10" s="39">
        <f>資料儲存!D3066</f>
        <v>0</v>
      </c>
      <c r="AD10" s="39">
        <f>資料儲存!E3066</f>
        <v>0</v>
      </c>
      <c r="AE10" s="39">
        <f>資料儲存!F3066</f>
        <v>0</v>
      </c>
      <c r="AF10" s="39">
        <f>資料儲存!G3066</f>
        <v>0</v>
      </c>
      <c r="AG10" s="39">
        <f>資料儲存!H3066</f>
        <v>0</v>
      </c>
      <c r="AH10" s="39">
        <f>資料儲存!I3066</f>
        <v>0</v>
      </c>
      <c r="AI10" s="39">
        <f>資料儲存!J3066</f>
        <v>0</v>
      </c>
      <c r="AJ10" s="58"/>
    </row>
    <row r="11" spans="1:36" ht="16" thickBot="1">
      <c r="A11" s="61">
        <v>36</v>
      </c>
      <c r="B11" s="39">
        <f>資料儲存!D2887</f>
        <v>0</v>
      </c>
      <c r="C11" s="39">
        <f>資料儲存!E2887</f>
        <v>0</v>
      </c>
      <c r="D11" s="39">
        <f>資料儲存!F2887</f>
        <v>0</v>
      </c>
      <c r="E11" s="39">
        <f>資料儲存!G2887</f>
        <v>0</v>
      </c>
      <c r="F11" s="39">
        <f>資料儲存!H2887</f>
        <v>0</v>
      </c>
      <c r="G11" s="39">
        <f>資料儲存!I2887</f>
        <v>0</v>
      </c>
      <c r="H11" s="39">
        <f>資料儲存!J2887</f>
        <v>0</v>
      </c>
      <c r="I11" s="58"/>
      <c r="J11" s="61">
        <v>36</v>
      </c>
      <c r="K11" s="39">
        <f>資料儲存!D2947</f>
        <v>0</v>
      </c>
      <c r="L11" s="39">
        <f>資料儲存!E2947</f>
        <v>0</v>
      </c>
      <c r="M11" s="39">
        <f>資料儲存!F2947</f>
        <v>0</v>
      </c>
      <c r="N11" s="39">
        <f>資料儲存!G2947</f>
        <v>0</v>
      </c>
      <c r="O11" s="39">
        <f>資料儲存!H2947</f>
        <v>0</v>
      </c>
      <c r="P11" s="39">
        <f>資料儲存!I2947</f>
        <v>0</v>
      </c>
      <c r="Q11" s="39">
        <f>資料儲存!J2947</f>
        <v>0</v>
      </c>
      <c r="R11" s="58"/>
      <c r="S11" s="61">
        <v>36</v>
      </c>
      <c r="T11" s="39">
        <f>資料儲存!D3007</f>
        <v>0</v>
      </c>
      <c r="U11" s="39">
        <f>資料儲存!E3007</f>
        <v>0</v>
      </c>
      <c r="V11" s="39">
        <f>資料儲存!F3007</f>
        <v>0</v>
      </c>
      <c r="W11" s="39">
        <f>資料儲存!G3007</f>
        <v>0</v>
      </c>
      <c r="X11" s="39">
        <f>資料儲存!H3007</f>
        <v>0</v>
      </c>
      <c r="Y11" s="39">
        <f>資料儲存!I3007</f>
        <v>0</v>
      </c>
      <c r="Z11" s="39">
        <f>資料儲存!J3007</f>
        <v>0</v>
      </c>
      <c r="AA11" s="58"/>
      <c r="AB11" s="61">
        <v>36</v>
      </c>
      <c r="AC11" s="39">
        <f>資料儲存!D3067</f>
        <v>0</v>
      </c>
      <c r="AD11" s="39">
        <f>資料儲存!E3067</f>
        <v>0</v>
      </c>
      <c r="AE11" s="39">
        <f>資料儲存!F3067</f>
        <v>0</v>
      </c>
      <c r="AF11" s="39">
        <f>資料儲存!G3067</f>
        <v>0</v>
      </c>
      <c r="AG11" s="39">
        <f>資料儲存!H3067</f>
        <v>0</v>
      </c>
      <c r="AH11" s="39">
        <f>資料儲存!I3067</f>
        <v>0</v>
      </c>
      <c r="AI11" s="39">
        <f>資料儲存!J3067</f>
        <v>0</v>
      </c>
      <c r="AJ11" s="58"/>
    </row>
    <row r="12" spans="1:36" ht="16" thickBot="1">
      <c r="A12" s="61">
        <v>37</v>
      </c>
      <c r="B12" s="39">
        <f>資料儲存!D2888</f>
        <v>0</v>
      </c>
      <c r="C12" s="39">
        <f>資料儲存!E2888</f>
        <v>0</v>
      </c>
      <c r="D12" s="39">
        <f>資料儲存!F2888</f>
        <v>0</v>
      </c>
      <c r="E12" s="39">
        <f>資料儲存!G2888</f>
        <v>0</v>
      </c>
      <c r="F12" s="39">
        <f>資料儲存!H2888</f>
        <v>0</v>
      </c>
      <c r="G12" s="39">
        <f>資料儲存!I2888</f>
        <v>0</v>
      </c>
      <c r="H12" s="39">
        <f>資料儲存!J2888</f>
        <v>0</v>
      </c>
      <c r="I12" s="58"/>
      <c r="J12" s="61">
        <v>37</v>
      </c>
      <c r="K12" s="39">
        <f>資料儲存!D2948</f>
        <v>0</v>
      </c>
      <c r="L12" s="39">
        <f>資料儲存!E2948</f>
        <v>0</v>
      </c>
      <c r="M12" s="39">
        <f>資料儲存!F2948</f>
        <v>0</v>
      </c>
      <c r="N12" s="39">
        <f>資料儲存!G2948</f>
        <v>0</v>
      </c>
      <c r="O12" s="39">
        <f>資料儲存!H2948</f>
        <v>0</v>
      </c>
      <c r="P12" s="39">
        <f>資料儲存!I2948</f>
        <v>0</v>
      </c>
      <c r="Q12" s="39">
        <f>資料儲存!J2948</f>
        <v>0</v>
      </c>
      <c r="R12" s="58"/>
      <c r="S12" s="61">
        <v>37</v>
      </c>
      <c r="T12" s="39">
        <f>資料儲存!D3008</f>
        <v>0</v>
      </c>
      <c r="U12" s="39">
        <f>資料儲存!E3008</f>
        <v>0</v>
      </c>
      <c r="V12" s="39">
        <f>資料儲存!F3008</f>
        <v>0</v>
      </c>
      <c r="W12" s="39">
        <f>資料儲存!G3008</f>
        <v>0</v>
      </c>
      <c r="X12" s="39">
        <f>資料儲存!H3008</f>
        <v>0</v>
      </c>
      <c r="Y12" s="39">
        <f>資料儲存!I3008</f>
        <v>0</v>
      </c>
      <c r="Z12" s="39">
        <f>資料儲存!J3008</f>
        <v>0</v>
      </c>
      <c r="AA12" s="58"/>
      <c r="AB12" s="61">
        <v>37</v>
      </c>
      <c r="AC12" s="39">
        <f>資料儲存!D3068</f>
        <v>0</v>
      </c>
      <c r="AD12" s="39">
        <f>資料儲存!E3068</f>
        <v>0</v>
      </c>
      <c r="AE12" s="39">
        <f>資料儲存!F3068</f>
        <v>0</v>
      </c>
      <c r="AF12" s="39">
        <f>資料儲存!G3068</f>
        <v>0</v>
      </c>
      <c r="AG12" s="39">
        <f>資料儲存!H3068</f>
        <v>0</v>
      </c>
      <c r="AH12" s="39">
        <f>資料儲存!I3068</f>
        <v>0</v>
      </c>
      <c r="AI12" s="39">
        <f>資料儲存!J3068</f>
        <v>0</v>
      </c>
      <c r="AJ12" s="58"/>
    </row>
    <row r="13" spans="1:36" ht="16" thickBot="1">
      <c r="A13" s="61">
        <v>38</v>
      </c>
      <c r="B13" s="39">
        <f>資料儲存!D2889</f>
        <v>0</v>
      </c>
      <c r="C13" s="39">
        <f>資料儲存!E2889</f>
        <v>0</v>
      </c>
      <c r="D13" s="39">
        <f>資料儲存!F2889</f>
        <v>0</v>
      </c>
      <c r="E13" s="39">
        <f>資料儲存!G2889</f>
        <v>0</v>
      </c>
      <c r="F13" s="39">
        <f>資料儲存!H2889</f>
        <v>0</v>
      </c>
      <c r="G13" s="39">
        <f>資料儲存!I2889</f>
        <v>0</v>
      </c>
      <c r="H13" s="39">
        <f>資料儲存!J2889</f>
        <v>0</v>
      </c>
      <c r="I13" s="58"/>
      <c r="J13" s="61">
        <v>38</v>
      </c>
      <c r="K13" s="39">
        <f>資料儲存!D2949</f>
        <v>0</v>
      </c>
      <c r="L13" s="39">
        <f>資料儲存!E2949</f>
        <v>0</v>
      </c>
      <c r="M13" s="39">
        <f>資料儲存!F2949</f>
        <v>0</v>
      </c>
      <c r="N13" s="39">
        <f>資料儲存!G2949</f>
        <v>0</v>
      </c>
      <c r="O13" s="39">
        <f>資料儲存!H2949</f>
        <v>0</v>
      </c>
      <c r="P13" s="39">
        <f>資料儲存!I2949</f>
        <v>0</v>
      </c>
      <c r="Q13" s="39">
        <f>資料儲存!J2949</f>
        <v>0</v>
      </c>
      <c r="R13" s="58"/>
      <c r="S13" s="61">
        <v>38</v>
      </c>
      <c r="T13" s="39">
        <f>資料儲存!D3009</f>
        <v>0</v>
      </c>
      <c r="U13" s="39">
        <f>資料儲存!E3009</f>
        <v>0</v>
      </c>
      <c r="V13" s="39">
        <f>資料儲存!F3009</f>
        <v>0</v>
      </c>
      <c r="W13" s="39">
        <f>資料儲存!G3009</f>
        <v>0</v>
      </c>
      <c r="X13" s="39">
        <f>資料儲存!H3009</f>
        <v>0</v>
      </c>
      <c r="Y13" s="39">
        <f>資料儲存!I3009</f>
        <v>0</v>
      </c>
      <c r="Z13" s="39">
        <f>資料儲存!J3009</f>
        <v>0</v>
      </c>
      <c r="AA13" s="58"/>
      <c r="AB13" s="61">
        <v>38</v>
      </c>
      <c r="AC13" s="39">
        <f>資料儲存!D3069</f>
        <v>0</v>
      </c>
      <c r="AD13" s="39">
        <f>資料儲存!E3069</f>
        <v>0</v>
      </c>
      <c r="AE13" s="39">
        <f>資料儲存!F3069</f>
        <v>0</v>
      </c>
      <c r="AF13" s="39">
        <f>資料儲存!G3069</f>
        <v>0</v>
      </c>
      <c r="AG13" s="39">
        <f>資料儲存!H3069</f>
        <v>0</v>
      </c>
      <c r="AH13" s="39">
        <f>資料儲存!I3069</f>
        <v>0</v>
      </c>
      <c r="AI13" s="39">
        <f>資料儲存!J3069</f>
        <v>0</v>
      </c>
      <c r="AJ13" s="58"/>
    </row>
    <row r="14" spans="1:36" ht="16" thickBot="1">
      <c r="A14" s="61">
        <v>39</v>
      </c>
      <c r="B14" s="39">
        <f>資料儲存!D2890</f>
        <v>0</v>
      </c>
      <c r="C14" s="39">
        <f>資料儲存!E2890</f>
        <v>0</v>
      </c>
      <c r="D14" s="39">
        <f>資料儲存!F2890</f>
        <v>0</v>
      </c>
      <c r="E14" s="39">
        <f>資料儲存!G2890</f>
        <v>0</v>
      </c>
      <c r="F14" s="39">
        <f>資料儲存!H2890</f>
        <v>0</v>
      </c>
      <c r="G14" s="39">
        <f>資料儲存!I2890</f>
        <v>0</v>
      </c>
      <c r="H14" s="39">
        <f>資料儲存!J2890</f>
        <v>0</v>
      </c>
      <c r="I14" s="58"/>
      <c r="J14" s="61">
        <v>39</v>
      </c>
      <c r="K14" s="39">
        <f>資料儲存!D2950</f>
        <v>0</v>
      </c>
      <c r="L14" s="39">
        <f>資料儲存!E2950</f>
        <v>0</v>
      </c>
      <c r="M14" s="39">
        <f>資料儲存!F2950</f>
        <v>0</v>
      </c>
      <c r="N14" s="39">
        <f>資料儲存!G2950</f>
        <v>0</v>
      </c>
      <c r="O14" s="39">
        <f>資料儲存!H2950</f>
        <v>0</v>
      </c>
      <c r="P14" s="39">
        <f>資料儲存!I2950</f>
        <v>0</v>
      </c>
      <c r="Q14" s="39">
        <f>資料儲存!J2950</f>
        <v>0</v>
      </c>
      <c r="R14" s="58"/>
      <c r="S14" s="61">
        <v>39</v>
      </c>
      <c r="T14" s="39">
        <f>資料儲存!D3010</f>
        <v>0</v>
      </c>
      <c r="U14" s="39">
        <f>資料儲存!E3010</f>
        <v>0</v>
      </c>
      <c r="V14" s="39">
        <f>資料儲存!F3010</f>
        <v>0</v>
      </c>
      <c r="W14" s="39">
        <f>資料儲存!G3010</f>
        <v>0</v>
      </c>
      <c r="X14" s="39">
        <f>資料儲存!H3010</f>
        <v>0</v>
      </c>
      <c r="Y14" s="39">
        <f>資料儲存!I3010</f>
        <v>0</v>
      </c>
      <c r="Z14" s="39">
        <f>資料儲存!J3010</f>
        <v>0</v>
      </c>
      <c r="AA14" s="58"/>
      <c r="AB14" s="61">
        <v>39</v>
      </c>
      <c r="AC14" s="39">
        <f>資料儲存!D3070</f>
        <v>0</v>
      </c>
      <c r="AD14" s="39">
        <f>資料儲存!E3070</f>
        <v>0</v>
      </c>
      <c r="AE14" s="39">
        <f>資料儲存!F3070</f>
        <v>0</v>
      </c>
      <c r="AF14" s="39">
        <f>資料儲存!G3070</f>
        <v>0</v>
      </c>
      <c r="AG14" s="39">
        <f>資料儲存!H3070</f>
        <v>0</v>
      </c>
      <c r="AH14" s="39">
        <f>資料儲存!I3070</f>
        <v>0</v>
      </c>
      <c r="AI14" s="39">
        <f>資料儲存!J3070</f>
        <v>0</v>
      </c>
      <c r="AJ14" s="58"/>
    </row>
    <row r="15" spans="1:36" ht="16" thickBot="1">
      <c r="A15" s="61">
        <v>40</v>
      </c>
      <c r="B15" s="39">
        <f>資料儲存!D2891</f>
        <v>0</v>
      </c>
      <c r="C15" s="39">
        <f>資料儲存!E2891</f>
        <v>0</v>
      </c>
      <c r="D15" s="39">
        <f>資料儲存!F2891</f>
        <v>0</v>
      </c>
      <c r="E15" s="39">
        <f>資料儲存!G2891</f>
        <v>0</v>
      </c>
      <c r="F15" s="39">
        <f>資料儲存!H2891</f>
        <v>0</v>
      </c>
      <c r="G15" s="39">
        <f>資料儲存!I2891</f>
        <v>0</v>
      </c>
      <c r="H15" s="39">
        <f>資料儲存!J2891</f>
        <v>0</v>
      </c>
      <c r="I15" s="58"/>
      <c r="J15" s="61">
        <v>40</v>
      </c>
      <c r="K15" s="39">
        <f>資料儲存!D2951</f>
        <v>0</v>
      </c>
      <c r="L15" s="39">
        <f>資料儲存!E2951</f>
        <v>0</v>
      </c>
      <c r="M15" s="39">
        <f>資料儲存!F2951</f>
        <v>0</v>
      </c>
      <c r="N15" s="39">
        <f>資料儲存!G2951</f>
        <v>0</v>
      </c>
      <c r="O15" s="39">
        <f>資料儲存!H2951</f>
        <v>0</v>
      </c>
      <c r="P15" s="39">
        <f>資料儲存!I2951</f>
        <v>0</v>
      </c>
      <c r="Q15" s="39">
        <f>資料儲存!J2951</f>
        <v>0</v>
      </c>
      <c r="R15" s="58"/>
      <c r="S15" s="61">
        <v>40</v>
      </c>
      <c r="T15" s="39">
        <f>資料儲存!D3011</f>
        <v>0</v>
      </c>
      <c r="U15" s="39">
        <f>資料儲存!E3011</f>
        <v>0</v>
      </c>
      <c r="V15" s="39">
        <f>資料儲存!F3011</f>
        <v>0</v>
      </c>
      <c r="W15" s="39">
        <f>資料儲存!G3011</f>
        <v>0</v>
      </c>
      <c r="X15" s="39">
        <f>資料儲存!H3011</f>
        <v>0</v>
      </c>
      <c r="Y15" s="39">
        <f>資料儲存!I3011</f>
        <v>0</v>
      </c>
      <c r="Z15" s="39">
        <f>資料儲存!J3011</f>
        <v>0</v>
      </c>
      <c r="AA15" s="58"/>
      <c r="AB15" s="61">
        <v>40</v>
      </c>
      <c r="AC15" s="39">
        <f>資料儲存!D3071</f>
        <v>0</v>
      </c>
      <c r="AD15" s="39">
        <f>資料儲存!E3071</f>
        <v>0</v>
      </c>
      <c r="AE15" s="39">
        <f>資料儲存!F3071</f>
        <v>0</v>
      </c>
      <c r="AF15" s="39">
        <f>資料儲存!G3071</f>
        <v>0</v>
      </c>
      <c r="AG15" s="39">
        <f>資料儲存!H3071</f>
        <v>0</v>
      </c>
      <c r="AH15" s="39">
        <f>資料儲存!I3071</f>
        <v>0</v>
      </c>
      <c r="AI15" s="39">
        <f>資料儲存!J3071</f>
        <v>0</v>
      </c>
      <c r="AJ15" s="58"/>
    </row>
    <row r="16" spans="1:36" ht="16" thickBot="1">
      <c r="A16" s="61">
        <v>41</v>
      </c>
      <c r="B16" s="39">
        <f>資料儲存!D2892</f>
        <v>0</v>
      </c>
      <c r="C16" s="39">
        <f>資料儲存!E2892</f>
        <v>0</v>
      </c>
      <c r="D16" s="39">
        <f>資料儲存!F2892</f>
        <v>0</v>
      </c>
      <c r="E16" s="39">
        <f>資料儲存!G2892</f>
        <v>0</v>
      </c>
      <c r="F16" s="39">
        <f>資料儲存!H2892</f>
        <v>0</v>
      </c>
      <c r="G16" s="39">
        <f>資料儲存!I2892</f>
        <v>0</v>
      </c>
      <c r="H16" s="39">
        <f>資料儲存!J2892</f>
        <v>0</v>
      </c>
      <c r="I16" s="58"/>
      <c r="J16" s="61">
        <v>41</v>
      </c>
      <c r="K16" s="39">
        <f>資料儲存!D2952</f>
        <v>0</v>
      </c>
      <c r="L16" s="39">
        <f>資料儲存!E2952</f>
        <v>0</v>
      </c>
      <c r="M16" s="39">
        <f>資料儲存!F2952</f>
        <v>0</v>
      </c>
      <c r="N16" s="39">
        <f>資料儲存!G2952</f>
        <v>0</v>
      </c>
      <c r="O16" s="39">
        <f>資料儲存!H2952</f>
        <v>0</v>
      </c>
      <c r="P16" s="39">
        <f>資料儲存!I2952</f>
        <v>0</v>
      </c>
      <c r="Q16" s="39">
        <f>資料儲存!J2952</f>
        <v>0</v>
      </c>
      <c r="R16" s="58"/>
      <c r="S16" s="61">
        <v>41</v>
      </c>
      <c r="T16" s="39">
        <f>資料儲存!D3012</f>
        <v>0</v>
      </c>
      <c r="U16" s="39">
        <f>資料儲存!E3012</f>
        <v>0</v>
      </c>
      <c r="V16" s="39">
        <f>資料儲存!F3012</f>
        <v>0</v>
      </c>
      <c r="W16" s="39">
        <f>資料儲存!G3012</f>
        <v>0</v>
      </c>
      <c r="X16" s="39">
        <f>資料儲存!H3012</f>
        <v>0</v>
      </c>
      <c r="Y16" s="39">
        <f>資料儲存!I3012</f>
        <v>0</v>
      </c>
      <c r="Z16" s="39">
        <f>資料儲存!J3012</f>
        <v>0</v>
      </c>
      <c r="AA16" s="58"/>
      <c r="AB16" s="61">
        <v>41</v>
      </c>
      <c r="AC16" s="39">
        <f>資料儲存!D3072</f>
        <v>0</v>
      </c>
      <c r="AD16" s="39">
        <f>資料儲存!E3072</f>
        <v>0</v>
      </c>
      <c r="AE16" s="39">
        <f>資料儲存!F3072</f>
        <v>0</v>
      </c>
      <c r="AF16" s="39">
        <f>資料儲存!G3072</f>
        <v>0</v>
      </c>
      <c r="AG16" s="39">
        <f>資料儲存!H3072</f>
        <v>0</v>
      </c>
      <c r="AH16" s="39">
        <f>資料儲存!I3072</f>
        <v>0</v>
      </c>
      <c r="AI16" s="39">
        <f>資料儲存!J3072</f>
        <v>0</v>
      </c>
      <c r="AJ16" s="58"/>
    </row>
    <row r="17" spans="1:36" ht="16" thickBot="1">
      <c r="A17" s="61">
        <v>42</v>
      </c>
      <c r="B17" s="39">
        <f>資料儲存!D2893</f>
        <v>0</v>
      </c>
      <c r="C17" s="39">
        <f>資料儲存!E2893</f>
        <v>0</v>
      </c>
      <c r="D17" s="39">
        <f>資料儲存!F2893</f>
        <v>0</v>
      </c>
      <c r="E17" s="39">
        <f>資料儲存!G2893</f>
        <v>0</v>
      </c>
      <c r="F17" s="39">
        <f>資料儲存!H2893</f>
        <v>0</v>
      </c>
      <c r="G17" s="39">
        <f>資料儲存!I2893</f>
        <v>0</v>
      </c>
      <c r="H17" s="39">
        <f>資料儲存!J2893</f>
        <v>0</v>
      </c>
      <c r="I17" s="58"/>
      <c r="J17" s="61">
        <v>42</v>
      </c>
      <c r="K17" s="39">
        <f>資料儲存!D2953</f>
        <v>0</v>
      </c>
      <c r="L17" s="39">
        <f>資料儲存!E2953</f>
        <v>0</v>
      </c>
      <c r="M17" s="39">
        <f>資料儲存!F2953</f>
        <v>0</v>
      </c>
      <c r="N17" s="39">
        <f>資料儲存!G2953</f>
        <v>0</v>
      </c>
      <c r="O17" s="39">
        <f>資料儲存!H2953</f>
        <v>0</v>
      </c>
      <c r="P17" s="39">
        <f>資料儲存!I2953</f>
        <v>0</v>
      </c>
      <c r="Q17" s="39">
        <f>資料儲存!J2953</f>
        <v>0</v>
      </c>
      <c r="R17" s="58"/>
      <c r="S17" s="61">
        <v>42</v>
      </c>
      <c r="T17" s="39">
        <f>資料儲存!D3013</f>
        <v>0</v>
      </c>
      <c r="U17" s="39">
        <f>資料儲存!E3013</f>
        <v>0</v>
      </c>
      <c r="V17" s="39">
        <f>資料儲存!F3013</f>
        <v>0</v>
      </c>
      <c r="W17" s="39">
        <f>資料儲存!G3013</f>
        <v>0</v>
      </c>
      <c r="X17" s="39">
        <f>資料儲存!H3013</f>
        <v>0</v>
      </c>
      <c r="Y17" s="39">
        <f>資料儲存!I3013</f>
        <v>0</v>
      </c>
      <c r="Z17" s="39">
        <f>資料儲存!J3013</f>
        <v>0</v>
      </c>
      <c r="AA17" s="58"/>
      <c r="AB17" s="61">
        <v>42</v>
      </c>
      <c r="AC17" s="39">
        <f>資料儲存!D3073</f>
        <v>0</v>
      </c>
      <c r="AD17" s="39">
        <f>資料儲存!E3073</f>
        <v>0</v>
      </c>
      <c r="AE17" s="39">
        <f>資料儲存!F3073</f>
        <v>0</v>
      </c>
      <c r="AF17" s="39">
        <f>資料儲存!G3073</f>
        <v>0</v>
      </c>
      <c r="AG17" s="39">
        <f>資料儲存!H3073</f>
        <v>0</v>
      </c>
      <c r="AH17" s="39">
        <f>資料儲存!I3073</f>
        <v>0</v>
      </c>
      <c r="AI17" s="39">
        <f>資料儲存!J3073</f>
        <v>0</v>
      </c>
      <c r="AJ17" s="58"/>
    </row>
    <row r="18" spans="1:36" ht="16" thickBot="1">
      <c r="A18" s="61">
        <v>43</v>
      </c>
      <c r="B18" s="39">
        <f>資料儲存!D2894</f>
        <v>0</v>
      </c>
      <c r="C18" s="39">
        <f>資料儲存!E2894</f>
        <v>0</v>
      </c>
      <c r="D18" s="39">
        <f>資料儲存!F2894</f>
        <v>0</v>
      </c>
      <c r="E18" s="39">
        <f>資料儲存!G2894</f>
        <v>0</v>
      </c>
      <c r="F18" s="39">
        <f>資料儲存!H2894</f>
        <v>0</v>
      </c>
      <c r="G18" s="39">
        <f>資料儲存!I2894</f>
        <v>0</v>
      </c>
      <c r="H18" s="39">
        <f>資料儲存!J2894</f>
        <v>0</v>
      </c>
      <c r="I18" s="58"/>
      <c r="J18" s="61">
        <v>43</v>
      </c>
      <c r="K18" s="39">
        <f>資料儲存!D2954</f>
        <v>0</v>
      </c>
      <c r="L18" s="39">
        <f>資料儲存!E2954</f>
        <v>0</v>
      </c>
      <c r="M18" s="39">
        <f>資料儲存!F2954</f>
        <v>0</v>
      </c>
      <c r="N18" s="39">
        <f>資料儲存!G2954</f>
        <v>0</v>
      </c>
      <c r="O18" s="39">
        <f>資料儲存!H2954</f>
        <v>0</v>
      </c>
      <c r="P18" s="39">
        <f>資料儲存!I2954</f>
        <v>0</v>
      </c>
      <c r="Q18" s="39">
        <f>資料儲存!J2954</f>
        <v>0</v>
      </c>
      <c r="R18" s="58"/>
      <c r="S18" s="61">
        <v>43</v>
      </c>
      <c r="T18" s="39">
        <f>資料儲存!D3014</f>
        <v>0</v>
      </c>
      <c r="U18" s="39">
        <f>資料儲存!E3014</f>
        <v>0</v>
      </c>
      <c r="V18" s="39">
        <f>資料儲存!F3014</f>
        <v>0</v>
      </c>
      <c r="W18" s="39">
        <f>資料儲存!G3014</f>
        <v>0</v>
      </c>
      <c r="X18" s="39">
        <f>資料儲存!H3014</f>
        <v>0</v>
      </c>
      <c r="Y18" s="39">
        <f>資料儲存!I3014</f>
        <v>0</v>
      </c>
      <c r="Z18" s="39">
        <f>資料儲存!J3014</f>
        <v>0</v>
      </c>
      <c r="AA18" s="58"/>
      <c r="AB18" s="61">
        <v>43</v>
      </c>
      <c r="AC18" s="39">
        <f>資料儲存!D3074</f>
        <v>0</v>
      </c>
      <c r="AD18" s="39">
        <f>資料儲存!E3074</f>
        <v>0</v>
      </c>
      <c r="AE18" s="39">
        <f>資料儲存!F3074</f>
        <v>0</v>
      </c>
      <c r="AF18" s="39">
        <f>資料儲存!G3074</f>
        <v>0</v>
      </c>
      <c r="AG18" s="39">
        <f>資料儲存!H3074</f>
        <v>0</v>
      </c>
      <c r="AH18" s="39">
        <f>資料儲存!I3074</f>
        <v>0</v>
      </c>
      <c r="AI18" s="39">
        <f>資料儲存!J3074</f>
        <v>0</v>
      </c>
      <c r="AJ18" s="58"/>
    </row>
    <row r="19" spans="1:36" ht="16" thickBot="1">
      <c r="A19" s="61">
        <v>44</v>
      </c>
      <c r="B19" s="39">
        <f>資料儲存!D2895</f>
        <v>0</v>
      </c>
      <c r="C19" s="39">
        <f>資料儲存!E2895</f>
        <v>0</v>
      </c>
      <c r="D19" s="39">
        <f>資料儲存!F2895</f>
        <v>0</v>
      </c>
      <c r="E19" s="39">
        <f>資料儲存!G2895</f>
        <v>0</v>
      </c>
      <c r="F19" s="39">
        <f>資料儲存!H2895</f>
        <v>0</v>
      </c>
      <c r="G19" s="39">
        <f>資料儲存!I2895</f>
        <v>0</v>
      </c>
      <c r="H19" s="39">
        <f>資料儲存!J2895</f>
        <v>0</v>
      </c>
      <c r="I19" s="58"/>
      <c r="J19" s="61">
        <v>44</v>
      </c>
      <c r="K19" s="39">
        <f>資料儲存!D2955</f>
        <v>0</v>
      </c>
      <c r="L19" s="39">
        <f>資料儲存!E2955</f>
        <v>0</v>
      </c>
      <c r="M19" s="39">
        <f>資料儲存!F2955</f>
        <v>0</v>
      </c>
      <c r="N19" s="39">
        <f>資料儲存!G2955</f>
        <v>0</v>
      </c>
      <c r="O19" s="39">
        <f>資料儲存!H2955</f>
        <v>0</v>
      </c>
      <c r="P19" s="39">
        <f>資料儲存!I2955</f>
        <v>0</v>
      </c>
      <c r="Q19" s="39">
        <f>資料儲存!J2955</f>
        <v>0</v>
      </c>
      <c r="R19" s="58"/>
      <c r="S19" s="61">
        <v>44</v>
      </c>
      <c r="T19" s="39">
        <f>資料儲存!D3015</f>
        <v>0</v>
      </c>
      <c r="U19" s="39">
        <f>資料儲存!E3015</f>
        <v>0</v>
      </c>
      <c r="V19" s="39">
        <f>資料儲存!F3015</f>
        <v>0</v>
      </c>
      <c r="W19" s="39">
        <f>資料儲存!G3015</f>
        <v>0</v>
      </c>
      <c r="X19" s="39">
        <f>資料儲存!H3015</f>
        <v>0</v>
      </c>
      <c r="Y19" s="39">
        <f>資料儲存!I3015</f>
        <v>0</v>
      </c>
      <c r="Z19" s="39">
        <f>資料儲存!J3015</f>
        <v>0</v>
      </c>
      <c r="AA19" s="58"/>
      <c r="AB19" s="61">
        <v>44</v>
      </c>
      <c r="AC19" s="39">
        <f>資料儲存!D3075</f>
        <v>0</v>
      </c>
      <c r="AD19" s="39">
        <f>資料儲存!E3075</f>
        <v>0</v>
      </c>
      <c r="AE19" s="39">
        <f>資料儲存!F3075</f>
        <v>0</v>
      </c>
      <c r="AF19" s="39">
        <f>資料儲存!G3075</f>
        <v>0</v>
      </c>
      <c r="AG19" s="39">
        <f>資料儲存!H3075</f>
        <v>0</v>
      </c>
      <c r="AH19" s="39">
        <f>資料儲存!I3075</f>
        <v>0</v>
      </c>
      <c r="AI19" s="39">
        <f>資料儲存!J3075</f>
        <v>0</v>
      </c>
      <c r="AJ19" s="58"/>
    </row>
    <row r="20" spans="1:36" ht="16" thickBot="1">
      <c r="A20" s="61">
        <v>45</v>
      </c>
      <c r="B20" s="39">
        <f>資料儲存!D2896</f>
        <v>0</v>
      </c>
      <c r="C20" s="39">
        <f>資料儲存!E2896</f>
        <v>0</v>
      </c>
      <c r="D20" s="39">
        <f>資料儲存!F2896</f>
        <v>0</v>
      </c>
      <c r="E20" s="39">
        <f>資料儲存!G2896</f>
        <v>0</v>
      </c>
      <c r="F20" s="39">
        <f>資料儲存!H2896</f>
        <v>0</v>
      </c>
      <c r="G20" s="39">
        <f>資料儲存!I2896</f>
        <v>0</v>
      </c>
      <c r="H20" s="39">
        <f>資料儲存!J2896</f>
        <v>0</v>
      </c>
      <c r="I20" s="58"/>
      <c r="J20" s="61">
        <v>45</v>
      </c>
      <c r="K20" s="39">
        <f>資料儲存!D2956</f>
        <v>0</v>
      </c>
      <c r="L20" s="39">
        <f>資料儲存!E2956</f>
        <v>0</v>
      </c>
      <c r="M20" s="39">
        <f>資料儲存!F2956</f>
        <v>0</v>
      </c>
      <c r="N20" s="39">
        <f>資料儲存!G2956</f>
        <v>0</v>
      </c>
      <c r="O20" s="39">
        <f>資料儲存!H2956</f>
        <v>0</v>
      </c>
      <c r="P20" s="39">
        <f>資料儲存!I2956</f>
        <v>0</v>
      </c>
      <c r="Q20" s="39">
        <f>資料儲存!J2956</f>
        <v>0</v>
      </c>
      <c r="R20" s="58"/>
      <c r="S20" s="61">
        <v>45</v>
      </c>
      <c r="T20" s="39">
        <f>資料儲存!D3016</f>
        <v>0</v>
      </c>
      <c r="U20" s="39">
        <f>資料儲存!E3016</f>
        <v>0</v>
      </c>
      <c r="V20" s="39">
        <f>資料儲存!F3016</f>
        <v>0</v>
      </c>
      <c r="W20" s="39">
        <f>資料儲存!G3016</f>
        <v>0</v>
      </c>
      <c r="X20" s="39">
        <f>資料儲存!H3016</f>
        <v>0</v>
      </c>
      <c r="Y20" s="39">
        <f>資料儲存!I3016</f>
        <v>0</v>
      </c>
      <c r="Z20" s="39">
        <f>資料儲存!J3016</f>
        <v>0</v>
      </c>
      <c r="AA20" s="58"/>
      <c r="AB20" s="61">
        <v>45</v>
      </c>
      <c r="AC20" s="39">
        <f>資料儲存!D3076</f>
        <v>0</v>
      </c>
      <c r="AD20" s="39">
        <f>資料儲存!E3076</f>
        <v>0</v>
      </c>
      <c r="AE20" s="39">
        <f>資料儲存!F3076</f>
        <v>0</v>
      </c>
      <c r="AF20" s="39">
        <f>資料儲存!G3076</f>
        <v>0</v>
      </c>
      <c r="AG20" s="39">
        <f>資料儲存!H3076</f>
        <v>0</v>
      </c>
      <c r="AH20" s="39">
        <f>資料儲存!I3076</f>
        <v>0</v>
      </c>
      <c r="AI20" s="39">
        <f>資料儲存!J3076</f>
        <v>0</v>
      </c>
      <c r="AJ20" s="58"/>
    </row>
    <row r="21" spans="1:36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</row>
    <row r="22" spans="1:36" ht="18.5" thickBot="1">
      <c r="A22" s="259" t="s">
        <v>114</v>
      </c>
      <c r="B22" s="260"/>
      <c r="C22" s="260"/>
      <c r="D22" s="260"/>
      <c r="E22" s="260"/>
      <c r="F22" s="260"/>
      <c r="G22" s="260"/>
      <c r="H22" s="261"/>
      <c r="I22" s="14"/>
      <c r="J22" s="259" t="s">
        <v>114</v>
      </c>
      <c r="K22" s="260"/>
      <c r="L22" s="260"/>
      <c r="M22" s="260"/>
      <c r="N22" s="260"/>
      <c r="O22" s="260"/>
      <c r="P22" s="260"/>
      <c r="Q22" s="261"/>
      <c r="R22" s="14"/>
      <c r="S22" s="259" t="s">
        <v>114</v>
      </c>
      <c r="T22" s="260"/>
      <c r="U22" s="260"/>
      <c r="V22" s="260"/>
      <c r="W22" s="260"/>
      <c r="X22" s="260"/>
      <c r="Y22" s="260"/>
      <c r="Z22" s="261"/>
      <c r="AA22" s="14"/>
      <c r="AB22" s="259" t="s">
        <v>114</v>
      </c>
      <c r="AC22" s="260"/>
      <c r="AD22" s="260"/>
      <c r="AE22" s="260"/>
      <c r="AF22" s="260"/>
      <c r="AG22" s="260"/>
      <c r="AH22" s="260"/>
      <c r="AI22" s="261"/>
      <c r="AJ22" s="14"/>
    </row>
    <row r="23" spans="1:36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</row>
    <row r="24" spans="1:36" ht="16" thickBot="1">
      <c r="A24" s="66">
        <v>0.73958333333333337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>
        <v>0.73958333333333337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>
        <v>0.73958333333333337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>
        <v>0.73958333333333337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</row>
    <row r="25" spans="1:36" ht="16" thickBot="1">
      <c r="A25" s="68">
        <v>46</v>
      </c>
      <c r="B25" s="49">
        <f>資料儲存!D2897</f>
        <v>0</v>
      </c>
      <c r="C25" s="49">
        <f>資料儲存!E2897</f>
        <v>0</v>
      </c>
      <c r="D25" s="49">
        <f>資料儲存!F2897</f>
        <v>0</v>
      </c>
      <c r="E25" s="49">
        <f>資料儲存!G2897</f>
        <v>0</v>
      </c>
      <c r="F25" s="49">
        <f>資料儲存!H2897</f>
        <v>0</v>
      </c>
      <c r="G25" s="49">
        <f>資料儲存!I2897</f>
        <v>0</v>
      </c>
      <c r="H25" s="49">
        <f>資料儲存!J2897</f>
        <v>0</v>
      </c>
      <c r="I25" s="52"/>
      <c r="J25" s="68">
        <v>46</v>
      </c>
      <c r="K25" s="49">
        <f>資料儲存!D2957</f>
        <v>0</v>
      </c>
      <c r="L25" s="49">
        <f>資料儲存!E2957</f>
        <v>0</v>
      </c>
      <c r="M25" s="49">
        <f>資料儲存!F2957</f>
        <v>0</v>
      </c>
      <c r="N25" s="49">
        <f>資料儲存!G2957</f>
        <v>0</v>
      </c>
      <c r="O25" s="49">
        <f>資料儲存!H2957</f>
        <v>0</v>
      </c>
      <c r="P25" s="49">
        <f>資料儲存!I2957</f>
        <v>0</v>
      </c>
      <c r="Q25" s="49">
        <f>資料儲存!J2957</f>
        <v>0</v>
      </c>
      <c r="R25" s="52"/>
      <c r="S25" s="68">
        <v>46</v>
      </c>
      <c r="T25" s="49">
        <f>資料儲存!D3017</f>
        <v>0</v>
      </c>
      <c r="U25" s="49">
        <f>資料儲存!E3017</f>
        <v>0</v>
      </c>
      <c r="V25" s="49">
        <f>資料儲存!F3017</f>
        <v>0</v>
      </c>
      <c r="W25" s="49">
        <f>資料儲存!G3017</f>
        <v>0</v>
      </c>
      <c r="X25" s="49">
        <f>資料儲存!H3017</f>
        <v>0</v>
      </c>
      <c r="Y25" s="49">
        <f>資料儲存!I3017</f>
        <v>0</v>
      </c>
      <c r="Z25" s="49">
        <f>資料儲存!J3017</f>
        <v>0</v>
      </c>
      <c r="AA25" s="52"/>
      <c r="AB25" s="68">
        <v>46</v>
      </c>
      <c r="AC25" s="49">
        <f>資料儲存!D3077</f>
        <v>0</v>
      </c>
      <c r="AD25" s="49">
        <f>資料儲存!E3077</f>
        <v>0</v>
      </c>
      <c r="AE25" s="49">
        <f>資料儲存!F3077</f>
        <v>0</v>
      </c>
      <c r="AF25" s="49">
        <f>資料儲存!G3077</f>
        <v>0</v>
      </c>
      <c r="AG25" s="49">
        <f>資料儲存!H3077</f>
        <v>0</v>
      </c>
      <c r="AH25" s="49">
        <f>資料儲存!I3077</f>
        <v>0</v>
      </c>
      <c r="AI25" s="49">
        <f>資料儲存!J3077</f>
        <v>0</v>
      </c>
      <c r="AJ25" s="52"/>
    </row>
    <row r="26" spans="1:36" ht="16" thickBot="1">
      <c r="A26" s="68">
        <v>47</v>
      </c>
      <c r="B26" s="49">
        <f>資料儲存!D2898</f>
        <v>0</v>
      </c>
      <c r="C26" s="49">
        <f>資料儲存!E2898</f>
        <v>0</v>
      </c>
      <c r="D26" s="49">
        <f>資料儲存!F2898</f>
        <v>0</v>
      </c>
      <c r="E26" s="49">
        <f>資料儲存!G2898</f>
        <v>0</v>
      </c>
      <c r="F26" s="49">
        <f>資料儲存!H2898</f>
        <v>0</v>
      </c>
      <c r="G26" s="49">
        <f>資料儲存!I2898</f>
        <v>0</v>
      </c>
      <c r="H26" s="49">
        <f>資料儲存!J2898</f>
        <v>0</v>
      </c>
      <c r="I26" s="52"/>
      <c r="J26" s="68">
        <v>47</v>
      </c>
      <c r="K26" s="49">
        <f>資料儲存!D2958</f>
        <v>0</v>
      </c>
      <c r="L26" s="49">
        <f>資料儲存!E2958</f>
        <v>0</v>
      </c>
      <c r="M26" s="49">
        <f>資料儲存!F2958</f>
        <v>0</v>
      </c>
      <c r="N26" s="49">
        <f>資料儲存!G2958</f>
        <v>0</v>
      </c>
      <c r="O26" s="49">
        <f>資料儲存!H2958</f>
        <v>0</v>
      </c>
      <c r="P26" s="49">
        <f>資料儲存!I2958</f>
        <v>0</v>
      </c>
      <c r="Q26" s="49">
        <f>資料儲存!J2958</f>
        <v>0</v>
      </c>
      <c r="R26" s="52"/>
      <c r="S26" s="68">
        <v>47</v>
      </c>
      <c r="T26" s="49">
        <f>資料儲存!D3018</f>
        <v>0</v>
      </c>
      <c r="U26" s="49">
        <f>資料儲存!E3018</f>
        <v>0</v>
      </c>
      <c r="V26" s="49">
        <f>資料儲存!F3018</f>
        <v>0</v>
      </c>
      <c r="W26" s="49">
        <f>資料儲存!G3018</f>
        <v>0</v>
      </c>
      <c r="X26" s="49">
        <f>資料儲存!H3018</f>
        <v>0</v>
      </c>
      <c r="Y26" s="49">
        <f>資料儲存!I3018</f>
        <v>0</v>
      </c>
      <c r="Z26" s="49">
        <f>資料儲存!J3018</f>
        <v>0</v>
      </c>
      <c r="AA26" s="52"/>
      <c r="AB26" s="68">
        <v>47</v>
      </c>
      <c r="AC26" s="49">
        <f>資料儲存!D3078</f>
        <v>0</v>
      </c>
      <c r="AD26" s="49">
        <f>資料儲存!E3078</f>
        <v>0</v>
      </c>
      <c r="AE26" s="49">
        <f>資料儲存!F3078</f>
        <v>0</v>
      </c>
      <c r="AF26" s="49">
        <f>資料儲存!G3078</f>
        <v>0</v>
      </c>
      <c r="AG26" s="49">
        <f>資料儲存!H3078</f>
        <v>0</v>
      </c>
      <c r="AH26" s="49">
        <f>資料儲存!I3078</f>
        <v>0</v>
      </c>
      <c r="AI26" s="49">
        <f>資料儲存!J3078</f>
        <v>0</v>
      </c>
      <c r="AJ26" s="52"/>
    </row>
    <row r="27" spans="1:36" ht="16" thickBot="1">
      <c r="A27" s="68">
        <v>48</v>
      </c>
      <c r="B27" s="49">
        <f>資料儲存!D2899</f>
        <v>0</v>
      </c>
      <c r="C27" s="49">
        <f>資料儲存!E2899</f>
        <v>0</v>
      </c>
      <c r="D27" s="49">
        <f>資料儲存!F2899</f>
        <v>0</v>
      </c>
      <c r="E27" s="49">
        <f>資料儲存!G2899</f>
        <v>0</v>
      </c>
      <c r="F27" s="49">
        <f>資料儲存!H2899</f>
        <v>0</v>
      </c>
      <c r="G27" s="49">
        <f>資料儲存!I2899</f>
        <v>0</v>
      </c>
      <c r="H27" s="49">
        <f>資料儲存!J2899</f>
        <v>0</v>
      </c>
      <c r="I27" s="52"/>
      <c r="J27" s="68">
        <v>48</v>
      </c>
      <c r="K27" s="49">
        <f>資料儲存!D2959</f>
        <v>0</v>
      </c>
      <c r="L27" s="49">
        <f>資料儲存!E2959</f>
        <v>0</v>
      </c>
      <c r="M27" s="49">
        <f>資料儲存!F2959</f>
        <v>0</v>
      </c>
      <c r="N27" s="49">
        <f>資料儲存!G2959</f>
        <v>0</v>
      </c>
      <c r="O27" s="49">
        <f>資料儲存!H2959</f>
        <v>0</v>
      </c>
      <c r="P27" s="49">
        <f>資料儲存!I2959</f>
        <v>0</v>
      </c>
      <c r="Q27" s="49">
        <f>資料儲存!J2959</f>
        <v>0</v>
      </c>
      <c r="R27" s="52"/>
      <c r="S27" s="68">
        <v>48</v>
      </c>
      <c r="T27" s="49">
        <f>資料儲存!D3019</f>
        <v>0</v>
      </c>
      <c r="U27" s="49">
        <f>資料儲存!E3019</f>
        <v>0</v>
      </c>
      <c r="V27" s="49">
        <f>資料儲存!F3019</f>
        <v>0</v>
      </c>
      <c r="W27" s="49">
        <f>資料儲存!G3019</f>
        <v>0</v>
      </c>
      <c r="X27" s="49">
        <f>資料儲存!H3019</f>
        <v>0</v>
      </c>
      <c r="Y27" s="49">
        <f>資料儲存!I3019</f>
        <v>0</v>
      </c>
      <c r="Z27" s="49">
        <f>資料儲存!J3019</f>
        <v>0</v>
      </c>
      <c r="AA27" s="52"/>
      <c r="AB27" s="68">
        <v>48</v>
      </c>
      <c r="AC27" s="49">
        <f>資料儲存!D3079</f>
        <v>0</v>
      </c>
      <c r="AD27" s="49">
        <f>資料儲存!E3079</f>
        <v>0</v>
      </c>
      <c r="AE27" s="49">
        <f>資料儲存!F3079</f>
        <v>0</v>
      </c>
      <c r="AF27" s="49">
        <f>資料儲存!G3079</f>
        <v>0</v>
      </c>
      <c r="AG27" s="49">
        <f>資料儲存!H3079</f>
        <v>0</v>
      </c>
      <c r="AH27" s="49">
        <f>資料儲存!I3079</f>
        <v>0</v>
      </c>
      <c r="AI27" s="49">
        <f>資料儲存!J3079</f>
        <v>0</v>
      </c>
      <c r="AJ27" s="52"/>
    </row>
    <row r="28" spans="1:36" ht="16" thickBot="1">
      <c r="A28" s="68">
        <v>49</v>
      </c>
      <c r="B28" s="49">
        <f>資料儲存!D2900</f>
        <v>0</v>
      </c>
      <c r="C28" s="49">
        <f>資料儲存!E2900</f>
        <v>0</v>
      </c>
      <c r="D28" s="49">
        <f>資料儲存!F2900</f>
        <v>0</v>
      </c>
      <c r="E28" s="49">
        <f>資料儲存!G2900</f>
        <v>0</v>
      </c>
      <c r="F28" s="49">
        <f>資料儲存!H2900</f>
        <v>0</v>
      </c>
      <c r="G28" s="49">
        <f>資料儲存!I2900</f>
        <v>0</v>
      </c>
      <c r="H28" s="49">
        <f>資料儲存!J2900</f>
        <v>0</v>
      </c>
      <c r="I28" s="52"/>
      <c r="J28" s="68">
        <v>49</v>
      </c>
      <c r="K28" s="49">
        <f>資料儲存!D2960</f>
        <v>0</v>
      </c>
      <c r="L28" s="49">
        <f>資料儲存!E2960</f>
        <v>0</v>
      </c>
      <c r="M28" s="49">
        <f>資料儲存!F2960</f>
        <v>0</v>
      </c>
      <c r="N28" s="49">
        <f>資料儲存!G2960</f>
        <v>0</v>
      </c>
      <c r="O28" s="49">
        <f>資料儲存!H2960</f>
        <v>0</v>
      </c>
      <c r="P28" s="49">
        <f>資料儲存!I2960</f>
        <v>0</v>
      </c>
      <c r="Q28" s="49">
        <f>資料儲存!J2960</f>
        <v>0</v>
      </c>
      <c r="R28" s="52"/>
      <c r="S28" s="68">
        <v>49</v>
      </c>
      <c r="T28" s="49">
        <f>資料儲存!D3020</f>
        <v>0</v>
      </c>
      <c r="U28" s="49">
        <f>資料儲存!E3020</f>
        <v>0</v>
      </c>
      <c r="V28" s="49">
        <f>資料儲存!F3020</f>
        <v>0</v>
      </c>
      <c r="W28" s="49">
        <f>資料儲存!G3020</f>
        <v>0</v>
      </c>
      <c r="X28" s="49">
        <f>資料儲存!H3020</f>
        <v>0</v>
      </c>
      <c r="Y28" s="49">
        <f>資料儲存!I3020</f>
        <v>0</v>
      </c>
      <c r="Z28" s="49">
        <f>資料儲存!J3020</f>
        <v>0</v>
      </c>
      <c r="AA28" s="52"/>
      <c r="AB28" s="68">
        <v>49</v>
      </c>
      <c r="AC28" s="49">
        <f>資料儲存!D3080</f>
        <v>0</v>
      </c>
      <c r="AD28" s="49">
        <f>資料儲存!E3080</f>
        <v>0</v>
      </c>
      <c r="AE28" s="49">
        <f>資料儲存!F3080</f>
        <v>0</v>
      </c>
      <c r="AF28" s="49">
        <f>資料儲存!G3080</f>
        <v>0</v>
      </c>
      <c r="AG28" s="49">
        <f>資料儲存!H3080</f>
        <v>0</v>
      </c>
      <c r="AH28" s="49">
        <f>資料儲存!I3080</f>
        <v>0</v>
      </c>
      <c r="AI28" s="49">
        <f>資料儲存!J3080</f>
        <v>0</v>
      </c>
      <c r="AJ28" s="52"/>
    </row>
    <row r="29" spans="1:36" ht="16" thickBot="1">
      <c r="A29" s="68">
        <v>50</v>
      </c>
      <c r="B29" s="49">
        <f>資料儲存!D2901</f>
        <v>0</v>
      </c>
      <c r="C29" s="49">
        <f>資料儲存!E2901</f>
        <v>0</v>
      </c>
      <c r="D29" s="49">
        <f>資料儲存!F2901</f>
        <v>0</v>
      </c>
      <c r="E29" s="49">
        <f>資料儲存!G2901</f>
        <v>0</v>
      </c>
      <c r="F29" s="49">
        <f>資料儲存!H2901</f>
        <v>0</v>
      </c>
      <c r="G29" s="49">
        <f>資料儲存!I2901</f>
        <v>0</v>
      </c>
      <c r="H29" s="49">
        <f>資料儲存!J2901</f>
        <v>0</v>
      </c>
      <c r="I29" s="52"/>
      <c r="J29" s="68">
        <v>50</v>
      </c>
      <c r="K29" s="49">
        <f>資料儲存!D2961</f>
        <v>0</v>
      </c>
      <c r="L29" s="49">
        <f>資料儲存!E2961</f>
        <v>0</v>
      </c>
      <c r="M29" s="49">
        <f>資料儲存!F2961</f>
        <v>0</v>
      </c>
      <c r="N29" s="49">
        <f>資料儲存!G2961</f>
        <v>0</v>
      </c>
      <c r="O29" s="49">
        <f>資料儲存!H2961</f>
        <v>0</v>
      </c>
      <c r="P29" s="49">
        <f>資料儲存!I2961</f>
        <v>0</v>
      </c>
      <c r="Q29" s="49">
        <f>資料儲存!J2961</f>
        <v>0</v>
      </c>
      <c r="R29" s="52"/>
      <c r="S29" s="68">
        <v>50</v>
      </c>
      <c r="T29" s="49">
        <f>資料儲存!D3021</f>
        <v>0</v>
      </c>
      <c r="U29" s="49">
        <f>資料儲存!E3021</f>
        <v>0</v>
      </c>
      <c r="V29" s="49">
        <f>資料儲存!F3021</f>
        <v>0</v>
      </c>
      <c r="W29" s="49">
        <f>資料儲存!G3021</f>
        <v>0</v>
      </c>
      <c r="X29" s="49">
        <f>資料儲存!H3021</f>
        <v>0</v>
      </c>
      <c r="Y29" s="49">
        <f>資料儲存!I3021</f>
        <v>0</v>
      </c>
      <c r="Z29" s="49">
        <f>資料儲存!J3021</f>
        <v>0</v>
      </c>
      <c r="AA29" s="52"/>
      <c r="AB29" s="68">
        <v>50</v>
      </c>
      <c r="AC29" s="49">
        <f>資料儲存!D3081</f>
        <v>0</v>
      </c>
      <c r="AD29" s="49">
        <f>資料儲存!E3081</f>
        <v>0</v>
      </c>
      <c r="AE29" s="49">
        <f>資料儲存!F3081</f>
        <v>0</v>
      </c>
      <c r="AF29" s="49">
        <f>資料儲存!G3081</f>
        <v>0</v>
      </c>
      <c r="AG29" s="49">
        <f>資料儲存!H3081</f>
        <v>0</v>
      </c>
      <c r="AH29" s="49">
        <f>資料儲存!I3081</f>
        <v>0</v>
      </c>
      <c r="AI29" s="49">
        <f>資料儲存!J3081</f>
        <v>0</v>
      </c>
      <c r="AJ29" s="52"/>
    </row>
    <row r="30" spans="1:36" ht="16" thickBot="1">
      <c r="A30" s="68">
        <v>51</v>
      </c>
      <c r="B30" s="49">
        <f>資料儲存!D2902</f>
        <v>0</v>
      </c>
      <c r="C30" s="49">
        <f>資料儲存!E2902</f>
        <v>0</v>
      </c>
      <c r="D30" s="49">
        <f>資料儲存!F2902</f>
        <v>0</v>
      </c>
      <c r="E30" s="49">
        <f>資料儲存!G2902</f>
        <v>0</v>
      </c>
      <c r="F30" s="49">
        <f>資料儲存!H2902</f>
        <v>0</v>
      </c>
      <c r="G30" s="49">
        <f>資料儲存!I2902</f>
        <v>0</v>
      </c>
      <c r="H30" s="49">
        <f>資料儲存!J2902</f>
        <v>0</v>
      </c>
      <c r="I30" s="52"/>
      <c r="J30" s="68">
        <v>51</v>
      </c>
      <c r="K30" s="49">
        <f>資料儲存!D2962</f>
        <v>0</v>
      </c>
      <c r="L30" s="49">
        <f>資料儲存!E2962</f>
        <v>0</v>
      </c>
      <c r="M30" s="49">
        <f>資料儲存!F2962</f>
        <v>0</v>
      </c>
      <c r="N30" s="49">
        <f>資料儲存!G2962</f>
        <v>0</v>
      </c>
      <c r="O30" s="49">
        <f>資料儲存!H2962</f>
        <v>0</v>
      </c>
      <c r="P30" s="49">
        <f>資料儲存!I2962</f>
        <v>0</v>
      </c>
      <c r="Q30" s="49">
        <f>資料儲存!J2962</f>
        <v>0</v>
      </c>
      <c r="R30" s="52"/>
      <c r="S30" s="68">
        <v>51</v>
      </c>
      <c r="T30" s="49">
        <f>資料儲存!D3022</f>
        <v>0</v>
      </c>
      <c r="U30" s="49">
        <f>資料儲存!E3022</f>
        <v>0</v>
      </c>
      <c r="V30" s="49">
        <f>資料儲存!F3022</f>
        <v>0</v>
      </c>
      <c r="W30" s="49">
        <f>資料儲存!G3022</f>
        <v>0</v>
      </c>
      <c r="X30" s="49">
        <f>資料儲存!H3022</f>
        <v>0</v>
      </c>
      <c r="Y30" s="49">
        <f>資料儲存!I3022</f>
        <v>0</v>
      </c>
      <c r="Z30" s="49">
        <f>資料儲存!J3022</f>
        <v>0</v>
      </c>
      <c r="AA30" s="52"/>
      <c r="AB30" s="68">
        <v>51</v>
      </c>
      <c r="AC30" s="49">
        <f>資料儲存!D3082</f>
        <v>0</v>
      </c>
      <c r="AD30" s="49">
        <f>資料儲存!E3082</f>
        <v>0</v>
      </c>
      <c r="AE30" s="49">
        <f>資料儲存!F3082</f>
        <v>0</v>
      </c>
      <c r="AF30" s="49">
        <f>資料儲存!G3082</f>
        <v>0</v>
      </c>
      <c r="AG30" s="49">
        <f>資料儲存!H3082</f>
        <v>0</v>
      </c>
      <c r="AH30" s="49">
        <f>資料儲存!I3082</f>
        <v>0</v>
      </c>
      <c r="AI30" s="49">
        <f>資料儲存!J3082</f>
        <v>0</v>
      </c>
      <c r="AJ30" s="52"/>
    </row>
    <row r="31" spans="1:36" ht="16" thickBot="1">
      <c r="A31" s="68">
        <v>52</v>
      </c>
      <c r="B31" s="49">
        <f>資料儲存!D2903</f>
        <v>0</v>
      </c>
      <c r="C31" s="49">
        <f>資料儲存!E2903</f>
        <v>0</v>
      </c>
      <c r="D31" s="49">
        <f>資料儲存!F2903</f>
        <v>0</v>
      </c>
      <c r="E31" s="49">
        <f>資料儲存!G2903</f>
        <v>0</v>
      </c>
      <c r="F31" s="49">
        <f>資料儲存!H2903</f>
        <v>0</v>
      </c>
      <c r="G31" s="49">
        <f>資料儲存!I2903</f>
        <v>0</v>
      </c>
      <c r="H31" s="49">
        <f>資料儲存!J2903</f>
        <v>0</v>
      </c>
      <c r="I31" s="52"/>
      <c r="J31" s="68">
        <v>52</v>
      </c>
      <c r="K31" s="49">
        <f>資料儲存!D2963</f>
        <v>0</v>
      </c>
      <c r="L31" s="49">
        <f>資料儲存!E2963</f>
        <v>0</v>
      </c>
      <c r="M31" s="49">
        <f>資料儲存!F2963</f>
        <v>0</v>
      </c>
      <c r="N31" s="49">
        <f>資料儲存!G2963</f>
        <v>0</v>
      </c>
      <c r="O31" s="49">
        <f>資料儲存!H2963</f>
        <v>0</v>
      </c>
      <c r="P31" s="49">
        <f>資料儲存!I2963</f>
        <v>0</v>
      </c>
      <c r="Q31" s="49">
        <f>資料儲存!J2963</f>
        <v>0</v>
      </c>
      <c r="R31" s="52"/>
      <c r="S31" s="68">
        <v>52</v>
      </c>
      <c r="T31" s="49">
        <f>資料儲存!D3023</f>
        <v>0</v>
      </c>
      <c r="U31" s="49">
        <f>資料儲存!E3023</f>
        <v>0</v>
      </c>
      <c r="V31" s="49">
        <f>資料儲存!F3023</f>
        <v>0</v>
      </c>
      <c r="W31" s="49">
        <f>資料儲存!G3023</f>
        <v>0</v>
      </c>
      <c r="X31" s="49">
        <f>資料儲存!H3023</f>
        <v>0</v>
      </c>
      <c r="Y31" s="49">
        <f>資料儲存!I3023</f>
        <v>0</v>
      </c>
      <c r="Z31" s="49">
        <f>資料儲存!J3023</f>
        <v>0</v>
      </c>
      <c r="AA31" s="52"/>
      <c r="AB31" s="68">
        <v>52</v>
      </c>
      <c r="AC31" s="49">
        <f>資料儲存!D3083</f>
        <v>0</v>
      </c>
      <c r="AD31" s="49">
        <f>資料儲存!E3083</f>
        <v>0</v>
      </c>
      <c r="AE31" s="49">
        <f>資料儲存!F3083</f>
        <v>0</v>
      </c>
      <c r="AF31" s="49">
        <f>資料儲存!G3083</f>
        <v>0</v>
      </c>
      <c r="AG31" s="49">
        <f>資料儲存!H3083</f>
        <v>0</v>
      </c>
      <c r="AH31" s="49">
        <f>資料儲存!I3083</f>
        <v>0</v>
      </c>
      <c r="AI31" s="49">
        <f>資料儲存!J3083</f>
        <v>0</v>
      </c>
      <c r="AJ31" s="52"/>
    </row>
    <row r="32" spans="1:36" ht="16" thickBot="1">
      <c r="A32" s="68">
        <v>53</v>
      </c>
      <c r="B32" s="49">
        <f>資料儲存!D2904</f>
        <v>0</v>
      </c>
      <c r="C32" s="49">
        <f>資料儲存!E2904</f>
        <v>0</v>
      </c>
      <c r="D32" s="49">
        <f>資料儲存!F2904</f>
        <v>0</v>
      </c>
      <c r="E32" s="49">
        <f>資料儲存!G2904</f>
        <v>0</v>
      </c>
      <c r="F32" s="49">
        <f>資料儲存!H2904</f>
        <v>0</v>
      </c>
      <c r="G32" s="49">
        <f>資料儲存!I2904</f>
        <v>0</v>
      </c>
      <c r="H32" s="49">
        <f>資料儲存!J2904</f>
        <v>0</v>
      </c>
      <c r="I32" s="52"/>
      <c r="J32" s="68">
        <v>53</v>
      </c>
      <c r="K32" s="49">
        <f>資料儲存!D2964</f>
        <v>0</v>
      </c>
      <c r="L32" s="49">
        <f>資料儲存!E2964</f>
        <v>0</v>
      </c>
      <c r="M32" s="49">
        <f>資料儲存!F2964</f>
        <v>0</v>
      </c>
      <c r="N32" s="49">
        <f>資料儲存!G2964</f>
        <v>0</v>
      </c>
      <c r="O32" s="49">
        <f>資料儲存!H2964</f>
        <v>0</v>
      </c>
      <c r="P32" s="49">
        <f>資料儲存!I2964</f>
        <v>0</v>
      </c>
      <c r="Q32" s="49">
        <f>資料儲存!J2964</f>
        <v>0</v>
      </c>
      <c r="R32" s="52"/>
      <c r="S32" s="68">
        <v>53</v>
      </c>
      <c r="T32" s="49">
        <f>資料儲存!D3024</f>
        <v>0</v>
      </c>
      <c r="U32" s="49">
        <f>資料儲存!E3024</f>
        <v>0</v>
      </c>
      <c r="V32" s="49">
        <f>資料儲存!F3024</f>
        <v>0</v>
      </c>
      <c r="W32" s="49">
        <f>資料儲存!G3024</f>
        <v>0</v>
      </c>
      <c r="X32" s="49">
        <f>資料儲存!H3024</f>
        <v>0</v>
      </c>
      <c r="Y32" s="49">
        <f>資料儲存!I3024</f>
        <v>0</v>
      </c>
      <c r="Z32" s="49">
        <f>資料儲存!J3024</f>
        <v>0</v>
      </c>
      <c r="AA32" s="52"/>
      <c r="AB32" s="68">
        <v>53</v>
      </c>
      <c r="AC32" s="49">
        <f>資料儲存!D3084</f>
        <v>0</v>
      </c>
      <c r="AD32" s="49">
        <f>資料儲存!E3084</f>
        <v>0</v>
      </c>
      <c r="AE32" s="49">
        <f>資料儲存!F3084</f>
        <v>0</v>
      </c>
      <c r="AF32" s="49">
        <f>資料儲存!G3084</f>
        <v>0</v>
      </c>
      <c r="AG32" s="49">
        <f>資料儲存!H3084</f>
        <v>0</v>
      </c>
      <c r="AH32" s="49">
        <f>資料儲存!I3084</f>
        <v>0</v>
      </c>
      <c r="AI32" s="49">
        <f>資料儲存!J3084</f>
        <v>0</v>
      </c>
      <c r="AJ32" s="52"/>
    </row>
    <row r="33" spans="1:36" ht="16" thickBot="1">
      <c r="A33" s="68">
        <v>54</v>
      </c>
      <c r="B33" s="49">
        <f>資料儲存!D2905</f>
        <v>0</v>
      </c>
      <c r="C33" s="49">
        <f>資料儲存!E2905</f>
        <v>0</v>
      </c>
      <c r="D33" s="49">
        <f>資料儲存!F2905</f>
        <v>0</v>
      </c>
      <c r="E33" s="49">
        <f>資料儲存!G2905</f>
        <v>0</v>
      </c>
      <c r="F33" s="49">
        <f>資料儲存!H2905</f>
        <v>0</v>
      </c>
      <c r="G33" s="49">
        <f>資料儲存!I2905</f>
        <v>0</v>
      </c>
      <c r="H33" s="49">
        <f>資料儲存!J2905</f>
        <v>0</v>
      </c>
      <c r="I33" s="52"/>
      <c r="J33" s="68">
        <v>54</v>
      </c>
      <c r="K33" s="49">
        <f>資料儲存!D2965</f>
        <v>0</v>
      </c>
      <c r="L33" s="49">
        <f>資料儲存!E2965</f>
        <v>0</v>
      </c>
      <c r="M33" s="49">
        <f>資料儲存!F2965</f>
        <v>0</v>
      </c>
      <c r="N33" s="49">
        <f>資料儲存!G2965</f>
        <v>0</v>
      </c>
      <c r="O33" s="49">
        <f>資料儲存!H2965</f>
        <v>0</v>
      </c>
      <c r="P33" s="49">
        <f>資料儲存!I2965</f>
        <v>0</v>
      </c>
      <c r="Q33" s="49">
        <f>資料儲存!J2965</f>
        <v>0</v>
      </c>
      <c r="R33" s="52"/>
      <c r="S33" s="68">
        <v>54</v>
      </c>
      <c r="T33" s="49">
        <f>資料儲存!D3025</f>
        <v>0</v>
      </c>
      <c r="U33" s="49">
        <f>資料儲存!E3025</f>
        <v>0</v>
      </c>
      <c r="V33" s="49">
        <f>資料儲存!F3025</f>
        <v>0</v>
      </c>
      <c r="W33" s="49">
        <f>資料儲存!G3025</f>
        <v>0</v>
      </c>
      <c r="X33" s="49">
        <f>資料儲存!H3025</f>
        <v>0</v>
      </c>
      <c r="Y33" s="49">
        <f>資料儲存!I3025</f>
        <v>0</v>
      </c>
      <c r="Z33" s="49">
        <f>資料儲存!J3025</f>
        <v>0</v>
      </c>
      <c r="AA33" s="52"/>
      <c r="AB33" s="68">
        <v>54</v>
      </c>
      <c r="AC33" s="49">
        <f>資料儲存!D3085</f>
        <v>0</v>
      </c>
      <c r="AD33" s="49">
        <f>資料儲存!E3085</f>
        <v>0</v>
      </c>
      <c r="AE33" s="49">
        <f>資料儲存!F3085</f>
        <v>0</v>
      </c>
      <c r="AF33" s="49">
        <f>資料儲存!G3085</f>
        <v>0</v>
      </c>
      <c r="AG33" s="49">
        <f>資料儲存!H3085</f>
        <v>0</v>
      </c>
      <c r="AH33" s="49">
        <f>資料儲存!I3085</f>
        <v>0</v>
      </c>
      <c r="AI33" s="49">
        <f>資料儲存!J3085</f>
        <v>0</v>
      </c>
      <c r="AJ33" s="52"/>
    </row>
    <row r="34" spans="1:36" ht="16" thickBot="1">
      <c r="A34" s="68">
        <v>55</v>
      </c>
      <c r="B34" s="49">
        <f>資料儲存!D2906</f>
        <v>0</v>
      </c>
      <c r="C34" s="49">
        <f>資料儲存!E2906</f>
        <v>0</v>
      </c>
      <c r="D34" s="49">
        <f>資料儲存!F2906</f>
        <v>0</v>
      </c>
      <c r="E34" s="49">
        <f>資料儲存!G2906</f>
        <v>0</v>
      </c>
      <c r="F34" s="49">
        <f>資料儲存!H2906</f>
        <v>0</v>
      </c>
      <c r="G34" s="49">
        <f>資料儲存!I2906</f>
        <v>0</v>
      </c>
      <c r="H34" s="49">
        <f>資料儲存!J2906</f>
        <v>0</v>
      </c>
      <c r="I34" s="52"/>
      <c r="J34" s="68">
        <v>55</v>
      </c>
      <c r="K34" s="49">
        <f>資料儲存!D2966</f>
        <v>0</v>
      </c>
      <c r="L34" s="49">
        <f>資料儲存!E2966</f>
        <v>0</v>
      </c>
      <c r="M34" s="49">
        <f>資料儲存!F2966</f>
        <v>0</v>
      </c>
      <c r="N34" s="49">
        <f>資料儲存!G2966</f>
        <v>0</v>
      </c>
      <c r="O34" s="49">
        <f>資料儲存!H2966</f>
        <v>0</v>
      </c>
      <c r="P34" s="49">
        <f>資料儲存!I2966</f>
        <v>0</v>
      </c>
      <c r="Q34" s="49">
        <f>資料儲存!J2966</f>
        <v>0</v>
      </c>
      <c r="R34" s="52"/>
      <c r="S34" s="68">
        <v>55</v>
      </c>
      <c r="T34" s="49">
        <f>資料儲存!D3026</f>
        <v>0</v>
      </c>
      <c r="U34" s="49">
        <f>資料儲存!E3026</f>
        <v>0</v>
      </c>
      <c r="V34" s="49">
        <f>資料儲存!F3026</f>
        <v>0</v>
      </c>
      <c r="W34" s="49">
        <f>資料儲存!G3026</f>
        <v>0</v>
      </c>
      <c r="X34" s="49">
        <f>資料儲存!H3026</f>
        <v>0</v>
      </c>
      <c r="Y34" s="49">
        <f>資料儲存!I3026</f>
        <v>0</v>
      </c>
      <c r="Z34" s="49">
        <f>資料儲存!J3026</f>
        <v>0</v>
      </c>
      <c r="AA34" s="52"/>
      <c r="AB34" s="68">
        <v>55</v>
      </c>
      <c r="AC34" s="49">
        <f>資料儲存!D3086</f>
        <v>0</v>
      </c>
      <c r="AD34" s="49">
        <f>資料儲存!E3086</f>
        <v>0</v>
      </c>
      <c r="AE34" s="49">
        <f>資料儲存!F3086</f>
        <v>0</v>
      </c>
      <c r="AF34" s="49">
        <f>資料儲存!G3086</f>
        <v>0</v>
      </c>
      <c r="AG34" s="49">
        <f>資料儲存!H3086</f>
        <v>0</v>
      </c>
      <c r="AH34" s="49">
        <f>資料儲存!I3086</f>
        <v>0</v>
      </c>
      <c r="AI34" s="49">
        <f>資料儲存!J3086</f>
        <v>0</v>
      </c>
      <c r="AJ34" s="52"/>
    </row>
    <row r="35" spans="1:36" ht="16" thickBot="1">
      <c r="A35" s="68">
        <v>56</v>
      </c>
      <c r="B35" s="49">
        <f>資料儲存!D2907</f>
        <v>0</v>
      </c>
      <c r="C35" s="49">
        <f>資料儲存!E2907</f>
        <v>0</v>
      </c>
      <c r="D35" s="49">
        <f>資料儲存!F2907</f>
        <v>0</v>
      </c>
      <c r="E35" s="49">
        <f>資料儲存!G2907</f>
        <v>0</v>
      </c>
      <c r="F35" s="49">
        <f>資料儲存!H2907</f>
        <v>0</v>
      </c>
      <c r="G35" s="49">
        <f>資料儲存!I2907</f>
        <v>0</v>
      </c>
      <c r="H35" s="49">
        <f>資料儲存!J2907</f>
        <v>0</v>
      </c>
      <c r="I35" s="52"/>
      <c r="J35" s="68">
        <v>56</v>
      </c>
      <c r="K35" s="49">
        <f>資料儲存!D2967</f>
        <v>0</v>
      </c>
      <c r="L35" s="49">
        <f>資料儲存!E2967</f>
        <v>0</v>
      </c>
      <c r="M35" s="49">
        <f>資料儲存!F2967</f>
        <v>0</v>
      </c>
      <c r="N35" s="49">
        <f>資料儲存!G2967</f>
        <v>0</v>
      </c>
      <c r="O35" s="49">
        <f>資料儲存!H2967</f>
        <v>0</v>
      </c>
      <c r="P35" s="49">
        <f>資料儲存!I2967</f>
        <v>0</v>
      </c>
      <c r="Q35" s="49">
        <f>資料儲存!J2967</f>
        <v>0</v>
      </c>
      <c r="R35" s="52"/>
      <c r="S35" s="68">
        <v>56</v>
      </c>
      <c r="T35" s="49">
        <f>資料儲存!D3027</f>
        <v>0</v>
      </c>
      <c r="U35" s="49">
        <f>資料儲存!E3027</f>
        <v>0</v>
      </c>
      <c r="V35" s="49">
        <f>資料儲存!F3027</f>
        <v>0</v>
      </c>
      <c r="W35" s="49">
        <f>資料儲存!G3027</f>
        <v>0</v>
      </c>
      <c r="X35" s="49">
        <f>資料儲存!H3027</f>
        <v>0</v>
      </c>
      <c r="Y35" s="49">
        <f>資料儲存!I3027</f>
        <v>0</v>
      </c>
      <c r="Z35" s="49">
        <f>資料儲存!J3027</f>
        <v>0</v>
      </c>
      <c r="AA35" s="52"/>
      <c r="AB35" s="68">
        <v>56</v>
      </c>
      <c r="AC35" s="49">
        <f>資料儲存!D3087</f>
        <v>0</v>
      </c>
      <c r="AD35" s="49">
        <f>資料儲存!E3087</f>
        <v>0</v>
      </c>
      <c r="AE35" s="49">
        <f>資料儲存!F3087</f>
        <v>0</v>
      </c>
      <c r="AF35" s="49">
        <f>資料儲存!G3087</f>
        <v>0</v>
      </c>
      <c r="AG35" s="49">
        <f>資料儲存!H3087</f>
        <v>0</v>
      </c>
      <c r="AH35" s="49">
        <f>資料儲存!I3087</f>
        <v>0</v>
      </c>
      <c r="AI35" s="49">
        <f>資料儲存!J3087</f>
        <v>0</v>
      </c>
      <c r="AJ35" s="52"/>
    </row>
    <row r="36" spans="1:36" ht="16" thickBot="1">
      <c r="A36" s="68">
        <v>57</v>
      </c>
      <c r="B36" s="49">
        <f>資料儲存!D2908</f>
        <v>0</v>
      </c>
      <c r="C36" s="49">
        <f>資料儲存!E2908</f>
        <v>0</v>
      </c>
      <c r="D36" s="49">
        <f>資料儲存!F2908</f>
        <v>0</v>
      </c>
      <c r="E36" s="49">
        <f>資料儲存!G2908</f>
        <v>0</v>
      </c>
      <c r="F36" s="49">
        <f>資料儲存!H2908</f>
        <v>0</v>
      </c>
      <c r="G36" s="49">
        <f>資料儲存!I2908</f>
        <v>0</v>
      </c>
      <c r="H36" s="49">
        <f>資料儲存!J2908</f>
        <v>0</v>
      </c>
      <c r="I36" s="52"/>
      <c r="J36" s="68">
        <v>57</v>
      </c>
      <c r="K36" s="49">
        <f>資料儲存!D2968</f>
        <v>0</v>
      </c>
      <c r="L36" s="49">
        <f>資料儲存!E2968</f>
        <v>0</v>
      </c>
      <c r="M36" s="49">
        <f>資料儲存!F2968</f>
        <v>0</v>
      </c>
      <c r="N36" s="49">
        <f>資料儲存!G2968</f>
        <v>0</v>
      </c>
      <c r="O36" s="49">
        <f>資料儲存!H2968</f>
        <v>0</v>
      </c>
      <c r="P36" s="49">
        <f>資料儲存!I2968</f>
        <v>0</v>
      </c>
      <c r="Q36" s="49">
        <f>資料儲存!J2968</f>
        <v>0</v>
      </c>
      <c r="R36" s="52"/>
      <c r="S36" s="68">
        <v>57</v>
      </c>
      <c r="T36" s="49">
        <f>資料儲存!D3028</f>
        <v>0</v>
      </c>
      <c r="U36" s="49">
        <f>資料儲存!E3028</f>
        <v>0</v>
      </c>
      <c r="V36" s="49">
        <f>資料儲存!F3028</f>
        <v>0</v>
      </c>
      <c r="W36" s="49">
        <f>資料儲存!G3028</f>
        <v>0</v>
      </c>
      <c r="X36" s="49">
        <f>資料儲存!H3028</f>
        <v>0</v>
      </c>
      <c r="Y36" s="49">
        <f>資料儲存!I3028</f>
        <v>0</v>
      </c>
      <c r="Z36" s="49">
        <f>資料儲存!J3028</f>
        <v>0</v>
      </c>
      <c r="AA36" s="52"/>
      <c r="AB36" s="68">
        <v>57</v>
      </c>
      <c r="AC36" s="49">
        <f>資料儲存!D3088</f>
        <v>0</v>
      </c>
      <c r="AD36" s="49">
        <f>資料儲存!E3088</f>
        <v>0</v>
      </c>
      <c r="AE36" s="49">
        <f>資料儲存!F3088</f>
        <v>0</v>
      </c>
      <c r="AF36" s="49">
        <f>資料儲存!G3088</f>
        <v>0</v>
      </c>
      <c r="AG36" s="49">
        <f>資料儲存!H3088</f>
        <v>0</v>
      </c>
      <c r="AH36" s="49">
        <f>資料儲存!I3088</f>
        <v>0</v>
      </c>
      <c r="AI36" s="49">
        <f>資料儲存!J3088</f>
        <v>0</v>
      </c>
      <c r="AJ36" s="52"/>
    </row>
    <row r="37" spans="1:36" ht="16" thickBot="1">
      <c r="A37" s="68">
        <v>58</v>
      </c>
      <c r="B37" s="49">
        <f>資料儲存!D2909</f>
        <v>0</v>
      </c>
      <c r="C37" s="49">
        <f>資料儲存!E2909</f>
        <v>0</v>
      </c>
      <c r="D37" s="49">
        <f>資料儲存!F2909</f>
        <v>0</v>
      </c>
      <c r="E37" s="49">
        <f>資料儲存!G2909</f>
        <v>0</v>
      </c>
      <c r="F37" s="49">
        <f>資料儲存!H2909</f>
        <v>0</v>
      </c>
      <c r="G37" s="49">
        <f>資料儲存!I2909</f>
        <v>0</v>
      </c>
      <c r="H37" s="49">
        <f>資料儲存!J2909</f>
        <v>0</v>
      </c>
      <c r="I37" s="52"/>
      <c r="J37" s="68">
        <v>58</v>
      </c>
      <c r="K37" s="49">
        <f>資料儲存!D2969</f>
        <v>0</v>
      </c>
      <c r="L37" s="49">
        <f>資料儲存!E2969</f>
        <v>0</v>
      </c>
      <c r="M37" s="49">
        <f>資料儲存!F2969</f>
        <v>0</v>
      </c>
      <c r="N37" s="49">
        <f>資料儲存!G2969</f>
        <v>0</v>
      </c>
      <c r="O37" s="49">
        <f>資料儲存!H2969</f>
        <v>0</v>
      </c>
      <c r="P37" s="49">
        <f>資料儲存!I2969</f>
        <v>0</v>
      </c>
      <c r="Q37" s="49">
        <f>資料儲存!J2969</f>
        <v>0</v>
      </c>
      <c r="R37" s="52"/>
      <c r="S37" s="68">
        <v>58</v>
      </c>
      <c r="T37" s="49">
        <f>資料儲存!D3029</f>
        <v>0</v>
      </c>
      <c r="U37" s="49">
        <f>資料儲存!E3029</f>
        <v>0</v>
      </c>
      <c r="V37" s="49">
        <f>資料儲存!F3029</f>
        <v>0</v>
      </c>
      <c r="W37" s="49">
        <f>資料儲存!G3029</f>
        <v>0</v>
      </c>
      <c r="X37" s="49">
        <f>資料儲存!H3029</f>
        <v>0</v>
      </c>
      <c r="Y37" s="49">
        <f>資料儲存!I3029</f>
        <v>0</v>
      </c>
      <c r="Z37" s="49">
        <f>資料儲存!J3029</f>
        <v>0</v>
      </c>
      <c r="AA37" s="52"/>
      <c r="AB37" s="68">
        <v>58</v>
      </c>
      <c r="AC37" s="49">
        <f>資料儲存!D3089</f>
        <v>0</v>
      </c>
      <c r="AD37" s="49">
        <f>資料儲存!E3089</f>
        <v>0</v>
      </c>
      <c r="AE37" s="49">
        <f>資料儲存!F3089</f>
        <v>0</v>
      </c>
      <c r="AF37" s="49">
        <f>資料儲存!G3089</f>
        <v>0</v>
      </c>
      <c r="AG37" s="49">
        <f>資料儲存!H3089</f>
        <v>0</v>
      </c>
      <c r="AH37" s="49">
        <f>資料儲存!I3089</f>
        <v>0</v>
      </c>
      <c r="AI37" s="49">
        <f>資料儲存!J3089</f>
        <v>0</v>
      </c>
      <c r="AJ37" s="52"/>
    </row>
    <row r="38" spans="1:36" ht="16" thickBot="1">
      <c r="A38" s="68">
        <v>59</v>
      </c>
      <c r="B38" s="49">
        <f>資料儲存!D2910</f>
        <v>0</v>
      </c>
      <c r="C38" s="49">
        <f>資料儲存!E2910</f>
        <v>0</v>
      </c>
      <c r="D38" s="49">
        <f>資料儲存!F2910</f>
        <v>0</v>
      </c>
      <c r="E38" s="49">
        <f>資料儲存!G2910</f>
        <v>0</v>
      </c>
      <c r="F38" s="49">
        <f>資料儲存!H2910</f>
        <v>0</v>
      </c>
      <c r="G38" s="49">
        <f>資料儲存!I2910</f>
        <v>0</v>
      </c>
      <c r="H38" s="49">
        <f>資料儲存!J2910</f>
        <v>0</v>
      </c>
      <c r="I38" s="52"/>
      <c r="J38" s="68">
        <v>59</v>
      </c>
      <c r="K38" s="49">
        <f>資料儲存!D2970</f>
        <v>0</v>
      </c>
      <c r="L38" s="49">
        <f>資料儲存!E2970</f>
        <v>0</v>
      </c>
      <c r="M38" s="49">
        <f>資料儲存!F2970</f>
        <v>0</v>
      </c>
      <c r="N38" s="49">
        <f>資料儲存!G2970</f>
        <v>0</v>
      </c>
      <c r="O38" s="49">
        <f>資料儲存!H2970</f>
        <v>0</v>
      </c>
      <c r="P38" s="49">
        <f>資料儲存!I2970</f>
        <v>0</v>
      </c>
      <c r="Q38" s="49">
        <f>資料儲存!J2970</f>
        <v>0</v>
      </c>
      <c r="R38" s="52"/>
      <c r="S38" s="68">
        <v>59</v>
      </c>
      <c r="T38" s="49">
        <f>資料儲存!D3030</f>
        <v>0</v>
      </c>
      <c r="U38" s="49">
        <f>資料儲存!E3030</f>
        <v>0</v>
      </c>
      <c r="V38" s="49">
        <f>資料儲存!F3030</f>
        <v>0</v>
      </c>
      <c r="W38" s="49">
        <f>資料儲存!G3030</f>
        <v>0</v>
      </c>
      <c r="X38" s="49">
        <f>資料儲存!H3030</f>
        <v>0</v>
      </c>
      <c r="Y38" s="49">
        <f>資料儲存!I3030</f>
        <v>0</v>
      </c>
      <c r="Z38" s="49">
        <f>資料儲存!J3030</f>
        <v>0</v>
      </c>
      <c r="AA38" s="52"/>
      <c r="AB38" s="68">
        <v>59</v>
      </c>
      <c r="AC38" s="49">
        <f>資料儲存!D3090</f>
        <v>0</v>
      </c>
      <c r="AD38" s="49">
        <f>資料儲存!E3090</f>
        <v>0</v>
      </c>
      <c r="AE38" s="49">
        <f>資料儲存!F3090</f>
        <v>0</v>
      </c>
      <c r="AF38" s="49">
        <f>資料儲存!G3090</f>
        <v>0</v>
      </c>
      <c r="AG38" s="49">
        <f>資料儲存!H3090</f>
        <v>0</v>
      </c>
      <c r="AH38" s="49">
        <f>資料儲存!I3090</f>
        <v>0</v>
      </c>
      <c r="AI38" s="49">
        <f>資料儲存!J3090</f>
        <v>0</v>
      </c>
      <c r="AJ38" s="52"/>
    </row>
    <row r="39" spans="1:36" ht="16" thickBot="1">
      <c r="A39" s="68">
        <v>60</v>
      </c>
      <c r="B39" s="49">
        <f>資料儲存!D2911</f>
        <v>0</v>
      </c>
      <c r="C39" s="49">
        <f>資料儲存!E2911</f>
        <v>0</v>
      </c>
      <c r="D39" s="49">
        <f>資料儲存!F2911</f>
        <v>0</v>
      </c>
      <c r="E39" s="49">
        <f>資料儲存!G2911</f>
        <v>0</v>
      </c>
      <c r="F39" s="49">
        <f>資料儲存!H2911</f>
        <v>0</v>
      </c>
      <c r="G39" s="49">
        <f>資料儲存!I2911</f>
        <v>0</v>
      </c>
      <c r="H39" s="49">
        <f>資料儲存!J2911</f>
        <v>0</v>
      </c>
      <c r="I39" s="52"/>
      <c r="J39" s="68">
        <v>60</v>
      </c>
      <c r="K39" s="49">
        <f>資料儲存!D2971</f>
        <v>0</v>
      </c>
      <c r="L39" s="49">
        <f>資料儲存!E2971</f>
        <v>0</v>
      </c>
      <c r="M39" s="49">
        <f>資料儲存!F2971</f>
        <v>0</v>
      </c>
      <c r="N39" s="49">
        <f>資料儲存!G2971</f>
        <v>0</v>
      </c>
      <c r="O39" s="49">
        <f>資料儲存!H2971</f>
        <v>0</v>
      </c>
      <c r="P39" s="49">
        <f>資料儲存!I2971</f>
        <v>0</v>
      </c>
      <c r="Q39" s="49">
        <f>資料儲存!J2971</f>
        <v>0</v>
      </c>
      <c r="R39" s="52"/>
      <c r="S39" s="68">
        <v>60</v>
      </c>
      <c r="T39" s="49">
        <f>資料儲存!D3031</f>
        <v>0</v>
      </c>
      <c r="U39" s="49">
        <f>資料儲存!E3031</f>
        <v>0</v>
      </c>
      <c r="V39" s="49">
        <f>資料儲存!F3031</f>
        <v>0</v>
      </c>
      <c r="W39" s="49">
        <f>資料儲存!G3031</f>
        <v>0</v>
      </c>
      <c r="X39" s="49">
        <f>資料儲存!H3031</f>
        <v>0</v>
      </c>
      <c r="Y39" s="49">
        <f>資料儲存!I3031</f>
        <v>0</v>
      </c>
      <c r="Z39" s="49">
        <f>資料儲存!J3031</f>
        <v>0</v>
      </c>
      <c r="AA39" s="52"/>
      <c r="AB39" s="68">
        <v>60</v>
      </c>
      <c r="AC39" s="49">
        <f>資料儲存!D3091</f>
        <v>0</v>
      </c>
      <c r="AD39" s="49">
        <f>資料儲存!E3091</f>
        <v>0</v>
      </c>
      <c r="AE39" s="49">
        <f>資料儲存!F3091</f>
        <v>0</v>
      </c>
      <c r="AF39" s="49">
        <f>資料儲存!G3091</f>
        <v>0</v>
      </c>
      <c r="AG39" s="49">
        <f>資料儲存!H3091</f>
        <v>0</v>
      </c>
      <c r="AH39" s="49">
        <f>資料儲存!I3091</f>
        <v>0</v>
      </c>
      <c r="AI39" s="49">
        <f>資料儲存!J3091</f>
        <v>0</v>
      </c>
      <c r="AJ39" s="52"/>
    </row>
    <row r="40" spans="1:36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8.5" thickBot="1">
      <c r="A41" s="259" t="s">
        <v>115</v>
      </c>
      <c r="B41" s="260"/>
      <c r="C41" s="260"/>
      <c r="D41" s="260"/>
      <c r="E41" s="260"/>
      <c r="F41" s="260"/>
      <c r="G41" s="260"/>
      <c r="H41" s="261"/>
      <c r="I41" s="14"/>
      <c r="J41" s="259" t="s">
        <v>115</v>
      </c>
      <c r="K41" s="260"/>
      <c r="L41" s="260"/>
      <c r="M41" s="260"/>
      <c r="N41" s="260"/>
      <c r="O41" s="260"/>
      <c r="P41" s="260"/>
      <c r="Q41" s="261"/>
      <c r="R41" s="14"/>
      <c r="S41" s="259" t="s">
        <v>115</v>
      </c>
      <c r="T41" s="260"/>
      <c r="U41" s="260"/>
      <c r="V41" s="260"/>
      <c r="W41" s="260"/>
      <c r="X41" s="260"/>
      <c r="Y41" s="260"/>
      <c r="Z41" s="261"/>
      <c r="AA41" s="14"/>
      <c r="AB41" s="259" t="s">
        <v>115</v>
      </c>
      <c r="AC41" s="260"/>
      <c r="AD41" s="260"/>
      <c r="AE41" s="260"/>
      <c r="AF41" s="260"/>
      <c r="AG41" s="260"/>
      <c r="AH41" s="260"/>
      <c r="AI41" s="261"/>
      <c r="AJ41" s="14"/>
    </row>
    <row r="42" spans="1:36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</row>
    <row r="43" spans="1:36" ht="16" thickBot="1">
      <c r="A43" s="59">
        <v>0.75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>
        <v>0.75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>
        <v>0.75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>
        <v>0.75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</row>
    <row r="44" spans="1:36" ht="16" thickBot="1">
      <c r="A44" s="61">
        <v>1</v>
      </c>
      <c r="B44" s="39">
        <f>資料儲存!D2912</f>
        <v>0</v>
      </c>
      <c r="C44" s="39">
        <f>資料儲存!E2912</f>
        <v>0</v>
      </c>
      <c r="D44" s="39">
        <f>資料儲存!F2912</f>
        <v>0</v>
      </c>
      <c r="E44" s="39">
        <f>資料儲存!G2912</f>
        <v>0</v>
      </c>
      <c r="F44" s="39">
        <f>資料儲存!H2912</f>
        <v>0</v>
      </c>
      <c r="G44" s="39">
        <f>資料儲存!I2912</f>
        <v>0</v>
      </c>
      <c r="H44" s="39">
        <f>資料儲存!J2912</f>
        <v>0</v>
      </c>
      <c r="I44" s="58"/>
      <c r="J44" s="61">
        <v>1</v>
      </c>
      <c r="K44" s="39">
        <f>資料儲存!D2972</f>
        <v>0</v>
      </c>
      <c r="L44" s="39">
        <f>資料儲存!E2972</f>
        <v>0</v>
      </c>
      <c r="M44" s="39">
        <f>資料儲存!F2972</f>
        <v>0</v>
      </c>
      <c r="N44" s="39">
        <f>資料儲存!G2972</f>
        <v>0</v>
      </c>
      <c r="O44" s="39">
        <f>資料儲存!H2972</f>
        <v>0</v>
      </c>
      <c r="P44" s="39">
        <f>資料儲存!I2972</f>
        <v>0</v>
      </c>
      <c r="Q44" s="39">
        <f>資料儲存!J2972</f>
        <v>0</v>
      </c>
      <c r="R44" s="58"/>
      <c r="S44" s="61">
        <v>1</v>
      </c>
      <c r="T44" s="39">
        <f>資料儲存!D3032</f>
        <v>0</v>
      </c>
      <c r="U44" s="39">
        <f>資料儲存!E3032</f>
        <v>0</v>
      </c>
      <c r="V44" s="39">
        <f>資料儲存!F3032</f>
        <v>0</v>
      </c>
      <c r="W44" s="39">
        <f>資料儲存!G3032</f>
        <v>0</v>
      </c>
      <c r="X44" s="39">
        <f>資料儲存!H3032</f>
        <v>0</v>
      </c>
      <c r="Y44" s="39">
        <f>資料儲存!I3032</f>
        <v>0</v>
      </c>
      <c r="Z44" s="39">
        <f>資料儲存!J3032</f>
        <v>0</v>
      </c>
      <c r="AA44" s="58"/>
      <c r="AB44" s="61">
        <v>1</v>
      </c>
      <c r="AC44" s="39">
        <f>資料儲存!D3092</f>
        <v>0</v>
      </c>
      <c r="AD44" s="39">
        <f>資料儲存!E3092</f>
        <v>0</v>
      </c>
      <c r="AE44" s="39">
        <f>資料儲存!F3092</f>
        <v>0</v>
      </c>
      <c r="AF44" s="39">
        <f>資料儲存!G3092</f>
        <v>0</v>
      </c>
      <c r="AG44" s="39">
        <f>資料儲存!H3092</f>
        <v>0</v>
      </c>
      <c r="AH44" s="39">
        <f>資料儲存!I3092</f>
        <v>0</v>
      </c>
      <c r="AI44" s="39">
        <f>資料儲存!J3092</f>
        <v>0</v>
      </c>
      <c r="AJ44" s="58"/>
    </row>
    <row r="45" spans="1:36" ht="16" thickBot="1">
      <c r="A45" s="61">
        <v>2</v>
      </c>
      <c r="B45" s="39">
        <f>資料儲存!D2913</f>
        <v>0</v>
      </c>
      <c r="C45" s="39">
        <f>資料儲存!E2913</f>
        <v>0</v>
      </c>
      <c r="D45" s="39">
        <f>資料儲存!F2913</f>
        <v>0</v>
      </c>
      <c r="E45" s="39">
        <f>資料儲存!G2913</f>
        <v>0</v>
      </c>
      <c r="F45" s="39">
        <f>資料儲存!H2913</f>
        <v>0</v>
      </c>
      <c r="G45" s="39">
        <f>資料儲存!I2913</f>
        <v>0</v>
      </c>
      <c r="H45" s="39">
        <f>資料儲存!J2913</f>
        <v>0</v>
      </c>
      <c r="I45" s="58"/>
      <c r="J45" s="61">
        <v>2</v>
      </c>
      <c r="K45" s="39">
        <f>資料儲存!D2973</f>
        <v>0</v>
      </c>
      <c r="L45" s="39">
        <f>資料儲存!E2973</f>
        <v>0</v>
      </c>
      <c r="M45" s="39">
        <f>資料儲存!F2973</f>
        <v>0</v>
      </c>
      <c r="N45" s="39">
        <f>資料儲存!G2973</f>
        <v>0</v>
      </c>
      <c r="O45" s="39">
        <f>資料儲存!H2973</f>
        <v>0</v>
      </c>
      <c r="P45" s="39">
        <f>資料儲存!I2973</f>
        <v>0</v>
      </c>
      <c r="Q45" s="39">
        <f>資料儲存!J2973</f>
        <v>0</v>
      </c>
      <c r="R45" s="58"/>
      <c r="S45" s="61">
        <v>2</v>
      </c>
      <c r="T45" s="39">
        <f>資料儲存!D3033</f>
        <v>0</v>
      </c>
      <c r="U45" s="39">
        <f>資料儲存!E3033</f>
        <v>0</v>
      </c>
      <c r="V45" s="39">
        <f>資料儲存!F3033</f>
        <v>0</v>
      </c>
      <c r="W45" s="39">
        <f>資料儲存!G3033</f>
        <v>0</v>
      </c>
      <c r="X45" s="39">
        <f>資料儲存!H3033</f>
        <v>0</v>
      </c>
      <c r="Y45" s="39">
        <f>資料儲存!I3033</f>
        <v>0</v>
      </c>
      <c r="Z45" s="39">
        <f>資料儲存!J3033</f>
        <v>0</v>
      </c>
      <c r="AA45" s="58"/>
      <c r="AB45" s="61">
        <v>2</v>
      </c>
      <c r="AC45" s="39">
        <f>資料儲存!D3093</f>
        <v>0</v>
      </c>
      <c r="AD45" s="39">
        <f>資料儲存!E3093</f>
        <v>0</v>
      </c>
      <c r="AE45" s="39">
        <f>資料儲存!F3093</f>
        <v>0</v>
      </c>
      <c r="AF45" s="39">
        <f>資料儲存!G3093</f>
        <v>0</v>
      </c>
      <c r="AG45" s="39">
        <f>資料儲存!H3093</f>
        <v>0</v>
      </c>
      <c r="AH45" s="39">
        <f>資料儲存!I3093</f>
        <v>0</v>
      </c>
      <c r="AI45" s="39">
        <f>資料儲存!J3093</f>
        <v>0</v>
      </c>
      <c r="AJ45" s="58"/>
    </row>
    <row r="46" spans="1:36" ht="16" thickBot="1">
      <c r="A46" s="61">
        <v>3</v>
      </c>
      <c r="B46" s="39">
        <f>資料儲存!D2914</f>
        <v>0</v>
      </c>
      <c r="C46" s="39">
        <f>資料儲存!E2914</f>
        <v>0</v>
      </c>
      <c r="D46" s="39">
        <f>資料儲存!F2914</f>
        <v>0</v>
      </c>
      <c r="E46" s="39">
        <f>資料儲存!G2914</f>
        <v>0</v>
      </c>
      <c r="F46" s="39">
        <f>資料儲存!H2914</f>
        <v>0</v>
      </c>
      <c r="G46" s="39">
        <f>資料儲存!I2914</f>
        <v>0</v>
      </c>
      <c r="H46" s="39">
        <f>資料儲存!J2914</f>
        <v>0</v>
      </c>
      <c r="I46" s="58"/>
      <c r="J46" s="61">
        <v>3</v>
      </c>
      <c r="K46" s="39">
        <f>資料儲存!D2974</f>
        <v>0</v>
      </c>
      <c r="L46" s="39">
        <f>資料儲存!E2974</f>
        <v>0</v>
      </c>
      <c r="M46" s="39">
        <f>資料儲存!F2974</f>
        <v>0</v>
      </c>
      <c r="N46" s="39">
        <f>資料儲存!G2974</f>
        <v>0</v>
      </c>
      <c r="O46" s="39">
        <f>資料儲存!H2974</f>
        <v>0</v>
      </c>
      <c r="P46" s="39">
        <f>資料儲存!I2974</f>
        <v>0</v>
      </c>
      <c r="Q46" s="39">
        <f>資料儲存!J2974</f>
        <v>0</v>
      </c>
      <c r="R46" s="58"/>
      <c r="S46" s="61">
        <v>3</v>
      </c>
      <c r="T46" s="39">
        <f>資料儲存!D3034</f>
        <v>0</v>
      </c>
      <c r="U46" s="39">
        <f>資料儲存!E3034</f>
        <v>0</v>
      </c>
      <c r="V46" s="39">
        <f>資料儲存!F3034</f>
        <v>0</v>
      </c>
      <c r="W46" s="39">
        <f>資料儲存!G3034</f>
        <v>0</v>
      </c>
      <c r="X46" s="39">
        <f>資料儲存!H3034</f>
        <v>0</v>
      </c>
      <c r="Y46" s="39">
        <f>資料儲存!I3034</f>
        <v>0</v>
      </c>
      <c r="Z46" s="39">
        <f>資料儲存!J3034</f>
        <v>0</v>
      </c>
      <c r="AA46" s="58"/>
      <c r="AB46" s="61">
        <v>3</v>
      </c>
      <c r="AC46" s="39">
        <f>資料儲存!D3094</f>
        <v>0</v>
      </c>
      <c r="AD46" s="39">
        <f>資料儲存!E3094</f>
        <v>0</v>
      </c>
      <c r="AE46" s="39">
        <f>資料儲存!F3094</f>
        <v>0</v>
      </c>
      <c r="AF46" s="39">
        <f>資料儲存!G3094</f>
        <v>0</v>
      </c>
      <c r="AG46" s="39">
        <f>資料儲存!H3094</f>
        <v>0</v>
      </c>
      <c r="AH46" s="39">
        <f>資料儲存!I3094</f>
        <v>0</v>
      </c>
      <c r="AI46" s="39">
        <f>資料儲存!J3094</f>
        <v>0</v>
      </c>
      <c r="AJ46" s="58"/>
    </row>
    <row r="47" spans="1:36" ht="16" thickBot="1">
      <c r="A47" s="61">
        <v>4</v>
      </c>
      <c r="B47" s="39">
        <f>資料儲存!D2915</f>
        <v>0</v>
      </c>
      <c r="C47" s="39">
        <f>資料儲存!E2915</f>
        <v>0</v>
      </c>
      <c r="D47" s="39">
        <f>資料儲存!F2915</f>
        <v>0</v>
      </c>
      <c r="E47" s="39">
        <f>資料儲存!G2915</f>
        <v>0</v>
      </c>
      <c r="F47" s="39">
        <f>資料儲存!H2915</f>
        <v>0</v>
      </c>
      <c r="G47" s="39">
        <f>資料儲存!I2915</f>
        <v>0</v>
      </c>
      <c r="H47" s="39">
        <f>資料儲存!J2915</f>
        <v>0</v>
      </c>
      <c r="I47" s="58"/>
      <c r="J47" s="61">
        <v>4</v>
      </c>
      <c r="K47" s="39">
        <f>資料儲存!D2975</f>
        <v>0</v>
      </c>
      <c r="L47" s="39">
        <f>資料儲存!E2975</f>
        <v>0</v>
      </c>
      <c r="M47" s="39">
        <f>資料儲存!F2975</f>
        <v>0</v>
      </c>
      <c r="N47" s="39">
        <f>資料儲存!G2975</f>
        <v>0</v>
      </c>
      <c r="O47" s="39">
        <f>資料儲存!H2975</f>
        <v>0</v>
      </c>
      <c r="P47" s="39">
        <f>資料儲存!I2975</f>
        <v>0</v>
      </c>
      <c r="Q47" s="39">
        <f>資料儲存!J2975</f>
        <v>0</v>
      </c>
      <c r="R47" s="58"/>
      <c r="S47" s="61">
        <v>4</v>
      </c>
      <c r="T47" s="39">
        <f>資料儲存!D3035</f>
        <v>0</v>
      </c>
      <c r="U47" s="39">
        <f>資料儲存!E3035</f>
        <v>0</v>
      </c>
      <c r="V47" s="39">
        <f>資料儲存!F3035</f>
        <v>0</v>
      </c>
      <c r="W47" s="39">
        <f>資料儲存!G3035</f>
        <v>0</v>
      </c>
      <c r="X47" s="39">
        <f>資料儲存!H3035</f>
        <v>0</v>
      </c>
      <c r="Y47" s="39">
        <f>資料儲存!I3035</f>
        <v>0</v>
      </c>
      <c r="Z47" s="39">
        <f>資料儲存!J3035</f>
        <v>0</v>
      </c>
      <c r="AA47" s="58"/>
      <c r="AB47" s="61">
        <v>4</v>
      </c>
      <c r="AC47" s="39">
        <f>資料儲存!D3095</f>
        <v>0</v>
      </c>
      <c r="AD47" s="39">
        <f>資料儲存!E3095</f>
        <v>0</v>
      </c>
      <c r="AE47" s="39">
        <f>資料儲存!F3095</f>
        <v>0</v>
      </c>
      <c r="AF47" s="39">
        <f>資料儲存!G3095</f>
        <v>0</v>
      </c>
      <c r="AG47" s="39">
        <f>資料儲存!H3095</f>
        <v>0</v>
      </c>
      <c r="AH47" s="39">
        <f>資料儲存!I3095</f>
        <v>0</v>
      </c>
      <c r="AI47" s="39">
        <f>資料儲存!J3095</f>
        <v>0</v>
      </c>
      <c r="AJ47" s="58"/>
    </row>
    <row r="48" spans="1:36" ht="16" thickBot="1">
      <c r="A48" s="61">
        <v>5</v>
      </c>
      <c r="B48" s="39">
        <f>資料儲存!D2916</f>
        <v>0</v>
      </c>
      <c r="C48" s="39">
        <f>資料儲存!E2916</f>
        <v>0</v>
      </c>
      <c r="D48" s="39">
        <f>資料儲存!F2916</f>
        <v>0</v>
      </c>
      <c r="E48" s="39">
        <f>資料儲存!G2916</f>
        <v>0</v>
      </c>
      <c r="F48" s="39">
        <f>資料儲存!H2916</f>
        <v>0</v>
      </c>
      <c r="G48" s="39">
        <f>資料儲存!I2916</f>
        <v>0</v>
      </c>
      <c r="H48" s="39">
        <f>資料儲存!J2916</f>
        <v>0</v>
      </c>
      <c r="I48" s="58"/>
      <c r="J48" s="61">
        <v>5</v>
      </c>
      <c r="K48" s="39">
        <f>資料儲存!D2976</f>
        <v>0</v>
      </c>
      <c r="L48" s="39">
        <f>資料儲存!E2976</f>
        <v>0</v>
      </c>
      <c r="M48" s="39">
        <f>資料儲存!F2976</f>
        <v>0</v>
      </c>
      <c r="N48" s="39">
        <f>資料儲存!G2976</f>
        <v>0</v>
      </c>
      <c r="O48" s="39">
        <f>資料儲存!H2976</f>
        <v>0</v>
      </c>
      <c r="P48" s="39">
        <f>資料儲存!I2976</f>
        <v>0</v>
      </c>
      <c r="Q48" s="39">
        <f>資料儲存!J2976</f>
        <v>0</v>
      </c>
      <c r="R48" s="58"/>
      <c r="S48" s="61">
        <v>5</v>
      </c>
      <c r="T48" s="39">
        <f>資料儲存!D3036</f>
        <v>0</v>
      </c>
      <c r="U48" s="39">
        <f>資料儲存!E3036</f>
        <v>0</v>
      </c>
      <c r="V48" s="39">
        <f>資料儲存!F3036</f>
        <v>0</v>
      </c>
      <c r="W48" s="39">
        <f>資料儲存!G3036</f>
        <v>0</v>
      </c>
      <c r="X48" s="39">
        <f>資料儲存!H3036</f>
        <v>0</v>
      </c>
      <c r="Y48" s="39">
        <f>資料儲存!I3036</f>
        <v>0</v>
      </c>
      <c r="Z48" s="39">
        <f>資料儲存!J3036</f>
        <v>0</v>
      </c>
      <c r="AA48" s="58"/>
      <c r="AB48" s="61">
        <v>5</v>
      </c>
      <c r="AC48" s="39">
        <f>資料儲存!D3096</f>
        <v>0</v>
      </c>
      <c r="AD48" s="39">
        <f>資料儲存!E3096</f>
        <v>0</v>
      </c>
      <c r="AE48" s="39">
        <f>資料儲存!F3096</f>
        <v>0</v>
      </c>
      <c r="AF48" s="39">
        <f>資料儲存!G3096</f>
        <v>0</v>
      </c>
      <c r="AG48" s="39">
        <f>資料儲存!H3096</f>
        <v>0</v>
      </c>
      <c r="AH48" s="39">
        <f>資料儲存!I3096</f>
        <v>0</v>
      </c>
      <c r="AI48" s="39">
        <f>資料儲存!J3096</f>
        <v>0</v>
      </c>
      <c r="AJ48" s="58"/>
    </row>
    <row r="49" spans="1:36" ht="16" thickBot="1">
      <c r="A49" s="61">
        <v>6</v>
      </c>
      <c r="B49" s="39">
        <f>資料儲存!D2917</f>
        <v>0</v>
      </c>
      <c r="C49" s="39">
        <f>資料儲存!E2917</f>
        <v>0</v>
      </c>
      <c r="D49" s="39">
        <f>資料儲存!F2917</f>
        <v>0</v>
      </c>
      <c r="E49" s="39">
        <f>資料儲存!G2917</f>
        <v>0</v>
      </c>
      <c r="F49" s="39">
        <f>資料儲存!H2917</f>
        <v>0</v>
      </c>
      <c r="G49" s="39">
        <f>資料儲存!I2917</f>
        <v>0</v>
      </c>
      <c r="H49" s="39">
        <f>資料儲存!J2917</f>
        <v>0</v>
      </c>
      <c r="I49" s="58"/>
      <c r="J49" s="61">
        <v>6</v>
      </c>
      <c r="K49" s="39">
        <f>資料儲存!D2977</f>
        <v>0</v>
      </c>
      <c r="L49" s="39">
        <f>資料儲存!E2977</f>
        <v>0</v>
      </c>
      <c r="M49" s="39">
        <f>資料儲存!F2977</f>
        <v>0</v>
      </c>
      <c r="N49" s="39">
        <f>資料儲存!G2977</f>
        <v>0</v>
      </c>
      <c r="O49" s="39">
        <f>資料儲存!H2977</f>
        <v>0</v>
      </c>
      <c r="P49" s="39">
        <f>資料儲存!I2977</f>
        <v>0</v>
      </c>
      <c r="Q49" s="39">
        <f>資料儲存!J2977</f>
        <v>0</v>
      </c>
      <c r="R49" s="58"/>
      <c r="S49" s="61">
        <v>6</v>
      </c>
      <c r="T49" s="39">
        <f>資料儲存!D3037</f>
        <v>0</v>
      </c>
      <c r="U49" s="39">
        <f>資料儲存!E3037</f>
        <v>0</v>
      </c>
      <c r="V49" s="39">
        <f>資料儲存!F3037</f>
        <v>0</v>
      </c>
      <c r="W49" s="39">
        <f>資料儲存!G3037</f>
        <v>0</v>
      </c>
      <c r="X49" s="39">
        <f>資料儲存!H3037</f>
        <v>0</v>
      </c>
      <c r="Y49" s="39">
        <f>資料儲存!I3037</f>
        <v>0</v>
      </c>
      <c r="Z49" s="39">
        <f>資料儲存!J3037</f>
        <v>0</v>
      </c>
      <c r="AA49" s="58"/>
      <c r="AB49" s="61">
        <v>6</v>
      </c>
      <c r="AC49" s="39">
        <f>資料儲存!D3097</f>
        <v>0</v>
      </c>
      <c r="AD49" s="39">
        <f>資料儲存!E3097</f>
        <v>0</v>
      </c>
      <c r="AE49" s="39">
        <f>資料儲存!F3097</f>
        <v>0</v>
      </c>
      <c r="AF49" s="39">
        <f>資料儲存!G3097</f>
        <v>0</v>
      </c>
      <c r="AG49" s="39">
        <f>資料儲存!H3097</f>
        <v>0</v>
      </c>
      <c r="AH49" s="39">
        <f>資料儲存!I3097</f>
        <v>0</v>
      </c>
      <c r="AI49" s="39">
        <f>資料儲存!J3097</f>
        <v>0</v>
      </c>
      <c r="AJ49" s="58"/>
    </row>
    <row r="50" spans="1:36" ht="16" thickBot="1">
      <c r="A50" s="61">
        <v>7</v>
      </c>
      <c r="B50" s="39">
        <f>資料儲存!D2918</f>
        <v>0</v>
      </c>
      <c r="C50" s="39">
        <f>資料儲存!E2918</f>
        <v>0</v>
      </c>
      <c r="D50" s="39">
        <f>資料儲存!F2918</f>
        <v>0</v>
      </c>
      <c r="E50" s="39">
        <f>資料儲存!G2918</f>
        <v>0</v>
      </c>
      <c r="F50" s="39">
        <f>資料儲存!H2918</f>
        <v>0</v>
      </c>
      <c r="G50" s="39">
        <f>資料儲存!I2918</f>
        <v>0</v>
      </c>
      <c r="H50" s="39">
        <f>資料儲存!J2918</f>
        <v>0</v>
      </c>
      <c r="I50" s="58"/>
      <c r="J50" s="61">
        <v>7</v>
      </c>
      <c r="K50" s="39">
        <f>資料儲存!D2978</f>
        <v>0</v>
      </c>
      <c r="L50" s="39">
        <f>資料儲存!E2978</f>
        <v>0</v>
      </c>
      <c r="M50" s="39">
        <f>資料儲存!F2978</f>
        <v>0</v>
      </c>
      <c r="N50" s="39">
        <f>資料儲存!G2978</f>
        <v>0</v>
      </c>
      <c r="O50" s="39">
        <f>資料儲存!H2978</f>
        <v>0</v>
      </c>
      <c r="P50" s="39">
        <f>資料儲存!I2978</f>
        <v>0</v>
      </c>
      <c r="Q50" s="39">
        <f>資料儲存!J2978</f>
        <v>0</v>
      </c>
      <c r="R50" s="58"/>
      <c r="S50" s="61">
        <v>7</v>
      </c>
      <c r="T50" s="39">
        <f>資料儲存!D3038</f>
        <v>0</v>
      </c>
      <c r="U50" s="39">
        <f>資料儲存!E3038</f>
        <v>0</v>
      </c>
      <c r="V50" s="39">
        <f>資料儲存!F3038</f>
        <v>0</v>
      </c>
      <c r="W50" s="39">
        <f>資料儲存!G3038</f>
        <v>0</v>
      </c>
      <c r="X50" s="39">
        <f>資料儲存!H3038</f>
        <v>0</v>
      </c>
      <c r="Y50" s="39">
        <f>資料儲存!I3038</f>
        <v>0</v>
      </c>
      <c r="Z50" s="39">
        <f>資料儲存!J3038</f>
        <v>0</v>
      </c>
      <c r="AA50" s="58"/>
      <c r="AB50" s="61">
        <v>7</v>
      </c>
      <c r="AC50" s="39">
        <f>資料儲存!D3098</f>
        <v>0</v>
      </c>
      <c r="AD50" s="39">
        <f>資料儲存!E3098</f>
        <v>0</v>
      </c>
      <c r="AE50" s="39">
        <f>資料儲存!F3098</f>
        <v>0</v>
      </c>
      <c r="AF50" s="39">
        <f>資料儲存!G3098</f>
        <v>0</v>
      </c>
      <c r="AG50" s="39">
        <f>資料儲存!H3098</f>
        <v>0</v>
      </c>
      <c r="AH50" s="39">
        <f>資料儲存!I3098</f>
        <v>0</v>
      </c>
      <c r="AI50" s="39">
        <f>資料儲存!J3098</f>
        <v>0</v>
      </c>
      <c r="AJ50" s="58"/>
    </row>
    <row r="51" spans="1:36" ht="16" thickBot="1">
      <c r="A51" s="61">
        <v>8</v>
      </c>
      <c r="B51" s="39">
        <f>資料儲存!D2919</f>
        <v>0</v>
      </c>
      <c r="C51" s="39">
        <f>資料儲存!E2919</f>
        <v>0</v>
      </c>
      <c r="D51" s="39">
        <f>資料儲存!F2919</f>
        <v>0</v>
      </c>
      <c r="E51" s="39">
        <f>資料儲存!G2919</f>
        <v>0</v>
      </c>
      <c r="F51" s="39">
        <f>資料儲存!H2919</f>
        <v>0</v>
      </c>
      <c r="G51" s="39">
        <f>資料儲存!I2919</f>
        <v>0</v>
      </c>
      <c r="H51" s="39">
        <f>資料儲存!J2919</f>
        <v>0</v>
      </c>
      <c r="I51" s="58"/>
      <c r="J51" s="61">
        <v>8</v>
      </c>
      <c r="K51" s="39">
        <f>資料儲存!D2979</f>
        <v>0</v>
      </c>
      <c r="L51" s="39">
        <f>資料儲存!E2979</f>
        <v>0</v>
      </c>
      <c r="M51" s="39">
        <f>資料儲存!F2979</f>
        <v>0</v>
      </c>
      <c r="N51" s="39">
        <f>資料儲存!G2979</f>
        <v>0</v>
      </c>
      <c r="O51" s="39">
        <f>資料儲存!H2979</f>
        <v>0</v>
      </c>
      <c r="P51" s="39">
        <f>資料儲存!I2979</f>
        <v>0</v>
      </c>
      <c r="Q51" s="39">
        <f>資料儲存!J2979</f>
        <v>0</v>
      </c>
      <c r="R51" s="58"/>
      <c r="S51" s="61">
        <v>8</v>
      </c>
      <c r="T51" s="39">
        <f>資料儲存!D3039</f>
        <v>0</v>
      </c>
      <c r="U51" s="39">
        <f>資料儲存!E3039</f>
        <v>0</v>
      </c>
      <c r="V51" s="39">
        <f>資料儲存!F3039</f>
        <v>0</v>
      </c>
      <c r="W51" s="39">
        <f>資料儲存!G3039</f>
        <v>0</v>
      </c>
      <c r="X51" s="39">
        <f>資料儲存!H3039</f>
        <v>0</v>
      </c>
      <c r="Y51" s="39">
        <f>資料儲存!I3039</f>
        <v>0</v>
      </c>
      <c r="Z51" s="39">
        <f>資料儲存!J3039</f>
        <v>0</v>
      </c>
      <c r="AA51" s="58"/>
      <c r="AB51" s="61">
        <v>8</v>
      </c>
      <c r="AC51" s="39">
        <f>資料儲存!D3099</f>
        <v>0</v>
      </c>
      <c r="AD51" s="39">
        <f>資料儲存!E3099</f>
        <v>0</v>
      </c>
      <c r="AE51" s="39">
        <f>資料儲存!F3099</f>
        <v>0</v>
      </c>
      <c r="AF51" s="39">
        <f>資料儲存!G3099</f>
        <v>0</v>
      </c>
      <c r="AG51" s="39">
        <f>資料儲存!H3099</f>
        <v>0</v>
      </c>
      <c r="AH51" s="39">
        <f>資料儲存!I3099</f>
        <v>0</v>
      </c>
      <c r="AI51" s="39">
        <f>資料儲存!J3099</f>
        <v>0</v>
      </c>
      <c r="AJ51" s="58"/>
    </row>
    <row r="52" spans="1:36" ht="16" thickBot="1">
      <c r="A52" s="61">
        <v>9</v>
      </c>
      <c r="B52" s="39">
        <f>資料儲存!D2920</f>
        <v>0</v>
      </c>
      <c r="C52" s="39">
        <f>資料儲存!E2920</f>
        <v>0</v>
      </c>
      <c r="D52" s="39">
        <f>資料儲存!F2920</f>
        <v>0</v>
      </c>
      <c r="E52" s="39">
        <f>資料儲存!G2920</f>
        <v>0</v>
      </c>
      <c r="F52" s="39">
        <f>資料儲存!H2920</f>
        <v>0</v>
      </c>
      <c r="G52" s="39">
        <f>資料儲存!I2920</f>
        <v>0</v>
      </c>
      <c r="H52" s="39">
        <f>資料儲存!J2920</f>
        <v>0</v>
      </c>
      <c r="I52" s="58"/>
      <c r="J52" s="61">
        <v>9</v>
      </c>
      <c r="K52" s="39">
        <f>資料儲存!D2980</f>
        <v>0</v>
      </c>
      <c r="L52" s="39">
        <f>資料儲存!E2980</f>
        <v>0</v>
      </c>
      <c r="M52" s="39">
        <f>資料儲存!F2980</f>
        <v>0</v>
      </c>
      <c r="N52" s="39">
        <f>資料儲存!G2980</f>
        <v>0</v>
      </c>
      <c r="O52" s="39">
        <f>資料儲存!H2980</f>
        <v>0</v>
      </c>
      <c r="P52" s="39">
        <f>資料儲存!I2980</f>
        <v>0</v>
      </c>
      <c r="Q52" s="39">
        <f>資料儲存!J2980</f>
        <v>0</v>
      </c>
      <c r="R52" s="58"/>
      <c r="S52" s="61">
        <v>9</v>
      </c>
      <c r="T52" s="39">
        <f>資料儲存!D3040</f>
        <v>0</v>
      </c>
      <c r="U52" s="39">
        <f>資料儲存!E3040</f>
        <v>0</v>
      </c>
      <c r="V52" s="39">
        <f>資料儲存!F3040</f>
        <v>0</v>
      </c>
      <c r="W52" s="39">
        <f>資料儲存!G3040</f>
        <v>0</v>
      </c>
      <c r="X52" s="39">
        <f>資料儲存!H3040</f>
        <v>0</v>
      </c>
      <c r="Y52" s="39">
        <f>資料儲存!I3040</f>
        <v>0</v>
      </c>
      <c r="Z52" s="39">
        <f>資料儲存!J3040</f>
        <v>0</v>
      </c>
      <c r="AA52" s="58"/>
      <c r="AB52" s="61">
        <v>9</v>
      </c>
      <c r="AC52" s="39">
        <f>資料儲存!D3100</f>
        <v>0</v>
      </c>
      <c r="AD52" s="39">
        <f>資料儲存!E3100</f>
        <v>0</v>
      </c>
      <c r="AE52" s="39">
        <f>資料儲存!F3100</f>
        <v>0</v>
      </c>
      <c r="AF52" s="39">
        <f>資料儲存!G3100</f>
        <v>0</v>
      </c>
      <c r="AG52" s="39">
        <f>資料儲存!H3100</f>
        <v>0</v>
      </c>
      <c r="AH52" s="39">
        <f>資料儲存!I3100</f>
        <v>0</v>
      </c>
      <c r="AI52" s="39">
        <f>資料儲存!J3100</f>
        <v>0</v>
      </c>
      <c r="AJ52" s="58"/>
    </row>
    <row r="53" spans="1:36" ht="16" thickBot="1">
      <c r="A53" s="61">
        <v>10</v>
      </c>
      <c r="B53" s="39">
        <f>資料儲存!D2921</f>
        <v>0</v>
      </c>
      <c r="C53" s="39">
        <f>資料儲存!E2921</f>
        <v>0</v>
      </c>
      <c r="D53" s="39">
        <f>資料儲存!F2921</f>
        <v>0</v>
      </c>
      <c r="E53" s="39">
        <f>資料儲存!G2921</f>
        <v>0</v>
      </c>
      <c r="F53" s="39">
        <f>資料儲存!H2921</f>
        <v>0</v>
      </c>
      <c r="G53" s="39">
        <f>資料儲存!I2921</f>
        <v>0</v>
      </c>
      <c r="H53" s="39">
        <f>資料儲存!J2921</f>
        <v>0</v>
      </c>
      <c r="I53" s="58"/>
      <c r="J53" s="61">
        <v>10</v>
      </c>
      <c r="K53" s="39">
        <f>資料儲存!D2981</f>
        <v>0</v>
      </c>
      <c r="L53" s="39">
        <f>資料儲存!E2981</f>
        <v>0</v>
      </c>
      <c r="M53" s="39">
        <f>資料儲存!F2981</f>
        <v>0</v>
      </c>
      <c r="N53" s="39">
        <f>資料儲存!G2981</f>
        <v>0</v>
      </c>
      <c r="O53" s="39">
        <f>資料儲存!H2981</f>
        <v>0</v>
      </c>
      <c r="P53" s="39">
        <f>資料儲存!I2981</f>
        <v>0</v>
      </c>
      <c r="Q53" s="39">
        <f>資料儲存!J2981</f>
        <v>0</v>
      </c>
      <c r="R53" s="58"/>
      <c r="S53" s="61">
        <v>10</v>
      </c>
      <c r="T53" s="39">
        <f>資料儲存!D3041</f>
        <v>0</v>
      </c>
      <c r="U53" s="39">
        <f>資料儲存!E3041</f>
        <v>0</v>
      </c>
      <c r="V53" s="39">
        <f>資料儲存!F3041</f>
        <v>0</v>
      </c>
      <c r="W53" s="39">
        <f>資料儲存!G3041</f>
        <v>0</v>
      </c>
      <c r="X53" s="39">
        <f>資料儲存!H3041</f>
        <v>0</v>
      </c>
      <c r="Y53" s="39">
        <f>資料儲存!I3041</f>
        <v>0</v>
      </c>
      <c r="Z53" s="39">
        <f>資料儲存!J3041</f>
        <v>0</v>
      </c>
      <c r="AA53" s="58"/>
      <c r="AB53" s="61">
        <v>10</v>
      </c>
      <c r="AC53" s="39">
        <f>資料儲存!D3101</f>
        <v>0</v>
      </c>
      <c r="AD53" s="39">
        <f>資料儲存!E3101</f>
        <v>0</v>
      </c>
      <c r="AE53" s="39">
        <f>資料儲存!F3101</f>
        <v>0</v>
      </c>
      <c r="AF53" s="39">
        <f>資料儲存!G3101</f>
        <v>0</v>
      </c>
      <c r="AG53" s="39">
        <f>資料儲存!H3101</f>
        <v>0</v>
      </c>
      <c r="AH53" s="39">
        <f>資料儲存!I3101</f>
        <v>0</v>
      </c>
      <c r="AI53" s="39">
        <f>資料儲存!J3101</f>
        <v>0</v>
      </c>
      <c r="AJ53" s="58"/>
    </row>
    <row r="54" spans="1:36" ht="16" thickBot="1">
      <c r="A54" s="61">
        <v>11</v>
      </c>
      <c r="B54" s="39">
        <f>資料儲存!D2922</f>
        <v>0</v>
      </c>
      <c r="C54" s="39">
        <f>資料儲存!E2922</f>
        <v>0</v>
      </c>
      <c r="D54" s="39">
        <f>資料儲存!F2922</f>
        <v>0</v>
      </c>
      <c r="E54" s="39">
        <f>資料儲存!G2922</f>
        <v>0</v>
      </c>
      <c r="F54" s="39">
        <f>資料儲存!H2922</f>
        <v>0</v>
      </c>
      <c r="G54" s="39">
        <f>資料儲存!I2922</f>
        <v>0</v>
      </c>
      <c r="H54" s="39">
        <f>資料儲存!J2922</f>
        <v>0</v>
      </c>
      <c r="I54" s="58"/>
      <c r="J54" s="61">
        <v>11</v>
      </c>
      <c r="K54" s="39">
        <f>資料儲存!D2982</f>
        <v>0</v>
      </c>
      <c r="L54" s="39">
        <f>資料儲存!E2982</f>
        <v>0</v>
      </c>
      <c r="M54" s="39">
        <f>資料儲存!F2982</f>
        <v>0</v>
      </c>
      <c r="N54" s="39">
        <f>資料儲存!G2982</f>
        <v>0</v>
      </c>
      <c r="O54" s="39">
        <f>資料儲存!H2982</f>
        <v>0</v>
      </c>
      <c r="P54" s="39">
        <f>資料儲存!I2982</f>
        <v>0</v>
      </c>
      <c r="Q54" s="39">
        <f>資料儲存!J2982</f>
        <v>0</v>
      </c>
      <c r="R54" s="58"/>
      <c r="S54" s="61">
        <v>11</v>
      </c>
      <c r="T54" s="39">
        <f>資料儲存!D3042</f>
        <v>0</v>
      </c>
      <c r="U54" s="39">
        <f>資料儲存!E3042</f>
        <v>0</v>
      </c>
      <c r="V54" s="39">
        <f>資料儲存!F3042</f>
        <v>0</v>
      </c>
      <c r="W54" s="39">
        <f>資料儲存!G3042</f>
        <v>0</v>
      </c>
      <c r="X54" s="39">
        <f>資料儲存!H3042</f>
        <v>0</v>
      </c>
      <c r="Y54" s="39">
        <f>資料儲存!I3042</f>
        <v>0</v>
      </c>
      <c r="Z54" s="39">
        <f>資料儲存!J3042</f>
        <v>0</v>
      </c>
      <c r="AA54" s="58"/>
      <c r="AB54" s="61">
        <v>11</v>
      </c>
      <c r="AC54" s="39">
        <f>資料儲存!D3102</f>
        <v>0</v>
      </c>
      <c r="AD54" s="39">
        <f>資料儲存!E3102</f>
        <v>0</v>
      </c>
      <c r="AE54" s="39">
        <f>資料儲存!F3102</f>
        <v>0</v>
      </c>
      <c r="AF54" s="39">
        <f>資料儲存!G3102</f>
        <v>0</v>
      </c>
      <c r="AG54" s="39">
        <f>資料儲存!H3102</f>
        <v>0</v>
      </c>
      <c r="AH54" s="39">
        <f>資料儲存!I3102</f>
        <v>0</v>
      </c>
      <c r="AI54" s="39">
        <f>資料儲存!J3102</f>
        <v>0</v>
      </c>
      <c r="AJ54" s="58"/>
    </row>
    <row r="55" spans="1:36" ht="16" thickBot="1">
      <c r="A55" s="61">
        <v>12</v>
      </c>
      <c r="B55" s="39">
        <f>資料儲存!D2923</f>
        <v>0</v>
      </c>
      <c r="C55" s="39">
        <f>資料儲存!E2923</f>
        <v>0</v>
      </c>
      <c r="D55" s="39">
        <f>資料儲存!F2923</f>
        <v>0</v>
      </c>
      <c r="E55" s="39">
        <f>資料儲存!G2923</f>
        <v>0</v>
      </c>
      <c r="F55" s="39">
        <f>資料儲存!H2923</f>
        <v>0</v>
      </c>
      <c r="G55" s="39">
        <f>資料儲存!I2923</f>
        <v>0</v>
      </c>
      <c r="H55" s="39">
        <f>資料儲存!J2923</f>
        <v>0</v>
      </c>
      <c r="I55" s="58"/>
      <c r="J55" s="61">
        <v>12</v>
      </c>
      <c r="K55" s="39">
        <f>資料儲存!D2983</f>
        <v>0</v>
      </c>
      <c r="L55" s="39">
        <f>資料儲存!E2983</f>
        <v>0</v>
      </c>
      <c r="M55" s="39">
        <f>資料儲存!F2983</f>
        <v>0</v>
      </c>
      <c r="N55" s="39">
        <f>資料儲存!G2983</f>
        <v>0</v>
      </c>
      <c r="O55" s="39">
        <f>資料儲存!H2983</f>
        <v>0</v>
      </c>
      <c r="P55" s="39">
        <f>資料儲存!I2983</f>
        <v>0</v>
      </c>
      <c r="Q55" s="39">
        <f>資料儲存!J2983</f>
        <v>0</v>
      </c>
      <c r="R55" s="58"/>
      <c r="S55" s="61">
        <v>12</v>
      </c>
      <c r="T55" s="39">
        <f>資料儲存!D3043</f>
        <v>0</v>
      </c>
      <c r="U55" s="39">
        <f>資料儲存!E3043</f>
        <v>0</v>
      </c>
      <c r="V55" s="39">
        <f>資料儲存!F3043</f>
        <v>0</v>
      </c>
      <c r="W55" s="39">
        <f>資料儲存!G3043</f>
        <v>0</v>
      </c>
      <c r="X55" s="39">
        <f>資料儲存!H3043</f>
        <v>0</v>
      </c>
      <c r="Y55" s="39">
        <f>資料儲存!I3043</f>
        <v>0</v>
      </c>
      <c r="Z55" s="39">
        <f>資料儲存!J3043</f>
        <v>0</v>
      </c>
      <c r="AA55" s="58"/>
      <c r="AB55" s="61">
        <v>12</v>
      </c>
      <c r="AC55" s="39">
        <f>資料儲存!D3103</f>
        <v>0</v>
      </c>
      <c r="AD55" s="39">
        <f>資料儲存!E3103</f>
        <v>0</v>
      </c>
      <c r="AE55" s="39">
        <f>資料儲存!F3103</f>
        <v>0</v>
      </c>
      <c r="AF55" s="39">
        <f>資料儲存!G3103</f>
        <v>0</v>
      </c>
      <c r="AG55" s="39">
        <f>資料儲存!H3103</f>
        <v>0</v>
      </c>
      <c r="AH55" s="39">
        <f>資料儲存!I3103</f>
        <v>0</v>
      </c>
      <c r="AI55" s="39">
        <f>資料儲存!J3103</f>
        <v>0</v>
      </c>
      <c r="AJ55" s="58"/>
    </row>
    <row r="56" spans="1:36" ht="16" thickBot="1">
      <c r="A56" s="61">
        <v>13</v>
      </c>
      <c r="B56" s="39">
        <f>資料儲存!D2924</f>
        <v>0</v>
      </c>
      <c r="C56" s="39">
        <f>資料儲存!E2924</f>
        <v>0</v>
      </c>
      <c r="D56" s="39">
        <f>資料儲存!F2924</f>
        <v>0</v>
      </c>
      <c r="E56" s="39">
        <f>資料儲存!G2924</f>
        <v>0</v>
      </c>
      <c r="F56" s="39">
        <f>資料儲存!H2924</f>
        <v>0</v>
      </c>
      <c r="G56" s="39">
        <f>資料儲存!I2924</f>
        <v>0</v>
      </c>
      <c r="H56" s="39">
        <f>資料儲存!J2924</f>
        <v>0</v>
      </c>
      <c r="I56" s="58"/>
      <c r="J56" s="61">
        <v>13</v>
      </c>
      <c r="K56" s="39">
        <f>資料儲存!D2984</f>
        <v>0</v>
      </c>
      <c r="L56" s="39">
        <f>資料儲存!E2984</f>
        <v>0</v>
      </c>
      <c r="M56" s="39">
        <f>資料儲存!F2984</f>
        <v>0</v>
      </c>
      <c r="N56" s="39">
        <f>資料儲存!G2984</f>
        <v>0</v>
      </c>
      <c r="O56" s="39">
        <f>資料儲存!H2984</f>
        <v>0</v>
      </c>
      <c r="P56" s="39">
        <f>資料儲存!I2984</f>
        <v>0</v>
      </c>
      <c r="Q56" s="39">
        <f>資料儲存!J2984</f>
        <v>0</v>
      </c>
      <c r="R56" s="58"/>
      <c r="S56" s="61">
        <v>13</v>
      </c>
      <c r="T56" s="39">
        <f>資料儲存!D3044</f>
        <v>0</v>
      </c>
      <c r="U56" s="39">
        <f>資料儲存!E3044</f>
        <v>0</v>
      </c>
      <c r="V56" s="39">
        <f>資料儲存!F3044</f>
        <v>0</v>
      </c>
      <c r="W56" s="39">
        <f>資料儲存!G3044</f>
        <v>0</v>
      </c>
      <c r="X56" s="39">
        <f>資料儲存!H3044</f>
        <v>0</v>
      </c>
      <c r="Y56" s="39">
        <f>資料儲存!I3044</f>
        <v>0</v>
      </c>
      <c r="Z56" s="39">
        <f>資料儲存!J3044</f>
        <v>0</v>
      </c>
      <c r="AA56" s="58"/>
      <c r="AB56" s="61">
        <v>13</v>
      </c>
      <c r="AC56" s="39">
        <f>資料儲存!D3104</f>
        <v>0</v>
      </c>
      <c r="AD56" s="39">
        <f>資料儲存!E3104</f>
        <v>0</v>
      </c>
      <c r="AE56" s="39">
        <f>資料儲存!F3104</f>
        <v>0</v>
      </c>
      <c r="AF56" s="39">
        <f>資料儲存!G3104</f>
        <v>0</v>
      </c>
      <c r="AG56" s="39">
        <f>資料儲存!H3104</f>
        <v>0</v>
      </c>
      <c r="AH56" s="39">
        <f>資料儲存!I3104</f>
        <v>0</v>
      </c>
      <c r="AI56" s="39">
        <f>資料儲存!J3104</f>
        <v>0</v>
      </c>
      <c r="AJ56" s="58"/>
    </row>
    <row r="57" spans="1:36" ht="16" thickBot="1">
      <c r="A57" s="61">
        <v>14</v>
      </c>
      <c r="B57" s="39">
        <f>資料儲存!D2925</f>
        <v>0</v>
      </c>
      <c r="C57" s="39">
        <f>資料儲存!E2925</f>
        <v>0</v>
      </c>
      <c r="D57" s="39">
        <f>資料儲存!F2925</f>
        <v>0</v>
      </c>
      <c r="E57" s="39">
        <f>資料儲存!G2925</f>
        <v>0</v>
      </c>
      <c r="F57" s="39">
        <f>資料儲存!H2925</f>
        <v>0</v>
      </c>
      <c r="G57" s="39">
        <f>資料儲存!I2925</f>
        <v>0</v>
      </c>
      <c r="H57" s="39">
        <f>資料儲存!J2925</f>
        <v>0</v>
      </c>
      <c r="I57" s="58"/>
      <c r="J57" s="61">
        <v>14</v>
      </c>
      <c r="K57" s="39">
        <f>資料儲存!D2985</f>
        <v>0</v>
      </c>
      <c r="L57" s="39">
        <f>資料儲存!E2985</f>
        <v>0</v>
      </c>
      <c r="M57" s="39">
        <f>資料儲存!F2985</f>
        <v>0</v>
      </c>
      <c r="N57" s="39">
        <f>資料儲存!G2985</f>
        <v>0</v>
      </c>
      <c r="O57" s="39">
        <f>資料儲存!H2985</f>
        <v>0</v>
      </c>
      <c r="P57" s="39">
        <f>資料儲存!I2985</f>
        <v>0</v>
      </c>
      <c r="Q57" s="39">
        <f>資料儲存!J2985</f>
        <v>0</v>
      </c>
      <c r="R57" s="58"/>
      <c r="S57" s="61">
        <v>14</v>
      </c>
      <c r="T57" s="39">
        <f>資料儲存!D3045</f>
        <v>0</v>
      </c>
      <c r="U57" s="39">
        <f>資料儲存!E3045</f>
        <v>0</v>
      </c>
      <c r="V57" s="39">
        <f>資料儲存!F3045</f>
        <v>0</v>
      </c>
      <c r="W57" s="39">
        <f>資料儲存!G3045</f>
        <v>0</v>
      </c>
      <c r="X57" s="39">
        <f>資料儲存!H3045</f>
        <v>0</v>
      </c>
      <c r="Y57" s="39">
        <f>資料儲存!I3045</f>
        <v>0</v>
      </c>
      <c r="Z57" s="39">
        <f>資料儲存!J3045</f>
        <v>0</v>
      </c>
      <c r="AA57" s="58"/>
      <c r="AB57" s="61">
        <v>14</v>
      </c>
      <c r="AC57" s="39">
        <f>資料儲存!D3105</f>
        <v>0</v>
      </c>
      <c r="AD57" s="39">
        <f>資料儲存!E3105</f>
        <v>0</v>
      </c>
      <c r="AE57" s="39">
        <f>資料儲存!F3105</f>
        <v>0</v>
      </c>
      <c r="AF57" s="39">
        <f>資料儲存!G3105</f>
        <v>0</v>
      </c>
      <c r="AG57" s="39">
        <f>資料儲存!H3105</f>
        <v>0</v>
      </c>
      <c r="AH57" s="39">
        <f>資料儲存!I3105</f>
        <v>0</v>
      </c>
      <c r="AI57" s="39">
        <f>資料儲存!J3105</f>
        <v>0</v>
      </c>
      <c r="AJ57" s="58"/>
    </row>
    <row r="58" spans="1:36" ht="16" thickBot="1">
      <c r="A58" s="61">
        <v>15</v>
      </c>
      <c r="B58" s="39">
        <f>資料儲存!D2926</f>
        <v>0</v>
      </c>
      <c r="C58" s="39">
        <f>資料儲存!E2926</f>
        <v>0</v>
      </c>
      <c r="D58" s="39">
        <f>資料儲存!F2926</f>
        <v>0</v>
      </c>
      <c r="E58" s="39">
        <f>資料儲存!G2926</f>
        <v>0</v>
      </c>
      <c r="F58" s="39">
        <f>資料儲存!H2926</f>
        <v>0</v>
      </c>
      <c r="G58" s="39">
        <f>資料儲存!I2926</f>
        <v>0</v>
      </c>
      <c r="H58" s="39">
        <f>資料儲存!J2926</f>
        <v>0</v>
      </c>
      <c r="I58" s="58"/>
      <c r="J58" s="61">
        <v>15</v>
      </c>
      <c r="K58" s="39">
        <f>資料儲存!D2986</f>
        <v>0</v>
      </c>
      <c r="L58" s="39">
        <f>資料儲存!E2986</f>
        <v>0</v>
      </c>
      <c r="M58" s="39">
        <f>資料儲存!F2986</f>
        <v>0</v>
      </c>
      <c r="N58" s="39">
        <f>資料儲存!G2986</f>
        <v>0</v>
      </c>
      <c r="O58" s="39">
        <f>資料儲存!H2986</f>
        <v>0</v>
      </c>
      <c r="P58" s="39">
        <f>資料儲存!I2986</f>
        <v>0</v>
      </c>
      <c r="Q58" s="39">
        <f>資料儲存!J2986</f>
        <v>0</v>
      </c>
      <c r="R58" s="58"/>
      <c r="S58" s="61">
        <v>15</v>
      </c>
      <c r="T58" s="39">
        <f>資料儲存!D3046</f>
        <v>0</v>
      </c>
      <c r="U58" s="39">
        <f>資料儲存!E3046</f>
        <v>0</v>
      </c>
      <c r="V58" s="39">
        <f>資料儲存!F3046</f>
        <v>0</v>
      </c>
      <c r="W58" s="39">
        <f>資料儲存!G3046</f>
        <v>0</v>
      </c>
      <c r="X58" s="39">
        <f>資料儲存!H3046</f>
        <v>0</v>
      </c>
      <c r="Y58" s="39">
        <f>資料儲存!I3046</f>
        <v>0</v>
      </c>
      <c r="Z58" s="39">
        <f>資料儲存!J3046</f>
        <v>0</v>
      </c>
      <c r="AA58" s="58"/>
      <c r="AB58" s="61">
        <v>15</v>
      </c>
      <c r="AC58" s="39">
        <f>資料儲存!D3106</f>
        <v>0</v>
      </c>
      <c r="AD58" s="39">
        <f>資料儲存!E3106</f>
        <v>0</v>
      </c>
      <c r="AE58" s="39">
        <f>資料儲存!F3106</f>
        <v>0</v>
      </c>
      <c r="AF58" s="39">
        <f>資料儲存!G3106</f>
        <v>0</v>
      </c>
      <c r="AG58" s="39">
        <f>資料儲存!H3106</f>
        <v>0</v>
      </c>
      <c r="AH58" s="39">
        <f>資料儲存!I3106</f>
        <v>0</v>
      </c>
      <c r="AI58" s="39">
        <f>資料儲存!J3106</f>
        <v>0</v>
      </c>
      <c r="AJ58" s="58"/>
    </row>
    <row r="59" spans="1:36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</row>
    <row r="60" spans="1:36" ht="18.5" thickBot="1">
      <c r="A60" s="259" t="s">
        <v>116</v>
      </c>
      <c r="B60" s="260"/>
      <c r="C60" s="260"/>
      <c r="D60" s="260"/>
      <c r="E60" s="260"/>
      <c r="F60" s="260"/>
      <c r="G60" s="260"/>
      <c r="H60" s="261"/>
      <c r="I60" s="14"/>
      <c r="J60" s="259" t="s">
        <v>116</v>
      </c>
      <c r="K60" s="260"/>
      <c r="L60" s="260"/>
      <c r="M60" s="260"/>
      <c r="N60" s="260"/>
      <c r="O60" s="260"/>
      <c r="P60" s="260"/>
      <c r="Q60" s="261"/>
      <c r="R60" s="14"/>
      <c r="S60" s="259" t="s">
        <v>116</v>
      </c>
      <c r="T60" s="260"/>
      <c r="U60" s="260"/>
      <c r="V60" s="260"/>
      <c r="W60" s="260"/>
      <c r="X60" s="260"/>
      <c r="Y60" s="260"/>
      <c r="Z60" s="261"/>
      <c r="AA60" s="14"/>
      <c r="AB60" s="259" t="s">
        <v>116</v>
      </c>
      <c r="AC60" s="260"/>
      <c r="AD60" s="260"/>
      <c r="AE60" s="260"/>
      <c r="AF60" s="260"/>
      <c r="AG60" s="260"/>
      <c r="AH60" s="260"/>
      <c r="AI60" s="261"/>
      <c r="AJ60" s="14"/>
    </row>
    <row r="61" spans="1:36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</row>
    <row r="62" spans="1:36" ht="16" thickBot="1">
      <c r="A62" s="66">
        <v>0.76041666666666663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>
        <v>0.76041666666666663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>
        <v>0.76041666666666663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>
        <v>0.76041666666666663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</row>
    <row r="63" spans="1:36" ht="16" thickBot="1">
      <c r="A63" s="68">
        <v>16</v>
      </c>
      <c r="B63" s="49">
        <f>資料儲存!D2927</f>
        <v>0</v>
      </c>
      <c r="C63" s="49">
        <f>資料儲存!E2927</f>
        <v>0</v>
      </c>
      <c r="D63" s="49">
        <f>資料儲存!F2927</f>
        <v>0</v>
      </c>
      <c r="E63" s="49">
        <f>資料儲存!G2927</f>
        <v>0</v>
      </c>
      <c r="F63" s="49">
        <f>資料儲存!H2927</f>
        <v>0</v>
      </c>
      <c r="G63" s="49">
        <f>資料儲存!I2927</f>
        <v>0</v>
      </c>
      <c r="H63" s="49">
        <f>資料儲存!J2927</f>
        <v>0</v>
      </c>
      <c r="I63" s="52"/>
      <c r="J63" s="68">
        <v>16</v>
      </c>
      <c r="K63" s="49">
        <f>資料儲存!D2987</f>
        <v>0</v>
      </c>
      <c r="L63" s="49">
        <f>資料儲存!E2987</f>
        <v>0</v>
      </c>
      <c r="M63" s="49">
        <f>資料儲存!F2987</f>
        <v>0</v>
      </c>
      <c r="N63" s="49">
        <f>資料儲存!G2987</f>
        <v>0</v>
      </c>
      <c r="O63" s="49">
        <f>資料儲存!H2987</f>
        <v>0</v>
      </c>
      <c r="P63" s="49">
        <f>資料儲存!I2987</f>
        <v>0</v>
      </c>
      <c r="Q63" s="49">
        <f>資料儲存!J2987</f>
        <v>0</v>
      </c>
      <c r="R63" s="52"/>
      <c r="S63" s="68">
        <v>16</v>
      </c>
      <c r="T63" s="49">
        <f>資料儲存!D3047</f>
        <v>0</v>
      </c>
      <c r="U63" s="49">
        <f>資料儲存!E3047</f>
        <v>0</v>
      </c>
      <c r="V63" s="49">
        <f>資料儲存!F3047</f>
        <v>0</v>
      </c>
      <c r="W63" s="49">
        <f>資料儲存!G3047</f>
        <v>0</v>
      </c>
      <c r="X63" s="49">
        <f>資料儲存!H3047</f>
        <v>0</v>
      </c>
      <c r="Y63" s="49">
        <f>資料儲存!I3047</f>
        <v>0</v>
      </c>
      <c r="Z63" s="49">
        <f>資料儲存!J3047</f>
        <v>0</v>
      </c>
      <c r="AA63" s="52"/>
      <c r="AB63" s="68">
        <v>16</v>
      </c>
      <c r="AC63" s="49">
        <f>資料儲存!D3107</f>
        <v>0</v>
      </c>
      <c r="AD63" s="49">
        <f>資料儲存!E3107</f>
        <v>0</v>
      </c>
      <c r="AE63" s="49">
        <f>資料儲存!F3107</f>
        <v>0</v>
      </c>
      <c r="AF63" s="49">
        <f>資料儲存!G3107</f>
        <v>0</v>
      </c>
      <c r="AG63" s="49">
        <f>資料儲存!H3107</f>
        <v>0</v>
      </c>
      <c r="AH63" s="49">
        <f>資料儲存!I3107</f>
        <v>0</v>
      </c>
      <c r="AI63" s="49">
        <f>資料儲存!J3107</f>
        <v>0</v>
      </c>
      <c r="AJ63" s="52"/>
    </row>
    <row r="64" spans="1:36" ht="16" thickBot="1">
      <c r="A64" s="68">
        <v>17</v>
      </c>
      <c r="B64" s="49">
        <f>資料儲存!D2928</f>
        <v>0</v>
      </c>
      <c r="C64" s="49">
        <f>資料儲存!E2928</f>
        <v>0</v>
      </c>
      <c r="D64" s="49">
        <f>資料儲存!F2928</f>
        <v>0</v>
      </c>
      <c r="E64" s="49">
        <f>資料儲存!G2928</f>
        <v>0</v>
      </c>
      <c r="F64" s="49">
        <f>資料儲存!H2928</f>
        <v>0</v>
      </c>
      <c r="G64" s="49">
        <f>資料儲存!I2928</f>
        <v>0</v>
      </c>
      <c r="H64" s="49">
        <f>資料儲存!J2928</f>
        <v>0</v>
      </c>
      <c r="I64" s="52"/>
      <c r="J64" s="68">
        <v>17</v>
      </c>
      <c r="K64" s="49">
        <f>資料儲存!D2988</f>
        <v>0</v>
      </c>
      <c r="L64" s="49">
        <f>資料儲存!E2988</f>
        <v>0</v>
      </c>
      <c r="M64" s="49">
        <f>資料儲存!F2988</f>
        <v>0</v>
      </c>
      <c r="N64" s="49">
        <f>資料儲存!G2988</f>
        <v>0</v>
      </c>
      <c r="O64" s="49">
        <f>資料儲存!H2988</f>
        <v>0</v>
      </c>
      <c r="P64" s="49">
        <f>資料儲存!I2988</f>
        <v>0</v>
      </c>
      <c r="Q64" s="49">
        <f>資料儲存!J2988</f>
        <v>0</v>
      </c>
      <c r="R64" s="52"/>
      <c r="S64" s="68">
        <v>17</v>
      </c>
      <c r="T64" s="49">
        <f>資料儲存!D3048</f>
        <v>0</v>
      </c>
      <c r="U64" s="49">
        <f>資料儲存!E3048</f>
        <v>0</v>
      </c>
      <c r="V64" s="49">
        <f>資料儲存!F3048</f>
        <v>0</v>
      </c>
      <c r="W64" s="49">
        <f>資料儲存!G3048</f>
        <v>0</v>
      </c>
      <c r="X64" s="49">
        <f>資料儲存!H3048</f>
        <v>0</v>
      </c>
      <c r="Y64" s="49">
        <f>資料儲存!I3048</f>
        <v>0</v>
      </c>
      <c r="Z64" s="49">
        <f>資料儲存!J3048</f>
        <v>0</v>
      </c>
      <c r="AA64" s="52"/>
      <c r="AB64" s="68">
        <v>17</v>
      </c>
      <c r="AC64" s="49">
        <f>資料儲存!D3108</f>
        <v>0</v>
      </c>
      <c r="AD64" s="49">
        <f>資料儲存!E3108</f>
        <v>0</v>
      </c>
      <c r="AE64" s="49">
        <f>資料儲存!F3108</f>
        <v>0</v>
      </c>
      <c r="AF64" s="49">
        <f>資料儲存!G3108</f>
        <v>0</v>
      </c>
      <c r="AG64" s="49">
        <f>資料儲存!H3108</f>
        <v>0</v>
      </c>
      <c r="AH64" s="49">
        <f>資料儲存!I3108</f>
        <v>0</v>
      </c>
      <c r="AI64" s="49">
        <f>資料儲存!J3108</f>
        <v>0</v>
      </c>
      <c r="AJ64" s="52"/>
    </row>
    <row r="65" spans="1:36" ht="16" thickBot="1">
      <c r="A65" s="68">
        <v>18</v>
      </c>
      <c r="B65" s="49">
        <f>資料儲存!D2929</f>
        <v>0</v>
      </c>
      <c r="C65" s="49">
        <f>資料儲存!E2929</f>
        <v>0</v>
      </c>
      <c r="D65" s="49">
        <f>資料儲存!F2929</f>
        <v>0</v>
      </c>
      <c r="E65" s="49">
        <f>資料儲存!G2929</f>
        <v>0</v>
      </c>
      <c r="F65" s="49">
        <f>資料儲存!H2929</f>
        <v>0</v>
      </c>
      <c r="G65" s="49">
        <f>資料儲存!I2929</f>
        <v>0</v>
      </c>
      <c r="H65" s="49">
        <f>資料儲存!J2929</f>
        <v>0</v>
      </c>
      <c r="I65" s="52"/>
      <c r="J65" s="68">
        <v>18</v>
      </c>
      <c r="K65" s="49">
        <f>資料儲存!D2989</f>
        <v>0</v>
      </c>
      <c r="L65" s="49">
        <f>資料儲存!E2989</f>
        <v>0</v>
      </c>
      <c r="M65" s="49">
        <f>資料儲存!F2989</f>
        <v>0</v>
      </c>
      <c r="N65" s="49">
        <f>資料儲存!G2989</f>
        <v>0</v>
      </c>
      <c r="O65" s="49">
        <f>資料儲存!H2989</f>
        <v>0</v>
      </c>
      <c r="P65" s="49">
        <f>資料儲存!I2989</f>
        <v>0</v>
      </c>
      <c r="Q65" s="49">
        <f>資料儲存!J2989</f>
        <v>0</v>
      </c>
      <c r="R65" s="52"/>
      <c r="S65" s="68">
        <v>18</v>
      </c>
      <c r="T65" s="49">
        <f>資料儲存!D3049</f>
        <v>0</v>
      </c>
      <c r="U65" s="49">
        <f>資料儲存!E3049</f>
        <v>0</v>
      </c>
      <c r="V65" s="49">
        <f>資料儲存!F3049</f>
        <v>0</v>
      </c>
      <c r="W65" s="49">
        <f>資料儲存!G3049</f>
        <v>0</v>
      </c>
      <c r="X65" s="49">
        <f>資料儲存!H3049</f>
        <v>0</v>
      </c>
      <c r="Y65" s="49">
        <f>資料儲存!I3049</f>
        <v>0</v>
      </c>
      <c r="Z65" s="49">
        <f>資料儲存!J3049</f>
        <v>0</v>
      </c>
      <c r="AA65" s="52"/>
      <c r="AB65" s="68">
        <v>18</v>
      </c>
      <c r="AC65" s="49">
        <f>資料儲存!D3109</f>
        <v>0</v>
      </c>
      <c r="AD65" s="49">
        <f>資料儲存!E3109</f>
        <v>0</v>
      </c>
      <c r="AE65" s="49">
        <f>資料儲存!F3109</f>
        <v>0</v>
      </c>
      <c r="AF65" s="49">
        <f>資料儲存!G3109</f>
        <v>0</v>
      </c>
      <c r="AG65" s="49">
        <f>資料儲存!H3109</f>
        <v>0</v>
      </c>
      <c r="AH65" s="49">
        <f>資料儲存!I3109</f>
        <v>0</v>
      </c>
      <c r="AI65" s="49">
        <f>資料儲存!J3109</f>
        <v>0</v>
      </c>
      <c r="AJ65" s="52"/>
    </row>
    <row r="66" spans="1:36" ht="16" thickBot="1">
      <c r="A66" s="68">
        <v>19</v>
      </c>
      <c r="B66" s="49">
        <f>資料儲存!D2930</f>
        <v>0</v>
      </c>
      <c r="C66" s="49">
        <f>資料儲存!E2930</f>
        <v>0</v>
      </c>
      <c r="D66" s="49">
        <f>資料儲存!F2930</f>
        <v>0</v>
      </c>
      <c r="E66" s="49">
        <f>資料儲存!G2930</f>
        <v>0</v>
      </c>
      <c r="F66" s="49">
        <f>資料儲存!H2930</f>
        <v>0</v>
      </c>
      <c r="G66" s="49">
        <f>資料儲存!I2930</f>
        <v>0</v>
      </c>
      <c r="H66" s="49">
        <f>資料儲存!J2930</f>
        <v>0</v>
      </c>
      <c r="I66" s="52"/>
      <c r="J66" s="68">
        <v>19</v>
      </c>
      <c r="K66" s="49">
        <f>資料儲存!D2990</f>
        <v>0</v>
      </c>
      <c r="L66" s="49">
        <f>資料儲存!E2990</f>
        <v>0</v>
      </c>
      <c r="M66" s="49">
        <f>資料儲存!F2990</f>
        <v>0</v>
      </c>
      <c r="N66" s="49">
        <f>資料儲存!G2990</f>
        <v>0</v>
      </c>
      <c r="O66" s="49">
        <f>資料儲存!H2990</f>
        <v>0</v>
      </c>
      <c r="P66" s="49">
        <f>資料儲存!I2990</f>
        <v>0</v>
      </c>
      <c r="Q66" s="49">
        <f>資料儲存!J2990</f>
        <v>0</v>
      </c>
      <c r="R66" s="52"/>
      <c r="S66" s="68">
        <v>19</v>
      </c>
      <c r="T66" s="49">
        <f>資料儲存!D3050</f>
        <v>0</v>
      </c>
      <c r="U66" s="49">
        <f>資料儲存!E3050</f>
        <v>0</v>
      </c>
      <c r="V66" s="49">
        <f>資料儲存!F3050</f>
        <v>0</v>
      </c>
      <c r="W66" s="49">
        <f>資料儲存!G3050</f>
        <v>0</v>
      </c>
      <c r="X66" s="49">
        <f>資料儲存!H3050</f>
        <v>0</v>
      </c>
      <c r="Y66" s="49">
        <f>資料儲存!I3050</f>
        <v>0</v>
      </c>
      <c r="Z66" s="49">
        <f>資料儲存!J3050</f>
        <v>0</v>
      </c>
      <c r="AA66" s="52"/>
      <c r="AB66" s="68">
        <v>19</v>
      </c>
      <c r="AC66" s="49">
        <f>資料儲存!D3110</f>
        <v>0</v>
      </c>
      <c r="AD66" s="49">
        <f>資料儲存!E3110</f>
        <v>0</v>
      </c>
      <c r="AE66" s="49">
        <f>資料儲存!F3110</f>
        <v>0</v>
      </c>
      <c r="AF66" s="49">
        <f>資料儲存!G3110</f>
        <v>0</v>
      </c>
      <c r="AG66" s="49">
        <f>資料儲存!H3110</f>
        <v>0</v>
      </c>
      <c r="AH66" s="49">
        <f>資料儲存!I3110</f>
        <v>0</v>
      </c>
      <c r="AI66" s="49">
        <f>資料儲存!J3110</f>
        <v>0</v>
      </c>
      <c r="AJ66" s="52"/>
    </row>
    <row r="67" spans="1:36" ht="16" thickBot="1">
      <c r="A67" s="68">
        <v>20</v>
      </c>
      <c r="B67" s="49">
        <f>資料儲存!D2931</f>
        <v>0</v>
      </c>
      <c r="C67" s="49">
        <f>資料儲存!E2931</f>
        <v>0</v>
      </c>
      <c r="D67" s="49">
        <f>資料儲存!F2931</f>
        <v>0</v>
      </c>
      <c r="E67" s="49">
        <f>資料儲存!G2931</f>
        <v>0</v>
      </c>
      <c r="F67" s="49">
        <f>資料儲存!H2931</f>
        <v>0</v>
      </c>
      <c r="G67" s="49">
        <f>資料儲存!I2931</f>
        <v>0</v>
      </c>
      <c r="H67" s="49">
        <f>資料儲存!J2931</f>
        <v>0</v>
      </c>
      <c r="I67" s="52"/>
      <c r="J67" s="68">
        <v>20</v>
      </c>
      <c r="K67" s="49">
        <f>資料儲存!D2991</f>
        <v>0</v>
      </c>
      <c r="L67" s="49">
        <f>資料儲存!E2991</f>
        <v>0</v>
      </c>
      <c r="M67" s="49">
        <f>資料儲存!F2991</f>
        <v>0</v>
      </c>
      <c r="N67" s="49">
        <f>資料儲存!G2991</f>
        <v>0</v>
      </c>
      <c r="O67" s="49">
        <f>資料儲存!H2991</f>
        <v>0</v>
      </c>
      <c r="P67" s="49">
        <f>資料儲存!I2991</f>
        <v>0</v>
      </c>
      <c r="Q67" s="49">
        <f>資料儲存!J2991</f>
        <v>0</v>
      </c>
      <c r="R67" s="52"/>
      <c r="S67" s="68">
        <v>20</v>
      </c>
      <c r="T67" s="49">
        <f>資料儲存!D3051</f>
        <v>0</v>
      </c>
      <c r="U67" s="49">
        <f>資料儲存!E3051</f>
        <v>0</v>
      </c>
      <c r="V67" s="49">
        <f>資料儲存!F3051</f>
        <v>0</v>
      </c>
      <c r="W67" s="49">
        <f>資料儲存!G3051</f>
        <v>0</v>
      </c>
      <c r="X67" s="49">
        <f>資料儲存!H3051</f>
        <v>0</v>
      </c>
      <c r="Y67" s="49">
        <f>資料儲存!I3051</f>
        <v>0</v>
      </c>
      <c r="Z67" s="49">
        <f>資料儲存!J3051</f>
        <v>0</v>
      </c>
      <c r="AA67" s="52"/>
      <c r="AB67" s="68">
        <v>20</v>
      </c>
      <c r="AC67" s="49">
        <f>資料儲存!D3111</f>
        <v>0</v>
      </c>
      <c r="AD67" s="49">
        <f>資料儲存!E3111</f>
        <v>0</v>
      </c>
      <c r="AE67" s="49">
        <f>資料儲存!F3111</f>
        <v>0</v>
      </c>
      <c r="AF67" s="49">
        <f>資料儲存!G3111</f>
        <v>0</v>
      </c>
      <c r="AG67" s="49">
        <f>資料儲存!H3111</f>
        <v>0</v>
      </c>
      <c r="AH67" s="49">
        <f>資料儲存!I3111</f>
        <v>0</v>
      </c>
      <c r="AI67" s="49">
        <f>資料儲存!J3111</f>
        <v>0</v>
      </c>
      <c r="AJ67" s="52"/>
    </row>
    <row r="68" spans="1:36" ht="16" thickBot="1">
      <c r="A68" s="68">
        <v>21</v>
      </c>
      <c r="B68" s="49">
        <f>資料儲存!D2932</f>
        <v>0</v>
      </c>
      <c r="C68" s="49">
        <f>資料儲存!E2932</f>
        <v>0</v>
      </c>
      <c r="D68" s="49">
        <f>資料儲存!F2932</f>
        <v>0</v>
      </c>
      <c r="E68" s="49">
        <f>資料儲存!G2932</f>
        <v>0</v>
      </c>
      <c r="F68" s="49">
        <f>資料儲存!H2932</f>
        <v>0</v>
      </c>
      <c r="G68" s="49">
        <f>資料儲存!I2932</f>
        <v>0</v>
      </c>
      <c r="H68" s="49">
        <f>資料儲存!J2932</f>
        <v>0</v>
      </c>
      <c r="I68" s="52"/>
      <c r="J68" s="68">
        <v>21</v>
      </c>
      <c r="K68" s="49">
        <f>資料儲存!D2992</f>
        <v>0</v>
      </c>
      <c r="L68" s="49">
        <f>資料儲存!E2992</f>
        <v>0</v>
      </c>
      <c r="M68" s="49">
        <f>資料儲存!F2992</f>
        <v>0</v>
      </c>
      <c r="N68" s="49">
        <f>資料儲存!G2992</f>
        <v>0</v>
      </c>
      <c r="O68" s="49">
        <f>資料儲存!H2992</f>
        <v>0</v>
      </c>
      <c r="P68" s="49">
        <f>資料儲存!I2992</f>
        <v>0</v>
      </c>
      <c r="Q68" s="49">
        <f>資料儲存!J2992</f>
        <v>0</v>
      </c>
      <c r="R68" s="52"/>
      <c r="S68" s="68">
        <v>21</v>
      </c>
      <c r="T68" s="49">
        <f>資料儲存!D3052</f>
        <v>0</v>
      </c>
      <c r="U68" s="49">
        <f>資料儲存!E3052</f>
        <v>0</v>
      </c>
      <c r="V68" s="49">
        <f>資料儲存!F3052</f>
        <v>0</v>
      </c>
      <c r="W68" s="49">
        <f>資料儲存!G3052</f>
        <v>0</v>
      </c>
      <c r="X68" s="49">
        <f>資料儲存!H3052</f>
        <v>0</v>
      </c>
      <c r="Y68" s="49">
        <f>資料儲存!I3052</f>
        <v>0</v>
      </c>
      <c r="Z68" s="49">
        <f>資料儲存!J3052</f>
        <v>0</v>
      </c>
      <c r="AA68" s="52"/>
      <c r="AB68" s="68">
        <v>21</v>
      </c>
      <c r="AC68" s="49">
        <f>資料儲存!D3112</f>
        <v>0</v>
      </c>
      <c r="AD68" s="49">
        <f>資料儲存!E3112</f>
        <v>0</v>
      </c>
      <c r="AE68" s="49">
        <f>資料儲存!F3112</f>
        <v>0</v>
      </c>
      <c r="AF68" s="49">
        <f>資料儲存!G3112</f>
        <v>0</v>
      </c>
      <c r="AG68" s="49">
        <f>資料儲存!H3112</f>
        <v>0</v>
      </c>
      <c r="AH68" s="49">
        <f>資料儲存!I3112</f>
        <v>0</v>
      </c>
      <c r="AI68" s="49">
        <f>資料儲存!J3112</f>
        <v>0</v>
      </c>
      <c r="AJ68" s="52"/>
    </row>
    <row r="69" spans="1:36" ht="16" thickBot="1">
      <c r="A69" s="68">
        <v>22</v>
      </c>
      <c r="B69" s="49">
        <f>資料儲存!D2933</f>
        <v>0</v>
      </c>
      <c r="C69" s="49">
        <f>資料儲存!E2933</f>
        <v>0</v>
      </c>
      <c r="D69" s="49">
        <f>資料儲存!F2933</f>
        <v>0</v>
      </c>
      <c r="E69" s="49">
        <f>資料儲存!G2933</f>
        <v>0</v>
      </c>
      <c r="F69" s="49">
        <f>資料儲存!H2933</f>
        <v>0</v>
      </c>
      <c r="G69" s="49">
        <f>資料儲存!I2933</f>
        <v>0</v>
      </c>
      <c r="H69" s="49">
        <f>資料儲存!J2933</f>
        <v>0</v>
      </c>
      <c r="I69" s="52"/>
      <c r="J69" s="68">
        <v>22</v>
      </c>
      <c r="K69" s="49">
        <f>資料儲存!D2993</f>
        <v>0</v>
      </c>
      <c r="L69" s="49">
        <f>資料儲存!E2993</f>
        <v>0</v>
      </c>
      <c r="M69" s="49">
        <f>資料儲存!F2993</f>
        <v>0</v>
      </c>
      <c r="N69" s="49">
        <f>資料儲存!G2993</f>
        <v>0</v>
      </c>
      <c r="O69" s="49">
        <f>資料儲存!H2993</f>
        <v>0</v>
      </c>
      <c r="P69" s="49">
        <f>資料儲存!I2993</f>
        <v>0</v>
      </c>
      <c r="Q69" s="49">
        <f>資料儲存!J2993</f>
        <v>0</v>
      </c>
      <c r="R69" s="52"/>
      <c r="S69" s="68">
        <v>22</v>
      </c>
      <c r="T69" s="49">
        <f>資料儲存!D3053</f>
        <v>0</v>
      </c>
      <c r="U69" s="49">
        <f>資料儲存!E3053</f>
        <v>0</v>
      </c>
      <c r="V69" s="49">
        <f>資料儲存!F3053</f>
        <v>0</v>
      </c>
      <c r="W69" s="49">
        <f>資料儲存!G3053</f>
        <v>0</v>
      </c>
      <c r="X69" s="49">
        <f>資料儲存!H3053</f>
        <v>0</v>
      </c>
      <c r="Y69" s="49">
        <f>資料儲存!I3053</f>
        <v>0</v>
      </c>
      <c r="Z69" s="49">
        <f>資料儲存!J3053</f>
        <v>0</v>
      </c>
      <c r="AA69" s="52"/>
      <c r="AB69" s="68">
        <v>22</v>
      </c>
      <c r="AC69" s="49">
        <f>資料儲存!D3113</f>
        <v>0</v>
      </c>
      <c r="AD69" s="49">
        <f>資料儲存!E3113</f>
        <v>0</v>
      </c>
      <c r="AE69" s="49">
        <f>資料儲存!F3113</f>
        <v>0</v>
      </c>
      <c r="AF69" s="49">
        <f>資料儲存!G3113</f>
        <v>0</v>
      </c>
      <c r="AG69" s="49">
        <f>資料儲存!H3113</f>
        <v>0</v>
      </c>
      <c r="AH69" s="49">
        <f>資料儲存!I3113</f>
        <v>0</v>
      </c>
      <c r="AI69" s="49">
        <f>資料儲存!J3113</f>
        <v>0</v>
      </c>
      <c r="AJ69" s="52"/>
    </row>
    <row r="70" spans="1:36" ht="16" thickBot="1">
      <c r="A70" s="68">
        <v>23</v>
      </c>
      <c r="B70" s="49">
        <f>資料儲存!D2934</f>
        <v>0</v>
      </c>
      <c r="C70" s="49">
        <f>資料儲存!E2934</f>
        <v>0</v>
      </c>
      <c r="D70" s="49">
        <f>資料儲存!F2934</f>
        <v>0</v>
      </c>
      <c r="E70" s="49">
        <f>資料儲存!G2934</f>
        <v>0</v>
      </c>
      <c r="F70" s="49">
        <f>資料儲存!H2934</f>
        <v>0</v>
      </c>
      <c r="G70" s="49">
        <f>資料儲存!I2934</f>
        <v>0</v>
      </c>
      <c r="H70" s="49">
        <f>資料儲存!J2934</f>
        <v>0</v>
      </c>
      <c r="I70" s="52"/>
      <c r="J70" s="68">
        <v>23</v>
      </c>
      <c r="K70" s="49">
        <f>資料儲存!D2994</f>
        <v>0</v>
      </c>
      <c r="L70" s="49">
        <f>資料儲存!E2994</f>
        <v>0</v>
      </c>
      <c r="M70" s="49">
        <f>資料儲存!F2994</f>
        <v>0</v>
      </c>
      <c r="N70" s="49">
        <f>資料儲存!G2994</f>
        <v>0</v>
      </c>
      <c r="O70" s="49">
        <f>資料儲存!H2994</f>
        <v>0</v>
      </c>
      <c r="P70" s="49">
        <f>資料儲存!I2994</f>
        <v>0</v>
      </c>
      <c r="Q70" s="49">
        <f>資料儲存!J2994</f>
        <v>0</v>
      </c>
      <c r="R70" s="52"/>
      <c r="S70" s="68">
        <v>23</v>
      </c>
      <c r="T70" s="49">
        <f>資料儲存!D3054</f>
        <v>0</v>
      </c>
      <c r="U70" s="49">
        <f>資料儲存!E3054</f>
        <v>0</v>
      </c>
      <c r="V70" s="49">
        <f>資料儲存!F3054</f>
        <v>0</v>
      </c>
      <c r="W70" s="49">
        <f>資料儲存!G3054</f>
        <v>0</v>
      </c>
      <c r="X70" s="49">
        <f>資料儲存!H3054</f>
        <v>0</v>
      </c>
      <c r="Y70" s="49">
        <f>資料儲存!I3054</f>
        <v>0</v>
      </c>
      <c r="Z70" s="49">
        <f>資料儲存!J3054</f>
        <v>0</v>
      </c>
      <c r="AA70" s="52"/>
      <c r="AB70" s="68">
        <v>23</v>
      </c>
      <c r="AC70" s="49">
        <f>資料儲存!D3114</f>
        <v>0</v>
      </c>
      <c r="AD70" s="49">
        <f>資料儲存!E3114</f>
        <v>0</v>
      </c>
      <c r="AE70" s="49">
        <f>資料儲存!F3114</f>
        <v>0</v>
      </c>
      <c r="AF70" s="49">
        <f>資料儲存!G3114</f>
        <v>0</v>
      </c>
      <c r="AG70" s="49">
        <f>資料儲存!H3114</f>
        <v>0</v>
      </c>
      <c r="AH70" s="49">
        <f>資料儲存!I3114</f>
        <v>0</v>
      </c>
      <c r="AI70" s="49">
        <f>資料儲存!J3114</f>
        <v>0</v>
      </c>
      <c r="AJ70" s="52"/>
    </row>
    <row r="71" spans="1:36" ht="16" thickBot="1">
      <c r="A71" s="68">
        <v>24</v>
      </c>
      <c r="B71" s="49">
        <f>資料儲存!D2935</f>
        <v>0</v>
      </c>
      <c r="C71" s="49">
        <f>資料儲存!E2935</f>
        <v>0</v>
      </c>
      <c r="D71" s="49">
        <f>資料儲存!F2935</f>
        <v>0</v>
      </c>
      <c r="E71" s="49">
        <f>資料儲存!G2935</f>
        <v>0</v>
      </c>
      <c r="F71" s="49">
        <f>資料儲存!H2935</f>
        <v>0</v>
      </c>
      <c r="G71" s="49">
        <f>資料儲存!I2935</f>
        <v>0</v>
      </c>
      <c r="H71" s="49">
        <f>資料儲存!J2935</f>
        <v>0</v>
      </c>
      <c r="I71" s="52"/>
      <c r="J71" s="68">
        <v>24</v>
      </c>
      <c r="K71" s="49">
        <f>資料儲存!D2995</f>
        <v>0</v>
      </c>
      <c r="L71" s="49">
        <f>資料儲存!E2995</f>
        <v>0</v>
      </c>
      <c r="M71" s="49">
        <f>資料儲存!F2995</f>
        <v>0</v>
      </c>
      <c r="N71" s="49">
        <f>資料儲存!G2995</f>
        <v>0</v>
      </c>
      <c r="O71" s="49">
        <f>資料儲存!H2995</f>
        <v>0</v>
      </c>
      <c r="P71" s="49">
        <f>資料儲存!I2995</f>
        <v>0</v>
      </c>
      <c r="Q71" s="49">
        <f>資料儲存!J2995</f>
        <v>0</v>
      </c>
      <c r="R71" s="52"/>
      <c r="S71" s="68">
        <v>24</v>
      </c>
      <c r="T71" s="49">
        <f>資料儲存!D3055</f>
        <v>0</v>
      </c>
      <c r="U71" s="49">
        <f>資料儲存!E3055</f>
        <v>0</v>
      </c>
      <c r="V71" s="49">
        <f>資料儲存!F3055</f>
        <v>0</v>
      </c>
      <c r="W71" s="49">
        <f>資料儲存!G3055</f>
        <v>0</v>
      </c>
      <c r="X71" s="49">
        <f>資料儲存!H3055</f>
        <v>0</v>
      </c>
      <c r="Y71" s="49">
        <f>資料儲存!I3055</f>
        <v>0</v>
      </c>
      <c r="Z71" s="49">
        <f>資料儲存!J3055</f>
        <v>0</v>
      </c>
      <c r="AA71" s="52"/>
      <c r="AB71" s="68">
        <v>24</v>
      </c>
      <c r="AC71" s="49">
        <f>資料儲存!D3115</f>
        <v>0</v>
      </c>
      <c r="AD71" s="49">
        <f>資料儲存!E3115</f>
        <v>0</v>
      </c>
      <c r="AE71" s="49">
        <f>資料儲存!F3115</f>
        <v>0</v>
      </c>
      <c r="AF71" s="49">
        <f>資料儲存!G3115</f>
        <v>0</v>
      </c>
      <c r="AG71" s="49">
        <f>資料儲存!H3115</f>
        <v>0</v>
      </c>
      <c r="AH71" s="49">
        <f>資料儲存!I3115</f>
        <v>0</v>
      </c>
      <c r="AI71" s="49">
        <f>資料儲存!J3115</f>
        <v>0</v>
      </c>
      <c r="AJ71" s="52"/>
    </row>
    <row r="72" spans="1:36" ht="16" thickBot="1">
      <c r="A72" s="68">
        <v>25</v>
      </c>
      <c r="B72" s="49">
        <f>資料儲存!D2936</f>
        <v>0</v>
      </c>
      <c r="C72" s="49">
        <f>資料儲存!E2936</f>
        <v>0</v>
      </c>
      <c r="D72" s="49">
        <f>資料儲存!F2936</f>
        <v>0</v>
      </c>
      <c r="E72" s="49">
        <f>資料儲存!G2936</f>
        <v>0</v>
      </c>
      <c r="F72" s="49">
        <f>資料儲存!H2936</f>
        <v>0</v>
      </c>
      <c r="G72" s="49">
        <f>資料儲存!I2936</f>
        <v>0</v>
      </c>
      <c r="H72" s="49">
        <f>資料儲存!J2936</f>
        <v>0</v>
      </c>
      <c r="I72" s="52"/>
      <c r="J72" s="68">
        <v>25</v>
      </c>
      <c r="K72" s="49">
        <f>資料儲存!D2996</f>
        <v>0</v>
      </c>
      <c r="L72" s="49">
        <f>資料儲存!E2996</f>
        <v>0</v>
      </c>
      <c r="M72" s="49">
        <f>資料儲存!F2996</f>
        <v>0</v>
      </c>
      <c r="N72" s="49">
        <f>資料儲存!G2996</f>
        <v>0</v>
      </c>
      <c r="O72" s="49">
        <f>資料儲存!H2996</f>
        <v>0</v>
      </c>
      <c r="P72" s="49">
        <f>資料儲存!I2996</f>
        <v>0</v>
      </c>
      <c r="Q72" s="49">
        <f>資料儲存!J2996</f>
        <v>0</v>
      </c>
      <c r="R72" s="52"/>
      <c r="S72" s="68">
        <v>25</v>
      </c>
      <c r="T72" s="49">
        <f>資料儲存!D3056</f>
        <v>0</v>
      </c>
      <c r="U72" s="49">
        <f>資料儲存!E3056</f>
        <v>0</v>
      </c>
      <c r="V72" s="49">
        <f>資料儲存!F3056</f>
        <v>0</v>
      </c>
      <c r="W72" s="49">
        <f>資料儲存!G3056</f>
        <v>0</v>
      </c>
      <c r="X72" s="49">
        <f>資料儲存!H3056</f>
        <v>0</v>
      </c>
      <c r="Y72" s="49">
        <f>資料儲存!I3056</f>
        <v>0</v>
      </c>
      <c r="Z72" s="49">
        <f>資料儲存!J3056</f>
        <v>0</v>
      </c>
      <c r="AA72" s="52"/>
      <c r="AB72" s="68">
        <v>25</v>
      </c>
      <c r="AC72" s="49">
        <f>資料儲存!D3116</f>
        <v>0</v>
      </c>
      <c r="AD72" s="49">
        <f>資料儲存!E3116</f>
        <v>0</v>
      </c>
      <c r="AE72" s="49">
        <f>資料儲存!F3116</f>
        <v>0</v>
      </c>
      <c r="AF72" s="49">
        <f>資料儲存!G3116</f>
        <v>0</v>
      </c>
      <c r="AG72" s="49">
        <f>資料儲存!H3116</f>
        <v>0</v>
      </c>
      <c r="AH72" s="49">
        <f>資料儲存!I3116</f>
        <v>0</v>
      </c>
      <c r="AI72" s="49">
        <f>資料儲存!J3116</f>
        <v>0</v>
      </c>
      <c r="AJ72" s="52"/>
    </row>
    <row r="73" spans="1:36" ht="16" thickBot="1">
      <c r="A73" s="68">
        <v>26</v>
      </c>
      <c r="B73" s="49">
        <f>資料儲存!D2937</f>
        <v>0</v>
      </c>
      <c r="C73" s="49">
        <f>資料儲存!E2937</f>
        <v>0</v>
      </c>
      <c r="D73" s="49">
        <f>資料儲存!F2937</f>
        <v>0</v>
      </c>
      <c r="E73" s="49">
        <f>資料儲存!G2937</f>
        <v>0</v>
      </c>
      <c r="F73" s="49">
        <f>資料儲存!H2937</f>
        <v>0</v>
      </c>
      <c r="G73" s="49">
        <f>資料儲存!I2937</f>
        <v>0</v>
      </c>
      <c r="H73" s="49">
        <f>資料儲存!J2937</f>
        <v>0</v>
      </c>
      <c r="I73" s="52"/>
      <c r="J73" s="68">
        <v>26</v>
      </c>
      <c r="K73" s="49">
        <f>資料儲存!D2997</f>
        <v>0</v>
      </c>
      <c r="L73" s="49">
        <f>資料儲存!E2997</f>
        <v>0</v>
      </c>
      <c r="M73" s="49">
        <f>資料儲存!F2997</f>
        <v>0</v>
      </c>
      <c r="N73" s="49">
        <f>資料儲存!G2997</f>
        <v>0</v>
      </c>
      <c r="O73" s="49">
        <f>資料儲存!H2997</f>
        <v>0</v>
      </c>
      <c r="P73" s="49">
        <f>資料儲存!I2997</f>
        <v>0</v>
      </c>
      <c r="Q73" s="49">
        <f>資料儲存!J2997</f>
        <v>0</v>
      </c>
      <c r="R73" s="52"/>
      <c r="S73" s="68">
        <v>26</v>
      </c>
      <c r="T73" s="49">
        <f>資料儲存!D3057</f>
        <v>0</v>
      </c>
      <c r="U73" s="49">
        <f>資料儲存!E3057</f>
        <v>0</v>
      </c>
      <c r="V73" s="49">
        <f>資料儲存!F3057</f>
        <v>0</v>
      </c>
      <c r="W73" s="49">
        <f>資料儲存!G3057</f>
        <v>0</v>
      </c>
      <c r="X73" s="49">
        <f>資料儲存!H3057</f>
        <v>0</v>
      </c>
      <c r="Y73" s="49">
        <f>資料儲存!I3057</f>
        <v>0</v>
      </c>
      <c r="Z73" s="49">
        <f>資料儲存!J3057</f>
        <v>0</v>
      </c>
      <c r="AA73" s="52"/>
      <c r="AB73" s="68">
        <v>26</v>
      </c>
      <c r="AC73" s="49">
        <f>資料儲存!D3117</f>
        <v>0</v>
      </c>
      <c r="AD73" s="49">
        <f>資料儲存!E3117</f>
        <v>0</v>
      </c>
      <c r="AE73" s="49">
        <f>資料儲存!F3117</f>
        <v>0</v>
      </c>
      <c r="AF73" s="49">
        <f>資料儲存!G3117</f>
        <v>0</v>
      </c>
      <c r="AG73" s="49">
        <f>資料儲存!H3117</f>
        <v>0</v>
      </c>
      <c r="AH73" s="49">
        <f>資料儲存!I3117</f>
        <v>0</v>
      </c>
      <c r="AI73" s="49">
        <f>資料儲存!J3117</f>
        <v>0</v>
      </c>
      <c r="AJ73" s="52"/>
    </row>
    <row r="74" spans="1:36" ht="16" thickBot="1">
      <c r="A74" s="68">
        <v>27</v>
      </c>
      <c r="B74" s="49">
        <f>資料儲存!D2938</f>
        <v>0</v>
      </c>
      <c r="C74" s="49">
        <f>資料儲存!E2938</f>
        <v>0</v>
      </c>
      <c r="D74" s="49">
        <f>資料儲存!F2938</f>
        <v>0</v>
      </c>
      <c r="E74" s="49">
        <f>資料儲存!G2938</f>
        <v>0</v>
      </c>
      <c r="F74" s="49">
        <f>資料儲存!H2938</f>
        <v>0</v>
      </c>
      <c r="G74" s="49">
        <f>資料儲存!I2938</f>
        <v>0</v>
      </c>
      <c r="H74" s="49">
        <f>資料儲存!J2938</f>
        <v>0</v>
      </c>
      <c r="I74" s="52"/>
      <c r="J74" s="68">
        <v>27</v>
      </c>
      <c r="K74" s="49">
        <f>資料儲存!D2998</f>
        <v>0</v>
      </c>
      <c r="L74" s="49">
        <f>資料儲存!E2998</f>
        <v>0</v>
      </c>
      <c r="M74" s="49">
        <f>資料儲存!F2998</f>
        <v>0</v>
      </c>
      <c r="N74" s="49">
        <f>資料儲存!G2998</f>
        <v>0</v>
      </c>
      <c r="O74" s="49">
        <f>資料儲存!H2998</f>
        <v>0</v>
      </c>
      <c r="P74" s="49">
        <f>資料儲存!I2998</f>
        <v>0</v>
      </c>
      <c r="Q74" s="49">
        <f>資料儲存!J2998</f>
        <v>0</v>
      </c>
      <c r="R74" s="52"/>
      <c r="S74" s="68">
        <v>27</v>
      </c>
      <c r="T74" s="49">
        <f>資料儲存!D3058</f>
        <v>0</v>
      </c>
      <c r="U74" s="49">
        <f>資料儲存!E3058</f>
        <v>0</v>
      </c>
      <c r="V74" s="49">
        <f>資料儲存!F3058</f>
        <v>0</v>
      </c>
      <c r="W74" s="49">
        <f>資料儲存!G3058</f>
        <v>0</v>
      </c>
      <c r="X74" s="49">
        <f>資料儲存!H3058</f>
        <v>0</v>
      </c>
      <c r="Y74" s="49">
        <f>資料儲存!I3058</f>
        <v>0</v>
      </c>
      <c r="Z74" s="49">
        <f>資料儲存!J3058</f>
        <v>0</v>
      </c>
      <c r="AA74" s="52"/>
      <c r="AB74" s="68">
        <v>27</v>
      </c>
      <c r="AC74" s="49">
        <f>資料儲存!D3118</f>
        <v>0</v>
      </c>
      <c r="AD74" s="49">
        <f>資料儲存!E3118</f>
        <v>0</v>
      </c>
      <c r="AE74" s="49">
        <f>資料儲存!F3118</f>
        <v>0</v>
      </c>
      <c r="AF74" s="49">
        <f>資料儲存!G3118</f>
        <v>0</v>
      </c>
      <c r="AG74" s="49">
        <f>資料儲存!H3118</f>
        <v>0</v>
      </c>
      <c r="AH74" s="49">
        <f>資料儲存!I3118</f>
        <v>0</v>
      </c>
      <c r="AI74" s="49">
        <f>資料儲存!J3118</f>
        <v>0</v>
      </c>
      <c r="AJ74" s="52"/>
    </row>
    <row r="75" spans="1:36" ht="16" thickBot="1">
      <c r="A75" s="68">
        <v>28</v>
      </c>
      <c r="B75" s="49">
        <f>資料儲存!D2939</f>
        <v>0</v>
      </c>
      <c r="C75" s="49">
        <f>資料儲存!E2939</f>
        <v>0</v>
      </c>
      <c r="D75" s="49">
        <f>資料儲存!F2939</f>
        <v>0</v>
      </c>
      <c r="E75" s="49">
        <f>資料儲存!G2939</f>
        <v>0</v>
      </c>
      <c r="F75" s="49">
        <f>資料儲存!H2939</f>
        <v>0</v>
      </c>
      <c r="G75" s="49">
        <f>資料儲存!I2939</f>
        <v>0</v>
      </c>
      <c r="H75" s="49">
        <f>資料儲存!J2939</f>
        <v>0</v>
      </c>
      <c r="I75" s="52"/>
      <c r="J75" s="68">
        <v>28</v>
      </c>
      <c r="K75" s="49">
        <f>資料儲存!D2999</f>
        <v>0</v>
      </c>
      <c r="L75" s="49">
        <f>資料儲存!E2999</f>
        <v>0</v>
      </c>
      <c r="M75" s="49">
        <f>資料儲存!F2999</f>
        <v>0</v>
      </c>
      <c r="N75" s="49">
        <f>資料儲存!G2999</f>
        <v>0</v>
      </c>
      <c r="O75" s="49">
        <f>資料儲存!H2999</f>
        <v>0</v>
      </c>
      <c r="P75" s="49">
        <f>資料儲存!I2999</f>
        <v>0</v>
      </c>
      <c r="Q75" s="49">
        <f>資料儲存!J2999</f>
        <v>0</v>
      </c>
      <c r="R75" s="52"/>
      <c r="S75" s="68">
        <v>28</v>
      </c>
      <c r="T75" s="49">
        <f>資料儲存!D3059</f>
        <v>0</v>
      </c>
      <c r="U75" s="49">
        <f>資料儲存!E3059</f>
        <v>0</v>
      </c>
      <c r="V75" s="49">
        <f>資料儲存!F3059</f>
        <v>0</v>
      </c>
      <c r="W75" s="49">
        <f>資料儲存!G3059</f>
        <v>0</v>
      </c>
      <c r="X75" s="49">
        <f>資料儲存!H3059</f>
        <v>0</v>
      </c>
      <c r="Y75" s="49">
        <f>資料儲存!I3059</f>
        <v>0</v>
      </c>
      <c r="Z75" s="49">
        <f>資料儲存!J3059</f>
        <v>0</v>
      </c>
      <c r="AA75" s="52"/>
      <c r="AB75" s="68">
        <v>28</v>
      </c>
      <c r="AC75" s="49">
        <f>資料儲存!D3119</f>
        <v>0</v>
      </c>
      <c r="AD75" s="49">
        <f>資料儲存!E3119</f>
        <v>0</v>
      </c>
      <c r="AE75" s="49">
        <f>資料儲存!F3119</f>
        <v>0</v>
      </c>
      <c r="AF75" s="49">
        <f>資料儲存!G3119</f>
        <v>0</v>
      </c>
      <c r="AG75" s="49">
        <f>資料儲存!H3119</f>
        <v>0</v>
      </c>
      <c r="AH75" s="49">
        <f>資料儲存!I3119</f>
        <v>0</v>
      </c>
      <c r="AI75" s="49">
        <f>資料儲存!J3119</f>
        <v>0</v>
      </c>
      <c r="AJ75" s="52"/>
    </row>
    <row r="76" spans="1:36" ht="16" thickBot="1">
      <c r="A76" s="68">
        <v>29</v>
      </c>
      <c r="B76" s="49">
        <f>資料儲存!D2940</f>
        <v>0</v>
      </c>
      <c r="C76" s="49">
        <f>資料儲存!E2940</f>
        <v>0</v>
      </c>
      <c r="D76" s="49">
        <f>資料儲存!F2940</f>
        <v>0</v>
      </c>
      <c r="E76" s="49">
        <f>資料儲存!G2940</f>
        <v>0</v>
      </c>
      <c r="F76" s="49">
        <f>資料儲存!H2940</f>
        <v>0</v>
      </c>
      <c r="G76" s="49">
        <f>資料儲存!I2940</f>
        <v>0</v>
      </c>
      <c r="H76" s="49">
        <f>資料儲存!J2940</f>
        <v>0</v>
      </c>
      <c r="I76" s="52"/>
      <c r="J76" s="68">
        <v>29</v>
      </c>
      <c r="K76" s="49">
        <f>資料儲存!D3000</f>
        <v>0</v>
      </c>
      <c r="L76" s="49">
        <f>資料儲存!E3000</f>
        <v>0</v>
      </c>
      <c r="M76" s="49">
        <f>資料儲存!F3000</f>
        <v>0</v>
      </c>
      <c r="N76" s="49">
        <f>資料儲存!G3000</f>
        <v>0</v>
      </c>
      <c r="O76" s="49">
        <f>資料儲存!H3000</f>
        <v>0</v>
      </c>
      <c r="P76" s="49">
        <f>資料儲存!I3000</f>
        <v>0</v>
      </c>
      <c r="Q76" s="49">
        <f>資料儲存!J3000</f>
        <v>0</v>
      </c>
      <c r="R76" s="52"/>
      <c r="S76" s="68">
        <v>29</v>
      </c>
      <c r="T76" s="49">
        <f>資料儲存!D3060</f>
        <v>0</v>
      </c>
      <c r="U76" s="49">
        <f>資料儲存!E3060</f>
        <v>0</v>
      </c>
      <c r="V76" s="49">
        <f>資料儲存!F3060</f>
        <v>0</v>
      </c>
      <c r="W76" s="49">
        <f>資料儲存!G3060</f>
        <v>0</v>
      </c>
      <c r="X76" s="49">
        <f>資料儲存!H3060</f>
        <v>0</v>
      </c>
      <c r="Y76" s="49">
        <f>資料儲存!I3060</f>
        <v>0</v>
      </c>
      <c r="Z76" s="49">
        <f>資料儲存!J3060</f>
        <v>0</v>
      </c>
      <c r="AA76" s="52"/>
      <c r="AB76" s="68">
        <v>29</v>
      </c>
      <c r="AC76" s="49">
        <f>資料儲存!D3120</f>
        <v>0</v>
      </c>
      <c r="AD76" s="49">
        <f>資料儲存!E3120</f>
        <v>0</v>
      </c>
      <c r="AE76" s="49">
        <f>資料儲存!F3120</f>
        <v>0</v>
      </c>
      <c r="AF76" s="49">
        <f>資料儲存!G3120</f>
        <v>0</v>
      </c>
      <c r="AG76" s="49">
        <f>資料儲存!H3120</f>
        <v>0</v>
      </c>
      <c r="AH76" s="49">
        <f>資料儲存!I3120</f>
        <v>0</v>
      </c>
      <c r="AI76" s="49">
        <f>資料儲存!J3120</f>
        <v>0</v>
      </c>
      <c r="AJ76" s="52"/>
    </row>
    <row r="77" spans="1:36" ht="16" thickBot="1">
      <c r="A77" s="68">
        <v>30</v>
      </c>
      <c r="B77" s="49">
        <f>資料儲存!D2941</f>
        <v>0</v>
      </c>
      <c r="C77" s="49">
        <f>資料儲存!E2941</f>
        <v>0</v>
      </c>
      <c r="D77" s="49">
        <f>資料儲存!F2941</f>
        <v>0</v>
      </c>
      <c r="E77" s="49">
        <f>資料儲存!G2941</f>
        <v>0</v>
      </c>
      <c r="F77" s="49">
        <f>資料儲存!H2941</f>
        <v>0</v>
      </c>
      <c r="G77" s="49">
        <f>資料儲存!I2941</f>
        <v>0</v>
      </c>
      <c r="H77" s="49">
        <f>資料儲存!J2941</f>
        <v>0</v>
      </c>
      <c r="I77" s="52"/>
      <c r="J77" s="68">
        <v>30</v>
      </c>
      <c r="K77" s="49">
        <f>資料儲存!D3001</f>
        <v>0</v>
      </c>
      <c r="L77" s="49">
        <f>資料儲存!E3001</f>
        <v>0</v>
      </c>
      <c r="M77" s="49">
        <f>資料儲存!F3001</f>
        <v>0</v>
      </c>
      <c r="N77" s="49">
        <f>資料儲存!G3001</f>
        <v>0</v>
      </c>
      <c r="O77" s="49">
        <f>資料儲存!H3001</f>
        <v>0</v>
      </c>
      <c r="P77" s="49">
        <f>資料儲存!I3001</f>
        <v>0</v>
      </c>
      <c r="Q77" s="49">
        <f>資料儲存!J3001</f>
        <v>0</v>
      </c>
      <c r="R77" s="52"/>
      <c r="S77" s="68">
        <v>30</v>
      </c>
      <c r="T77" s="49">
        <f>資料儲存!D3061</f>
        <v>0</v>
      </c>
      <c r="U77" s="49">
        <f>資料儲存!E3061</f>
        <v>0</v>
      </c>
      <c r="V77" s="49">
        <f>資料儲存!F3061</f>
        <v>0</v>
      </c>
      <c r="W77" s="49">
        <f>資料儲存!G3061</f>
        <v>0</v>
      </c>
      <c r="X77" s="49">
        <f>資料儲存!H3061</f>
        <v>0</v>
      </c>
      <c r="Y77" s="49">
        <f>資料儲存!I3061</f>
        <v>0</v>
      </c>
      <c r="Z77" s="49">
        <f>資料儲存!J3061</f>
        <v>0</v>
      </c>
      <c r="AA77" s="52"/>
      <c r="AB77" s="68">
        <v>30</v>
      </c>
      <c r="AC77" s="49">
        <f>資料儲存!D3121</f>
        <v>0</v>
      </c>
      <c r="AD77" s="49">
        <f>資料儲存!E3121</f>
        <v>0</v>
      </c>
      <c r="AE77" s="49">
        <f>資料儲存!F3121</f>
        <v>0</v>
      </c>
      <c r="AF77" s="49">
        <f>資料儲存!G3121</f>
        <v>0</v>
      </c>
      <c r="AG77" s="49">
        <f>資料儲存!H3121</f>
        <v>0</v>
      </c>
      <c r="AH77" s="49">
        <f>資料儲存!I3121</f>
        <v>0</v>
      </c>
      <c r="AI77" s="49">
        <f>資料儲存!J3121</f>
        <v>0</v>
      </c>
      <c r="AJ77" s="52"/>
    </row>
    <row r="78" spans="1:36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</sheetData>
  <mergeCells count="24">
    <mergeCell ref="A1:H1"/>
    <mergeCell ref="J1:Q1"/>
    <mergeCell ref="S1:Z1"/>
    <mergeCell ref="AB1:AI1"/>
    <mergeCell ref="A2:H2"/>
    <mergeCell ref="J2:Q2"/>
    <mergeCell ref="S2:Z2"/>
    <mergeCell ref="AB2:AI2"/>
    <mergeCell ref="A3:H3"/>
    <mergeCell ref="J3:Q3"/>
    <mergeCell ref="S3:Z3"/>
    <mergeCell ref="AB3:AI3"/>
    <mergeCell ref="A22:H22"/>
    <mergeCell ref="J22:Q22"/>
    <mergeCell ref="S22:Z22"/>
    <mergeCell ref="AB22:AI22"/>
    <mergeCell ref="A41:H41"/>
    <mergeCell ref="J41:Q41"/>
    <mergeCell ref="S41:Z41"/>
    <mergeCell ref="AB41:AI41"/>
    <mergeCell ref="A60:H60"/>
    <mergeCell ref="J60:Q60"/>
    <mergeCell ref="S60:Z60"/>
    <mergeCell ref="AB60:AI60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39997558519241921"/>
  </sheetPr>
  <dimension ref="A1:AJ154"/>
  <sheetViews>
    <sheetView topLeftCell="T1" zoomScale="70" zoomScaleNormal="70" zoomScaleSheetLayoutView="70" workbookViewId="0">
      <pane ySplit="1" topLeftCell="A2" activePane="bottomLeft" state="frozen"/>
      <selection pane="bottomLeft" activeCell="AK4" sqref="AK1:AR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37" width="2.08984375" style="1" customWidth="1"/>
    <col min="38" max="16384" width="10.08984375" style="1"/>
  </cols>
  <sheetData>
    <row r="1" spans="1:36" s="11" customFormat="1" ht="18.5" thickBot="1">
      <c r="A1" s="253" t="str">
        <f>基本資料!$J$11</f>
        <v>假日(16-18)</v>
      </c>
      <c r="B1" s="254"/>
      <c r="C1" s="254"/>
      <c r="D1" s="254"/>
      <c r="E1" s="254"/>
      <c r="F1" s="254"/>
      <c r="G1" s="254"/>
      <c r="H1" s="255"/>
      <c r="J1" s="253" t="str">
        <f>基本資料!$J$11</f>
        <v>假日(16-18)</v>
      </c>
      <c r="K1" s="254"/>
      <c r="L1" s="254"/>
      <c r="M1" s="254"/>
      <c r="N1" s="254"/>
      <c r="O1" s="254"/>
      <c r="P1" s="254"/>
      <c r="Q1" s="255"/>
      <c r="S1" s="253" t="str">
        <f>基本資料!$J$11</f>
        <v>假日(16-18)</v>
      </c>
      <c r="T1" s="254"/>
      <c r="U1" s="254"/>
      <c r="V1" s="254"/>
      <c r="W1" s="254"/>
      <c r="X1" s="254"/>
      <c r="Y1" s="254"/>
      <c r="Z1" s="255"/>
      <c r="AB1" s="253" t="str">
        <f>基本資料!$J$11</f>
        <v>假日(16-18)</v>
      </c>
      <c r="AC1" s="254"/>
      <c r="AD1" s="254"/>
      <c r="AE1" s="254"/>
      <c r="AF1" s="254"/>
      <c r="AG1" s="254"/>
      <c r="AH1" s="254"/>
      <c r="AI1" s="255"/>
    </row>
    <row r="2" spans="1:36" ht="18.5" thickBot="1">
      <c r="A2" s="256" t="str">
        <f>CONCATENATE(基本資料!B18,"方向：",基本資料!B19,基本資料!B20)</f>
        <v>A方向：</v>
      </c>
      <c r="B2" s="257"/>
      <c r="C2" s="257"/>
      <c r="D2" s="257"/>
      <c r="E2" s="257"/>
      <c r="F2" s="257"/>
      <c r="G2" s="257"/>
      <c r="H2" s="258"/>
      <c r="I2" s="1"/>
      <c r="J2" s="256" t="str">
        <f>CONCATENATE(基本資料!C18,"方向：",基本資料!C19,基本資料!C20)</f>
        <v>B方向：</v>
      </c>
      <c r="K2" s="257"/>
      <c r="L2" s="257"/>
      <c r="M2" s="257"/>
      <c r="N2" s="257"/>
      <c r="O2" s="257"/>
      <c r="P2" s="257"/>
      <c r="Q2" s="258"/>
      <c r="R2" s="1"/>
      <c r="S2" s="256" t="str">
        <f>CONCATENATE(基本資料!D18,"方向：",基本資料!D19,基本資料!D20)</f>
        <v>C方向：</v>
      </c>
      <c r="T2" s="257"/>
      <c r="U2" s="257"/>
      <c r="V2" s="257"/>
      <c r="W2" s="257"/>
      <c r="X2" s="257"/>
      <c r="Y2" s="257"/>
      <c r="Z2" s="258"/>
      <c r="AA2" s="1"/>
      <c r="AB2" s="256" t="str">
        <f>CONCATENATE(基本資料!E18,"方向：",基本資料!E19,基本資料!E20)</f>
        <v>D方向：</v>
      </c>
      <c r="AC2" s="257"/>
      <c r="AD2" s="257"/>
      <c r="AE2" s="257"/>
      <c r="AF2" s="257"/>
      <c r="AG2" s="257"/>
      <c r="AH2" s="257"/>
      <c r="AI2" s="258"/>
      <c r="AJ2" s="1"/>
    </row>
    <row r="3" spans="1:36" ht="18.5" thickBot="1">
      <c r="A3" s="250" t="s">
        <v>117</v>
      </c>
      <c r="B3" s="251"/>
      <c r="C3" s="251"/>
      <c r="D3" s="251"/>
      <c r="E3" s="251"/>
      <c r="F3" s="251"/>
      <c r="G3" s="251"/>
      <c r="H3" s="252"/>
      <c r="I3" s="22"/>
      <c r="J3" s="250" t="s">
        <v>117</v>
      </c>
      <c r="K3" s="251"/>
      <c r="L3" s="251"/>
      <c r="M3" s="251"/>
      <c r="N3" s="251"/>
      <c r="O3" s="251"/>
      <c r="P3" s="251"/>
      <c r="Q3" s="252"/>
      <c r="R3" s="22"/>
      <c r="S3" s="250" t="s">
        <v>117</v>
      </c>
      <c r="T3" s="251"/>
      <c r="U3" s="251"/>
      <c r="V3" s="251"/>
      <c r="W3" s="251"/>
      <c r="X3" s="251"/>
      <c r="Y3" s="251"/>
      <c r="Z3" s="252"/>
      <c r="AA3" s="22"/>
      <c r="AB3" s="250" t="s">
        <v>117</v>
      </c>
      <c r="AC3" s="251"/>
      <c r="AD3" s="251"/>
      <c r="AE3" s="251"/>
      <c r="AF3" s="251"/>
      <c r="AG3" s="251"/>
      <c r="AH3" s="251"/>
      <c r="AI3" s="252"/>
      <c r="AJ3" s="22"/>
    </row>
    <row r="4" spans="1:36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</row>
    <row r="5" spans="1:36" ht="16" thickBot="1">
      <c r="A5" s="59">
        <v>0.66666666666666663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>
        <v>0.66666666666666663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>
        <v>0.66666666666666663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>
        <v>0.66666666666666663</v>
      </c>
      <c r="AC5" s="60" t="s">
        <v>49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</row>
    <row r="6" spans="1:36" ht="16" thickBot="1">
      <c r="A6" s="61">
        <v>1</v>
      </c>
      <c r="B6" s="39">
        <f>資料儲存!D3122</f>
        <v>0</v>
      </c>
      <c r="C6" s="39">
        <f>資料儲存!E3122</f>
        <v>0</v>
      </c>
      <c r="D6" s="39">
        <f>資料儲存!F3122</f>
        <v>0</v>
      </c>
      <c r="E6" s="39">
        <f>資料儲存!G3122</f>
        <v>0</v>
      </c>
      <c r="F6" s="39">
        <f>資料儲存!H3122</f>
        <v>0</v>
      </c>
      <c r="G6" s="39">
        <f>資料儲存!I3122</f>
        <v>0</v>
      </c>
      <c r="H6" s="39">
        <f>資料儲存!J3122</f>
        <v>0</v>
      </c>
      <c r="I6" s="58"/>
      <c r="J6" s="61">
        <v>1</v>
      </c>
      <c r="K6" s="39">
        <f>資料儲存!D3242</f>
        <v>0</v>
      </c>
      <c r="L6" s="39">
        <f>資料儲存!E3242</f>
        <v>0</v>
      </c>
      <c r="M6" s="39">
        <f>資料儲存!F3242</f>
        <v>0</v>
      </c>
      <c r="N6" s="39">
        <f>資料儲存!G3242</f>
        <v>0</v>
      </c>
      <c r="O6" s="39">
        <f>資料儲存!H3242</f>
        <v>0</v>
      </c>
      <c r="P6" s="39">
        <f>資料儲存!I3242</f>
        <v>0</v>
      </c>
      <c r="Q6" s="39">
        <f>資料儲存!J3242</f>
        <v>0</v>
      </c>
      <c r="R6" s="58"/>
      <c r="S6" s="61">
        <v>1</v>
      </c>
      <c r="T6" s="39">
        <f>資料儲存!D3362</f>
        <v>0</v>
      </c>
      <c r="U6" s="39">
        <f>資料儲存!E3362</f>
        <v>0</v>
      </c>
      <c r="V6" s="39">
        <f>資料儲存!F3362</f>
        <v>0</v>
      </c>
      <c r="W6" s="39">
        <f>資料儲存!G3362</f>
        <v>0</v>
      </c>
      <c r="X6" s="39">
        <f>資料儲存!H3362</f>
        <v>0</v>
      </c>
      <c r="Y6" s="39">
        <f>資料儲存!I3362</f>
        <v>0</v>
      </c>
      <c r="Z6" s="39">
        <f>資料儲存!J3362</f>
        <v>0</v>
      </c>
      <c r="AA6" s="58"/>
      <c r="AB6" s="61">
        <v>1</v>
      </c>
      <c r="AC6" s="39">
        <f>資料儲存!D3482</f>
        <v>0</v>
      </c>
      <c r="AD6" s="39">
        <f>資料儲存!E3482</f>
        <v>0</v>
      </c>
      <c r="AE6" s="39">
        <f>資料儲存!F3482</f>
        <v>0</v>
      </c>
      <c r="AF6" s="39">
        <f>資料儲存!G3482</f>
        <v>0</v>
      </c>
      <c r="AG6" s="39">
        <f>資料儲存!H3482</f>
        <v>0</v>
      </c>
      <c r="AH6" s="39">
        <f>資料儲存!I3482</f>
        <v>0</v>
      </c>
      <c r="AI6" s="39">
        <f>資料儲存!J3482</f>
        <v>0</v>
      </c>
      <c r="AJ6" s="58"/>
    </row>
    <row r="7" spans="1:36" ht="16" thickBot="1">
      <c r="A7" s="61">
        <v>2</v>
      </c>
      <c r="B7" s="39">
        <f>資料儲存!D3123</f>
        <v>0</v>
      </c>
      <c r="C7" s="39">
        <f>資料儲存!E3123</f>
        <v>0</v>
      </c>
      <c r="D7" s="39">
        <f>資料儲存!F3123</f>
        <v>0</v>
      </c>
      <c r="E7" s="39">
        <f>資料儲存!G3123</f>
        <v>0</v>
      </c>
      <c r="F7" s="39">
        <f>資料儲存!H3123</f>
        <v>0</v>
      </c>
      <c r="G7" s="39">
        <f>資料儲存!I3123</f>
        <v>0</v>
      </c>
      <c r="H7" s="39">
        <f>資料儲存!J3123</f>
        <v>0</v>
      </c>
      <c r="I7" s="58"/>
      <c r="J7" s="61">
        <v>2</v>
      </c>
      <c r="K7" s="39">
        <f>資料儲存!D3243</f>
        <v>0</v>
      </c>
      <c r="L7" s="39">
        <f>資料儲存!E3243</f>
        <v>0</v>
      </c>
      <c r="M7" s="39">
        <f>資料儲存!F3243</f>
        <v>0</v>
      </c>
      <c r="N7" s="39">
        <f>資料儲存!G3243</f>
        <v>0</v>
      </c>
      <c r="O7" s="39">
        <f>資料儲存!H3243</f>
        <v>0</v>
      </c>
      <c r="P7" s="39">
        <f>資料儲存!I3243</f>
        <v>0</v>
      </c>
      <c r="Q7" s="39">
        <f>資料儲存!J3243</f>
        <v>0</v>
      </c>
      <c r="R7" s="58"/>
      <c r="S7" s="61">
        <v>2</v>
      </c>
      <c r="T7" s="39">
        <f>資料儲存!D3363</f>
        <v>0</v>
      </c>
      <c r="U7" s="39">
        <f>資料儲存!E3363</f>
        <v>0</v>
      </c>
      <c r="V7" s="39">
        <f>資料儲存!F3363</f>
        <v>0</v>
      </c>
      <c r="W7" s="39">
        <f>資料儲存!G3363</f>
        <v>0</v>
      </c>
      <c r="X7" s="39">
        <f>資料儲存!H3363</f>
        <v>0</v>
      </c>
      <c r="Y7" s="39">
        <f>資料儲存!I3363</f>
        <v>0</v>
      </c>
      <c r="Z7" s="39">
        <f>資料儲存!J3363</f>
        <v>0</v>
      </c>
      <c r="AA7" s="58"/>
      <c r="AB7" s="61">
        <v>2</v>
      </c>
      <c r="AC7" s="39">
        <f>資料儲存!D3483</f>
        <v>0</v>
      </c>
      <c r="AD7" s="39">
        <f>資料儲存!E3483</f>
        <v>0</v>
      </c>
      <c r="AE7" s="39">
        <f>資料儲存!F3483</f>
        <v>0</v>
      </c>
      <c r="AF7" s="39">
        <f>資料儲存!G3483</f>
        <v>0</v>
      </c>
      <c r="AG7" s="39">
        <f>資料儲存!H3483</f>
        <v>0</v>
      </c>
      <c r="AH7" s="39">
        <f>資料儲存!I3483</f>
        <v>0</v>
      </c>
      <c r="AI7" s="39">
        <f>資料儲存!J3483</f>
        <v>0</v>
      </c>
      <c r="AJ7" s="58"/>
    </row>
    <row r="8" spans="1:36" ht="16" thickBot="1">
      <c r="A8" s="61">
        <v>3</v>
      </c>
      <c r="B8" s="39">
        <f>資料儲存!D3124</f>
        <v>0</v>
      </c>
      <c r="C8" s="39">
        <f>資料儲存!E3124</f>
        <v>0</v>
      </c>
      <c r="D8" s="39">
        <f>資料儲存!F3124</f>
        <v>0</v>
      </c>
      <c r="E8" s="39">
        <f>資料儲存!G3124</f>
        <v>0</v>
      </c>
      <c r="F8" s="39">
        <f>資料儲存!H3124</f>
        <v>0</v>
      </c>
      <c r="G8" s="39">
        <f>資料儲存!I3124</f>
        <v>0</v>
      </c>
      <c r="H8" s="39">
        <f>資料儲存!J3124</f>
        <v>0</v>
      </c>
      <c r="I8" s="58"/>
      <c r="J8" s="61">
        <v>3</v>
      </c>
      <c r="K8" s="39">
        <f>資料儲存!D3244</f>
        <v>0</v>
      </c>
      <c r="L8" s="39">
        <f>資料儲存!E3244</f>
        <v>0</v>
      </c>
      <c r="M8" s="39">
        <f>資料儲存!F3244</f>
        <v>0</v>
      </c>
      <c r="N8" s="39">
        <f>資料儲存!G3244</f>
        <v>0</v>
      </c>
      <c r="O8" s="39">
        <f>資料儲存!H3244</f>
        <v>0</v>
      </c>
      <c r="P8" s="39">
        <f>資料儲存!I3244</f>
        <v>0</v>
      </c>
      <c r="Q8" s="39">
        <f>資料儲存!J3244</f>
        <v>0</v>
      </c>
      <c r="R8" s="58"/>
      <c r="S8" s="61">
        <v>3</v>
      </c>
      <c r="T8" s="39">
        <f>資料儲存!D3364</f>
        <v>0</v>
      </c>
      <c r="U8" s="39">
        <f>資料儲存!E3364</f>
        <v>0</v>
      </c>
      <c r="V8" s="39">
        <f>資料儲存!F3364</f>
        <v>0</v>
      </c>
      <c r="W8" s="39">
        <f>資料儲存!G3364</f>
        <v>0</v>
      </c>
      <c r="X8" s="39">
        <f>資料儲存!H3364</f>
        <v>0</v>
      </c>
      <c r="Y8" s="39">
        <f>資料儲存!I3364</f>
        <v>0</v>
      </c>
      <c r="Z8" s="39">
        <f>資料儲存!J3364</f>
        <v>0</v>
      </c>
      <c r="AA8" s="58"/>
      <c r="AB8" s="61">
        <v>3</v>
      </c>
      <c r="AC8" s="39">
        <f>資料儲存!D3484</f>
        <v>0</v>
      </c>
      <c r="AD8" s="39">
        <f>資料儲存!E3484</f>
        <v>0</v>
      </c>
      <c r="AE8" s="39">
        <f>資料儲存!F3484</f>
        <v>0</v>
      </c>
      <c r="AF8" s="39">
        <f>資料儲存!G3484</f>
        <v>0</v>
      </c>
      <c r="AG8" s="39">
        <f>資料儲存!H3484</f>
        <v>0</v>
      </c>
      <c r="AH8" s="39">
        <f>資料儲存!I3484</f>
        <v>0</v>
      </c>
      <c r="AI8" s="39">
        <f>資料儲存!J3484</f>
        <v>0</v>
      </c>
      <c r="AJ8" s="58"/>
    </row>
    <row r="9" spans="1:36" ht="16" thickBot="1">
      <c r="A9" s="61">
        <v>4</v>
      </c>
      <c r="B9" s="39">
        <f>資料儲存!D3125</f>
        <v>0</v>
      </c>
      <c r="C9" s="39">
        <f>資料儲存!E3125</f>
        <v>0</v>
      </c>
      <c r="D9" s="39">
        <f>資料儲存!F3125</f>
        <v>0</v>
      </c>
      <c r="E9" s="39">
        <f>資料儲存!G3125</f>
        <v>0</v>
      </c>
      <c r="F9" s="39">
        <f>資料儲存!H3125</f>
        <v>0</v>
      </c>
      <c r="G9" s="39">
        <f>資料儲存!I3125</f>
        <v>0</v>
      </c>
      <c r="H9" s="39">
        <f>資料儲存!J3125</f>
        <v>0</v>
      </c>
      <c r="I9" s="58"/>
      <c r="J9" s="61">
        <v>4</v>
      </c>
      <c r="K9" s="39">
        <f>資料儲存!D3245</f>
        <v>0</v>
      </c>
      <c r="L9" s="39">
        <f>資料儲存!E3245</f>
        <v>0</v>
      </c>
      <c r="M9" s="39">
        <f>資料儲存!F3245</f>
        <v>0</v>
      </c>
      <c r="N9" s="39">
        <f>資料儲存!G3245</f>
        <v>0</v>
      </c>
      <c r="O9" s="39">
        <f>資料儲存!H3245</f>
        <v>0</v>
      </c>
      <c r="P9" s="39">
        <f>資料儲存!I3245</f>
        <v>0</v>
      </c>
      <c r="Q9" s="39">
        <f>資料儲存!J3245</f>
        <v>0</v>
      </c>
      <c r="R9" s="58"/>
      <c r="S9" s="61">
        <v>4</v>
      </c>
      <c r="T9" s="39">
        <f>資料儲存!D3365</f>
        <v>0</v>
      </c>
      <c r="U9" s="39">
        <f>資料儲存!E3365</f>
        <v>0</v>
      </c>
      <c r="V9" s="39">
        <f>資料儲存!F3365</f>
        <v>0</v>
      </c>
      <c r="W9" s="39">
        <f>資料儲存!G3365</f>
        <v>0</v>
      </c>
      <c r="X9" s="39">
        <f>資料儲存!H3365</f>
        <v>0</v>
      </c>
      <c r="Y9" s="39">
        <f>資料儲存!I3365</f>
        <v>0</v>
      </c>
      <c r="Z9" s="39">
        <f>資料儲存!J3365</f>
        <v>0</v>
      </c>
      <c r="AA9" s="58"/>
      <c r="AB9" s="61">
        <v>4</v>
      </c>
      <c r="AC9" s="39">
        <f>資料儲存!D3485</f>
        <v>0</v>
      </c>
      <c r="AD9" s="39">
        <f>資料儲存!E3485</f>
        <v>0</v>
      </c>
      <c r="AE9" s="39">
        <f>資料儲存!F3485</f>
        <v>0</v>
      </c>
      <c r="AF9" s="39">
        <f>資料儲存!G3485</f>
        <v>0</v>
      </c>
      <c r="AG9" s="39">
        <f>資料儲存!H3485</f>
        <v>0</v>
      </c>
      <c r="AH9" s="39">
        <f>資料儲存!I3485</f>
        <v>0</v>
      </c>
      <c r="AI9" s="39">
        <f>資料儲存!J3485</f>
        <v>0</v>
      </c>
      <c r="AJ9" s="58"/>
    </row>
    <row r="10" spans="1:36" ht="16" thickBot="1">
      <c r="A10" s="61">
        <v>5</v>
      </c>
      <c r="B10" s="39">
        <f>資料儲存!D3126</f>
        <v>0</v>
      </c>
      <c r="C10" s="39">
        <f>資料儲存!E3126</f>
        <v>0</v>
      </c>
      <c r="D10" s="39">
        <f>資料儲存!F3126</f>
        <v>0</v>
      </c>
      <c r="E10" s="39">
        <f>資料儲存!G3126</f>
        <v>0</v>
      </c>
      <c r="F10" s="39">
        <f>資料儲存!H3126</f>
        <v>0</v>
      </c>
      <c r="G10" s="39">
        <f>資料儲存!I3126</f>
        <v>0</v>
      </c>
      <c r="H10" s="39">
        <f>資料儲存!J3126</f>
        <v>0</v>
      </c>
      <c r="I10" s="58"/>
      <c r="J10" s="61">
        <v>5</v>
      </c>
      <c r="K10" s="39">
        <f>資料儲存!D3246</f>
        <v>0</v>
      </c>
      <c r="L10" s="39">
        <f>資料儲存!E3246</f>
        <v>0</v>
      </c>
      <c r="M10" s="39">
        <f>資料儲存!F3246</f>
        <v>0</v>
      </c>
      <c r="N10" s="39">
        <f>資料儲存!G3246</f>
        <v>0</v>
      </c>
      <c r="O10" s="39">
        <f>資料儲存!H3246</f>
        <v>0</v>
      </c>
      <c r="P10" s="39">
        <f>資料儲存!I3246</f>
        <v>0</v>
      </c>
      <c r="Q10" s="39">
        <f>資料儲存!J3246</f>
        <v>0</v>
      </c>
      <c r="R10" s="58"/>
      <c r="S10" s="61">
        <v>5</v>
      </c>
      <c r="T10" s="39">
        <f>資料儲存!D3366</f>
        <v>0</v>
      </c>
      <c r="U10" s="39">
        <f>資料儲存!E3366</f>
        <v>0</v>
      </c>
      <c r="V10" s="39">
        <f>資料儲存!F3366</f>
        <v>0</v>
      </c>
      <c r="W10" s="39">
        <f>資料儲存!G3366</f>
        <v>0</v>
      </c>
      <c r="X10" s="39">
        <f>資料儲存!H3366</f>
        <v>0</v>
      </c>
      <c r="Y10" s="39">
        <f>資料儲存!I3366</f>
        <v>0</v>
      </c>
      <c r="Z10" s="39">
        <f>資料儲存!J3366</f>
        <v>0</v>
      </c>
      <c r="AA10" s="58"/>
      <c r="AB10" s="61">
        <v>5</v>
      </c>
      <c r="AC10" s="39">
        <f>資料儲存!D3486</f>
        <v>0</v>
      </c>
      <c r="AD10" s="39">
        <f>資料儲存!E3486</f>
        <v>0</v>
      </c>
      <c r="AE10" s="39">
        <f>資料儲存!F3486</f>
        <v>0</v>
      </c>
      <c r="AF10" s="39">
        <f>資料儲存!G3486</f>
        <v>0</v>
      </c>
      <c r="AG10" s="39">
        <f>資料儲存!H3486</f>
        <v>0</v>
      </c>
      <c r="AH10" s="39">
        <f>資料儲存!I3486</f>
        <v>0</v>
      </c>
      <c r="AI10" s="39">
        <f>資料儲存!J3486</f>
        <v>0</v>
      </c>
      <c r="AJ10" s="58"/>
    </row>
    <row r="11" spans="1:36" ht="16" thickBot="1">
      <c r="A11" s="61">
        <v>6</v>
      </c>
      <c r="B11" s="39">
        <f>資料儲存!D3127</f>
        <v>0</v>
      </c>
      <c r="C11" s="39">
        <f>資料儲存!E3127</f>
        <v>0</v>
      </c>
      <c r="D11" s="39">
        <f>資料儲存!F3127</f>
        <v>0</v>
      </c>
      <c r="E11" s="39">
        <f>資料儲存!G3127</f>
        <v>0</v>
      </c>
      <c r="F11" s="39">
        <f>資料儲存!H3127</f>
        <v>0</v>
      </c>
      <c r="G11" s="39">
        <f>資料儲存!I3127</f>
        <v>0</v>
      </c>
      <c r="H11" s="39">
        <f>資料儲存!J3127</f>
        <v>0</v>
      </c>
      <c r="I11" s="58"/>
      <c r="J11" s="61">
        <v>6</v>
      </c>
      <c r="K11" s="39">
        <f>資料儲存!D3247</f>
        <v>0</v>
      </c>
      <c r="L11" s="39">
        <f>資料儲存!E3247</f>
        <v>0</v>
      </c>
      <c r="M11" s="39">
        <f>資料儲存!F3247</f>
        <v>0</v>
      </c>
      <c r="N11" s="39">
        <f>資料儲存!G3247</f>
        <v>0</v>
      </c>
      <c r="O11" s="39">
        <f>資料儲存!H3247</f>
        <v>0</v>
      </c>
      <c r="P11" s="39">
        <f>資料儲存!I3247</f>
        <v>0</v>
      </c>
      <c r="Q11" s="39">
        <f>資料儲存!J3247</f>
        <v>0</v>
      </c>
      <c r="R11" s="58"/>
      <c r="S11" s="61">
        <v>6</v>
      </c>
      <c r="T11" s="39">
        <f>資料儲存!D3367</f>
        <v>0</v>
      </c>
      <c r="U11" s="39">
        <f>資料儲存!E3367</f>
        <v>0</v>
      </c>
      <c r="V11" s="39">
        <f>資料儲存!F3367</f>
        <v>0</v>
      </c>
      <c r="W11" s="39">
        <f>資料儲存!G3367</f>
        <v>0</v>
      </c>
      <c r="X11" s="39">
        <f>資料儲存!H3367</f>
        <v>0</v>
      </c>
      <c r="Y11" s="39">
        <f>資料儲存!I3367</f>
        <v>0</v>
      </c>
      <c r="Z11" s="39">
        <f>資料儲存!J3367</f>
        <v>0</v>
      </c>
      <c r="AA11" s="58"/>
      <c r="AB11" s="61">
        <v>6</v>
      </c>
      <c r="AC11" s="39">
        <f>資料儲存!D3487</f>
        <v>0</v>
      </c>
      <c r="AD11" s="39">
        <f>資料儲存!E3487</f>
        <v>0</v>
      </c>
      <c r="AE11" s="39">
        <f>資料儲存!F3487</f>
        <v>0</v>
      </c>
      <c r="AF11" s="39">
        <f>資料儲存!G3487</f>
        <v>0</v>
      </c>
      <c r="AG11" s="39">
        <f>資料儲存!H3487</f>
        <v>0</v>
      </c>
      <c r="AH11" s="39">
        <f>資料儲存!I3487</f>
        <v>0</v>
      </c>
      <c r="AI11" s="39">
        <f>資料儲存!J3487</f>
        <v>0</v>
      </c>
      <c r="AJ11" s="58"/>
    </row>
    <row r="12" spans="1:36" ht="16" thickBot="1">
      <c r="A12" s="61">
        <v>7</v>
      </c>
      <c r="B12" s="39">
        <f>資料儲存!D3128</f>
        <v>0</v>
      </c>
      <c r="C12" s="39">
        <f>資料儲存!E3128</f>
        <v>0</v>
      </c>
      <c r="D12" s="39">
        <f>資料儲存!F3128</f>
        <v>0</v>
      </c>
      <c r="E12" s="39">
        <f>資料儲存!G3128</f>
        <v>0</v>
      </c>
      <c r="F12" s="39">
        <f>資料儲存!H3128</f>
        <v>0</v>
      </c>
      <c r="G12" s="39">
        <f>資料儲存!I3128</f>
        <v>0</v>
      </c>
      <c r="H12" s="39">
        <f>資料儲存!J3128</f>
        <v>0</v>
      </c>
      <c r="I12" s="58"/>
      <c r="J12" s="61">
        <v>7</v>
      </c>
      <c r="K12" s="39">
        <f>資料儲存!D3248</f>
        <v>0</v>
      </c>
      <c r="L12" s="39">
        <f>資料儲存!E3248</f>
        <v>0</v>
      </c>
      <c r="M12" s="39">
        <f>資料儲存!F3248</f>
        <v>0</v>
      </c>
      <c r="N12" s="39">
        <f>資料儲存!G3248</f>
        <v>0</v>
      </c>
      <c r="O12" s="39">
        <f>資料儲存!H3248</f>
        <v>0</v>
      </c>
      <c r="P12" s="39">
        <f>資料儲存!I3248</f>
        <v>0</v>
      </c>
      <c r="Q12" s="39">
        <f>資料儲存!J3248</f>
        <v>0</v>
      </c>
      <c r="R12" s="58"/>
      <c r="S12" s="61">
        <v>7</v>
      </c>
      <c r="T12" s="39">
        <f>資料儲存!D3368</f>
        <v>0</v>
      </c>
      <c r="U12" s="39">
        <f>資料儲存!E3368</f>
        <v>0</v>
      </c>
      <c r="V12" s="39">
        <f>資料儲存!F3368</f>
        <v>0</v>
      </c>
      <c r="W12" s="39">
        <f>資料儲存!G3368</f>
        <v>0</v>
      </c>
      <c r="X12" s="39">
        <f>資料儲存!H3368</f>
        <v>0</v>
      </c>
      <c r="Y12" s="39">
        <f>資料儲存!I3368</f>
        <v>0</v>
      </c>
      <c r="Z12" s="39">
        <f>資料儲存!J3368</f>
        <v>0</v>
      </c>
      <c r="AA12" s="58"/>
      <c r="AB12" s="61">
        <v>7</v>
      </c>
      <c r="AC12" s="39">
        <f>資料儲存!D3488</f>
        <v>0</v>
      </c>
      <c r="AD12" s="39">
        <f>資料儲存!E3488</f>
        <v>0</v>
      </c>
      <c r="AE12" s="39">
        <f>資料儲存!F3488</f>
        <v>0</v>
      </c>
      <c r="AF12" s="39">
        <f>資料儲存!G3488</f>
        <v>0</v>
      </c>
      <c r="AG12" s="39">
        <f>資料儲存!H3488</f>
        <v>0</v>
      </c>
      <c r="AH12" s="39">
        <f>資料儲存!I3488</f>
        <v>0</v>
      </c>
      <c r="AI12" s="39">
        <f>資料儲存!J3488</f>
        <v>0</v>
      </c>
      <c r="AJ12" s="58"/>
    </row>
    <row r="13" spans="1:36" ht="16" thickBot="1">
      <c r="A13" s="61">
        <v>8</v>
      </c>
      <c r="B13" s="39">
        <f>資料儲存!D3129</f>
        <v>0</v>
      </c>
      <c r="C13" s="39">
        <f>資料儲存!E3129</f>
        <v>0</v>
      </c>
      <c r="D13" s="39">
        <f>資料儲存!F3129</f>
        <v>0</v>
      </c>
      <c r="E13" s="39">
        <f>資料儲存!G3129</f>
        <v>0</v>
      </c>
      <c r="F13" s="39">
        <f>資料儲存!H3129</f>
        <v>0</v>
      </c>
      <c r="G13" s="39">
        <f>資料儲存!I3129</f>
        <v>0</v>
      </c>
      <c r="H13" s="39">
        <f>資料儲存!J3129</f>
        <v>0</v>
      </c>
      <c r="I13" s="58"/>
      <c r="J13" s="61">
        <v>8</v>
      </c>
      <c r="K13" s="39">
        <f>資料儲存!D3249</f>
        <v>0</v>
      </c>
      <c r="L13" s="39">
        <f>資料儲存!E3249</f>
        <v>0</v>
      </c>
      <c r="M13" s="39">
        <f>資料儲存!F3249</f>
        <v>0</v>
      </c>
      <c r="N13" s="39">
        <f>資料儲存!G3249</f>
        <v>0</v>
      </c>
      <c r="O13" s="39">
        <f>資料儲存!H3249</f>
        <v>0</v>
      </c>
      <c r="P13" s="39">
        <f>資料儲存!I3249</f>
        <v>0</v>
      </c>
      <c r="Q13" s="39">
        <f>資料儲存!J3249</f>
        <v>0</v>
      </c>
      <c r="R13" s="58"/>
      <c r="S13" s="61">
        <v>8</v>
      </c>
      <c r="T13" s="39">
        <f>資料儲存!D3369</f>
        <v>0</v>
      </c>
      <c r="U13" s="39">
        <f>資料儲存!E3369</f>
        <v>0</v>
      </c>
      <c r="V13" s="39">
        <f>資料儲存!F3369</f>
        <v>0</v>
      </c>
      <c r="W13" s="39">
        <f>資料儲存!G3369</f>
        <v>0</v>
      </c>
      <c r="X13" s="39">
        <f>資料儲存!H3369</f>
        <v>0</v>
      </c>
      <c r="Y13" s="39">
        <f>資料儲存!I3369</f>
        <v>0</v>
      </c>
      <c r="Z13" s="39">
        <f>資料儲存!J3369</f>
        <v>0</v>
      </c>
      <c r="AA13" s="58"/>
      <c r="AB13" s="61">
        <v>8</v>
      </c>
      <c r="AC13" s="39">
        <f>資料儲存!D3489</f>
        <v>0</v>
      </c>
      <c r="AD13" s="39">
        <f>資料儲存!E3489</f>
        <v>0</v>
      </c>
      <c r="AE13" s="39">
        <f>資料儲存!F3489</f>
        <v>0</v>
      </c>
      <c r="AF13" s="39">
        <f>資料儲存!G3489</f>
        <v>0</v>
      </c>
      <c r="AG13" s="39">
        <f>資料儲存!H3489</f>
        <v>0</v>
      </c>
      <c r="AH13" s="39">
        <f>資料儲存!I3489</f>
        <v>0</v>
      </c>
      <c r="AI13" s="39">
        <f>資料儲存!J3489</f>
        <v>0</v>
      </c>
      <c r="AJ13" s="58"/>
    </row>
    <row r="14" spans="1:36" ht="16" thickBot="1">
      <c r="A14" s="61">
        <v>9</v>
      </c>
      <c r="B14" s="39">
        <f>資料儲存!D3130</f>
        <v>0</v>
      </c>
      <c r="C14" s="39">
        <f>資料儲存!E3130</f>
        <v>0</v>
      </c>
      <c r="D14" s="39">
        <f>資料儲存!F3130</f>
        <v>0</v>
      </c>
      <c r="E14" s="39">
        <f>資料儲存!G3130</f>
        <v>0</v>
      </c>
      <c r="F14" s="39">
        <f>資料儲存!H3130</f>
        <v>0</v>
      </c>
      <c r="G14" s="39">
        <f>資料儲存!I3130</f>
        <v>0</v>
      </c>
      <c r="H14" s="39">
        <f>資料儲存!J3130</f>
        <v>0</v>
      </c>
      <c r="I14" s="58"/>
      <c r="J14" s="61">
        <v>9</v>
      </c>
      <c r="K14" s="39">
        <f>資料儲存!D3250</f>
        <v>0</v>
      </c>
      <c r="L14" s="39">
        <f>資料儲存!E3250</f>
        <v>0</v>
      </c>
      <c r="M14" s="39">
        <f>資料儲存!F3250</f>
        <v>0</v>
      </c>
      <c r="N14" s="39">
        <f>資料儲存!G3250</f>
        <v>0</v>
      </c>
      <c r="O14" s="39">
        <f>資料儲存!H3250</f>
        <v>0</v>
      </c>
      <c r="P14" s="39">
        <f>資料儲存!I3250</f>
        <v>0</v>
      </c>
      <c r="Q14" s="39">
        <f>資料儲存!J3250</f>
        <v>0</v>
      </c>
      <c r="R14" s="58"/>
      <c r="S14" s="61">
        <v>9</v>
      </c>
      <c r="T14" s="39">
        <f>資料儲存!D3370</f>
        <v>0</v>
      </c>
      <c r="U14" s="39">
        <f>資料儲存!E3370</f>
        <v>0</v>
      </c>
      <c r="V14" s="39">
        <f>資料儲存!F3370</f>
        <v>0</v>
      </c>
      <c r="W14" s="39">
        <f>資料儲存!G3370</f>
        <v>0</v>
      </c>
      <c r="X14" s="39">
        <f>資料儲存!H3370</f>
        <v>0</v>
      </c>
      <c r="Y14" s="39">
        <f>資料儲存!I3370</f>
        <v>0</v>
      </c>
      <c r="Z14" s="39">
        <f>資料儲存!J3370</f>
        <v>0</v>
      </c>
      <c r="AA14" s="58"/>
      <c r="AB14" s="61">
        <v>9</v>
      </c>
      <c r="AC14" s="39">
        <f>資料儲存!D3490</f>
        <v>0</v>
      </c>
      <c r="AD14" s="39">
        <f>資料儲存!E3490</f>
        <v>0</v>
      </c>
      <c r="AE14" s="39">
        <f>資料儲存!F3490</f>
        <v>0</v>
      </c>
      <c r="AF14" s="39">
        <f>資料儲存!G3490</f>
        <v>0</v>
      </c>
      <c r="AG14" s="39">
        <f>資料儲存!H3490</f>
        <v>0</v>
      </c>
      <c r="AH14" s="39">
        <f>資料儲存!I3490</f>
        <v>0</v>
      </c>
      <c r="AI14" s="39">
        <f>資料儲存!J3490</f>
        <v>0</v>
      </c>
      <c r="AJ14" s="58"/>
    </row>
    <row r="15" spans="1:36" ht="16" thickBot="1">
      <c r="A15" s="61">
        <v>10</v>
      </c>
      <c r="B15" s="39">
        <f>資料儲存!D3131</f>
        <v>0</v>
      </c>
      <c r="C15" s="39">
        <f>資料儲存!E3131</f>
        <v>0</v>
      </c>
      <c r="D15" s="39">
        <f>資料儲存!F3131</f>
        <v>0</v>
      </c>
      <c r="E15" s="39">
        <f>資料儲存!G3131</f>
        <v>0</v>
      </c>
      <c r="F15" s="39">
        <f>資料儲存!H3131</f>
        <v>0</v>
      </c>
      <c r="G15" s="39">
        <f>資料儲存!I3131</f>
        <v>0</v>
      </c>
      <c r="H15" s="39">
        <f>資料儲存!J3131</f>
        <v>0</v>
      </c>
      <c r="I15" s="58"/>
      <c r="J15" s="61">
        <v>10</v>
      </c>
      <c r="K15" s="39">
        <f>資料儲存!D3251</f>
        <v>0</v>
      </c>
      <c r="L15" s="39">
        <f>資料儲存!E3251</f>
        <v>0</v>
      </c>
      <c r="M15" s="39">
        <f>資料儲存!F3251</f>
        <v>0</v>
      </c>
      <c r="N15" s="39">
        <f>資料儲存!G3251</f>
        <v>0</v>
      </c>
      <c r="O15" s="39">
        <f>資料儲存!H3251</f>
        <v>0</v>
      </c>
      <c r="P15" s="39">
        <f>資料儲存!I3251</f>
        <v>0</v>
      </c>
      <c r="Q15" s="39">
        <f>資料儲存!J3251</f>
        <v>0</v>
      </c>
      <c r="R15" s="58"/>
      <c r="S15" s="61">
        <v>10</v>
      </c>
      <c r="T15" s="39">
        <f>資料儲存!D3371</f>
        <v>0</v>
      </c>
      <c r="U15" s="39">
        <f>資料儲存!E3371</f>
        <v>0</v>
      </c>
      <c r="V15" s="39">
        <f>資料儲存!F3371</f>
        <v>0</v>
      </c>
      <c r="W15" s="39">
        <f>資料儲存!G3371</f>
        <v>0</v>
      </c>
      <c r="X15" s="39">
        <f>資料儲存!H3371</f>
        <v>0</v>
      </c>
      <c r="Y15" s="39">
        <f>資料儲存!I3371</f>
        <v>0</v>
      </c>
      <c r="Z15" s="39">
        <f>資料儲存!J3371</f>
        <v>0</v>
      </c>
      <c r="AA15" s="58"/>
      <c r="AB15" s="61">
        <v>10</v>
      </c>
      <c r="AC15" s="39">
        <f>資料儲存!D3491</f>
        <v>0</v>
      </c>
      <c r="AD15" s="39">
        <f>資料儲存!E3491</f>
        <v>0</v>
      </c>
      <c r="AE15" s="39">
        <f>資料儲存!F3491</f>
        <v>0</v>
      </c>
      <c r="AF15" s="39">
        <f>資料儲存!G3491</f>
        <v>0</v>
      </c>
      <c r="AG15" s="39">
        <f>資料儲存!H3491</f>
        <v>0</v>
      </c>
      <c r="AH15" s="39">
        <f>資料儲存!I3491</f>
        <v>0</v>
      </c>
      <c r="AI15" s="39">
        <f>資料儲存!J3491</f>
        <v>0</v>
      </c>
      <c r="AJ15" s="58"/>
    </row>
    <row r="16" spans="1:36" ht="16" thickBot="1">
      <c r="A16" s="61">
        <v>11</v>
      </c>
      <c r="B16" s="39">
        <f>資料儲存!D3132</f>
        <v>0</v>
      </c>
      <c r="C16" s="39">
        <f>資料儲存!E3132</f>
        <v>0</v>
      </c>
      <c r="D16" s="39">
        <f>資料儲存!F3132</f>
        <v>0</v>
      </c>
      <c r="E16" s="39">
        <f>資料儲存!G3132</f>
        <v>0</v>
      </c>
      <c r="F16" s="39">
        <f>資料儲存!H3132</f>
        <v>0</v>
      </c>
      <c r="G16" s="39">
        <f>資料儲存!I3132</f>
        <v>0</v>
      </c>
      <c r="H16" s="39">
        <f>資料儲存!J3132</f>
        <v>0</v>
      </c>
      <c r="I16" s="58"/>
      <c r="J16" s="61">
        <v>11</v>
      </c>
      <c r="K16" s="39">
        <f>資料儲存!D3252</f>
        <v>0</v>
      </c>
      <c r="L16" s="39">
        <f>資料儲存!E3252</f>
        <v>0</v>
      </c>
      <c r="M16" s="39">
        <f>資料儲存!F3252</f>
        <v>0</v>
      </c>
      <c r="N16" s="39">
        <f>資料儲存!G3252</f>
        <v>0</v>
      </c>
      <c r="O16" s="39">
        <f>資料儲存!H3252</f>
        <v>0</v>
      </c>
      <c r="P16" s="39">
        <f>資料儲存!I3252</f>
        <v>0</v>
      </c>
      <c r="Q16" s="39">
        <f>資料儲存!J3252</f>
        <v>0</v>
      </c>
      <c r="R16" s="58"/>
      <c r="S16" s="61">
        <v>11</v>
      </c>
      <c r="T16" s="39">
        <f>資料儲存!D3372</f>
        <v>0</v>
      </c>
      <c r="U16" s="39">
        <f>資料儲存!E3372</f>
        <v>0</v>
      </c>
      <c r="V16" s="39">
        <f>資料儲存!F3372</f>
        <v>0</v>
      </c>
      <c r="W16" s="39">
        <f>資料儲存!G3372</f>
        <v>0</v>
      </c>
      <c r="X16" s="39">
        <f>資料儲存!H3372</f>
        <v>0</v>
      </c>
      <c r="Y16" s="39">
        <f>資料儲存!I3372</f>
        <v>0</v>
      </c>
      <c r="Z16" s="39">
        <f>資料儲存!J3372</f>
        <v>0</v>
      </c>
      <c r="AA16" s="58"/>
      <c r="AB16" s="61">
        <v>11</v>
      </c>
      <c r="AC16" s="39">
        <f>資料儲存!D3492</f>
        <v>0</v>
      </c>
      <c r="AD16" s="39">
        <f>資料儲存!E3492</f>
        <v>0</v>
      </c>
      <c r="AE16" s="39">
        <f>資料儲存!F3492</f>
        <v>0</v>
      </c>
      <c r="AF16" s="39">
        <f>資料儲存!G3492</f>
        <v>0</v>
      </c>
      <c r="AG16" s="39">
        <f>資料儲存!H3492</f>
        <v>0</v>
      </c>
      <c r="AH16" s="39">
        <f>資料儲存!I3492</f>
        <v>0</v>
      </c>
      <c r="AI16" s="39">
        <f>資料儲存!J3492</f>
        <v>0</v>
      </c>
      <c r="AJ16" s="58"/>
    </row>
    <row r="17" spans="1:36" ht="16" thickBot="1">
      <c r="A17" s="61">
        <v>12</v>
      </c>
      <c r="B17" s="39">
        <f>資料儲存!D3133</f>
        <v>0</v>
      </c>
      <c r="C17" s="39">
        <f>資料儲存!E3133</f>
        <v>0</v>
      </c>
      <c r="D17" s="39">
        <f>資料儲存!F3133</f>
        <v>0</v>
      </c>
      <c r="E17" s="39">
        <f>資料儲存!G3133</f>
        <v>0</v>
      </c>
      <c r="F17" s="39">
        <f>資料儲存!H3133</f>
        <v>0</v>
      </c>
      <c r="G17" s="39">
        <f>資料儲存!I3133</f>
        <v>0</v>
      </c>
      <c r="H17" s="39">
        <f>資料儲存!J3133</f>
        <v>0</v>
      </c>
      <c r="I17" s="58"/>
      <c r="J17" s="61">
        <v>12</v>
      </c>
      <c r="K17" s="39">
        <f>資料儲存!D3253</f>
        <v>0</v>
      </c>
      <c r="L17" s="39">
        <f>資料儲存!E3253</f>
        <v>0</v>
      </c>
      <c r="M17" s="39">
        <f>資料儲存!F3253</f>
        <v>0</v>
      </c>
      <c r="N17" s="39">
        <f>資料儲存!G3253</f>
        <v>0</v>
      </c>
      <c r="O17" s="39">
        <f>資料儲存!H3253</f>
        <v>0</v>
      </c>
      <c r="P17" s="39">
        <f>資料儲存!I3253</f>
        <v>0</v>
      </c>
      <c r="Q17" s="39">
        <f>資料儲存!J3253</f>
        <v>0</v>
      </c>
      <c r="R17" s="58"/>
      <c r="S17" s="61">
        <v>12</v>
      </c>
      <c r="T17" s="39">
        <f>資料儲存!D3373</f>
        <v>0</v>
      </c>
      <c r="U17" s="39">
        <f>資料儲存!E3373</f>
        <v>0</v>
      </c>
      <c r="V17" s="39">
        <f>資料儲存!F3373</f>
        <v>0</v>
      </c>
      <c r="W17" s="39">
        <f>資料儲存!G3373</f>
        <v>0</v>
      </c>
      <c r="X17" s="39">
        <f>資料儲存!H3373</f>
        <v>0</v>
      </c>
      <c r="Y17" s="39">
        <f>資料儲存!I3373</f>
        <v>0</v>
      </c>
      <c r="Z17" s="39">
        <f>資料儲存!J3373</f>
        <v>0</v>
      </c>
      <c r="AA17" s="58"/>
      <c r="AB17" s="61">
        <v>12</v>
      </c>
      <c r="AC17" s="39">
        <f>資料儲存!D3493</f>
        <v>0</v>
      </c>
      <c r="AD17" s="39">
        <f>資料儲存!E3493</f>
        <v>0</v>
      </c>
      <c r="AE17" s="39">
        <f>資料儲存!F3493</f>
        <v>0</v>
      </c>
      <c r="AF17" s="39">
        <f>資料儲存!G3493</f>
        <v>0</v>
      </c>
      <c r="AG17" s="39">
        <f>資料儲存!H3493</f>
        <v>0</v>
      </c>
      <c r="AH17" s="39">
        <f>資料儲存!I3493</f>
        <v>0</v>
      </c>
      <c r="AI17" s="39">
        <f>資料儲存!J3493</f>
        <v>0</v>
      </c>
      <c r="AJ17" s="58"/>
    </row>
    <row r="18" spans="1:36" ht="16" thickBot="1">
      <c r="A18" s="61">
        <v>13</v>
      </c>
      <c r="B18" s="39">
        <f>資料儲存!D3134</f>
        <v>0</v>
      </c>
      <c r="C18" s="39">
        <f>資料儲存!E3134</f>
        <v>0</v>
      </c>
      <c r="D18" s="39">
        <f>資料儲存!F3134</f>
        <v>0</v>
      </c>
      <c r="E18" s="39">
        <f>資料儲存!G3134</f>
        <v>0</v>
      </c>
      <c r="F18" s="39">
        <f>資料儲存!H3134</f>
        <v>0</v>
      </c>
      <c r="G18" s="39">
        <f>資料儲存!I3134</f>
        <v>0</v>
      </c>
      <c r="H18" s="39">
        <f>資料儲存!J3134</f>
        <v>0</v>
      </c>
      <c r="I18" s="58"/>
      <c r="J18" s="61">
        <v>13</v>
      </c>
      <c r="K18" s="39">
        <f>資料儲存!D3254</f>
        <v>0</v>
      </c>
      <c r="L18" s="39">
        <f>資料儲存!E3254</f>
        <v>0</v>
      </c>
      <c r="M18" s="39">
        <f>資料儲存!F3254</f>
        <v>0</v>
      </c>
      <c r="N18" s="39">
        <f>資料儲存!G3254</f>
        <v>0</v>
      </c>
      <c r="O18" s="39">
        <f>資料儲存!H3254</f>
        <v>0</v>
      </c>
      <c r="P18" s="39">
        <f>資料儲存!I3254</f>
        <v>0</v>
      </c>
      <c r="Q18" s="39">
        <f>資料儲存!J3254</f>
        <v>0</v>
      </c>
      <c r="R18" s="58"/>
      <c r="S18" s="61">
        <v>13</v>
      </c>
      <c r="T18" s="39">
        <f>資料儲存!D3374</f>
        <v>0</v>
      </c>
      <c r="U18" s="39">
        <f>資料儲存!E3374</f>
        <v>0</v>
      </c>
      <c r="V18" s="39">
        <f>資料儲存!F3374</f>
        <v>0</v>
      </c>
      <c r="W18" s="39">
        <f>資料儲存!G3374</f>
        <v>0</v>
      </c>
      <c r="X18" s="39">
        <f>資料儲存!H3374</f>
        <v>0</v>
      </c>
      <c r="Y18" s="39">
        <f>資料儲存!I3374</f>
        <v>0</v>
      </c>
      <c r="Z18" s="39">
        <f>資料儲存!J3374</f>
        <v>0</v>
      </c>
      <c r="AA18" s="58"/>
      <c r="AB18" s="61">
        <v>13</v>
      </c>
      <c r="AC18" s="39">
        <f>資料儲存!D3494</f>
        <v>0</v>
      </c>
      <c r="AD18" s="39">
        <f>資料儲存!E3494</f>
        <v>0</v>
      </c>
      <c r="AE18" s="39">
        <f>資料儲存!F3494</f>
        <v>0</v>
      </c>
      <c r="AF18" s="39">
        <f>資料儲存!G3494</f>
        <v>0</v>
      </c>
      <c r="AG18" s="39">
        <f>資料儲存!H3494</f>
        <v>0</v>
      </c>
      <c r="AH18" s="39">
        <f>資料儲存!I3494</f>
        <v>0</v>
      </c>
      <c r="AI18" s="39">
        <f>資料儲存!J3494</f>
        <v>0</v>
      </c>
      <c r="AJ18" s="58"/>
    </row>
    <row r="19" spans="1:36" ht="16" thickBot="1">
      <c r="A19" s="61">
        <v>14</v>
      </c>
      <c r="B19" s="39">
        <f>資料儲存!D3135</f>
        <v>0</v>
      </c>
      <c r="C19" s="39">
        <f>資料儲存!E3135</f>
        <v>0</v>
      </c>
      <c r="D19" s="39">
        <f>資料儲存!F3135</f>
        <v>0</v>
      </c>
      <c r="E19" s="39">
        <f>資料儲存!G3135</f>
        <v>0</v>
      </c>
      <c r="F19" s="39">
        <f>資料儲存!H3135</f>
        <v>0</v>
      </c>
      <c r="G19" s="39">
        <f>資料儲存!I3135</f>
        <v>0</v>
      </c>
      <c r="H19" s="39">
        <f>資料儲存!J3135</f>
        <v>0</v>
      </c>
      <c r="I19" s="58"/>
      <c r="J19" s="61">
        <v>14</v>
      </c>
      <c r="K19" s="39">
        <f>資料儲存!D3255</f>
        <v>0</v>
      </c>
      <c r="L19" s="39">
        <f>資料儲存!E3255</f>
        <v>0</v>
      </c>
      <c r="M19" s="39">
        <f>資料儲存!F3255</f>
        <v>0</v>
      </c>
      <c r="N19" s="39">
        <f>資料儲存!G3255</f>
        <v>0</v>
      </c>
      <c r="O19" s="39">
        <f>資料儲存!H3255</f>
        <v>0</v>
      </c>
      <c r="P19" s="39">
        <f>資料儲存!I3255</f>
        <v>0</v>
      </c>
      <c r="Q19" s="39">
        <f>資料儲存!J3255</f>
        <v>0</v>
      </c>
      <c r="R19" s="58"/>
      <c r="S19" s="61">
        <v>14</v>
      </c>
      <c r="T19" s="39">
        <f>資料儲存!D3375</f>
        <v>0</v>
      </c>
      <c r="U19" s="39">
        <f>資料儲存!E3375</f>
        <v>0</v>
      </c>
      <c r="V19" s="39">
        <f>資料儲存!F3375</f>
        <v>0</v>
      </c>
      <c r="W19" s="39">
        <f>資料儲存!G3375</f>
        <v>0</v>
      </c>
      <c r="X19" s="39">
        <f>資料儲存!H3375</f>
        <v>0</v>
      </c>
      <c r="Y19" s="39">
        <f>資料儲存!I3375</f>
        <v>0</v>
      </c>
      <c r="Z19" s="39">
        <f>資料儲存!J3375</f>
        <v>0</v>
      </c>
      <c r="AA19" s="58"/>
      <c r="AB19" s="61">
        <v>14</v>
      </c>
      <c r="AC19" s="39">
        <f>資料儲存!D3495</f>
        <v>0</v>
      </c>
      <c r="AD19" s="39">
        <f>資料儲存!E3495</f>
        <v>0</v>
      </c>
      <c r="AE19" s="39">
        <f>資料儲存!F3495</f>
        <v>0</v>
      </c>
      <c r="AF19" s="39">
        <f>資料儲存!G3495</f>
        <v>0</v>
      </c>
      <c r="AG19" s="39">
        <f>資料儲存!H3495</f>
        <v>0</v>
      </c>
      <c r="AH19" s="39">
        <f>資料儲存!I3495</f>
        <v>0</v>
      </c>
      <c r="AI19" s="39">
        <f>資料儲存!J3495</f>
        <v>0</v>
      </c>
      <c r="AJ19" s="58"/>
    </row>
    <row r="20" spans="1:36" ht="16" thickBot="1">
      <c r="A20" s="61">
        <v>15</v>
      </c>
      <c r="B20" s="39">
        <f>資料儲存!D3136</f>
        <v>0</v>
      </c>
      <c r="C20" s="39">
        <f>資料儲存!E3136</f>
        <v>0</v>
      </c>
      <c r="D20" s="39">
        <f>資料儲存!F3136</f>
        <v>0</v>
      </c>
      <c r="E20" s="39">
        <f>資料儲存!G3136</f>
        <v>0</v>
      </c>
      <c r="F20" s="39">
        <f>資料儲存!H3136</f>
        <v>0</v>
      </c>
      <c r="G20" s="39">
        <f>資料儲存!I3136</f>
        <v>0</v>
      </c>
      <c r="H20" s="39">
        <f>資料儲存!J3136</f>
        <v>0</v>
      </c>
      <c r="I20" s="58"/>
      <c r="J20" s="61">
        <v>15</v>
      </c>
      <c r="K20" s="39">
        <f>資料儲存!D3256</f>
        <v>0</v>
      </c>
      <c r="L20" s="39">
        <f>資料儲存!E3256</f>
        <v>0</v>
      </c>
      <c r="M20" s="39">
        <f>資料儲存!F3256</f>
        <v>0</v>
      </c>
      <c r="N20" s="39">
        <f>資料儲存!G3256</f>
        <v>0</v>
      </c>
      <c r="O20" s="39">
        <f>資料儲存!H3256</f>
        <v>0</v>
      </c>
      <c r="P20" s="39">
        <f>資料儲存!I3256</f>
        <v>0</v>
      </c>
      <c r="Q20" s="39">
        <f>資料儲存!J3256</f>
        <v>0</v>
      </c>
      <c r="R20" s="58"/>
      <c r="S20" s="61">
        <v>15</v>
      </c>
      <c r="T20" s="39">
        <f>資料儲存!D3376</f>
        <v>0</v>
      </c>
      <c r="U20" s="39">
        <f>資料儲存!E3376</f>
        <v>0</v>
      </c>
      <c r="V20" s="39">
        <f>資料儲存!F3376</f>
        <v>0</v>
      </c>
      <c r="W20" s="39">
        <f>資料儲存!G3376</f>
        <v>0</v>
      </c>
      <c r="X20" s="39">
        <f>資料儲存!H3376</f>
        <v>0</v>
      </c>
      <c r="Y20" s="39">
        <f>資料儲存!I3376</f>
        <v>0</v>
      </c>
      <c r="Z20" s="39">
        <f>資料儲存!J3376</f>
        <v>0</v>
      </c>
      <c r="AA20" s="58"/>
      <c r="AB20" s="61">
        <v>15</v>
      </c>
      <c r="AC20" s="39">
        <f>資料儲存!D3496</f>
        <v>0</v>
      </c>
      <c r="AD20" s="39">
        <f>資料儲存!E3496</f>
        <v>0</v>
      </c>
      <c r="AE20" s="39">
        <f>資料儲存!F3496</f>
        <v>0</v>
      </c>
      <c r="AF20" s="39">
        <f>資料儲存!G3496</f>
        <v>0</v>
      </c>
      <c r="AG20" s="39">
        <f>資料儲存!H3496</f>
        <v>0</v>
      </c>
      <c r="AH20" s="39">
        <f>資料儲存!I3496</f>
        <v>0</v>
      </c>
      <c r="AI20" s="39">
        <f>資料儲存!J3496</f>
        <v>0</v>
      </c>
      <c r="AJ20" s="58"/>
    </row>
    <row r="21" spans="1:36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</row>
    <row r="22" spans="1:36" ht="18.5" thickBot="1">
      <c r="A22" s="259" t="s">
        <v>118</v>
      </c>
      <c r="B22" s="260"/>
      <c r="C22" s="260"/>
      <c r="D22" s="260"/>
      <c r="E22" s="260"/>
      <c r="F22" s="260"/>
      <c r="G22" s="260"/>
      <c r="H22" s="261"/>
      <c r="I22" s="14"/>
      <c r="J22" s="259" t="s">
        <v>118</v>
      </c>
      <c r="K22" s="260"/>
      <c r="L22" s="260"/>
      <c r="M22" s="260"/>
      <c r="N22" s="260"/>
      <c r="O22" s="260"/>
      <c r="P22" s="260"/>
      <c r="Q22" s="261"/>
      <c r="R22" s="14"/>
      <c r="S22" s="259" t="s">
        <v>118</v>
      </c>
      <c r="T22" s="260"/>
      <c r="U22" s="260"/>
      <c r="V22" s="260"/>
      <c r="W22" s="260"/>
      <c r="X22" s="260"/>
      <c r="Y22" s="260"/>
      <c r="Z22" s="261"/>
      <c r="AA22" s="14"/>
      <c r="AB22" s="259" t="s">
        <v>118</v>
      </c>
      <c r="AC22" s="260"/>
      <c r="AD22" s="260"/>
      <c r="AE22" s="260"/>
      <c r="AF22" s="260"/>
      <c r="AG22" s="260"/>
      <c r="AH22" s="260"/>
      <c r="AI22" s="261"/>
      <c r="AJ22" s="14"/>
    </row>
    <row r="23" spans="1:36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</row>
    <row r="24" spans="1:36" ht="16" thickBot="1">
      <c r="A24" s="66">
        <v>0.67708333333333337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>
        <v>0.67708333333333337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>
        <v>0.67708333333333337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>
        <v>0.67708333333333337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</row>
    <row r="25" spans="1:36" ht="16" thickBot="1">
      <c r="A25" s="68">
        <v>16</v>
      </c>
      <c r="B25" s="49">
        <f>資料儲存!D3137</f>
        <v>0</v>
      </c>
      <c r="C25" s="49">
        <f>資料儲存!E3137</f>
        <v>0</v>
      </c>
      <c r="D25" s="49">
        <f>資料儲存!F3137</f>
        <v>0</v>
      </c>
      <c r="E25" s="49">
        <f>資料儲存!G3137</f>
        <v>0</v>
      </c>
      <c r="F25" s="49">
        <f>資料儲存!H3137</f>
        <v>0</v>
      </c>
      <c r="G25" s="49">
        <f>資料儲存!I3137</f>
        <v>0</v>
      </c>
      <c r="H25" s="49">
        <f>資料儲存!J3137</f>
        <v>0</v>
      </c>
      <c r="I25" s="52"/>
      <c r="J25" s="68">
        <v>16</v>
      </c>
      <c r="K25" s="49">
        <f>資料儲存!D3257</f>
        <v>0</v>
      </c>
      <c r="L25" s="49">
        <f>資料儲存!E3257</f>
        <v>0</v>
      </c>
      <c r="M25" s="49">
        <f>資料儲存!F3257</f>
        <v>0</v>
      </c>
      <c r="N25" s="49">
        <f>資料儲存!G3257</f>
        <v>0</v>
      </c>
      <c r="O25" s="49">
        <f>資料儲存!H3257</f>
        <v>0</v>
      </c>
      <c r="P25" s="49">
        <f>資料儲存!I3257</f>
        <v>0</v>
      </c>
      <c r="Q25" s="49">
        <f>資料儲存!J3257</f>
        <v>0</v>
      </c>
      <c r="R25" s="52"/>
      <c r="S25" s="68">
        <v>16</v>
      </c>
      <c r="T25" s="49">
        <f>資料儲存!D3377</f>
        <v>0</v>
      </c>
      <c r="U25" s="49">
        <f>資料儲存!E3377</f>
        <v>0</v>
      </c>
      <c r="V25" s="49">
        <f>資料儲存!F3377</f>
        <v>0</v>
      </c>
      <c r="W25" s="49">
        <f>資料儲存!G3377</f>
        <v>0</v>
      </c>
      <c r="X25" s="49">
        <f>資料儲存!H3377</f>
        <v>0</v>
      </c>
      <c r="Y25" s="49">
        <f>資料儲存!I3377</f>
        <v>0</v>
      </c>
      <c r="Z25" s="49">
        <f>資料儲存!J3377</f>
        <v>0</v>
      </c>
      <c r="AA25" s="52"/>
      <c r="AB25" s="68">
        <v>16</v>
      </c>
      <c r="AC25" s="49">
        <f>資料儲存!D3497</f>
        <v>0</v>
      </c>
      <c r="AD25" s="49">
        <f>資料儲存!E3497</f>
        <v>0</v>
      </c>
      <c r="AE25" s="49">
        <f>資料儲存!F3497</f>
        <v>0</v>
      </c>
      <c r="AF25" s="49">
        <f>資料儲存!G3497</f>
        <v>0</v>
      </c>
      <c r="AG25" s="49">
        <f>資料儲存!H3497</f>
        <v>0</v>
      </c>
      <c r="AH25" s="49">
        <f>資料儲存!I3497</f>
        <v>0</v>
      </c>
      <c r="AI25" s="49">
        <f>資料儲存!J3497</f>
        <v>0</v>
      </c>
      <c r="AJ25" s="52"/>
    </row>
    <row r="26" spans="1:36" ht="16" thickBot="1">
      <c r="A26" s="68">
        <v>17</v>
      </c>
      <c r="B26" s="49">
        <f>資料儲存!D3138</f>
        <v>0</v>
      </c>
      <c r="C26" s="49">
        <f>資料儲存!E3138</f>
        <v>0</v>
      </c>
      <c r="D26" s="49">
        <f>資料儲存!F3138</f>
        <v>0</v>
      </c>
      <c r="E26" s="49">
        <f>資料儲存!G3138</f>
        <v>0</v>
      </c>
      <c r="F26" s="49">
        <f>資料儲存!H3138</f>
        <v>0</v>
      </c>
      <c r="G26" s="49">
        <f>資料儲存!I3138</f>
        <v>0</v>
      </c>
      <c r="H26" s="49">
        <f>資料儲存!J3138</f>
        <v>0</v>
      </c>
      <c r="I26" s="52"/>
      <c r="J26" s="68">
        <v>17</v>
      </c>
      <c r="K26" s="49">
        <f>資料儲存!D3258</f>
        <v>0</v>
      </c>
      <c r="L26" s="49">
        <f>資料儲存!E3258</f>
        <v>0</v>
      </c>
      <c r="M26" s="49">
        <f>資料儲存!F3258</f>
        <v>0</v>
      </c>
      <c r="N26" s="49">
        <f>資料儲存!G3258</f>
        <v>0</v>
      </c>
      <c r="O26" s="49">
        <f>資料儲存!H3258</f>
        <v>0</v>
      </c>
      <c r="P26" s="49">
        <f>資料儲存!I3258</f>
        <v>0</v>
      </c>
      <c r="Q26" s="49">
        <f>資料儲存!J3258</f>
        <v>0</v>
      </c>
      <c r="R26" s="52"/>
      <c r="S26" s="68">
        <v>17</v>
      </c>
      <c r="T26" s="49">
        <f>資料儲存!D3378</f>
        <v>0</v>
      </c>
      <c r="U26" s="49">
        <f>資料儲存!E3378</f>
        <v>0</v>
      </c>
      <c r="V26" s="49">
        <f>資料儲存!F3378</f>
        <v>0</v>
      </c>
      <c r="W26" s="49">
        <f>資料儲存!G3378</f>
        <v>0</v>
      </c>
      <c r="X26" s="49">
        <f>資料儲存!H3378</f>
        <v>0</v>
      </c>
      <c r="Y26" s="49">
        <f>資料儲存!I3378</f>
        <v>0</v>
      </c>
      <c r="Z26" s="49">
        <f>資料儲存!J3378</f>
        <v>0</v>
      </c>
      <c r="AA26" s="52"/>
      <c r="AB26" s="68">
        <v>17</v>
      </c>
      <c r="AC26" s="49">
        <f>資料儲存!D3498</f>
        <v>0</v>
      </c>
      <c r="AD26" s="49">
        <f>資料儲存!E3498</f>
        <v>0</v>
      </c>
      <c r="AE26" s="49">
        <f>資料儲存!F3498</f>
        <v>0</v>
      </c>
      <c r="AF26" s="49">
        <f>資料儲存!G3498</f>
        <v>0</v>
      </c>
      <c r="AG26" s="49">
        <f>資料儲存!H3498</f>
        <v>0</v>
      </c>
      <c r="AH26" s="49">
        <f>資料儲存!I3498</f>
        <v>0</v>
      </c>
      <c r="AI26" s="49">
        <f>資料儲存!J3498</f>
        <v>0</v>
      </c>
      <c r="AJ26" s="52"/>
    </row>
    <row r="27" spans="1:36" ht="16" thickBot="1">
      <c r="A27" s="68">
        <v>18</v>
      </c>
      <c r="B27" s="49">
        <f>資料儲存!D3139</f>
        <v>0</v>
      </c>
      <c r="C27" s="49">
        <f>資料儲存!E3139</f>
        <v>0</v>
      </c>
      <c r="D27" s="49">
        <f>資料儲存!F3139</f>
        <v>0</v>
      </c>
      <c r="E27" s="49">
        <f>資料儲存!G3139</f>
        <v>0</v>
      </c>
      <c r="F27" s="49">
        <f>資料儲存!H3139</f>
        <v>0</v>
      </c>
      <c r="G27" s="49">
        <f>資料儲存!I3139</f>
        <v>0</v>
      </c>
      <c r="H27" s="49">
        <f>資料儲存!J3139</f>
        <v>0</v>
      </c>
      <c r="I27" s="52"/>
      <c r="J27" s="68">
        <v>18</v>
      </c>
      <c r="K27" s="49">
        <f>資料儲存!D3259</f>
        <v>0</v>
      </c>
      <c r="L27" s="49">
        <f>資料儲存!E3259</f>
        <v>0</v>
      </c>
      <c r="M27" s="49">
        <f>資料儲存!F3259</f>
        <v>0</v>
      </c>
      <c r="N27" s="49">
        <f>資料儲存!G3259</f>
        <v>0</v>
      </c>
      <c r="O27" s="49">
        <f>資料儲存!H3259</f>
        <v>0</v>
      </c>
      <c r="P27" s="49">
        <f>資料儲存!I3259</f>
        <v>0</v>
      </c>
      <c r="Q27" s="49">
        <f>資料儲存!J3259</f>
        <v>0</v>
      </c>
      <c r="R27" s="52"/>
      <c r="S27" s="68">
        <v>18</v>
      </c>
      <c r="T27" s="49">
        <f>資料儲存!D3379</f>
        <v>0</v>
      </c>
      <c r="U27" s="49">
        <f>資料儲存!E3379</f>
        <v>0</v>
      </c>
      <c r="V27" s="49">
        <f>資料儲存!F3379</f>
        <v>0</v>
      </c>
      <c r="W27" s="49">
        <f>資料儲存!G3379</f>
        <v>0</v>
      </c>
      <c r="X27" s="49">
        <f>資料儲存!H3379</f>
        <v>0</v>
      </c>
      <c r="Y27" s="49">
        <f>資料儲存!I3379</f>
        <v>0</v>
      </c>
      <c r="Z27" s="49">
        <f>資料儲存!J3379</f>
        <v>0</v>
      </c>
      <c r="AA27" s="52"/>
      <c r="AB27" s="68">
        <v>18</v>
      </c>
      <c r="AC27" s="49">
        <f>資料儲存!D3499</f>
        <v>0</v>
      </c>
      <c r="AD27" s="49">
        <f>資料儲存!E3499</f>
        <v>0</v>
      </c>
      <c r="AE27" s="49">
        <f>資料儲存!F3499</f>
        <v>0</v>
      </c>
      <c r="AF27" s="49">
        <f>資料儲存!G3499</f>
        <v>0</v>
      </c>
      <c r="AG27" s="49">
        <f>資料儲存!H3499</f>
        <v>0</v>
      </c>
      <c r="AH27" s="49">
        <f>資料儲存!I3499</f>
        <v>0</v>
      </c>
      <c r="AI27" s="49">
        <f>資料儲存!J3499</f>
        <v>0</v>
      </c>
      <c r="AJ27" s="52"/>
    </row>
    <row r="28" spans="1:36" ht="16" thickBot="1">
      <c r="A28" s="68">
        <v>19</v>
      </c>
      <c r="B28" s="49">
        <f>資料儲存!D3140</f>
        <v>0</v>
      </c>
      <c r="C28" s="49">
        <f>資料儲存!E3140</f>
        <v>0</v>
      </c>
      <c r="D28" s="49">
        <f>資料儲存!F3140</f>
        <v>0</v>
      </c>
      <c r="E28" s="49">
        <f>資料儲存!G3140</f>
        <v>0</v>
      </c>
      <c r="F28" s="49">
        <f>資料儲存!H3140</f>
        <v>0</v>
      </c>
      <c r="G28" s="49">
        <f>資料儲存!I3140</f>
        <v>0</v>
      </c>
      <c r="H28" s="49">
        <f>資料儲存!J3140</f>
        <v>0</v>
      </c>
      <c r="I28" s="52"/>
      <c r="J28" s="68">
        <v>19</v>
      </c>
      <c r="K28" s="49">
        <f>資料儲存!D3260</f>
        <v>0</v>
      </c>
      <c r="L28" s="49">
        <f>資料儲存!E3260</f>
        <v>0</v>
      </c>
      <c r="M28" s="49">
        <f>資料儲存!F3260</f>
        <v>0</v>
      </c>
      <c r="N28" s="49">
        <f>資料儲存!G3260</f>
        <v>0</v>
      </c>
      <c r="O28" s="49">
        <f>資料儲存!H3260</f>
        <v>0</v>
      </c>
      <c r="P28" s="49">
        <f>資料儲存!I3260</f>
        <v>0</v>
      </c>
      <c r="Q28" s="49">
        <f>資料儲存!J3260</f>
        <v>0</v>
      </c>
      <c r="R28" s="52"/>
      <c r="S28" s="68">
        <v>19</v>
      </c>
      <c r="T28" s="49">
        <f>資料儲存!D3380</f>
        <v>0</v>
      </c>
      <c r="U28" s="49">
        <f>資料儲存!E3380</f>
        <v>0</v>
      </c>
      <c r="V28" s="49">
        <f>資料儲存!F3380</f>
        <v>0</v>
      </c>
      <c r="W28" s="49">
        <f>資料儲存!G3380</f>
        <v>0</v>
      </c>
      <c r="X28" s="49">
        <f>資料儲存!H3380</f>
        <v>0</v>
      </c>
      <c r="Y28" s="49">
        <f>資料儲存!I3380</f>
        <v>0</v>
      </c>
      <c r="Z28" s="49">
        <f>資料儲存!J3380</f>
        <v>0</v>
      </c>
      <c r="AA28" s="52"/>
      <c r="AB28" s="68">
        <v>19</v>
      </c>
      <c r="AC28" s="49">
        <f>資料儲存!D3500</f>
        <v>0</v>
      </c>
      <c r="AD28" s="49">
        <f>資料儲存!E3500</f>
        <v>0</v>
      </c>
      <c r="AE28" s="49">
        <f>資料儲存!F3500</f>
        <v>0</v>
      </c>
      <c r="AF28" s="49">
        <f>資料儲存!G3500</f>
        <v>0</v>
      </c>
      <c r="AG28" s="49">
        <f>資料儲存!H3500</f>
        <v>0</v>
      </c>
      <c r="AH28" s="49">
        <f>資料儲存!I3500</f>
        <v>0</v>
      </c>
      <c r="AI28" s="49">
        <f>資料儲存!J3500</f>
        <v>0</v>
      </c>
      <c r="AJ28" s="52"/>
    </row>
    <row r="29" spans="1:36" ht="16" thickBot="1">
      <c r="A29" s="68">
        <v>20</v>
      </c>
      <c r="B29" s="49">
        <f>資料儲存!D3141</f>
        <v>0</v>
      </c>
      <c r="C29" s="49">
        <f>資料儲存!E3141</f>
        <v>0</v>
      </c>
      <c r="D29" s="49">
        <f>資料儲存!F3141</f>
        <v>0</v>
      </c>
      <c r="E29" s="49">
        <f>資料儲存!G3141</f>
        <v>0</v>
      </c>
      <c r="F29" s="49">
        <f>資料儲存!H3141</f>
        <v>0</v>
      </c>
      <c r="G29" s="49">
        <f>資料儲存!I3141</f>
        <v>0</v>
      </c>
      <c r="H29" s="49">
        <f>資料儲存!J3141</f>
        <v>0</v>
      </c>
      <c r="I29" s="52"/>
      <c r="J29" s="68">
        <v>20</v>
      </c>
      <c r="K29" s="49">
        <f>資料儲存!D3261</f>
        <v>0</v>
      </c>
      <c r="L29" s="49">
        <f>資料儲存!E3261</f>
        <v>0</v>
      </c>
      <c r="M29" s="49">
        <f>資料儲存!F3261</f>
        <v>0</v>
      </c>
      <c r="N29" s="49">
        <f>資料儲存!G3261</f>
        <v>0</v>
      </c>
      <c r="O29" s="49">
        <f>資料儲存!H3261</f>
        <v>0</v>
      </c>
      <c r="P29" s="49">
        <f>資料儲存!I3261</f>
        <v>0</v>
      </c>
      <c r="Q29" s="49">
        <f>資料儲存!J3261</f>
        <v>0</v>
      </c>
      <c r="R29" s="52"/>
      <c r="S29" s="68">
        <v>20</v>
      </c>
      <c r="T29" s="49">
        <f>資料儲存!D3381</f>
        <v>0</v>
      </c>
      <c r="U29" s="49">
        <f>資料儲存!E3381</f>
        <v>0</v>
      </c>
      <c r="V29" s="49">
        <f>資料儲存!F3381</f>
        <v>0</v>
      </c>
      <c r="W29" s="49">
        <f>資料儲存!G3381</f>
        <v>0</v>
      </c>
      <c r="X29" s="49">
        <f>資料儲存!H3381</f>
        <v>0</v>
      </c>
      <c r="Y29" s="49">
        <f>資料儲存!I3381</f>
        <v>0</v>
      </c>
      <c r="Z29" s="49">
        <f>資料儲存!J3381</f>
        <v>0</v>
      </c>
      <c r="AA29" s="52"/>
      <c r="AB29" s="68">
        <v>20</v>
      </c>
      <c r="AC29" s="49">
        <f>資料儲存!D3501</f>
        <v>0</v>
      </c>
      <c r="AD29" s="49">
        <f>資料儲存!E3501</f>
        <v>0</v>
      </c>
      <c r="AE29" s="49">
        <f>資料儲存!F3501</f>
        <v>0</v>
      </c>
      <c r="AF29" s="49">
        <f>資料儲存!G3501</f>
        <v>0</v>
      </c>
      <c r="AG29" s="49">
        <f>資料儲存!H3501</f>
        <v>0</v>
      </c>
      <c r="AH29" s="49">
        <f>資料儲存!I3501</f>
        <v>0</v>
      </c>
      <c r="AI29" s="49">
        <f>資料儲存!J3501</f>
        <v>0</v>
      </c>
      <c r="AJ29" s="52"/>
    </row>
    <row r="30" spans="1:36" ht="16" thickBot="1">
      <c r="A30" s="68">
        <v>21</v>
      </c>
      <c r="B30" s="49">
        <f>資料儲存!D3142</f>
        <v>0</v>
      </c>
      <c r="C30" s="49">
        <f>資料儲存!E3142</f>
        <v>0</v>
      </c>
      <c r="D30" s="49">
        <f>資料儲存!F3142</f>
        <v>0</v>
      </c>
      <c r="E30" s="49">
        <f>資料儲存!G3142</f>
        <v>0</v>
      </c>
      <c r="F30" s="49">
        <f>資料儲存!H3142</f>
        <v>0</v>
      </c>
      <c r="G30" s="49">
        <f>資料儲存!I3142</f>
        <v>0</v>
      </c>
      <c r="H30" s="49">
        <f>資料儲存!J3142</f>
        <v>0</v>
      </c>
      <c r="I30" s="52"/>
      <c r="J30" s="68">
        <v>21</v>
      </c>
      <c r="K30" s="49">
        <f>資料儲存!D3262</f>
        <v>0</v>
      </c>
      <c r="L30" s="49">
        <f>資料儲存!E3262</f>
        <v>0</v>
      </c>
      <c r="M30" s="49">
        <f>資料儲存!F3262</f>
        <v>0</v>
      </c>
      <c r="N30" s="49">
        <f>資料儲存!G3262</f>
        <v>0</v>
      </c>
      <c r="O30" s="49">
        <f>資料儲存!H3262</f>
        <v>0</v>
      </c>
      <c r="P30" s="49">
        <f>資料儲存!I3262</f>
        <v>0</v>
      </c>
      <c r="Q30" s="49">
        <f>資料儲存!J3262</f>
        <v>0</v>
      </c>
      <c r="R30" s="52"/>
      <c r="S30" s="68">
        <v>21</v>
      </c>
      <c r="T30" s="49">
        <f>資料儲存!D3382</f>
        <v>0</v>
      </c>
      <c r="U30" s="49">
        <f>資料儲存!E3382</f>
        <v>0</v>
      </c>
      <c r="V30" s="49">
        <f>資料儲存!F3382</f>
        <v>0</v>
      </c>
      <c r="W30" s="49">
        <f>資料儲存!G3382</f>
        <v>0</v>
      </c>
      <c r="X30" s="49">
        <f>資料儲存!H3382</f>
        <v>0</v>
      </c>
      <c r="Y30" s="49">
        <f>資料儲存!I3382</f>
        <v>0</v>
      </c>
      <c r="Z30" s="49">
        <f>資料儲存!J3382</f>
        <v>0</v>
      </c>
      <c r="AA30" s="52"/>
      <c r="AB30" s="68">
        <v>21</v>
      </c>
      <c r="AC30" s="49">
        <f>資料儲存!D3502</f>
        <v>0</v>
      </c>
      <c r="AD30" s="49">
        <f>資料儲存!E3502</f>
        <v>0</v>
      </c>
      <c r="AE30" s="49">
        <f>資料儲存!F3502</f>
        <v>0</v>
      </c>
      <c r="AF30" s="49">
        <f>資料儲存!G3502</f>
        <v>0</v>
      </c>
      <c r="AG30" s="49">
        <f>資料儲存!H3502</f>
        <v>0</v>
      </c>
      <c r="AH30" s="49">
        <f>資料儲存!I3502</f>
        <v>0</v>
      </c>
      <c r="AI30" s="49">
        <f>資料儲存!J3502</f>
        <v>0</v>
      </c>
      <c r="AJ30" s="52"/>
    </row>
    <row r="31" spans="1:36" ht="16" thickBot="1">
      <c r="A31" s="68">
        <v>22</v>
      </c>
      <c r="B31" s="49">
        <f>資料儲存!D3143</f>
        <v>0</v>
      </c>
      <c r="C31" s="49">
        <f>資料儲存!E3143</f>
        <v>0</v>
      </c>
      <c r="D31" s="49">
        <f>資料儲存!F3143</f>
        <v>0</v>
      </c>
      <c r="E31" s="49">
        <f>資料儲存!G3143</f>
        <v>0</v>
      </c>
      <c r="F31" s="49">
        <f>資料儲存!H3143</f>
        <v>0</v>
      </c>
      <c r="G31" s="49">
        <f>資料儲存!I3143</f>
        <v>0</v>
      </c>
      <c r="H31" s="49">
        <f>資料儲存!J3143</f>
        <v>0</v>
      </c>
      <c r="I31" s="52"/>
      <c r="J31" s="68">
        <v>22</v>
      </c>
      <c r="K31" s="49">
        <f>資料儲存!D3263</f>
        <v>0</v>
      </c>
      <c r="L31" s="49">
        <f>資料儲存!E3263</f>
        <v>0</v>
      </c>
      <c r="M31" s="49">
        <f>資料儲存!F3263</f>
        <v>0</v>
      </c>
      <c r="N31" s="49">
        <f>資料儲存!G3263</f>
        <v>0</v>
      </c>
      <c r="O31" s="49">
        <f>資料儲存!H3263</f>
        <v>0</v>
      </c>
      <c r="P31" s="49">
        <f>資料儲存!I3263</f>
        <v>0</v>
      </c>
      <c r="Q31" s="49">
        <f>資料儲存!J3263</f>
        <v>0</v>
      </c>
      <c r="R31" s="52"/>
      <c r="S31" s="68">
        <v>22</v>
      </c>
      <c r="T31" s="49">
        <f>資料儲存!D3383</f>
        <v>0</v>
      </c>
      <c r="U31" s="49">
        <f>資料儲存!E3383</f>
        <v>0</v>
      </c>
      <c r="V31" s="49">
        <f>資料儲存!F3383</f>
        <v>0</v>
      </c>
      <c r="W31" s="49">
        <f>資料儲存!G3383</f>
        <v>0</v>
      </c>
      <c r="X31" s="49">
        <f>資料儲存!H3383</f>
        <v>0</v>
      </c>
      <c r="Y31" s="49">
        <f>資料儲存!I3383</f>
        <v>0</v>
      </c>
      <c r="Z31" s="49">
        <f>資料儲存!J3383</f>
        <v>0</v>
      </c>
      <c r="AA31" s="52"/>
      <c r="AB31" s="68">
        <v>22</v>
      </c>
      <c r="AC31" s="49">
        <f>資料儲存!D3503</f>
        <v>0</v>
      </c>
      <c r="AD31" s="49">
        <f>資料儲存!E3503</f>
        <v>0</v>
      </c>
      <c r="AE31" s="49">
        <f>資料儲存!F3503</f>
        <v>0</v>
      </c>
      <c r="AF31" s="49">
        <f>資料儲存!G3503</f>
        <v>0</v>
      </c>
      <c r="AG31" s="49">
        <f>資料儲存!H3503</f>
        <v>0</v>
      </c>
      <c r="AH31" s="49">
        <f>資料儲存!I3503</f>
        <v>0</v>
      </c>
      <c r="AI31" s="49">
        <f>資料儲存!J3503</f>
        <v>0</v>
      </c>
      <c r="AJ31" s="52"/>
    </row>
    <row r="32" spans="1:36" ht="16" thickBot="1">
      <c r="A32" s="68">
        <v>23</v>
      </c>
      <c r="B32" s="49">
        <f>資料儲存!D3144</f>
        <v>0</v>
      </c>
      <c r="C32" s="49">
        <f>資料儲存!E3144</f>
        <v>0</v>
      </c>
      <c r="D32" s="49">
        <f>資料儲存!F3144</f>
        <v>0</v>
      </c>
      <c r="E32" s="49">
        <f>資料儲存!G3144</f>
        <v>0</v>
      </c>
      <c r="F32" s="49">
        <f>資料儲存!H3144</f>
        <v>0</v>
      </c>
      <c r="G32" s="49">
        <f>資料儲存!I3144</f>
        <v>0</v>
      </c>
      <c r="H32" s="49">
        <f>資料儲存!J3144</f>
        <v>0</v>
      </c>
      <c r="I32" s="52"/>
      <c r="J32" s="68">
        <v>23</v>
      </c>
      <c r="K32" s="49">
        <f>資料儲存!D3264</f>
        <v>0</v>
      </c>
      <c r="L32" s="49">
        <f>資料儲存!E3264</f>
        <v>0</v>
      </c>
      <c r="M32" s="49">
        <f>資料儲存!F3264</f>
        <v>0</v>
      </c>
      <c r="N32" s="49">
        <f>資料儲存!G3264</f>
        <v>0</v>
      </c>
      <c r="O32" s="49">
        <f>資料儲存!H3264</f>
        <v>0</v>
      </c>
      <c r="P32" s="49">
        <f>資料儲存!I3264</f>
        <v>0</v>
      </c>
      <c r="Q32" s="49">
        <f>資料儲存!J3264</f>
        <v>0</v>
      </c>
      <c r="R32" s="52"/>
      <c r="S32" s="68">
        <v>23</v>
      </c>
      <c r="T32" s="49">
        <f>資料儲存!D3384</f>
        <v>0</v>
      </c>
      <c r="U32" s="49">
        <f>資料儲存!E3384</f>
        <v>0</v>
      </c>
      <c r="V32" s="49">
        <f>資料儲存!F3384</f>
        <v>0</v>
      </c>
      <c r="W32" s="49">
        <f>資料儲存!G3384</f>
        <v>0</v>
      </c>
      <c r="X32" s="49">
        <f>資料儲存!H3384</f>
        <v>0</v>
      </c>
      <c r="Y32" s="49">
        <f>資料儲存!I3384</f>
        <v>0</v>
      </c>
      <c r="Z32" s="49">
        <f>資料儲存!J3384</f>
        <v>0</v>
      </c>
      <c r="AA32" s="52"/>
      <c r="AB32" s="68">
        <v>23</v>
      </c>
      <c r="AC32" s="49">
        <f>資料儲存!D3504</f>
        <v>0</v>
      </c>
      <c r="AD32" s="49">
        <f>資料儲存!E3504</f>
        <v>0</v>
      </c>
      <c r="AE32" s="49">
        <f>資料儲存!F3504</f>
        <v>0</v>
      </c>
      <c r="AF32" s="49">
        <f>資料儲存!G3504</f>
        <v>0</v>
      </c>
      <c r="AG32" s="49">
        <f>資料儲存!H3504</f>
        <v>0</v>
      </c>
      <c r="AH32" s="49">
        <f>資料儲存!I3504</f>
        <v>0</v>
      </c>
      <c r="AI32" s="49">
        <f>資料儲存!J3504</f>
        <v>0</v>
      </c>
      <c r="AJ32" s="52"/>
    </row>
    <row r="33" spans="1:36" ht="16" thickBot="1">
      <c r="A33" s="68">
        <v>24</v>
      </c>
      <c r="B33" s="49">
        <f>資料儲存!D3145</f>
        <v>0</v>
      </c>
      <c r="C33" s="49">
        <f>資料儲存!E3145</f>
        <v>0</v>
      </c>
      <c r="D33" s="49">
        <f>資料儲存!F3145</f>
        <v>0</v>
      </c>
      <c r="E33" s="49">
        <f>資料儲存!G3145</f>
        <v>0</v>
      </c>
      <c r="F33" s="49">
        <f>資料儲存!H3145</f>
        <v>0</v>
      </c>
      <c r="G33" s="49">
        <f>資料儲存!I3145</f>
        <v>0</v>
      </c>
      <c r="H33" s="49">
        <f>資料儲存!J3145</f>
        <v>0</v>
      </c>
      <c r="I33" s="52"/>
      <c r="J33" s="68">
        <v>24</v>
      </c>
      <c r="K33" s="49">
        <f>資料儲存!D3265</f>
        <v>0</v>
      </c>
      <c r="L33" s="49">
        <f>資料儲存!E3265</f>
        <v>0</v>
      </c>
      <c r="M33" s="49">
        <f>資料儲存!F3265</f>
        <v>0</v>
      </c>
      <c r="N33" s="49">
        <f>資料儲存!G3265</f>
        <v>0</v>
      </c>
      <c r="O33" s="49">
        <f>資料儲存!H3265</f>
        <v>0</v>
      </c>
      <c r="P33" s="49">
        <f>資料儲存!I3265</f>
        <v>0</v>
      </c>
      <c r="Q33" s="49">
        <f>資料儲存!J3265</f>
        <v>0</v>
      </c>
      <c r="R33" s="52"/>
      <c r="S33" s="68">
        <v>24</v>
      </c>
      <c r="T33" s="49">
        <f>資料儲存!D3385</f>
        <v>0</v>
      </c>
      <c r="U33" s="49">
        <f>資料儲存!E3385</f>
        <v>0</v>
      </c>
      <c r="V33" s="49">
        <f>資料儲存!F3385</f>
        <v>0</v>
      </c>
      <c r="W33" s="49">
        <f>資料儲存!G3385</f>
        <v>0</v>
      </c>
      <c r="X33" s="49">
        <f>資料儲存!H3385</f>
        <v>0</v>
      </c>
      <c r="Y33" s="49">
        <f>資料儲存!I3385</f>
        <v>0</v>
      </c>
      <c r="Z33" s="49">
        <f>資料儲存!J3385</f>
        <v>0</v>
      </c>
      <c r="AA33" s="52"/>
      <c r="AB33" s="68">
        <v>24</v>
      </c>
      <c r="AC33" s="49">
        <f>資料儲存!D3505</f>
        <v>0</v>
      </c>
      <c r="AD33" s="49">
        <f>資料儲存!E3505</f>
        <v>0</v>
      </c>
      <c r="AE33" s="49">
        <f>資料儲存!F3505</f>
        <v>0</v>
      </c>
      <c r="AF33" s="49">
        <f>資料儲存!G3505</f>
        <v>0</v>
      </c>
      <c r="AG33" s="49">
        <f>資料儲存!H3505</f>
        <v>0</v>
      </c>
      <c r="AH33" s="49">
        <f>資料儲存!I3505</f>
        <v>0</v>
      </c>
      <c r="AI33" s="49">
        <f>資料儲存!J3505</f>
        <v>0</v>
      </c>
      <c r="AJ33" s="52"/>
    </row>
    <row r="34" spans="1:36" ht="16" thickBot="1">
      <c r="A34" s="68">
        <v>25</v>
      </c>
      <c r="B34" s="49">
        <f>資料儲存!D3146</f>
        <v>0</v>
      </c>
      <c r="C34" s="49">
        <f>資料儲存!E3146</f>
        <v>0</v>
      </c>
      <c r="D34" s="49">
        <f>資料儲存!F3146</f>
        <v>0</v>
      </c>
      <c r="E34" s="49">
        <f>資料儲存!G3146</f>
        <v>0</v>
      </c>
      <c r="F34" s="49">
        <f>資料儲存!H3146</f>
        <v>0</v>
      </c>
      <c r="G34" s="49">
        <f>資料儲存!I3146</f>
        <v>0</v>
      </c>
      <c r="H34" s="49">
        <f>資料儲存!J3146</f>
        <v>0</v>
      </c>
      <c r="I34" s="52"/>
      <c r="J34" s="68">
        <v>25</v>
      </c>
      <c r="K34" s="49">
        <f>資料儲存!D3266</f>
        <v>0</v>
      </c>
      <c r="L34" s="49">
        <f>資料儲存!E3266</f>
        <v>0</v>
      </c>
      <c r="M34" s="49">
        <f>資料儲存!F3266</f>
        <v>0</v>
      </c>
      <c r="N34" s="49">
        <f>資料儲存!G3266</f>
        <v>0</v>
      </c>
      <c r="O34" s="49">
        <f>資料儲存!H3266</f>
        <v>0</v>
      </c>
      <c r="P34" s="49">
        <f>資料儲存!I3266</f>
        <v>0</v>
      </c>
      <c r="Q34" s="49">
        <f>資料儲存!J3266</f>
        <v>0</v>
      </c>
      <c r="R34" s="52"/>
      <c r="S34" s="68">
        <v>25</v>
      </c>
      <c r="T34" s="49">
        <f>資料儲存!D3386</f>
        <v>0</v>
      </c>
      <c r="U34" s="49">
        <f>資料儲存!E3386</f>
        <v>0</v>
      </c>
      <c r="V34" s="49">
        <f>資料儲存!F3386</f>
        <v>0</v>
      </c>
      <c r="W34" s="49">
        <f>資料儲存!G3386</f>
        <v>0</v>
      </c>
      <c r="X34" s="49">
        <f>資料儲存!H3386</f>
        <v>0</v>
      </c>
      <c r="Y34" s="49">
        <f>資料儲存!I3386</f>
        <v>0</v>
      </c>
      <c r="Z34" s="49">
        <f>資料儲存!J3386</f>
        <v>0</v>
      </c>
      <c r="AA34" s="52"/>
      <c r="AB34" s="68">
        <v>25</v>
      </c>
      <c r="AC34" s="49">
        <f>資料儲存!D3506</f>
        <v>0</v>
      </c>
      <c r="AD34" s="49">
        <f>資料儲存!E3506</f>
        <v>0</v>
      </c>
      <c r="AE34" s="49">
        <f>資料儲存!F3506</f>
        <v>0</v>
      </c>
      <c r="AF34" s="49">
        <f>資料儲存!G3506</f>
        <v>0</v>
      </c>
      <c r="AG34" s="49">
        <f>資料儲存!H3506</f>
        <v>0</v>
      </c>
      <c r="AH34" s="49">
        <f>資料儲存!I3506</f>
        <v>0</v>
      </c>
      <c r="AI34" s="49">
        <f>資料儲存!J3506</f>
        <v>0</v>
      </c>
      <c r="AJ34" s="52"/>
    </row>
    <row r="35" spans="1:36" ht="16" thickBot="1">
      <c r="A35" s="68">
        <v>26</v>
      </c>
      <c r="B35" s="49">
        <f>資料儲存!D3147</f>
        <v>0</v>
      </c>
      <c r="C35" s="49">
        <f>資料儲存!E3147</f>
        <v>0</v>
      </c>
      <c r="D35" s="49">
        <f>資料儲存!F3147</f>
        <v>0</v>
      </c>
      <c r="E35" s="49">
        <f>資料儲存!G3147</f>
        <v>0</v>
      </c>
      <c r="F35" s="49">
        <f>資料儲存!H3147</f>
        <v>0</v>
      </c>
      <c r="G35" s="49">
        <f>資料儲存!I3147</f>
        <v>0</v>
      </c>
      <c r="H35" s="49">
        <f>資料儲存!J3147</f>
        <v>0</v>
      </c>
      <c r="I35" s="52"/>
      <c r="J35" s="68">
        <v>26</v>
      </c>
      <c r="K35" s="49">
        <f>資料儲存!D3267</f>
        <v>0</v>
      </c>
      <c r="L35" s="49">
        <f>資料儲存!E3267</f>
        <v>0</v>
      </c>
      <c r="M35" s="49">
        <f>資料儲存!F3267</f>
        <v>0</v>
      </c>
      <c r="N35" s="49">
        <f>資料儲存!G3267</f>
        <v>0</v>
      </c>
      <c r="O35" s="49">
        <f>資料儲存!H3267</f>
        <v>0</v>
      </c>
      <c r="P35" s="49">
        <f>資料儲存!I3267</f>
        <v>0</v>
      </c>
      <c r="Q35" s="49">
        <f>資料儲存!J3267</f>
        <v>0</v>
      </c>
      <c r="R35" s="52"/>
      <c r="S35" s="68">
        <v>26</v>
      </c>
      <c r="T35" s="49">
        <f>資料儲存!D3387</f>
        <v>0</v>
      </c>
      <c r="U35" s="49">
        <f>資料儲存!E3387</f>
        <v>0</v>
      </c>
      <c r="V35" s="49">
        <f>資料儲存!F3387</f>
        <v>0</v>
      </c>
      <c r="W35" s="49">
        <f>資料儲存!G3387</f>
        <v>0</v>
      </c>
      <c r="X35" s="49">
        <f>資料儲存!H3387</f>
        <v>0</v>
      </c>
      <c r="Y35" s="49">
        <f>資料儲存!I3387</f>
        <v>0</v>
      </c>
      <c r="Z35" s="49">
        <f>資料儲存!J3387</f>
        <v>0</v>
      </c>
      <c r="AA35" s="52"/>
      <c r="AB35" s="68">
        <v>26</v>
      </c>
      <c r="AC35" s="49">
        <f>資料儲存!D3507</f>
        <v>0</v>
      </c>
      <c r="AD35" s="49">
        <f>資料儲存!E3507</f>
        <v>0</v>
      </c>
      <c r="AE35" s="49">
        <f>資料儲存!F3507</f>
        <v>0</v>
      </c>
      <c r="AF35" s="49">
        <f>資料儲存!G3507</f>
        <v>0</v>
      </c>
      <c r="AG35" s="49">
        <f>資料儲存!H3507</f>
        <v>0</v>
      </c>
      <c r="AH35" s="49">
        <f>資料儲存!I3507</f>
        <v>0</v>
      </c>
      <c r="AI35" s="49">
        <f>資料儲存!J3507</f>
        <v>0</v>
      </c>
      <c r="AJ35" s="52"/>
    </row>
    <row r="36" spans="1:36" ht="16" thickBot="1">
      <c r="A36" s="68">
        <v>27</v>
      </c>
      <c r="B36" s="49">
        <f>資料儲存!D3148</f>
        <v>0</v>
      </c>
      <c r="C36" s="49">
        <f>資料儲存!E3148</f>
        <v>0</v>
      </c>
      <c r="D36" s="49">
        <f>資料儲存!F3148</f>
        <v>0</v>
      </c>
      <c r="E36" s="49">
        <f>資料儲存!G3148</f>
        <v>0</v>
      </c>
      <c r="F36" s="49">
        <f>資料儲存!H3148</f>
        <v>0</v>
      </c>
      <c r="G36" s="49">
        <f>資料儲存!I3148</f>
        <v>0</v>
      </c>
      <c r="H36" s="49">
        <f>資料儲存!J3148</f>
        <v>0</v>
      </c>
      <c r="I36" s="52"/>
      <c r="J36" s="68">
        <v>27</v>
      </c>
      <c r="K36" s="49">
        <f>資料儲存!D3268</f>
        <v>0</v>
      </c>
      <c r="L36" s="49">
        <f>資料儲存!E3268</f>
        <v>0</v>
      </c>
      <c r="M36" s="49">
        <f>資料儲存!F3268</f>
        <v>0</v>
      </c>
      <c r="N36" s="49">
        <f>資料儲存!G3268</f>
        <v>0</v>
      </c>
      <c r="O36" s="49">
        <f>資料儲存!H3268</f>
        <v>0</v>
      </c>
      <c r="P36" s="49">
        <f>資料儲存!I3268</f>
        <v>0</v>
      </c>
      <c r="Q36" s="49">
        <f>資料儲存!J3268</f>
        <v>0</v>
      </c>
      <c r="R36" s="52"/>
      <c r="S36" s="68">
        <v>27</v>
      </c>
      <c r="T36" s="49">
        <f>資料儲存!D3388</f>
        <v>0</v>
      </c>
      <c r="U36" s="49">
        <f>資料儲存!E3388</f>
        <v>0</v>
      </c>
      <c r="V36" s="49">
        <f>資料儲存!F3388</f>
        <v>0</v>
      </c>
      <c r="W36" s="49">
        <f>資料儲存!G3388</f>
        <v>0</v>
      </c>
      <c r="X36" s="49">
        <f>資料儲存!H3388</f>
        <v>0</v>
      </c>
      <c r="Y36" s="49">
        <f>資料儲存!I3388</f>
        <v>0</v>
      </c>
      <c r="Z36" s="49">
        <f>資料儲存!J3388</f>
        <v>0</v>
      </c>
      <c r="AA36" s="52"/>
      <c r="AB36" s="68">
        <v>27</v>
      </c>
      <c r="AC36" s="49">
        <f>資料儲存!D3508</f>
        <v>0</v>
      </c>
      <c r="AD36" s="49">
        <f>資料儲存!E3508</f>
        <v>0</v>
      </c>
      <c r="AE36" s="49">
        <f>資料儲存!F3508</f>
        <v>0</v>
      </c>
      <c r="AF36" s="49">
        <f>資料儲存!G3508</f>
        <v>0</v>
      </c>
      <c r="AG36" s="49">
        <f>資料儲存!H3508</f>
        <v>0</v>
      </c>
      <c r="AH36" s="49">
        <f>資料儲存!I3508</f>
        <v>0</v>
      </c>
      <c r="AI36" s="49">
        <f>資料儲存!J3508</f>
        <v>0</v>
      </c>
      <c r="AJ36" s="52"/>
    </row>
    <row r="37" spans="1:36" ht="16" thickBot="1">
      <c r="A37" s="68">
        <v>28</v>
      </c>
      <c r="B37" s="49">
        <f>資料儲存!D3149</f>
        <v>0</v>
      </c>
      <c r="C37" s="49">
        <f>資料儲存!E3149</f>
        <v>0</v>
      </c>
      <c r="D37" s="49">
        <f>資料儲存!F3149</f>
        <v>0</v>
      </c>
      <c r="E37" s="49">
        <f>資料儲存!G3149</f>
        <v>0</v>
      </c>
      <c r="F37" s="49">
        <f>資料儲存!H3149</f>
        <v>0</v>
      </c>
      <c r="G37" s="49">
        <f>資料儲存!I3149</f>
        <v>0</v>
      </c>
      <c r="H37" s="49">
        <f>資料儲存!J3149</f>
        <v>0</v>
      </c>
      <c r="I37" s="52"/>
      <c r="J37" s="68">
        <v>28</v>
      </c>
      <c r="K37" s="49">
        <f>資料儲存!D3269</f>
        <v>0</v>
      </c>
      <c r="L37" s="49">
        <f>資料儲存!E3269</f>
        <v>0</v>
      </c>
      <c r="M37" s="49">
        <f>資料儲存!F3269</f>
        <v>0</v>
      </c>
      <c r="N37" s="49">
        <f>資料儲存!G3269</f>
        <v>0</v>
      </c>
      <c r="O37" s="49">
        <f>資料儲存!H3269</f>
        <v>0</v>
      </c>
      <c r="P37" s="49">
        <f>資料儲存!I3269</f>
        <v>0</v>
      </c>
      <c r="Q37" s="49">
        <f>資料儲存!J3269</f>
        <v>0</v>
      </c>
      <c r="R37" s="52"/>
      <c r="S37" s="68">
        <v>28</v>
      </c>
      <c r="T37" s="49">
        <f>資料儲存!D3389</f>
        <v>0</v>
      </c>
      <c r="U37" s="49">
        <f>資料儲存!E3389</f>
        <v>0</v>
      </c>
      <c r="V37" s="49">
        <f>資料儲存!F3389</f>
        <v>0</v>
      </c>
      <c r="W37" s="49">
        <f>資料儲存!G3389</f>
        <v>0</v>
      </c>
      <c r="X37" s="49">
        <f>資料儲存!H3389</f>
        <v>0</v>
      </c>
      <c r="Y37" s="49">
        <f>資料儲存!I3389</f>
        <v>0</v>
      </c>
      <c r="Z37" s="49">
        <f>資料儲存!J3389</f>
        <v>0</v>
      </c>
      <c r="AA37" s="52"/>
      <c r="AB37" s="68">
        <v>28</v>
      </c>
      <c r="AC37" s="49">
        <f>資料儲存!D3509</f>
        <v>0</v>
      </c>
      <c r="AD37" s="49">
        <f>資料儲存!E3509</f>
        <v>0</v>
      </c>
      <c r="AE37" s="49">
        <f>資料儲存!F3509</f>
        <v>0</v>
      </c>
      <c r="AF37" s="49">
        <f>資料儲存!G3509</f>
        <v>0</v>
      </c>
      <c r="AG37" s="49">
        <f>資料儲存!H3509</f>
        <v>0</v>
      </c>
      <c r="AH37" s="49">
        <f>資料儲存!I3509</f>
        <v>0</v>
      </c>
      <c r="AI37" s="49">
        <f>資料儲存!J3509</f>
        <v>0</v>
      </c>
      <c r="AJ37" s="52"/>
    </row>
    <row r="38" spans="1:36" ht="16" thickBot="1">
      <c r="A38" s="68">
        <v>29</v>
      </c>
      <c r="B38" s="49">
        <f>資料儲存!D3150</f>
        <v>0</v>
      </c>
      <c r="C38" s="49">
        <f>資料儲存!E3150</f>
        <v>0</v>
      </c>
      <c r="D38" s="49">
        <f>資料儲存!F3150</f>
        <v>0</v>
      </c>
      <c r="E38" s="49">
        <f>資料儲存!G3150</f>
        <v>0</v>
      </c>
      <c r="F38" s="49">
        <f>資料儲存!H3150</f>
        <v>0</v>
      </c>
      <c r="G38" s="49">
        <f>資料儲存!I3150</f>
        <v>0</v>
      </c>
      <c r="H38" s="49">
        <f>資料儲存!J3150</f>
        <v>0</v>
      </c>
      <c r="I38" s="52"/>
      <c r="J38" s="68">
        <v>29</v>
      </c>
      <c r="K38" s="49">
        <f>資料儲存!D3270</f>
        <v>0</v>
      </c>
      <c r="L38" s="49">
        <f>資料儲存!E3270</f>
        <v>0</v>
      </c>
      <c r="M38" s="49">
        <f>資料儲存!F3270</f>
        <v>0</v>
      </c>
      <c r="N38" s="49">
        <f>資料儲存!G3270</f>
        <v>0</v>
      </c>
      <c r="O38" s="49">
        <f>資料儲存!H3270</f>
        <v>0</v>
      </c>
      <c r="P38" s="49">
        <f>資料儲存!I3270</f>
        <v>0</v>
      </c>
      <c r="Q38" s="49">
        <f>資料儲存!J3270</f>
        <v>0</v>
      </c>
      <c r="R38" s="52"/>
      <c r="S38" s="68">
        <v>29</v>
      </c>
      <c r="T38" s="49">
        <f>資料儲存!D3390</f>
        <v>0</v>
      </c>
      <c r="U38" s="49">
        <f>資料儲存!E3390</f>
        <v>0</v>
      </c>
      <c r="V38" s="49">
        <f>資料儲存!F3390</f>
        <v>0</v>
      </c>
      <c r="W38" s="49">
        <f>資料儲存!G3390</f>
        <v>0</v>
      </c>
      <c r="X38" s="49">
        <f>資料儲存!H3390</f>
        <v>0</v>
      </c>
      <c r="Y38" s="49">
        <f>資料儲存!I3390</f>
        <v>0</v>
      </c>
      <c r="Z38" s="49">
        <f>資料儲存!J3390</f>
        <v>0</v>
      </c>
      <c r="AA38" s="52"/>
      <c r="AB38" s="68">
        <v>29</v>
      </c>
      <c r="AC38" s="49">
        <f>資料儲存!D3510</f>
        <v>0</v>
      </c>
      <c r="AD38" s="49">
        <f>資料儲存!E3510</f>
        <v>0</v>
      </c>
      <c r="AE38" s="49">
        <f>資料儲存!F3510</f>
        <v>0</v>
      </c>
      <c r="AF38" s="49">
        <f>資料儲存!G3510</f>
        <v>0</v>
      </c>
      <c r="AG38" s="49">
        <f>資料儲存!H3510</f>
        <v>0</v>
      </c>
      <c r="AH38" s="49">
        <f>資料儲存!I3510</f>
        <v>0</v>
      </c>
      <c r="AI38" s="49">
        <f>資料儲存!J3510</f>
        <v>0</v>
      </c>
      <c r="AJ38" s="52"/>
    </row>
    <row r="39" spans="1:36" ht="16" thickBot="1">
      <c r="A39" s="68">
        <v>30</v>
      </c>
      <c r="B39" s="49">
        <f>資料儲存!D3151</f>
        <v>0</v>
      </c>
      <c r="C39" s="49">
        <f>資料儲存!E3151</f>
        <v>0</v>
      </c>
      <c r="D39" s="49">
        <f>資料儲存!F3151</f>
        <v>0</v>
      </c>
      <c r="E39" s="49">
        <f>資料儲存!G3151</f>
        <v>0</v>
      </c>
      <c r="F39" s="49">
        <f>資料儲存!H3151</f>
        <v>0</v>
      </c>
      <c r="G39" s="49">
        <f>資料儲存!I3151</f>
        <v>0</v>
      </c>
      <c r="H39" s="49">
        <f>資料儲存!J3151</f>
        <v>0</v>
      </c>
      <c r="I39" s="52"/>
      <c r="J39" s="68">
        <v>30</v>
      </c>
      <c r="K39" s="49">
        <f>資料儲存!D3271</f>
        <v>0</v>
      </c>
      <c r="L39" s="49">
        <f>資料儲存!E3271</f>
        <v>0</v>
      </c>
      <c r="M39" s="49">
        <f>資料儲存!F3271</f>
        <v>0</v>
      </c>
      <c r="N39" s="49">
        <f>資料儲存!G3271</f>
        <v>0</v>
      </c>
      <c r="O39" s="49">
        <f>資料儲存!H3271</f>
        <v>0</v>
      </c>
      <c r="P39" s="49">
        <f>資料儲存!I3271</f>
        <v>0</v>
      </c>
      <c r="Q39" s="49">
        <f>資料儲存!J3271</f>
        <v>0</v>
      </c>
      <c r="R39" s="52"/>
      <c r="S39" s="68">
        <v>30</v>
      </c>
      <c r="T39" s="49">
        <f>資料儲存!D3391</f>
        <v>0</v>
      </c>
      <c r="U39" s="49">
        <f>資料儲存!E3391</f>
        <v>0</v>
      </c>
      <c r="V39" s="49">
        <f>資料儲存!F3391</f>
        <v>0</v>
      </c>
      <c r="W39" s="49">
        <f>資料儲存!G3391</f>
        <v>0</v>
      </c>
      <c r="X39" s="49">
        <f>資料儲存!H3391</f>
        <v>0</v>
      </c>
      <c r="Y39" s="49">
        <f>資料儲存!I3391</f>
        <v>0</v>
      </c>
      <c r="Z39" s="49">
        <f>資料儲存!J3391</f>
        <v>0</v>
      </c>
      <c r="AA39" s="52"/>
      <c r="AB39" s="68">
        <v>30</v>
      </c>
      <c r="AC39" s="49">
        <f>資料儲存!D3511</f>
        <v>0</v>
      </c>
      <c r="AD39" s="49">
        <f>資料儲存!E3511</f>
        <v>0</v>
      </c>
      <c r="AE39" s="49">
        <f>資料儲存!F3511</f>
        <v>0</v>
      </c>
      <c r="AF39" s="49">
        <f>資料儲存!G3511</f>
        <v>0</v>
      </c>
      <c r="AG39" s="49">
        <f>資料儲存!H3511</f>
        <v>0</v>
      </c>
      <c r="AH39" s="49">
        <f>資料儲存!I3511</f>
        <v>0</v>
      </c>
      <c r="AI39" s="49">
        <f>資料儲存!J3511</f>
        <v>0</v>
      </c>
      <c r="AJ39" s="52"/>
    </row>
    <row r="40" spans="1:36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8.5" thickBot="1">
      <c r="A41" s="259" t="s">
        <v>119</v>
      </c>
      <c r="B41" s="260"/>
      <c r="C41" s="260"/>
      <c r="D41" s="260"/>
      <c r="E41" s="260"/>
      <c r="F41" s="260"/>
      <c r="G41" s="260"/>
      <c r="H41" s="261"/>
      <c r="I41" s="14"/>
      <c r="J41" s="259" t="s">
        <v>119</v>
      </c>
      <c r="K41" s="260"/>
      <c r="L41" s="260"/>
      <c r="M41" s="260"/>
      <c r="N41" s="260"/>
      <c r="O41" s="260"/>
      <c r="P41" s="260"/>
      <c r="Q41" s="261"/>
      <c r="R41" s="14"/>
      <c r="S41" s="259" t="s">
        <v>119</v>
      </c>
      <c r="T41" s="260"/>
      <c r="U41" s="260"/>
      <c r="V41" s="260"/>
      <c r="W41" s="260"/>
      <c r="X41" s="260"/>
      <c r="Y41" s="260"/>
      <c r="Z41" s="261"/>
      <c r="AA41" s="14"/>
      <c r="AB41" s="259" t="s">
        <v>119</v>
      </c>
      <c r="AC41" s="260"/>
      <c r="AD41" s="260"/>
      <c r="AE41" s="260"/>
      <c r="AF41" s="260"/>
      <c r="AG41" s="260"/>
      <c r="AH41" s="260"/>
      <c r="AI41" s="261"/>
      <c r="AJ41" s="14"/>
    </row>
    <row r="42" spans="1:36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</row>
    <row r="43" spans="1:36" ht="16" thickBot="1">
      <c r="A43" s="59">
        <v>0.6875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>
        <v>0.6875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>
        <v>0.6875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>
        <v>0.6875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</row>
    <row r="44" spans="1:36" ht="16" thickBot="1">
      <c r="A44" s="61">
        <v>31</v>
      </c>
      <c r="B44" s="39">
        <f>資料儲存!D3152</f>
        <v>0</v>
      </c>
      <c r="C44" s="39">
        <f>資料儲存!E3152</f>
        <v>0</v>
      </c>
      <c r="D44" s="39">
        <f>資料儲存!F3152</f>
        <v>0</v>
      </c>
      <c r="E44" s="39">
        <f>資料儲存!G3152</f>
        <v>0</v>
      </c>
      <c r="F44" s="39">
        <f>資料儲存!H3152</f>
        <v>0</v>
      </c>
      <c r="G44" s="39">
        <f>資料儲存!I3152</f>
        <v>0</v>
      </c>
      <c r="H44" s="39">
        <f>資料儲存!J3152</f>
        <v>0</v>
      </c>
      <c r="I44" s="58"/>
      <c r="J44" s="61">
        <v>31</v>
      </c>
      <c r="K44" s="39">
        <f>資料儲存!D3272</f>
        <v>0</v>
      </c>
      <c r="L44" s="39">
        <f>資料儲存!E3272</f>
        <v>0</v>
      </c>
      <c r="M44" s="39">
        <f>資料儲存!F3272</f>
        <v>0</v>
      </c>
      <c r="N44" s="39">
        <f>資料儲存!G3272</f>
        <v>0</v>
      </c>
      <c r="O44" s="39">
        <f>資料儲存!H3272</f>
        <v>0</v>
      </c>
      <c r="P44" s="39">
        <f>資料儲存!I3272</f>
        <v>0</v>
      </c>
      <c r="Q44" s="39">
        <f>資料儲存!J3272</f>
        <v>0</v>
      </c>
      <c r="R44" s="58"/>
      <c r="S44" s="61">
        <v>31</v>
      </c>
      <c r="T44" s="39">
        <f>資料儲存!D3392</f>
        <v>0</v>
      </c>
      <c r="U44" s="39">
        <f>資料儲存!E3392</f>
        <v>0</v>
      </c>
      <c r="V44" s="39">
        <f>資料儲存!F3392</f>
        <v>0</v>
      </c>
      <c r="W44" s="39">
        <f>資料儲存!G3392</f>
        <v>0</v>
      </c>
      <c r="X44" s="39">
        <f>資料儲存!H3392</f>
        <v>0</v>
      </c>
      <c r="Y44" s="39">
        <f>資料儲存!I3392</f>
        <v>0</v>
      </c>
      <c r="Z44" s="39">
        <f>資料儲存!J3392</f>
        <v>0</v>
      </c>
      <c r="AA44" s="58"/>
      <c r="AB44" s="61">
        <v>31</v>
      </c>
      <c r="AC44" s="39">
        <f>資料儲存!D3512</f>
        <v>0</v>
      </c>
      <c r="AD44" s="39">
        <f>資料儲存!E3512</f>
        <v>0</v>
      </c>
      <c r="AE44" s="39">
        <f>資料儲存!F3512</f>
        <v>0</v>
      </c>
      <c r="AF44" s="39">
        <f>資料儲存!G3512</f>
        <v>0</v>
      </c>
      <c r="AG44" s="39">
        <f>資料儲存!H3512</f>
        <v>0</v>
      </c>
      <c r="AH44" s="39">
        <f>資料儲存!I3512</f>
        <v>0</v>
      </c>
      <c r="AI44" s="39">
        <f>資料儲存!J3512</f>
        <v>0</v>
      </c>
      <c r="AJ44" s="58"/>
    </row>
    <row r="45" spans="1:36" ht="16" thickBot="1">
      <c r="A45" s="61">
        <v>32</v>
      </c>
      <c r="B45" s="39">
        <f>資料儲存!D3153</f>
        <v>0</v>
      </c>
      <c r="C45" s="39">
        <f>資料儲存!E3153</f>
        <v>0</v>
      </c>
      <c r="D45" s="39">
        <f>資料儲存!F3153</f>
        <v>0</v>
      </c>
      <c r="E45" s="39">
        <f>資料儲存!G3153</f>
        <v>0</v>
      </c>
      <c r="F45" s="39">
        <f>資料儲存!H3153</f>
        <v>0</v>
      </c>
      <c r="G45" s="39">
        <f>資料儲存!I3153</f>
        <v>0</v>
      </c>
      <c r="H45" s="39">
        <f>資料儲存!J3153</f>
        <v>0</v>
      </c>
      <c r="I45" s="58"/>
      <c r="J45" s="61">
        <v>32</v>
      </c>
      <c r="K45" s="39">
        <f>資料儲存!D3273</f>
        <v>0</v>
      </c>
      <c r="L45" s="39">
        <f>資料儲存!E3273</f>
        <v>0</v>
      </c>
      <c r="M45" s="39">
        <f>資料儲存!F3273</f>
        <v>0</v>
      </c>
      <c r="N45" s="39">
        <f>資料儲存!G3273</f>
        <v>0</v>
      </c>
      <c r="O45" s="39">
        <f>資料儲存!H3273</f>
        <v>0</v>
      </c>
      <c r="P45" s="39">
        <f>資料儲存!I3273</f>
        <v>0</v>
      </c>
      <c r="Q45" s="39">
        <f>資料儲存!J3273</f>
        <v>0</v>
      </c>
      <c r="R45" s="58"/>
      <c r="S45" s="61">
        <v>32</v>
      </c>
      <c r="T45" s="39">
        <f>資料儲存!D3393</f>
        <v>0</v>
      </c>
      <c r="U45" s="39">
        <f>資料儲存!E3393</f>
        <v>0</v>
      </c>
      <c r="V45" s="39">
        <f>資料儲存!F3393</f>
        <v>0</v>
      </c>
      <c r="W45" s="39">
        <f>資料儲存!G3393</f>
        <v>0</v>
      </c>
      <c r="X45" s="39">
        <f>資料儲存!H3393</f>
        <v>0</v>
      </c>
      <c r="Y45" s="39">
        <f>資料儲存!I3393</f>
        <v>0</v>
      </c>
      <c r="Z45" s="39">
        <f>資料儲存!J3393</f>
        <v>0</v>
      </c>
      <c r="AA45" s="58"/>
      <c r="AB45" s="61">
        <v>32</v>
      </c>
      <c r="AC45" s="39">
        <f>資料儲存!D3513</f>
        <v>0</v>
      </c>
      <c r="AD45" s="39">
        <f>資料儲存!E3513</f>
        <v>0</v>
      </c>
      <c r="AE45" s="39">
        <f>資料儲存!F3513</f>
        <v>0</v>
      </c>
      <c r="AF45" s="39">
        <f>資料儲存!G3513</f>
        <v>0</v>
      </c>
      <c r="AG45" s="39">
        <f>資料儲存!H3513</f>
        <v>0</v>
      </c>
      <c r="AH45" s="39">
        <f>資料儲存!I3513</f>
        <v>0</v>
      </c>
      <c r="AI45" s="39">
        <f>資料儲存!J3513</f>
        <v>0</v>
      </c>
      <c r="AJ45" s="58"/>
    </row>
    <row r="46" spans="1:36" ht="16" thickBot="1">
      <c r="A46" s="61">
        <v>33</v>
      </c>
      <c r="B46" s="39">
        <f>資料儲存!D3154</f>
        <v>0</v>
      </c>
      <c r="C46" s="39">
        <f>資料儲存!E3154</f>
        <v>0</v>
      </c>
      <c r="D46" s="39">
        <f>資料儲存!F3154</f>
        <v>0</v>
      </c>
      <c r="E46" s="39">
        <f>資料儲存!G3154</f>
        <v>0</v>
      </c>
      <c r="F46" s="39">
        <f>資料儲存!H3154</f>
        <v>0</v>
      </c>
      <c r="G46" s="39">
        <f>資料儲存!I3154</f>
        <v>0</v>
      </c>
      <c r="H46" s="39">
        <f>資料儲存!J3154</f>
        <v>0</v>
      </c>
      <c r="I46" s="58"/>
      <c r="J46" s="61">
        <v>33</v>
      </c>
      <c r="K46" s="39">
        <f>資料儲存!D3274</f>
        <v>0</v>
      </c>
      <c r="L46" s="39">
        <f>資料儲存!E3274</f>
        <v>0</v>
      </c>
      <c r="M46" s="39">
        <f>資料儲存!F3274</f>
        <v>0</v>
      </c>
      <c r="N46" s="39">
        <f>資料儲存!G3274</f>
        <v>0</v>
      </c>
      <c r="O46" s="39">
        <f>資料儲存!H3274</f>
        <v>0</v>
      </c>
      <c r="P46" s="39">
        <f>資料儲存!I3274</f>
        <v>0</v>
      </c>
      <c r="Q46" s="39">
        <f>資料儲存!J3274</f>
        <v>0</v>
      </c>
      <c r="R46" s="58"/>
      <c r="S46" s="61">
        <v>33</v>
      </c>
      <c r="T46" s="39">
        <f>資料儲存!D3394</f>
        <v>0</v>
      </c>
      <c r="U46" s="39">
        <f>資料儲存!E3394</f>
        <v>0</v>
      </c>
      <c r="V46" s="39">
        <f>資料儲存!F3394</f>
        <v>0</v>
      </c>
      <c r="W46" s="39">
        <f>資料儲存!G3394</f>
        <v>0</v>
      </c>
      <c r="X46" s="39">
        <f>資料儲存!H3394</f>
        <v>0</v>
      </c>
      <c r="Y46" s="39">
        <f>資料儲存!I3394</f>
        <v>0</v>
      </c>
      <c r="Z46" s="39">
        <f>資料儲存!J3394</f>
        <v>0</v>
      </c>
      <c r="AA46" s="58"/>
      <c r="AB46" s="61">
        <v>33</v>
      </c>
      <c r="AC46" s="39">
        <f>資料儲存!D3514</f>
        <v>0</v>
      </c>
      <c r="AD46" s="39">
        <f>資料儲存!E3514</f>
        <v>0</v>
      </c>
      <c r="AE46" s="39">
        <f>資料儲存!F3514</f>
        <v>0</v>
      </c>
      <c r="AF46" s="39">
        <f>資料儲存!G3514</f>
        <v>0</v>
      </c>
      <c r="AG46" s="39">
        <f>資料儲存!H3514</f>
        <v>0</v>
      </c>
      <c r="AH46" s="39">
        <f>資料儲存!I3514</f>
        <v>0</v>
      </c>
      <c r="AI46" s="39">
        <f>資料儲存!J3514</f>
        <v>0</v>
      </c>
      <c r="AJ46" s="58"/>
    </row>
    <row r="47" spans="1:36" ht="16" thickBot="1">
      <c r="A47" s="61">
        <v>34</v>
      </c>
      <c r="B47" s="39">
        <f>資料儲存!D3155</f>
        <v>0</v>
      </c>
      <c r="C47" s="39">
        <f>資料儲存!E3155</f>
        <v>0</v>
      </c>
      <c r="D47" s="39">
        <f>資料儲存!F3155</f>
        <v>0</v>
      </c>
      <c r="E47" s="39">
        <f>資料儲存!G3155</f>
        <v>0</v>
      </c>
      <c r="F47" s="39">
        <f>資料儲存!H3155</f>
        <v>0</v>
      </c>
      <c r="G47" s="39">
        <f>資料儲存!I3155</f>
        <v>0</v>
      </c>
      <c r="H47" s="39">
        <f>資料儲存!J3155</f>
        <v>0</v>
      </c>
      <c r="I47" s="58"/>
      <c r="J47" s="61">
        <v>34</v>
      </c>
      <c r="K47" s="39">
        <f>資料儲存!D3275</f>
        <v>0</v>
      </c>
      <c r="L47" s="39">
        <f>資料儲存!E3275</f>
        <v>0</v>
      </c>
      <c r="M47" s="39">
        <f>資料儲存!F3275</f>
        <v>0</v>
      </c>
      <c r="N47" s="39">
        <f>資料儲存!G3275</f>
        <v>0</v>
      </c>
      <c r="O47" s="39">
        <f>資料儲存!H3275</f>
        <v>0</v>
      </c>
      <c r="P47" s="39">
        <f>資料儲存!I3275</f>
        <v>0</v>
      </c>
      <c r="Q47" s="39">
        <f>資料儲存!J3275</f>
        <v>0</v>
      </c>
      <c r="R47" s="58"/>
      <c r="S47" s="61">
        <v>34</v>
      </c>
      <c r="T47" s="39">
        <f>資料儲存!D3395</f>
        <v>0</v>
      </c>
      <c r="U47" s="39">
        <f>資料儲存!E3395</f>
        <v>0</v>
      </c>
      <c r="V47" s="39">
        <f>資料儲存!F3395</f>
        <v>0</v>
      </c>
      <c r="W47" s="39">
        <f>資料儲存!G3395</f>
        <v>0</v>
      </c>
      <c r="X47" s="39">
        <f>資料儲存!H3395</f>
        <v>0</v>
      </c>
      <c r="Y47" s="39">
        <f>資料儲存!I3395</f>
        <v>0</v>
      </c>
      <c r="Z47" s="39">
        <f>資料儲存!J3395</f>
        <v>0</v>
      </c>
      <c r="AA47" s="58"/>
      <c r="AB47" s="61">
        <v>34</v>
      </c>
      <c r="AC47" s="39">
        <f>資料儲存!D3515</f>
        <v>0</v>
      </c>
      <c r="AD47" s="39">
        <f>資料儲存!E3515</f>
        <v>0</v>
      </c>
      <c r="AE47" s="39">
        <f>資料儲存!F3515</f>
        <v>0</v>
      </c>
      <c r="AF47" s="39">
        <f>資料儲存!G3515</f>
        <v>0</v>
      </c>
      <c r="AG47" s="39">
        <f>資料儲存!H3515</f>
        <v>0</v>
      </c>
      <c r="AH47" s="39">
        <f>資料儲存!I3515</f>
        <v>0</v>
      </c>
      <c r="AI47" s="39">
        <f>資料儲存!J3515</f>
        <v>0</v>
      </c>
      <c r="AJ47" s="58"/>
    </row>
    <row r="48" spans="1:36" ht="16" thickBot="1">
      <c r="A48" s="61">
        <v>35</v>
      </c>
      <c r="B48" s="39">
        <f>資料儲存!D3156</f>
        <v>0</v>
      </c>
      <c r="C48" s="39">
        <f>資料儲存!E3156</f>
        <v>0</v>
      </c>
      <c r="D48" s="39">
        <f>資料儲存!F3156</f>
        <v>0</v>
      </c>
      <c r="E48" s="39">
        <f>資料儲存!G3156</f>
        <v>0</v>
      </c>
      <c r="F48" s="39">
        <f>資料儲存!H3156</f>
        <v>0</v>
      </c>
      <c r="G48" s="39">
        <f>資料儲存!I3156</f>
        <v>0</v>
      </c>
      <c r="H48" s="39">
        <f>資料儲存!J3156</f>
        <v>0</v>
      </c>
      <c r="I48" s="58"/>
      <c r="J48" s="61">
        <v>35</v>
      </c>
      <c r="K48" s="39">
        <f>資料儲存!D3276</f>
        <v>0</v>
      </c>
      <c r="L48" s="39">
        <f>資料儲存!E3276</f>
        <v>0</v>
      </c>
      <c r="M48" s="39">
        <f>資料儲存!F3276</f>
        <v>0</v>
      </c>
      <c r="N48" s="39">
        <f>資料儲存!G3276</f>
        <v>0</v>
      </c>
      <c r="O48" s="39">
        <f>資料儲存!H3276</f>
        <v>0</v>
      </c>
      <c r="P48" s="39">
        <f>資料儲存!I3276</f>
        <v>0</v>
      </c>
      <c r="Q48" s="39">
        <f>資料儲存!J3276</f>
        <v>0</v>
      </c>
      <c r="R48" s="58"/>
      <c r="S48" s="61">
        <v>35</v>
      </c>
      <c r="T48" s="39">
        <f>資料儲存!D3396</f>
        <v>0</v>
      </c>
      <c r="U48" s="39">
        <f>資料儲存!E3396</f>
        <v>0</v>
      </c>
      <c r="V48" s="39">
        <f>資料儲存!F3396</f>
        <v>0</v>
      </c>
      <c r="W48" s="39">
        <f>資料儲存!G3396</f>
        <v>0</v>
      </c>
      <c r="X48" s="39">
        <f>資料儲存!H3396</f>
        <v>0</v>
      </c>
      <c r="Y48" s="39">
        <f>資料儲存!I3396</f>
        <v>0</v>
      </c>
      <c r="Z48" s="39">
        <f>資料儲存!J3396</f>
        <v>0</v>
      </c>
      <c r="AA48" s="58"/>
      <c r="AB48" s="61">
        <v>35</v>
      </c>
      <c r="AC48" s="39">
        <f>資料儲存!D3516</f>
        <v>0</v>
      </c>
      <c r="AD48" s="39">
        <f>資料儲存!E3516</f>
        <v>0</v>
      </c>
      <c r="AE48" s="39">
        <f>資料儲存!F3516</f>
        <v>0</v>
      </c>
      <c r="AF48" s="39">
        <f>資料儲存!G3516</f>
        <v>0</v>
      </c>
      <c r="AG48" s="39">
        <f>資料儲存!H3516</f>
        <v>0</v>
      </c>
      <c r="AH48" s="39">
        <f>資料儲存!I3516</f>
        <v>0</v>
      </c>
      <c r="AI48" s="39">
        <f>資料儲存!J3516</f>
        <v>0</v>
      </c>
      <c r="AJ48" s="58"/>
    </row>
    <row r="49" spans="1:36" ht="16" thickBot="1">
      <c r="A49" s="61">
        <v>36</v>
      </c>
      <c r="B49" s="39">
        <f>資料儲存!D3157</f>
        <v>0</v>
      </c>
      <c r="C49" s="39">
        <f>資料儲存!E3157</f>
        <v>0</v>
      </c>
      <c r="D49" s="39">
        <f>資料儲存!F3157</f>
        <v>0</v>
      </c>
      <c r="E49" s="39">
        <f>資料儲存!G3157</f>
        <v>0</v>
      </c>
      <c r="F49" s="39">
        <f>資料儲存!H3157</f>
        <v>0</v>
      </c>
      <c r="G49" s="39">
        <f>資料儲存!I3157</f>
        <v>0</v>
      </c>
      <c r="H49" s="39">
        <f>資料儲存!J3157</f>
        <v>0</v>
      </c>
      <c r="I49" s="58"/>
      <c r="J49" s="61">
        <v>36</v>
      </c>
      <c r="K49" s="39">
        <f>資料儲存!D3277</f>
        <v>0</v>
      </c>
      <c r="L49" s="39">
        <f>資料儲存!E3277</f>
        <v>0</v>
      </c>
      <c r="M49" s="39">
        <f>資料儲存!F3277</f>
        <v>0</v>
      </c>
      <c r="N49" s="39">
        <f>資料儲存!G3277</f>
        <v>0</v>
      </c>
      <c r="O49" s="39">
        <f>資料儲存!H3277</f>
        <v>0</v>
      </c>
      <c r="P49" s="39">
        <f>資料儲存!I3277</f>
        <v>0</v>
      </c>
      <c r="Q49" s="39">
        <f>資料儲存!J3277</f>
        <v>0</v>
      </c>
      <c r="R49" s="58"/>
      <c r="S49" s="61">
        <v>36</v>
      </c>
      <c r="T49" s="39">
        <f>資料儲存!D3397</f>
        <v>0</v>
      </c>
      <c r="U49" s="39">
        <f>資料儲存!E3397</f>
        <v>0</v>
      </c>
      <c r="V49" s="39">
        <f>資料儲存!F3397</f>
        <v>0</v>
      </c>
      <c r="W49" s="39">
        <f>資料儲存!G3397</f>
        <v>0</v>
      </c>
      <c r="X49" s="39">
        <f>資料儲存!H3397</f>
        <v>0</v>
      </c>
      <c r="Y49" s="39">
        <f>資料儲存!I3397</f>
        <v>0</v>
      </c>
      <c r="Z49" s="39">
        <f>資料儲存!J3397</f>
        <v>0</v>
      </c>
      <c r="AA49" s="58"/>
      <c r="AB49" s="61">
        <v>36</v>
      </c>
      <c r="AC49" s="39">
        <f>資料儲存!D3517</f>
        <v>0</v>
      </c>
      <c r="AD49" s="39">
        <f>資料儲存!E3517</f>
        <v>0</v>
      </c>
      <c r="AE49" s="39">
        <f>資料儲存!F3517</f>
        <v>0</v>
      </c>
      <c r="AF49" s="39">
        <f>資料儲存!G3517</f>
        <v>0</v>
      </c>
      <c r="AG49" s="39">
        <f>資料儲存!H3517</f>
        <v>0</v>
      </c>
      <c r="AH49" s="39">
        <f>資料儲存!I3517</f>
        <v>0</v>
      </c>
      <c r="AI49" s="39">
        <f>資料儲存!J3517</f>
        <v>0</v>
      </c>
      <c r="AJ49" s="58"/>
    </row>
    <row r="50" spans="1:36" ht="16" thickBot="1">
      <c r="A50" s="61">
        <v>37</v>
      </c>
      <c r="B50" s="39">
        <f>資料儲存!D3158</f>
        <v>0</v>
      </c>
      <c r="C50" s="39">
        <f>資料儲存!E3158</f>
        <v>0</v>
      </c>
      <c r="D50" s="39">
        <f>資料儲存!F3158</f>
        <v>0</v>
      </c>
      <c r="E50" s="39">
        <f>資料儲存!G3158</f>
        <v>0</v>
      </c>
      <c r="F50" s="39">
        <f>資料儲存!H3158</f>
        <v>0</v>
      </c>
      <c r="G50" s="39">
        <f>資料儲存!I3158</f>
        <v>0</v>
      </c>
      <c r="H50" s="39">
        <f>資料儲存!J3158</f>
        <v>0</v>
      </c>
      <c r="I50" s="58"/>
      <c r="J50" s="61">
        <v>37</v>
      </c>
      <c r="K50" s="39">
        <f>資料儲存!D3278</f>
        <v>0</v>
      </c>
      <c r="L50" s="39">
        <f>資料儲存!E3278</f>
        <v>0</v>
      </c>
      <c r="M50" s="39">
        <f>資料儲存!F3278</f>
        <v>0</v>
      </c>
      <c r="N50" s="39">
        <f>資料儲存!G3278</f>
        <v>0</v>
      </c>
      <c r="O50" s="39">
        <f>資料儲存!H3278</f>
        <v>0</v>
      </c>
      <c r="P50" s="39">
        <f>資料儲存!I3278</f>
        <v>0</v>
      </c>
      <c r="Q50" s="39">
        <f>資料儲存!J3278</f>
        <v>0</v>
      </c>
      <c r="R50" s="58"/>
      <c r="S50" s="61">
        <v>37</v>
      </c>
      <c r="T50" s="39">
        <f>資料儲存!D3398</f>
        <v>0</v>
      </c>
      <c r="U50" s="39">
        <f>資料儲存!E3398</f>
        <v>0</v>
      </c>
      <c r="V50" s="39">
        <f>資料儲存!F3398</f>
        <v>0</v>
      </c>
      <c r="W50" s="39">
        <f>資料儲存!G3398</f>
        <v>0</v>
      </c>
      <c r="X50" s="39">
        <f>資料儲存!H3398</f>
        <v>0</v>
      </c>
      <c r="Y50" s="39">
        <f>資料儲存!I3398</f>
        <v>0</v>
      </c>
      <c r="Z50" s="39">
        <f>資料儲存!J3398</f>
        <v>0</v>
      </c>
      <c r="AA50" s="58"/>
      <c r="AB50" s="61">
        <v>37</v>
      </c>
      <c r="AC50" s="39">
        <f>資料儲存!D3518</f>
        <v>0</v>
      </c>
      <c r="AD50" s="39">
        <f>資料儲存!E3518</f>
        <v>0</v>
      </c>
      <c r="AE50" s="39">
        <f>資料儲存!F3518</f>
        <v>0</v>
      </c>
      <c r="AF50" s="39">
        <f>資料儲存!G3518</f>
        <v>0</v>
      </c>
      <c r="AG50" s="39">
        <f>資料儲存!H3518</f>
        <v>0</v>
      </c>
      <c r="AH50" s="39">
        <f>資料儲存!I3518</f>
        <v>0</v>
      </c>
      <c r="AI50" s="39">
        <f>資料儲存!J3518</f>
        <v>0</v>
      </c>
      <c r="AJ50" s="58"/>
    </row>
    <row r="51" spans="1:36" ht="16" thickBot="1">
      <c r="A51" s="61">
        <v>38</v>
      </c>
      <c r="B51" s="39">
        <f>資料儲存!D3159</f>
        <v>0</v>
      </c>
      <c r="C51" s="39">
        <f>資料儲存!E3159</f>
        <v>0</v>
      </c>
      <c r="D51" s="39">
        <f>資料儲存!F3159</f>
        <v>0</v>
      </c>
      <c r="E51" s="39">
        <f>資料儲存!G3159</f>
        <v>0</v>
      </c>
      <c r="F51" s="39">
        <f>資料儲存!H3159</f>
        <v>0</v>
      </c>
      <c r="G51" s="39">
        <f>資料儲存!I3159</f>
        <v>0</v>
      </c>
      <c r="H51" s="39">
        <f>資料儲存!J3159</f>
        <v>0</v>
      </c>
      <c r="I51" s="58"/>
      <c r="J51" s="61">
        <v>38</v>
      </c>
      <c r="K51" s="39">
        <f>資料儲存!D3279</f>
        <v>0</v>
      </c>
      <c r="L51" s="39">
        <f>資料儲存!E3279</f>
        <v>0</v>
      </c>
      <c r="M51" s="39">
        <f>資料儲存!F3279</f>
        <v>0</v>
      </c>
      <c r="N51" s="39">
        <f>資料儲存!G3279</f>
        <v>0</v>
      </c>
      <c r="O51" s="39">
        <f>資料儲存!H3279</f>
        <v>0</v>
      </c>
      <c r="P51" s="39">
        <f>資料儲存!I3279</f>
        <v>0</v>
      </c>
      <c r="Q51" s="39">
        <f>資料儲存!J3279</f>
        <v>0</v>
      </c>
      <c r="R51" s="58"/>
      <c r="S51" s="61">
        <v>38</v>
      </c>
      <c r="T51" s="39">
        <f>資料儲存!D3399</f>
        <v>0</v>
      </c>
      <c r="U51" s="39">
        <f>資料儲存!E3399</f>
        <v>0</v>
      </c>
      <c r="V51" s="39">
        <f>資料儲存!F3399</f>
        <v>0</v>
      </c>
      <c r="W51" s="39">
        <f>資料儲存!G3399</f>
        <v>0</v>
      </c>
      <c r="X51" s="39">
        <f>資料儲存!H3399</f>
        <v>0</v>
      </c>
      <c r="Y51" s="39">
        <f>資料儲存!I3399</f>
        <v>0</v>
      </c>
      <c r="Z51" s="39">
        <f>資料儲存!J3399</f>
        <v>0</v>
      </c>
      <c r="AA51" s="58"/>
      <c r="AB51" s="61">
        <v>38</v>
      </c>
      <c r="AC51" s="39">
        <f>資料儲存!D3519</f>
        <v>0</v>
      </c>
      <c r="AD51" s="39">
        <f>資料儲存!E3519</f>
        <v>0</v>
      </c>
      <c r="AE51" s="39">
        <f>資料儲存!F3519</f>
        <v>0</v>
      </c>
      <c r="AF51" s="39">
        <f>資料儲存!G3519</f>
        <v>0</v>
      </c>
      <c r="AG51" s="39">
        <f>資料儲存!H3519</f>
        <v>0</v>
      </c>
      <c r="AH51" s="39">
        <f>資料儲存!I3519</f>
        <v>0</v>
      </c>
      <c r="AI51" s="39">
        <f>資料儲存!J3519</f>
        <v>0</v>
      </c>
      <c r="AJ51" s="58"/>
    </row>
    <row r="52" spans="1:36" ht="16" thickBot="1">
      <c r="A52" s="61">
        <v>39</v>
      </c>
      <c r="B52" s="39">
        <f>資料儲存!D3160</f>
        <v>0</v>
      </c>
      <c r="C52" s="39">
        <f>資料儲存!E3160</f>
        <v>0</v>
      </c>
      <c r="D52" s="39">
        <f>資料儲存!F3160</f>
        <v>0</v>
      </c>
      <c r="E52" s="39">
        <f>資料儲存!G3160</f>
        <v>0</v>
      </c>
      <c r="F52" s="39">
        <f>資料儲存!H3160</f>
        <v>0</v>
      </c>
      <c r="G52" s="39">
        <f>資料儲存!I3160</f>
        <v>0</v>
      </c>
      <c r="H52" s="39">
        <f>資料儲存!J3160</f>
        <v>0</v>
      </c>
      <c r="I52" s="58"/>
      <c r="J52" s="61">
        <v>39</v>
      </c>
      <c r="K52" s="39">
        <f>資料儲存!D3280</f>
        <v>0</v>
      </c>
      <c r="L52" s="39">
        <f>資料儲存!E3280</f>
        <v>0</v>
      </c>
      <c r="M52" s="39">
        <f>資料儲存!F3280</f>
        <v>0</v>
      </c>
      <c r="N52" s="39">
        <f>資料儲存!G3280</f>
        <v>0</v>
      </c>
      <c r="O52" s="39">
        <f>資料儲存!H3280</f>
        <v>0</v>
      </c>
      <c r="P52" s="39">
        <f>資料儲存!I3280</f>
        <v>0</v>
      </c>
      <c r="Q52" s="39">
        <f>資料儲存!J3280</f>
        <v>0</v>
      </c>
      <c r="R52" s="58"/>
      <c r="S52" s="61">
        <v>39</v>
      </c>
      <c r="T52" s="39">
        <f>資料儲存!D3400</f>
        <v>0</v>
      </c>
      <c r="U52" s="39">
        <f>資料儲存!E3400</f>
        <v>0</v>
      </c>
      <c r="V52" s="39">
        <f>資料儲存!F3400</f>
        <v>0</v>
      </c>
      <c r="W52" s="39">
        <f>資料儲存!G3400</f>
        <v>0</v>
      </c>
      <c r="X52" s="39">
        <f>資料儲存!H3400</f>
        <v>0</v>
      </c>
      <c r="Y52" s="39">
        <f>資料儲存!I3400</f>
        <v>0</v>
      </c>
      <c r="Z52" s="39">
        <f>資料儲存!J3400</f>
        <v>0</v>
      </c>
      <c r="AA52" s="58"/>
      <c r="AB52" s="61">
        <v>39</v>
      </c>
      <c r="AC52" s="39">
        <f>資料儲存!D3520</f>
        <v>0</v>
      </c>
      <c r="AD52" s="39">
        <f>資料儲存!E3520</f>
        <v>0</v>
      </c>
      <c r="AE52" s="39">
        <f>資料儲存!F3520</f>
        <v>0</v>
      </c>
      <c r="AF52" s="39">
        <f>資料儲存!G3520</f>
        <v>0</v>
      </c>
      <c r="AG52" s="39">
        <f>資料儲存!H3520</f>
        <v>0</v>
      </c>
      <c r="AH52" s="39">
        <f>資料儲存!I3520</f>
        <v>0</v>
      </c>
      <c r="AI52" s="39">
        <f>資料儲存!J3520</f>
        <v>0</v>
      </c>
      <c r="AJ52" s="58"/>
    </row>
    <row r="53" spans="1:36" ht="16" thickBot="1">
      <c r="A53" s="61">
        <v>40</v>
      </c>
      <c r="B53" s="39">
        <f>資料儲存!D3161</f>
        <v>0</v>
      </c>
      <c r="C53" s="39">
        <f>資料儲存!E3161</f>
        <v>0</v>
      </c>
      <c r="D53" s="39">
        <f>資料儲存!F3161</f>
        <v>0</v>
      </c>
      <c r="E53" s="39">
        <f>資料儲存!G3161</f>
        <v>0</v>
      </c>
      <c r="F53" s="39">
        <f>資料儲存!H3161</f>
        <v>0</v>
      </c>
      <c r="G53" s="39">
        <f>資料儲存!I3161</f>
        <v>0</v>
      </c>
      <c r="H53" s="39">
        <f>資料儲存!J3161</f>
        <v>0</v>
      </c>
      <c r="I53" s="58"/>
      <c r="J53" s="61">
        <v>40</v>
      </c>
      <c r="K53" s="39">
        <f>資料儲存!D3281</f>
        <v>0</v>
      </c>
      <c r="L53" s="39">
        <f>資料儲存!E3281</f>
        <v>0</v>
      </c>
      <c r="M53" s="39">
        <f>資料儲存!F3281</f>
        <v>0</v>
      </c>
      <c r="N53" s="39">
        <f>資料儲存!G3281</f>
        <v>0</v>
      </c>
      <c r="O53" s="39">
        <f>資料儲存!H3281</f>
        <v>0</v>
      </c>
      <c r="P53" s="39">
        <f>資料儲存!I3281</f>
        <v>0</v>
      </c>
      <c r="Q53" s="39">
        <f>資料儲存!J3281</f>
        <v>0</v>
      </c>
      <c r="R53" s="58"/>
      <c r="S53" s="61">
        <v>40</v>
      </c>
      <c r="T53" s="39">
        <f>資料儲存!D3401</f>
        <v>0</v>
      </c>
      <c r="U53" s="39">
        <f>資料儲存!E3401</f>
        <v>0</v>
      </c>
      <c r="V53" s="39">
        <f>資料儲存!F3401</f>
        <v>0</v>
      </c>
      <c r="W53" s="39">
        <f>資料儲存!G3401</f>
        <v>0</v>
      </c>
      <c r="X53" s="39">
        <f>資料儲存!H3401</f>
        <v>0</v>
      </c>
      <c r="Y53" s="39">
        <f>資料儲存!I3401</f>
        <v>0</v>
      </c>
      <c r="Z53" s="39">
        <f>資料儲存!J3401</f>
        <v>0</v>
      </c>
      <c r="AA53" s="58"/>
      <c r="AB53" s="61">
        <v>40</v>
      </c>
      <c r="AC53" s="39">
        <f>資料儲存!D3521</f>
        <v>0</v>
      </c>
      <c r="AD53" s="39">
        <f>資料儲存!E3521</f>
        <v>0</v>
      </c>
      <c r="AE53" s="39">
        <f>資料儲存!F3521</f>
        <v>0</v>
      </c>
      <c r="AF53" s="39">
        <f>資料儲存!G3521</f>
        <v>0</v>
      </c>
      <c r="AG53" s="39">
        <f>資料儲存!H3521</f>
        <v>0</v>
      </c>
      <c r="AH53" s="39">
        <f>資料儲存!I3521</f>
        <v>0</v>
      </c>
      <c r="AI53" s="39">
        <f>資料儲存!J3521</f>
        <v>0</v>
      </c>
      <c r="AJ53" s="58"/>
    </row>
    <row r="54" spans="1:36" ht="16" thickBot="1">
      <c r="A54" s="61">
        <v>41</v>
      </c>
      <c r="B54" s="39">
        <f>資料儲存!D3162</f>
        <v>0</v>
      </c>
      <c r="C54" s="39">
        <f>資料儲存!E3162</f>
        <v>0</v>
      </c>
      <c r="D54" s="39">
        <f>資料儲存!F3162</f>
        <v>0</v>
      </c>
      <c r="E54" s="39">
        <f>資料儲存!G3162</f>
        <v>0</v>
      </c>
      <c r="F54" s="39">
        <f>資料儲存!H3162</f>
        <v>0</v>
      </c>
      <c r="G54" s="39">
        <f>資料儲存!I3162</f>
        <v>0</v>
      </c>
      <c r="H54" s="39">
        <f>資料儲存!J3162</f>
        <v>0</v>
      </c>
      <c r="I54" s="58"/>
      <c r="J54" s="61">
        <v>41</v>
      </c>
      <c r="K54" s="39">
        <f>資料儲存!D3282</f>
        <v>0</v>
      </c>
      <c r="L54" s="39">
        <f>資料儲存!E3282</f>
        <v>0</v>
      </c>
      <c r="M54" s="39">
        <f>資料儲存!F3282</f>
        <v>0</v>
      </c>
      <c r="N54" s="39">
        <f>資料儲存!G3282</f>
        <v>0</v>
      </c>
      <c r="O54" s="39">
        <f>資料儲存!H3282</f>
        <v>0</v>
      </c>
      <c r="P54" s="39">
        <f>資料儲存!I3282</f>
        <v>0</v>
      </c>
      <c r="Q54" s="39">
        <f>資料儲存!J3282</f>
        <v>0</v>
      </c>
      <c r="R54" s="58"/>
      <c r="S54" s="61">
        <v>41</v>
      </c>
      <c r="T54" s="39">
        <f>資料儲存!D3402</f>
        <v>0</v>
      </c>
      <c r="U54" s="39">
        <f>資料儲存!E3402</f>
        <v>0</v>
      </c>
      <c r="V54" s="39">
        <f>資料儲存!F3402</f>
        <v>0</v>
      </c>
      <c r="W54" s="39">
        <f>資料儲存!G3402</f>
        <v>0</v>
      </c>
      <c r="X54" s="39">
        <f>資料儲存!H3402</f>
        <v>0</v>
      </c>
      <c r="Y54" s="39">
        <f>資料儲存!I3402</f>
        <v>0</v>
      </c>
      <c r="Z54" s="39">
        <f>資料儲存!J3402</f>
        <v>0</v>
      </c>
      <c r="AA54" s="58"/>
      <c r="AB54" s="61">
        <v>41</v>
      </c>
      <c r="AC54" s="39">
        <f>資料儲存!D3522</f>
        <v>0</v>
      </c>
      <c r="AD54" s="39">
        <f>資料儲存!E3522</f>
        <v>0</v>
      </c>
      <c r="AE54" s="39">
        <f>資料儲存!F3522</f>
        <v>0</v>
      </c>
      <c r="AF54" s="39">
        <f>資料儲存!G3522</f>
        <v>0</v>
      </c>
      <c r="AG54" s="39">
        <f>資料儲存!H3522</f>
        <v>0</v>
      </c>
      <c r="AH54" s="39">
        <f>資料儲存!I3522</f>
        <v>0</v>
      </c>
      <c r="AI54" s="39">
        <f>資料儲存!J3522</f>
        <v>0</v>
      </c>
      <c r="AJ54" s="58"/>
    </row>
    <row r="55" spans="1:36" ht="16" thickBot="1">
      <c r="A55" s="61">
        <v>42</v>
      </c>
      <c r="B55" s="39">
        <f>資料儲存!D3163</f>
        <v>0</v>
      </c>
      <c r="C55" s="39">
        <f>資料儲存!E3163</f>
        <v>0</v>
      </c>
      <c r="D55" s="39">
        <f>資料儲存!F3163</f>
        <v>0</v>
      </c>
      <c r="E55" s="39">
        <f>資料儲存!G3163</f>
        <v>0</v>
      </c>
      <c r="F55" s="39">
        <f>資料儲存!H3163</f>
        <v>0</v>
      </c>
      <c r="G55" s="39">
        <f>資料儲存!I3163</f>
        <v>0</v>
      </c>
      <c r="H55" s="39">
        <f>資料儲存!J3163</f>
        <v>0</v>
      </c>
      <c r="I55" s="58"/>
      <c r="J55" s="61">
        <v>42</v>
      </c>
      <c r="K55" s="39">
        <f>資料儲存!D3283</f>
        <v>0</v>
      </c>
      <c r="L55" s="39">
        <f>資料儲存!E3283</f>
        <v>0</v>
      </c>
      <c r="M55" s="39">
        <f>資料儲存!F3283</f>
        <v>0</v>
      </c>
      <c r="N55" s="39">
        <f>資料儲存!G3283</f>
        <v>0</v>
      </c>
      <c r="O55" s="39">
        <f>資料儲存!H3283</f>
        <v>0</v>
      </c>
      <c r="P55" s="39">
        <f>資料儲存!I3283</f>
        <v>0</v>
      </c>
      <c r="Q55" s="39">
        <f>資料儲存!J3283</f>
        <v>0</v>
      </c>
      <c r="R55" s="58"/>
      <c r="S55" s="61">
        <v>42</v>
      </c>
      <c r="T55" s="39">
        <f>資料儲存!D3403</f>
        <v>0</v>
      </c>
      <c r="U55" s="39">
        <f>資料儲存!E3403</f>
        <v>0</v>
      </c>
      <c r="V55" s="39">
        <f>資料儲存!F3403</f>
        <v>0</v>
      </c>
      <c r="W55" s="39">
        <f>資料儲存!G3403</f>
        <v>0</v>
      </c>
      <c r="X55" s="39">
        <f>資料儲存!H3403</f>
        <v>0</v>
      </c>
      <c r="Y55" s="39">
        <f>資料儲存!I3403</f>
        <v>0</v>
      </c>
      <c r="Z55" s="39">
        <f>資料儲存!J3403</f>
        <v>0</v>
      </c>
      <c r="AA55" s="58"/>
      <c r="AB55" s="61">
        <v>42</v>
      </c>
      <c r="AC55" s="39">
        <f>資料儲存!D3523</f>
        <v>0</v>
      </c>
      <c r="AD55" s="39">
        <f>資料儲存!E3523</f>
        <v>0</v>
      </c>
      <c r="AE55" s="39">
        <f>資料儲存!F3523</f>
        <v>0</v>
      </c>
      <c r="AF55" s="39">
        <f>資料儲存!G3523</f>
        <v>0</v>
      </c>
      <c r="AG55" s="39">
        <f>資料儲存!H3523</f>
        <v>0</v>
      </c>
      <c r="AH55" s="39">
        <f>資料儲存!I3523</f>
        <v>0</v>
      </c>
      <c r="AI55" s="39">
        <f>資料儲存!J3523</f>
        <v>0</v>
      </c>
      <c r="AJ55" s="58"/>
    </row>
    <row r="56" spans="1:36" ht="16" thickBot="1">
      <c r="A56" s="61">
        <v>43</v>
      </c>
      <c r="B56" s="39">
        <f>資料儲存!D3164</f>
        <v>0</v>
      </c>
      <c r="C56" s="39">
        <f>資料儲存!E3164</f>
        <v>0</v>
      </c>
      <c r="D56" s="39">
        <f>資料儲存!F3164</f>
        <v>0</v>
      </c>
      <c r="E56" s="39">
        <f>資料儲存!G3164</f>
        <v>0</v>
      </c>
      <c r="F56" s="39">
        <f>資料儲存!H3164</f>
        <v>0</v>
      </c>
      <c r="G56" s="39">
        <f>資料儲存!I3164</f>
        <v>0</v>
      </c>
      <c r="H56" s="39">
        <f>資料儲存!J3164</f>
        <v>0</v>
      </c>
      <c r="I56" s="58"/>
      <c r="J56" s="61">
        <v>43</v>
      </c>
      <c r="K56" s="39">
        <f>資料儲存!D3284</f>
        <v>0</v>
      </c>
      <c r="L56" s="39">
        <f>資料儲存!E3284</f>
        <v>0</v>
      </c>
      <c r="M56" s="39">
        <f>資料儲存!F3284</f>
        <v>0</v>
      </c>
      <c r="N56" s="39">
        <f>資料儲存!G3284</f>
        <v>0</v>
      </c>
      <c r="O56" s="39">
        <f>資料儲存!H3284</f>
        <v>0</v>
      </c>
      <c r="P56" s="39">
        <f>資料儲存!I3284</f>
        <v>0</v>
      </c>
      <c r="Q56" s="39">
        <f>資料儲存!J3284</f>
        <v>0</v>
      </c>
      <c r="R56" s="58"/>
      <c r="S56" s="61">
        <v>43</v>
      </c>
      <c r="T56" s="39">
        <f>資料儲存!D3404</f>
        <v>0</v>
      </c>
      <c r="U56" s="39">
        <f>資料儲存!E3404</f>
        <v>0</v>
      </c>
      <c r="V56" s="39">
        <f>資料儲存!F3404</f>
        <v>0</v>
      </c>
      <c r="W56" s="39">
        <f>資料儲存!G3404</f>
        <v>0</v>
      </c>
      <c r="X56" s="39">
        <f>資料儲存!H3404</f>
        <v>0</v>
      </c>
      <c r="Y56" s="39">
        <f>資料儲存!I3404</f>
        <v>0</v>
      </c>
      <c r="Z56" s="39">
        <f>資料儲存!J3404</f>
        <v>0</v>
      </c>
      <c r="AA56" s="58"/>
      <c r="AB56" s="61">
        <v>43</v>
      </c>
      <c r="AC56" s="39">
        <f>資料儲存!D3524</f>
        <v>0</v>
      </c>
      <c r="AD56" s="39">
        <f>資料儲存!E3524</f>
        <v>0</v>
      </c>
      <c r="AE56" s="39">
        <f>資料儲存!F3524</f>
        <v>0</v>
      </c>
      <c r="AF56" s="39">
        <f>資料儲存!G3524</f>
        <v>0</v>
      </c>
      <c r="AG56" s="39">
        <f>資料儲存!H3524</f>
        <v>0</v>
      </c>
      <c r="AH56" s="39">
        <f>資料儲存!I3524</f>
        <v>0</v>
      </c>
      <c r="AI56" s="39">
        <f>資料儲存!J3524</f>
        <v>0</v>
      </c>
      <c r="AJ56" s="58"/>
    </row>
    <row r="57" spans="1:36" ht="16" thickBot="1">
      <c r="A57" s="61">
        <v>44</v>
      </c>
      <c r="B57" s="39">
        <f>資料儲存!D3165</f>
        <v>0</v>
      </c>
      <c r="C57" s="39">
        <f>資料儲存!E3165</f>
        <v>0</v>
      </c>
      <c r="D57" s="39">
        <f>資料儲存!F3165</f>
        <v>0</v>
      </c>
      <c r="E57" s="39">
        <f>資料儲存!G3165</f>
        <v>0</v>
      </c>
      <c r="F57" s="39">
        <f>資料儲存!H3165</f>
        <v>0</v>
      </c>
      <c r="G57" s="39">
        <f>資料儲存!I3165</f>
        <v>0</v>
      </c>
      <c r="H57" s="39">
        <f>資料儲存!J3165</f>
        <v>0</v>
      </c>
      <c r="I57" s="58"/>
      <c r="J57" s="61">
        <v>44</v>
      </c>
      <c r="K57" s="39">
        <f>資料儲存!D3285</f>
        <v>0</v>
      </c>
      <c r="L57" s="39">
        <f>資料儲存!E3285</f>
        <v>0</v>
      </c>
      <c r="M57" s="39">
        <f>資料儲存!F3285</f>
        <v>0</v>
      </c>
      <c r="N57" s="39">
        <f>資料儲存!G3285</f>
        <v>0</v>
      </c>
      <c r="O57" s="39">
        <f>資料儲存!H3285</f>
        <v>0</v>
      </c>
      <c r="P57" s="39">
        <f>資料儲存!I3285</f>
        <v>0</v>
      </c>
      <c r="Q57" s="39">
        <f>資料儲存!J3285</f>
        <v>0</v>
      </c>
      <c r="R57" s="58"/>
      <c r="S57" s="61">
        <v>44</v>
      </c>
      <c r="T57" s="39">
        <f>資料儲存!D3405</f>
        <v>0</v>
      </c>
      <c r="U57" s="39">
        <f>資料儲存!E3405</f>
        <v>0</v>
      </c>
      <c r="V57" s="39">
        <f>資料儲存!F3405</f>
        <v>0</v>
      </c>
      <c r="W57" s="39">
        <f>資料儲存!G3405</f>
        <v>0</v>
      </c>
      <c r="X57" s="39">
        <f>資料儲存!H3405</f>
        <v>0</v>
      </c>
      <c r="Y57" s="39">
        <f>資料儲存!I3405</f>
        <v>0</v>
      </c>
      <c r="Z57" s="39">
        <f>資料儲存!J3405</f>
        <v>0</v>
      </c>
      <c r="AA57" s="58"/>
      <c r="AB57" s="61">
        <v>44</v>
      </c>
      <c r="AC57" s="39">
        <f>資料儲存!D3525</f>
        <v>0</v>
      </c>
      <c r="AD57" s="39">
        <f>資料儲存!E3525</f>
        <v>0</v>
      </c>
      <c r="AE57" s="39">
        <f>資料儲存!F3525</f>
        <v>0</v>
      </c>
      <c r="AF57" s="39">
        <f>資料儲存!G3525</f>
        <v>0</v>
      </c>
      <c r="AG57" s="39">
        <f>資料儲存!H3525</f>
        <v>0</v>
      </c>
      <c r="AH57" s="39">
        <f>資料儲存!I3525</f>
        <v>0</v>
      </c>
      <c r="AI57" s="39">
        <f>資料儲存!J3525</f>
        <v>0</v>
      </c>
      <c r="AJ57" s="58"/>
    </row>
    <row r="58" spans="1:36" ht="16" thickBot="1">
      <c r="A58" s="61">
        <v>45</v>
      </c>
      <c r="B58" s="39">
        <f>資料儲存!D3166</f>
        <v>0</v>
      </c>
      <c r="C58" s="39">
        <f>資料儲存!E3166</f>
        <v>0</v>
      </c>
      <c r="D58" s="39">
        <f>資料儲存!F3166</f>
        <v>0</v>
      </c>
      <c r="E58" s="39">
        <f>資料儲存!G3166</f>
        <v>0</v>
      </c>
      <c r="F58" s="39">
        <f>資料儲存!H3166</f>
        <v>0</v>
      </c>
      <c r="G58" s="39">
        <f>資料儲存!I3166</f>
        <v>0</v>
      </c>
      <c r="H58" s="39">
        <f>資料儲存!J3166</f>
        <v>0</v>
      </c>
      <c r="I58" s="58"/>
      <c r="J58" s="61">
        <v>45</v>
      </c>
      <c r="K58" s="39">
        <f>資料儲存!D3286</f>
        <v>0</v>
      </c>
      <c r="L58" s="39">
        <f>資料儲存!E3286</f>
        <v>0</v>
      </c>
      <c r="M58" s="39">
        <f>資料儲存!F3286</f>
        <v>0</v>
      </c>
      <c r="N58" s="39">
        <f>資料儲存!G3286</f>
        <v>0</v>
      </c>
      <c r="O58" s="39">
        <f>資料儲存!H3286</f>
        <v>0</v>
      </c>
      <c r="P58" s="39">
        <f>資料儲存!I3286</f>
        <v>0</v>
      </c>
      <c r="Q58" s="39">
        <f>資料儲存!J3286</f>
        <v>0</v>
      </c>
      <c r="R58" s="58"/>
      <c r="S58" s="61">
        <v>45</v>
      </c>
      <c r="T58" s="39">
        <f>資料儲存!D3406</f>
        <v>0</v>
      </c>
      <c r="U58" s="39">
        <f>資料儲存!E3406</f>
        <v>0</v>
      </c>
      <c r="V58" s="39">
        <f>資料儲存!F3406</f>
        <v>0</v>
      </c>
      <c r="W58" s="39">
        <f>資料儲存!G3406</f>
        <v>0</v>
      </c>
      <c r="X58" s="39">
        <f>資料儲存!H3406</f>
        <v>0</v>
      </c>
      <c r="Y58" s="39">
        <f>資料儲存!I3406</f>
        <v>0</v>
      </c>
      <c r="Z58" s="39">
        <f>資料儲存!J3406</f>
        <v>0</v>
      </c>
      <c r="AA58" s="58"/>
      <c r="AB58" s="61">
        <v>45</v>
      </c>
      <c r="AC58" s="39">
        <f>資料儲存!D3526</f>
        <v>0</v>
      </c>
      <c r="AD58" s="39">
        <f>資料儲存!E3526</f>
        <v>0</v>
      </c>
      <c r="AE58" s="39">
        <f>資料儲存!F3526</f>
        <v>0</v>
      </c>
      <c r="AF58" s="39">
        <f>資料儲存!G3526</f>
        <v>0</v>
      </c>
      <c r="AG58" s="39">
        <f>資料儲存!H3526</f>
        <v>0</v>
      </c>
      <c r="AH58" s="39">
        <f>資料儲存!I3526</f>
        <v>0</v>
      </c>
      <c r="AI58" s="39">
        <f>資料儲存!J3526</f>
        <v>0</v>
      </c>
      <c r="AJ58" s="58"/>
    </row>
    <row r="59" spans="1:36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</row>
    <row r="60" spans="1:36" ht="18.5" thickBot="1">
      <c r="A60" s="259" t="s">
        <v>120</v>
      </c>
      <c r="B60" s="260"/>
      <c r="C60" s="260"/>
      <c r="D60" s="260"/>
      <c r="E60" s="260"/>
      <c r="F60" s="260"/>
      <c r="G60" s="260"/>
      <c r="H60" s="261"/>
      <c r="I60" s="14"/>
      <c r="J60" s="259" t="s">
        <v>120</v>
      </c>
      <c r="K60" s="260"/>
      <c r="L60" s="260"/>
      <c r="M60" s="260"/>
      <c r="N60" s="260"/>
      <c r="O60" s="260"/>
      <c r="P60" s="260"/>
      <c r="Q60" s="261"/>
      <c r="R60" s="14"/>
      <c r="S60" s="259" t="s">
        <v>120</v>
      </c>
      <c r="T60" s="260"/>
      <c r="U60" s="260"/>
      <c r="V60" s="260"/>
      <c r="W60" s="260"/>
      <c r="X60" s="260"/>
      <c r="Y60" s="260"/>
      <c r="Z60" s="261"/>
      <c r="AA60" s="14"/>
      <c r="AB60" s="259" t="s">
        <v>120</v>
      </c>
      <c r="AC60" s="260"/>
      <c r="AD60" s="260"/>
      <c r="AE60" s="260"/>
      <c r="AF60" s="260"/>
      <c r="AG60" s="260"/>
      <c r="AH60" s="260"/>
      <c r="AI60" s="261"/>
      <c r="AJ60" s="14"/>
    </row>
    <row r="61" spans="1:36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</row>
    <row r="62" spans="1:36" ht="16" thickBot="1">
      <c r="A62" s="66">
        <v>0.69791666666666663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>
        <v>0.69791666666666663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>
        <v>0.69791666666666663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>
        <v>0.69791666666666663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</row>
    <row r="63" spans="1:36" ht="16" thickBot="1">
      <c r="A63" s="68">
        <v>46</v>
      </c>
      <c r="B63" s="49">
        <f>資料儲存!D3167</f>
        <v>0</v>
      </c>
      <c r="C63" s="49">
        <f>資料儲存!E3167</f>
        <v>0</v>
      </c>
      <c r="D63" s="49">
        <f>資料儲存!F3167</f>
        <v>0</v>
      </c>
      <c r="E63" s="49">
        <f>資料儲存!G3167</f>
        <v>0</v>
      </c>
      <c r="F63" s="49">
        <f>資料儲存!H3167</f>
        <v>0</v>
      </c>
      <c r="G63" s="49">
        <f>資料儲存!I3167</f>
        <v>0</v>
      </c>
      <c r="H63" s="49">
        <f>資料儲存!J3167</f>
        <v>0</v>
      </c>
      <c r="I63" s="52"/>
      <c r="J63" s="68">
        <v>46</v>
      </c>
      <c r="K63" s="49">
        <f>資料儲存!D3287</f>
        <v>0</v>
      </c>
      <c r="L63" s="49">
        <f>資料儲存!E3287</f>
        <v>0</v>
      </c>
      <c r="M63" s="49">
        <f>資料儲存!F3287</f>
        <v>0</v>
      </c>
      <c r="N63" s="49">
        <f>資料儲存!G3287</f>
        <v>0</v>
      </c>
      <c r="O63" s="49">
        <f>資料儲存!H3287</f>
        <v>0</v>
      </c>
      <c r="P63" s="49">
        <f>資料儲存!I3287</f>
        <v>0</v>
      </c>
      <c r="Q63" s="49">
        <f>資料儲存!J3287</f>
        <v>0</v>
      </c>
      <c r="R63" s="52"/>
      <c r="S63" s="68">
        <v>46</v>
      </c>
      <c r="T63" s="49">
        <f>資料儲存!D3407</f>
        <v>0</v>
      </c>
      <c r="U63" s="49">
        <f>資料儲存!E3407</f>
        <v>0</v>
      </c>
      <c r="V63" s="49">
        <f>資料儲存!F3407</f>
        <v>0</v>
      </c>
      <c r="W63" s="49">
        <f>資料儲存!G3407</f>
        <v>0</v>
      </c>
      <c r="X63" s="49">
        <f>資料儲存!H3407</f>
        <v>0</v>
      </c>
      <c r="Y63" s="49">
        <f>資料儲存!I3407</f>
        <v>0</v>
      </c>
      <c r="Z63" s="49">
        <f>資料儲存!J3407</f>
        <v>0</v>
      </c>
      <c r="AA63" s="52"/>
      <c r="AB63" s="68">
        <v>46</v>
      </c>
      <c r="AC63" s="49">
        <f>資料儲存!D3527</f>
        <v>0</v>
      </c>
      <c r="AD63" s="49">
        <f>資料儲存!E3527</f>
        <v>0</v>
      </c>
      <c r="AE63" s="49">
        <f>資料儲存!F3527</f>
        <v>0</v>
      </c>
      <c r="AF63" s="49">
        <f>資料儲存!G3527</f>
        <v>0</v>
      </c>
      <c r="AG63" s="49">
        <f>資料儲存!H3527</f>
        <v>0</v>
      </c>
      <c r="AH63" s="49">
        <f>資料儲存!I3527</f>
        <v>0</v>
      </c>
      <c r="AI63" s="49">
        <f>資料儲存!J3527</f>
        <v>0</v>
      </c>
      <c r="AJ63" s="52"/>
    </row>
    <row r="64" spans="1:36" ht="16" thickBot="1">
      <c r="A64" s="68">
        <v>47</v>
      </c>
      <c r="B64" s="49">
        <f>資料儲存!D3168</f>
        <v>0</v>
      </c>
      <c r="C64" s="49">
        <f>資料儲存!E3168</f>
        <v>0</v>
      </c>
      <c r="D64" s="49">
        <f>資料儲存!F3168</f>
        <v>0</v>
      </c>
      <c r="E64" s="49">
        <f>資料儲存!G3168</f>
        <v>0</v>
      </c>
      <c r="F64" s="49">
        <f>資料儲存!H3168</f>
        <v>0</v>
      </c>
      <c r="G64" s="49">
        <f>資料儲存!I3168</f>
        <v>0</v>
      </c>
      <c r="H64" s="49">
        <f>資料儲存!J3168</f>
        <v>0</v>
      </c>
      <c r="I64" s="52"/>
      <c r="J64" s="68">
        <v>47</v>
      </c>
      <c r="K64" s="49">
        <f>資料儲存!D3288</f>
        <v>0</v>
      </c>
      <c r="L64" s="49">
        <f>資料儲存!E3288</f>
        <v>0</v>
      </c>
      <c r="M64" s="49">
        <f>資料儲存!F3288</f>
        <v>0</v>
      </c>
      <c r="N64" s="49">
        <f>資料儲存!G3288</f>
        <v>0</v>
      </c>
      <c r="O64" s="49">
        <f>資料儲存!H3288</f>
        <v>0</v>
      </c>
      <c r="P64" s="49">
        <f>資料儲存!I3288</f>
        <v>0</v>
      </c>
      <c r="Q64" s="49">
        <f>資料儲存!J3288</f>
        <v>0</v>
      </c>
      <c r="R64" s="52"/>
      <c r="S64" s="68">
        <v>47</v>
      </c>
      <c r="T64" s="49">
        <f>資料儲存!D3408</f>
        <v>0</v>
      </c>
      <c r="U64" s="49">
        <f>資料儲存!E3408</f>
        <v>0</v>
      </c>
      <c r="V64" s="49">
        <f>資料儲存!F3408</f>
        <v>0</v>
      </c>
      <c r="W64" s="49">
        <f>資料儲存!G3408</f>
        <v>0</v>
      </c>
      <c r="X64" s="49">
        <f>資料儲存!H3408</f>
        <v>0</v>
      </c>
      <c r="Y64" s="49">
        <f>資料儲存!I3408</f>
        <v>0</v>
      </c>
      <c r="Z64" s="49">
        <f>資料儲存!J3408</f>
        <v>0</v>
      </c>
      <c r="AA64" s="52"/>
      <c r="AB64" s="68">
        <v>47</v>
      </c>
      <c r="AC64" s="49">
        <f>資料儲存!D3528</f>
        <v>0</v>
      </c>
      <c r="AD64" s="49">
        <f>資料儲存!E3528</f>
        <v>0</v>
      </c>
      <c r="AE64" s="49">
        <f>資料儲存!F3528</f>
        <v>0</v>
      </c>
      <c r="AF64" s="49">
        <f>資料儲存!G3528</f>
        <v>0</v>
      </c>
      <c r="AG64" s="49">
        <f>資料儲存!H3528</f>
        <v>0</v>
      </c>
      <c r="AH64" s="49">
        <f>資料儲存!I3528</f>
        <v>0</v>
      </c>
      <c r="AI64" s="49">
        <f>資料儲存!J3528</f>
        <v>0</v>
      </c>
      <c r="AJ64" s="52"/>
    </row>
    <row r="65" spans="1:36" ht="16" thickBot="1">
      <c r="A65" s="68">
        <v>48</v>
      </c>
      <c r="B65" s="49">
        <f>資料儲存!D3169</f>
        <v>0</v>
      </c>
      <c r="C65" s="49">
        <f>資料儲存!E3169</f>
        <v>0</v>
      </c>
      <c r="D65" s="49">
        <f>資料儲存!F3169</f>
        <v>0</v>
      </c>
      <c r="E65" s="49">
        <f>資料儲存!G3169</f>
        <v>0</v>
      </c>
      <c r="F65" s="49">
        <f>資料儲存!H3169</f>
        <v>0</v>
      </c>
      <c r="G65" s="49">
        <f>資料儲存!I3169</f>
        <v>0</v>
      </c>
      <c r="H65" s="49">
        <f>資料儲存!J3169</f>
        <v>0</v>
      </c>
      <c r="I65" s="52"/>
      <c r="J65" s="68">
        <v>48</v>
      </c>
      <c r="K65" s="49">
        <f>資料儲存!D3289</f>
        <v>0</v>
      </c>
      <c r="L65" s="49">
        <f>資料儲存!E3289</f>
        <v>0</v>
      </c>
      <c r="M65" s="49">
        <f>資料儲存!F3289</f>
        <v>0</v>
      </c>
      <c r="N65" s="49">
        <f>資料儲存!G3289</f>
        <v>0</v>
      </c>
      <c r="O65" s="49">
        <f>資料儲存!H3289</f>
        <v>0</v>
      </c>
      <c r="P65" s="49">
        <f>資料儲存!I3289</f>
        <v>0</v>
      </c>
      <c r="Q65" s="49">
        <f>資料儲存!J3289</f>
        <v>0</v>
      </c>
      <c r="R65" s="52"/>
      <c r="S65" s="68">
        <v>48</v>
      </c>
      <c r="T65" s="49">
        <f>資料儲存!D3409</f>
        <v>0</v>
      </c>
      <c r="U65" s="49">
        <f>資料儲存!E3409</f>
        <v>0</v>
      </c>
      <c r="V65" s="49">
        <f>資料儲存!F3409</f>
        <v>0</v>
      </c>
      <c r="W65" s="49">
        <f>資料儲存!G3409</f>
        <v>0</v>
      </c>
      <c r="X65" s="49">
        <f>資料儲存!H3409</f>
        <v>0</v>
      </c>
      <c r="Y65" s="49">
        <f>資料儲存!I3409</f>
        <v>0</v>
      </c>
      <c r="Z65" s="49">
        <f>資料儲存!J3409</f>
        <v>0</v>
      </c>
      <c r="AA65" s="52"/>
      <c r="AB65" s="68">
        <v>48</v>
      </c>
      <c r="AC65" s="49">
        <f>資料儲存!D3529</f>
        <v>0</v>
      </c>
      <c r="AD65" s="49">
        <f>資料儲存!E3529</f>
        <v>0</v>
      </c>
      <c r="AE65" s="49">
        <f>資料儲存!F3529</f>
        <v>0</v>
      </c>
      <c r="AF65" s="49">
        <f>資料儲存!G3529</f>
        <v>0</v>
      </c>
      <c r="AG65" s="49">
        <f>資料儲存!H3529</f>
        <v>0</v>
      </c>
      <c r="AH65" s="49">
        <f>資料儲存!I3529</f>
        <v>0</v>
      </c>
      <c r="AI65" s="49">
        <f>資料儲存!J3529</f>
        <v>0</v>
      </c>
      <c r="AJ65" s="52"/>
    </row>
    <row r="66" spans="1:36" ht="16" thickBot="1">
      <c r="A66" s="68">
        <v>49</v>
      </c>
      <c r="B66" s="49">
        <f>資料儲存!D3170</f>
        <v>0</v>
      </c>
      <c r="C66" s="49">
        <f>資料儲存!E3170</f>
        <v>0</v>
      </c>
      <c r="D66" s="49">
        <f>資料儲存!F3170</f>
        <v>0</v>
      </c>
      <c r="E66" s="49">
        <f>資料儲存!G3170</f>
        <v>0</v>
      </c>
      <c r="F66" s="49">
        <f>資料儲存!H3170</f>
        <v>0</v>
      </c>
      <c r="G66" s="49">
        <f>資料儲存!I3170</f>
        <v>0</v>
      </c>
      <c r="H66" s="49">
        <f>資料儲存!J3170</f>
        <v>0</v>
      </c>
      <c r="I66" s="52"/>
      <c r="J66" s="68">
        <v>49</v>
      </c>
      <c r="K66" s="49">
        <f>資料儲存!D3290</f>
        <v>0</v>
      </c>
      <c r="L66" s="49">
        <f>資料儲存!E3290</f>
        <v>0</v>
      </c>
      <c r="M66" s="49">
        <f>資料儲存!F3290</f>
        <v>0</v>
      </c>
      <c r="N66" s="49">
        <f>資料儲存!G3290</f>
        <v>0</v>
      </c>
      <c r="O66" s="49">
        <f>資料儲存!H3290</f>
        <v>0</v>
      </c>
      <c r="P66" s="49">
        <f>資料儲存!I3290</f>
        <v>0</v>
      </c>
      <c r="Q66" s="49">
        <f>資料儲存!J3290</f>
        <v>0</v>
      </c>
      <c r="R66" s="52"/>
      <c r="S66" s="68">
        <v>49</v>
      </c>
      <c r="T66" s="49">
        <f>資料儲存!D3410</f>
        <v>0</v>
      </c>
      <c r="U66" s="49">
        <f>資料儲存!E3410</f>
        <v>0</v>
      </c>
      <c r="V66" s="49">
        <f>資料儲存!F3410</f>
        <v>0</v>
      </c>
      <c r="W66" s="49">
        <f>資料儲存!G3410</f>
        <v>0</v>
      </c>
      <c r="X66" s="49">
        <f>資料儲存!H3410</f>
        <v>0</v>
      </c>
      <c r="Y66" s="49">
        <f>資料儲存!I3410</f>
        <v>0</v>
      </c>
      <c r="Z66" s="49">
        <f>資料儲存!J3410</f>
        <v>0</v>
      </c>
      <c r="AA66" s="52"/>
      <c r="AB66" s="68">
        <v>49</v>
      </c>
      <c r="AC66" s="49">
        <f>資料儲存!D3530</f>
        <v>0</v>
      </c>
      <c r="AD66" s="49">
        <f>資料儲存!E3530</f>
        <v>0</v>
      </c>
      <c r="AE66" s="49">
        <f>資料儲存!F3530</f>
        <v>0</v>
      </c>
      <c r="AF66" s="49">
        <f>資料儲存!G3530</f>
        <v>0</v>
      </c>
      <c r="AG66" s="49">
        <f>資料儲存!H3530</f>
        <v>0</v>
      </c>
      <c r="AH66" s="49">
        <f>資料儲存!I3530</f>
        <v>0</v>
      </c>
      <c r="AI66" s="49">
        <f>資料儲存!J3530</f>
        <v>0</v>
      </c>
      <c r="AJ66" s="52"/>
    </row>
    <row r="67" spans="1:36" ht="16" thickBot="1">
      <c r="A67" s="68">
        <v>50</v>
      </c>
      <c r="B67" s="49">
        <f>資料儲存!D3171</f>
        <v>0</v>
      </c>
      <c r="C67" s="49">
        <f>資料儲存!E3171</f>
        <v>0</v>
      </c>
      <c r="D67" s="49">
        <f>資料儲存!F3171</f>
        <v>0</v>
      </c>
      <c r="E67" s="49">
        <f>資料儲存!G3171</f>
        <v>0</v>
      </c>
      <c r="F67" s="49">
        <f>資料儲存!H3171</f>
        <v>0</v>
      </c>
      <c r="G67" s="49">
        <f>資料儲存!I3171</f>
        <v>0</v>
      </c>
      <c r="H67" s="49">
        <f>資料儲存!J3171</f>
        <v>0</v>
      </c>
      <c r="I67" s="52"/>
      <c r="J67" s="68">
        <v>50</v>
      </c>
      <c r="K67" s="49">
        <f>資料儲存!D3291</f>
        <v>0</v>
      </c>
      <c r="L67" s="49">
        <f>資料儲存!E3291</f>
        <v>0</v>
      </c>
      <c r="M67" s="49">
        <f>資料儲存!F3291</f>
        <v>0</v>
      </c>
      <c r="N67" s="49">
        <f>資料儲存!G3291</f>
        <v>0</v>
      </c>
      <c r="O67" s="49">
        <f>資料儲存!H3291</f>
        <v>0</v>
      </c>
      <c r="P67" s="49">
        <f>資料儲存!I3291</f>
        <v>0</v>
      </c>
      <c r="Q67" s="49">
        <f>資料儲存!J3291</f>
        <v>0</v>
      </c>
      <c r="R67" s="52"/>
      <c r="S67" s="68">
        <v>50</v>
      </c>
      <c r="T67" s="49">
        <f>資料儲存!D3411</f>
        <v>0</v>
      </c>
      <c r="U67" s="49">
        <f>資料儲存!E3411</f>
        <v>0</v>
      </c>
      <c r="V67" s="49">
        <f>資料儲存!F3411</f>
        <v>0</v>
      </c>
      <c r="W67" s="49">
        <f>資料儲存!G3411</f>
        <v>0</v>
      </c>
      <c r="X67" s="49">
        <f>資料儲存!H3411</f>
        <v>0</v>
      </c>
      <c r="Y67" s="49">
        <f>資料儲存!I3411</f>
        <v>0</v>
      </c>
      <c r="Z67" s="49">
        <f>資料儲存!J3411</f>
        <v>0</v>
      </c>
      <c r="AA67" s="52"/>
      <c r="AB67" s="68">
        <v>50</v>
      </c>
      <c r="AC67" s="49">
        <f>資料儲存!D3531</f>
        <v>0</v>
      </c>
      <c r="AD67" s="49">
        <f>資料儲存!E3531</f>
        <v>0</v>
      </c>
      <c r="AE67" s="49">
        <f>資料儲存!F3531</f>
        <v>0</v>
      </c>
      <c r="AF67" s="49">
        <f>資料儲存!G3531</f>
        <v>0</v>
      </c>
      <c r="AG67" s="49">
        <f>資料儲存!H3531</f>
        <v>0</v>
      </c>
      <c r="AH67" s="49">
        <f>資料儲存!I3531</f>
        <v>0</v>
      </c>
      <c r="AI67" s="49">
        <f>資料儲存!J3531</f>
        <v>0</v>
      </c>
      <c r="AJ67" s="52"/>
    </row>
    <row r="68" spans="1:36" ht="16" thickBot="1">
      <c r="A68" s="68">
        <v>51</v>
      </c>
      <c r="B68" s="49">
        <f>資料儲存!D3172</f>
        <v>0</v>
      </c>
      <c r="C68" s="49">
        <f>資料儲存!E3172</f>
        <v>0</v>
      </c>
      <c r="D68" s="49">
        <f>資料儲存!F3172</f>
        <v>0</v>
      </c>
      <c r="E68" s="49">
        <f>資料儲存!G3172</f>
        <v>0</v>
      </c>
      <c r="F68" s="49">
        <f>資料儲存!H3172</f>
        <v>0</v>
      </c>
      <c r="G68" s="49">
        <f>資料儲存!I3172</f>
        <v>0</v>
      </c>
      <c r="H68" s="49">
        <f>資料儲存!J3172</f>
        <v>0</v>
      </c>
      <c r="I68" s="52"/>
      <c r="J68" s="68">
        <v>51</v>
      </c>
      <c r="K68" s="49">
        <f>資料儲存!D3292</f>
        <v>0</v>
      </c>
      <c r="L68" s="49">
        <f>資料儲存!E3292</f>
        <v>0</v>
      </c>
      <c r="M68" s="49">
        <f>資料儲存!F3292</f>
        <v>0</v>
      </c>
      <c r="N68" s="49">
        <f>資料儲存!G3292</f>
        <v>0</v>
      </c>
      <c r="O68" s="49">
        <f>資料儲存!H3292</f>
        <v>0</v>
      </c>
      <c r="P68" s="49">
        <f>資料儲存!I3292</f>
        <v>0</v>
      </c>
      <c r="Q68" s="49">
        <f>資料儲存!J3292</f>
        <v>0</v>
      </c>
      <c r="R68" s="52"/>
      <c r="S68" s="68">
        <v>51</v>
      </c>
      <c r="T68" s="49">
        <f>資料儲存!D3412</f>
        <v>0</v>
      </c>
      <c r="U68" s="49">
        <f>資料儲存!E3412</f>
        <v>0</v>
      </c>
      <c r="V68" s="49">
        <f>資料儲存!F3412</f>
        <v>0</v>
      </c>
      <c r="W68" s="49">
        <f>資料儲存!G3412</f>
        <v>0</v>
      </c>
      <c r="X68" s="49">
        <f>資料儲存!H3412</f>
        <v>0</v>
      </c>
      <c r="Y68" s="49">
        <f>資料儲存!I3412</f>
        <v>0</v>
      </c>
      <c r="Z68" s="49">
        <f>資料儲存!J3412</f>
        <v>0</v>
      </c>
      <c r="AA68" s="52"/>
      <c r="AB68" s="68">
        <v>51</v>
      </c>
      <c r="AC68" s="49">
        <f>資料儲存!D3532</f>
        <v>0</v>
      </c>
      <c r="AD68" s="49">
        <f>資料儲存!E3532</f>
        <v>0</v>
      </c>
      <c r="AE68" s="49">
        <f>資料儲存!F3532</f>
        <v>0</v>
      </c>
      <c r="AF68" s="49">
        <f>資料儲存!G3532</f>
        <v>0</v>
      </c>
      <c r="AG68" s="49">
        <f>資料儲存!H3532</f>
        <v>0</v>
      </c>
      <c r="AH68" s="49">
        <f>資料儲存!I3532</f>
        <v>0</v>
      </c>
      <c r="AI68" s="49">
        <f>資料儲存!J3532</f>
        <v>0</v>
      </c>
      <c r="AJ68" s="52"/>
    </row>
    <row r="69" spans="1:36" ht="16" thickBot="1">
      <c r="A69" s="68">
        <v>52</v>
      </c>
      <c r="B69" s="49">
        <f>資料儲存!D3173</f>
        <v>0</v>
      </c>
      <c r="C69" s="49">
        <f>資料儲存!E3173</f>
        <v>0</v>
      </c>
      <c r="D69" s="49">
        <f>資料儲存!F3173</f>
        <v>0</v>
      </c>
      <c r="E69" s="49">
        <f>資料儲存!G3173</f>
        <v>0</v>
      </c>
      <c r="F69" s="49">
        <f>資料儲存!H3173</f>
        <v>0</v>
      </c>
      <c r="G69" s="49">
        <f>資料儲存!I3173</f>
        <v>0</v>
      </c>
      <c r="H69" s="49">
        <f>資料儲存!J3173</f>
        <v>0</v>
      </c>
      <c r="I69" s="52"/>
      <c r="J69" s="68">
        <v>52</v>
      </c>
      <c r="K69" s="49">
        <f>資料儲存!D3293</f>
        <v>0</v>
      </c>
      <c r="L69" s="49">
        <f>資料儲存!E3293</f>
        <v>0</v>
      </c>
      <c r="M69" s="49">
        <f>資料儲存!F3293</f>
        <v>0</v>
      </c>
      <c r="N69" s="49">
        <f>資料儲存!G3293</f>
        <v>0</v>
      </c>
      <c r="O69" s="49">
        <f>資料儲存!H3293</f>
        <v>0</v>
      </c>
      <c r="P69" s="49">
        <f>資料儲存!I3293</f>
        <v>0</v>
      </c>
      <c r="Q69" s="49">
        <f>資料儲存!J3293</f>
        <v>0</v>
      </c>
      <c r="R69" s="52"/>
      <c r="S69" s="68">
        <v>52</v>
      </c>
      <c r="T69" s="49">
        <f>資料儲存!D3413</f>
        <v>0</v>
      </c>
      <c r="U69" s="49">
        <f>資料儲存!E3413</f>
        <v>0</v>
      </c>
      <c r="V69" s="49">
        <f>資料儲存!F3413</f>
        <v>0</v>
      </c>
      <c r="W69" s="49">
        <f>資料儲存!G3413</f>
        <v>0</v>
      </c>
      <c r="X69" s="49">
        <f>資料儲存!H3413</f>
        <v>0</v>
      </c>
      <c r="Y69" s="49">
        <f>資料儲存!I3413</f>
        <v>0</v>
      </c>
      <c r="Z69" s="49">
        <f>資料儲存!J3413</f>
        <v>0</v>
      </c>
      <c r="AA69" s="52"/>
      <c r="AB69" s="68">
        <v>52</v>
      </c>
      <c r="AC69" s="49">
        <f>資料儲存!D3533</f>
        <v>0</v>
      </c>
      <c r="AD69" s="49">
        <f>資料儲存!E3533</f>
        <v>0</v>
      </c>
      <c r="AE69" s="49">
        <f>資料儲存!F3533</f>
        <v>0</v>
      </c>
      <c r="AF69" s="49">
        <f>資料儲存!G3533</f>
        <v>0</v>
      </c>
      <c r="AG69" s="49">
        <f>資料儲存!H3533</f>
        <v>0</v>
      </c>
      <c r="AH69" s="49">
        <f>資料儲存!I3533</f>
        <v>0</v>
      </c>
      <c r="AI69" s="49">
        <f>資料儲存!J3533</f>
        <v>0</v>
      </c>
      <c r="AJ69" s="52"/>
    </row>
    <row r="70" spans="1:36" ht="16" thickBot="1">
      <c r="A70" s="68">
        <v>53</v>
      </c>
      <c r="B70" s="49">
        <f>資料儲存!D3174</f>
        <v>0</v>
      </c>
      <c r="C70" s="49">
        <f>資料儲存!E3174</f>
        <v>0</v>
      </c>
      <c r="D70" s="49">
        <f>資料儲存!F3174</f>
        <v>0</v>
      </c>
      <c r="E70" s="49">
        <f>資料儲存!G3174</f>
        <v>0</v>
      </c>
      <c r="F70" s="49">
        <f>資料儲存!H3174</f>
        <v>0</v>
      </c>
      <c r="G70" s="49">
        <f>資料儲存!I3174</f>
        <v>0</v>
      </c>
      <c r="H70" s="49">
        <f>資料儲存!J3174</f>
        <v>0</v>
      </c>
      <c r="I70" s="52"/>
      <c r="J70" s="68">
        <v>53</v>
      </c>
      <c r="K70" s="49">
        <f>資料儲存!D3294</f>
        <v>0</v>
      </c>
      <c r="L70" s="49">
        <f>資料儲存!E3294</f>
        <v>0</v>
      </c>
      <c r="M70" s="49">
        <f>資料儲存!F3294</f>
        <v>0</v>
      </c>
      <c r="N70" s="49">
        <f>資料儲存!G3294</f>
        <v>0</v>
      </c>
      <c r="O70" s="49">
        <f>資料儲存!H3294</f>
        <v>0</v>
      </c>
      <c r="P70" s="49">
        <f>資料儲存!I3294</f>
        <v>0</v>
      </c>
      <c r="Q70" s="49">
        <f>資料儲存!J3294</f>
        <v>0</v>
      </c>
      <c r="R70" s="52"/>
      <c r="S70" s="68">
        <v>53</v>
      </c>
      <c r="T70" s="49">
        <f>資料儲存!D3414</f>
        <v>0</v>
      </c>
      <c r="U70" s="49">
        <f>資料儲存!E3414</f>
        <v>0</v>
      </c>
      <c r="V70" s="49">
        <f>資料儲存!F3414</f>
        <v>0</v>
      </c>
      <c r="W70" s="49">
        <f>資料儲存!G3414</f>
        <v>0</v>
      </c>
      <c r="X70" s="49">
        <f>資料儲存!H3414</f>
        <v>0</v>
      </c>
      <c r="Y70" s="49">
        <f>資料儲存!I3414</f>
        <v>0</v>
      </c>
      <c r="Z70" s="49">
        <f>資料儲存!J3414</f>
        <v>0</v>
      </c>
      <c r="AA70" s="52"/>
      <c r="AB70" s="68">
        <v>53</v>
      </c>
      <c r="AC70" s="49">
        <f>資料儲存!D3534</f>
        <v>0</v>
      </c>
      <c r="AD70" s="49">
        <f>資料儲存!E3534</f>
        <v>0</v>
      </c>
      <c r="AE70" s="49">
        <f>資料儲存!F3534</f>
        <v>0</v>
      </c>
      <c r="AF70" s="49">
        <f>資料儲存!G3534</f>
        <v>0</v>
      </c>
      <c r="AG70" s="49">
        <f>資料儲存!H3534</f>
        <v>0</v>
      </c>
      <c r="AH70" s="49">
        <f>資料儲存!I3534</f>
        <v>0</v>
      </c>
      <c r="AI70" s="49">
        <f>資料儲存!J3534</f>
        <v>0</v>
      </c>
      <c r="AJ70" s="52"/>
    </row>
    <row r="71" spans="1:36" ht="16" thickBot="1">
      <c r="A71" s="68">
        <v>54</v>
      </c>
      <c r="B71" s="49">
        <f>資料儲存!D3175</f>
        <v>0</v>
      </c>
      <c r="C71" s="49">
        <f>資料儲存!E3175</f>
        <v>0</v>
      </c>
      <c r="D71" s="49">
        <f>資料儲存!F3175</f>
        <v>0</v>
      </c>
      <c r="E71" s="49">
        <f>資料儲存!G3175</f>
        <v>0</v>
      </c>
      <c r="F71" s="49">
        <f>資料儲存!H3175</f>
        <v>0</v>
      </c>
      <c r="G71" s="49">
        <f>資料儲存!I3175</f>
        <v>0</v>
      </c>
      <c r="H71" s="49">
        <f>資料儲存!J3175</f>
        <v>0</v>
      </c>
      <c r="I71" s="52"/>
      <c r="J71" s="68">
        <v>54</v>
      </c>
      <c r="K71" s="49">
        <f>資料儲存!D3295</f>
        <v>0</v>
      </c>
      <c r="L71" s="49">
        <f>資料儲存!E3295</f>
        <v>0</v>
      </c>
      <c r="M71" s="49">
        <f>資料儲存!F3295</f>
        <v>0</v>
      </c>
      <c r="N71" s="49">
        <f>資料儲存!G3295</f>
        <v>0</v>
      </c>
      <c r="O71" s="49">
        <f>資料儲存!H3295</f>
        <v>0</v>
      </c>
      <c r="P71" s="49">
        <f>資料儲存!I3295</f>
        <v>0</v>
      </c>
      <c r="Q71" s="49">
        <f>資料儲存!J3295</f>
        <v>0</v>
      </c>
      <c r="R71" s="52"/>
      <c r="S71" s="68">
        <v>54</v>
      </c>
      <c r="T71" s="49">
        <f>資料儲存!D3415</f>
        <v>0</v>
      </c>
      <c r="U71" s="49">
        <f>資料儲存!E3415</f>
        <v>0</v>
      </c>
      <c r="V71" s="49">
        <f>資料儲存!F3415</f>
        <v>0</v>
      </c>
      <c r="W71" s="49">
        <f>資料儲存!G3415</f>
        <v>0</v>
      </c>
      <c r="X71" s="49">
        <f>資料儲存!H3415</f>
        <v>0</v>
      </c>
      <c r="Y71" s="49">
        <f>資料儲存!I3415</f>
        <v>0</v>
      </c>
      <c r="Z71" s="49">
        <f>資料儲存!J3415</f>
        <v>0</v>
      </c>
      <c r="AA71" s="52"/>
      <c r="AB71" s="68">
        <v>54</v>
      </c>
      <c r="AC71" s="49">
        <f>資料儲存!D3535</f>
        <v>0</v>
      </c>
      <c r="AD71" s="49">
        <f>資料儲存!E3535</f>
        <v>0</v>
      </c>
      <c r="AE71" s="49">
        <f>資料儲存!F3535</f>
        <v>0</v>
      </c>
      <c r="AF71" s="49">
        <f>資料儲存!G3535</f>
        <v>0</v>
      </c>
      <c r="AG71" s="49">
        <f>資料儲存!H3535</f>
        <v>0</v>
      </c>
      <c r="AH71" s="49">
        <f>資料儲存!I3535</f>
        <v>0</v>
      </c>
      <c r="AI71" s="49">
        <f>資料儲存!J3535</f>
        <v>0</v>
      </c>
      <c r="AJ71" s="52"/>
    </row>
    <row r="72" spans="1:36" ht="16" thickBot="1">
      <c r="A72" s="68">
        <v>55</v>
      </c>
      <c r="B72" s="49">
        <f>資料儲存!D3176</f>
        <v>0</v>
      </c>
      <c r="C72" s="49">
        <f>資料儲存!E3176</f>
        <v>0</v>
      </c>
      <c r="D72" s="49">
        <f>資料儲存!F3176</f>
        <v>0</v>
      </c>
      <c r="E72" s="49">
        <f>資料儲存!G3176</f>
        <v>0</v>
      </c>
      <c r="F72" s="49">
        <f>資料儲存!H3176</f>
        <v>0</v>
      </c>
      <c r="G72" s="49">
        <f>資料儲存!I3176</f>
        <v>0</v>
      </c>
      <c r="H72" s="49">
        <f>資料儲存!J3176</f>
        <v>0</v>
      </c>
      <c r="I72" s="52"/>
      <c r="J72" s="68">
        <v>55</v>
      </c>
      <c r="K72" s="49">
        <f>資料儲存!D3296</f>
        <v>0</v>
      </c>
      <c r="L72" s="49">
        <f>資料儲存!E3296</f>
        <v>0</v>
      </c>
      <c r="M72" s="49">
        <f>資料儲存!F3296</f>
        <v>0</v>
      </c>
      <c r="N72" s="49">
        <f>資料儲存!G3296</f>
        <v>0</v>
      </c>
      <c r="O72" s="49">
        <f>資料儲存!H3296</f>
        <v>0</v>
      </c>
      <c r="P72" s="49">
        <f>資料儲存!I3296</f>
        <v>0</v>
      </c>
      <c r="Q72" s="49">
        <f>資料儲存!J3296</f>
        <v>0</v>
      </c>
      <c r="R72" s="52"/>
      <c r="S72" s="68">
        <v>55</v>
      </c>
      <c r="T72" s="49">
        <f>資料儲存!D3416</f>
        <v>0</v>
      </c>
      <c r="U72" s="49">
        <f>資料儲存!E3416</f>
        <v>0</v>
      </c>
      <c r="V72" s="49">
        <f>資料儲存!F3416</f>
        <v>0</v>
      </c>
      <c r="W72" s="49">
        <f>資料儲存!G3416</f>
        <v>0</v>
      </c>
      <c r="X72" s="49">
        <f>資料儲存!H3416</f>
        <v>0</v>
      </c>
      <c r="Y72" s="49">
        <f>資料儲存!I3416</f>
        <v>0</v>
      </c>
      <c r="Z72" s="49">
        <f>資料儲存!J3416</f>
        <v>0</v>
      </c>
      <c r="AA72" s="52"/>
      <c r="AB72" s="68">
        <v>55</v>
      </c>
      <c r="AC72" s="49">
        <f>資料儲存!D3536</f>
        <v>0</v>
      </c>
      <c r="AD72" s="49">
        <f>資料儲存!E3536</f>
        <v>0</v>
      </c>
      <c r="AE72" s="49">
        <f>資料儲存!F3536</f>
        <v>0</v>
      </c>
      <c r="AF72" s="49">
        <f>資料儲存!G3536</f>
        <v>0</v>
      </c>
      <c r="AG72" s="49">
        <f>資料儲存!H3536</f>
        <v>0</v>
      </c>
      <c r="AH72" s="49">
        <f>資料儲存!I3536</f>
        <v>0</v>
      </c>
      <c r="AI72" s="49">
        <f>資料儲存!J3536</f>
        <v>0</v>
      </c>
      <c r="AJ72" s="52"/>
    </row>
    <row r="73" spans="1:36" ht="16" thickBot="1">
      <c r="A73" s="68">
        <v>56</v>
      </c>
      <c r="B73" s="49">
        <f>資料儲存!D3177</f>
        <v>0</v>
      </c>
      <c r="C73" s="49">
        <f>資料儲存!E3177</f>
        <v>0</v>
      </c>
      <c r="D73" s="49">
        <f>資料儲存!F3177</f>
        <v>0</v>
      </c>
      <c r="E73" s="49">
        <f>資料儲存!G3177</f>
        <v>0</v>
      </c>
      <c r="F73" s="49">
        <f>資料儲存!H3177</f>
        <v>0</v>
      </c>
      <c r="G73" s="49">
        <f>資料儲存!I3177</f>
        <v>0</v>
      </c>
      <c r="H73" s="49">
        <f>資料儲存!J3177</f>
        <v>0</v>
      </c>
      <c r="I73" s="52"/>
      <c r="J73" s="68">
        <v>56</v>
      </c>
      <c r="K73" s="49">
        <f>資料儲存!D3297</f>
        <v>0</v>
      </c>
      <c r="L73" s="49">
        <f>資料儲存!E3297</f>
        <v>0</v>
      </c>
      <c r="M73" s="49">
        <f>資料儲存!F3297</f>
        <v>0</v>
      </c>
      <c r="N73" s="49">
        <f>資料儲存!G3297</f>
        <v>0</v>
      </c>
      <c r="O73" s="49">
        <f>資料儲存!H3297</f>
        <v>0</v>
      </c>
      <c r="P73" s="49">
        <f>資料儲存!I3297</f>
        <v>0</v>
      </c>
      <c r="Q73" s="49">
        <f>資料儲存!J3297</f>
        <v>0</v>
      </c>
      <c r="R73" s="52"/>
      <c r="S73" s="68">
        <v>56</v>
      </c>
      <c r="T73" s="49">
        <f>資料儲存!D3417</f>
        <v>0</v>
      </c>
      <c r="U73" s="49">
        <f>資料儲存!E3417</f>
        <v>0</v>
      </c>
      <c r="V73" s="49">
        <f>資料儲存!F3417</f>
        <v>0</v>
      </c>
      <c r="W73" s="49">
        <f>資料儲存!G3417</f>
        <v>0</v>
      </c>
      <c r="X73" s="49">
        <f>資料儲存!H3417</f>
        <v>0</v>
      </c>
      <c r="Y73" s="49">
        <f>資料儲存!I3417</f>
        <v>0</v>
      </c>
      <c r="Z73" s="49">
        <f>資料儲存!J3417</f>
        <v>0</v>
      </c>
      <c r="AA73" s="52"/>
      <c r="AB73" s="68">
        <v>56</v>
      </c>
      <c r="AC73" s="49">
        <f>資料儲存!D3537</f>
        <v>0</v>
      </c>
      <c r="AD73" s="49">
        <f>資料儲存!E3537</f>
        <v>0</v>
      </c>
      <c r="AE73" s="49">
        <f>資料儲存!F3537</f>
        <v>0</v>
      </c>
      <c r="AF73" s="49">
        <f>資料儲存!G3537</f>
        <v>0</v>
      </c>
      <c r="AG73" s="49">
        <f>資料儲存!H3537</f>
        <v>0</v>
      </c>
      <c r="AH73" s="49">
        <f>資料儲存!I3537</f>
        <v>0</v>
      </c>
      <c r="AI73" s="49">
        <f>資料儲存!J3537</f>
        <v>0</v>
      </c>
      <c r="AJ73" s="52"/>
    </row>
    <row r="74" spans="1:36" ht="16" thickBot="1">
      <c r="A74" s="68">
        <v>57</v>
      </c>
      <c r="B74" s="49">
        <f>資料儲存!D3178</f>
        <v>0</v>
      </c>
      <c r="C74" s="49">
        <f>資料儲存!E3178</f>
        <v>0</v>
      </c>
      <c r="D74" s="49">
        <f>資料儲存!F3178</f>
        <v>0</v>
      </c>
      <c r="E74" s="49">
        <f>資料儲存!G3178</f>
        <v>0</v>
      </c>
      <c r="F74" s="49">
        <f>資料儲存!H3178</f>
        <v>0</v>
      </c>
      <c r="G74" s="49">
        <f>資料儲存!I3178</f>
        <v>0</v>
      </c>
      <c r="H74" s="49">
        <f>資料儲存!J3178</f>
        <v>0</v>
      </c>
      <c r="I74" s="52"/>
      <c r="J74" s="68">
        <v>57</v>
      </c>
      <c r="K74" s="49">
        <f>資料儲存!D3298</f>
        <v>0</v>
      </c>
      <c r="L74" s="49">
        <f>資料儲存!E3298</f>
        <v>0</v>
      </c>
      <c r="M74" s="49">
        <f>資料儲存!F3298</f>
        <v>0</v>
      </c>
      <c r="N74" s="49">
        <f>資料儲存!G3298</f>
        <v>0</v>
      </c>
      <c r="O74" s="49">
        <f>資料儲存!H3298</f>
        <v>0</v>
      </c>
      <c r="P74" s="49">
        <f>資料儲存!I3298</f>
        <v>0</v>
      </c>
      <c r="Q74" s="49">
        <f>資料儲存!J3298</f>
        <v>0</v>
      </c>
      <c r="R74" s="52"/>
      <c r="S74" s="68">
        <v>57</v>
      </c>
      <c r="T74" s="49">
        <f>資料儲存!D3418</f>
        <v>0</v>
      </c>
      <c r="U74" s="49">
        <f>資料儲存!E3418</f>
        <v>0</v>
      </c>
      <c r="V74" s="49">
        <f>資料儲存!F3418</f>
        <v>0</v>
      </c>
      <c r="W74" s="49">
        <f>資料儲存!G3418</f>
        <v>0</v>
      </c>
      <c r="X74" s="49">
        <f>資料儲存!H3418</f>
        <v>0</v>
      </c>
      <c r="Y74" s="49">
        <f>資料儲存!I3418</f>
        <v>0</v>
      </c>
      <c r="Z74" s="49">
        <f>資料儲存!J3418</f>
        <v>0</v>
      </c>
      <c r="AA74" s="52"/>
      <c r="AB74" s="68">
        <v>57</v>
      </c>
      <c r="AC74" s="49">
        <f>資料儲存!D3538</f>
        <v>0</v>
      </c>
      <c r="AD74" s="49">
        <f>資料儲存!E3538</f>
        <v>0</v>
      </c>
      <c r="AE74" s="49">
        <f>資料儲存!F3538</f>
        <v>0</v>
      </c>
      <c r="AF74" s="49">
        <f>資料儲存!G3538</f>
        <v>0</v>
      </c>
      <c r="AG74" s="49">
        <f>資料儲存!H3538</f>
        <v>0</v>
      </c>
      <c r="AH74" s="49">
        <f>資料儲存!I3538</f>
        <v>0</v>
      </c>
      <c r="AI74" s="49">
        <f>資料儲存!J3538</f>
        <v>0</v>
      </c>
      <c r="AJ74" s="52"/>
    </row>
    <row r="75" spans="1:36" ht="16" thickBot="1">
      <c r="A75" s="68">
        <v>58</v>
      </c>
      <c r="B75" s="49">
        <f>資料儲存!D3179</f>
        <v>0</v>
      </c>
      <c r="C75" s="49">
        <f>資料儲存!E3179</f>
        <v>0</v>
      </c>
      <c r="D75" s="49">
        <f>資料儲存!F3179</f>
        <v>0</v>
      </c>
      <c r="E75" s="49">
        <f>資料儲存!G3179</f>
        <v>0</v>
      </c>
      <c r="F75" s="49">
        <f>資料儲存!H3179</f>
        <v>0</v>
      </c>
      <c r="G75" s="49">
        <f>資料儲存!I3179</f>
        <v>0</v>
      </c>
      <c r="H75" s="49">
        <f>資料儲存!J3179</f>
        <v>0</v>
      </c>
      <c r="I75" s="52"/>
      <c r="J75" s="68">
        <v>58</v>
      </c>
      <c r="K75" s="49">
        <f>資料儲存!D3299</f>
        <v>0</v>
      </c>
      <c r="L75" s="49">
        <f>資料儲存!E3299</f>
        <v>0</v>
      </c>
      <c r="M75" s="49">
        <f>資料儲存!F3299</f>
        <v>0</v>
      </c>
      <c r="N75" s="49">
        <f>資料儲存!G3299</f>
        <v>0</v>
      </c>
      <c r="O75" s="49">
        <f>資料儲存!H3299</f>
        <v>0</v>
      </c>
      <c r="P75" s="49">
        <f>資料儲存!I3299</f>
        <v>0</v>
      </c>
      <c r="Q75" s="49">
        <f>資料儲存!J3299</f>
        <v>0</v>
      </c>
      <c r="R75" s="52"/>
      <c r="S75" s="68">
        <v>58</v>
      </c>
      <c r="T75" s="49">
        <f>資料儲存!D3419</f>
        <v>0</v>
      </c>
      <c r="U75" s="49">
        <f>資料儲存!E3419</f>
        <v>0</v>
      </c>
      <c r="V75" s="49">
        <f>資料儲存!F3419</f>
        <v>0</v>
      </c>
      <c r="W75" s="49">
        <f>資料儲存!G3419</f>
        <v>0</v>
      </c>
      <c r="X75" s="49">
        <f>資料儲存!H3419</f>
        <v>0</v>
      </c>
      <c r="Y75" s="49">
        <f>資料儲存!I3419</f>
        <v>0</v>
      </c>
      <c r="Z75" s="49">
        <f>資料儲存!J3419</f>
        <v>0</v>
      </c>
      <c r="AA75" s="52"/>
      <c r="AB75" s="68">
        <v>58</v>
      </c>
      <c r="AC75" s="49">
        <f>資料儲存!D3539</f>
        <v>0</v>
      </c>
      <c r="AD75" s="49">
        <f>資料儲存!E3539</f>
        <v>0</v>
      </c>
      <c r="AE75" s="49">
        <f>資料儲存!F3539</f>
        <v>0</v>
      </c>
      <c r="AF75" s="49">
        <f>資料儲存!G3539</f>
        <v>0</v>
      </c>
      <c r="AG75" s="49">
        <f>資料儲存!H3539</f>
        <v>0</v>
      </c>
      <c r="AH75" s="49">
        <f>資料儲存!I3539</f>
        <v>0</v>
      </c>
      <c r="AI75" s="49">
        <f>資料儲存!J3539</f>
        <v>0</v>
      </c>
      <c r="AJ75" s="52"/>
    </row>
    <row r="76" spans="1:36" ht="16" thickBot="1">
      <c r="A76" s="68">
        <v>59</v>
      </c>
      <c r="B76" s="49">
        <f>資料儲存!D3180</f>
        <v>0</v>
      </c>
      <c r="C76" s="49">
        <f>資料儲存!E3180</f>
        <v>0</v>
      </c>
      <c r="D76" s="49">
        <f>資料儲存!F3180</f>
        <v>0</v>
      </c>
      <c r="E76" s="49">
        <f>資料儲存!G3180</f>
        <v>0</v>
      </c>
      <c r="F76" s="49">
        <f>資料儲存!H3180</f>
        <v>0</v>
      </c>
      <c r="G76" s="49">
        <f>資料儲存!I3180</f>
        <v>0</v>
      </c>
      <c r="H76" s="49">
        <f>資料儲存!J3180</f>
        <v>0</v>
      </c>
      <c r="I76" s="52"/>
      <c r="J76" s="68">
        <v>59</v>
      </c>
      <c r="K76" s="49">
        <f>資料儲存!D3300</f>
        <v>0</v>
      </c>
      <c r="L76" s="49">
        <f>資料儲存!E3300</f>
        <v>0</v>
      </c>
      <c r="M76" s="49">
        <f>資料儲存!F3300</f>
        <v>0</v>
      </c>
      <c r="N76" s="49">
        <f>資料儲存!G3300</f>
        <v>0</v>
      </c>
      <c r="O76" s="49">
        <f>資料儲存!H3300</f>
        <v>0</v>
      </c>
      <c r="P76" s="49">
        <f>資料儲存!I3300</f>
        <v>0</v>
      </c>
      <c r="Q76" s="49">
        <f>資料儲存!J3300</f>
        <v>0</v>
      </c>
      <c r="R76" s="52"/>
      <c r="S76" s="68">
        <v>59</v>
      </c>
      <c r="T76" s="49">
        <f>資料儲存!D3420</f>
        <v>0</v>
      </c>
      <c r="U76" s="49">
        <f>資料儲存!E3420</f>
        <v>0</v>
      </c>
      <c r="V76" s="49">
        <f>資料儲存!F3420</f>
        <v>0</v>
      </c>
      <c r="W76" s="49">
        <f>資料儲存!G3420</f>
        <v>0</v>
      </c>
      <c r="X76" s="49">
        <f>資料儲存!H3420</f>
        <v>0</v>
      </c>
      <c r="Y76" s="49">
        <f>資料儲存!I3420</f>
        <v>0</v>
      </c>
      <c r="Z76" s="49">
        <f>資料儲存!J3420</f>
        <v>0</v>
      </c>
      <c r="AA76" s="52"/>
      <c r="AB76" s="68">
        <v>59</v>
      </c>
      <c r="AC76" s="49">
        <f>資料儲存!D3540</f>
        <v>0</v>
      </c>
      <c r="AD76" s="49">
        <f>資料儲存!E3540</f>
        <v>0</v>
      </c>
      <c r="AE76" s="49">
        <f>資料儲存!F3540</f>
        <v>0</v>
      </c>
      <c r="AF76" s="49">
        <f>資料儲存!G3540</f>
        <v>0</v>
      </c>
      <c r="AG76" s="49">
        <f>資料儲存!H3540</f>
        <v>0</v>
      </c>
      <c r="AH76" s="49">
        <f>資料儲存!I3540</f>
        <v>0</v>
      </c>
      <c r="AI76" s="49">
        <f>資料儲存!J3540</f>
        <v>0</v>
      </c>
      <c r="AJ76" s="52"/>
    </row>
    <row r="77" spans="1:36" ht="16" thickBot="1">
      <c r="A77" s="68">
        <v>60</v>
      </c>
      <c r="B77" s="49">
        <f>資料儲存!D3181</f>
        <v>0</v>
      </c>
      <c r="C77" s="49">
        <f>資料儲存!E3181</f>
        <v>0</v>
      </c>
      <c r="D77" s="49">
        <f>資料儲存!F3181</f>
        <v>0</v>
      </c>
      <c r="E77" s="49">
        <f>資料儲存!G3181</f>
        <v>0</v>
      </c>
      <c r="F77" s="49">
        <f>資料儲存!H3181</f>
        <v>0</v>
      </c>
      <c r="G77" s="49">
        <f>資料儲存!I3181</f>
        <v>0</v>
      </c>
      <c r="H77" s="49">
        <f>資料儲存!J3181</f>
        <v>0</v>
      </c>
      <c r="I77" s="52"/>
      <c r="J77" s="68">
        <v>60</v>
      </c>
      <c r="K77" s="49">
        <f>資料儲存!D3301</f>
        <v>0</v>
      </c>
      <c r="L77" s="49">
        <f>資料儲存!E3301</f>
        <v>0</v>
      </c>
      <c r="M77" s="49">
        <f>資料儲存!F3301</f>
        <v>0</v>
      </c>
      <c r="N77" s="49">
        <f>資料儲存!G3301</f>
        <v>0</v>
      </c>
      <c r="O77" s="49">
        <f>資料儲存!H3301</f>
        <v>0</v>
      </c>
      <c r="P77" s="49">
        <f>資料儲存!I3301</f>
        <v>0</v>
      </c>
      <c r="Q77" s="49">
        <f>資料儲存!J3301</f>
        <v>0</v>
      </c>
      <c r="R77" s="52"/>
      <c r="S77" s="68">
        <v>60</v>
      </c>
      <c r="T77" s="49">
        <f>資料儲存!D3421</f>
        <v>0</v>
      </c>
      <c r="U77" s="49">
        <f>資料儲存!E3421</f>
        <v>0</v>
      </c>
      <c r="V77" s="49">
        <f>資料儲存!F3421</f>
        <v>0</v>
      </c>
      <c r="W77" s="49">
        <f>資料儲存!G3421</f>
        <v>0</v>
      </c>
      <c r="X77" s="49">
        <f>資料儲存!H3421</f>
        <v>0</v>
      </c>
      <c r="Y77" s="49">
        <f>資料儲存!I3421</f>
        <v>0</v>
      </c>
      <c r="Z77" s="49">
        <f>資料儲存!J3421</f>
        <v>0</v>
      </c>
      <c r="AA77" s="52"/>
      <c r="AB77" s="68">
        <v>60</v>
      </c>
      <c r="AC77" s="49">
        <f>資料儲存!D3541</f>
        <v>0</v>
      </c>
      <c r="AD77" s="49">
        <f>資料儲存!E3541</f>
        <v>0</v>
      </c>
      <c r="AE77" s="49">
        <f>資料儲存!F3541</f>
        <v>0</v>
      </c>
      <c r="AF77" s="49">
        <f>資料儲存!G3541</f>
        <v>0</v>
      </c>
      <c r="AG77" s="49">
        <f>資料儲存!H3541</f>
        <v>0</v>
      </c>
      <c r="AH77" s="49">
        <f>資料儲存!I3541</f>
        <v>0</v>
      </c>
      <c r="AI77" s="49">
        <f>資料儲存!J3541</f>
        <v>0</v>
      </c>
      <c r="AJ77" s="52"/>
    </row>
    <row r="78" spans="1:36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  <row r="79" spans="1:36" ht="18.5" thickBot="1">
      <c r="A79" s="259" t="s">
        <v>121</v>
      </c>
      <c r="B79" s="260"/>
      <c r="C79" s="260"/>
      <c r="D79" s="260"/>
      <c r="E79" s="260"/>
      <c r="F79" s="260"/>
      <c r="G79" s="260"/>
      <c r="H79" s="261"/>
      <c r="I79" s="14"/>
      <c r="J79" s="259" t="s">
        <v>121</v>
      </c>
      <c r="K79" s="260"/>
      <c r="L79" s="260"/>
      <c r="M79" s="260"/>
      <c r="N79" s="260"/>
      <c r="O79" s="260"/>
      <c r="P79" s="260"/>
      <c r="Q79" s="261"/>
      <c r="R79" s="14"/>
      <c r="S79" s="259" t="s">
        <v>121</v>
      </c>
      <c r="T79" s="260"/>
      <c r="U79" s="260"/>
      <c r="V79" s="260"/>
      <c r="W79" s="260"/>
      <c r="X79" s="260"/>
      <c r="Y79" s="260"/>
      <c r="Z79" s="261"/>
      <c r="AA79" s="14"/>
      <c r="AB79" s="259" t="s">
        <v>121</v>
      </c>
      <c r="AC79" s="260"/>
      <c r="AD79" s="260"/>
      <c r="AE79" s="260"/>
      <c r="AF79" s="260"/>
      <c r="AG79" s="260"/>
      <c r="AH79" s="260"/>
      <c r="AI79" s="261"/>
      <c r="AJ79" s="14"/>
    </row>
    <row r="80" spans="1:36" ht="17.25" customHeight="1" thickBot="1">
      <c r="A80" s="54" t="s">
        <v>2</v>
      </c>
      <c r="B80" s="55" t="s">
        <v>46</v>
      </c>
      <c r="C80" s="56"/>
      <c r="D80" s="56"/>
      <c r="E80" s="57"/>
      <c r="F80" s="55" t="s">
        <v>47</v>
      </c>
      <c r="G80" s="56"/>
      <c r="H80" s="57"/>
      <c r="I80" s="58"/>
      <c r="J80" s="54" t="s">
        <v>2</v>
      </c>
      <c r="K80" s="55" t="s">
        <v>46</v>
      </c>
      <c r="L80" s="56"/>
      <c r="M80" s="56"/>
      <c r="N80" s="57"/>
      <c r="O80" s="55" t="s">
        <v>47</v>
      </c>
      <c r="P80" s="56"/>
      <c r="Q80" s="57"/>
      <c r="R80" s="58"/>
      <c r="S80" s="54" t="s">
        <v>2</v>
      </c>
      <c r="T80" s="55" t="s">
        <v>46</v>
      </c>
      <c r="U80" s="56"/>
      <c r="V80" s="56"/>
      <c r="W80" s="57"/>
      <c r="X80" s="55" t="s">
        <v>47</v>
      </c>
      <c r="Y80" s="56"/>
      <c r="Z80" s="57"/>
      <c r="AA80" s="58"/>
      <c r="AB80" s="54" t="s">
        <v>2</v>
      </c>
      <c r="AC80" s="55" t="s">
        <v>46</v>
      </c>
      <c r="AD80" s="56"/>
      <c r="AE80" s="56"/>
      <c r="AF80" s="57"/>
      <c r="AG80" s="55" t="s">
        <v>47</v>
      </c>
      <c r="AH80" s="56"/>
      <c r="AI80" s="57"/>
      <c r="AJ80" s="58"/>
    </row>
    <row r="81" spans="1:36" ht="16" thickBot="1">
      <c r="A81" s="59">
        <v>0.70833333333333337</v>
      </c>
      <c r="B81" s="60" t="s">
        <v>49</v>
      </c>
      <c r="C81" s="60" t="s">
        <v>50</v>
      </c>
      <c r="D81" s="60" t="s">
        <v>51</v>
      </c>
      <c r="E81" s="60" t="s">
        <v>52</v>
      </c>
      <c r="F81" s="60" t="s">
        <v>53</v>
      </c>
      <c r="G81" s="60" t="s">
        <v>54</v>
      </c>
      <c r="H81" s="60" t="s">
        <v>55</v>
      </c>
      <c r="I81" s="58"/>
      <c r="J81" s="59">
        <v>0.70833333333333337</v>
      </c>
      <c r="K81" s="60" t="s">
        <v>49</v>
      </c>
      <c r="L81" s="60" t="s">
        <v>50</v>
      </c>
      <c r="M81" s="60" t="s">
        <v>51</v>
      </c>
      <c r="N81" s="60" t="s">
        <v>52</v>
      </c>
      <c r="O81" s="60" t="s">
        <v>53</v>
      </c>
      <c r="P81" s="60" t="s">
        <v>54</v>
      </c>
      <c r="Q81" s="60" t="s">
        <v>55</v>
      </c>
      <c r="R81" s="58"/>
      <c r="S81" s="59">
        <v>0.70833333333333337</v>
      </c>
      <c r="T81" s="60" t="s">
        <v>49</v>
      </c>
      <c r="U81" s="60" t="s">
        <v>50</v>
      </c>
      <c r="V81" s="60" t="s">
        <v>51</v>
      </c>
      <c r="W81" s="60" t="s">
        <v>52</v>
      </c>
      <c r="X81" s="60" t="s">
        <v>53</v>
      </c>
      <c r="Y81" s="60" t="s">
        <v>54</v>
      </c>
      <c r="Z81" s="60" t="s">
        <v>55</v>
      </c>
      <c r="AA81" s="58"/>
      <c r="AB81" s="59">
        <v>0.70833333333333337</v>
      </c>
      <c r="AC81" s="60" t="s">
        <v>49</v>
      </c>
      <c r="AD81" s="60" t="s">
        <v>50</v>
      </c>
      <c r="AE81" s="60" t="s">
        <v>51</v>
      </c>
      <c r="AF81" s="60" t="s">
        <v>52</v>
      </c>
      <c r="AG81" s="60" t="s">
        <v>53</v>
      </c>
      <c r="AH81" s="60" t="s">
        <v>54</v>
      </c>
      <c r="AI81" s="60" t="s">
        <v>55</v>
      </c>
      <c r="AJ81" s="58"/>
    </row>
    <row r="82" spans="1:36" ht="16" thickBot="1">
      <c r="A82" s="61">
        <v>1</v>
      </c>
      <c r="B82" s="39">
        <f>資料儲存!D3182</f>
        <v>0</v>
      </c>
      <c r="C82" s="39">
        <f>資料儲存!E3182</f>
        <v>0</v>
      </c>
      <c r="D82" s="39">
        <f>資料儲存!F3182</f>
        <v>0</v>
      </c>
      <c r="E82" s="39">
        <f>資料儲存!G3182</f>
        <v>0</v>
      </c>
      <c r="F82" s="39">
        <f>資料儲存!H3182</f>
        <v>0</v>
      </c>
      <c r="G82" s="39">
        <f>資料儲存!I3182</f>
        <v>0</v>
      </c>
      <c r="H82" s="39">
        <f>資料儲存!J3182</f>
        <v>0</v>
      </c>
      <c r="I82" s="58"/>
      <c r="J82" s="61">
        <v>1</v>
      </c>
      <c r="K82" s="39">
        <f>資料儲存!D3302</f>
        <v>0</v>
      </c>
      <c r="L82" s="39">
        <f>資料儲存!E3302</f>
        <v>0</v>
      </c>
      <c r="M82" s="39">
        <f>資料儲存!F3302</f>
        <v>0</v>
      </c>
      <c r="N82" s="39">
        <f>資料儲存!G3302</f>
        <v>0</v>
      </c>
      <c r="O82" s="39">
        <f>資料儲存!H3302</f>
        <v>0</v>
      </c>
      <c r="P82" s="39">
        <f>資料儲存!I3302</f>
        <v>0</v>
      </c>
      <c r="Q82" s="39">
        <f>資料儲存!J3302</f>
        <v>0</v>
      </c>
      <c r="R82" s="58"/>
      <c r="S82" s="61">
        <v>1</v>
      </c>
      <c r="T82" s="39">
        <f>資料儲存!D3422</f>
        <v>0</v>
      </c>
      <c r="U82" s="39">
        <f>資料儲存!E3422</f>
        <v>0</v>
      </c>
      <c r="V82" s="39">
        <f>資料儲存!F3422</f>
        <v>0</v>
      </c>
      <c r="W82" s="39">
        <f>資料儲存!G3422</f>
        <v>0</v>
      </c>
      <c r="X82" s="39">
        <f>資料儲存!H3422</f>
        <v>0</v>
      </c>
      <c r="Y82" s="39">
        <f>資料儲存!I3422</f>
        <v>0</v>
      </c>
      <c r="Z82" s="39">
        <f>資料儲存!J3422</f>
        <v>0</v>
      </c>
      <c r="AA82" s="58"/>
      <c r="AB82" s="61">
        <v>1</v>
      </c>
      <c r="AC82" s="39">
        <f>資料儲存!D3542</f>
        <v>0</v>
      </c>
      <c r="AD82" s="39">
        <f>資料儲存!E3542</f>
        <v>0</v>
      </c>
      <c r="AE82" s="39">
        <f>資料儲存!F3542</f>
        <v>0</v>
      </c>
      <c r="AF82" s="39">
        <f>資料儲存!G3542</f>
        <v>0</v>
      </c>
      <c r="AG82" s="39">
        <f>資料儲存!H3542</f>
        <v>0</v>
      </c>
      <c r="AH82" s="39">
        <f>資料儲存!I3542</f>
        <v>0</v>
      </c>
      <c r="AI82" s="39">
        <f>資料儲存!J3542</f>
        <v>0</v>
      </c>
      <c r="AJ82" s="58"/>
    </row>
    <row r="83" spans="1:36" ht="16" thickBot="1">
      <c r="A83" s="61">
        <v>2</v>
      </c>
      <c r="B83" s="39">
        <f>資料儲存!D3183</f>
        <v>0</v>
      </c>
      <c r="C83" s="39">
        <f>資料儲存!E3183</f>
        <v>0</v>
      </c>
      <c r="D83" s="39">
        <f>資料儲存!F3183</f>
        <v>0</v>
      </c>
      <c r="E83" s="39">
        <f>資料儲存!G3183</f>
        <v>0</v>
      </c>
      <c r="F83" s="39">
        <f>資料儲存!H3183</f>
        <v>0</v>
      </c>
      <c r="G83" s="39">
        <f>資料儲存!I3183</f>
        <v>0</v>
      </c>
      <c r="H83" s="39">
        <f>資料儲存!J3183</f>
        <v>0</v>
      </c>
      <c r="I83" s="58"/>
      <c r="J83" s="61">
        <v>2</v>
      </c>
      <c r="K83" s="39">
        <f>資料儲存!D3303</f>
        <v>0</v>
      </c>
      <c r="L83" s="39">
        <f>資料儲存!E3303</f>
        <v>0</v>
      </c>
      <c r="M83" s="39">
        <f>資料儲存!F3303</f>
        <v>0</v>
      </c>
      <c r="N83" s="39">
        <f>資料儲存!G3303</f>
        <v>0</v>
      </c>
      <c r="O83" s="39">
        <f>資料儲存!H3303</f>
        <v>0</v>
      </c>
      <c r="P83" s="39">
        <f>資料儲存!I3303</f>
        <v>0</v>
      </c>
      <c r="Q83" s="39">
        <f>資料儲存!J3303</f>
        <v>0</v>
      </c>
      <c r="R83" s="58"/>
      <c r="S83" s="61">
        <v>2</v>
      </c>
      <c r="T83" s="39">
        <f>資料儲存!D3423</f>
        <v>0</v>
      </c>
      <c r="U83" s="39">
        <f>資料儲存!E3423</f>
        <v>0</v>
      </c>
      <c r="V83" s="39">
        <f>資料儲存!F3423</f>
        <v>0</v>
      </c>
      <c r="W83" s="39">
        <f>資料儲存!G3423</f>
        <v>0</v>
      </c>
      <c r="X83" s="39">
        <f>資料儲存!H3423</f>
        <v>0</v>
      </c>
      <c r="Y83" s="39">
        <f>資料儲存!I3423</f>
        <v>0</v>
      </c>
      <c r="Z83" s="39">
        <f>資料儲存!J3423</f>
        <v>0</v>
      </c>
      <c r="AA83" s="58"/>
      <c r="AB83" s="61">
        <v>2</v>
      </c>
      <c r="AC83" s="39">
        <f>資料儲存!D3543</f>
        <v>0</v>
      </c>
      <c r="AD83" s="39">
        <f>資料儲存!E3543</f>
        <v>0</v>
      </c>
      <c r="AE83" s="39">
        <f>資料儲存!F3543</f>
        <v>0</v>
      </c>
      <c r="AF83" s="39">
        <f>資料儲存!G3543</f>
        <v>0</v>
      </c>
      <c r="AG83" s="39">
        <f>資料儲存!H3543</f>
        <v>0</v>
      </c>
      <c r="AH83" s="39">
        <f>資料儲存!I3543</f>
        <v>0</v>
      </c>
      <c r="AI83" s="39">
        <f>資料儲存!J3543</f>
        <v>0</v>
      </c>
      <c r="AJ83" s="58"/>
    </row>
    <row r="84" spans="1:36" ht="16" thickBot="1">
      <c r="A84" s="61">
        <v>3</v>
      </c>
      <c r="B84" s="39">
        <f>資料儲存!D3184</f>
        <v>0</v>
      </c>
      <c r="C84" s="39">
        <f>資料儲存!E3184</f>
        <v>0</v>
      </c>
      <c r="D84" s="39">
        <f>資料儲存!F3184</f>
        <v>0</v>
      </c>
      <c r="E84" s="39">
        <f>資料儲存!G3184</f>
        <v>0</v>
      </c>
      <c r="F84" s="39">
        <f>資料儲存!H3184</f>
        <v>0</v>
      </c>
      <c r="G84" s="39">
        <f>資料儲存!I3184</f>
        <v>0</v>
      </c>
      <c r="H84" s="39">
        <f>資料儲存!J3184</f>
        <v>0</v>
      </c>
      <c r="I84" s="58"/>
      <c r="J84" s="61">
        <v>3</v>
      </c>
      <c r="K84" s="39">
        <f>資料儲存!D3304</f>
        <v>0</v>
      </c>
      <c r="L84" s="39">
        <f>資料儲存!E3304</f>
        <v>0</v>
      </c>
      <c r="M84" s="39">
        <f>資料儲存!F3304</f>
        <v>0</v>
      </c>
      <c r="N84" s="39">
        <f>資料儲存!G3304</f>
        <v>0</v>
      </c>
      <c r="O84" s="39">
        <f>資料儲存!H3304</f>
        <v>0</v>
      </c>
      <c r="P84" s="39">
        <f>資料儲存!I3304</f>
        <v>0</v>
      </c>
      <c r="Q84" s="39">
        <f>資料儲存!J3304</f>
        <v>0</v>
      </c>
      <c r="R84" s="58"/>
      <c r="S84" s="61">
        <v>3</v>
      </c>
      <c r="T84" s="39">
        <f>資料儲存!D3424</f>
        <v>0</v>
      </c>
      <c r="U84" s="39">
        <f>資料儲存!E3424</f>
        <v>0</v>
      </c>
      <c r="V84" s="39">
        <f>資料儲存!F3424</f>
        <v>0</v>
      </c>
      <c r="W84" s="39">
        <f>資料儲存!G3424</f>
        <v>0</v>
      </c>
      <c r="X84" s="39">
        <f>資料儲存!H3424</f>
        <v>0</v>
      </c>
      <c r="Y84" s="39">
        <f>資料儲存!I3424</f>
        <v>0</v>
      </c>
      <c r="Z84" s="39">
        <f>資料儲存!J3424</f>
        <v>0</v>
      </c>
      <c r="AA84" s="58"/>
      <c r="AB84" s="61">
        <v>3</v>
      </c>
      <c r="AC84" s="39">
        <f>資料儲存!D3544</f>
        <v>0</v>
      </c>
      <c r="AD84" s="39">
        <f>資料儲存!E3544</f>
        <v>0</v>
      </c>
      <c r="AE84" s="39">
        <f>資料儲存!F3544</f>
        <v>0</v>
      </c>
      <c r="AF84" s="39">
        <f>資料儲存!G3544</f>
        <v>0</v>
      </c>
      <c r="AG84" s="39">
        <f>資料儲存!H3544</f>
        <v>0</v>
      </c>
      <c r="AH84" s="39">
        <f>資料儲存!I3544</f>
        <v>0</v>
      </c>
      <c r="AI84" s="39">
        <f>資料儲存!J3544</f>
        <v>0</v>
      </c>
      <c r="AJ84" s="58"/>
    </row>
    <row r="85" spans="1:36" ht="16" thickBot="1">
      <c r="A85" s="61">
        <v>4</v>
      </c>
      <c r="B85" s="39">
        <f>資料儲存!D3185</f>
        <v>0</v>
      </c>
      <c r="C85" s="39">
        <f>資料儲存!E3185</f>
        <v>0</v>
      </c>
      <c r="D85" s="39">
        <f>資料儲存!F3185</f>
        <v>0</v>
      </c>
      <c r="E85" s="39">
        <f>資料儲存!G3185</f>
        <v>0</v>
      </c>
      <c r="F85" s="39">
        <f>資料儲存!H3185</f>
        <v>0</v>
      </c>
      <c r="G85" s="39">
        <f>資料儲存!I3185</f>
        <v>0</v>
      </c>
      <c r="H85" s="39">
        <f>資料儲存!J3185</f>
        <v>0</v>
      </c>
      <c r="I85" s="58"/>
      <c r="J85" s="61">
        <v>4</v>
      </c>
      <c r="K85" s="39">
        <f>資料儲存!D3305</f>
        <v>0</v>
      </c>
      <c r="L85" s="39">
        <f>資料儲存!E3305</f>
        <v>0</v>
      </c>
      <c r="M85" s="39">
        <f>資料儲存!F3305</f>
        <v>0</v>
      </c>
      <c r="N85" s="39">
        <f>資料儲存!G3305</f>
        <v>0</v>
      </c>
      <c r="O85" s="39">
        <f>資料儲存!H3305</f>
        <v>0</v>
      </c>
      <c r="P85" s="39">
        <f>資料儲存!I3305</f>
        <v>0</v>
      </c>
      <c r="Q85" s="39">
        <f>資料儲存!J3305</f>
        <v>0</v>
      </c>
      <c r="R85" s="58"/>
      <c r="S85" s="61">
        <v>4</v>
      </c>
      <c r="T85" s="39">
        <f>資料儲存!D3425</f>
        <v>0</v>
      </c>
      <c r="U85" s="39">
        <f>資料儲存!E3425</f>
        <v>0</v>
      </c>
      <c r="V85" s="39">
        <f>資料儲存!F3425</f>
        <v>0</v>
      </c>
      <c r="W85" s="39">
        <f>資料儲存!G3425</f>
        <v>0</v>
      </c>
      <c r="X85" s="39">
        <f>資料儲存!H3425</f>
        <v>0</v>
      </c>
      <c r="Y85" s="39">
        <f>資料儲存!I3425</f>
        <v>0</v>
      </c>
      <c r="Z85" s="39">
        <f>資料儲存!J3425</f>
        <v>0</v>
      </c>
      <c r="AA85" s="58"/>
      <c r="AB85" s="61">
        <v>4</v>
      </c>
      <c r="AC85" s="39">
        <f>資料儲存!D3545</f>
        <v>0</v>
      </c>
      <c r="AD85" s="39">
        <f>資料儲存!E3545</f>
        <v>0</v>
      </c>
      <c r="AE85" s="39">
        <f>資料儲存!F3545</f>
        <v>0</v>
      </c>
      <c r="AF85" s="39">
        <f>資料儲存!G3545</f>
        <v>0</v>
      </c>
      <c r="AG85" s="39">
        <f>資料儲存!H3545</f>
        <v>0</v>
      </c>
      <c r="AH85" s="39">
        <f>資料儲存!I3545</f>
        <v>0</v>
      </c>
      <c r="AI85" s="39">
        <f>資料儲存!J3545</f>
        <v>0</v>
      </c>
      <c r="AJ85" s="58"/>
    </row>
    <row r="86" spans="1:36" ht="16" thickBot="1">
      <c r="A86" s="61">
        <v>5</v>
      </c>
      <c r="B86" s="39">
        <f>資料儲存!D3186</f>
        <v>0</v>
      </c>
      <c r="C86" s="39">
        <f>資料儲存!E3186</f>
        <v>0</v>
      </c>
      <c r="D86" s="39">
        <f>資料儲存!F3186</f>
        <v>0</v>
      </c>
      <c r="E86" s="39">
        <f>資料儲存!G3186</f>
        <v>0</v>
      </c>
      <c r="F86" s="39">
        <f>資料儲存!H3186</f>
        <v>0</v>
      </c>
      <c r="G86" s="39">
        <f>資料儲存!I3186</f>
        <v>0</v>
      </c>
      <c r="H86" s="39">
        <f>資料儲存!J3186</f>
        <v>0</v>
      </c>
      <c r="I86" s="58"/>
      <c r="J86" s="61">
        <v>5</v>
      </c>
      <c r="K86" s="39">
        <f>資料儲存!D3306</f>
        <v>0</v>
      </c>
      <c r="L86" s="39">
        <f>資料儲存!E3306</f>
        <v>0</v>
      </c>
      <c r="M86" s="39">
        <f>資料儲存!F3306</f>
        <v>0</v>
      </c>
      <c r="N86" s="39">
        <f>資料儲存!G3306</f>
        <v>0</v>
      </c>
      <c r="O86" s="39">
        <f>資料儲存!H3306</f>
        <v>0</v>
      </c>
      <c r="P86" s="39">
        <f>資料儲存!I3306</f>
        <v>0</v>
      </c>
      <c r="Q86" s="39">
        <f>資料儲存!J3306</f>
        <v>0</v>
      </c>
      <c r="R86" s="58"/>
      <c r="S86" s="61">
        <v>5</v>
      </c>
      <c r="T86" s="39">
        <f>資料儲存!D3426</f>
        <v>0</v>
      </c>
      <c r="U86" s="39">
        <f>資料儲存!E3426</f>
        <v>0</v>
      </c>
      <c r="V86" s="39">
        <f>資料儲存!F3426</f>
        <v>0</v>
      </c>
      <c r="W86" s="39">
        <f>資料儲存!G3426</f>
        <v>0</v>
      </c>
      <c r="X86" s="39">
        <f>資料儲存!H3426</f>
        <v>0</v>
      </c>
      <c r="Y86" s="39">
        <f>資料儲存!I3426</f>
        <v>0</v>
      </c>
      <c r="Z86" s="39">
        <f>資料儲存!J3426</f>
        <v>0</v>
      </c>
      <c r="AA86" s="58"/>
      <c r="AB86" s="61">
        <v>5</v>
      </c>
      <c r="AC86" s="39">
        <f>資料儲存!D3546</f>
        <v>0</v>
      </c>
      <c r="AD86" s="39">
        <f>資料儲存!E3546</f>
        <v>0</v>
      </c>
      <c r="AE86" s="39">
        <f>資料儲存!F3546</f>
        <v>0</v>
      </c>
      <c r="AF86" s="39">
        <f>資料儲存!G3546</f>
        <v>0</v>
      </c>
      <c r="AG86" s="39">
        <f>資料儲存!H3546</f>
        <v>0</v>
      </c>
      <c r="AH86" s="39">
        <f>資料儲存!I3546</f>
        <v>0</v>
      </c>
      <c r="AI86" s="39">
        <f>資料儲存!J3546</f>
        <v>0</v>
      </c>
      <c r="AJ86" s="58"/>
    </row>
    <row r="87" spans="1:36" ht="16" thickBot="1">
      <c r="A87" s="61">
        <v>6</v>
      </c>
      <c r="B87" s="39">
        <f>資料儲存!D3187</f>
        <v>0</v>
      </c>
      <c r="C87" s="39">
        <f>資料儲存!E3187</f>
        <v>0</v>
      </c>
      <c r="D87" s="39">
        <f>資料儲存!F3187</f>
        <v>0</v>
      </c>
      <c r="E87" s="39">
        <f>資料儲存!G3187</f>
        <v>0</v>
      </c>
      <c r="F87" s="39">
        <f>資料儲存!H3187</f>
        <v>0</v>
      </c>
      <c r="G87" s="39">
        <f>資料儲存!I3187</f>
        <v>0</v>
      </c>
      <c r="H87" s="39">
        <f>資料儲存!J3187</f>
        <v>0</v>
      </c>
      <c r="I87" s="58"/>
      <c r="J87" s="61">
        <v>6</v>
      </c>
      <c r="K87" s="39">
        <f>資料儲存!D3307</f>
        <v>0</v>
      </c>
      <c r="L87" s="39">
        <f>資料儲存!E3307</f>
        <v>0</v>
      </c>
      <c r="M87" s="39">
        <f>資料儲存!F3307</f>
        <v>0</v>
      </c>
      <c r="N87" s="39">
        <f>資料儲存!G3307</f>
        <v>0</v>
      </c>
      <c r="O87" s="39">
        <f>資料儲存!H3307</f>
        <v>0</v>
      </c>
      <c r="P87" s="39">
        <f>資料儲存!I3307</f>
        <v>0</v>
      </c>
      <c r="Q87" s="39">
        <f>資料儲存!J3307</f>
        <v>0</v>
      </c>
      <c r="R87" s="58"/>
      <c r="S87" s="61">
        <v>6</v>
      </c>
      <c r="T87" s="39">
        <f>資料儲存!D3427</f>
        <v>0</v>
      </c>
      <c r="U87" s="39">
        <f>資料儲存!E3427</f>
        <v>0</v>
      </c>
      <c r="V87" s="39">
        <f>資料儲存!F3427</f>
        <v>0</v>
      </c>
      <c r="W87" s="39">
        <f>資料儲存!G3427</f>
        <v>0</v>
      </c>
      <c r="X87" s="39">
        <f>資料儲存!H3427</f>
        <v>0</v>
      </c>
      <c r="Y87" s="39">
        <f>資料儲存!I3427</f>
        <v>0</v>
      </c>
      <c r="Z87" s="39">
        <f>資料儲存!J3427</f>
        <v>0</v>
      </c>
      <c r="AA87" s="58"/>
      <c r="AB87" s="61">
        <v>6</v>
      </c>
      <c r="AC87" s="39">
        <f>資料儲存!D3547</f>
        <v>0</v>
      </c>
      <c r="AD87" s="39">
        <f>資料儲存!E3547</f>
        <v>0</v>
      </c>
      <c r="AE87" s="39">
        <f>資料儲存!F3547</f>
        <v>0</v>
      </c>
      <c r="AF87" s="39">
        <f>資料儲存!G3547</f>
        <v>0</v>
      </c>
      <c r="AG87" s="39">
        <f>資料儲存!H3547</f>
        <v>0</v>
      </c>
      <c r="AH87" s="39">
        <f>資料儲存!I3547</f>
        <v>0</v>
      </c>
      <c r="AI87" s="39">
        <f>資料儲存!J3547</f>
        <v>0</v>
      </c>
      <c r="AJ87" s="58"/>
    </row>
    <row r="88" spans="1:36" ht="16" thickBot="1">
      <c r="A88" s="61">
        <v>7</v>
      </c>
      <c r="B88" s="39">
        <f>資料儲存!D3188</f>
        <v>0</v>
      </c>
      <c r="C88" s="39">
        <f>資料儲存!E3188</f>
        <v>0</v>
      </c>
      <c r="D88" s="39">
        <f>資料儲存!F3188</f>
        <v>0</v>
      </c>
      <c r="E88" s="39">
        <f>資料儲存!G3188</f>
        <v>0</v>
      </c>
      <c r="F88" s="39">
        <f>資料儲存!H3188</f>
        <v>0</v>
      </c>
      <c r="G88" s="39">
        <f>資料儲存!I3188</f>
        <v>0</v>
      </c>
      <c r="H88" s="39">
        <f>資料儲存!J3188</f>
        <v>0</v>
      </c>
      <c r="I88" s="58"/>
      <c r="J88" s="61">
        <v>7</v>
      </c>
      <c r="K88" s="39">
        <f>資料儲存!D3308</f>
        <v>0</v>
      </c>
      <c r="L88" s="39">
        <f>資料儲存!E3308</f>
        <v>0</v>
      </c>
      <c r="M88" s="39">
        <f>資料儲存!F3308</f>
        <v>0</v>
      </c>
      <c r="N88" s="39">
        <f>資料儲存!G3308</f>
        <v>0</v>
      </c>
      <c r="O88" s="39">
        <f>資料儲存!H3308</f>
        <v>0</v>
      </c>
      <c r="P88" s="39">
        <f>資料儲存!I3308</f>
        <v>0</v>
      </c>
      <c r="Q88" s="39">
        <f>資料儲存!J3308</f>
        <v>0</v>
      </c>
      <c r="R88" s="58"/>
      <c r="S88" s="61">
        <v>7</v>
      </c>
      <c r="T88" s="39">
        <f>資料儲存!D3428</f>
        <v>0</v>
      </c>
      <c r="U88" s="39">
        <f>資料儲存!E3428</f>
        <v>0</v>
      </c>
      <c r="V88" s="39">
        <f>資料儲存!F3428</f>
        <v>0</v>
      </c>
      <c r="W88" s="39">
        <f>資料儲存!G3428</f>
        <v>0</v>
      </c>
      <c r="X88" s="39">
        <f>資料儲存!H3428</f>
        <v>0</v>
      </c>
      <c r="Y88" s="39">
        <f>資料儲存!I3428</f>
        <v>0</v>
      </c>
      <c r="Z88" s="39">
        <f>資料儲存!J3428</f>
        <v>0</v>
      </c>
      <c r="AA88" s="58"/>
      <c r="AB88" s="61">
        <v>7</v>
      </c>
      <c r="AC88" s="39">
        <f>資料儲存!D3548</f>
        <v>0</v>
      </c>
      <c r="AD88" s="39">
        <f>資料儲存!E3548</f>
        <v>0</v>
      </c>
      <c r="AE88" s="39">
        <f>資料儲存!F3548</f>
        <v>0</v>
      </c>
      <c r="AF88" s="39">
        <f>資料儲存!G3548</f>
        <v>0</v>
      </c>
      <c r="AG88" s="39">
        <f>資料儲存!H3548</f>
        <v>0</v>
      </c>
      <c r="AH88" s="39">
        <f>資料儲存!I3548</f>
        <v>0</v>
      </c>
      <c r="AI88" s="39">
        <f>資料儲存!J3548</f>
        <v>0</v>
      </c>
      <c r="AJ88" s="58"/>
    </row>
    <row r="89" spans="1:36" ht="16" thickBot="1">
      <c r="A89" s="61">
        <v>8</v>
      </c>
      <c r="B89" s="39">
        <f>資料儲存!D3189</f>
        <v>0</v>
      </c>
      <c r="C89" s="39">
        <f>資料儲存!E3189</f>
        <v>0</v>
      </c>
      <c r="D89" s="39">
        <f>資料儲存!F3189</f>
        <v>0</v>
      </c>
      <c r="E89" s="39">
        <f>資料儲存!G3189</f>
        <v>0</v>
      </c>
      <c r="F89" s="39">
        <f>資料儲存!H3189</f>
        <v>0</v>
      </c>
      <c r="G89" s="39">
        <f>資料儲存!I3189</f>
        <v>0</v>
      </c>
      <c r="H89" s="39">
        <f>資料儲存!J3189</f>
        <v>0</v>
      </c>
      <c r="I89" s="58"/>
      <c r="J89" s="61">
        <v>8</v>
      </c>
      <c r="K89" s="39">
        <f>資料儲存!D3309</f>
        <v>0</v>
      </c>
      <c r="L89" s="39">
        <f>資料儲存!E3309</f>
        <v>0</v>
      </c>
      <c r="M89" s="39">
        <f>資料儲存!F3309</f>
        <v>0</v>
      </c>
      <c r="N89" s="39">
        <f>資料儲存!G3309</f>
        <v>0</v>
      </c>
      <c r="O89" s="39">
        <f>資料儲存!H3309</f>
        <v>0</v>
      </c>
      <c r="P89" s="39">
        <f>資料儲存!I3309</f>
        <v>0</v>
      </c>
      <c r="Q89" s="39">
        <f>資料儲存!J3309</f>
        <v>0</v>
      </c>
      <c r="R89" s="58"/>
      <c r="S89" s="61">
        <v>8</v>
      </c>
      <c r="T89" s="39">
        <f>資料儲存!D3429</f>
        <v>0</v>
      </c>
      <c r="U89" s="39">
        <f>資料儲存!E3429</f>
        <v>0</v>
      </c>
      <c r="V89" s="39">
        <f>資料儲存!F3429</f>
        <v>0</v>
      </c>
      <c r="W89" s="39">
        <f>資料儲存!G3429</f>
        <v>0</v>
      </c>
      <c r="X89" s="39">
        <f>資料儲存!H3429</f>
        <v>0</v>
      </c>
      <c r="Y89" s="39">
        <f>資料儲存!I3429</f>
        <v>0</v>
      </c>
      <c r="Z89" s="39">
        <f>資料儲存!J3429</f>
        <v>0</v>
      </c>
      <c r="AA89" s="58"/>
      <c r="AB89" s="61">
        <v>8</v>
      </c>
      <c r="AC89" s="39">
        <f>資料儲存!D3549</f>
        <v>0</v>
      </c>
      <c r="AD89" s="39">
        <f>資料儲存!E3549</f>
        <v>0</v>
      </c>
      <c r="AE89" s="39">
        <f>資料儲存!F3549</f>
        <v>0</v>
      </c>
      <c r="AF89" s="39">
        <f>資料儲存!G3549</f>
        <v>0</v>
      </c>
      <c r="AG89" s="39">
        <f>資料儲存!H3549</f>
        <v>0</v>
      </c>
      <c r="AH89" s="39">
        <f>資料儲存!I3549</f>
        <v>0</v>
      </c>
      <c r="AI89" s="39">
        <f>資料儲存!J3549</f>
        <v>0</v>
      </c>
      <c r="AJ89" s="58"/>
    </row>
    <row r="90" spans="1:36" ht="16" thickBot="1">
      <c r="A90" s="61">
        <v>9</v>
      </c>
      <c r="B90" s="39">
        <f>資料儲存!D3190</f>
        <v>0</v>
      </c>
      <c r="C90" s="39">
        <f>資料儲存!E3190</f>
        <v>0</v>
      </c>
      <c r="D90" s="39">
        <f>資料儲存!F3190</f>
        <v>0</v>
      </c>
      <c r="E90" s="39">
        <f>資料儲存!G3190</f>
        <v>0</v>
      </c>
      <c r="F90" s="39">
        <f>資料儲存!H3190</f>
        <v>0</v>
      </c>
      <c r="G90" s="39">
        <f>資料儲存!I3190</f>
        <v>0</v>
      </c>
      <c r="H90" s="39">
        <f>資料儲存!J3190</f>
        <v>0</v>
      </c>
      <c r="I90" s="58"/>
      <c r="J90" s="61">
        <v>9</v>
      </c>
      <c r="K90" s="39">
        <f>資料儲存!D3310</f>
        <v>0</v>
      </c>
      <c r="L90" s="39">
        <f>資料儲存!E3310</f>
        <v>0</v>
      </c>
      <c r="M90" s="39">
        <f>資料儲存!F3310</f>
        <v>0</v>
      </c>
      <c r="N90" s="39">
        <f>資料儲存!G3310</f>
        <v>0</v>
      </c>
      <c r="O90" s="39">
        <f>資料儲存!H3310</f>
        <v>0</v>
      </c>
      <c r="P90" s="39">
        <f>資料儲存!I3310</f>
        <v>0</v>
      </c>
      <c r="Q90" s="39">
        <f>資料儲存!J3310</f>
        <v>0</v>
      </c>
      <c r="R90" s="58"/>
      <c r="S90" s="61">
        <v>9</v>
      </c>
      <c r="T90" s="39">
        <f>資料儲存!D3430</f>
        <v>0</v>
      </c>
      <c r="U90" s="39">
        <f>資料儲存!E3430</f>
        <v>0</v>
      </c>
      <c r="V90" s="39">
        <f>資料儲存!F3430</f>
        <v>0</v>
      </c>
      <c r="W90" s="39">
        <f>資料儲存!G3430</f>
        <v>0</v>
      </c>
      <c r="X90" s="39">
        <f>資料儲存!H3430</f>
        <v>0</v>
      </c>
      <c r="Y90" s="39">
        <f>資料儲存!I3430</f>
        <v>0</v>
      </c>
      <c r="Z90" s="39">
        <f>資料儲存!J3430</f>
        <v>0</v>
      </c>
      <c r="AA90" s="58"/>
      <c r="AB90" s="61">
        <v>9</v>
      </c>
      <c r="AC90" s="39">
        <f>資料儲存!D3550</f>
        <v>0</v>
      </c>
      <c r="AD90" s="39">
        <f>資料儲存!E3550</f>
        <v>0</v>
      </c>
      <c r="AE90" s="39">
        <f>資料儲存!F3550</f>
        <v>0</v>
      </c>
      <c r="AF90" s="39">
        <f>資料儲存!G3550</f>
        <v>0</v>
      </c>
      <c r="AG90" s="39">
        <f>資料儲存!H3550</f>
        <v>0</v>
      </c>
      <c r="AH90" s="39">
        <f>資料儲存!I3550</f>
        <v>0</v>
      </c>
      <c r="AI90" s="39">
        <f>資料儲存!J3550</f>
        <v>0</v>
      </c>
      <c r="AJ90" s="58"/>
    </row>
    <row r="91" spans="1:36" ht="16" thickBot="1">
      <c r="A91" s="61">
        <v>10</v>
      </c>
      <c r="B91" s="39">
        <f>資料儲存!D3191</f>
        <v>0</v>
      </c>
      <c r="C91" s="39">
        <f>資料儲存!E3191</f>
        <v>0</v>
      </c>
      <c r="D91" s="39">
        <f>資料儲存!F3191</f>
        <v>0</v>
      </c>
      <c r="E91" s="39">
        <f>資料儲存!G3191</f>
        <v>0</v>
      </c>
      <c r="F91" s="39">
        <f>資料儲存!H3191</f>
        <v>0</v>
      </c>
      <c r="G91" s="39">
        <f>資料儲存!I3191</f>
        <v>0</v>
      </c>
      <c r="H91" s="39">
        <f>資料儲存!J3191</f>
        <v>0</v>
      </c>
      <c r="I91" s="58"/>
      <c r="J91" s="61">
        <v>10</v>
      </c>
      <c r="K91" s="39">
        <f>資料儲存!D3311</f>
        <v>0</v>
      </c>
      <c r="L91" s="39">
        <f>資料儲存!E3311</f>
        <v>0</v>
      </c>
      <c r="M91" s="39">
        <f>資料儲存!F3311</f>
        <v>0</v>
      </c>
      <c r="N91" s="39">
        <f>資料儲存!G3311</f>
        <v>0</v>
      </c>
      <c r="O91" s="39">
        <f>資料儲存!H3311</f>
        <v>0</v>
      </c>
      <c r="P91" s="39">
        <f>資料儲存!I3311</f>
        <v>0</v>
      </c>
      <c r="Q91" s="39">
        <f>資料儲存!J3311</f>
        <v>0</v>
      </c>
      <c r="R91" s="58"/>
      <c r="S91" s="61">
        <v>10</v>
      </c>
      <c r="T91" s="39">
        <f>資料儲存!D3431</f>
        <v>0</v>
      </c>
      <c r="U91" s="39">
        <f>資料儲存!E3431</f>
        <v>0</v>
      </c>
      <c r="V91" s="39">
        <f>資料儲存!F3431</f>
        <v>0</v>
      </c>
      <c r="W91" s="39">
        <f>資料儲存!G3431</f>
        <v>0</v>
      </c>
      <c r="X91" s="39">
        <f>資料儲存!H3431</f>
        <v>0</v>
      </c>
      <c r="Y91" s="39">
        <f>資料儲存!I3431</f>
        <v>0</v>
      </c>
      <c r="Z91" s="39">
        <f>資料儲存!J3431</f>
        <v>0</v>
      </c>
      <c r="AA91" s="58"/>
      <c r="AB91" s="61">
        <v>10</v>
      </c>
      <c r="AC91" s="39">
        <f>資料儲存!D3551</f>
        <v>0</v>
      </c>
      <c r="AD91" s="39">
        <f>資料儲存!E3551</f>
        <v>0</v>
      </c>
      <c r="AE91" s="39">
        <f>資料儲存!F3551</f>
        <v>0</v>
      </c>
      <c r="AF91" s="39">
        <f>資料儲存!G3551</f>
        <v>0</v>
      </c>
      <c r="AG91" s="39">
        <f>資料儲存!H3551</f>
        <v>0</v>
      </c>
      <c r="AH91" s="39">
        <f>資料儲存!I3551</f>
        <v>0</v>
      </c>
      <c r="AI91" s="39">
        <f>資料儲存!J3551</f>
        <v>0</v>
      </c>
      <c r="AJ91" s="58"/>
    </row>
    <row r="92" spans="1:36" ht="16" thickBot="1">
      <c r="A92" s="61">
        <v>11</v>
      </c>
      <c r="B92" s="39">
        <f>資料儲存!D3192</f>
        <v>0</v>
      </c>
      <c r="C92" s="39">
        <f>資料儲存!E3192</f>
        <v>0</v>
      </c>
      <c r="D92" s="39">
        <f>資料儲存!F3192</f>
        <v>0</v>
      </c>
      <c r="E92" s="39">
        <f>資料儲存!G3192</f>
        <v>0</v>
      </c>
      <c r="F92" s="39">
        <f>資料儲存!H3192</f>
        <v>0</v>
      </c>
      <c r="G92" s="39">
        <f>資料儲存!I3192</f>
        <v>0</v>
      </c>
      <c r="H92" s="39">
        <f>資料儲存!J3192</f>
        <v>0</v>
      </c>
      <c r="I92" s="58"/>
      <c r="J92" s="61">
        <v>11</v>
      </c>
      <c r="K92" s="39">
        <f>資料儲存!D3312</f>
        <v>0</v>
      </c>
      <c r="L92" s="39">
        <f>資料儲存!E3312</f>
        <v>0</v>
      </c>
      <c r="M92" s="39">
        <f>資料儲存!F3312</f>
        <v>0</v>
      </c>
      <c r="N92" s="39">
        <f>資料儲存!G3312</f>
        <v>0</v>
      </c>
      <c r="O92" s="39">
        <f>資料儲存!H3312</f>
        <v>0</v>
      </c>
      <c r="P92" s="39">
        <f>資料儲存!I3312</f>
        <v>0</v>
      </c>
      <c r="Q92" s="39">
        <f>資料儲存!J3312</f>
        <v>0</v>
      </c>
      <c r="R92" s="58"/>
      <c r="S92" s="61">
        <v>11</v>
      </c>
      <c r="T92" s="39">
        <f>資料儲存!D3432</f>
        <v>0</v>
      </c>
      <c r="U92" s="39">
        <f>資料儲存!E3432</f>
        <v>0</v>
      </c>
      <c r="V92" s="39">
        <f>資料儲存!F3432</f>
        <v>0</v>
      </c>
      <c r="W92" s="39">
        <f>資料儲存!G3432</f>
        <v>0</v>
      </c>
      <c r="X92" s="39">
        <f>資料儲存!H3432</f>
        <v>0</v>
      </c>
      <c r="Y92" s="39">
        <f>資料儲存!I3432</f>
        <v>0</v>
      </c>
      <c r="Z92" s="39">
        <f>資料儲存!J3432</f>
        <v>0</v>
      </c>
      <c r="AA92" s="58"/>
      <c r="AB92" s="61">
        <v>11</v>
      </c>
      <c r="AC92" s="39">
        <f>資料儲存!D3552</f>
        <v>0</v>
      </c>
      <c r="AD92" s="39">
        <f>資料儲存!E3552</f>
        <v>0</v>
      </c>
      <c r="AE92" s="39">
        <f>資料儲存!F3552</f>
        <v>0</v>
      </c>
      <c r="AF92" s="39">
        <f>資料儲存!G3552</f>
        <v>0</v>
      </c>
      <c r="AG92" s="39">
        <f>資料儲存!H3552</f>
        <v>0</v>
      </c>
      <c r="AH92" s="39">
        <f>資料儲存!I3552</f>
        <v>0</v>
      </c>
      <c r="AI92" s="39">
        <f>資料儲存!J3552</f>
        <v>0</v>
      </c>
      <c r="AJ92" s="58"/>
    </row>
    <row r="93" spans="1:36" ht="16" thickBot="1">
      <c r="A93" s="61">
        <v>12</v>
      </c>
      <c r="B93" s="39">
        <f>資料儲存!D3193</f>
        <v>0</v>
      </c>
      <c r="C93" s="39">
        <f>資料儲存!E3193</f>
        <v>0</v>
      </c>
      <c r="D93" s="39">
        <f>資料儲存!F3193</f>
        <v>0</v>
      </c>
      <c r="E93" s="39">
        <f>資料儲存!G3193</f>
        <v>0</v>
      </c>
      <c r="F93" s="39">
        <f>資料儲存!H3193</f>
        <v>0</v>
      </c>
      <c r="G93" s="39">
        <f>資料儲存!I3193</f>
        <v>0</v>
      </c>
      <c r="H93" s="39">
        <f>資料儲存!J3193</f>
        <v>0</v>
      </c>
      <c r="I93" s="58"/>
      <c r="J93" s="61">
        <v>12</v>
      </c>
      <c r="K93" s="39">
        <f>資料儲存!D3313</f>
        <v>0</v>
      </c>
      <c r="L93" s="39">
        <f>資料儲存!E3313</f>
        <v>0</v>
      </c>
      <c r="M93" s="39">
        <f>資料儲存!F3313</f>
        <v>0</v>
      </c>
      <c r="N93" s="39">
        <f>資料儲存!G3313</f>
        <v>0</v>
      </c>
      <c r="O93" s="39">
        <f>資料儲存!H3313</f>
        <v>0</v>
      </c>
      <c r="P93" s="39">
        <f>資料儲存!I3313</f>
        <v>0</v>
      </c>
      <c r="Q93" s="39">
        <f>資料儲存!J3313</f>
        <v>0</v>
      </c>
      <c r="R93" s="58"/>
      <c r="S93" s="61">
        <v>12</v>
      </c>
      <c r="T93" s="39">
        <f>資料儲存!D3433</f>
        <v>0</v>
      </c>
      <c r="U93" s="39">
        <f>資料儲存!E3433</f>
        <v>0</v>
      </c>
      <c r="V93" s="39">
        <f>資料儲存!F3433</f>
        <v>0</v>
      </c>
      <c r="W93" s="39">
        <f>資料儲存!G3433</f>
        <v>0</v>
      </c>
      <c r="X93" s="39">
        <f>資料儲存!H3433</f>
        <v>0</v>
      </c>
      <c r="Y93" s="39">
        <f>資料儲存!I3433</f>
        <v>0</v>
      </c>
      <c r="Z93" s="39">
        <f>資料儲存!J3433</f>
        <v>0</v>
      </c>
      <c r="AA93" s="58"/>
      <c r="AB93" s="61">
        <v>12</v>
      </c>
      <c r="AC93" s="39">
        <f>資料儲存!D3553</f>
        <v>0</v>
      </c>
      <c r="AD93" s="39">
        <f>資料儲存!E3553</f>
        <v>0</v>
      </c>
      <c r="AE93" s="39">
        <f>資料儲存!F3553</f>
        <v>0</v>
      </c>
      <c r="AF93" s="39">
        <f>資料儲存!G3553</f>
        <v>0</v>
      </c>
      <c r="AG93" s="39">
        <f>資料儲存!H3553</f>
        <v>0</v>
      </c>
      <c r="AH93" s="39">
        <f>資料儲存!I3553</f>
        <v>0</v>
      </c>
      <c r="AI93" s="39">
        <f>資料儲存!J3553</f>
        <v>0</v>
      </c>
      <c r="AJ93" s="58"/>
    </row>
    <row r="94" spans="1:36" ht="16" thickBot="1">
      <c r="A94" s="61">
        <v>13</v>
      </c>
      <c r="B94" s="39">
        <f>資料儲存!D3194</f>
        <v>0</v>
      </c>
      <c r="C94" s="39">
        <f>資料儲存!E3194</f>
        <v>0</v>
      </c>
      <c r="D94" s="39">
        <f>資料儲存!F3194</f>
        <v>0</v>
      </c>
      <c r="E94" s="39">
        <f>資料儲存!G3194</f>
        <v>0</v>
      </c>
      <c r="F94" s="39">
        <f>資料儲存!H3194</f>
        <v>0</v>
      </c>
      <c r="G94" s="39">
        <f>資料儲存!I3194</f>
        <v>0</v>
      </c>
      <c r="H94" s="39">
        <f>資料儲存!J3194</f>
        <v>0</v>
      </c>
      <c r="I94" s="58"/>
      <c r="J94" s="61">
        <v>13</v>
      </c>
      <c r="K94" s="39">
        <f>資料儲存!D3314</f>
        <v>0</v>
      </c>
      <c r="L94" s="39">
        <f>資料儲存!E3314</f>
        <v>0</v>
      </c>
      <c r="M94" s="39">
        <f>資料儲存!F3314</f>
        <v>0</v>
      </c>
      <c r="N94" s="39">
        <f>資料儲存!G3314</f>
        <v>0</v>
      </c>
      <c r="O94" s="39">
        <f>資料儲存!H3314</f>
        <v>0</v>
      </c>
      <c r="P94" s="39">
        <f>資料儲存!I3314</f>
        <v>0</v>
      </c>
      <c r="Q94" s="39">
        <f>資料儲存!J3314</f>
        <v>0</v>
      </c>
      <c r="R94" s="58"/>
      <c r="S94" s="61">
        <v>13</v>
      </c>
      <c r="T94" s="39">
        <f>資料儲存!D3434</f>
        <v>0</v>
      </c>
      <c r="U94" s="39">
        <f>資料儲存!E3434</f>
        <v>0</v>
      </c>
      <c r="V94" s="39">
        <f>資料儲存!F3434</f>
        <v>0</v>
      </c>
      <c r="W94" s="39">
        <f>資料儲存!G3434</f>
        <v>0</v>
      </c>
      <c r="X94" s="39">
        <f>資料儲存!H3434</f>
        <v>0</v>
      </c>
      <c r="Y94" s="39">
        <f>資料儲存!I3434</f>
        <v>0</v>
      </c>
      <c r="Z94" s="39">
        <f>資料儲存!J3434</f>
        <v>0</v>
      </c>
      <c r="AA94" s="58"/>
      <c r="AB94" s="61">
        <v>13</v>
      </c>
      <c r="AC94" s="39">
        <f>資料儲存!D3554</f>
        <v>0</v>
      </c>
      <c r="AD94" s="39">
        <f>資料儲存!E3554</f>
        <v>0</v>
      </c>
      <c r="AE94" s="39">
        <f>資料儲存!F3554</f>
        <v>0</v>
      </c>
      <c r="AF94" s="39">
        <f>資料儲存!G3554</f>
        <v>0</v>
      </c>
      <c r="AG94" s="39">
        <f>資料儲存!H3554</f>
        <v>0</v>
      </c>
      <c r="AH94" s="39">
        <f>資料儲存!I3554</f>
        <v>0</v>
      </c>
      <c r="AI94" s="39">
        <f>資料儲存!J3554</f>
        <v>0</v>
      </c>
      <c r="AJ94" s="58"/>
    </row>
    <row r="95" spans="1:36" ht="16" thickBot="1">
      <c r="A95" s="61">
        <v>14</v>
      </c>
      <c r="B95" s="39">
        <f>資料儲存!D3195</f>
        <v>0</v>
      </c>
      <c r="C95" s="39">
        <f>資料儲存!E3195</f>
        <v>0</v>
      </c>
      <c r="D95" s="39">
        <f>資料儲存!F3195</f>
        <v>0</v>
      </c>
      <c r="E95" s="39">
        <f>資料儲存!G3195</f>
        <v>0</v>
      </c>
      <c r="F95" s="39">
        <f>資料儲存!H3195</f>
        <v>0</v>
      </c>
      <c r="G95" s="39">
        <f>資料儲存!I3195</f>
        <v>0</v>
      </c>
      <c r="H95" s="39">
        <f>資料儲存!J3195</f>
        <v>0</v>
      </c>
      <c r="I95" s="58"/>
      <c r="J95" s="61">
        <v>14</v>
      </c>
      <c r="K95" s="39">
        <f>資料儲存!D3315</f>
        <v>0</v>
      </c>
      <c r="L95" s="39">
        <f>資料儲存!E3315</f>
        <v>0</v>
      </c>
      <c r="M95" s="39">
        <f>資料儲存!F3315</f>
        <v>0</v>
      </c>
      <c r="N95" s="39">
        <f>資料儲存!G3315</f>
        <v>0</v>
      </c>
      <c r="O95" s="39">
        <f>資料儲存!H3315</f>
        <v>0</v>
      </c>
      <c r="P95" s="39">
        <f>資料儲存!I3315</f>
        <v>0</v>
      </c>
      <c r="Q95" s="39">
        <f>資料儲存!J3315</f>
        <v>0</v>
      </c>
      <c r="R95" s="58"/>
      <c r="S95" s="61">
        <v>14</v>
      </c>
      <c r="T95" s="39">
        <f>資料儲存!D3435</f>
        <v>0</v>
      </c>
      <c r="U95" s="39">
        <f>資料儲存!E3435</f>
        <v>0</v>
      </c>
      <c r="V95" s="39">
        <f>資料儲存!F3435</f>
        <v>0</v>
      </c>
      <c r="W95" s="39">
        <f>資料儲存!G3435</f>
        <v>0</v>
      </c>
      <c r="X95" s="39">
        <f>資料儲存!H3435</f>
        <v>0</v>
      </c>
      <c r="Y95" s="39">
        <f>資料儲存!I3435</f>
        <v>0</v>
      </c>
      <c r="Z95" s="39">
        <f>資料儲存!J3435</f>
        <v>0</v>
      </c>
      <c r="AA95" s="58"/>
      <c r="AB95" s="61">
        <v>14</v>
      </c>
      <c r="AC95" s="39">
        <f>資料儲存!D3555</f>
        <v>0</v>
      </c>
      <c r="AD95" s="39">
        <f>資料儲存!E3555</f>
        <v>0</v>
      </c>
      <c r="AE95" s="39">
        <f>資料儲存!F3555</f>
        <v>0</v>
      </c>
      <c r="AF95" s="39">
        <f>資料儲存!G3555</f>
        <v>0</v>
      </c>
      <c r="AG95" s="39">
        <f>資料儲存!H3555</f>
        <v>0</v>
      </c>
      <c r="AH95" s="39">
        <f>資料儲存!I3555</f>
        <v>0</v>
      </c>
      <c r="AI95" s="39">
        <f>資料儲存!J3555</f>
        <v>0</v>
      </c>
      <c r="AJ95" s="58"/>
    </row>
    <row r="96" spans="1:36" ht="16" thickBot="1">
      <c r="A96" s="61">
        <v>15</v>
      </c>
      <c r="B96" s="39">
        <f>資料儲存!D3196</f>
        <v>0</v>
      </c>
      <c r="C96" s="39">
        <f>資料儲存!E3196</f>
        <v>0</v>
      </c>
      <c r="D96" s="39">
        <f>資料儲存!F3196</f>
        <v>0</v>
      </c>
      <c r="E96" s="39">
        <f>資料儲存!G3196</f>
        <v>0</v>
      </c>
      <c r="F96" s="39">
        <f>資料儲存!H3196</f>
        <v>0</v>
      </c>
      <c r="G96" s="39">
        <f>資料儲存!I3196</f>
        <v>0</v>
      </c>
      <c r="H96" s="39">
        <f>資料儲存!J3196</f>
        <v>0</v>
      </c>
      <c r="I96" s="58"/>
      <c r="J96" s="61">
        <v>15</v>
      </c>
      <c r="K96" s="39">
        <f>資料儲存!D3316</f>
        <v>0</v>
      </c>
      <c r="L96" s="39">
        <f>資料儲存!E3316</f>
        <v>0</v>
      </c>
      <c r="M96" s="39">
        <f>資料儲存!F3316</f>
        <v>0</v>
      </c>
      <c r="N96" s="39">
        <f>資料儲存!G3316</f>
        <v>0</v>
      </c>
      <c r="O96" s="39">
        <f>資料儲存!H3316</f>
        <v>0</v>
      </c>
      <c r="P96" s="39">
        <f>資料儲存!I3316</f>
        <v>0</v>
      </c>
      <c r="Q96" s="39">
        <f>資料儲存!J3316</f>
        <v>0</v>
      </c>
      <c r="R96" s="58"/>
      <c r="S96" s="61">
        <v>15</v>
      </c>
      <c r="T96" s="39">
        <f>資料儲存!D3436</f>
        <v>0</v>
      </c>
      <c r="U96" s="39">
        <f>資料儲存!E3436</f>
        <v>0</v>
      </c>
      <c r="V96" s="39">
        <f>資料儲存!F3436</f>
        <v>0</v>
      </c>
      <c r="W96" s="39">
        <f>資料儲存!G3436</f>
        <v>0</v>
      </c>
      <c r="X96" s="39">
        <f>資料儲存!H3436</f>
        <v>0</v>
      </c>
      <c r="Y96" s="39">
        <f>資料儲存!I3436</f>
        <v>0</v>
      </c>
      <c r="Z96" s="39">
        <f>資料儲存!J3436</f>
        <v>0</v>
      </c>
      <c r="AA96" s="58"/>
      <c r="AB96" s="61">
        <v>15</v>
      </c>
      <c r="AC96" s="39">
        <f>資料儲存!D3556</f>
        <v>0</v>
      </c>
      <c r="AD96" s="39">
        <f>資料儲存!E3556</f>
        <v>0</v>
      </c>
      <c r="AE96" s="39">
        <f>資料儲存!F3556</f>
        <v>0</v>
      </c>
      <c r="AF96" s="39">
        <f>資料儲存!G3556</f>
        <v>0</v>
      </c>
      <c r="AG96" s="39">
        <f>資料儲存!H3556</f>
        <v>0</v>
      </c>
      <c r="AH96" s="39">
        <f>資料儲存!I3556</f>
        <v>0</v>
      </c>
      <c r="AI96" s="39">
        <f>資料儲存!J3556</f>
        <v>0</v>
      </c>
      <c r="AJ96" s="58"/>
    </row>
    <row r="97" spans="1:36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35"/>
    </row>
    <row r="98" spans="1:36" ht="18.5" thickBot="1">
      <c r="A98" s="259" t="s">
        <v>122</v>
      </c>
      <c r="B98" s="260"/>
      <c r="C98" s="260"/>
      <c r="D98" s="260"/>
      <c r="E98" s="260"/>
      <c r="F98" s="260"/>
      <c r="G98" s="260"/>
      <c r="H98" s="261"/>
      <c r="I98" s="14"/>
      <c r="J98" s="259" t="s">
        <v>122</v>
      </c>
      <c r="K98" s="260"/>
      <c r="L98" s="260"/>
      <c r="M98" s="260"/>
      <c r="N98" s="260"/>
      <c r="O98" s="260"/>
      <c r="P98" s="260"/>
      <c r="Q98" s="261"/>
      <c r="R98" s="14"/>
      <c r="S98" s="259" t="s">
        <v>122</v>
      </c>
      <c r="T98" s="260"/>
      <c r="U98" s="260"/>
      <c r="V98" s="260"/>
      <c r="W98" s="260"/>
      <c r="X98" s="260"/>
      <c r="Y98" s="260"/>
      <c r="Z98" s="261"/>
      <c r="AA98" s="14"/>
      <c r="AB98" s="259" t="s">
        <v>122</v>
      </c>
      <c r="AC98" s="260"/>
      <c r="AD98" s="260"/>
      <c r="AE98" s="260"/>
      <c r="AF98" s="260"/>
      <c r="AG98" s="260"/>
      <c r="AH98" s="260"/>
      <c r="AI98" s="261"/>
      <c r="AJ98" s="14"/>
    </row>
    <row r="99" spans="1:36" ht="17.25" customHeight="1" thickBot="1">
      <c r="A99" s="62" t="s">
        <v>2</v>
      </c>
      <c r="B99" s="63" t="s">
        <v>46</v>
      </c>
      <c r="C99" s="64"/>
      <c r="D99" s="64"/>
      <c r="E99" s="65"/>
      <c r="F99" s="63" t="s">
        <v>47</v>
      </c>
      <c r="G99" s="64"/>
      <c r="H99" s="65"/>
      <c r="I99" s="52"/>
      <c r="J99" s="62" t="s">
        <v>2</v>
      </c>
      <c r="K99" s="63" t="s">
        <v>46</v>
      </c>
      <c r="L99" s="64"/>
      <c r="M99" s="64"/>
      <c r="N99" s="65"/>
      <c r="O99" s="63" t="s">
        <v>47</v>
      </c>
      <c r="P99" s="64"/>
      <c r="Q99" s="65"/>
      <c r="R99" s="52"/>
      <c r="S99" s="62" t="s">
        <v>2</v>
      </c>
      <c r="T99" s="63" t="s">
        <v>46</v>
      </c>
      <c r="U99" s="64"/>
      <c r="V99" s="64"/>
      <c r="W99" s="65"/>
      <c r="X99" s="63" t="s">
        <v>47</v>
      </c>
      <c r="Y99" s="64"/>
      <c r="Z99" s="65"/>
      <c r="AA99" s="52"/>
      <c r="AB99" s="62" t="s">
        <v>2</v>
      </c>
      <c r="AC99" s="63" t="s">
        <v>46</v>
      </c>
      <c r="AD99" s="64"/>
      <c r="AE99" s="64"/>
      <c r="AF99" s="65"/>
      <c r="AG99" s="63" t="s">
        <v>47</v>
      </c>
      <c r="AH99" s="64"/>
      <c r="AI99" s="65"/>
      <c r="AJ99" s="52"/>
    </row>
    <row r="100" spans="1:36" ht="16" thickBot="1">
      <c r="A100" s="66">
        <v>0.71875</v>
      </c>
      <c r="B100" s="67" t="s">
        <v>49</v>
      </c>
      <c r="C100" s="67" t="s">
        <v>50</v>
      </c>
      <c r="D100" s="67" t="s">
        <v>51</v>
      </c>
      <c r="E100" s="67" t="s">
        <v>52</v>
      </c>
      <c r="F100" s="67" t="s">
        <v>53</v>
      </c>
      <c r="G100" s="67" t="s">
        <v>54</v>
      </c>
      <c r="H100" s="67" t="s">
        <v>55</v>
      </c>
      <c r="I100" s="52"/>
      <c r="J100" s="66">
        <v>0.71875</v>
      </c>
      <c r="K100" s="67" t="s">
        <v>49</v>
      </c>
      <c r="L100" s="67" t="s">
        <v>50</v>
      </c>
      <c r="M100" s="67" t="s">
        <v>51</v>
      </c>
      <c r="N100" s="67" t="s">
        <v>52</v>
      </c>
      <c r="O100" s="67" t="s">
        <v>53</v>
      </c>
      <c r="P100" s="67" t="s">
        <v>54</v>
      </c>
      <c r="Q100" s="67" t="s">
        <v>55</v>
      </c>
      <c r="R100" s="52"/>
      <c r="S100" s="66">
        <v>0.71875</v>
      </c>
      <c r="T100" s="67" t="s">
        <v>49</v>
      </c>
      <c r="U100" s="67" t="s">
        <v>50</v>
      </c>
      <c r="V100" s="67" t="s">
        <v>51</v>
      </c>
      <c r="W100" s="67" t="s">
        <v>52</v>
      </c>
      <c r="X100" s="67" t="s">
        <v>53</v>
      </c>
      <c r="Y100" s="67" t="s">
        <v>54</v>
      </c>
      <c r="Z100" s="67" t="s">
        <v>55</v>
      </c>
      <c r="AA100" s="52"/>
      <c r="AB100" s="66">
        <v>0.71875</v>
      </c>
      <c r="AC100" s="67" t="s">
        <v>49</v>
      </c>
      <c r="AD100" s="67" t="s">
        <v>50</v>
      </c>
      <c r="AE100" s="67" t="s">
        <v>51</v>
      </c>
      <c r="AF100" s="67" t="s">
        <v>52</v>
      </c>
      <c r="AG100" s="67" t="s">
        <v>53</v>
      </c>
      <c r="AH100" s="67" t="s">
        <v>54</v>
      </c>
      <c r="AI100" s="67" t="s">
        <v>55</v>
      </c>
      <c r="AJ100" s="52"/>
    </row>
    <row r="101" spans="1:36" ht="16" thickBot="1">
      <c r="A101" s="68">
        <v>16</v>
      </c>
      <c r="B101" s="49">
        <f>資料儲存!D3197</f>
        <v>0</v>
      </c>
      <c r="C101" s="49">
        <f>資料儲存!E3197</f>
        <v>0</v>
      </c>
      <c r="D101" s="49">
        <f>資料儲存!F3197</f>
        <v>0</v>
      </c>
      <c r="E101" s="49">
        <f>資料儲存!G3197</f>
        <v>0</v>
      </c>
      <c r="F101" s="49">
        <f>資料儲存!H3197</f>
        <v>0</v>
      </c>
      <c r="G101" s="49">
        <f>資料儲存!I3197</f>
        <v>0</v>
      </c>
      <c r="H101" s="49">
        <f>資料儲存!J3197</f>
        <v>0</v>
      </c>
      <c r="I101" s="52"/>
      <c r="J101" s="68">
        <v>16</v>
      </c>
      <c r="K101" s="49">
        <f>資料儲存!D3317</f>
        <v>0</v>
      </c>
      <c r="L101" s="49">
        <f>資料儲存!E3317</f>
        <v>0</v>
      </c>
      <c r="M101" s="49">
        <f>資料儲存!F3317</f>
        <v>0</v>
      </c>
      <c r="N101" s="49">
        <f>資料儲存!G3317</f>
        <v>0</v>
      </c>
      <c r="O101" s="49">
        <f>資料儲存!H3317</f>
        <v>0</v>
      </c>
      <c r="P101" s="49">
        <f>資料儲存!I3317</f>
        <v>0</v>
      </c>
      <c r="Q101" s="49">
        <f>資料儲存!J3317</f>
        <v>0</v>
      </c>
      <c r="R101" s="52"/>
      <c r="S101" s="68">
        <v>16</v>
      </c>
      <c r="T101" s="49">
        <f>資料儲存!D3437</f>
        <v>0</v>
      </c>
      <c r="U101" s="49">
        <f>資料儲存!E3437</f>
        <v>0</v>
      </c>
      <c r="V101" s="49">
        <f>資料儲存!F3437</f>
        <v>0</v>
      </c>
      <c r="W101" s="49">
        <f>資料儲存!G3437</f>
        <v>0</v>
      </c>
      <c r="X101" s="49">
        <f>資料儲存!H3437</f>
        <v>0</v>
      </c>
      <c r="Y101" s="49">
        <f>資料儲存!I3437</f>
        <v>0</v>
      </c>
      <c r="Z101" s="49">
        <f>資料儲存!J3437</f>
        <v>0</v>
      </c>
      <c r="AA101" s="52"/>
      <c r="AB101" s="68">
        <v>16</v>
      </c>
      <c r="AC101" s="49">
        <f>資料儲存!D3557</f>
        <v>0</v>
      </c>
      <c r="AD101" s="49">
        <f>資料儲存!E3557</f>
        <v>0</v>
      </c>
      <c r="AE101" s="49">
        <f>資料儲存!F3557</f>
        <v>0</v>
      </c>
      <c r="AF101" s="49">
        <f>資料儲存!G3557</f>
        <v>0</v>
      </c>
      <c r="AG101" s="49">
        <f>資料儲存!H3557</f>
        <v>0</v>
      </c>
      <c r="AH101" s="49">
        <f>資料儲存!I3557</f>
        <v>0</v>
      </c>
      <c r="AI101" s="49">
        <f>資料儲存!J3557</f>
        <v>0</v>
      </c>
      <c r="AJ101" s="52"/>
    </row>
    <row r="102" spans="1:36" ht="16" thickBot="1">
      <c r="A102" s="68">
        <v>17</v>
      </c>
      <c r="B102" s="49">
        <f>資料儲存!D3198</f>
        <v>0</v>
      </c>
      <c r="C102" s="49">
        <f>資料儲存!E3198</f>
        <v>0</v>
      </c>
      <c r="D102" s="49">
        <f>資料儲存!F3198</f>
        <v>0</v>
      </c>
      <c r="E102" s="49">
        <f>資料儲存!G3198</f>
        <v>0</v>
      </c>
      <c r="F102" s="49">
        <f>資料儲存!H3198</f>
        <v>0</v>
      </c>
      <c r="G102" s="49">
        <f>資料儲存!I3198</f>
        <v>0</v>
      </c>
      <c r="H102" s="49">
        <f>資料儲存!J3198</f>
        <v>0</v>
      </c>
      <c r="I102" s="52"/>
      <c r="J102" s="68">
        <v>17</v>
      </c>
      <c r="K102" s="49">
        <f>資料儲存!D3318</f>
        <v>0</v>
      </c>
      <c r="L102" s="49">
        <f>資料儲存!E3318</f>
        <v>0</v>
      </c>
      <c r="M102" s="49">
        <f>資料儲存!F3318</f>
        <v>0</v>
      </c>
      <c r="N102" s="49">
        <f>資料儲存!G3318</f>
        <v>0</v>
      </c>
      <c r="O102" s="49">
        <f>資料儲存!H3318</f>
        <v>0</v>
      </c>
      <c r="P102" s="49">
        <f>資料儲存!I3318</f>
        <v>0</v>
      </c>
      <c r="Q102" s="49">
        <f>資料儲存!J3318</f>
        <v>0</v>
      </c>
      <c r="R102" s="52"/>
      <c r="S102" s="68">
        <v>17</v>
      </c>
      <c r="T102" s="49">
        <f>資料儲存!D3438</f>
        <v>0</v>
      </c>
      <c r="U102" s="49">
        <f>資料儲存!E3438</f>
        <v>0</v>
      </c>
      <c r="V102" s="49">
        <f>資料儲存!F3438</f>
        <v>0</v>
      </c>
      <c r="W102" s="49">
        <f>資料儲存!G3438</f>
        <v>0</v>
      </c>
      <c r="X102" s="49">
        <f>資料儲存!H3438</f>
        <v>0</v>
      </c>
      <c r="Y102" s="49">
        <f>資料儲存!I3438</f>
        <v>0</v>
      </c>
      <c r="Z102" s="49">
        <f>資料儲存!J3438</f>
        <v>0</v>
      </c>
      <c r="AA102" s="52"/>
      <c r="AB102" s="68">
        <v>17</v>
      </c>
      <c r="AC102" s="49">
        <f>資料儲存!D3558</f>
        <v>0</v>
      </c>
      <c r="AD102" s="49">
        <f>資料儲存!E3558</f>
        <v>0</v>
      </c>
      <c r="AE102" s="49">
        <f>資料儲存!F3558</f>
        <v>0</v>
      </c>
      <c r="AF102" s="49">
        <f>資料儲存!G3558</f>
        <v>0</v>
      </c>
      <c r="AG102" s="49">
        <f>資料儲存!H3558</f>
        <v>0</v>
      </c>
      <c r="AH102" s="49">
        <f>資料儲存!I3558</f>
        <v>0</v>
      </c>
      <c r="AI102" s="49">
        <f>資料儲存!J3558</f>
        <v>0</v>
      </c>
      <c r="AJ102" s="52"/>
    </row>
    <row r="103" spans="1:36" ht="16" thickBot="1">
      <c r="A103" s="68">
        <v>18</v>
      </c>
      <c r="B103" s="49">
        <f>資料儲存!D3199</f>
        <v>0</v>
      </c>
      <c r="C103" s="49">
        <f>資料儲存!E3199</f>
        <v>0</v>
      </c>
      <c r="D103" s="49">
        <f>資料儲存!F3199</f>
        <v>0</v>
      </c>
      <c r="E103" s="49">
        <f>資料儲存!G3199</f>
        <v>0</v>
      </c>
      <c r="F103" s="49">
        <f>資料儲存!H3199</f>
        <v>0</v>
      </c>
      <c r="G103" s="49">
        <f>資料儲存!I3199</f>
        <v>0</v>
      </c>
      <c r="H103" s="49">
        <f>資料儲存!J3199</f>
        <v>0</v>
      </c>
      <c r="I103" s="52"/>
      <c r="J103" s="68">
        <v>18</v>
      </c>
      <c r="K103" s="49">
        <f>資料儲存!D3319</f>
        <v>0</v>
      </c>
      <c r="L103" s="49">
        <f>資料儲存!E3319</f>
        <v>0</v>
      </c>
      <c r="M103" s="49">
        <f>資料儲存!F3319</f>
        <v>0</v>
      </c>
      <c r="N103" s="49">
        <f>資料儲存!G3319</f>
        <v>0</v>
      </c>
      <c r="O103" s="49">
        <f>資料儲存!H3319</f>
        <v>0</v>
      </c>
      <c r="P103" s="49">
        <f>資料儲存!I3319</f>
        <v>0</v>
      </c>
      <c r="Q103" s="49">
        <f>資料儲存!J3319</f>
        <v>0</v>
      </c>
      <c r="R103" s="52"/>
      <c r="S103" s="68">
        <v>18</v>
      </c>
      <c r="T103" s="49">
        <f>資料儲存!D3439</f>
        <v>0</v>
      </c>
      <c r="U103" s="49">
        <f>資料儲存!E3439</f>
        <v>0</v>
      </c>
      <c r="V103" s="49">
        <f>資料儲存!F3439</f>
        <v>0</v>
      </c>
      <c r="W103" s="49">
        <f>資料儲存!G3439</f>
        <v>0</v>
      </c>
      <c r="X103" s="49">
        <f>資料儲存!H3439</f>
        <v>0</v>
      </c>
      <c r="Y103" s="49">
        <f>資料儲存!I3439</f>
        <v>0</v>
      </c>
      <c r="Z103" s="49">
        <f>資料儲存!J3439</f>
        <v>0</v>
      </c>
      <c r="AA103" s="52"/>
      <c r="AB103" s="68">
        <v>18</v>
      </c>
      <c r="AC103" s="49">
        <f>資料儲存!D3559</f>
        <v>0</v>
      </c>
      <c r="AD103" s="49">
        <f>資料儲存!E3559</f>
        <v>0</v>
      </c>
      <c r="AE103" s="49">
        <f>資料儲存!F3559</f>
        <v>0</v>
      </c>
      <c r="AF103" s="49">
        <f>資料儲存!G3559</f>
        <v>0</v>
      </c>
      <c r="AG103" s="49">
        <f>資料儲存!H3559</f>
        <v>0</v>
      </c>
      <c r="AH103" s="49">
        <f>資料儲存!I3559</f>
        <v>0</v>
      </c>
      <c r="AI103" s="49">
        <f>資料儲存!J3559</f>
        <v>0</v>
      </c>
      <c r="AJ103" s="52"/>
    </row>
    <row r="104" spans="1:36" ht="16" thickBot="1">
      <c r="A104" s="68">
        <v>19</v>
      </c>
      <c r="B104" s="49">
        <f>資料儲存!D3200</f>
        <v>0</v>
      </c>
      <c r="C104" s="49">
        <f>資料儲存!E3200</f>
        <v>0</v>
      </c>
      <c r="D104" s="49">
        <f>資料儲存!F3200</f>
        <v>0</v>
      </c>
      <c r="E104" s="49">
        <f>資料儲存!G3200</f>
        <v>0</v>
      </c>
      <c r="F104" s="49">
        <f>資料儲存!H3200</f>
        <v>0</v>
      </c>
      <c r="G104" s="49">
        <f>資料儲存!I3200</f>
        <v>0</v>
      </c>
      <c r="H104" s="49">
        <f>資料儲存!J3200</f>
        <v>0</v>
      </c>
      <c r="I104" s="52"/>
      <c r="J104" s="68">
        <v>19</v>
      </c>
      <c r="K104" s="49">
        <f>資料儲存!D3320</f>
        <v>0</v>
      </c>
      <c r="L104" s="49">
        <f>資料儲存!E3320</f>
        <v>0</v>
      </c>
      <c r="M104" s="49">
        <f>資料儲存!F3320</f>
        <v>0</v>
      </c>
      <c r="N104" s="49">
        <f>資料儲存!G3320</f>
        <v>0</v>
      </c>
      <c r="O104" s="49">
        <f>資料儲存!H3320</f>
        <v>0</v>
      </c>
      <c r="P104" s="49">
        <f>資料儲存!I3320</f>
        <v>0</v>
      </c>
      <c r="Q104" s="49">
        <f>資料儲存!J3320</f>
        <v>0</v>
      </c>
      <c r="R104" s="52"/>
      <c r="S104" s="68">
        <v>19</v>
      </c>
      <c r="T104" s="49">
        <f>資料儲存!D3440</f>
        <v>0</v>
      </c>
      <c r="U104" s="49">
        <f>資料儲存!E3440</f>
        <v>0</v>
      </c>
      <c r="V104" s="49">
        <f>資料儲存!F3440</f>
        <v>0</v>
      </c>
      <c r="W104" s="49">
        <f>資料儲存!G3440</f>
        <v>0</v>
      </c>
      <c r="X104" s="49">
        <f>資料儲存!H3440</f>
        <v>0</v>
      </c>
      <c r="Y104" s="49">
        <f>資料儲存!I3440</f>
        <v>0</v>
      </c>
      <c r="Z104" s="49">
        <f>資料儲存!J3440</f>
        <v>0</v>
      </c>
      <c r="AA104" s="52"/>
      <c r="AB104" s="68">
        <v>19</v>
      </c>
      <c r="AC104" s="49">
        <f>資料儲存!D3560</f>
        <v>0</v>
      </c>
      <c r="AD104" s="49">
        <f>資料儲存!E3560</f>
        <v>0</v>
      </c>
      <c r="AE104" s="49">
        <f>資料儲存!F3560</f>
        <v>0</v>
      </c>
      <c r="AF104" s="49">
        <f>資料儲存!G3560</f>
        <v>0</v>
      </c>
      <c r="AG104" s="49">
        <f>資料儲存!H3560</f>
        <v>0</v>
      </c>
      <c r="AH104" s="49">
        <f>資料儲存!I3560</f>
        <v>0</v>
      </c>
      <c r="AI104" s="49">
        <f>資料儲存!J3560</f>
        <v>0</v>
      </c>
      <c r="AJ104" s="52"/>
    </row>
    <row r="105" spans="1:36" ht="16" thickBot="1">
      <c r="A105" s="68">
        <v>20</v>
      </c>
      <c r="B105" s="49">
        <f>資料儲存!D3201</f>
        <v>0</v>
      </c>
      <c r="C105" s="49">
        <f>資料儲存!E3201</f>
        <v>0</v>
      </c>
      <c r="D105" s="49">
        <f>資料儲存!F3201</f>
        <v>0</v>
      </c>
      <c r="E105" s="49">
        <f>資料儲存!G3201</f>
        <v>0</v>
      </c>
      <c r="F105" s="49">
        <f>資料儲存!H3201</f>
        <v>0</v>
      </c>
      <c r="G105" s="49">
        <f>資料儲存!I3201</f>
        <v>0</v>
      </c>
      <c r="H105" s="49">
        <f>資料儲存!J3201</f>
        <v>0</v>
      </c>
      <c r="I105" s="52"/>
      <c r="J105" s="68">
        <v>20</v>
      </c>
      <c r="K105" s="49">
        <f>資料儲存!D3321</f>
        <v>0</v>
      </c>
      <c r="L105" s="49">
        <f>資料儲存!E3321</f>
        <v>0</v>
      </c>
      <c r="M105" s="49">
        <f>資料儲存!F3321</f>
        <v>0</v>
      </c>
      <c r="N105" s="49">
        <f>資料儲存!G3321</f>
        <v>0</v>
      </c>
      <c r="O105" s="49">
        <f>資料儲存!H3321</f>
        <v>0</v>
      </c>
      <c r="P105" s="49">
        <f>資料儲存!I3321</f>
        <v>0</v>
      </c>
      <c r="Q105" s="49">
        <f>資料儲存!J3321</f>
        <v>0</v>
      </c>
      <c r="R105" s="52"/>
      <c r="S105" s="68">
        <v>20</v>
      </c>
      <c r="T105" s="49">
        <f>資料儲存!D3441</f>
        <v>0</v>
      </c>
      <c r="U105" s="49">
        <f>資料儲存!E3441</f>
        <v>0</v>
      </c>
      <c r="V105" s="49">
        <f>資料儲存!F3441</f>
        <v>0</v>
      </c>
      <c r="W105" s="49">
        <f>資料儲存!G3441</f>
        <v>0</v>
      </c>
      <c r="X105" s="49">
        <f>資料儲存!H3441</f>
        <v>0</v>
      </c>
      <c r="Y105" s="49">
        <f>資料儲存!I3441</f>
        <v>0</v>
      </c>
      <c r="Z105" s="49">
        <f>資料儲存!J3441</f>
        <v>0</v>
      </c>
      <c r="AA105" s="52"/>
      <c r="AB105" s="68">
        <v>20</v>
      </c>
      <c r="AC105" s="49">
        <f>資料儲存!D3561</f>
        <v>0</v>
      </c>
      <c r="AD105" s="49">
        <f>資料儲存!E3561</f>
        <v>0</v>
      </c>
      <c r="AE105" s="49">
        <f>資料儲存!F3561</f>
        <v>0</v>
      </c>
      <c r="AF105" s="49">
        <f>資料儲存!G3561</f>
        <v>0</v>
      </c>
      <c r="AG105" s="49">
        <f>資料儲存!H3561</f>
        <v>0</v>
      </c>
      <c r="AH105" s="49">
        <f>資料儲存!I3561</f>
        <v>0</v>
      </c>
      <c r="AI105" s="49">
        <f>資料儲存!J3561</f>
        <v>0</v>
      </c>
      <c r="AJ105" s="52"/>
    </row>
    <row r="106" spans="1:36" ht="16" thickBot="1">
      <c r="A106" s="68">
        <v>21</v>
      </c>
      <c r="B106" s="49">
        <f>資料儲存!D3202</f>
        <v>0</v>
      </c>
      <c r="C106" s="49">
        <f>資料儲存!E3202</f>
        <v>0</v>
      </c>
      <c r="D106" s="49">
        <f>資料儲存!F3202</f>
        <v>0</v>
      </c>
      <c r="E106" s="49">
        <f>資料儲存!G3202</f>
        <v>0</v>
      </c>
      <c r="F106" s="49">
        <f>資料儲存!H3202</f>
        <v>0</v>
      </c>
      <c r="G106" s="49">
        <f>資料儲存!I3202</f>
        <v>0</v>
      </c>
      <c r="H106" s="49">
        <f>資料儲存!J3202</f>
        <v>0</v>
      </c>
      <c r="I106" s="52"/>
      <c r="J106" s="68">
        <v>21</v>
      </c>
      <c r="K106" s="49">
        <f>資料儲存!D3322</f>
        <v>0</v>
      </c>
      <c r="L106" s="49">
        <f>資料儲存!E3322</f>
        <v>0</v>
      </c>
      <c r="M106" s="49">
        <f>資料儲存!F3322</f>
        <v>0</v>
      </c>
      <c r="N106" s="49">
        <f>資料儲存!G3322</f>
        <v>0</v>
      </c>
      <c r="O106" s="49">
        <f>資料儲存!H3322</f>
        <v>0</v>
      </c>
      <c r="P106" s="49">
        <f>資料儲存!I3322</f>
        <v>0</v>
      </c>
      <c r="Q106" s="49">
        <f>資料儲存!J3322</f>
        <v>0</v>
      </c>
      <c r="R106" s="52"/>
      <c r="S106" s="68">
        <v>21</v>
      </c>
      <c r="T106" s="49">
        <f>資料儲存!D3442</f>
        <v>0</v>
      </c>
      <c r="U106" s="49">
        <f>資料儲存!E3442</f>
        <v>0</v>
      </c>
      <c r="V106" s="49">
        <f>資料儲存!F3442</f>
        <v>0</v>
      </c>
      <c r="W106" s="49">
        <f>資料儲存!G3442</f>
        <v>0</v>
      </c>
      <c r="X106" s="49">
        <f>資料儲存!H3442</f>
        <v>0</v>
      </c>
      <c r="Y106" s="49">
        <f>資料儲存!I3442</f>
        <v>0</v>
      </c>
      <c r="Z106" s="49">
        <f>資料儲存!J3442</f>
        <v>0</v>
      </c>
      <c r="AA106" s="52"/>
      <c r="AB106" s="68">
        <v>21</v>
      </c>
      <c r="AC106" s="49">
        <f>資料儲存!D3562</f>
        <v>0</v>
      </c>
      <c r="AD106" s="49">
        <f>資料儲存!E3562</f>
        <v>0</v>
      </c>
      <c r="AE106" s="49">
        <f>資料儲存!F3562</f>
        <v>0</v>
      </c>
      <c r="AF106" s="49">
        <f>資料儲存!G3562</f>
        <v>0</v>
      </c>
      <c r="AG106" s="49">
        <f>資料儲存!H3562</f>
        <v>0</v>
      </c>
      <c r="AH106" s="49">
        <f>資料儲存!I3562</f>
        <v>0</v>
      </c>
      <c r="AI106" s="49">
        <f>資料儲存!J3562</f>
        <v>0</v>
      </c>
      <c r="AJ106" s="52"/>
    </row>
    <row r="107" spans="1:36" ht="16" thickBot="1">
      <c r="A107" s="68">
        <v>22</v>
      </c>
      <c r="B107" s="49">
        <f>資料儲存!D3203</f>
        <v>0</v>
      </c>
      <c r="C107" s="49">
        <f>資料儲存!E3203</f>
        <v>0</v>
      </c>
      <c r="D107" s="49">
        <f>資料儲存!F3203</f>
        <v>0</v>
      </c>
      <c r="E107" s="49">
        <f>資料儲存!G3203</f>
        <v>0</v>
      </c>
      <c r="F107" s="49">
        <f>資料儲存!H3203</f>
        <v>0</v>
      </c>
      <c r="G107" s="49">
        <f>資料儲存!I3203</f>
        <v>0</v>
      </c>
      <c r="H107" s="49">
        <f>資料儲存!J3203</f>
        <v>0</v>
      </c>
      <c r="I107" s="52"/>
      <c r="J107" s="68">
        <v>22</v>
      </c>
      <c r="K107" s="49">
        <f>資料儲存!D3323</f>
        <v>0</v>
      </c>
      <c r="L107" s="49">
        <f>資料儲存!E3323</f>
        <v>0</v>
      </c>
      <c r="M107" s="49">
        <f>資料儲存!F3323</f>
        <v>0</v>
      </c>
      <c r="N107" s="49">
        <f>資料儲存!G3323</f>
        <v>0</v>
      </c>
      <c r="O107" s="49">
        <f>資料儲存!H3323</f>
        <v>0</v>
      </c>
      <c r="P107" s="49">
        <f>資料儲存!I3323</f>
        <v>0</v>
      </c>
      <c r="Q107" s="49">
        <f>資料儲存!J3323</f>
        <v>0</v>
      </c>
      <c r="R107" s="52"/>
      <c r="S107" s="68">
        <v>22</v>
      </c>
      <c r="T107" s="49">
        <f>資料儲存!D3443</f>
        <v>0</v>
      </c>
      <c r="U107" s="49">
        <f>資料儲存!E3443</f>
        <v>0</v>
      </c>
      <c r="V107" s="49">
        <f>資料儲存!F3443</f>
        <v>0</v>
      </c>
      <c r="W107" s="49">
        <f>資料儲存!G3443</f>
        <v>0</v>
      </c>
      <c r="X107" s="49">
        <f>資料儲存!H3443</f>
        <v>0</v>
      </c>
      <c r="Y107" s="49">
        <f>資料儲存!I3443</f>
        <v>0</v>
      </c>
      <c r="Z107" s="49">
        <f>資料儲存!J3443</f>
        <v>0</v>
      </c>
      <c r="AA107" s="52"/>
      <c r="AB107" s="68">
        <v>22</v>
      </c>
      <c r="AC107" s="49">
        <f>資料儲存!D3563</f>
        <v>0</v>
      </c>
      <c r="AD107" s="49">
        <f>資料儲存!E3563</f>
        <v>0</v>
      </c>
      <c r="AE107" s="49">
        <f>資料儲存!F3563</f>
        <v>0</v>
      </c>
      <c r="AF107" s="49">
        <f>資料儲存!G3563</f>
        <v>0</v>
      </c>
      <c r="AG107" s="49">
        <f>資料儲存!H3563</f>
        <v>0</v>
      </c>
      <c r="AH107" s="49">
        <f>資料儲存!I3563</f>
        <v>0</v>
      </c>
      <c r="AI107" s="49">
        <f>資料儲存!J3563</f>
        <v>0</v>
      </c>
      <c r="AJ107" s="52"/>
    </row>
    <row r="108" spans="1:36" ht="16" thickBot="1">
      <c r="A108" s="68">
        <v>23</v>
      </c>
      <c r="B108" s="49">
        <f>資料儲存!D3204</f>
        <v>0</v>
      </c>
      <c r="C108" s="49">
        <f>資料儲存!E3204</f>
        <v>0</v>
      </c>
      <c r="D108" s="49">
        <f>資料儲存!F3204</f>
        <v>0</v>
      </c>
      <c r="E108" s="49">
        <f>資料儲存!G3204</f>
        <v>0</v>
      </c>
      <c r="F108" s="49">
        <f>資料儲存!H3204</f>
        <v>0</v>
      </c>
      <c r="G108" s="49">
        <f>資料儲存!I3204</f>
        <v>0</v>
      </c>
      <c r="H108" s="49">
        <f>資料儲存!J3204</f>
        <v>0</v>
      </c>
      <c r="I108" s="52"/>
      <c r="J108" s="68">
        <v>23</v>
      </c>
      <c r="K108" s="49">
        <f>資料儲存!D3324</f>
        <v>0</v>
      </c>
      <c r="L108" s="49">
        <f>資料儲存!E3324</f>
        <v>0</v>
      </c>
      <c r="M108" s="49">
        <f>資料儲存!F3324</f>
        <v>0</v>
      </c>
      <c r="N108" s="49">
        <f>資料儲存!G3324</f>
        <v>0</v>
      </c>
      <c r="O108" s="49">
        <f>資料儲存!H3324</f>
        <v>0</v>
      </c>
      <c r="P108" s="49">
        <f>資料儲存!I3324</f>
        <v>0</v>
      </c>
      <c r="Q108" s="49">
        <f>資料儲存!J3324</f>
        <v>0</v>
      </c>
      <c r="R108" s="52"/>
      <c r="S108" s="68">
        <v>23</v>
      </c>
      <c r="T108" s="49">
        <f>資料儲存!D3444</f>
        <v>0</v>
      </c>
      <c r="U108" s="49">
        <f>資料儲存!E3444</f>
        <v>0</v>
      </c>
      <c r="V108" s="49">
        <f>資料儲存!F3444</f>
        <v>0</v>
      </c>
      <c r="W108" s="49">
        <f>資料儲存!G3444</f>
        <v>0</v>
      </c>
      <c r="X108" s="49">
        <f>資料儲存!H3444</f>
        <v>0</v>
      </c>
      <c r="Y108" s="49">
        <f>資料儲存!I3444</f>
        <v>0</v>
      </c>
      <c r="Z108" s="49">
        <f>資料儲存!J3444</f>
        <v>0</v>
      </c>
      <c r="AA108" s="52"/>
      <c r="AB108" s="68">
        <v>23</v>
      </c>
      <c r="AC108" s="49">
        <f>資料儲存!D3564</f>
        <v>0</v>
      </c>
      <c r="AD108" s="49">
        <f>資料儲存!E3564</f>
        <v>0</v>
      </c>
      <c r="AE108" s="49">
        <f>資料儲存!F3564</f>
        <v>0</v>
      </c>
      <c r="AF108" s="49">
        <f>資料儲存!G3564</f>
        <v>0</v>
      </c>
      <c r="AG108" s="49">
        <f>資料儲存!H3564</f>
        <v>0</v>
      </c>
      <c r="AH108" s="49">
        <f>資料儲存!I3564</f>
        <v>0</v>
      </c>
      <c r="AI108" s="49">
        <f>資料儲存!J3564</f>
        <v>0</v>
      </c>
      <c r="AJ108" s="52"/>
    </row>
    <row r="109" spans="1:36" ht="16" thickBot="1">
      <c r="A109" s="68">
        <v>24</v>
      </c>
      <c r="B109" s="49">
        <f>資料儲存!D3205</f>
        <v>0</v>
      </c>
      <c r="C109" s="49">
        <f>資料儲存!E3205</f>
        <v>0</v>
      </c>
      <c r="D109" s="49">
        <f>資料儲存!F3205</f>
        <v>0</v>
      </c>
      <c r="E109" s="49">
        <f>資料儲存!G3205</f>
        <v>0</v>
      </c>
      <c r="F109" s="49">
        <f>資料儲存!H3205</f>
        <v>0</v>
      </c>
      <c r="G109" s="49">
        <f>資料儲存!I3205</f>
        <v>0</v>
      </c>
      <c r="H109" s="49">
        <f>資料儲存!J3205</f>
        <v>0</v>
      </c>
      <c r="I109" s="52"/>
      <c r="J109" s="68">
        <v>24</v>
      </c>
      <c r="K109" s="49">
        <f>資料儲存!D3325</f>
        <v>0</v>
      </c>
      <c r="L109" s="49">
        <f>資料儲存!E3325</f>
        <v>0</v>
      </c>
      <c r="M109" s="49">
        <f>資料儲存!F3325</f>
        <v>0</v>
      </c>
      <c r="N109" s="49">
        <f>資料儲存!G3325</f>
        <v>0</v>
      </c>
      <c r="O109" s="49">
        <f>資料儲存!H3325</f>
        <v>0</v>
      </c>
      <c r="P109" s="49">
        <f>資料儲存!I3325</f>
        <v>0</v>
      </c>
      <c r="Q109" s="49">
        <f>資料儲存!J3325</f>
        <v>0</v>
      </c>
      <c r="R109" s="52"/>
      <c r="S109" s="68">
        <v>24</v>
      </c>
      <c r="T109" s="49">
        <f>資料儲存!D3445</f>
        <v>0</v>
      </c>
      <c r="U109" s="49">
        <f>資料儲存!E3445</f>
        <v>0</v>
      </c>
      <c r="V109" s="49">
        <f>資料儲存!F3445</f>
        <v>0</v>
      </c>
      <c r="W109" s="49">
        <f>資料儲存!G3445</f>
        <v>0</v>
      </c>
      <c r="X109" s="49">
        <f>資料儲存!H3445</f>
        <v>0</v>
      </c>
      <c r="Y109" s="49">
        <f>資料儲存!I3445</f>
        <v>0</v>
      </c>
      <c r="Z109" s="49">
        <f>資料儲存!J3445</f>
        <v>0</v>
      </c>
      <c r="AA109" s="52"/>
      <c r="AB109" s="68">
        <v>24</v>
      </c>
      <c r="AC109" s="49">
        <f>資料儲存!D3565</f>
        <v>0</v>
      </c>
      <c r="AD109" s="49">
        <f>資料儲存!E3565</f>
        <v>0</v>
      </c>
      <c r="AE109" s="49">
        <f>資料儲存!F3565</f>
        <v>0</v>
      </c>
      <c r="AF109" s="49">
        <f>資料儲存!G3565</f>
        <v>0</v>
      </c>
      <c r="AG109" s="49">
        <f>資料儲存!H3565</f>
        <v>0</v>
      </c>
      <c r="AH109" s="49">
        <f>資料儲存!I3565</f>
        <v>0</v>
      </c>
      <c r="AI109" s="49">
        <f>資料儲存!J3565</f>
        <v>0</v>
      </c>
      <c r="AJ109" s="52"/>
    </row>
    <row r="110" spans="1:36" ht="16" thickBot="1">
      <c r="A110" s="68">
        <v>25</v>
      </c>
      <c r="B110" s="49">
        <f>資料儲存!D3206</f>
        <v>0</v>
      </c>
      <c r="C110" s="49">
        <f>資料儲存!E3206</f>
        <v>0</v>
      </c>
      <c r="D110" s="49">
        <f>資料儲存!F3206</f>
        <v>0</v>
      </c>
      <c r="E110" s="49">
        <f>資料儲存!G3206</f>
        <v>0</v>
      </c>
      <c r="F110" s="49">
        <f>資料儲存!H3206</f>
        <v>0</v>
      </c>
      <c r="G110" s="49">
        <f>資料儲存!I3206</f>
        <v>0</v>
      </c>
      <c r="H110" s="49">
        <f>資料儲存!J3206</f>
        <v>0</v>
      </c>
      <c r="I110" s="52"/>
      <c r="J110" s="68">
        <v>25</v>
      </c>
      <c r="K110" s="49">
        <f>資料儲存!D3326</f>
        <v>0</v>
      </c>
      <c r="L110" s="49">
        <f>資料儲存!E3326</f>
        <v>0</v>
      </c>
      <c r="M110" s="49">
        <f>資料儲存!F3326</f>
        <v>0</v>
      </c>
      <c r="N110" s="49">
        <f>資料儲存!G3326</f>
        <v>0</v>
      </c>
      <c r="O110" s="49">
        <f>資料儲存!H3326</f>
        <v>0</v>
      </c>
      <c r="P110" s="49">
        <f>資料儲存!I3326</f>
        <v>0</v>
      </c>
      <c r="Q110" s="49">
        <f>資料儲存!J3326</f>
        <v>0</v>
      </c>
      <c r="R110" s="52"/>
      <c r="S110" s="68">
        <v>25</v>
      </c>
      <c r="T110" s="49">
        <f>資料儲存!D3446</f>
        <v>0</v>
      </c>
      <c r="U110" s="49">
        <f>資料儲存!E3446</f>
        <v>0</v>
      </c>
      <c r="V110" s="49">
        <f>資料儲存!F3446</f>
        <v>0</v>
      </c>
      <c r="W110" s="49">
        <f>資料儲存!G3446</f>
        <v>0</v>
      </c>
      <c r="X110" s="49">
        <f>資料儲存!H3446</f>
        <v>0</v>
      </c>
      <c r="Y110" s="49">
        <f>資料儲存!I3446</f>
        <v>0</v>
      </c>
      <c r="Z110" s="49">
        <f>資料儲存!J3446</f>
        <v>0</v>
      </c>
      <c r="AA110" s="52"/>
      <c r="AB110" s="68">
        <v>25</v>
      </c>
      <c r="AC110" s="49">
        <f>資料儲存!D3566</f>
        <v>0</v>
      </c>
      <c r="AD110" s="49">
        <f>資料儲存!E3566</f>
        <v>0</v>
      </c>
      <c r="AE110" s="49">
        <f>資料儲存!F3566</f>
        <v>0</v>
      </c>
      <c r="AF110" s="49">
        <f>資料儲存!G3566</f>
        <v>0</v>
      </c>
      <c r="AG110" s="49">
        <f>資料儲存!H3566</f>
        <v>0</v>
      </c>
      <c r="AH110" s="49">
        <f>資料儲存!I3566</f>
        <v>0</v>
      </c>
      <c r="AI110" s="49">
        <f>資料儲存!J3566</f>
        <v>0</v>
      </c>
      <c r="AJ110" s="52"/>
    </row>
    <row r="111" spans="1:36" ht="16" thickBot="1">
      <c r="A111" s="68">
        <v>26</v>
      </c>
      <c r="B111" s="49">
        <f>資料儲存!D3207</f>
        <v>0</v>
      </c>
      <c r="C111" s="49">
        <f>資料儲存!E3207</f>
        <v>0</v>
      </c>
      <c r="D111" s="49">
        <f>資料儲存!F3207</f>
        <v>0</v>
      </c>
      <c r="E111" s="49">
        <f>資料儲存!G3207</f>
        <v>0</v>
      </c>
      <c r="F111" s="49">
        <f>資料儲存!H3207</f>
        <v>0</v>
      </c>
      <c r="G111" s="49">
        <f>資料儲存!I3207</f>
        <v>0</v>
      </c>
      <c r="H111" s="49">
        <f>資料儲存!J3207</f>
        <v>0</v>
      </c>
      <c r="I111" s="52"/>
      <c r="J111" s="68">
        <v>26</v>
      </c>
      <c r="K111" s="49">
        <f>資料儲存!D3327</f>
        <v>0</v>
      </c>
      <c r="L111" s="49">
        <f>資料儲存!E3327</f>
        <v>0</v>
      </c>
      <c r="M111" s="49">
        <f>資料儲存!F3327</f>
        <v>0</v>
      </c>
      <c r="N111" s="49">
        <f>資料儲存!G3327</f>
        <v>0</v>
      </c>
      <c r="O111" s="49">
        <f>資料儲存!H3327</f>
        <v>0</v>
      </c>
      <c r="P111" s="49">
        <f>資料儲存!I3327</f>
        <v>0</v>
      </c>
      <c r="Q111" s="49">
        <f>資料儲存!J3327</f>
        <v>0</v>
      </c>
      <c r="R111" s="52"/>
      <c r="S111" s="68">
        <v>26</v>
      </c>
      <c r="T111" s="49">
        <f>資料儲存!D3447</f>
        <v>0</v>
      </c>
      <c r="U111" s="49">
        <f>資料儲存!E3447</f>
        <v>0</v>
      </c>
      <c r="V111" s="49">
        <f>資料儲存!F3447</f>
        <v>0</v>
      </c>
      <c r="W111" s="49">
        <f>資料儲存!G3447</f>
        <v>0</v>
      </c>
      <c r="X111" s="49">
        <f>資料儲存!H3447</f>
        <v>0</v>
      </c>
      <c r="Y111" s="49">
        <f>資料儲存!I3447</f>
        <v>0</v>
      </c>
      <c r="Z111" s="49">
        <f>資料儲存!J3447</f>
        <v>0</v>
      </c>
      <c r="AA111" s="52"/>
      <c r="AB111" s="68">
        <v>26</v>
      </c>
      <c r="AC111" s="49">
        <f>資料儲存!D3567</f>
        <v>0</v>
      </c>
      <c r="AD111" s="49">
        <f>資料儲存!E3567</f>
        <v>0</v>
      </c>
      <c r="AE111" s="49">
        <f>資料儲存!F3567</f>
        <v>0</v>
      </c>
      <c r="AF111" s="49">
        <f>資料儲存!G3567</f>
        <v>0</v>
      </c>
      <c r="AG111" s="49">
        <f>資料儲存!H3567</f>
        <v>0</v>
      </c>
      <c r="AH111" s="49">
        <f>資料儲存!I3567</f>
        <v>0</v>
      </c>
      <c r="AI111" s="49">
        <f>資料儲存!J3567</f>
        <v>0</v>
      </c>
      <c r="AJ111" s="52"/>
    </row>
    <row r="112" spans="1:36" ht="16" thickBot="1">
      <c r="A112" s="68">
        <v>27</v>
      </c>
      <c r="B112" s="49">
        <f>資料儲存!D3208</f>
        <v>0</v>
      </c>
      <c r="C112" s="49">
        <f>資料儲存!E3208</f>
        <v>0</v>
      </c>
      <c r="D112" s="49">
        <f>資料儲存!F3208</f>
        <v>0</v>
      </c>
      <c r="E112" s="49">
        <f>資料儲存!G3208</f>
        <v>0</v>
      </c>
      <c r="F112" s="49">
        <f>資料儲存!H3208</f>
        <v>0</v>
      </c>
      <c r="G112" s="49">
        <f>資料儲存!I3208</f>
        <v>0</v>
      </c>
      <c r="H112" s="49">
        <f>資料儲存!J3208</f>
        <v>0</v>
      </c>
      <c r="I112" s="52"/>
      <c r="J112" s="68">
        <v>27</v>
      </c>
      <c r="K112" s="49">
        <f>資料儲存!D3328</f>
        <v>0</v>
      </c>
      <c r="L112" s="49">
        <f>資料儲存!E3328</f>
        <v>0</v>
      </c>
      <c r="M112" s="49">
        <f>資料儲存!F3328</f>
        <v>0</v>
      </c>
      <c r="N112" s="49">
        <f>資料儲存!G3328</f>
        <v>0</v>
      </c>
      <c r="O112" s="49">
        <f>資料儲存!H3328</f>
        <v>0</v>
      </c>
      <c r="P112" s="49">
        <f>資料儲存!I3328</f>
        <v>0</v>
      </c>
      <c r="Q112" s="49">
        <f>資料儲存!J3328</f>
        <v>0</v>
      </c>
      <c r="R112" s="52"/>
      <c r="S112" s="68">
        <v>27</v>
      </c>
      <c r="T112" s="49">
        <f>資料儲存!D3448</f>
        <v>0</v>
      </c>
      <c r="U112" s="49">
        <f>資料儲存!E3448</f>
        <v>0</v>
      </c>
      <c r="V112" s="49">
        <f>資料儲存!F3448</f>
        <v>0</v>
      </c>
      <c r="W112" s="49">
        <f>資料儲存!G3448</f>
        <v>0</v>
      </c>
      <c r="X112" s="49">
        <f>資料儲存!H3448</f>
        <v>0</v>
      </c>
      <c r="Y112" s="49">
        <f>資料儲存!I3448</f>
        <v>0</v>
      </c>
      <c r="Z112" s="49">
        <f>資料儲存!J3448</f>
        <v>0</v>
      </c>
      <c r="AA112" s="52"/>
      <c r="AB112" s="68">
        <v>27</v>
      </c>
      <c r="AC112" s="49">
        <f>資料儲存!D3568</f>
        <v>0</v>
      </c>
      <c r="AD112" s="49">
        <f>資料儲存!E3568</f>
        <v>0</v>
      </c>
      <c r="AE112" s="49">
        <f>資料儲存!F3568</f>
        <v>0</v>
      </c>
      <c r="AF112" s="49">
        <f>資料儲存!G3568</f>
        <v>0</v>
      </c>
      <c r="AG112" s="49">
        <f>資料儲存!H3568</f>
        <v>0</v>
      </c>
      <c r="AH112" s="49">
        <f>資料儲存!I3568</f>
        <v>0</v>
      </c>
      <c r="AI112" s="49">
        <f>資料儲存!J3568</f>
        <v>0</v>
      </c>
      <c r="AJ112" s="52"/>
    </row>
    <row r="113" spans="1:36" ht="16" thickBot="1">
      <c r="A113" s="68">
        <v>28</v>
      </c>
      <c r="B113" s="49">
        <f>資料儲存!D3209</f>
        <v>0</v>
      </c>
      <c r="C113" s="49">
        <f>資料儲存!E3209</f>
        <v>0</v>
      </c>
      <c r="D113" s="49">
        <f>資料儲存!F3209</f>
        <v>0</v>
      </c>
      <c r="E113" s="49">
        <f>資料儲存!G3209</f>
        <v>0</v>
      </c>
      <c r="F113" s="49">
        <f>資料儲存!H3209</f>
        <v>0</v>
      </c>
      <c r="G113" s="49">
        <f>資料儲存!I3209</f>
        <v>0</v>
      </c>
      <c r="H113" s="49">
        <f>資料儲存!J3209</f>
        <v>0</v>
      </c>
      <c r="I113" s="52"/>
      <c r="J113" s="68">
        <v>28</v>
      </c>
      <c r="K113" s="49">
        <f>資料儲存!D3329</f>
        <v>0</v>
      </c>
      <c r="L113" s="49">
        <f>資料儲存!E3329</f>
        <v>0</v>
      </c>
      <c r="M113" s="49">
        <f>資料儲存!F3329</f>
        <v>0</v>
      </c>
      <c r="N113" s="49">
        <f>資料儲存!G3329</f>
        <v>0</v>
      </c>
      <c r="O113" s="49">
        <f>資料儲存!H3329</f>
        <v>0</v>
      </c>
      <c r="P113" s="49">
        <f>資料儲存!I3329</f>
        <v>0</v>
      </c>
      <c r="Q113" s="49">
        <f>資料儲存!J3329</f>
        <v>0</v>
      </c>
      <c r="R113" s="52"/>
      <c r="S113" s="68">
        <v>28</v>
      </c>
      <c r="T113" s="49">
        <f>資料儲存!D3449</f>
        <v>0</v>
      </c>
      <c r="U113" s="49">
        <f>資料儲存!E3449</f>
        <v>0</v>
      </c>
      <c r="V113" s="49">
        <f>資料儲存!F3449</f>
        <v>0</v>
      </c>
      <c r="W113" s="49">
        <f>資料儲存!G3449</f>
        <v>0</v>
      </c>
      <c r="X113" s="49">
        <f>資料儲存!H3449</f>
        <v>0</v>
      </c>
      <c r="Y113" s="49">
        <f>資料儲存!I3449</f>
        <v>0</v>
      </c>
      <c r="Z113" s="49">
        <f>資料儲存!J3449</f>
        <v>0</v>
      </c>
      <c r="AA113" s="52"/>
      <c r="AB113" s="68">
        <v>28</v>
      </c>
      <c r="AC113" s="49">
        <f>資料儲存!D3569</f>
        <v>0</v>
      </c>
      <c r="AD113" s="49">
        <f>資料儲存!E3569</f>
        <v>0</v>
      </c>
      <c r="AE113" s="49">
        <f>資料儲存!F3569</f>
        <v>0</v>
      </c>
      <c r="AF113" s="49">
        <f>資料儲存!G3569</f>
        <v>0</v>
      </c>
      <c r="AG113" s="49">
        <f>資料儲存!H3569</f>
        <v>0</v>
      </c>
      <c r="AH113" s="49">
        <f>資料儲存!I3569</f>
        <v>0</v>
      </c>
      <c r="AI113" s="49">
        <f>資料儲存!J3569</f>
        <v>0</v>
      </c>
      <c r="AJ113" s="52"/>
    </row>
    <row r="114" spans="1:36" ht="16" thickBot="1">
      <c r="A114" s="68">
        <v>29</v>
      </c>
      <c r="B114" s="49">
        <f>資料儲存!D3210</f>
        <v>0</v>
      </c>
      <c r="C114" s="49">
        <f>資料儲存!E3210</f>
        <v>0</v>
      </c>
      <c r="D114" s="49">
        <f>資料儲存!F3210</f>
        <v>0</v>
      </c>
      <c r="E114" s="49">
        <f>資料儲存!G3210</f>
        <v>0</v>
      </c>
      <c r="F114" s="49">
        <f>資料儲存!H3210</f>
        <v>0</v>
      </c>
      <c r="G114" s="49">
        <f>資料儲存!I3210</f>
        <v>0</v>
      </c>
      <c r="H114" s="49">
        <f>資料儲存!J3210</f>
        <v>0</v>
      </c>
      <c r="I114" s="52"/>
      <c r="J114" s="68">
        <v>29</v>
      </c>
      <c r="K114" s="49">
        <f>資料儲存!D3330</f>
        <v>0</v>
      </c>
      <c r="L114" s="49">
        <f>資料儲存!E3330</f>
        <v>0</v>
      </c>
      <c r="M114" s="49">
        <f>資料儲存!F3330</f>
        <v>0</v>
      </c>
      <c r="N114" s="49">
        <f>資料儲存!G3330</f>
        <v>0</v>
      </c>
      <c r="O114" s="49">
        <f>資料儲存!H3330</f>
        <v>0</v>
      </c>
      <c r="P114" s="49">
        <f>資料儲存!I3330</f>
        <v>0</v>
      </c>
      <c r="Q114" s="49">
        <f>資料儲存!J3330</f>
        <v>0</v>
      </c>
      <c r="R114" s="52"/>
      <c r="S114" s="68">
        <v>29</v>
      </c>
      <c r="T114" s="49">
        <f>資料儲存!D3450</f>
        <v>0</v>
      </c>
      <c r="U114" s="49">
        <f>資料儲存!E3450</f>
        <v>0</v>
      </c>
      <c r="V114" s="49">
        <f>資料儲存!F3450</f>
        <v>0</v>
      </c>
      <c r="W114" s="49">
        <f>資料儲存!G3450</f>
        <v>0</v>
      </c>
      <c r="X114" s="49">
        <f>資料儲存!H3450</f>
        <v>0</v>
      </c>
      <c r="Y114" s="49">
        <f>資料儲存!I3450</f>
        <v>0</v>
      </c>
      <c r="Z114" s="49">
        <f>資料儲存!J3450</f>
        <v>0</v>
      </c>
      <c r="AA114" s="52"/>
      <c r="AB114" s="68">
        <v>29</v>
      </c>
      <c r="AC114" s="49">
        <f>資料儲存!D3570</f>
        <v>0</v>
      </c>
      <c r="AD114" s="49">
        <f>資料儲存!E3570</f>
        <v>0</v>
      </c>
      <c r="AE114" s="49">
        <f>資料儲存!F3570</f>
        <v>0</v>
      </c>
      <c r="AF114" s="49">
        <f>資料儲存!G3570</f>
        <v>0</v>
      </c>
      <c r="AG114" s="49">
        <f>資料儲存!H3570</f>
        <v>0</v>
      </c>
      <c r="AH114" s="49">
        <f>資料儲存!I3570</f>
        <v>0</v>
      </c>
      <c r="AI114" s="49">
        <f>資料儲存!J3570</f>
        <v>0</v>
      </c>
      <c r="AJ114" s="52"/>
    </row>
    <row r="115" spans="1:36" ht="16" thickBot="1">
      <c r="A115" s="68">
        <v>30</v>
      </c>
      <c r="B115" s="49">
        <f>資料儲存!D3211</f>
        <v>0</v>
      </c>
      <c r="C115" s="49">
        <f>資料儲存!E3211</f>
        <v>0</v>
      </c>
      <c r="D115" s="49">
        <f>資料儲存!F3211</f>
        <v>0</v>
      </c>
      <c r="E115" s="49">
        <f>資料儲存!G3211</f>
        <v>0</v>
      </c>
      <c r="F115" s="49">
        <f>資料儲存!H3211</f>
        <v>0</v>
      </c>
      <c r="G115" s="49">
        <f>資料儲存!I3211</f>
        <v>0</v>
      </c>
      <c r="H115" s="49">
        <f>資料儲存!J3211</f>
        <v>0</v>
      </c>
      <c r="I115" s="52"/>
      <c r="J115" s="68">
        <v>30</v>
      </c>
      <c r="K115" s="49">
        <f>資料儲存!D3331</f>
        <v>0</v>
      </c>
      <c r="L115" s="49">
        <f>資料儲存!E3331</f>
        <v>0</v>
      </c>
      <c r="M115" s="49">
        <f>資料儲存!F3331</f>
        <v>0</v>
      </c>
      <c r="N115" s="49">
        <f>資料儲存!G3331</f>
        <v>0</v>
      </c>
      <c r="O115" s="49">
        <f>資料儲存!H3331</f>
        <v>0</v>
      </c>
      <c r="P115" s="49">
        <f>資料儲存!I3331</f>
        <v>0</v>
      </c>
      <c r="Q115" s="49">
        <f>資料儲存!J3331</f>
        <v>0</v>
      </c>
      <c r="R115" s="52"/>
      <c r="S115" s="68">
        <v>30</v>
      </c>
      <c r="T115" s="49">
        <f>資料儲存!D3451</f>
        <v>0</v>
      </c>
      <c r="U115" s="49">
        <f>資料儲存!E3451</f>
        <v>0</v>
      </c>
      <c r="V115" s="49">
        <f>資料儲存!F3451</f>
        <v>0</v>
      </c>
      <c r="W115" s="49">
        <f>資料儲存!G3451</f>
        <v>0</v>
      </c>
      <c r="X115" s="49">
        <f>資料儲存!H3451</f>
        <v>0</v>
      </c>
      <c r="Y115" s="49">
        <f>資料儲存!I3451</f>
        <v>0</v>
      </c>
      <c r="Z115" s="49">
        <f>資料儲存!J3451</f>
        <v>0</v>
      </c>
      <c r="AA115" s="52"/>
      <c r="AB115" s="68">
        <v>30</v>
      </c>
      <c r="AC115" s="49">
        <f>資料儲存!D3571</f>
        <v>0</v>
      </c>
      <c r="AD115" s="49">
        <f>資料儲存!E3571</f>
        <v>0</v>
      </c>
      <c r="AE115" s="49">
        <f>資料儲存!F3571</f>
        <v>0</v>
      </c>
      <c r="AF115" s="49">
        <f>資料儲存!G3571</f>
        <v>0</v>
      </c>
      <c r="AG115" s="49">
        <f>資料儲存!H3571</f>
        <v>0</v>
      </c>
      <c r="AH115" s="49">
        <f>資料儲存!I3571</f>
        <v>0</v>
      </c>
      <c r="AI115" s="49">
        <f>資料儲存!J3571</f>
        <v>0</v>
      </c>
      <c r="AJ115" s="52"/>
    </row>
    <row r="116" spans="1:36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</row>
    <row r="117" spans="1:36" ht="18.5" thickBot="1">
      <c r="A117" s="259" t="s">
        <v>113</v>
      </c>
      <c r="B117" s="260"/>
      <c r="C117" s="260"/>
      <c r="D117" s="260"/>
      <c r="E117" s="260"/>
      <c r="F117" s="260"/>
      <c r="G117" s="260"/>
      <c r="H117" s="261"/>
      <c r="I117" s="14"/>
      <c r="J117" s="259" t="s">
        <v>113</v>
      </c>
      <c r="K117" s="260"/>
      <c r="L117" s="260"/>
      <c r="M117" s="260"/>
      <c r="N117" s="260"/>
      <c r="O117" s="260"/>
      <c r="P117" s="260"/>
      <c r="Q117" s="261"/>
      <c r="R117" s="14"/>
      <c r="S117" s="259" t="s">
        <v>113</v>
      </c>
      <c r="T117" s="260"/>
      <c r="U117" s="260"/>
      <c r="V117" s="260"/>
      <c r="W117" s="260"/>
      <c r="X117" s="260"/>
      <c r="Y117" s="260"/>
      <c r="Z117" s="261"/>
      <c r="AA117" s="14"/>
      <c r="AB117" s="259" t="s">
        <v>113</v>
      </c>
      <c r="AC117" s="260"/>
      <c r="AD117" s="260"/>
      <c r="AE117" s="260"/>
      <c r="AF117" s="260"/>
      <c r="AG117" s="260"/>
      <c r="AH117" s="260"/>
      <c r="AI117" s="261"/>
      <c r="AJ117" s="14"/>
    </row>
    <row r="118" spans="1:36" ht="17.25" customHeight="1" thickBot="1">
      <c r="A118" s="54" t="s">
        <v>2</v>
      </c>
      <c r="B118" s="55" t="s">
        <v>46</v>
      </c>
      <c r="C118" s="56"/>
      <c r="D118" s="56"/>
      <c r="E118" s="57"/>
      <c r="F118" s="55" t="s">
        <v>47</v>
      </c>
      <c r="G118" s="56"/>
      <c r="H118" s="57"/>
      <c r="I118" s="58"/>
      <c r="J118" s="54" t="s">
        <v>2</v>
      </c>
      <c r="K118" s="55" t="s">
        <v>46</v>
      </c>
      <c r="L118" s="56"/>
      <c r="M118" s="56"/>
      <c r="N118" s="57"/>
      <c r="O118" s="55" t="s">
        <v>47</v>
      </c>
      <c r="P118" s="56"/>
      <c r="Q118" s="57"/>
      <c r="R118" s="58"/>
      <c r="S118" s="54" t="s">
        <v>2</v>
      </c>
      <c r="T118" s="55" t="s">
        <v>46</v>
      </c>
      <c r="U118" s="56"/>
      <c r="V118" s="56"/>
      <c r="W118" s="57"/>
      <c r="X118" s="55" t="s">
        <v>47</v>
      </c>
      <c r="Y118" s="56"/>
      <c r="Z118" s="57"/>
      <c r="AA118" s="58"/>
      <c r="AB118" s="54" t="s">
        <v>2</v>
      </c>
      <c r="AC118" s="55" t="s">
        <v>46</v>
      </c>
      <c r="AD118" s="56"/>
      <c r="AE118" s="56"/>
      <c r="AF118" s="57"/>
      <c r="AG118" s="55" t="s">
        <v>47</v>
      </c>
      <c r="AH118" s="56"/>
      <c r="AI118" s="57"/>
      <c r="AJ118" s="58"/>
    </row>
    <row r="119" spans="1:36" ht="16" thickBot="1">
      <c r="A119" s="59">
        <v>0.72916666666666663</v>
      </c>
      <c r="B119" s="60" t="s">
        <v>49</v>
      </c>
      <c r="C119" s="60" t="s">
        <v>50</v>
      </c>
      <c r="D119" s="60" t="s">
        <v>51</v>
      </c>
      <c r="E119" s="60" t="s">
        <v>52</v>
      </c>
      <c r="F119" s="60" t="s">
        <v>53</v>
      </c>
      <c r="G119" s="60" t="s">
        <v>54</v>
      </c>
      <c r="H119" s="60" t="s">
        <v>55</v>
      </c>
      <c r="I119" s="58"/>
      <c r="J119" s="59">
        <v>0.72916666666666663</v>
      </c>
      <c r="K119" s="60" t="s">
        <v>49</v>
      </c>
      <c r="L119" s="60" t="s">
        <v>50</v>
      </c>
      <c r="M119" s="60" t="s">
        <v>51</v>
      </c>
      <c r="N119" s="60" t="s">
        <v>52</v>
      </c>
      <c r="O119" s="60" t="s">
        <v>53</v>
      </c>
      <c r="P119" s="60" t="s">
        <v>54</v>
      </c>
      <c r="Q119" s="60" t="s">
        <v>55</v>
      </c>
      <c r="R119" s="58"/>
      <c r="S119" s="59">
        <v>0.72916666666666663</v>
      </c>
      <c r="T119" s="60" t="s">
        <v>49</v>
      </c>
      <c r="U119" s="60" t="s">
        <v>50</v>
      </c>
      <c r="V119" s="60" t="s">
        <v>51</v>
      </c>
      <c r="W119" s="60" t="s">
        <v>52</v>
      </c>
      <c r="X119" s="60" t="s">
        <v>53</v>
      </c>
      <c r="Y119" s="60" t="s">
        <v>54</v>
      </c>
      <c r="Z119" s="60" t="s">
        <v>55</v>
      </c>
      <c r="AA119" s="58"/>
      <c r="AB119" s="59">
        <v>0.72916666666666663</v>
      </c>
      <c r="AC119" s="60" t="s">
        <v>49</v>
      </c>
      <c r="AD119" s="60" t="s">
        <v>50</v>
      </c>
      <c r="AE119" s="60" t="s">
        <v>51</v>
      </c>
      <c r="AF119" s="60" t="s">
        <v>52</v>
      </c>
      <c r="AG119" s="60" t="s">
        <v>53</v>
      </c>
      <c r="AH119" s="60" t="s">
        <v>54</v>
      </c>
      <c r="AI119" s="60" t="s">
        <v>55</v>
      </c>
      <c r="AJ119" s="58"/>
    </row>
    <row r="120" spans="1:36" ht="16" thickBot="1">
      <c r="A120" s="61">
        <v>31</v>
      </c>
      <c r="B120" s="39">
        <f>資料儲存!D3212</f>
        <v>0</v>
      </c>
      <c r="C120" s="39">
        <f>資料儲存!E3212</f>
        <v>0</v>
      </c>
      <c r="D120" s="39">
        <f>資料儲存!F3212</f>
        <v>0</v>
      </c>
      <c r="E120" s="39">
        <f>資料儲存!G3212</f>
        <v>0</v>
      </c>
      <c r="F120" s="39">
        <f>資料儲存!H3212</f>
        <v>0</v>
      </c>
      <c r="G120" s="39">
        <f>資料儲存!I3212</f>
        <v>0</v>
      </c>
      <c r="H120" s="39">
        <f>資料儲存!J3212</f>
        <v>0</v>
      </c>
      <c r="I120" s="58"/>
      <c r="J120" s="61">
        <v>31</v>
      </c>
      <c r="K120" s="39">
        <f>資料儲存!D3332</f>
        <v>0</v>
      </c>
      <c r="L120" s="39">
        <f>資料儲存!E3332</f>
        <v>0</v>
      </c>
      <c r="M120" s="39">
        <f>資料儲存!F3332</f>
        <v>0</v>
      </c>
      <c r="N120" s="39">
        <f>資料儲存!G3332</f>
        <v>0</v>
      </c>
      <c r="O120" s="39">
        <f>資料儲存!H3332</f>
        <v>0</v>
      </c>
      <c r="P120" s="39">
        <f>資料儲存!I3332</f>
        <v>0</v>
      </c>
      <c r="Q120" s="39">
        <f>資料儲存!J3332</f>
        <v>0</v>
      </c>
      <c r="R120" s="58"/>
      <c r="S120" s="61">
        <v>31</v>
      </c>
      <c r="T120" s="39">
        <f>資料儲存!D3452</f>
        <v>0</v>
      </c>
      <c r="U120" s="39">
        <f>資料儲存!E3452</f>
        <v>0</v>
      </c>
      <c r="V120" s="39">
        <f>資料儲存!F3452</f>
        <v>0</v>
      </c>
      <c r="W120" s="39">
        <f>資料儲存!G3452</f>
        <v>0</v>
      </c>
      <c r="X120" s="39">
        <f>資料儲存!H3452</f>
        <v>0</v>
      </c>
      <c r="Y120" s="39">
        <f>資料儲存!I3452</f>
        <v>0</v>
      </c>
      <c r="Z120" s="39">
        <f>資料儲存!J3452</f>
        <v>0</v>
      </c>
      <c r="AA120" s="58"/>
      <c r="AB120" s="61">
        <v>31</v>
      </c>
      <c r="AC120" s="39">
        <f>資料儲存!D3572</f>
        <v>0</v>
      </c>
      <c r="AD120" s="39">
        <f>資料儲存!E3572</f>
        <v>0</v>
      </c>
      <c r="AE120" s="39">
        <f>資料儲存!F3572</f>
        <v>0</v>
      </c>
      <c r="AF120" s="39">
        <f>資料儲存!G3572</f>
        <v>0</v>
      </c>
      <c r="AG120" s="39">
        <f>資料儲存!H3572</f>
        <v>0</v>
      </c>
      <c r="AH120" s="39">
        <f>資料儲存!I3572</f>
        <v>0</v>
      </c>
      <c r="AI120" s="39">
        <f>資料儲存!J3572</f>
        <v>0</v>
      </c>
      <c r="AJ120" s="58"/>
    </row>
    <row r="121" spans="1:36" ht="16" thickBot="1">
      <c r="A121" s="61">
        <v>32</v>
      </c>
      <c r="B121" s="39">
        <f>資料儲存!D3213</f>
        <v>0</v>
      </c>
      <c r="C121" s="39">
        <f>資料儲存!E3213</f>
        <v>0</v>
      </c>
      <c r="D121" s="39">
        <f>資料儲存!F3213</f>
        <v>0</v>
      </c>
      <c r="E121" s="39">
        <f>資料儲存!G3213</f>
        <v>0</v>
      </c>
      <c r="F121" s="39">
        <f>資料儲存!H3213</f>
        <v>0</v>
      </c>
      <c r="G121" s="39">
        <f>資料儲存!I3213</f>
        <v>0</v>
      </c>
      <c r="H121" s="39">
        <f>資料儲存!J3213</f>
        <v>0</v>
      </c>
      <c r="I121" s="58"/>
      <c r="J121" s="61">
        <v>32</v>
      </c>
      <c r="K121" s="39">
        <f>資料儲存!D3333</f>
        <v>0</v>
      </c>
      <c r="L121" s="39">
        <f>資料儲存!E3333</f>
        <v>0</v>
      </c>
      <c r="M121" s="39">
        <f>資料儲存!F3333</f>
        <v>0</v>
      </c>
      <c r="N121" s="39">
        <f>資料儲存!G3333</f>
        <v>0</v>
      </c>
      <c r="O121" s="39">
        <f>資料儲存!H3333</f>
        <v>0</v>
      </c>
      <c r="P121" s="39">
        <f>資料儲存!I3333</f>
        <v>0</v>
      </c>
      <c r="Q121" s="39">
        <f>資料儲存!J3333</f>
        <v>0</v>
      </c>
      <c r="R121" s="58"/>
      <c r="S121" s="61">
        <v>32</v>
      </c>
      <c r="T121" s="39">
        <f>資料儲存!D3453</f>
        <v>0</v>
      </c>
      <c r="U121" s="39">
        <f>資料儲存!E3453</f>
        <v>0</v>
      </c>
      <c r="V121" s="39">
        <f>資料儲存!F3453</f>
        <v>0</v>
      </c>
      <c r="W121" s="39">
        <f>資料儲存!G3453</f>
        <v>0</v>
      </c>
      <c r="X121" s="39">
        <f>資料儲存!H3453</f>
        <v>0</v>
      </c>
      <c r="Y121" s="39">
        <f>資料儲存!I3453</f>
        <v>0</v>
      </c>
      <c r="Z121" s="39">
        <f>資料儲存!J3453</f>
        <v>0</v>
      </c>
      <c r="AA121" s="58"/>
      <c r="AB121" s="61">
        <v>32</v>
      </c>
      <c r="AC121" s="39">
        <f>資料儲存!D3573</f>
        <v>0</v>
      </c>
      <c r="AD121" s="39">
        <f>資料儲存!E3573</f>
        <v>0</v>
      </c>
      <c r="AE121" s="39">
        <f>資料儲存!F3573</f>
        <v>0</v>
      </c>
      <c r="AF121" s="39">
        <f>資料儲存!G3573</f>
        <v>0</v>
      </c>
      <c r="AG121" s="39">
        <f>資料儲存!H3573</f>
        <v>0</v>
      </c>
      <c r="AH121" s="39">
        <f>資料儲存!I3573</f>
        <v>0</v>
      </c>
      <c r="AI121" s="39">
        <f>資料儲存!J3573</f>
        <v>0</v>
      </c>
      <c r="AJ121" s="58"/>
    </row>
    <row r="122" spans="1:36" ht="16" thickBot="1">
      <c r="A122" s="61">
        <v>33</v>
      </c>
      <c r="B122" s="39">
        <f>資料儲存!D3214</f>
        <v>0</v>
      </c>
      <c r="C122" s="39">
        <f>資料儲存!E3214</f>
        <v>0</v>
      </c>
      <c r="D122" s="39">
        <f>資料儲存!F3214</f>
        <v>0</v>
      </c>
      <c r="E122" s="39">
        <f>資料儲存!G3214</f>
        <v>0</v>
      </c>
      <c r="F122" s="39">
        <f>資料儲存!H3214</f>
        <v>0</v>
      </c>
      <c r="G122" s="39">
        <f>資料儲存!I3214</f>
        <v>0</v>
      </c>
      <c r="H122" s="39">
        <f>資料儲存!J3214</f>
        <v>0</v>
      </c>
      <c r="I122" s="58"/>
      <c r="J122" s="61">
        <v>33</v>
      </c>
      <c r="K122" s="39">
        <f>資料儲存!D3334</f>
        <v>0</v>
      </c>
      <c r="L122" s="39">
        <f>資料儲存!E3334</f>
        <v>0</v>
      </c>
      <c r="M122" s="39">
        <f>資料儲存!F3334</f>
        <v>0</v>
      </c>
      <c r="N122" s="39">
        <f>資料儲存!G3334</f>
        <v>0</v>
      </c>
      <c r="O122" s="39">
        <f>資料儲存!H3334</f>
        <v>0</v>
      </c>
      <c r="P122" s="39">
        <f>資料儲存!I3334</f>
        <v>0</v>
      </c>
      <c r="Q122" s="39">
        <f>資料儲存!J3334</f>
        <v>0</v>
      </c>
      <c r="R122" s="58"/>
      <c r="S122" s="61">
        <v>33</v>
      </c>
      <c r="T122" s="39">
        <f>資料儲存!D3454</f>
        <v>0</v>
      </c>
      <c r="U122" s="39">
        <f>資料儲存!E3454</f>
        <v>0</v>
      </c>
      <c r="V122" s="39">
        <f>資料儲存!F3454</f>
        <v>0</v>
      </c>
      <c r="W122" s="39">
        <f>資料儲存!G3454</f>
        <v>0</v>
      </c>
      <c r="X122" s="39">
        <f>資料儲存!H3454</f>
        <v>0</v>
      </c>
      <c r="Y122" s="39">
        <f>資料儲存!I3454</f>
        <v>0</v>
      </c>
      <c r="Z122" s="39">
        <f>資料儲存!J3454</f>
        <v>0</v>
      </c>
      <c r="AA122" s="58"/>
      <c r="AB122" s="61">
        <v>33</v>
      </c>
      <c r="AC122" s="39">
        <f>資料儲存!D3574</f>
        <v>0</v>
      </c>
      <c r="AD122" s="39">
        <f>資料儲存!E3574</f>
        <v>0</v>
      </c>
      <c r="AE122" s="39">
        <f>資料儲存!F3574</f>
        <v>0</v>
      </c>
      <c r="AF122" s="39">
        <f>資料儲存!G3574</f>
        <v>0</v>
      </c>
      <c r="AG122" s="39">
        <f>資料儲存!H3574</f>
        <v>0</v>
      </c>
      <c r="AH122" s="39">
        <f>資料儲存!I3574</f>
        <v>0</v>
      </c>
      <c r="AI122" s="39">
        <f>資料儲存!J3574</f>
        <v>0</v>
      </c>
      <c r="AJ122" s="58"/>
    </row>
    <row r="123" spans="1:36" ht="16" thickBot="1">
      <c r="A123" s="61">
        <v>34</v>
      </c>
      <c r="B123" s="39">
        <f>資料儲存!D3215</f>
        <v>0</v>
      </c>
      <c r="C123" s="39">
        <f>資料儲存!E3215</f>
        <v>0</v>
      </c>
      <c r="D123" s="39">
        <f>資料儲存!F3215</f>
        <v>0</v>
      </c>
      <c r="E123" s="39">
        <f>資料儲存!G3215</f>
        <v>0</v>
      </c>
      <c r="F123" s="39">
        <f>資料儲存!H3215</f>
        <v>0</v>
      </c>
      <c r="G123" s="39">
        <f>資料儲存!I3215</f>
        <v>0</v>
      </c>
      <c r="H123" s="39">
        <f>資料儲存!J3215</f>
        <v>0</v>
      </c>
      <c r="I123" s="58"/>
      <c r="J123" s="61">
        <v>34</v>
      </c>
      <c r="K123" s="39">
        <f>資料儲存!D3335</f>
        <v>0</v>
      </c>
      <c r="L123" s="39">
        <f>資料儲存!E3335</f>
        <v>0</v>
      </c>
      <c r="M123" s="39">
        <f>資料儲存!F3335</f>
        <v>0</v>
      </c>
      <c r="N123" s="39">
        <f>資料儲存!G3335</f>
        <v>0</v>
      </c>
      <c r="O123" s="39">
        <f>資料儲存!H3335</f>
        <v>0</v>
      </c>
      <c r="P123" s="39">
        <f>資料儲存!I3335</f>
        <v>0</v>
      </c>
      <c r="Q123" s="39">
        <f>資料儲存!J3335</f>
        <v>0</v>
      </c>
      <c r="R123" s="58"/>
      <c r="S123" s="61">
        <v>34</v>
      </c>
      <c r="T123" s="39">
        <f>資料儲存!D3455</f>
        <v>0</v>
      </c>
      <c r="U123" s="39">
        <f>資料儲存!E3455</f>
        <v>0</v>
      </c>
      <c r="V123" s="39">
        <f>資料儲存!F3455</f>
        <v>0</v>
      </c>
      <c r="W123" s="39">
        <f>資料儲存!G3455</f>
        <v>0</v>
      </c>
      <c r="X123" s="39">
        <f>資料儲存!H3455</f>
        <v>0</v>
      </c>
      <c r="Y123" s="39">
        <f>資料儲存!I3455</f>
        <v>0</v>
      </c>
      <c r="Z123" s="39">
        <f>資料儲存!J3455</f>
        <v>0</v>
      </c>
      <c r="AA123" s="58"/>
      <c r="AB123" s="61">
        <v>34</v>
      </c>
      <c r="AC123" s="39">
        <f>資料儲存!D3575</f>
        <v>0</v>
      </c>
      <c r="AD123" s="39">
        <f>資料儲存!E3575</f>
        <v>0</v>
      </c>
      <c r="AE123" s="39">
        <f>資料儲存!F3575</f>
        <v>0</v>
      </c>
      <c r="AF123" s="39">
        <f>資料儲存!G3575</f>
        <v>0</v>
      </c>
      <c r="AG123" s="39">
        <f>資料儲存!H3575</f>
        <v>0</v>
      </c>
      <c r="AH123" s="39">
        <f>資料儲存!I3575</f>
        <v>0</v>
      </c>
      <c r="AI123" s="39">
        <f>資料儲存!J3575</f>
        <v>0</v>
      </c>
      <c r="AJ123" s="58"/>
    </row>
    <row r="124" spans="1:36" ht="16" thickBot="1">
      <c r="A124" s="61">
        <v>35</v>
      </c>
      <c r="B124" s="39">
        <f>資料儲存!D3216</f>
        <v>0</v>
      </c>
      <c r="C124" s="39">
        <f>資料儲存!E3216</f>
        <v>0</v>
      </c>
      <c r="D124" s="39">
        <f>資料儲存!F3216</f>
        <v>0</v>
      </c>
      <c r="E124" s="39">
        <f>資料儲存!G3216</f>
        <v>0</v>
      </c>
      <c r="F124" s="39">
        <f>資料儲存!H3216</f>
        <v>0</v>
      </c>
      <c r="G124" s="39">
        <f>資料儲存!I3216</f>
        <v>0</v>
      </c>
      <c r="H124" s="39">
        <f>資料儲存!J3216</f>
        <v>0</v>
      </c>
      <c r="I124" s="58"/>
      <c r="J124" s="61">
        <v>35</v>
      </c>
      <c r="K124" s="39">
        <f>資料儲存!D3336</f>
        <v>0</v>
      </c>
      <c r="L124" s="39">
        <f>資料儲存!E3336</f>
        <v>0</v>
      </c>
      <c r="M124" s="39">
        <f>資料儲存!F3336</f>
        <v>0</v>
      </c>
      <c r="N124" s="39">
        <f>資料儲存!G3336</f>
        <v>0</v>
      </c>
      <c r="O124" s="39">
        <f>資料儲存!H3336</f>
        <v>0</v>
      </c>
      <c r="P124" s="39">
        <f>資料儲存!I3336</f>
        <v>0</v>
      </c>
      <c r="Q124" s="39">
        <f>資料儲存!J3336</f>
        <v>0</v>
      </c>
      <c r="R124" s="58"/>
      <c r="S124" s="61">
        <v>35</v>
      </c>
      <c r="T124" s="39">
        <f>資料儲存!D3456</f>
        <v>0</v>
      </c>
      <c r="U124" s="39">
        <f>資料儲存!E3456</f>
        <v>0</v>
      </c>
      <c r="V124" s="39">
        <f>資料儲存!F3456</f>
        <v>0</v>
      </c>
      <c r="W124" s="39">
        <f>資料儲存!G3456</f>
        <v>0</v>
      </c>
      <c r="X124" s="39">
        <f>資料儲存!H3456</f>
        <v>0</v>
      </c>
      <c r="Y124" s="39">
        <f>資料儲存!I3456</f>
        <v>0</v>
      </c>
      <c r="Z124" s="39">
        <f>資料儲存!J3456</f>
        <v>0</v>
      </c>
      <c r="AA124" s="58"/>
      <c r="AB124" s="61">
        <v>35</v>
      </c>
      <c r="AC124" s="39">
        <f>資料儲存!D3576</f>
        <v>0</v>
      </c>
      <c r="AD124" s="39">
        <f>資料儲存!E3576</f>
        <v>0</v>
      </c>
      <c r="AE124" s="39">
        <f>資料儲存!F3576</f>
        <v>0</v>
      </c>
      <c r="AF124" s="39">
        <f>資料儲存!G3576</f>
        <v>0</v>
      </c>
      <c r="AG124" s="39">
        <f>資料儲存!H3576</f>
        <v>0</v>
      </c>
      <c r="AH124" s="39">
        <f>資料儲存!I3576</f>
        <v>0</v>
      </c>
      <c r="AI124" s="39">
        <f>資料儲存!J3576</f>
        <v>0</v>
      </c>
      <c r="AJ124" s="58"/>
    </row>
    <row r="125" spans="1:36" ht="16" thickBot="1">
      <c r="A125" s="61">
        <v>36</v>
      </c>
      <c r="B125" s="39">
        <f>資料儲存!D3217</f>
        <v>0</v>
      </c>
      <c r="C125" s="39">
        <f>資料儲存!E3217</f>
        <v>0</v>
      </c>
      <c r="D125" s="39">
        <f>資料儲存!F3217</f>
        <v>0</v>
      </c>
      <c r="E125" s="39">
        <f>資料儲存!G3217</f>
        <v>0</v>
      </c>
      <c r="F125" s="39">
        <f>資料儲存!H3217</f>
        <v>0</v>
      </c>
      <c r="G125" s="39">
        <f>資料儲存!I3217</f>
        <v>0</v>
      </c>
      <c r="H125" s="39">
        <f>資料儲存!J3217</f>
        <v>0</v>
      </c>
      <c r="I125" s="58"/>
      <c r="J125" s="61">
        <v>36</v>
      </c>
      <c r="K125" s="39">
        <f>資料儲存!D3337</f>
        <v>0</v>
      </c>
      <c r="L125" s="39">
        <f>資料儲存!E3337</f>
        <v>0</v>
      </c>
      <c r="M125" s="39">
        <f>資料儲存!F3337</f>
        <v>0</v>
      </c>
      <c r="N125" s="39">
        <f>資料儲存!G3337</f>
        <v>0</v>
      </c>
      <c r="O125" s="39">
        <f>資料儲存!H3337</f>
        <v>0</v>
      </c>
      <c r="P125" s="39">
        <f>資料儲存!I3337</f>
        <v>0</v>
      </c>
      <c r="Q125" s="39">
        <f>資料儲存!J3337</f>
        <v>0</v>
      </c>
      <c r="R125" s="58"/>
      <c r="S125" s="61">
        <v>36</v>
      </c>
      <c r="T125" s="39">
        <f>資料儲存!D3457</f>
        <v>0</v>
      </c>
      <c r="U125" s="39">
        <f>資料儲存!E3457</f>
        <v>0</v>
      </c>
      <c r="V125" s="39">
        <f>資料儲存!F3457</f>
        <v>0</v>
      </c>
      <c r="W125" s="39">
        <f>資料儲存!G3457</f>
        <v>0</v>
      </c>
      <c r="X125" s="39">
        <f>資料儲存!H3457</f>
        <v>0</v>
      </c>
      <c r="Y125" s="39">
        <f>資料儲存!I3457</f>
        <v>0</v>
      </c>
      <c r="Z125" s="39">
        <f>資料儲存!J3457</f>
        <v>0</v>
      </c>
      <c r="AA125" s="58"/>
      <c r="AB125" s="61">
        <v>36</v>
      </c>
      <c r="AC125" s="39">
        <f>資料儲存!D3577</f>
        <v>0</v>
      </c>
      <c r="AD125" s="39">
        <f>資料儲存!E3577</f>
        <v>0</v>
      </c>
      <c r="AE125" s="39">
        <f>資料儲存!F3577</f>
        <v>0</v>
      </c>
      <c r="AF125" s="39">
        <f>資料儲存!G3577</f>
        <v>0</v>
      </c>
      <c r="AG125" s="39">
        <f>資料儲存!H3577</f>
        <v>0</v>
      </c>
      <c r="AH125" s="39">
        <f>資料儲存!I3577</f>
        <v>0</v>
      </c>
      <c r="AI125" s="39">
        <f>資料儲存!J3577</f>
        <v>0</v>
      </c>
      <c r="AJ125" s="58"/>
    </row>
    <row r="126" spans="1:36" ht="16" thickBot="1">
      <c r="A126" s="61">
        <v>37</v>
      </c>
      <c r="B126" s="39">
        <f>資料儲存!D3218</f>
        <v>0</v>
      </c>
      <c r="C126" s="39">
        <f>資料儲存!E3218</f>
        <v>0</v>
      </c>
      <c r="D126" s="39">
        <f>資料儲存!F3218</f>
        <v>0</v>
      </c>
      <c r="E126" s="39">
        <f>資料儲存!G3218</f>
        <v>0</v>
      </c>
      <c r="F126" s="39">
        <f>資料儲存!H3218</f>
        <v>0</v>
      </c>
      <c r="G126" s="39">
        <f>資料儲存!I3218</f>
        <v>0</v>
      </c>
      <c r="H126" s="39">
        <f>資料儲存!J3218</f>
        <v>0</v>
      </c>
      <c r="I126" s="58"/>
      <c r="J126" s="61">
        <v>37</v>
      </c>
      <c r="K126" s="39">
        <f>資料儲存!D3338</f>
        <v>0</v>
      </c>
      <c r="L126" s="39">
        <f>資料儲存!E3338</f>
        <v>0</v>
      </c>
      <c r="M126" s="39">
        <f>資料儲存!F3338</f>
        <v>0</v>
      </c>
      <c r="N126" s="39">
        <f>資料儲存!G3338</f>
        <v>0</v>
      </c>
      <c r="O126" s="39">
        <f>資料儲存!H3338</f>
        <v>0</v>
      </c>
      <c r="P126" s="39">
        <f>資料儲存!I3338</f>
        <v>0</v>
      </c>
      <c r="Q126" s="39">
        <f>資料儲存!J3338</f>
        <v>0</v>
      </c>
      <c r="R126" s="58"/>
      <c r="S126" s="61">
        <v>37</v>
      </c>
      <c r="T126" s="39">
        <f>資料儲存!D3458</f>
        <v>0</v>
      </c>
      <c r="U126" s="39">
        <f>資料儲存!E3458</f>
        <v>0</v>
      </c>
      <c r="V126" s="39">
        <f>資料儲存!F3458</f>
        <v>0</v>
      </c>
      <c r="W126" s="39">
        <f>資料儲存!G3458</f>
        <v>0</v>
      </c>
      <c r="X126" s="39">
        <f>資料儲存!H3458</f>
        <v>0</v>
      </c>
      <c r="Y126" s="39">
        <f>資料儲存!I3458</f>
        <v>0</v>
      </c>
      <c r="Z126" s="39">
        <f>資料儲存!J3458</f>
        <v>0</v>
      </c>
      <c r="AA126" s="58"/>
      <c r="AB126" s="61">
        <v>37</v>
      </c>
      <c r="AC126" s="39">
        <f>資料儲存!D3578</f>
        <v>0</v>
      </c>
      <c r="AD126" s="39">
        <f>資料儲存!E3578</f>
        <v>0</v>
      </c>
      <c r="AE126" s="39">
        <f>資料儲存!F3578</f>
        <v>0</v>
      </c>
      <c r="AF126" s="39">
        <f>資料儲存!G3578</f>
        <v>0</v>
      </c>
      <c r="AG126" s="39">
        <f>資料儲存!H3578</f>
        <v>0</v>
      </c>
      <c r="AH126" s="39">
        <f>資料儲存!I3578</f>
        <v>0</v>
      </c>
      <c r="AI126" s="39">
        <f>資料儲存!J3578</f>
        <v>0</v>
      </c>
      <c r="AJ126" s="58"/>
    </row>
    <row r="127" spans="1:36" ht="16" thickBot="1">
      <c r="A127" s="61">
        <v>38</v>
      </c>
      <c r="B127" s="39">
        <f>資料儲存!D3219</f>
        <v>0</v>
      </c>
      <c r="C127" s="39">
        <f>資料儲存!E3219</f>
        <v>0</v>
      </c>
      <c r="D127" s="39">
        <f>資料儲存!F3219</f>
        <v>0</v>
      </c>
      <c r="E127" s="39">
        <f>資料儲存!G3219</f>
        <v>0</v>
      </c>
      <c r="F127" s="39">
        <f>資料儲存!H3219</f>
        <v>0</v>
      </c>
      <c r="G127" s="39">
        <f>資料儲存!I3219</f>
        <v>0</v>
      </c>
      <c r="H127" s="39">
        <f>資料儲存!J3219</f>
        <v>0</v>
      </c>
      <c r="I127" s="58"/>
      <c r="J127" s="61">
        <v>38</v>
      </c>
      <c r="K127" s="39">
        <f>資料儲存!D3339</f>
        <v>0</v>
      </c>
      <c r="L127" s="39">
        <f>資料儲存!E3339</f>
        <v>0</v>
      </c>
      <c r="M127" s="39">
        <f>資料儲存!F3339</f>
        <v>0</v>
      </c>
      <c r="N127" s="39">
        <f>資料儲存!G3339</f>
        <v>0</v>
      </c>
      <c r="O127" s="39">
        <f>資料儲存!H3339</f>
        <v>0</v>
      </c>
      <c r="P127" s="39">
        <f>資料儲存!I3339</f>
        <v>0</v>
      </c>
      <c r="Q127" s="39">
        <f>資料儲存!J3339</f>
        <v>0</v>
      </c>
      <c r="R127" s="58"/>
      <c r="S127" s="61">
        <v>38</v>
      </c>
      <c r="T127" s="39">
        <f>資料儲存!D3459</f>
        <v>0</v>
      </c>
      <c r="U127" s="39">
        <f>資料儲存!E3459</f>
        <v>0</v>
      </c>
      <c r="V127" s="39">
        <f>資料儲存!F3459</f>
        <v>0</v>
      </c>
      <c r="W127" s="39">
        <f>資料儲存!G3459</f>
        <v>0</v>
      </c>
      <c r="X127" s="39">
        <f>資料儲存!H3459</f>
        <v>0</v>
      </c>
      <c r="Y127" s="39">
        <f>資料儲存!I3459</f>
        <v>0</v>
      </c>
      <c r="Z127" s="39">
        <f>資料儲存!J3459</f>
        <v>0</v>
      </c>
      <c r="AA127" s="58"/>
      <c r="AB127" s="61">
        <v>38</v>
      </c>
      <c r="AC127" s="39">
        <f>資料儲存!D3579</f>
        <v>0</v>
      </c>
      <c r="AD127" s="39">
        <f>資料儲存!E3579</f>
        <v>0</v>
      </c>
      <c r="AE127" s="39">
        <f>資料儲存!F3579</f>
        <v>0</v>
      </c>
      <c r="AF127" s="39">
        <f>資料儲存!G3579</f>
        <v>0</v>
      </c>
      <c r="AG127" s="39">
        <f>資料儲存!H3579</f>
        <v>0</v>
      </c>
      <c r="AH127" s="39">
        <f>資料儲存!I3579</f>
        <v>0</v>
      </c>
      <c r="AI127" s="39">
        <f>資料儲存!J3579</f>
        <v>0</v>
      </c>
      <c r="AJ127" s="58"/>
    </row>
    <row r="128" spans="1:36" ht="16" thickBot="1">
      <c r="A128" s="61">
        <v>39</v>
      </c>
      <c r="B128" s="39">
        <f>資料儲存!D3220</f>
        <v>0</v>
      </c>
      <c r="C128" s="39">
        <f>資料儲存!E3220</f>
        <v>0</v>
      </c>
      <c r="D128" s="39">
        <f>資料儲存!F3220</f>
        <v>0</v>
      </c>
      <c r="E128" s="39">
        <f>資料儲存!G3220</f>
        <v>0</v>
      </c>
      <c r="F128" s="39">
        <f>資料儲存!H3220</f>
        <v>0</v>
      </c>
      <c r="G128" s="39">
        <f>資料儲存!I3220</f>
        <v>0</v>
      </c>
      <c r="H128" s="39">
        <f>資料儲存!J3220</f>
        <v>0</v>
      </c>
      <c r="I128" s="58"/>
      <c r="J128" s="61">
        <v>39</v>
      </c>
      <c r="K128" s="39">
        <f>資料儲存!D3340</f>
        <v>0</v>
      </c>
      <c r="L128" s="39">
        <f>資料儲存!E3340</f>
        <v>0</v>
      </c>
      <c r="M128" s="39">
        <f>資料儲存!F3340</f>
        <v>0</v>
      </c>
      <c r="N128" s="39">
        <f>資料儲存!G3340</f>
        <v>0</v>
      </c>
      <c r="O128" s="39">
        <f>資料儲存!H3340</f>
        <v>0</v>
      </c>
      <c r="P128" s="39">
        <f>資料儲存!I3340</f>
        <v>0</v>
      </c>
      <c r="Q128" s="39">
        <f>資料儲存!J3340</f>
        <v>0</v>
      </c>
      <c r="R128" s="58"/>
      <c r="S128" s="61">
        <v>39</v>
      </c>
      <c r="T128" s="39">
        <f>資料儲存!D3460</f>
        <v>0</v>
      </c>
      <c r="U128" s="39">
        <f>資料儲存!E3460</f>
        <v>0</v>
      </c>
      <c r="V128" s="39">
        <f>資料儲存!F3460</f>
        <v>0</v>
      </c>
      <c r="W128" s="39">
        <f>資料儲存!G3460</f>
        <v>0</v>
      </c>
      <c r="X128" s="39">
        <f>資料儲存!H3460</f>
        <v>0</v>
      </c>
      <c r="Y128" s="39">
        <f>資料儲存!I3460</f>
        <v>0</v>
      </c>
      <c r="Z128" s="39">
        <f>資料儲存!J3460</f>
        <v>0</v>
      </c>
      <c r="AA128" s="58"/>
      <c r="AB128" s="61">
        <v>39</v>
      </c>
      <c r="AC128" s="39">
        <f>資料儲存!D3580</f>
        <v>0</v>
      </c>
      <c r="AD128" s="39">
        <f>資料儲存!E3580</f>
        <v>0</v>
      </c>
      <c r="AE128" s="39">
        <f>資料儲存!F3580</f>
        <v>0</v>
      </c>
      <c r="AF128" s="39">
        <f>資料儲存!G3580</f>
        <v>0</v>
      </c>
      <c r="AG128" s="39">
        <f>資料儲存!H3580</f>
        <v>0</v>
      </c>
      <c r="AH128" s="39">
        <f>資料儲存!I3580</f>
        <v>0</v>
      </c>
      <c r="AI128" s="39">
        <f>資料儲存!J3580</f>
        <v>0</v>
      </c>
      <c r="AJ128" s="58"/>
    </row>
    <row r="129" spans="1:36" ht="16" thickBot="1">
      <c r="A129" s="61">
        <v>40</v>
      </c>
      <c r="B129" s="39">
        <f>資料儲存!D3221</f>
        <v>0</v>
      </c>
      <c r="C129" s="39">
        <f>資料儲存!E3221</f>
        <v>0</v>
      </c>
      <c r="D129" s="39">
        <f>資料儲存!F3221</f>
        <v>0</v>
      </c>
      <c r="E129" s="39">
        <f>資料儲存!G3221</f>
        <v>0</v>
      </c>
      <c r="F129" s="39">
        <f>資料儲存!H3221</f>
        <v>0</v>
      </c>
      <c r="G129" s="39">
        <f>資料儲存!I3221</f>
        <v>0</v>
      </c>
      <c r="H129" s="39">
        <f>資料儲存!J3221</f>
        <v>0</v>
      </c>
      <c r="I129" s="58"/>
      <c r="J129" s="61">
        <v>40</v>
      </c>
      <c r="K129" s="39">
        <f>資料儲存!D3341</f>
        <v>0</v>
      </c>
      <c r="L129" s="39">
        <f>資料儲存!E3341</f>
        <v>0</v>
      </c>
      <c r="M129" s="39">
        <f>資料儲存!F3341</f>
        <v>0</v>
      </c>
      <c r="N129" s="39">
        <f>資料儲存!G3341</f>
        <v>0</v>
      </c>
      <c r="O129" s="39">
        <f>資料儲存!H3341</f>
        <v>0</v>
      </c>
      <c r="P129" s="39">
        <f>資料儲存!I3341</f>
        <v>0</v>
      </c>
      <c r="Q129" s="39">
        <f>資料儲存!J3341</f>
        <v>0</v>
      </c>
      <c r="R129" s="58"/>
      <c r="S129" s="61">
        <v>40</v>
      </c>
      <c r="T129" s="39">
        <f>資料儲存!D3461</f>
        <v>0</v>
      </c>
      <c r="U129" s="39">
        <f>資料儲存!E3461</f>
        <v>0</v>
      </c>
      <c r="V129" s="39">
        <f>資料儲存!F3461</f>
        <v>0</v>
      </c>
      <c r="W129" s="39">
        <f>資料儲存!G3461</f>
        <v>0</v>
      </c>
      <c r="X129" s="39">
        <f>資料儲存!H3461</f>
        <v>0</v>
      </c>
      <c r="Y129" s="39">
        <f>資料儲存!I3461</f>
        <v>0</v>
      </c>
      <c r="Z129" s="39">
        <f>資料儲存!J3461</f>
        <v>0</v>
      </c>
      <c r="AA129" s="58"/>
      <c r="AB129" s="61">
        <v>40</v>
      </c>
      <c r="AC129" s="39">
        <f>資料儲存!D3581</f>
        <v>0</v>
      </c>
      <c r="AD129" s="39">
        <f>資料儲存!E3581</f>
        <v>0</v>
      </c>
      <c r="AE129" s="39">
        <f>資料儲存!F3581</f>
        <v>0</v>
      </c>
      <c r="AF129" s="39">
        <f>資料儲存!G3581</f>
        <v>0</v>
      </c>
      <c r="AG129" s="39">
        <f>資料儲存!H3581</f>
        <v>0</v>
      </c>
      <c r="AH129" s="39">
        <f>資料儲存!I3581</f>
        <v>0</v>
      </c>
      <c r="AI129" s="39">
        <f>資料儲存!J3581</f>
        <v>0</v>
      </c>
      <c r="AJ129" s="58"/>
    </row>
    <row r="130" spans="1:36" ht="16" thickBot="1">
      <c r="A130" s="61">
        <v>41</v>
      </c>
      <c r="B130" s="39">
        <f>資料儲存!D3222</f>
        <v>0</v>
      </c>
      <c r="C130" s="39">
        <f>資料儲存!E3222</f>
        <v>0</v>
      </c>
      <c r="D130" s="39">
        <f>資料儲存!F3222</f>
        <v>0</v>
      </c>
      <c r="E130" s="39">
        <f>資料儲存!G3222</f>
        <v>0</v>
      </c>
      <c r="F130" s="39">
        <f>資料儲存!H3222</f>
        <v>0</v>
      </c>
      <c r="G130" s="39">
        <f>資料儲存!I3222</f>
        <v>0</v>
      </c>
      <c r="H130" s="39">
        <f>資料儲存!J3222</f>
        <v>0</v>
      </c>
      <c r="I130" s="58"/>
      <c r="J130" s="61">
        <v>41</v>
      </c>
      <c r="K130" s="39">
        <f>資料儲存!D3342</f>
        <v>0</v>
      </c>
      <c r="L130" s="39">
        <f>資料儲存!E3342</f>
        <v>0</v>
      </c>
      <c r="M130" s="39">
        <f>資料儲存!F3342</f>
        <v>0</v>
      </c>
      <c r="N130" s="39">
        <f>資料儲存!G3342</f>
        <v>0</v>
      </c>
      <c r="O130" s="39">
        <f>資料儲存!H3342</f>
        <v>0</v>
      </c>
      <c r="P130" s="39">
        <f>資料儲存!I3342</f>
        <v>0</v>
      </c>
      <c r="Q130" s="39">
        <f>資料儲存!J3342</f>
        <v>0</v>
      </c>
      <c r="R130" s="58"/>
      <c r="S130" s="61">
        <v>41</v>
      </c>
      <c r="T130" s="39">
        <f>資料儲存!D3462</f>
        <v>0</v>
      </c>
      <c r="U130" s="39">
        <f>資料儲存!E3462</f>
        <v>0</v>
      </c>
      <c r="V130" s="39">
        <f>資料儲存!F3462</f>
        <v>0</v>
      </c>
      <c r="W130" s="39">
        <f>資料儲存!G3462</f>
        <v>0</v>
      </c>
      <c r="X130" s="39">
        <f>資料儲存!H3462</f>
        <v>0</v>
      </c>
      <c r="Y130" s="39">
        <f>資料儲存!I3462</f>
        <v>0</v>
      </c>
      <c r="Z130" s="39">
        <f>資料儲存!J3462</f>
        <v>0</v>
      </c>
      <c r="AA130" s="58"/>
      <c r="AB130" s="61">
        <v>41</v>
      </c>
      <c r="AC130" s="39">
        <f>資料儲存!D3582</f>
        <v>0</v>
      </c>
      <c r="AD130" s="39">
        <f>資料儲存!E3582</f>
        <v>0</v>
      </c>
      <c r="AE130" s="39">
        <f>資料儲存!F3582</f>
        <v>0</v>
      </c>
      <c r="AF130" s="39">
        <f>資料儲存!G3582</f>
        <v>0</v>
      </c>
      <c r="AG130" s="39">
        <f>資料儲存!H3582</f>
        <v>0</v>
      </c>
      <c r="AH130" s="39">
        <f>資料儲存!I3582</f>
        <v>0</v>
      </c>
      <c r="AI130" s="39">
        <f>資料儲存!J3582</f>
        <v>0</v>
      </c>
      <c r="AJ130" s="58"/>
    </row>
    <row r="131" spans="1:36" ht="16" thickBot="1">
      <c r="A131" s="61">
        <v>42</v>
      </c>
      <c r="B131" s="39">
        <f>資料儲存!D3223</f>
        <v>0</v>
      </c>
      <c r="C131" s="39">
        <f>資料儲存!E3223</f>
        <v>0</v>
      </c>
      <c r="D131" s="39">
        <f>資料儲存!F3223</f>
        <v>0</v>
      </c>
      <c r="E131" s="39">
        <f>資料儲存!G3223</f>
        <v>0</v>
      </c>
      <c r="F131" s="39">
        <f>資料儲存!H3223</f>
        <v>0</v>
      </c>
      <c r="G131" s="39">
        <f>資料儲存!I3223</f>
        <v>0</v>
      </c>
      <c r="H131" s="39">
        <f>資料儲存!J3223</f>
        <v>0</v>
      </c>
      <c r="I131" s="58"/>
      <c r="J131" s="61">
        <v>42</v>
      </c>
      <c r="K131" s="39">
        <f>資料儲存!D3343</f>
        <v>0</v>
      </c>
      <c r="L131" s="39">
        <f>資料儲存!E3343</f>
        <v>0</v>
      </c>
      <c r="M131" s="39">
        <f>資料儲存!F3343</f>
        <v>0</v>
      </c>
      <c r="N131" s="39">
        <f>資料儲存!G3343</f>
        <v>0</v>
      </c>
      <c r="O131" s="39">
        <f>資料儲存!H3343</f>
        <v>0</v>
      </c>
      <c r="P131" s="39">
        <f>資料儲存!I3343</f>
        <v>0</v>
      </c>
      <c r="Q131" s="39">
        <f>資料儲存!J3343</f>
        <v>0</v>
      </c>
      <c r="R131" s="58"/>
      <c r="S131" s="61">
        <v>42</v>
      </c>
      <c r="T131" s="39">
        <f>資料儲存!D3463</f>
        <v>0</v>
      </c>
      <c r="U131" s="39">
        <f>資料儲存!E3463</f>
        <v>0</v>
      </c>
      <c r="V131" s="39">
        <f>資料儲存!F3463</f>
        <v>0</v>
      </c>
      <c r="W131" s="39">
        <f>資料儲存!G3463</f>
        <v>0</v>
      </c>
      <c r="X131" s="39">
        <f>資料儲存!H3463</f>
        <v>0</v>
      </c>
      <c r="Y131" s="39">
        <f>資料儲存!I3463</f>
        <v>0</v>
      </c>
      <c r="Z131" s="39">
        <f>資料儲存!J3463</f>
        <v>0</v>
      </c>
      <c r="AA131" s="58"/>
      <c r="AB131" s="61">
        <v>42</v>
      </c>
      <c r="AC131" s="39">
        <f>資料儲存!D3583</f>
        <v>0</v>
      </c>
      <c r="AD131" s="39">
        <f>資料儲存!E3583</f>
        <v>0</v>
      </c>
      <c r="AE131" s="39">
        <f>資料儲存!F3583</f>
        <v>0</v>
      </c>
      <c r="AF131" s="39">
        <f>資料儲存!G3583</f>
        <v>0</v>
      </c>
      <c r="AG131" s="39">
        <f>資料儲存!H3583</f>
        <v>0</v>
      </c>
      <c r="AH131" s="39">
        <f>資料儲存!I3583</f>
        <v>0</v>
      </c>
      <c r="AI131" s="39">
        <f>資料儲存!J3583</f>
        <v>0</v>
      </c>
      <c r="AJ131" s="58"/>
    </row>
    <row r="132" spans="1:36" ht="16" thickBot="1">
      <c r="A132" s="61">
        <v>43</v>
      </c>
      <c r="B132" s="39">
        <f>資料儲存!D3224</f>
        <v>0</v>
      </c>
      <c r="C132" s="39">
        <f>資料儲存!E3224</f>
        <v>0</v>
      </c>
      <c r="D132" s="39">
        <f>資料儲存!F3224</f>
        <v>0</v>
      </c>
      <c r="E132" s="39">
        <f>資料儲存!G3224</f>
        <v>0</v>
      </c>
      <c r="F132" s="39">
        <f>資料儲存!H3224</f>
        <v>0</v>
      </c>
      <c r="G132" s="39">
        <f>資料儲存!I3224</f>
        <v>0</v>
      </c>
      <c r="H132" s="39">
        <f>資料儲存!J3224</f>
        <v>0</v>
      </c>
      <c r="I132" s="58"/>
      <c r="J132" s="61">
        <v>43</v>
      </c>
      <c r="K132" s="39">
        <f>資料儲存!D3344</f>
        <v>0</v>
      </c>
      <c r="L132" s="39">
        <f>資料儲存!E3344</f>
        <v>0</v>
      </c>
      <c r="M132" s="39">
        <f>資料儲存!F3344</f>
        <v>0</v>
      </c>
      <c r="N132" s="39">
        <f>資料儲存!G3344</f>
        <v>0</v>
      </c>
      <c r="O132" s="39">
        <f>資料儲存!H3344</f>
        <v>0</v>
      </c>
      <c r="P132" s="39">
        <f>資料儲存!I3344</f>
        <v>0</v>
      </c>
      <c r="Q132" s="39">
        <f>資料儲存!J3344</f>
        <v>0</v>
      </c>
      <c r="R132" s="58"/>
      <c r="S132" s="61">
        <v>43</v>
      </c>
      <c r="T132" s="39">
        <f>資料儲存!D3464</f>
        <v>0</v>
      </c>
      <c r="U132" s="39">
        <f>資料儲存!E3464</f>
        <v>0</v>
      </c>
      <c r="V132" s="39">
        <f>資料儲存!F3464</f>
        <v>0</v>
      </c>
      <c r="W132" s="39">
        <f>資料儲存!G3464</f>
        <v>0</v>
      </c>
      <c r="X132" s="39">
        <f>資料儲存!H3464</f>
        <v>0</v>
      </c>
      <c r="Y132" s="39">
        <f>資料儲存!I3464</f>
        <v>0</v>
      </c>
      <c r="Z132" s="39">
        <f>資料儲存!J3464</f>
        <v>0</v>
      </c>
      <c r="AA132" s="58"/>
      <c r="AB132" s="61">
        <v>43</v>
      </c>
      <c r="AC132" s="39">
        <f>資料儲存!D3584</f>
        <v>0</v>
      </c>
      <c r="AD132" s="39">
        <f>資料儲存!E3584</f>
        <v>0</v>
      </c>
      <c r="AE132" s="39">
        <f>資料儲存!F3584</f>
        <v>0</v>
      </c>
      <c r="AF132" s="39">
        <f>資料儲存!G3584</f>
        <v>0</v>
      </c>
      <c r="AG132" s="39">
        <f>資料儲存!H3584</f>
        <v>0</v>
      </c>
      <c r="AH132" s="39">
        <f>資料儲存!I3584</f>
        <v>0</v>
      </c>
      <c r="AI132" s="39">
        <f>資料儲存!J3584</f>
        <v>0</v>
      </c>
      <c r="AJ132" s="58"/>
    </row>
    <row r="133" spans="1:36" ht="16" thickBot="1">
      <c r="A133" s="61">
        <v>44</v>
      </c>
      <c r="B133" s="39">
        <f>資料儲存!D3225</f>
        <v>0</v>
      </c>
      <c r="C133" s="39">
        <f>資料儲存!E3225</f>
        <v>0</v>
      </c>
      <c r="D133" s="39">
        <f>資料儲存!F3225</f>
        <v>0</v>
      </c>
      <c r="E133" s="39">
        <f>資料儲存!G3225</f>
        <v>0</v>
      </c>
      <c r="F133" s="39">
        <f>資料儲存!H3225</f>
        <v>0</v>
      </c>
      <c r="G133" s="39">
        <f>資料儲存!I3225</f>
        <v>0</v>
      </c>
      <c r="H133" s="39">
        <f>資料儲存!J3225</f>
        <v>0</v>
      </c>
      <c r="I133" s="58"/>
      <c r="J133" s="61">
        <v>44</v>
      </c>
      <c r="K133" s="39">
        <f>資料儲存!D3345</f>
        <v>0</v>
      </c>
      <c r="L133" s="39">
        <f>資料儲存!E3345</f>
        <v>0</v>
      </c>
      <c r="M133" s="39">
        <f>資料儲存!F3345</f>
        <v>0</v>
      </c>
      <c r="N133" s="39">
        <f>資料儲存!G3345</f>
        <v>0</v>
      </c>
      <c r="O133" s="39">
        <f>資料儲存!H3345</f>
        <v>0</v>
      </c>
      <c r="P133" s="39">
        <f>資料儲存!I3345</f>
        <v>0</v>
      </c>
      <c r="Q133" s="39">
        <f>資料儲存!J3345</f>
        <v>0</v>
      </c>
      <c r="R133" s="58"/>
      <c r="S133" s="61">
        <v>44</v>
      </c>
      <c r="T133" s="39">
        <f>資料儲存!D3465</f>
        <v>0</v>
      </c>
      <c r="U133" s="39">
        <f>資料儲存!E3465</f>
        <v>0</v>
      </c>
      <c r="V133" s="39">
        <f>資料儲存!F3465</f>
        <v>0</v>
      </c>
      <c r="W133" s="39">
        <f>資料儲存!G3465</f>
        <v>0</v>
      </c>
      <c r="X133" s="39">
        <f>資料儲存!H3465</f>
        <v>0</v>
      </c>
      <c r="Y133" s="39">
        <f>資料儲存!I3465</f>
        <v>0</v>
      </c>
      <c r="Z133" s="39">
        <f>資料儲存!J3465</f>
        <v>0</v>
      </c>
      <c r="AA133" s="58"/>
      <c r="AB133" s="61">
        <v>44</v>
      </c>
      <c r="AC133" s="39">
        <f>資料儲存!D3585</f>
        <v>0</v>
      </c>
      <c r="AD133" s="39">
        <f>資料儲存!E3585</f>
        <v>0</v>
      </c>
      <c r="AE133" s="39">
        <f>資料儲存!F3585</f>
        <v>0</v>
      </c>
      <c r="AF133" s="39">
        <f>資料儲存!G3585</f>
        <v>0</v>
      </c>
      <c r="AG133" s="39">
        <f>資料儲存!H3585</f>
        <v>0</v>
      </c>
      <c r="AH133" s="39">
        <f>資料儲存!I3585</f>
        <v>0</v>
      </c>
      <c r="AI133" s="39">
        <f>資料儲存!J3585</f>
        <v>0</v>
      </c>
      <c r="AJ133" s="58"/>
    </row>
    <row r="134" spans="1:36" ht="16" thickBot="1">
      <c r="A134" s="61">
        <v>45</v>
      </c>
      <c r="B134" s="39">
        <f>資料儲存!D3226</f>
        <v>0</v>
      </c>
      <c r="C134" s="39">
        <f>資料儲存!E3226</f>
        <v>0</v>
      </c>
      <c r="D134" s="39">
        <f>資料儲存!F3226</f>
        <v>0</v>
      </c>
      <c r="E134" s="39">
        <f>資料儲存!G3226</f>
        <v>0</v>
      </c>
      <c r="F134" s="39">
        <f>資料儲存!H3226</f>
        <v>0</v>
      </c>
      <c r="G134" s="39">
        <f>資料儲存!I3226</f>
        <v>0</v>
      </c>
      <c r="H134" s="39">
        <f>資料儲存!J3226</f>
        <v>0</v>
      </c>
      <c r="I134" s="58"/>
      <c r="J134" s="61">
        <v>45</v>
      </c>
      <c r="K134" s="39">
        <f>資料儲存!D3346</f>
        <v>0</v>
      </c>
      <c r="L134" s="39">
        <f>資料儲存!E3346</f>
        <v>0</v>
      </c>
      <c r="M134" s="39">
        <f>資料儲存!F3346</f>
        <v>0</v>
      </c>
      <c r="N134" s="39">
        <f>資料儲存!G3346</f>
        <v>0</v>
      </c>
      <c r="O134" s="39">
        <f>資料儲存!H3346</f>
        <v>0</v>
      </c>
      <c r="P134" s="39">
        <f>資料儲存!I3346</f>
        <v>0</v>
      </c>
      <c r="Q134" s="39">
        <f>資料儲存!J3346</f>
        <v>0</v>
      </c>
      <c r="R134" s="58"/>
      <c r="S134" s="61">
        <v>45</v>
      </c>
      <c r="T134" s="39">
        <f>資料儲存!D3466</f>
        <v>0</v>
      </c>
      <c r="U134" s="39">
        <f>資料儲存!E3466</f>
        <v>0</v>
      </c>
      <c r="V134" s="39">
        <f>資料儲存!F3466</f>
        <v>0</v>
      </c>
      <c r="W134" s="39">
        <f>資料儲存!G3466</f>
        <v>0</v>
      </c>
      <c r="X134" s="39">
        <f>資料儲存!H3466</f>
        <v>0</v>
      </c>
      <c r="Y134" s="39">
        <f>資料儲存!I3466</f>
        <v>0</v>
      </c>
      <c r="Z134" s="39">
        <f>資料儲存!J3466</f>
        <v>0</v>
      </c>
      <c r="AA134" s="58"/>
      <c r="AB134" s="61">
        <v>45</v>
      </c>
      <c r="AC134" s="39">
        <f>資料儲存!D3586</f>
        <v>0</v>
      </c>
      <c r="AD134" s="39">
        <f>資料儲存!E3586</f>
        <v>0</v>
      </c>
      <c r="AE134" s="39">
        <f>資料儲存!F3586</f>
        <v>0</v>
      </c>
      <c r="AF134" s="39">
        <f>資料儲存!G3586</f>
        <v>0</v>
      </c>
      <c r="AG134" s="39">
        <f>資料儲存!H3586</f>
        <v>0</v>
      </c>
      <c r="AH134" s="39">
        <f>資料儲存!I3586</f>
        <v>0</v>
      </c>
      <c r="AI134" s="39">
        <f>資料儲存!J3586</f>
        <v>0</v>
      </c>
      <c r="AJ134" s="58"/>
    </row>
    <row r="135" spans="1:36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35"/>
    </row>
    <row r="136" spans="1:36" ht="18.5" thickBot="1">
      <c r="A136" s="259" t="s">
        <v>114</v>
      </c>
      <c r="B136" s="260"/>
      <c r="C136" s="260"/>
      <c r="D136" s="260"/>
      <c r="E136" s="260"/>
      <c r="F136" s="260"/>
      <c r="G136" s="260"/>
      <c r="H136" s="261"/>
      <c r="I136" s="14"/>
      <c r="J136" s="259" t="s">
        <v>114</v>
      </c>
      <c r="K136" s="260"/>
      <c r="L136" s="260"/>
      <c r="M136" s="260"/>
      <c r="N136" s="260"/>
      <c r="O136" s="260"/>
      <c r="P136" s="260"/>
      <c r="Q136" s="261"/>
      <c r="R136" s="14"/>
      <c r="S136" s="259" t="s">
        <v>114</v>
      </c>
      <c r="T136" s="260"/>
      <c r="U136" s="260"/>
      <c r="V136" s="260"/>
      <c r="W136" s="260"/>
      <c r="X136" s="260"/>
      <c r="Y136" s="260"/>
      <c r="Z136" s="261"/>
      <c r="AA136" s="14"/>
      <c r="AB136" s="259" t="s">
        <v>114</v>
      </c>
      <c r="AC136" s="260"/>
      <c r="AD136" s="260"/>
      <c r="AE136" s="260"/>
      <c r="AF136" s="260"/>
      <c r="AG136" s="260"/>
      <c r="AH136" s="260"/>
      <c r="AI136" s="261"/>
      <c r="AJ136" s="14"/>
    </row>
    <row r="137" spans="1:36" ht="17.25" customHeight="1" thickBot="1">
      <c r="A137" s="62" t="s">
        <v>2</v>
      </c>
      <c r="B137" s="63" t="s">
        <v>46</v>
      </c>
      <c r="C137" s="64"/>
      <c r="D137" s="64"/>
      <c r="E137" s="65"/>
      <c r="F137" s="63" t="s">
        <v>47</v>
      </c>
      <c r="G137" s="64"/>
      <c r="H137" s="65"/>
      <c r="I137" s="52"/>
      <c r="J137" s="62" t="s">
        <v>2</v>
      </c>
      <c r="K137" s="63" t="s">
        <v>46</v>
      </c>
      <c r="L137" s="64"/>
      <c r="M137" s="64"/>
      <c r="N137" s="65"/>
      <c r="O137" s="63" t="s">
        <v>47</v>
      </c>
      <c r="P137" s="64"/>
      <c r="Q137" s="65"/>
      <c r="R137" s="52"/>
      <c r="S137" s="62" t="s">
        <v>2</v>
      </c>
      <c r="T137" s="63" t="s">
        <v>46</v>
      </c>
      <c r="U137" s="64"/>
      <c r="V137" s="64"/>
      <c r="W137" s="65"/>
      <c r="X137" s="63" t="s">
        <v>47</v>
      </c>
      <c r="Y137" s="64"/>
      <c r="Z137" s="65"/>
      <c r="AA137" s="52"/>
      <c r="AB137" s="62" t="s">
        <v>2</v>
      </c>
      <c r="AC137" s="63" t="s">
        <v>46</v>
      </c>
      <c r="AD137" s="64"/>
      <c r="AE137" s="64"/>
      <c r="AF137" s="65"/>
      <c r="AG137" s="63" t="s">
        <v>47</v>
      </c>
      <c r="AH137" s="64"/>
      <c r="AI137" s="65"/>
      <c r="AJ137" s="52"/>
    </row>
    <row r="138" spans="1:36" ht="16" thickBot="1">
      <c r="A138" s="66">
        <v>0.73958333333333337</v>
      </c>
      <c r="B138" s="67" t="s">
        <v>49</v>
      </c>
      <c r="C138" s="67" t="s">
        <v>50</v>
      </c>
      <c r="D138" s="67" t="s">
        <v>51</v>
      </c>
      <c r="E138" s="67" t="s">
        <v>52</v>
      </c>
      <c r="F138" s="67" t="s">
        <v>53</v>
      </c>
      <c r="G138" s="67" t="s">
        <v>54</v>
      </c>
      <c r="H138" s="67" t="s">
        <v>55</v>
      </c>
      <c r="I138" s="52"/>
      <c r="J138" s="66">
        <v>0.73958333333333337</v>
      </c>
      <c r="K138" s="67" t="s">
        <v>49</v>
      </c>
      <c r="L138" s="67" t="s">
        <v>50</v>
      </c>
      <c r="M138" s="67" t="s">
        <v>51</v>
      </c>
      <c r="N138" s="67" t="s">
        <v>52</v>
      </c>
      <c r="O138" s="67" t="s">
        <v>53</v>
      </c>
      <c r="P138" s="67" t="s">
        <v>54</v>
      </c>
      <c r="Q138" s="67" t="s">
        <v>55</v>
      </c>
      <c r="R138" s="52"/>
      <c r="S138" s="66">
        <v>0.73958333333333337</v>
      </c>
      <c r="T138" s="67" t="s">
        <v>49</v>
      </c>
      <c r="U138" s="67" t="s">
        <v>50</v>
      </c>
      <c r="V138" s="67" t="s">
        <v>51</v>
      </c>
      <c r="W138" s="67" t="s">
        <v>52</v>
      </c>
      <c r="X138" s="67" t="s">
        <v>53</v>
      </c>
      <c r="Y138" s="67" t="s">
        <v>54</v>
      </c>
      <c r="Z138" s="67" t="s">
        <v>55</v>
      </c>
      <c r="AA138" s="52"/>
      <c r="AB138" s="66">
        <v>0.73958333333333337</v>
      </c>
      <c r="AC138" s="67" t="s">
        <v>49</v>
      </c>
      <c r="AD138" s="67" t="s">
        <v>50</v>
      </c>
      <c r="AE138" s="67" t="s">
        <v>51</v>
      </c>
      <c r="AF138" s="67" t="s">
        <v>52</v>
      </c>
      <c r="AG138" s="67" t="s">
        <v>53</v>
      </c>
      <c r="AH138" s="67" t="s">
        <v>54</v>
      </c>
      <c r="AI138" s="67" t="s">
        <v>55</v>
      </c>
      <c r="AJ138" s="52"/>
    </row>
    <row r="139" spans="1:36" ht="16" thickBot="1">
      <c r="A139" s="68">
        <v>46</v>
      </c>
      <c r="B139" s="49">
        <f>資料儲存!D3227</f>
        <v>0</v>
      </c>
      <c r="C139" s="49">
        <f>資料儲存!E3227</f>
        <v>0</v>
      </c>
      <c r="D139" s="49">
        <f>資料儲存!F3227</f>
        <v>0</v>
      </c>
      <c r="E139" s="49">
        <f>資料儲存!G3227</f>
        <v>0</v>
      </c>
      <c r="F139" s="49">
        <f>資料儲存!H3227</f>
        <v>0</v>
      </c>
      <c r="G139" s="49">
        <f>資料儲存!I3227</f>
        <v>0</v>
      </c>
      <c r="H139" s="49">
        <f>資料儲存!J3227</f>
        <v>0</v>
      </c>
      <c r="I139" s="52"/>
      <c r="J139" s="68">
        <v>46</v>
      </c>
      <c r="K139" s="49">
        <f>資料儲存!D3347</f>
        <v>0</v>
      </c>
      <c r="L139" s="49">
        <f>資料儲存!E3347</f>
        <v>0</v>
      </c>
      <c r="M139" s="49">
        <f>資料儲存!F3347</f>
        <v>0</v>
      </c>
      <c r="N139" s="49">
        <f>資料儲存!G3347</f>
        <v>0</v>
      </c>
      <c r="O139" s="49">
        <f>資料儲存!H3347</f>
        <v>0</v>
      </c>
      <c r="P139" s="49">
        <f>資料儲存!I3347</f>
        <v>0</v>
      </c>
      <c r="Q139" s="49">
        <f>資料儲存!J3347</f>
        <v>0</v>
      </c>
      <c r="R139" s="52"/>
      <c r="S139" s="68">
        <v>46</v>
      </c>
      <c r="T139" s="49">
        <f>資料儲存!D3467</f>
        <v>0</v>
      </c>
      <c r="U139" s="49">
        <f>資料儲存!E3467</f>
        <v>0</v>
      </c>
      <c r="V139" s="49">
        <f>資料儲存!F3467</f>
        <v>0</v>
      </c>
      <c r="W139" s="49">
        <f>資料儲存!G3467</f>
        <v>0</v>
      </c>
      <c r="X139" s="49">
        <f>資料儲存!H3467</f>
        <v>0</v>
      </c>
      <c r="Y139" s="49">
        <f>資料儲存!I3467</f>
        <v>0</v>
      </c>
      <c r="Z139" s="49">
        <f>資料儲存!J3467</f>
        <v>0</v>
      </c>
      <c r="AA139" s="52"/>
      <c r="AB139" s="68">
        <v>46</v>
      </c>
      <c r="AC139" s="49">
        <f>資料儲存!D3587</f>
        <v>0</v>
      </c>
      <c r="AD139" s="49">
        <f>資料儲存!E3587</f>
        <v>0</v>
      </c>
      <c r="AE139" s="49">
        <f>資料儲存!F3587</f>
        <v>0</v>
      </c>
      <c r="AF139" s="49">
        <f>資料儲存!G3587</f>
        <v>0</v>
      </c>
      <c r="AG139" s="49">
        <f>資料儲存!H3587</f>
        <v>0</v>
      </c>
      <c r="AH139" s="49">
        <f>資料儲存!I3587</f>
        <v>0</v>
      </c>
      <c r="AI139" s="49">
        <f>資料儲存!J3587</f>
        <v>0</v>
      </c>
      <c r="AJ139" s="52"/>
    </row>
    <row r="140" spans="1:36" ht="16" thickBot="1">
      <c r="A140" s="68">
        <v>47</v>
      </c>
      <c r="B140" s="49">
        <f>資料儲存!D3228</f>
        <v>0</v>
      </c>
      <c r="C140" s="49">
        <f>資料儲存!E3228</f>
        <v>0</v>
      </c>
      <c r="D140" s="49">
        <f>資料儲存!F3228</f>
        <v>0</v>
      </c>
      <c r="E140" s="49">
        <f>資料儲存!G3228</f>
        <v>0</v>
      </c>
      <c r="F140" s="49">
        <f>資料儲存!H3228</f>
        <v>0</v>
      </c>
      <c r="G140" s="49">
        <f>資料儲存!I3228</f>
        <v>0</v>
      </c>
      <c r="H140" s="49">
        <f>資料儲存!J3228</f>
        <v>0</v>
      </c>
      <c r="I140" s="52"/>
      <c r="J140" s="68">
        <v>47</v>
      </c>
      <c r="K140" s="49">
        <f>資料儲存!D3348</f>
        <v>0</v>
      </c>
      <c r="L140" s="49">
        <f>資料儲存!E3348</f>
        <v>0</v>
      </c>
      <c r="M140" s="49">
        <f>資料儲存!F3348</f>
        <v>0</v>
      </c>
      <c r="N140" s="49">
        <f>資料儲存!G3348</f>
        <v>0</v>
      </c>
      <c r="O140" s="49">
        <f>資料儲存!H3348</f>
        <v>0</v>
      </c>
      <c r="P140" s="49">
        <f>資料儲存!I3348</f>
        <v>0</v>
      </c>
      <c r="Q140" s="49">
        <f>資料儲存!J3348</f>
        <v>0</v>
      </c>
      <c r="R140" s="52"/>
      <c r="S140" s="68">
        <v>47</v>
      </c>
      <c r="T140" s="49">
        <f>資料儲存!D3468</f>
        <v>0</v>
      </c>
      <c r="U140" s="49">
        <f>資料儲存!E3468</f>
        <v>0</v>
      </c>
      <c r="V140" s="49">
        <f>資料儲存!F3468</f>
        <v>0</v>
      </c>
      <c r="W140" s="49">
        <f>資料儲存!G3468</f>
        <v>0</v>
      </c>
      <c r="X140" s="49">
        <f>資料儲存!H3468</f>
        <v>0</v>
      </c>
      <c r="Y140" s="49">
        <f>資料儲存!I3468</f>
        <v>0</v>
      </c>
      <c r="Z140" s="49">
        <f>資料儲存!J3468</f>
        <v>0</v>
      </c>
      <c r="AA140" s="52"/>
      <c r="AB140" s="68">
        <v>47</v>
      </c>
      <c r="AC140" s="49">
        <f>資料儲存!D3588</f>
        <v>0</v>
      </c>
      <c r="AD140" s="49">
        <f>資料儲存!E3588</f>
        <v>0</v>
      </c>
      <c r="AE140" s="49">
        <f>資料儲存!F3588</f>
        <v>0</v>
      </c>
      <c r="AF140" s="49">
        <f>資料儲存!G3588</f>
        <v>0</v>
      </c>
      <c r="AG140" s="49">
        <f>資料儲存!H3588</f>
        <v>0</v>
      </c>
      <c r="AH140" s="49">
        <f>資料儲存!I3588</f>
        <v>0</v>
      </c>
      <c r="AI140" s="49">
        <f>資料儲存!J3588</f>
        <v>0</v>
      </c>
      <c r="AJ140" s="52"/>
    </row>
    <row r="141" spans="1:36" ht="16" thickBot="1">
      <c r="A141" s="68">
        <v>48</v>
      </c>
      <c r="B141" s="49">
        <f>資料儲存!D3229</f>
        <v>0</v>
      </c>
      <c r="C141" s="49">
        <f>資料儲存!E3229</f>
        <v>0</v>
      </c>
      <c r="D141" s="49">
        <f>資料儲存!F3229</f>
        <v>0</v>
      </c>
      <c r="E141" s="49">
        <f>資料儲存!G3229</f>
        <v>0</v>
      </c>
      <c r="F141" s="49">
        <f>資料儲存!H3229</f>
        <v>0</v>
      </c>
      <c r="G141" s="49">
        <f>資料儲存!I3229</f>
        <v>0</v>
      </c>
      <c r="H141" s="49">
        <f>資料儲存!J3229</f>
        <v>0</v>
      </c>
      <c r="I141" s="52"/>
      <c r="J141" s="68">
        <v>48</v>
      </c>
      <c r="K141" s="49">
        <f>資料儲存!D3349</f>
        <v>0</v>
      </c>
      <c r="L141" s="49">
        <f>資料儲存!E3349</f>
        <v>0</v>
      </c>
      <c r="M141" s="49">
        <f>資料儲存!F3349</f>
        <v>0</v>
      </c>
      <c r="N141" s="49">
        <f>資料儲存!G3349</f>
        <v>0</v>
      </c>
      <c r="O141" s="49">
        <f>資料儲存!H3349</f>
        <v>0</v>
      </c>
      <c r="P141" s="49">
        <f>資料儲存!I3349</f>
        <v>0</v>
      </c>
      <c r="Q141" s="49">
        <f>資料儲存!J3349</f>
        <v>0</v>
      </c>
      <c r="R141" s="52"/>
      <c r="S141" s="68">
        <v>48</v>
      </c>
      <c r="T141" s="49">
        <f>資料儲存!D3469</f>
        <v>0</v>
      </c>
      <c r="U141" s="49">
        <f>資料儲存!E3469</f>
        <v>0</v>
      </c>
      <c r="V141" s="49">
        <f>資料儲存!F3469</f>
        <v>0</v>
      </c>
      <c r="W141" s="49">
        <f>資料儲存!G3469</f>
        <v>0</v>
      </c>
      <c r="X141" s="49">
        <f>資料儲存!H3469</f>
        <v>0</v>
      </c>
      <c r="Y141" s="49">
        <f>資料儲存!I3469</f>
        <v>0</v>
      </c>
      <c r="Z141" s="49">
        <f>資料儲存!J3469</f>
        <v>0</v>
      </c>
      <c r="AA141" s="52"/>
      <c r="AB141" s="68">
        <v>48</v>
      </c>
      <c r="AC141" s="49">
        <f>資料儲存!D3589</f>
        <v>0</v>
      </c>
      <c r="AD141" s="49">
        <f>資料儲存!E3589</f>
        <v>0</v>
      </c>
      <c r="AE141" s="49">
        <f>資料儲存!F3589</f>
        <v>0</v>
      </c>
      <c r="AF141" s="49">
        <f>資料儲存!G3589</f>
        <v>0</v>
      </c>
      <c r="AG141" s="49">
        <f>資料儲存!H3589</f>
        <v>0</v>
      </c>
      <c r="AH141" s="49">
        <f>資料儲存!I3589</f>
        <v>0</v>
      </c>
      <c r="AI141" s="49">
        <f>資料儲存!J3589</f>
        <v>0</v>
      </c>
      <c r="AJ141" s="52"/>
    </row>
    <row r="142" spans="1:36" ht="16" thickBot="1">
      <c r="A142" s="68">
        <v>49</v>
      </c>
      <c r="B142" s="49">
        <f>資料儲存!D3230</f>
        <v>0</v>
      </c>
      <c r="C142" s="49">
        <f>資料儲存!E3230</f>
        <v>0</v>
      </c>
      <c r="D142" s="49">
        <f>資料儲存!F3230</f>
        <v>0</v>
      </c>
      <c r="E142" s="49">
        <f>資料儲存!G3230</f>
        <v>0</v>
      </c>
      <c r="F142" s="49">
        <f>資料儲存!H3230</f>
        <v>0</v>
      </c>
      <c r="G142" s="49">
        <f>資料儲存!I3230</f>
        <v>0</v>
      </c>
      <c r="H142" s="49">
        <f>資料儲存!J3230</f>
        <v>0</v>
      </c>
      <c r="I142" s="52"/>
      <c r="J142" s="68">
        <v>49</v>
      </c>
      <c r="K142" s="49">
        <f>資料儲存!D3350</f>
        <v>0</v>
      </c>
      <c r="L142" s="49">
        <f>資料儲存!E3350</f>
        <v>0</v>
      </c>
      <c r="M142" s="49">
        <f>資料儲存!F3350</f>
        <v>0</v>
      </c>
      <c r="N142" s="49">
        <f>資料儲存!G3350</f>
        <v>0</v>
      </c>
      <c r="O142" s="49">
        <f>資料儲存!H3350</f>
        <v>0</v>
      </c>
      <c r="P142" s="49">
        <f>資料儲存!I3350</f>
        <v>0</v>
      </c>
      <c r="Q142" s="49">
        <f>資料儲存!J3350</f>
        <v>0</v>
      </c>
      <c r="R142" s="52"/>
      <c r="S142" s="68">
        <v>49</v>
      </c>
      <c r="T142" s="49">
        <f>資料儲存!D3470</f>
        <v>0</v>
      </c>
      <c r="U142" s="49">
        <f>資料儲存!E3470</f>
        <v>0</v>
      </c>
      <c r="V142" s="49">
        <f>資料儲存!F3470</f>
        <v>0</v>
      </c>
      <c r="W142" s="49">
        <f>資料儲存!G3470</f>
        <v>0</v>
      </c>
      <c r="X142" s="49">
        <f>資料儲存!H3470</f>
        <v>0</v>
      </c>
      <c r="Y142" s="49">
        <f>資料儲存!I3470</f>
        <v>0</v>
      </c>
      <c r="Z142" s="49">
        <f>資料儲存!J3470</f>
        <v>0</v>
      </c>
      <c r="AA142" s="52"/>
      <c r="AB142" s="68">
        <v>49</v>
      </c>
      <c r="AC142" s="49">
        <f>資料儲存!D3590</f>
        <v>0</v>
      </c>
      <c r="AD142" s="49">
        <f>資料儲存!E3590</f>
        <v>0</v>
      </c>
      <c r="AE142" s="49">
        <f>資料儲存!F3590</f>
        <v>0</v>
      </c>
      <c r="AF142" s="49">
        <f>資料儲存!G3590</f>
        <v>0</v>
      </c>
      <c r="AG142" s="49">
        <f>資料儲存!H3590</f>
        <v>0</v>
      </c>
      <c r="AH142" s="49">
        <f>資料儲存!I3590</f>
        <v>0</v>
      </c>
      <c r="AI142" s="49">
        <f>資料儲存!J3590</f>
        <v>0</v>
      </c>
      <c r="AJ142" s="52"/>
    </row>
    <row r="143" spans="1:36" ht="16" thickBot="1">
      <c r="A143" s="68">
        <v>50</v>
      </c>
      <c r="B143" s="49">
        <f>資料儲存!D3231</f>
        <v>0</v>
      </c>
      <c r="C143" s="49">
        <f>資料儲存!E3231</f>
        <v>0</v>
      </c>
      <c r="D143" s="49">
        <f>資料儲存!F3231</f>
        <v>0</v>
      </c>
      <c r="E143" s="49">
        <f>資料儲存!G3231</f>
        <v>0</v>
      </c>
      <c r="F143" s="49">
        <f>資料儲存!H3231</f>
        <v>0</v>
      </c>
      <c r="G143" s="49">
        <f>資料儲存!I3231</f>
        <v>0</v>
      </c>
      <c r="H143" s="49">
        <f>資料儲存!J3231</f>
        <v>0</v>
      </c>
      <c r="I143" s="52"/>
      <c r="J143" s="68">
        <v>50</v>
      </c>
      <c r="K143" s="49">
        <f>資料儲存!D3351</f>
        <v>0</v>
      </c>
      <c r="L143" s="49">
        <f>資料儲存!E3351</f>
        <v>0</v>
      </c>
      <c r="M143" s="49">
        <f>資料儲存!F3351</f>
        <v>0</v>
      </c>
      <c r="N143" s="49">
        <f>資料儲存!G3351</f>
        <v>0</v>
      </c>
      <c r="O143" s="49">
        <f>資料儲存!H3351</f>
        <v>0</v>
      </c>
      <c r="P143" s="49">
        <f>資料儲存!I3351</f>
        <v>0</v>
      </c>
      <c r="Q143" s="49">
        <f>資料儲存!J3351</f>
        <v>0</v>
      </c>
      <c r="R143" s="52"/>
      <c r="S143" s="68">
        <v>50</v>
      </c>
      <c r="T143" s="49">
        <f>資料儲存!D3471</f>
        <v>0</v>
      </c>
      <c r="U143" s="49">
        <f>資料儲存!E3471</f>
        <v>0</v>
      </c>
      <c r="V143" s="49">
        <f>資料儲存!F3471</f>
        <v>0</v>
      </c>
      <c r="W143" s="49">
        <f>資料儲存!G3471</f>
        <v>0</v>
      </c>
      <c r="X143" s="49">
        <f>資料儲存!H3471</f>
        <v>0</v>
      </c>
      <c r="Y143" s="49">
        <f>資料儲存!I3471</f>
        <v>0</v>
      </c>
      <c r="Z143" s="49">
        <f>資料儲存!J3471</f>
        <v>0</v>
      </c>
      <c r="AA143" s="52"/>
      <c r="AB143" s="68">
        <v>50</v>
      </c>
      <c r="AC143" s="49">
        <f>資料儲存!D3591</f>
        <v>0</v>
      </c>
      <c r="AD143" s="49">
        <f>資料儲存!E3591</f>
        <v>0</v>
      </c>
      <c r="AE143" s="49">
        <f>資料儲存!F3591</f>
        <v>0</v>
      </c>
      <c r="AF143" s="49">
        <f>資料儲存!G3591</f>
        <v>0</v>
      </c>
      <c r="AG143" s="49">
        <f>資料儲存!H3591</f>
        <v>0</v>
      </c>
      <c r="AH143" s="49">
        <f>資料儲存!I3591</f>
        <v>0</v>
      </c>
      <c r="AI143" s="49">
        <f>資料儲存!J3591</f>
        <v>0</v>
      </c>
      <c r="AJ143" s="52"/>
    </row>
    <row r="144" spans="1:36" ht="16" thickBot="1">
      <c r="A144" s="68">
        <v>51</v>
      </c>
      <c r="B144" s="49">
        <f>資料儲存!D3232</f>
        <v>0</v>
      </c>
      <c r="C144" s="49">
        <f>資料儲存!E3232</f>
        <v>0</v>
      </c>
      <c r="D144" s="49">
        <f>資料儲存!F3232</f>
        <v>0</v>
      </c>
      <c r="E144" s="49">
        <f>資料儲存!G3232</f>
        <v>0</v>
      </c>
      <c r="F144" s="49">
        <f>資料儲存!H3232</f>
        <v>0</v>
      </c>
      <c r="G144" s="49">
        <f>資料儲存!I3232</f>
        <v>0</v>
      </c>
      <c r="H144" s="49">
        <f>資料儲存!J3232</f>
        <v>0</v>
      </c>
      <c r="I144" s="52"/>
      <c r="J144" s="68">
        <v>51</v>
      </c>
      <c r="K144" s="49">
        <f>資料儲存!D3352</f>
        <v>0</v>
      </c>
      <c r="L144" s="49">
        <f>資料儲存!E3352</f>
        <v>0</v>
      </c>
      <c r="M144" s="49">
        <f>資料儲存!F3352</f>
        <v>0</v>
      </c>
      <c r="N144" s="49">
        <f>資料儲存!G3352</f>
        <v>0</v>
      </c>
      <c r="O144" s="49">
        <f>資料儲存!H3352</f>
        <v>0</v>
      </c>
      <c r="P144" s="49">
        <f>資料儲存!I3352</f>
        <v>0</v>
      </c>
      <c r="Q144" s="49">
        <f>資料儲存!J3352</f>
        <v>0</v>
      </c>
      <c r="R144" s="52"/>
      <c r="S144" s="68">
        <v>51</v>
      </c>
      <c r="T144" s="49">
        <f>資料儲存!D3472</f>
        <v>0</v>
      </c>
      <c r="U144" s="49">
        <f>資料儲存!E3472</f>
        <v>0</v>
      </c>
      <c r="V144" s="49">
        <f>資料儲存!F3472</f>
        <v>0</v>
      </c>
      <c r="W144" s="49">
        <f>資料儲存!G3472</f>
        <v>0</v>
      </c>
      <c r="X144" s="49">
        <f>資料儲存!H3472</f>
        <v>0</v>
      </c>
      <c r="Y144" s="49">
        <f>資料儲存!I3472</f>
        <v>0</v>
      </c>
      <c r="Z144" s="49">
        <f>資料儲存!J3472</f>
        <v>0</v>
      </c>
      <c r="AA144" s="52"/>
      <c r="AB144" s="68">
        <v>51</v>
      </c>
      <c r="AC144" s="49">
        <f>資料儲存!D3592</f>
        <v>0</v>
      </c>
      <c r="AD144" s="49">
        <f>資料儲存!E3592</f>
        <v>0</v>
      </c>
      <c r="AE144" s="49">
        <f>資料儲存!F3592</f>
        <v>0</v>
      </c>
      <c r="AF144" s="49">
        <f>資料儲存!G3592</f>
        <v>0</v>
      </c>
      <c r="AG144" s="49">
        <f>資料儲存!H3592</f>
        <v>0</v>
      </c>
      <c r="AH144" s="49">
        <f>資料儲存!I3592</f>
        <v>0</v>
      </c>
      <c r="AI144" s="49">
        <f>資料儲存!J3592</f>
        <v>0</v>
      </c>
      <c r="AJ144" s="52"/>
    </row>
    <row r="145" spans="1:36" ht="16" thickBot="1">
      <c r="A145" s="68">
        <v>52</v>
      </c>
      <c r="B145" s="49">
        <f>資料儲存!D3233</f>
        <v>0</v>
      </c>
      <c r="C145" s="49">
        <f>資料儲存!E3233</f>
        <v>0</v>
      </c>
      <c r="D145" s="49">
        <f>資料儲存!F3233</f>
        <v>0</v>
      </c>
      <c r="E145" s="49">
        <f>資料儲存!G3233</f>
        <v>0</v>
      </c>
      <c r="F145" s="49">
        <f>資料儲存!H3233</f>
        <v>0</v>
      </c>
      <c r="G145" s="49">
        <f>資料儲存!I3233</f>
        <v>0</v>
      </c>
      <c r="H145" s="49">
        <f>資料儲存!J3233</f>
        <v>0</v>
      </c>
      <c r="I145" s="52"/>
      <c r="J145" s="68">
        <v>52</v>
      </c>
      <c r="K145" s="49">
        <f>資料儲存!D3353</f>
        <v>0</v>
      </c>
      <c r="L145" s="49">
        <f>資料儲存!E3353</f>
        <v>0</v>
      </c>
      <c r="M145" s="49">
        <f>資料儲存!F3353</f>
        <v>0</v>
      </c>
      <c r="N145" s="49">
        <f>資料儲存!G3353</f>
        <v>0</v>
      </c>
      <c r="O145" s="49">
        <f>資料儲存!H3353</f>
        <v>0</v>
      </c>
      <c r="P145" s="49">
        <f>資料儲存!I3353</f>
        <v>0</v>
      </c>
      <c r="Q145" s="49">
        <f>資料儲存!J3353</f>
        <v>0</v>
      </c>
      <c r="R145" s="52"/>
      <c r="S145" s="68">
        <v>52</v>
      </c>
      <c r="T145" s="49">
        <f>資料儲存!D3473</f>
        <v>0</v>
      </c>
      <c r="U145" s="49">
        <f>資料儲存!E3473</f>
        <v>0</v>
      </c>
      <c r="V145" s="49">
        <f>資料儲存!F3473</f>
        <v>0</v>
      </c>
      <c r="W145" s="49">
        <f>資料儲存!G3473</f>
        <v>0</v>
      </c>
      <c r="X145" s="49">
        <f>資料儲存!H3473</f>
        <v>0</v>
      </c>
      <c r="Y145" s="49">
        <f>資料儲存!I3473</f>
        <v>0</v>
      </c>
      <c r="Z145" s="49">
        <f>資料儲存!J3473</f>
        <v>0</v>
      </c>
      <c r="AA145" s="52"/>
      <c r="AB145" s="68">
        <v>52</v>
      </c>
      <c r="AC145" s="49">
        <f>資料儲存!D3593</f>
        <v>0</v>
      </c>
      <c r="AD145" s="49">
        <f>資料儲存!E3593</f>
        <v>0</v>
      </c>
      <c r="AE145" s="49">
        <f>資料儲存!F3593</f>
        <v>0</v>
      </c>
      <c r="AF145" s="49">
        <f>資料儲存!G3593</f>
        <v>0</v>
      </c>
      <c r="AG145" s="49">
        <f>資料儲存!H3593</f>
        <v>0</v>
      </c>
      <c r="AH145" s="49">
        <f>資料儲存!I3593</f>
        <v>0</v>
      </c>
      <c r="AI145" s="49">
        <f>資料儲存!J3593</f>
        <v>0</v>
      </c>
      <c r="AJ145" s="52"/>
    </row>
    <row r="146" spans="1:36" ht="16" thickBot="1">
      <c r="A146" s="68">
        <v>53</v>
      </c>
      <c r="B146" s="49">
        <f>資料儲存!D3234</f>
        <v>0</v>
      </c>
      <c r="C146" s="49">
        <f>資料儲存!E3234</f>
        <v>0</v>
      </c>
      <c r="D146" s="49">
        <f>資料儲存!F3234</f>
        <v>0</v>
      </c>
      <c r="E146" s="49">
        <f>資料儲存!G3234</f>
        <v>0</v>
      </c>
      <c r="F146" s="49">
        <f>資料儲存!H3234</f>
        <v>0</v>
      </c>
      <c r="G146" s="49">
        <f>資料儲存!I3234</f>
        <v>0</v>
      </c>
      <c r="H146" s="49">
        <f>資料儲存!J3234</f>
        <v>0</v>
      </c>
      <c r="I146" s="52"/>
      <c r="J146" s="68">
        <v>53</v>
      </c>
      <c r="K146" s="49">
        <f>資料儲存!D3354</f>
        <v>0</v>
      </c>
      <c r="L146" s="49">
        <f>資料儲存!E3354</f>
        <v>0</v>
      </c>
      <c r="M146" s="49">
        <f>資料儲存!F3354</f>
        <v>0</v>
      </c>
      <c r="N146" s="49">
        <f>資料儲存!G3354</f>
        <v>0</v>
      </c>
      <c r="O146" s="49">
        <f>資料儲存!H3354</f>
        <v>0</v>
      </c>
      <c r="P146" s="49">
        <f>資料儲存!I3354</f>
        <v>0</v>
      </c>
      <c r="Q146" s="49">
        <f>資料儲存!J3354</f>
        <v>0</v>
      </c>
      <c r="R146" s="52"/>
      <c r="S146" s="68">
        <v>53</v>
      </c>
      <c r="T146" s="49">
        <f>資料儲存!D3474</f>
        <v>0</v>
      </c>
      <c r="U146" s="49">
        <f>資料儲存!E3474</f>
        <v>0</v>
      </c>
      <c r="V146" s="49">
        <f>資料儲存!F3474</f>
        <v>0</v>
      </c>
      <c r="W146" s="49">
        <f>資料儲存!G3474</f>
        <v>0</v>
      </c>
      <c r="X146" s="49">
        <f>資料儲存!H3474</f>
        <v>0</v>
      </c>
      <c r="Y146" s="49">
        <f>資料儲存!I3474</f>
        <v>0</v>
      </c>
      <c r="Z146" s="49">
        <f>資料儲存!J3474</f>
        <v>0</v>
      </c>
      <c r="AA146" s="52"/>
      <c r="AB146" s="68">
        <v>53</v>
      </c>
      <c r="AC146" s="49">
        <f>資料儲存!D3594</f>
        <v>0</v>
      </c>
      <c r="AD146" s="49">
        <f>資料儲存!E3594</f>
        <v>0</v>
      </c>
      <c r="AE146" s="49">
        <f>資料儲存!F3594</f>
        <v>0</v>
      </c>
      <c r="AF146" s="49">
        <f>資料儲存!G3594</f>
        <v>0</v>
      </c>
      <c r="AG146" s="49">
        <f>資料儲存!H3594</f>
        <v>0</v>
      </c>
      <c r="AH146" s="49">
        <f>資料儲存!I3594</f>
        <v>0</v>
      </c>
      <c r="AI146" s="49">
        <f>資料儲存!J3594</f>
        <v>0</v>
      </c>
      <c r="AJ146" s="52"/>
    </row>
    <row r="147" spans="1:36" ht="16" thickBot="1">
      <c r="A147" s="68">
        <v>54</v>
      </c>
      <c r="B147" s="49">
        <f>資料儲存!D3235</f>
        <v>0</v>
      </c>
      <c r="C147" s="49">
        <f>資料儲存!E3235</f>
        <v>0</v>
      </c>
      <c r="D147" s="49">
        <f>資料儲存!F3235</f>
        <v>0</v>
      </c>
      <c r="E147" s="49">
        <f>資料儲存!G3235</f>
        <v>0</v>
      </c>
      <c r="F147" s="49">
        <f>資料儲存!H3235</f>
        <v>0</v>
      </c>
      <c r="G147" s="49">
        <f>資料儲存!I3235</f>
        <v>0</v>
      </c>
      <c r="H147" s="49">
        <f>資料儲存!J3235</f>
        <v>0</v>
      </c>
      <c r="I147" s="52"/>
      <c r="J147" s="68">
        <v>54</v>
      </c>
      <c r="K147" s="49">
        <f>資料儲存!D3355</f>
        <v>0</v>
      </c>
      <c r="L147" s="49">
        <f>資料儲存!E3355</f>
        <v>0</v>
      </c>
      <c r="M147" s="49">
        <f>資料儲存!F3355</f>
        <v>0</v>
      </c>
      <c r="N147" s="49">
        <f>資料儲存!G3355</f>
        <v>0</v>
      </c>
      <c r="O147" s="49">
        <f>資料儲存!H3355</f>
        <v>0</v>
      </c>
      <c r="P147" s="49">
        <f>資料儲存!I3355</f>
        <v>0</v>
      </c>
      <c r="Q147" s="49">
        <f>資料儲存!J3355</f>
        <v>0</v>
      </c>
      <c r="R147" s="52"/>
      <c r="S147" s="68">
        <v>54</v>
      </c>
      <c r="T147" s="49">
        <f>資料儲存!D3475</f>
        <v>0</v>
      </c>
      <c r="U147" s="49">
        <f>資料儲存!E3475</f>
        <v>0</v>
      </c>
      <c r="V147" s="49">
        <f>資料儲存!F3475</f>
        <v>0</v>
      </c>
      <c r="W147" s="49">
        <f>資料儲存!G3475</f>
        <v>0</v>
      </c>
      <c r="X147" s="49">
        <f>資料儲存!H3475</f>
        <v>0</v>
      </c>
      <c r="Y147" s="49">
        <f>資料儲存!I3475</f>
        <v>0</v>
      </c>
      <c r="Z147" s="49">
        <f>資料儲存!J3475</f>
        <v>0</v>
      </c>
      <c r="AA147" s="52"/>
      <c r="AB147" s="68">
        <v>54</v>
      </c>
      <c r="AC147" s="49">
        <f>資料儲存!D3595</f>
        <v>0</v>
      </c>
      <c r="AD147" s="49">
        <f>資料儲存!E3595</f>
        <v>0</v>
      </c>
      <c r="AE147" s="49">
        <f>資料儲存!F3595</f>
        <v>0</v>
      </c>
      <c r="AF147" s="49">
        <f>資料儲存!G3595</f>
        <v>0</v>
      </c>
      <c r="AG147" s="49">
        <f>資料儲存!H3595</f>
        <v>0</v>
      </c>
      <c r="AH147" s="49">
        <f>資料儲存!I3595</f>
        <v>0</v>
      </c>
      <c r="AI147" s="49">
        <f>資料儲存!J3595</f>
        <v>0</v>
      </c>
      <c r="AJ147" s="52"/>
    </row>
    <row r="148" spans="1:36" ht="16" thickBot="1">
      <c r="A148" s="68">
        <v>55</v>
      </c>
      <c r="B148" s="49">
        <f>資料儲存!D3236</f>
        <v>0</v>
      </c>
      <c r="C148" s="49">
        <f>資料儲存!E3236</f>
        <v>0</v>
      </c>
      <c r="D148" s="49">
        <f>資料儲存!F3236</f>
        <v>0</v>
      </c>
      <c r="E148" s="49">
        <f>資料儲存!G3236</f>
        <v>0</v>
      </c>
      <c r="F148" s="49">
        <f>資料儲存!H3236</f>
        <v>0</v>
      </c>
      <c r="G148" s="49">
        <f>資料儲存!I3236</f>
        <v>0</v>
      </c>
      <c r="H148" s="49">
        <f>資料儲存!J3236</f>
        <v>0</v>
      </c>
      <c r="I148" s="52"/>
      <c r="J148" s="68">
        <v>55</v>
      </c>
      <c r="K148" s="49">
        <f>資料儲存!D3356</f>
        <v>0</v>
      </c>
      <c r="L148" s="49">
        <f>資料儲存!E3356</f>
        <v>0</v>
      </c>
      <c r="M148" s="49">
        <f>資料儲存!F3356</f>
        <v>0</v>
      </c>
      <c r="N148" s="49">
        <f>資料儲存!G3356</f>
        <v>0</v>
      </c>
      <c r="O148" s="49">
        <f>資料儲存!H3356</f>
        <v>0</v>
      </c>
      <c r="P148" s="49">
        <f>資料儲存!I3356</f>
        <v>0</v>
      </c>
      <c r="Q148" s="49">
        <f>資料儲存!J3356</f>
        <v>0</v>
      </c>
      <c r="R148" s="52"/>
      <c r="S148" s="68">
        <v>55</v>
      </c>
      <c r="T148" s="49">
        <f>資料儲存!D3476</f>
        <v>0</v>
      </c>
      <c r="U148" s="49">
        <f>資料儲存!E3476</f>
        <v>0</v>
      </c>
      <c r="V148" s="49">
        <f>資料儲存!F3476</f>
        <v>0</v>
      </c>
      <c r="W148" s="49">
        <f>資料儲存!G3476</f>
        <v>0</v>
      </c>
      <c r="X148" s="49">
        <f>資料儲存!H3476</f>
        <v>0</v>
      </c>
      <c r="Y148" s="49">
        <f>資料儲存!I3476</f>
        <v>0</v>
      </c>
      <c r="Z148" s="49">
        <f>資料儲存!J3476</f>
        <v>0</v>
      </c>
      <c r="AA148" s="52"/>
      <c r="AB148" s="68">
        <v>55</v>
      </c>
      <c r="AC148" s="49">
        <f>資料儲存!D3596</f>
        <v>0</v>
      </c>
      <c r="AD148" s="49">
        <f>資料儲存!E3596</f>
        <v>0</v>
      </c>
      <c r="AE148" s="49">
        <f>資料儲存!F3596</f>
        <v>0</v>
      </c>
      <c r="AF148" s="49">
        <f>資料儲存!G3596</f>
        <v>0</v>
      </c>
      <c r="AG148" s="49">
        <f>資料儲存!H3596</f>
        <v>0</v>
      </c>
      <c r="AH148" s="49">
        <f>資料儲存!I3596</f>
        <v>0</v>
      </c>
      <c r="AI148" s="49">
        <f>資料儲存!J3596</f>
        <v>0</v>
      </c>
      <c r="AJ148" s="52"/>
    </row>
    <row r="149" spans="1:36" ht="16" thickBot="1">
      <c r="A149" s="68">
        <v>56</v>
      </c>
      <c r="B149" s="49">
        <f>資料儲存!D3237</f>
        <v>0</v>
      </c>
      <c r="C149" s="49">
        <f>資料儲存!E3237</f>
        <v>0</v>
      </c>
      <c r="D149" s="49">
        <f>資料儲存!F3237</f>
        <v>0</v>
      </c>
      <c r="E149" s="49">
        <f>資料儲存!G3237</f>
        <v>0</v>
      </c>
      <c r="F149" s="49">
        <f>資料儲存!H3237</f>
        <v>0</v>
      </c>
      <c r="G149" s="49">
        <f>資料儲存!I3237</f>
        <v>0</v>
      </c>
      <c r="H149" s="49">
        <f>資料儲存!J3237</f>
        <v>0</v>
      </c>
      <c r="I149" s="52"/>
      <c r="J149" s="68">
        <v>56</v>
      </c>
      <c r="K149" s="49">
        <f>資料儲存!D3357</f>
        <v>0</v>
      </c>
      <c r="L149" s="49">
        <f>資料儲存!E3357</f>
        <v>0</v>
      </c>
      <c r="M149" s="49">
        <f>資料儲存!F3357</f>
        <v>0</v>
      </c>
      <c r="N149" s="49">
        <f>資料儲存!G3357</f>
        <v>0</v>
      </c>
      <c r="O149" s="49">
        <f>資料儲存!H3357</f>
        <v>0</v>
      </c>
      <c r="P149" s="49">
        <f>資料儲存!I3357</f>
        <v>0</v>
      </c>
      <c r="Q149" s="49">
        <f>資料儲存!J3357</f>
        <v>0</v>
      </c>
      <c r="R149" s="52"/>
      <c r="S149" s="68">
        <v>56</v>
      </c>
      <c r="T149" s="49">
        <f>資料儲存!D3477</f>
        <v>0</v>
      </c>
      <c r="U149" s="49">
        <f>資料儲存!E3477</f>
        <v>0</v>
      </c>
      <c r="V149" s="49">
        <f>資料儲存!F3477</f>
        <v>0</v>
      </c>
      <c r="W149" s="49">
        <f>資料儲存!G3477</f>
        <v>0</v>
      </c>
      <c r="X149" s="49">
        <f>資料儲存!H3477</f>
        <v>0</v>
      </c>
      <c r="Y149" s="49">
        <f>資料儲存!I3477</f>
        <v>0</v>
      </c>
      <c r="Z149" s="49">
        <f>資料儲存!J3477</f>
        <v>0</v>
      </c>
      <c r="AA149" s="52"/>
      <c r="AB149" s="68">
        <v>56</v>
      </c>
      <c r="AC149" s="49">
        <f>資料儲存!D3597</f>
        <v>0</v>
      </c>
      <c r="AD149" s="49">
        <f>資料儲存!E3597</f>
        <v>0</v>
      </c>
      <c r="AE149" s="49">
        <f>資料儲存!F3597</f>
        <v>0</v>
      </c>
      <c r="AF149" s="49">
        <f>資料儲存!G3597</f>
        <v>0</v>
      </c>
      <c r="AG149" s="49">
        <f>資料儲存!H3597</f>
        <v>0</v>
      </c>
      <c r="AH149" s="49">
        <f>資料儲存!I3597</f>
        <v>0</v>
      </c>
      <c r="AI149" s="49">
        <f>資料儲存!J3597</f>
        <v>0</v>
      </c>
      <c r="AJ149" s="52"/>
    </row>
    <row r="150" spans="1:36" ht="16" thickBot="1">
      <c r="A150" s="68">
        <v>57</v>
      </c>
      <c r="B150" s="49">
        <f>資料儲存!D3238</f>
        <v>0</v>
      </c>
      <c r="C150" s="49">
        <f>資料儲存!E3238</f>
        <v>0</v>
      </c>
      <c r="D150" s="49">
        <f>資料儲存!F3238</f>
        <v>0</v>
      </c>
      <c r="E150" s="49">
        <f>資料儲存!G3238</f>
        <v>0</v>
      </c>
      <c r="F150" s="49">
        <f>資料儲存!H3238</f>
        <v>0</v>
      </c>
      <c r="G150" s="49">
        <f>資料儲存!I3238</f>
        <v>0</v>
      </c>
      <c r="H150" s="49">
        <f>資料儲存!J3238</f>
        <v>0</v>
      </c>
      <c r="I150" s="52"/>
      <c r="J150" s="68">
        <v>57</v>
      </c>
      <c r="K150" s="49">
        <f>資料儲存!D3358</f>
        <v>0</v>
      </c>
      <c r="L150" s="49">
        <f>資料儲存!E3358</f>
        <v>0</v>
      </c>
      <c r="M150" s="49">
        <f>資料儲存!F3358</f>
        <v>0</v>
      </c>
      <c r="N150" s="49">
        <f>資料儲存!G3358</f>
        <v>0</v>
      </c>
      <c r="O150" s="49">
        <f>資料儲存!H3358</f>
        <v>0</v>
      </c>
      <c r="P150" s="49">
        <f>資料儲存!I3358</f>
        <v>0</v>
      </c>
      <c r="Q150" s="49">
        <f>資料儲存!J3358</f>
        <v>0</v>
      </c>
      <c r="R150" s="52"/>
      <c r="S150" s="68">
        <v>57</v>
      </c>
      <c r="T150" s="49">
        <f>資料儲存!D3478</f>
        <v>0</v>
      </c>
      <c r="U150" s="49">
        <f>資料儲存!E3478</f>
        <v>0</v>
      </c>
      <c r="V150" s="49">
        <f>資料儲存!F3478</f>
        <v>0</v>
      </c>
      <c r="W150" s="49">
        <f>資料儲存!G3478</f>
        <v>0</v>
      </c>
      <c r="X150" s="49">
        <f>資料儲存!H3478</f>
        <v>0</v>
      </c>
      <c r="Y150" s="49">
        <f>資料儲存!I3478</f>
        <v>0</v>
      </c>
      <c r="Z150" s="49">
        <f>資料儲存!J3478</f>
        <v>0</v>
      </c>
      <c r="AA150" s="52"/>
      <c r="AB150" s="68">
        <v>57</v>
      </c>
      <c r="AC150" s="49">
        <f>資料儲存!D3598</f>
        <v>0</v>
      </c>
      <c r="AD150" s="49">
        <f>資料儲存!E3598</f>
        <v>0</v>
      </c>
      <c r="AE150" s="49">
        <f>資料儲存!F3598</f>
        <v>0</v>
      </c>
      <c r="AF150" s="49">
        <f>資料儲存!G3598</f>
        <v>0</v>
      </c>
      <c r="AG150" s="49">
        <f>資料儲存!H3598</f>
        <v>0</v>
      </c>
      <c r="AH150" s="49">
        <f>資料儲存!I3598</f>
        <v>0</v>
      </c>
      <c r="AI150" s="49">
        <f>資料儲存!J3598</f>
        <v>0</v>
      </c>
      <c r="AJ150" s="52"/>
    </row>
    <row r="151" spans="1:36" ht="16" thickBot="1">
      <c r="A151" s="68">
        <v>58</v>
      </c>
      <c r="B151" s="49">
        <f>資料儲存!D3239</f>
        <v>0</v>
      </c>
      <c r="C151" s="49">
        <f>資料儲存!E3239</f>
        <v>0</v>
      </c>
      <c r="D151" s="49">
        <f>資料儲存!F3239</f>
        <v>0</v>
      </c>
      <c r="E151" s="49">
        <f>資料儲存!G3239</f>
        <v>0</v>
      </c>
      <c r="F151" s="49">
        <f>資料儲存!H3239</f>
        <v>0</v>
      </c>
      <c r="G151" s="49">
        <f>資料儲存!I3239</f>
        <v>0</v>
      </c>
      <c r="H151" s="49">
        <f>資料儲存!J3239</f>
        <v>0</v>
      </c>
      <c r="I151" s="52"/>
      <c r="J151" s="68">
        <v>58</v>
      </c>
      <c r="K151" s="49">
        <f>資料儲存!D3359</f>
        <v>0</v>
      </c>
      <c r="L151" s="49">
        <f>資料儲存!E3359</f>
        <v>0</v>
      </c>
      <c r="M151" s="49">
        <f>資料儲存!F3359</f>
        <v>0</v>
      </c>
      <c r="N151" s="49">
        <f>資料儲存!G3359</f>
        <v>0</v>
      </c>
      <c r="O151" s="49">
        <f>資料儲存!H3359</f>
        <v>0</v>
      </c>
      <c r="P151" s="49">
        <f>資料儲存!I3359</f>
        <v>0</v>
      </c>
      <c r="Q151" s="49">
        <f>資料儲存!J3359</f>
        <v>0</v>
      </c>
      <c r="R151" s="52"/>
      <c r="S151" s="68">
        <v>58</v>
      </c>
      <c r="T151" s="49">
        <f>資料儲存!D3479</f>
        <v>0</v>
      </c>
      <c r="U151" s="49">
        <f>資料儲存!E3479</f>
        <v>0</v>
      </c>
      <c r="V151" s="49">
        <f>資料儲存!F3479</f>
        <v>0</v>
      </c>
      <c r="W151" s="49">
        <f>資料儲存!G3479</f>
        <v>0</v>
      </c>
      <c r="X151" s="49">
        <f>資料儲存!H3479</f>
        <v>0</v>
      </c>
      <c r="Y151" s="49">
        <f>資料儲存!I3479</f>
        <v>0</v>
      </c>
      <c r="Z151" s="49">
        <f>資料儲存!J3479</f>
        <v>0</v>
      </c>
      <c r="AA151" s="52"/>
      <c r="AB151" s="68">
        <v>58</v>
      </c>
      <c r="AC151" s="49">
        <f>資料儲存!D3599</f>
        <v>0</v>
      </c>
      <c r="AD151" s="49">
        <f>資料儲存!E3599</f>
        <v>0</v>
      </c>
      <c r="AE151" s="49">
        <f>資料儲存!F3599</f>
        <v>0</v>
      </c>
      <c r="AF151" s="49">
        <f>資料儲存!G3599</f>
        <v>0</v>
      </c>
      <c r="AG151" s="49">
        <f>資料儲存!H3599</f>
        <v>0</v>
      </c>
      <c r="AH151" s="49">
        <f>資料儲存!I3599</f>
        <v>0</v>
      </c>
      <c r="AI151" s="49">
        <f>資料儲存!J3599</f>
        <v>0</v>
      </c>
      <c r="AJ151" s="52"/>
    </row>
    <row r="152" spans="1:36" ht="16" thickBot="1">
      <c r="A152" s="68">
        <v>59</v>
      </c>
      <c r="B152" s="49">
        <f>資料儲存!D3240</f>
        <v>0</v>
      </c>
      <c r="C152" s="49">
        <f>資料儲存!E3240</f>
        <v>0</v>
      </c>
      <c r="D152" s="49">
        <f>資料儲存!F3240</f>
        <v>0</v>
      </c>
      <c r="E152" s="49">
        <f>資料儲存!G3240</f>
        <v>0</v>
      </c>
      <c r="F152" s="49">
        <f>資料儲存!H3240</f>
        <v>0</v>
      </c>
      <c r="G152" s="49">
        <f>資料儲存!I3240</f>
        <v>0</v>
      </c>
      <c r="H152" s="49">
        <f>資料儲存!J3240</f>
        <v>0</v>
      </c>
      <c r="I152" s="52"/>
      <c r="J152" s="68">
        <v>59</v>
      </c>
      <c r="K152" s="49">
        <f>資料儲存!D3360</f>
        <v>0</v>
      </c>
      <c r="L152" s="49">
        <f>資料儲存!E3360</f>
        <v>0</v>
      </c>
      <c r="M152" s="49">
        <f>資料儲存!F3360</f>
        <v>0</v>
      </c>
      <c r="N152" s="49">
        <f>資料儲存!G3360</f>
        <v>0</v>
      </c>
      <c r="O152" s="49">
        <f>資料儲存!H3360</f>
        <v>0</v>
      </c>
      <c r="P152" s="49">
        <f>資料儲存!I3360</f>
        <v>0</v>
      </c>
      <c r="Q152" s="49">
        <f>資料儲存!J3360</f>
        <v>0</v>
      </c>
      <c r="R152" s="52"/>
      <c r="S152" s="68">
        <v>59</v>
      </c>
      <c r="T152" s="49">
        <f>資料儲存!D3480</f>
        <v>0</v>
      </c>
      <c r="U152" s="49">
        <f>資料儲存!E3480</f>
        <v>0</v>
      </c>
      <c r="V152" s="49">
        <f>資料儲存!F3480</f>
        <v>0</v>
      </c>
      <c r="W152" s="49">
        <f>資料儲存!G3480</f>
        <v>0</v>
      </c>
      <c r="X152" s="49">
        <f>資料儲存!H3480</f>
        <v>0</v>
      </c>
      <c r="Y152" s="49">
        <f>資料儲存!I3480</f>
        <v>0</v>
      </c>
      <c r="Z152" s="49">
        <f>資料儲存!J3480</f>
        <v>0</v>
      </c>
      <c r="AA152" s="52"/>
      <c r="AB152" s="68">
        <v>59</v>
      </c>
      <c r="AC152" s="49">
        <f>資料儲存!D3600</f>
        <v>0</v>
      </c>
      <c r="AD152" s="49">
        <f>資料儲存!E3600</f>
        <v>0</v>
      </c>
      <c r="AE152" s="49">
        <f>資料儲存!F3600</f>
        <v>0</v>
      </c>
      <c r="AF152" s="49">
        <f>資料儲存!G3600</f>
        <v>0</v>
      </c>
      <c r="AG152" s="49">
        <f>資料儲存!H3600</f>
        <v>0</v>
      </c>
      <c r="AH152" s="49">
        <f>資料儲存!I3600</f>
        <v>0</v>
      </c>
      <c r="AI152" s="49">
        <f>資料儲存!J3600</f>
        <v>0</v>
      </c>
      <c r="AJ152" s="52"/>
    </row>
    <row r="153" spans="1:36" ht="16" thickBot="1">
      <c r="A153" s="68">
        <v>60</v>
      </c>
      <c r="B153" s="49">
        <f>資料儲存!D3241</f>
        <v>0</v>
      </c>
      <c r="C153" s="49">
        <f>資料儲存!E3241</f>
        <v>0</v>
      </c>
      <c r="D153" s="49">
        <f>資料儲存!F3241</f>
        <v>0</v>
      </c>
      <c r="E153" s="49">
        <f>資料儲存!G3241</f>
        <v>0</v>
      </c>
      <c r="F153" s="49">
        <f>資料儲存!H3241</f>
        <v>0</v>
      </c>
      <c r="G153" s="49">
        <f>資料儲存!I3241</f>
        <v>0</v>
      </c>
      <c r="H153" s="49">
        <f>資料儲存!J3241</f>
        <v>0</v>
      </c>
      <c r="I153" s="52"/>
      <c r="J153" s="68">
        <v>60</v>
      </c>
      <c r="K153" s="49">
        <f>資料儲存!D3361</f>
        <v>0</v>
      </c>
      <c r="L153" s="49">
        <f>資料儲存!E3361</f>
        <v>0</v>
      </c>
      <c r="M153" s="49">
        <f>資料儲存!F3361</f>
        <v>0</v>
      </c>
      <c r="N153" s="49">
        <f>資料儲存!G3361</f>
        <v>0</v>
      </c>
      <c r="O153" s="49">
        <f>資料儲存!H3361</f>
        <v>0</v>
      </c>
      <c r="P153" s="49">
        <f>資料儲存!I3361</f>
        <v>0</v>
      </c>
      <c r="Q153" s="49">
        <f>資料儲存!J3361</f>
        <v>0</v>
      </c>
      <c r="R153" s="52"/>
      <c r="S153" s="68">
        <v>60</v>
      </c>
      <c r="T153" s="49">
        <f>資料儲存!D3481</f>
        <v>0</v>
      </c>
      <c r="U153" s="49">
        <f>資料儲存!E3481</f>
        <v>0</v>
      </c>
      <c r="V153" s="49">
        <f>資料儲存!F3481</f>
        <v>0</v>
      </c>
      <c r="W153" s="49">
        <f>資料儲存!G3481</f>
        <v>0</v>
      </c>
      <c r="X153" s="49">
        <f>資料儲存!H3481</f>
        <v>0</v>
      </c>
      <c r="Y153" s="49">
        <f>資料儲存!I3481</f>
        <v>0</v>
      </c>
      <c r="Z153" s="49">
        <f>資料儲存!J3481</f>
        <v>0</v>
      </c>
      <c r="AA153" s="52"/>
      <c r="AB153" s="68">
        <v>60</v>
      </c>
      <c r="AC153" s="49">
        <f>資料儲存!D3601</f>
        <v>0</v>
      </c>
      <c r="AD153" s="49">
        <f>資料儲存!E3601</f>
        <v>0</v>
      </c>
      <c r="AE153" s="49">
        <f>資料儲存!F3601</f>
        <v>0</v>
      </c>
      <c r="AF153" s="49">
        <f>資料儲存!G3601</f>
        <v>0</v>
      </c>
      <c r="AG153" s="49">
        <f>資料儲存!H3601</f>
        <v>0</v>
      </c>
      <c r="AH153" s="49">
        <f>資料儲存!I3601</f>
        <v>0</v>
      </c>
      <c r="AI153" s="49">
        <f>資料儲存!J3601</f>
        <v>0</v>
      </c>
      <c r="AJ153" s="52"/>
    </row>
    <row r="154" spans="1:36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</row>
  </sheetData>
  <mergeCells count="40">
    <mergeCell ref="A1:H1"/>
    <mergeCell ref="J1:Q1"/>
    <mergeCell ref="S1:Z1"/>
    <mergeCell ref="AB1:AI1"/>
    <mergeCell ref="A2:H2"/>
    <mergeCell ref="J2:Q2"/>
    <mergeCell ref="S2:Z2"/>
    <mergeCell ref="AB2:AI2"/>
    <mergeCell ref="A3:H3"/>
    <mergeCell ref="J3:Q3"/>
    <mergeCell ref="S3:Z3"/>
    <mergeCell ref="AB3:AI3"/>
    <mergeCell ref="A22:H22"/>
    <mergeCell ref="J22:Q22"/>
    <mergeCell ref="S22:Z22"/>
    <mergeCell ref="AB22:AI22"/>
    <mergeCell ref="A41:H41"/>
    <mergeCell ref="J41:Q41"/>
    <mergeCell ref="S41:Z41"/>
    <mergeCell ref="AB41:AI41"/>
    <mergeCell ref="A60:H60"/>
    <mergeCell ref="J60:Q60"/>
    <mergeCell ref="S60:Z60"/>
    <mergeCell ref="AB60:AI60"/>
    <mergeCell ref="A79:H79"/>
    <mergeCell ref="J79:Q79"/>
    <mergeCell ref="S79:Z79"/>
    <mergeCell ref="AB79:AI79"/>
    <mergeCell ref="A98:H98"/>
    <mergeCell ref="J98:Q98"/>
    <mergeCell ref="S98:Z98"/>
    <mergeCell ref="AB98:AI98"/>
    <mergeCell ref="A117:H117"/>
    <mergeCell ref="J117:Q117"/>
    <mergeCell ref="S117:Z117"/>
    <mergeCell ref="AB117:AI117"/>
    <mergeCell ref="A136:H136"/>
    <mergeCell ref="J136:Q136"/>
    <mergeCell ref="S136:Z136"/>
    <mergeCell ref="AB136:AI136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theme="7" tint="0.39997558519241921"/>
  </sheetPr>
  <dimension ref="A1:AJ155"/>
  <sheetViews>
    <sheetView topLeftCell="T131" zoomScale="70" zoomScaleNormal="70" zoomScaleSheetLayoutView="70" workbookViewId="0">
      <selection activeCell="AK4" sqref="AK1:AR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37" width="2.08984375" style="1" customWidth="1"/>
    <col min="38" max="16384" width="10.08984375" style="1"/>
  </cols>
  <sheetData>
    <row r="1" spans="1:36" s="11" customFormat="1" ht="18.5" thickBot="1">
      <c r="A1" s="253" t="str">
        <f>基本資料!$K$11</f>
        <v>假日(17-19)</v>
      </c>
      <c r="B1" s="254"/>
      <c r="C1" s="254"/>
      <c r="D1" s="254"/>
      <c r="E1" s="254"/>
      <c r="F1" s="254"/>
      <c r="G1" s="254"/>
      <c r="H1" s="255"/>
      <c r="J1" s="253" t="str">
        <f>基本資料!$K$11</f>
        <v>假日(17-19)</v>
      </c>
      <c r="K1" s="254"/>
      <c r="L1" s="254"/>
      <c r="M1" s="254"/>
      <c r="N1" s="254"/>
      <c r="O1" s="254"/>
      <c r="P1" s="254"/>
      <c r="Q1" s="255"/>
      <c r="S1" s="253" t="str">
        <f>基本資料!$K$11</f>
        <v>假日(17-19)</v>
      </c>
      <c r="T1" s="254"/>
      <c r="U1" s="254"/>
      <c r="V1" s="254"/>
      <c r="W1" s="254"/>
      <c r="X1" s="254"/>
      <c r="Y1" s="254"/>
      <c r="Z1" s="255"/>
      <c r="AB1" s="253" t="str">
        <f>基本資料!$K$11</f>
        <v>假日(17-19)</v>
      </c>
      <c r="AC1" s="254"/>
      <c r="AD1" s="254"/>
      <c r="AE1" s="254"/>
      <c r="AF1" s="254"/>
      <c r="AG1" s="254"/>
      <c r="AH1" s="254"/>
      <c r="AI1" s="255"/>
    </row>
    <row r="2" spans="1:36" ht="18.5" thickBot="1">
      <c r="A2" s="256" t="str">
        <f>CONCATENATE(基本資料!B18,"方向：",基本資料!B19,基本資料!B20)</f>
        <v>A方向：</v>
      </c>
      <c r="B2" s="257"/>
      <c r="C2" s="257"/>
      <c r="D2" s="257"/>
      <c r="E2" s="257"/>
      <c r="F2" s="257"/>
      <c r="G2" s="257"/>
      <c r="H2" s="258"/>
      <c r="I2" s="1"/>
      <c r="J2" s="256" t="str">
        <f>CONCATENATE(基本資料!C18,"方向：",基本資料!C19,基本資料!C20)</f>
        <v>B方向：</v>
      </c>
      <c r="K2" s="257"/>
      <c r="L2" s="257"/>
      <c r="M2" s="257"/>
      <c r="N2" s="257"/>
      <c r="O2" s="257"/>
      <c r="P2" s="257"/>
      <c r="Q2" s="258"/>
      <c r="R2" s="1"/>
      <c r="S2" s="256" t="str">
        <f>CONCATENATE(基本資料!D18,"方向：",基本資料!D19,基本資料!D20)</f>
        <v>C方向：</v>
      </c>
      <c r="T2" s="257"/>
      <c r="U2" s="257"/>
      <c r="V2" s="257"/>
      <c r="W2" s="257"/>
      <c r="X2" s="257"/>
      <c r="Y2" s="257"/>
      <c r="Z2" s="258"/>
      <c r="AA2" s="1"/>
      <c r="AB2" s="256" t="str">
        <f>CONCATENATE(基本資料!E18,"方向：",基本資料!E19,基本資料!E20)</f>
        <v>D方向：</v>
      </c>
      <c r="AC2" s="257"/>
      <c r="AD2" s="257"/>
      <c r="AE2" s="257"/>
      <c r="AF2" s="257"/>
      <c r="AG2" s="257"/>
      <c r="AH2" s="257"/>
      <c r="AI2" s="258"/>
      <c r="AJ2" s="1"/>
    </row>
    <row r="3" spans="1:36" ht="18.5" thickBot="1">
      <c r="A3" s="250" t="s">
        <v>72</v>
      </c>
      <c r="B3" s="251"/>
      <c r="C3" s="251"/>
      <c r="D3" s="251"/>
      <c r="E3" s="251"/>
      <c r="F3" s="251"/>
      <c r="G3" s="251"/>
      <c r="H3" s="252"/>
      <c r="I3" s="22"/>
      <c r="J3" s="250" t="s">
        <v>72</v>
      </c>
      <c r="K3" s="251"/>
      <c r="L3" s="251"/>
      <c r="M3" s="251"/>
      <c r="N3" s="251"/>
      <c r="O3" s="251"/>
      <c r="P3" s="251"/>
      <c r="Q3" s="252"/>
      <c r="R3" s="22"/>
      <c r="S3" s="250" t="s">
        <v>72</v>
      </c>
      <c r="T3" s="251"/>
      <c r="U3" s="251"/>
      <c r="V3" s="251"/>
      <c r="W3" s="251"/>
      <c r="X3" s="251"/>
      <c r="Y3" s="251"/>
      <c r="Z3" s="252"/>
      <c r="AA3" s="22"/>
      <c r="AB3" s="250" t="s">
        <v>72</v>
      </c>
      <c r="AC3" s="251"/>
      <c r="AD3" s="251"/>
      <c r="AE3" s="251"/>
      <c r="AF3" s="251"/>
      <c r="AG3" s="251"/>
      <c r="AH3" s="251"/>
      <c r="AI3" s="252"/>
      <c r="AJ3" s="22"/>
    </row>
    <row r="4" spans="1:36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</row>
    <row r="5" spans="1:36" ht="16" thickBot="1">
      <c r="A5" s="59" t="s">
        <v>73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 t="s">
        <v>73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 t="s">
        <v>73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 t="s">
        <v>73</v>
      </c>
      <c r="AC5" s="60" t="s">
        <v>49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</row>
    <row r="6" spans="1:36" ht="16" thickBot="1">
      <c r="A6" s="61">
        <v>1</v>
      </c>
      <c r="B6" s="39">
        <f>資料儲存!D3602</f>
        <v>0</v>
      </c>
      <c r="C6" s="39">
        <f>資料儲存!E3602</f>
        <v>0</v>
      </c>
      <c r="D6" s="39">
        <f>資料儲存!F3602</f>
        <v>0</v>
      </c>
      <c r="E6" s="39">
        <f>資料儲存!G3602</f>
        <v>0</v>
      </c>
      <c r="F6" s="39">
        <f>資料儲存!H3602</f>
        <v>0</v>
      </c>
      <c r="G6" s="39">
        <f>資料儲存!I3602</f>
        <v>0</v>
      </c>
      <c r="H6" s="39">
        <f>資料儲存!J3602</f>
        <v>0</v>
      </c>
      <c r="I6" s="58"/>
      <c r="J6" s="61">
        <v>1</v>
      </c>
      <c r="K6" s="39">
        <f>資料儲存!D3722</f>
        <v>0</v>
      </c>
      <c r="L6" s="39">
        <f>資料儲存!E3722</f>
        <v>0</v>
      </c>
      <c r="M6" s="39">
        <f>資料儲存!F3722</f>
        <v>0</v>
      </c>
      <c r="N6" s="39">
        <f>資料儲存!G3722</f>
        <v>0</v>
      </c>
      <c r="O6" s="39">
        <f>資料儲存!H3722</f>
        <v>0</v>
      </c>
      <c r="P6" s="39">
        <f>資料儲存!I3722</f>
        <v>0</v>
      </c>
      <c r="Q6" s="39">
        <f>資料儲存!J3722</f>
        <v>0</v>
      </c>
      <c r="R6" s="58"/>
      <c r="S6" s="61">
        <v>1</v>
      </c>
      <c r="T6" s="39">
        <f>資料儲存!D3842</f>
        <v>0</v>
      </c>
      <c r="U6" s="39">
        <f>資料儲存!E3842</f>
        <v>0</v>
      </c>
      <c r="V6" s="39">
        <f>資料儲存!F3842</f>
        <v>0</v>
      </c>
      <c r="W6" s="39">
        <f>資料儲存!G3842</f>
        <v>0</v>
      </c>
      <c r="X6" s="39">
        <f>資料儲存!H3842</f>
        <v>0</v>
      </c>
      <c r="Y6" s="39">
        <f>資料儲存!I3842</f>
        <v>0</v>
      </c>
      <c r="Z6" s="39">
        <f>資料儲存!J3842</f>
        <v>0</v>
      </c>
      <c r="AA6" s="58"/>
      <c r="AB6" s="61">
        <v>1</v>
      </c>
      <c r="AC6" s="39">
        <f>資料儲存!D3962</f>
        <v>0</v>
      </c>
      <c r="AD6" s="39">
        <f>資料儲存!E3962</f>
        <v>0</v>
      </c>
      <c r="AE6" s="39">
        <f>資料儲存!F3962</f>
        <v>0</v>
      </c>
      <c r="AF6" s="39">
        <f>資料儲存!G3962</f>
        <v>0</v>
      </c>
      <c r="AG6" s="39">
        <f>資料儲存!H3962</f>
        <v>0</v>
      </c>
      <c r="AH6" s="39">
        <f>資料儲存!I3962</f>
        <v>0</v>
      </c>
      <c r="AI6" s="39">
        <f>資料儲存!J3962</f>
        <v>0</v>
      </c>
      <c r="AJ6" s="58"/>
    </row>
    <row r="7" spans="1:36" ht="16" thickBot="1">
      <c r="A7" s="61">
        <v>2</v>
      </c>
      <c r="B7" s="39">
        <f>資料儲存!D3603</f>
        <v>0</v>
      </c>
      <c r="C7" s="39">
        <f>資料儲存!E3603</f>
        <v>0</v>
      </c>
      <c r="D7" s="39">
        <f>資料儲存!F3603</f>
        <v>0</v>
      </c>
      <c r="E7" s="39">
        <f>資料儲存!G3603</f>
        <v>0</v>
      </c>
      <c r="F7" s="39">
        <f>資料儲存!H3603</f>
        <v>0</v>
      </c>
      <c r="G7" s="39">
        <f>資料儲存!I3603</f>
        <v>0</v>
      </c>
      <c r="H7" s="39">
        <f>資料儲存!J3603</f>
        <v>0</v>
      </c>
      <c r="I7" s="58"/>
      <c r="J7" s="61">
        <v>2</v>
      </c>
      <c r="K7" s="39">
        <f>資料儲存!D3723</f>
        <v>0</v>
      </c>
      <c r="L7" s="39">
        <f>資料儲存!E3723</f>
        <v>0</v>
      </c>
      <c r="M7" s="39">
        <f>資料儲存!F3723</f>
        <v>0</v>
      </c>
      <c r="N7" s="39">
        <f>資料儲存!G3723</f>
        <v>0</v>
      </c>
      <c r="O7" s="39">
        <f>資料儲存!H3723</f>
        <v>0</v>
      </c>
      <c r="P7" s="39">
        <f>資料儲存!I3723</f>
        <v>0</v>
      </c>
      <c r="Q7" s="39">
        <f>資料儲存!J3723</f>
        <v>0</v>
      </c>
      <c r="R7" s="58"/>
      <c r="S7" s="61">
        <v>2</v>
      </c>
      <c r="T7" s="39">
        <f>資料儲存!D3843</f>
        <v>0</v>
      </c>
      <c r="U7" s="39">
        <f>資料儲存!E3843</f>
        <v>0</v>
      </c>
      <c r="V7" s="39">
        <f>資料儲存!F3843</f>
        <v>0</v>
      </c>
      <c r="W7" s="39">
        <f>資料儲存!G3843</f>
        <v>0</v>
      </c>
      <c r="X7" s="39">
        <f>資料儲存!H3843</f>
        <v>0</v>
      </c>
      <c r="Y7" s="39">
        <f>資料儲存!I3843</f>
        <v>0</v>
      </c>
      <c r="Z7" s="39">
        <f>資料儲存!J3843</f>
        <v>0</v>
      </c>
      <c r="AA7" s="58"/>
      <c r="AB7" s="61">
        <v>2</v>
      </c>
      <c r="AC7" s="39">
        <f>資料儲存!D3963</f>
        <v>0</v>
      </c>
      <c r="AD7" s="39">
        <f>資料儲存!E3963</f>
        <v>0</v>
      </c>
      <c r="AE7" s="39">
        <f>資料儲存!F3963</f>
        <v>0</v>
      </c>
      <c r="AF7" s="39">
        <f>資料儲存!G3963</f>
        <v>0</v>
      </c>
      <c r="AG7" s="39">
        <f>資料儲存!H3963</f>
        <v>0</v>
      </c>
      <c r="AH7" s="39">
        <f>資料儲存!I3963</f>
        <v>0</v>
      </c>
      <c r="AI7" s="39">
        <f>資料儲存!J3963</f>
        <v>0</v>
      </c>
      <c r="AJ7" s="58"/>
    </row>
    <row r="8" spans="1:36" ht="16" thickBot="1">
      <c r="A8" s="61">
        <v>3</v>
      </c>
      <c r="B8" s="39">
        <f>資料儲存!D3604</f>
        <v>0</v>
      </c>
      <c r="C8" s="39">
        <f>資料儲存!E3604</f>
        <v>0</v>
      </c>
      <c r="D8" s="39">
        <f>資料儲存!F3604</f>
        <v>0</v>
      </c>
      <c r="E8" s="39">
        <f>資料儲存!G3604</f>
        <v>0</v>
      </c>
      <c r="F8" s="39">
        <f>資料儲存!H3604</f>
        <v>0</v>
      </c>
      <c r="G8" s="39">
        <f>資料儲存!I3604</f>
        <v>0</v>
      </c>
      <c r="H8" s="39">
        <f>資料儲存!J3604</f>
        <v>0</v>
      </c>
      <c r="I8" s="58"/>
      <c r="J8" s="61">
        <v>3</v>
      </c>
      <c r="K8" s="39">
        <f>資料儲存!D3724</f>
        <v>0</v>
      </c>
      <c r="L8" s="39">
        <f>資料儲存!E3724</f>
        <v>0</v>
      </c>
      <c r="M8" s="39">
        <f>資料儲存!F3724</f>
        <v>0</v>
      </c>
      <c r="N8" s="39">
        <f>資料儲存!G3724</f>
        <v>0</v>
      </c>
      <c r="O8" s="39">
        <f>資料儲存!H3724</f>
        <v>0</v>
      </c>
      <c r="P8" s="39">
        <f>資料儲存!I3724</f>
        <v>0</v>
      </c>
      <c r="Q8" s="39">
        <f>資料儲存!J3724</f>
        <v>0</v>
      </c>
      <c r="R8" s="58"/>
      <c r="S8" s="61">
        <v>3</v>
      </c>
      <c r="T8" s="39">
        <f>資料儲存!D3844</f>
        <v>0</v>
      </c>
      <c r="U8" s="39">
        <f>資料儲存!E3844</f>
        <v>0</v>
      </c>
      <c r="V8" s="39">
        <f>資料儲存!F3844</f>
        <v>0</v>
      </c>
      <c r="W8" s="39">
        <f>資料儲存!G3844</f>
        <v>0</v>
      </c>
      <c r="X8" s="39">
        <f>資料儲存!H3844</f>
        <v>0</v>
      </c>
      <c r="Y8" s="39">
        <f>資料儲存!I3844</f>
        <v>0</v>
      </c>
      <c r="Z8" s="39">
        <f>資料儲存!J3844</f>
        <v>0</v>
      </c>
      <c r="AA8" s="58"/>
      <c r="AB8" s="61">
        <v>3</v>
      </c>
      <c r="AC8" s="39">
        <f>資料儲存!D3964</f>
        <v>0</v>
      </c>
      <c r="AD8" s="39">
        <f>資料儲存!E3964</f>
        <v>0</v>
      </c>
      <c r="AE8" s="39">
        <f>資料儲存!F3964</f>
        <v>0</v>
      </c>
      <c r="AF8" s="39">
        <f>資料儲存!G3964</f>
        <v>0</v>
      </c>
      <c r="AG8" s="39">
        <f>資料儲存!H3964</f>
        <v>0</v>
      </c>
      <c r="AH8" s="39">
        <f>資料儲存!I3964</f>
        <v>0</v>
      </c>
      <c r="AI8" s="39">
        <f>資料儲存!J3964</f>
        <v>0</v>
      </c>
      <c r="AJ8" s="58"/>
    </row>
    <row r="9" spans="1:36" ht="16" thickBot="1">
      <c r="A9" s="61">
        <v>4</v>
      </c>
      <c r="B9" s="39">
        <f>資料儲存!D3605</f>
        <v>0</v>
      </c>
      <c r="C9" s="39">
        <f>資料儲存!E3605</f>
        <v>0</v>
      </c>
      <c r="D9" s="39">
        <f>資料儲存!F3605</f>
        <v>0</v>
      </c>
      <c r="E9" s="39">
        <f>資料儲存!G3605</f>
        <v>0</v>
      </c>
      <c r="F9" s="39">
        <f>資料儲存!H3605</f>
        <v>0</v>
      </c>
      <c r="G9" s="39">
        <f>資料儲存!I3605</f>
        <v>0</v>
      </c>
      <c r="H9" s="39">
        <f>資料儲存!J3605</f>
        <v>0</v>
      </c>
      <c r="I9" s="58"/>
      <c r="J9" s="61">
        <v>4</v>
      </c>
      <c r="K9" s="39">
        <f>資料儲存!D3725</f>
        <v>0</v>
      </c>
      <c r="L9" s="39">
        <f>資料儲存!E3725</f>
        <v>0</v>
      </c>
      <c r="M9" s="39">
        <f>資料儲存!F3725</f>
        <v>0</v>
      </c>
      <c r="N9" s="39">
        <f>資料儲存!G3725</f>
        <v>0</v>
      </c>
      <c r="O9" s="39">
        <f>資料儲存!H3725</f>
        <v>0</v>
      </c>
      <c r="P9" s="39">
        <f>資料儲存!I3725</f>
        <v>0</v>
      </c>
      <c r="Q9" s="39">
        <f>資料儲存!J3725</f>
        <v>0</v>
      </c>
      <c r="R9" s="58"/>
      <c r="S9" s="61">
        <v>4</v>
      </c>
      <c r="T9" s="39">
        <f>資料儲存!D3845</f>
        <v>0</v>
      </c>
      <c r="U9" s="39">
        <f>資料儲存!E3845</f>
        <v>0</v>
      </c>
      <c r="V9" s="39">
        <f>資料儲存!F3845</f>
        <v>0</v>
      </c>
      <c r="W9" s="39">
        <f>資料儲存!G3845</f>
        <v>0</v>
      </c>
      <c r="X9" s="39">
        <f>資料儲存!H3845</f>
        <v>0</v>
      </c>
      <c r="Y9" s="39">
        <f>資料儲存!I3845</f>
        <v>0</v>
      </c>
      <c r="Z9" s="39">
        <f>資料儲存!J3845</f>
        <v>0</v>
      </c>
      <c r="AA9" s="58"/>
      <c r="AB9" s="61">
        <v>4</v>
      </c>
      <c r="AC9" s="39">
        <f>資料儲存!D3965</f>
        <v>0</v>
      </c>
      <c r="AD9" s="39">
        <f>資料儲存!E3965</f>
        <v>0</v>
      </c>
      <c r="AE9" s="39">
        <f>資料儲存!F3965</f>
        <v>0</v>
      </c>
      <c r="AF9" s="39">
        <f>資料儲存!G3965</f>
        <v>0</v>
      </c>
      <c r="AG9" s="39">
        <f>資料儲存!H3965</f>
        <v>0</v>
      </c>
      <c r="AH9" s="39">
        <f>資料儲存!I3965</f>
        <v>0</v>
      </c>
      <c r="AI9" s="39">
        <f>資料儲存!J3965</f>
        <v>0</v>
      </c>
      <c r="AJ9" s="58"/>
    </row>
    <row r="10" spans="1:36" ht="16" thickBot="1">
      <c r="A10" s="61">
        <v>5</v>
      </c>
      <c r="B10" s="39">
        <f>資料儲存!D3606</f>
        <v>0</v>
      </c>
      <c r="C10" s="39">
        <f>資料儲存!E3606</f>
        <v>0</v>
      </c>
      <c r="D10" s="39">
        <f>資料儲存!F3606</f>
        <v>0</v>
      </c>
      <c r="E10" s="39">
        <f>資料儲存!G3606</f>
        <v>0</v>
      </c>
      <c r="F10" s="39">
        <f>資料儲存!H3606</f>
        <v>0</v>
      </c>
      <c r="G10" s="39">
        <f>資料儲存!I3606</f>
        <v>0</v>
      </c>
      <c r="H10" s="39">
        <f>資料儲存!J3606</f>
        <v>0</v>
      </c>
      <c r="I10" s="58"/>
      <c r="J10" s="61">
        <v>5</v>
      </c>
      <c r="K10" s="39">
        <f>資料儲存!D3726</f>
        <v>0</v>
      </c>
      <c r="L10" s="39">
        <f>資料儲存!E3726</f>
        <v>0</v>
      </c>
      <c r="M10" s="39">
        <f>資料儲存!F3726</f>
        <v>0</v>
      </c>
      <c r="N10" s="39">
        <f>資料儲存!G3726</f>
        <v>0</v>
      </c>
      <c r="O10" s="39">
        <f>資料儲存!H3726</f>
        <v>0</v>
      </c>
      <c r="P10" s="39">
        <f>資料儲存!I3726</f>
        <v>0</v>
      </c>
      <c r="Q10" s="39">
        <f>資料儲存!J3726</f>
        <v>0</v>
      </c>
      <c r="R10" s="58"/>
      <c r="S10" s="61">
        <v>5</v>
      </c>
      <c r="T10" s="39">
        <f>資料儲存!D3846</f>
        <v>0</v>
      </c>
      <c r="U10" s="39">
        <f>資料儲存!E3846</f>
        <v>0</v>
      </c>
      <c r="V10" s="39">
        <f>資料儲存!F3846</f>
        <v>0</v>
      </c>
      <c r="W10" s="39">
        <f>資料儲存!G3846</f>
        <v>0</v>
      </c>
      <c r="X10" s="39">
        <f>資料儲存!H3846</f>
        <v>0</v>
      </c>
      <c r="Y10" s="39">
        <f>資料儲存!I3846</f>
        <v>0</v>
      </c>
      <c r="Z10" s="39">
        <f>資料儲存!J3846</f>
        <v>0</v>
      </c>
      <c r="AA10" s="58"/>
      <c r="AB10" s="61">
        <v>5</v>
      </c>
      <c r="AC10" s="39">
        <f>資料儲存!D3966</f>
        <v>0</v>
      </c>
      <c r="AD10" s="39">
        <f>資料儲存!E3966</f>
        <v>0</v>
      </c>
      <c r="AE10" s="39">
        <f>資料儲存!F3966</f>
        <v>0</v>
      </c>
      <c r="AF10" s="39">
        <f>資料儲存!G3966</f>
        <v>0</v>
      </c>
      <c r="AG10" s="39">
        <f>資料儲存!H3966</f>
        <v>0</v>
      </c>
      <c r="AH10" s="39">
        <f>資料儲存!I3966</f>
        <v>0</v>
      </c>
      <c r="AI10" s="39">
        <f>資料儲存!J3966</f>
        <v>0</v>
      </c>
      <c r="AJ10" s="58"/>
    </row>
    <row r="11" spans="1:36" ht="16" thickBot="1">
      <c r="A11" s="61">
        <v>6</v>
      </c>
      <c r="B11" s="39">
        <f>資料儲存!D3607</f>
        <v>0</v>
      </c>
      <c r="C11" s="39">
        <f>資料儲存!E3607</f>
        <v>0</v>
      </c>
      <c r="D11" s="39">
        <f>資料儲存!F3607</f>
        <v>0</v>
      </c>
      <c r="E11" s="39">
        <f>資料儲存!G3607</f>
        <v>0</v>
      </c>
      <c r="F11" s="39">
        <f>資料儲存!H3607</f>
        <v>0</v>
      </c>
      <c r="G11" s="39">
        <f>資料儲存!I3607</f>
        <v>0</v>
      </c>
      <c r="H11" s="39">
        <f>資料儲存!J3607</f>
        <v>0</v>
      </c>
      <c r="I11" s="58"/>
      <c r="J11" s="61">
        <v>6</v>
      </c>
      <c r="K11" s="39">
        <f>資料儲存!D3727</f>
        <v>0</v>
      </c>
      <c r="L11" s="39">
        <f>資料儲存!E3727</f>
        <v>0</v>
      </c>
      <c r="M11" s="39">
        <f>資料儲存!F3727</f>
        <v>0</v>
      </c>
      <c r="N11" s="39">
        <f>資料儲存!G3727</f>
        <v>0</v>
      </c>
      <c r="O11" s="39">
        <f>資料儲存!H3727</f>
        <v>0</v>
      </c>
      <c r="P11" s="39">
        <f>資料儲存!I3727</f>
        <v>0</v>
      </c>
      <c r="Q11" s="39">
        <f>資料儲存!J3727</f>
        <v>0</v>
      </c>
      <c r="R11" s="58"/>
      <c r="S11" s="61">
        <v>6</v>
      </c>
      <c r="T11" s="39">
        <f>資料儲存!D3847</f>
        <v>0</v>
      </c>
      <c r="U11" s="39">
        <f>資料儲存!E3847</f>
        <v>0</v>
      </c>
      <c r="V11" s="39">
        <f>資料儲存!F3847</f>
        <v>0</v>
      </c>
      <c r="W11" s="39">
        <f>資料儲存!G3847</f>
        <v>0</v>
      </c>
      <c r="X11" s="39">
        <f>資料儲存!H3847</f>
        <v>0</v>
      </c>
      <c r="Y11" s="39">
        <f>資料儲存!I3847</f>
        <v>0</v>
      </c>
      <c r="Z11" s="39">
        <f>資料儲存!J3847</f>
        <v>0</v>
      </c>
      <c r="AA11" s="58"/>
      <c r="AB11" s="61">
        <v>6</v>
      </c>
      <c r="AC11" s="39">
        <f>資料儲存!D3967</f>
        <v>0</v>
      </c>
      <c r="AD11" s="39">
        <f>資料儲存!E3967</f>
        <v>0</v>
      </c>
      <c r="AE11" s="39">
        <f>資料儲存!F3967</f>
        <v>0</v>
      </c>
      <c r="AF11" s="39">
        <f>資料儲存!G3967</f>
        <v>0</v>
      </c>
      <c r="AG11" s="39">
        <f>資料儲存!H3967</f>
        <v>0</v>
      </c>
      <c r="AH11" s="39">
        <f>資料儲存!I3967</f>
        <v>0</v>
      </c>
      <c r="AI11" s="39">
        <f>資料儲存!J3967</f>
        <v>0</v>
      </c>
      <c r="AJ11" s="58"/>
    </row>
    <row r="12" spans="1:36" ht="16" thickBot="1">
      <c r="A12" s="61">
        <v>7</v>
      </c>
      <c r="B12" s="39">
        <f>資料儲存!D3608</f>
        <v>0</v>
      </c>
      <c r="C12" s="39">
        <f>資料儲存!E3608</f>
        <v>0</v>
      </c>
      <c r="D12" s="39">
        <f>資料儲存!F3608</f>
        <v>0</v>
      </c>
      <c r="E12" s="39">
        <f>資料儲存!G3608</f>
        <v>0</v>
      </c>
      <c r="F12" s="39">
        <f>資料儲存!H3608</f>
        <v>0</v>
      </c>
      <c r="G12" s="39">
        <f>資料儲存!I3608</f>
        <v>0</v>
      </c>
      <c r="H12" s="39">
        <f>資料儲存!J3608</f>
        <v>0</v>
      </c>
      <c r="I12" s="58"/>
      <c r="J12" s="61">
        <v>7</v>
      </c>
      <c r="K12" s="39">
        <f>資料儲存!D3728</f>
        <v>0</v>
      </c>
      <c r="L12" s="39">
        <f>資料儲存!E3728</f>
        <v>0</v>
      </c>
      <c r="M12" s="39">
        <f>資料儲存!F3728</f>
        <v>0</v>
      </c>
      <c r="N12" s="39">
        <f>資料儲存!G3728</f>
        <v>0</v>
      </c>
      <c r="O12" s="39">
        <f>資料儲存!H3728</f>
        <v>0</v>
      </c>
      <c r="P12" s="39">
        <f>資料儲存!I3728</f>
        <v>0</v>
      </c>
      <c r="Q12" s="39">
        <f>資料儲存!J3728</f>
        <v>0</v>
      </c>
      <c r="R12" s="58"/>
      <c r="S12" s="61">
        <v>7</v>
      </c>
      <c r="T12" s="39">
        <f>資料儲存!D3848</f>
        <v>0</v>
      </c>
      <c r="U12" s="39">
        <f>資料儲存!E3848</f>
        <v>0</v>
      </c>
      <c r="V12" s="39">
        <f>資料儲存!F3848</f>
        <v>0</v>
      </c>
      <c r="W12" s="39">
        <f>資料儲存!G3848</f>
        <v>0</v>
      </c>
      <c r="X12" s="39">
        <f>資料儲存!H3848</f>
        <v>0</v>
      </c>
      <c r="Y12" s="39">
        <f>資料儲存!I3848</f>
        <v>0</v>
      </c>
      <c r="Z12" s="39">
        <f>資料儲存!J3848</f>
        <v>0</v>
      </c>
      <c r="AA12" s="58"/>
      <c r="AB12" s="61">
        <v>7</v>
      </c>
      <c r="AC12" s="39">
        <f>資料儲存!D3968</f>
        <v>0</v>
      </c>
      <c r="AD12" s="39">
        <f>資料儲存!E3968</f>
        <v>0</v>
      </c>
      <c r="AE12" s="39">
        <f>資料儲存!F3968</f>
        <v>0</v>
      </c>
      <c r="AF12" s="39">
        <f>資料儲存!G3968</f>
        <v>0</v>
      </c>
      <c r="AG12" s="39">
        <f>資料儲存!H3968</f>
        <v>0</v>
      </c>
      <c r="AH12" s="39">
        <f>資料儲存!I3968</f>
        <v>0</v>
      </c>
      <c r="AI12" s="39">
        <f>資料儲存!J3968</f>
        <v>0</v>
      </c>
      <c r="AJ12" s="58"/>
    </row>
    <row r="13" spans="1:36" ht="16" thickBot="1">
      <c r="A13" s="61">
        <v>8</v>
      </c>
      <c r="B13" s="39">
        <f>資料儲存!D3609</f>
        <v>0</v>
      </c>
      <c r="C13" s="39">
        <f>資料儲存!E3609</f>
        <v>0</v>
      </c>
      <c r="D13" s="39">
        <f>資料儲存!F3609</f>
        <v>0</v>
      </c>
      <c r="E13" s="39">
        <f>資料儲存!G3609</f>
        <v>0</v>
      </c>
      <c r="F13" s="39">
        <f>資料儲存!H3609</f>
        <v>0</v>
      </c>
      <c r="G13" s="39">
        <f>資料儲存!I3609</f>
        <v>0</v>
      </c>
      <c r="H13" s="39">
        <f>資料儲存!J3609</f>
        <v>0</v>
      </c>
      <c r="I13" s="58"/>
      <c r="J13" s="61">
        <v>8</v>
      </c>
      <c r="K13" s="39">
        <f>資料儲存!D3729</f>
        <v>0</v>
      </c>
      <c r="L13" s="39">
        <f>資料儲存!E3729</f>
        <v>0</v>
      </c>
      <c r="M13" s="39">
        <f>資料儲存!F3729</f>
        <v>0</v>
      </c>
      <c r="N13" s="39">
        <f>資料儲存!G3729</f>
        <v>0</v>
      </c>
      <c r="O13" s="39">
        <f>資料儲存!H3729</f>
        <v>0</v>
      </c>
      <c r="P13" s="39">
        <f>資料儲存!I3729</f>
        <v>0</v>
      </c>
      <c r="Q13" s="39">
        <f>資料儲存!J3729</f>
        <v>0</v>
      </c>
      <c r="R13" s="58"/>
      <c r="S13" s="61">
        <v>8</v>
      </c>
      <c r="T13" s="39">
        <f>資料儲存!D3849</f>
        <v>0</v>
      </c>
      <c r="U13" s="39">
        <f>資料儲存!E3849</f>
        <v>0</v>
      </c>
      <c r="V13" s="39">
        <f>資料儲存!F3849</f>
        <v>0</v>
      </c>
      <c r="W13" s="39">
        <f>資料儲存!G3849</f>
        <v>0</v>
      </c>
      <c r="X13" s="39">
        <f>資料儲存!H3849</f>
        <v>0</v>
      </c>
      <c r="Y13" s="39">
        <f>資料儲存!I3849</f>
        <v>0</v>
      </c>
      <c r="Z13" s="39">
        <f>資料儲存!J3849</f>
        <v>0</v>
      </c>
      <c r="AA13" s="58"/>
      <c r="AB13" s="61">
        <v>8</v>
      </c>
      <c r="AC13" s="39">
        <f>資料儲存!D3969</f>
        <v>0</v>
      </c>
      <c r="AD13" s="39">
        <f>資料儲存!E3969</f>
        <v>0</v>
      </c>
      <c r="AE13" s="39">
        <f>資料儲存!F3969</f>
        <v>0</v>
      </c>
      <c r="AF13" s="39">
        <f>資料儲存!G3969</f>
        <v>0</v>
      </c>
      <c r="AG13" s="39">
        <f>資料儲存!H3969</f>
        <v>0</v>
      </c>
      <c r="AH13" s="39">
        <f>資料儲存!I3969</f>
        <v>0</v>
      </c>
      <c r="AI13" s="39">
        <f>資料儲存!J3969</f>
        <v>0</v>
      </c>
      <c r="AJ13" s="58"/>
    </row>
    <row r="14" spans="1:36" ht="16" thickBot="1">
      <c r="A14" s="61">
        <v>9</v>
      </c>
      <c r="B14" s="39">
        <f>資料儲存!D3610</f>
        <v>0</v>
      </c>
      <c r="C14" s="39">
        <f>資料儲存!E3610</f>
        <v>0</v>
      </c>
      <c r="D14" s="39">
        <f>資料儲存!F3610</f>
        <v>0</v>
      </c>
      <c r="E14" s="39">
        <f>資料儲存!G3610</f>
        <v>0</v>
      </c>
      <c r="F14" s="39">
        <f>資料儲存!H3610</f>
        <v>0</v>
      </c>
      <c r="G14" s="39">
        <f>資料儲存!I3610</f>
        <v>0</v>
      </c>
      <c r="H14" s="39">
        <f>資料儲存!J3610</f>
        <v>0</v>
      </c>
      <c r="I14" s="58"/>
      <c r="J14" s="61">
        <v>9</v>
      </c>
      <c r="K14" s="39">
        <f>資料儲存!D3730</f>
        <v>0</v>
      </c>
      <c r="L14" s="39">
        <f>資料儲存!E3730</f>
        <v>0</v>
      </c>
      <c r="M14" s="39">
        <f>資料儲存!F3730</f>
        <v>0</v>
      </c>
      <c r="N14" s="39">
        <f>資料儲存!G3730</f>
        <v>0</v>
      </c>
      <c r="O14" s="39">
        <f>資料儲存!H3730</f>
        <v>0</v>
      </c>
      <c r="P14" s="39">
        <f>資料儲存!I3730</f>
        <v>0</v>
      </c>
      <c r="Q14" s="39">
        <f>資料儲存!J3730</f>
        <v>0</v>
      </c>
      <c r="R14" s="58"/>
      <c r="S14" s="61">
        <v>9</v>
      </c>
      <c r="T14" s="39">
        <f>資料儲存!D3850</f>
        <v>0</v>
      </c>
      <c r="U14" s="39">
        <f>資料儲存!E3850</f>
        <v>0</v>
      </c>
      <c r="V14" s="39">
        <f>資料儲存!F3850</f>
        <v>0</v>
      </c>
      <c r="W14" s="39">
        <f>資料儲存!G3850</f>
        <v>0</v>
      </c>
      <c r="X14" s="39">
        <f>資料儲存!H3850</f>
        <v>0</v>
      </c>
      <c r="Y14" s="39">
        <f>資料儲存!I3850</f>
        <v>0</v>
      </c>
      <c r="Z14" s="39">
        <f>資料儲存!J3850</f>
        <v>0</v>
      </c>
      <c r="AA14" s="58"/>
      <c r="AB14" s="61">
        <v>9</v>
      </c>
      <c r="AC14" s="39">
        <f>資料儲存!D3970</f>
        <v>0</v>
      </c>
      <c r="AD14" s="39">
        <f>資料儲存!E3970</f>
        <v>0</v>
      </c>
      <c r="AE14" s="39">
        <f>資料儲存!F3970</f>
        <v>0</v>
      </c>
      <c r="AF14" s="39">
        <f>資料儲存!G3970</f>
        <v>0</v>
      </c>
      <c r="AG14" s="39">
        <f>資料儲存!H3970</f>
        <v>0</v>
      </c>
      <c r="AH14" s="39">
        <f>資料儲存!I3970</f>
        <v>0</v>
      </c>
      <c r="AI14" s="39">
        <f>資料儲存!J3970</f>
        <v>0</v>
      </c>
      <c r="AJ14" s="58"/>
    </row>
    <row r="15" spans="1:36" ht="16" thickBot="1">
      <c r="A15" s="61">
        <v>10</v>
      </c>
      <c r="B15" s="39">
        <f>資料儲存!D3611</f>
        <v>0</v>
      </c>
      <c r="C15" s="39">
        <f>資料儲存!E3611</f>
        <v>0</v>
      </c>
      <c r="D15" s="39">
        <f>資料儲存!F3611</f>
        <v>0</v>
      </c>
      <c r="E15" s="39">
        <f>資料儲存!G3611</f>
        <v>0</v>
      </c>
      <c r="F15" s="39">
        <f>資料儲存!H3611</f>
        <v>0</v>
      </c>
      <c r="G15" s="39">
        <f>資料儲存!I3611</f>
        <v>0</v>
      </c>
      <c r="H15" s="39">
        <f>資料儲存!J3611</f>
        <v>0</v>
      </c>
      <c r="I15" s="58"/>
      <c r="J15" s="61">
        <v>10</v>
      </c>
      <c r="K15" s="39">
        <f>資料儲存!D3731</f>
        <v>0</v>
      </c>
      <c r="L15" s="39">
        <f>資料儲存!E3731</f>
        <v>0</v>
      </c>
      <c r="M15" s="39">
        <f>資料儲存!F3731</f>
        <v>0</v>
      </c>
      <c r="N15" s="39">
        <f>資料儲存!G3731</f>
        <v>0</v>
      </c>
      <c r="O15" s="39">
        <f>資料儲存!H3731</f>
        <v>0</v>
      </c>
      <c r="P15" s="39">
        <f>資料儲存!I3731</f>
        <v>0</v>
      </c>
      <c r="Q15" s="39">
        <f>資料儲存!J3731</f>
        <v>0</v>
      </c>
      <c r="R15" s="58"/>
      <c r="S15" s="61">
        <v>10</v>
      </c>
      <c r="T15" s="39">
        <f>資料儲存!D3851</f>
        <v>0</v>
      </c>
      <c r="U15" s="39">
        <f>資料儲存!E3851</f>
        <v>0</v>
      </c>
      <c r="V15" s="39">
        <f>資料儲存!F3851</f>
        <v>0</v>
      </c>
      <c r="W15" s="39">
        <f>資料儲存!G3851</f>
        <v>0</v>
      </c>
      <c r="X15" s="39">
        <f>資料儲存!H3851</f>
        <v>0</v>
      </c>
      <c r="Y15" s="39">
        <f>資料儲存!I3851</f>
        <v>0</v>
      </c>
      <c r="Z15" s="39">
        <f>資料儲存!J3851</f>
        <v>0</v>
      </c>
      <c r="AA15" s="58"/>
      <c r="AB15" s="61">
        <v>10</v>
      </c>
      <c r="AC15" s="39">
        <f>資料儲存!D3971</f>
        <v>0</v>
      </c>
      <c r="AD15" s="39">
        <f>資料儲存!E3971</f>
        <v>0</v>
      </c>
      <c r="AE15" s="39">
        <f>資料儲存!F3971</f>
        <v>0</v>
      </c>
      <c r="AF15" s="39">
        <f>資料儲存!G3971</f>
        <v>0</v>
      </c>
      <c r="AG15" s="39">
        <f>資料儲存!H3971</f>
        <v>0</v>
      </c>
      <c r="AH15" s="39">
        <f>資料儲存!I3971</f>
        <v>0</v>
      </c>
      <c r="AI15" s="39">
        <f>資料儲存!J3971</f>
        <v>0</v>
      </c>
      <c r="AJ15" s="58"/>
    </row>
    <row r="16" spans="1:36" ht="16" thickBot="1">
      <c r="A16" s="61">
        <v>11</v>
      </c>
      <c r="B16" s="39">
        <f>資料儲存!D3612</f>
        <v>0</v>
      </c>
      <c r="C16" s="39">
        <f>資料儲存!E3612</f>
        <v>0</v>
      </c>
      <c r="D16" s="39">
        <f>資料儲存!F3612</f>
        <v>0</v>
      </c>
      <c r="E16" s="39">
        <f>資料儲存!G3612</f>
        <v>0</v>
      </c>
      <c r="F16" s="39">
        <f>資料儲存!H3612</f>
        <v>0</v>
      </c>
      <c r="G16" s="39">
        <f>資料儲存!I3612</f>
        <v>0</v>
      </c>
      <c r="H16" s="39">
        <f>資料儲存!J3612</f>
        <v>0</v>
      </c>
      <c r="I16" s="58"/>
      <c r="J16" s="61">
        <v>11</v>
      </c>
      <c r="K16" s="39">
        <f>資料儲存!D3732</f>
        <v>0</v>
      </c>
      <c r="L16" s="39">
        <f>資料儲存!E3732</f>
        <v>0</v>
      </c>
      <c r="M16" s="39">
        <f>資料儲存!F3732</f>
        <v>0</v>
      </c>
      <c r="N16" s="39">
        <f>資料儲存!G3732</f>
        <v>0</v>
      </c>
      <c r="O16" s="39">
        <f>資料儲存!H3732</f>
        <v>0</v>
      </c>
      <c r="P16" s="39">
        <f>資料儲存!I3732</f>
        <v>0</v>
      </c>
      <c r="Q16" s="39">
        <f>資料儲存!J3732</f>
        <v>0</v>
      </c>
      <c r="R16" s="58"/>
      <c r="S16" s="61">
        <v>11</v>
      </c>
      <c r="T16" s="39">
        <f>資料儲存!D3852</f>
        <v>0</v>
      </c>
      <c r="U16" s="39">
        <f>資料儲存!E3852</f>
        <v>0</v>
      </c>
      <c r="V16" s="39">
        <f>資料儲存!F3852</f>
        <v>0</v>
      </c>
      <c r="W16" s="39">
        <f>資料儲存!G3852</f>
        <v>0</v>
      </c>
      <c r="X16" s="39">
        <f>資料儲存!H3852</f>
        <v>0</v>
      </c>
      <c r="Y16" s="39">
        <f>資料儲存!I3852</f>
        <v>0</v>
      </c>
      <c r="Z16" s="39">
        <f>資料儲存!J3852</f>
        <v>0</v>
      </c>
      <c r="AA16" s="58"/>
      <c r="AB16" s="61">
        <v>11</v>
      </c>
      <c r="AC16" s="39">
        <f>資料儲存!D3972</f>
        <v>0</v>
      </c>
      <c r="AD16" s="39">
        <f>資料儲存!E3972</f>
        <v>0</v>
      </c>
      <c r="AE16" s="39">
        <f>資料儲存!F3972</f>
        <v>0</v>
      </c>
      <c r="AF16" s="39">
        <f>資料儲存!G3972</f>
        <v>0</v>
      </c>
      <c r="AG16" s="39">
        <f>資料儲存!H3972</f>
        <v>0</v>
      </c>
      <c r="AH16" s="39">
        <f>資料儲存!I3972</f>
        <v>0</v>
      </c>
      <c r="AI16" s="39">
        <f>資料儲存!J3972</f>
        <v>0</v>
      </c>
      <c r="AJ16" s="58"/>
    </row>
    <row r="17" spans="1:36" ht="16" thickBot="1">
      <c r="A17" s="61">
        <v>12</v>
      </c>
      <c r="B17" s="39">
        <f>資料儲存!D3613</f>
        <v>0</v>
      </c>
      <c r="C17" s="39">
        <f>資料儲存!E3613</f>
        <v>0</v>
      </c>
      <c r="D17" s="39">
        <f>資料儲存!F3613</f>
        <v>0</v>
      </c>
      <c r="E17" s="39">
        <f>資料儲存!G3613</f>
        <v>0</v>
      </c>
      <c r="F17" s="39">
        <f>資料儲存!H3613</f>
        <v>0</v>
      </c>
      <c r="G17" s="39">
        <f>資料儲存!I3613</f>
        <v>0</v>
      </c>
      <c r="H17" s="39">
        <f>資料儲存!J3613</f>
        <v>0</v>
      </c>
      <c r="I17" s="58"/>
      <c r="J17" s="61">
        <v>12</v>
      </c>
      <c r="K17" s="39">
        <f>資料儲存!D3733</f>
        <v>0</v>
      </c>
      <c r="L17" s="39">
        <f>資料儲存!E3733</f>
        <v>0</v>
      </c>
      <c r="M17" s="39">
        <f>資料儲存!F3733</f>
        <v>0</v>
      </c>
      <c r="N17" s="39">
        <f>資料儲存!G3733</f>
        <v>0</v>
      </c>
      <c r="O17" s="39">
        <f>資料儲存!H3733</f>
        <v>0</v>
      </c>
      <c r="P17" s="39">
        <f>資料儲存!I3733</f>
        <v>0</v>
      </c>
      <c r="Q17" s="39">
        <f>資料儲存!J3733</f>
        <v>0</v>
      </c>
      <c r="R17" s="58"/>
      <c r="S17" s="61">
        <v>12</v>
      </c>
      <c r="T17" s="39">
        <f>資料儲存!D3853</f>
        <v>0</v>
      </c>
      <c r="U17" s="39">
        <f>資料儲存!E3853</f>
        <v>0</v>
      </c>
      <c r="V17" s="39">
        <f>資料儲存!F3853</f>
        <v>0</v>
      </c>
      <c r="W17" s="39">
        <f>資料儲存!G3853</f>
        <v>0</v>
      </c>
      <c r="X17" s="39">
        <f>資料儲存!H3853</f>
        <v>0</v>
      </c>
      <c r="Y17" s="39">
        <f>資料儲存!I3853</f>
        <v>0</v>
      </c>
      <c r="Z17" s="39">
        <f>資料儲存!J3853</f>
        <v>0</v>
      </c>
      <c r="AA17" s="58"/>
      <c r="AB17" s="61">
        <v>12</v>
      </c>
      <c r="AC17" s="39">
        <f>資料儲存!D3973</f>
        <v>0</v>
      </c>
      <c r="AD17" s="39">
        <f>資料儲存!E3973</f>
        <v>0</v>
      </c>
      <c r="AE17" s="39">
        <f>資料儲存!F3973</f>
        <v>0</v>
      </c>
      <c r="AF17" s="39">
        <f>資料儲存!G3973</f>
        <v>0</v>
      </c>
      <c r="AG17" s="39">
        <f>資料儲存!H3973</f>
        <v>0</v>
      </c>
      <c r="AH17" s="39">
        <f>資料儲存!I3973</f>
        <v>0</v>
      </c>
      <c r="AI17" s="39">
        <f>資料儲存!J3973</f>
        <v>0</v>
      </c>
      <c r="AJ17" s="58"/>
    </row>
    <row r="18" spans="1:36" ht="16" thickBot="1">
      <c r="A18" s="61">
        <v>13</v>
      </c>
      <c r="B18" s="39">
        <f>資料儲存!D3614</f>
        <v>0</v>
      </c>
      <c r="C18" s="39">
        <f>資料儲存!E3614</f>
        <v>0</v>
      </c>
      <c r="D18" s="39">
        <f>資料儲存!F3614</f>
        <v>0</v>
      </c>
      <c r="E18" s="39">
        <f>資料儲存!G3614</f>
        <v>0</v>
      </c>
      <c r="F18" s="39">
        <f>資料儲存!H3614</f>
        <v>0</v>
      </c>
      <c r="G18" s="39">
        <f>資料儲存!I3614</f>
        <v>0</v>
      </c>
      <c r="H18" s="39">
        <f>資料儲存!J3614</f>
        <v>0</v>
      </c>
      <c r="I18" s="58"/>
      <c r="J18" s="61">
        <v>13</v>
      </c>
      <c r="K18" s="39">
        <f>資料儲存!D3734</f>
        <v>0</v>
      </c>
      <c r="L18" s="39">
        <f>資料儲存!E3734</f>
        <v>0</v>
      </c>
      <c r="M18" s="39">
        <f>資料儲存!F3734</f>
        <v>0</v>
      </c>
      <c r="N18" s="39">
        <f>資料儲存!G3734</f>
        <v>0</v>
      </c>
      <c r="O18" s="39">
        <f>資料儲存!H3734</f>
        <v>0</v>
      </c>
      <c r="P18" s="39">
        <f>資料儲存!I3734</f>
        <v>0</v>
      </c>
      <c r="Q18" s="39">
        <f>資料儲存!J3734</f>
        <v>0</v>
      </c>
      <c r="R18" s="58"/>
      <c r="S18" s="61">
        <v>13</v>
      </c>
      <c r="T18" s="39">
        <f>資料儲存!D3854</f>
        <v>0</v>
      </c>
      <c r="U18" s="39">
        <f>資料儲存!E3854</f>
        <v>0</v>
      </c>
      <c r="V18" s="39">
        <f>資料儲存!F3854</f>
        <v>0</v>
      </c>
      <c r="W18" s="39">
        <f>資料儲存!G3854</f>
        <v>0</v>
      </c>
      <c r="X18" s="39">
        <f>資料儲存!H3854</f>
        <v>0</v>
      </c>
      <c r="Y18" s="39">
        <f>資料儲存!I3854</f>
        <v>0</v>
      </c>
      <c r="Z18" s="39">
        <f>資料儲存!J3854</f>
        <v>0</v>
      </c>
      <c r="AA18" s="58"/>
      <c r="AB18" s="61">
        <v>13</v>
      </c>
      <c r="AC18" s="39">
        <f>資料儲存!D3974</f>
        <v>0</v>
      </c>
      <c r="AD18" s="39">
        <f>資料儲存!E3974</f>
        <v>0</v>
      </c>
      <c r="AE18" s="39">
        <f>資料儲存!F3974</f>
        <v>0</v>
      </c>
      <c r="AF18" s="39">
        <f>資料儲存!G3974</f>
        <v>0</v>
      </c>
      <c r="AG18" s="39">
        <f>資料儲存!H3974</f>
        <v>0</v>
      </c>
      <c r="AH18" s="39">
        <f>資料儲存!I3974</f>
        <v>0</v>
      </c>
      <c r="AI18" s="39">
        <f>資料儲存!J3974</f>
        <v>0</v>
      </c>
      <c r="AJ18" s="58"/>
    </row>
    <row r="19" spans="1:36" ht="16" thickBot="1">
      <c r="A19" s="61">
        <v>14</v>
      </c>
      <c r="B19" s="39">
        <f>資料儲存!D3615</f>
        <v>0</v>
      </c>
      <c r="C19" s="39">
        <f>資料儲存!E3615</f>
        <v>0</v>
      </c>
      <c r="D19" s="39">
        <f>資料儲存!F3615</f>
        <v>0</v>
      </c>
      <c r="E19" s="39">
        <f>資料儲存!G3615</f>
        <v>0</v>
      </c>
      <c r="F19" s="39">
        <f>資料儲存!H3615</f>
        <v>0</v>
      </c>
      <c r="G19" s="39">
        <f>資料儲存!I3615</f>
        <v>0</v>
      </c>
      <c r="H19" s="39">
        <f>資料儲存!J3615</f>
        <v>0</v>
      </c>
      <c r="I19" s="58"/>
      <c r="J19" s="61">
        <v>14</v>
      </c>
      <c r="K19" s="39">
        <f>資料儲存!D3735</f>
        <v>0</v>
      </c>
      <c r="L19" s="39">
        <f>資料儲存!E3735</f>
        <v>0</v>
      </c>
      <c r="M19" s="39">
        <f>資料儲存!F3735</f>
        <v>0</v>
      </c>
      <c r="N19" s="39">
        <f>資料儲存!G3735</f>
        <v>0</v>
      </c>
      <c r="O19" s="39">
        <f>資料儲存!H3735</f>
        <v>0</v>
      </c>
      <c r="P19" s="39">
        <f>資料儲存!I3735</f>
        <v>0</v>
      </c>
      <c r="Q19" s="39">
        <f>資料儲存!J3735</f>
        <v>0</v>
      </c>
      <c r="R19" s="58"/>
      <c r="S19" s="61">
        <v>14</v>
      </c>
      <c r="T19" s="39">
        <f>資料儲存!D3855</f>
        <v>0</v>
      </c>
      <c r="U19" s="39">
        <f>資料儲存!E3855</f>
        <v>0</v>
      </c>
      <c r="V19" s="39">
        <f>資料儲存!F3855</f>
        <v>0</v>
      </c>
      <c r="W19" s="39">
        <f>資料儲存!G3855</f>
        <v>0</v>
      </c>
      <c r="X19" s="39">
        <f>資料儲存!H3855</f>
        <v>0</v>
      </c>
      <c r="Y19" s="39">
        <f>資料儲存!I3855</f>
        <v>0</v>
      </c>
      <c r="Z19" s="39">
        <f>資料儲存!J3855</f>
        <v>0</v>
      </c>
      <c r="AA19" s="58"/>
      <c r="AB19" s="61">
        <v>14</v>
      </c>
      <c r="AC19" s="39">
        <f>資料儲存!D3975</f>
        <v>0</v>
      </c>
      <c r="AD19" s="39">
        <f>資料儲存!E3975</f>
        <v>0</v>
      </c>
      <c r="AE19" s="39">
        <f>資料儲存!F3975</f>
        <v>0</v>
      </c>
      <c r="AF19" s="39">
        <f>資料儲存!G3975</f>
        <v>0</v>
      </c>
      <c r="AG19" s="39">
        <f>資料儲存!H3975</f>
        <v>0</v>
      </c>
      <c r="AH19" s="39">
        <f>資料儲存!I3975</f>
        <v>0</v>
      </c>
      <c r="AI19" s="39">
        <f>資料儲存!J3975</f>
        <v>0</v>
      </c>
      <c r="AJ19" s="58"/>
    </row>
    <row r="20" spans="1:36" ht="16" thickBot="1">
      <c r="A20" s="61">
        <v>15</v>
      </c>
      <c r="B20" s="39">
        <f>資料儲存!D3616</f>
        <v>0</v>
      </c>
      <c r="C20" s="39">
        <f>資料儲存!E3616</f>
        <v>0</v>
      </c>
      <c r="D20" s="39">
        <f>資料儲存!F3616</f>
        <v>0</v>
      </c>
      <c r="E20" s="39">
        <f>資料儲存!G3616</f>
        <v>0</v>
      </c>
      <c r="F20" s="39">
        <f>資料儲存!H3616</f>
        <v>0</v>
      </c>
      <c r="G20" s="39">
        <f>資料儲存!I3616</f>
        <v>0</v>
      </c>
      <c r="H20" s="39">
        <f>資料儲存!J3616</f>
        <v>0</v>
      </c>
      <c r="I20" s="58"/>
      <c r="J20" s="61">
        <v>15</v>
      </c>
      <c r="K20" s="39">
        <f>資料儲存!D3736</f>
        <v>0</v>
      </c>
      <c r="L20" s="39">
        <f>資料儲存!E3736</f>
        <v>0</v>
      </c>
      <c r="M20" s="39">
        <f>資料儲存!F3736</f>
        <v>0</v>
      </c>
      <c r="N20" s="39">
        <f>資料儲存!G3736</f>
        <v>0</v>
      </c>
      <c r="O20" s="39">
        <f>資料儲存!H3736</f>
        <v>0</v>
      </c>
      <c r="P20" s="39">
        <f>資料儲存!I3736</f>
        <v>0</v>
      </c>
      <c r="Q20" s="39">
        <f>資料儲存!J3736</f>
        <v>0</v>
      </c>
      <c r="R20" s="58"/>
      <c r="S20" s="61">
        <v>15</v>
      </c>
      <c r="T20" s="39">
        <f>資料儲存!D3856</f>
        <v>0</v>
      </c>
      <c r="U20" s="39">
        <f>資料儲存!E3856</f>
        <v>0</v>
      </c>
      <c r="V20" s="39">
        <f>資料儲存!F3856</f>
        <v>0</v>
      </c>
      <c r="W20" s="39">
        <f>資料儲存!G3856</f>
        <v>0</v>
      </c>
      <c r="X20" s="39">
        <f>資料儲存!H3856</f>
        <v>0</v>
      </c>
      <c r="Y20" s="39">
        <f>資料儲存!I3856</f>
        <v>0</v>
      </c>
      <c r="Z20" s="39">
        <f>資料儲存!J3856</f>
        <v>0</v>
      </c>
      <c r="AA20" s="58"/>
      <c r="AB20" s="61">
        <v>15</v>
      </c>
      <c r="AC20" s="39">
        <f>資料儲存!D3976</f>
        <v>0</v>
      </c>
      <c r="AD20" s="39">
        <f>資料儲存!E3976</f>
        <v>0</v>
      </c>
      <c r="AE20" s="39">
        <f>資料儲存!F3976</f>
        <v>0</v>
      </c>
      <c r="AF20" s="39">
        <f>資料儲存!G3976</f>
        <v>0</v>
      </c>
      <c r="AG20" s="39">
        <f>資料儲存!H3976</f>
        <v>0</v>
      </c>
      <c r="AH20" s="39">
        <f>資料儲存!I3976</f>
        <v>0</v>
      </c>
      <c r="AI20" s="39">
        <f>資料儲存!J3976</f>
        <v>0</v>
      </c>
      <c r="AJ20" s="58"/>
    </row>
    <row r="21" spans="1:36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</row>
    <row r="22" spans="1:36" ht="18.5" thickBot="1">
      <c r="A22" s="259" t="s">
        <v>74</v>
      </c>
      <c r="B22" s="260"/>
      <c r="C22" s="260"/>
      <c r="D22" s="260"/>
      <c r="E22" s="260"/>
      <c r="F22" s="260"/>
      <c r="G22" s="260"/>
      <c r="H22" s="261"/>
      <c r="I22" s="14"/>
      <c r="J22" s="259" t="s">
        <v>74</v>
      </c>
      <c r="K22" s="260"/>
      <c r="L22" s="260"/>
      <c r="M22" s="260"/>
      <c r="N22" s="260"/>
      <c r="O22" s="260"/>
      <c r="P22" s="260"/>
      <c r="Q22" s="261"/>
      <c r="R22" s="14"/>
      <c r="S22" s="259" t="s">
        <v>74</v>
      </c>
      <c r="T22" s="260"/>
      <c r="U22" s="260"/>
      <c r="V22" s="260"/>
      <c r="W22" s="260"/>
      <c r="X22" s="260"/>
      <c r="Y22" s="260"/>
      <c r="Z22" s="261"/>
      <c r="AA22" s="14"/>
      <c r="AB22" s="259" t="s">
        <v>74</v>
      </c>
      <c r="AC22" s="260"/>
      <c r="AD22" s="260"/>
      <c r="AE22" s="260"/>
      <c r="AF22" s="260"/>
      <c r="AG22" s="260"/>
      <c r="AH22" s="260"/>
      <c r="AI22" s="261"/>
      <c r="AJ22" s="14"/>
    </row>
    <row r="23" spans="1:36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</row>
    <row r="24" spans="1:36" ht="16" thickBot="1">
      <c r="A24" s="66" t="s">
        <v>75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 t="s">
        <v>75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 t="s">
        <v>75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 t="s">
        <v>75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</row>
    <row r="25" spans="1:36" ht="16" thickBot="1">
      <c r="A25" s="68">
        <v>16</v>
      </c>
      <c r="B25" s="49">
        <f>資料儲存!D3617</f>
        <v>0</v>
      </c>
      <c r="C25" s="49">
        <f>資料儲存!E3617</f>
        <v>0</v>
      </c>
      <c r="D25" s="49">
        <f>資料儲存!F3617</f>
        <v>0</v>
      </c>
      <c r="E25" s="49">
        <f>資料儲存!G3617</f>
        <v>0</v>
      </c>
      <c r="F25" s="49">
        <f>資料儲存!H3617</f>
        <v>0</v>
      </c>
      <c r="G25" s="49">
        <f>資料儲存!I3617</f>
        <v>0</v>
      </c>
      <c r="H25" s="49">
        <f>資料儲存!J3617</f>
        <v>0</v>
      </c>
      <c r="I25" s="52"/>
      <c r="J25" s="68">
        <v>16</v>
      </c>
      <c r="K25" s="49">
        <f>資料儲存!D3737</f>
        <v>0</v>
      </c>
      <c r="L25" s="49">
        <f>資料儲存!E3737</f>
        <v>0</v>
      </c>
      <c r="M25" s="49">
        <f>資料儲存!F3737</f>
        <v>0</v>
      </c>
      <c r="N25" s="49">
        <f>資料儲存!G3737</f>
        <v>0</v>
      </c>
      <c r="O25" s="49">
        <f>資料儲存!H3737</f>
        <v>0</v>
      </c>
      <c r="P25" s="49">
        <f>資料儲存!I3737</f>
        <v>0</v>
      </c>
      <c r="Q25" s="49">
        <f>資料儲存!J3737</f>
        <v>0</v>
      </c>
      <c r="R25" s="52"/>
      <c r="S25" s="68">
        <v>16</v>
      </c>
      <c r="T25" s="49">
        <f>資料儲存!D3857</f>
        <v>0</v>
      </c>
      <c r="U25" s="49">
        <f>資料儲存!E3857</f>
        <v>0</v>
      </c>
      <c r="V25" s="49">
        <f>資料儲存!F3857</f>
        <v>0</v>
      </c>
      <c r="W25" s="49">
        <f>資料儲存!G3857</f>
        <v>0</v>
      </c>
      <c r="X25" s="49">
        <f>資料儲存!H3857</f>
        <v>0</v>
      </c>
      <c r="Y25" s="49">
        <f>資料儲存!I3857</f>
        <v>0</v>
      </c>
      <c r="Z25" s="49">
        <f>資料儲存!J3857</f>
        <v>0</v>
      </c>
      <c r="AA25" s="52"/>
      <c r="AB25" s="68">
        <v>16</v>
      </c>
      <c r="AC25" s="49">
        <f>資料儲存!D3977</f>
        <v>0</v>
      </c>
      <c r="AD25" s="49">
        <f>資料儲存!E3977</f>
        <v>0</v>
      </c>
      <c r="AE25" s="49">
        <f>資料儲存!F3977</f>
        <v>0</v>
      </c>
      <c r="AF25" s="49">
        <f>資料儲存!G3977</f>
        <v>0</v>
      </c>
      <c r="AG25" s="49">
        <f>資料儲存!H3977</f>
        <v>0</v>
      </c>
      <c r="AH25" s="49">
        <f>資料儲存!I3977</f>
        <v>0</v>
      </c>
      <c r="AI25" s="49">
        <f>資料儲存!J3977</f>
        <v>0</v>
      </c>
      <c r="AJ25" s="52"/>
    </row>
    <row r="26" spans="1:36" ht="16" thickBot="1">
      <c r="A26" s="68">
        <v>17</v>
      </c>
      <c r="B26" s="49">
        <f>資料儲存!D3618</f>
        <v>0</v>
      </c>
      <c r="C26" s="49">
        <f>資料儲存!E3618</f>
        <v>0</v>
      </c>
      <c r="D26" s="49">
        <f>資料儲存!F3618</f>
        <v>0</v>
      </c>
      <c r="E26" s="49">
        <f>資料儲存!G3618</f>
        <v>0</v>
      </c>
      <c r="F26" s="49">
        <f>資料儲存!H3618</f>
        <v>0</v>
      </c>
      <c r="G26" s="49">
        <f>資料儲存!I3618</f>
        <v>0</v>
      </c>
      <c r="H26" s="49">
        <f>資料儲存!J3618</f>
        <v>0</v>
      </c>
      <c r="I26" s="52"/>
      <c r="J26" s="68">
        <v>17</v>
      </c>
      <c r="K26" s="49">
        <f>資料儲存!D3738</f>
        <v>0</v>
      </c>
      <c r="L26" s="49">
        <f>資料儲存!E3738</f>
        <v>0</v>
      </c>
      <c r="M26" s="49">
        <f>資料儲存!F3738</f>
        <v>0</v>
      </c>
      <c r="N26" s="49">
        <f>資料儲存!G3738</f>
        <v>0</v>
      </c>
      <c r="O26" s="49">
        <f>資料儲存!H3738</f>
        <v>0</v>
      </c>
      <c r="P26" s="49">
        <f>資料儲存!I3738</f>
        <v>0</v>
      </c>
      <c r="Q26" s="49">
        <f>資料儲存!J3738</f>
        <v>0</v>
      </c>
      <c r="R26" s="52"/>
      <c r="S26" s="68">
        <v>17</v>
      </c>
      <c r="T26" s="49">
        <f>資料儲存!D3858</f>
        <v>0</v>
      </c>
      <c r="U26" s="49">
        <f>資料儲存!E3858</f>
        <v>0</v>
      </c>
      <c r="V26" s="49">
        <f>資料儲存!F3858</f>
        <v>0</v>
      </c>
      <c r="W26" s="49">
        <f>資料儲存!G3858</f>
        <v>0</v>
      </c>
      <c r="X26" s="49">
        <f>資料儲存!H3858</f>
        <v>0</v>
      </c>
      <c r="Y26" s="49">
        <f>資料儲存!I3858</f>
        <v>0</v>
      </c>
      <c r="Z26" s="49">
        <f>資料儲存!J3858</f>
        <v>0</v>
      </c>
      <c r="AA26" s="52"/>
      <c r="AB26" s="68">
        <v>17</v>
      </c>
      <c r="AC26" s="49">
        <f>資料儲存!D3978</f>
        <v>0</v>
      </c>
      <c r="AD26" s="49">
        <f>資料儲存!E3978</f>
        <v>0</v>
      </c>
      <c r="AE26" s="49">
        <f>資料儲存!F3978</f>
        <v>0</v>
      </c>
      <c r="AF26" s="49">
        <f>資料儲存!G3978</f>
        <v>0</v>
      </c>
      <c r="AG26" s="49">
        <f>資料儲存!H3978</f>
        <v>0</v>
      </c>
      <c r="AH26" s="49">
        <f>資料儲存!I3978</f>
        <v>0</v>
      </c>
      <c r="AI26" s="49">
        <f>資料儲存!J3978</f>
        <v>0</v>
      </c>
      <c r="AJ26" s="52"/>
    </row>
    <row r="27" spans="1:36" ht="16" thickBot="1">
      <c r="A27" s="68">
        <v>18</v>
      </c>
      <c r="B27" s="49">
        <f>資料儲存!D3619</f>
        <v>0</v>
      </c>
      <c r="C27" s="49">
        <f>資料儲存!E3619</f>
        <v>0</v>
      </c>
      <c r="D27" s="49">
        <f>資料儲存!F3619</f>
        <v>0</v>
      </c>
      <c r="E27" s="49">
        <f>資料儲存!G3619</f>
        <v>0</v>
      </c>
      <c r="F27" s="49">
        <f>資料儲存!H3619</f>
        <v>0</v>
      </c>
      <c r="G27" s="49">
        <f>資料儲存!I3619</f>
        <v>0</v>
      </c>
      <c r="H27" s="49">
        <f>資料儲存!J3619</f>
        <v>0</v>
      </c>
      <c r="I27" s="52"/>
      <c r="J27" s="68">
        <v>18</v>
      </c>
      <c r="K27" s="49">
        <f>資料儲存!D3739</f>
        <v>0</v>
      </c>
      <c r="L27" s="49">
        <f>資料儲存!E3739</f>
        <v>0</v>
      </c>
      <c r="M27" s="49">
        <f>資料儲存!F3739</f>
        <v>0</v>
      </c>
      <c r="N27" s="49">
        <f>資料儲存!G3739</f>
        <v>0</v>
      </c>
      <c r="O27" s="49">
        <f>資料儲存!H3739</f>
        <v>0</v>
      </c>
      <c r="P27" s="49">
        <f>資料儲存!I3739</f>
        <v>0</v>
      </c>
      <c r="Q27" s="49">
        <f>資料儲存!J3739</f>
        <v>0</v>
      </c>
      <c r="R27" s="52"/>
      <c r="S27" s="68">
        <v>18</v>
      </c>
      <c r="T27" s="49">
        <f>資料儲存!D3859</f>
        <v>0</v>
      </c>
      <c r="U27" s="49">
        <f>資料儲存!E3859</f>
        <v>0</v>
      </c>
      <c r="V27" s="49">
        <f>資料儲存!F3859</f>
        <v>0</v>
      </c>
      <c r="W27" s="49">
        <f>資料儲存!G3859</f>
        <v>0</v>
      </c>
      <c r="X27" s="49">
        <f>資料儲存!H3859</f>
        <v>0</v>
      </c>
      <c r="Y27" s="49">
        <f>資料儲存!I3859</f>
        <v>0</v>
      </c>
      <c r="Z27" s="49">
        <f>資料儲存!J3859</f>
        <v>0</v>
      </c>
      <c r="AA27" s="52"/>
      <c r="AB27" s="68">
        <v>18</v>
      </c>
      <c r="AC27" s="49">
        <f>資料儲存!D3979</f>
        <v>0</v>
      </c>
      <c r="AD27" s="49">
        <f>資料儲存!E3979</f>
        <v>0</v>
      </c>
      <c r="AE27" s="49">
        <f>資料儲存!F3979</f>
        <v>0</v>
      </c>
      <c r="AF27" s="49">
        <f>資料儲存!G3979</f>
        <v>0</v>
      </c>
      <c r="AG27" s="49">
        <f>資料儲存!H3979</f>
        <v>0</v>
      </c>
      <c r="AH27" s="49">
        <f>資料儲存!I3979</f>
        <v>0</v>
      </c>
      <c r="AI27" s="49">
        <f>資料儲存!J3979</f>
        <v>0</v>
      </c>
      <c r="AJ27" s="52"/>
    </row>
    <row r="28" spans="1:36" ht="16" thickBot="1">
      <c r="A28" s="68">
        <v>19</v>
      </c>
      <c r="B28" s="49">
        <f>資料儲存!D3620</f>
        <v>0</v>
      </c>
      <c r="C28" s="49">
        <f>資料儲存!E3620</f>
        <v>0</v>
      </c>
      <c r="D28" s="49">
        <f>資料儲存!F3620</f>
        <v>0</v>
      </c>
      <c r="E28" s="49">
        <f>資料儲存!G3620</f>
        <v>0</v>
      </c>
      <c r="F28" s="49">
        <f>資料儲存!H3620</f>
        <v>0</v>
      </c>
      <c r="G28" s="49">
        <f>資料儲存!I3620</f>
        <v>0</v>
      </c>
      <c r="H28" s="49">
        <f>資料儲存!J3620</f>
        <v>0</v>
      </c>
      <c r="I28" s="52"/>
      <c r="J28" s="68">
        <v>19</v>
      </c>
      <c r="K28" s="49">
        <f>資料儲存!D3740</f>
        <v>0</v>
      </c>
      <c r="L28" s="49">
        <f>資料儲存!E3740</f>
        <v>0</v>
      </c>
      <c r="M28" s="49">
        <f>資料儲存!F3740</f>
        <v>0</v>
      </c>
      <c r="N28" s="49">
        <f>資料儲存!G3740</f>
        <v>0</v>
      </c>
      <c r="O28" s="49">
        <f>資料儲存!H3740</f>
        <v>0</v>
      </c>
      <c r="P28" s="49">
        <f>資料儲存!I3740</f>
        <v>0</v>
      </c>
      <c r="Q28" s="49">
        <f>資料儲存!J3740</f>
        <v>0</v>
      </c>
      <c r="R28" s="52"/>
      <c r="S28" s="68">
        <v>19</v>
      </c>
      <c r="T28" s="49">
        <f>資料儲存!D3860</f>
        <v>0</v>
      </c>
      <c r="U28" s="49">
        <f>資料儲存!E3860</f>
        <v>0</v>
      </c>
      <c r="V28" s="49">
        <f>資料儲存!F3860</f>
        <v>0</v>
      </c>
      <c r="W28" s="49">
        <f>資料儲存!G3860</f>
        <v>0</v>
      </c>
      <c r="X28" s="49">
        <f>資料儲存!H3860</f>
        <v>0</v>
      </c>
      <c r="Y28" s="49">
        <f>資料儲存!I3860</f>
        <v>0</v>
      </c>
      <c r="Z28" s="49">
        <f>資料儲存!J3860</f>
        <v>0</v>
      </c>
      <c r="AA28" s="52"/>
      <c r="AB28" s="68">
        <v>19</v>
      </c>
      <c r="AC28" s="49">
        <f>資料儲存!D3980</f>
        <v>0</v>
      </c>
      <c r="AD28" s="49">
        <f>資料儲存!E3980</f>
        <v>0</v>
      </c>
      <c r="AE28" s="49">
        <f>資料儲存!F3980</f>
        <v>0</v>
      </c>
      <c r="AF28" s="49">
        <f>資料儲存!G3980</f>
        <v>0</v>
      </c>
      <c r="AG28" s="49">
        <f>資料儲存!H3980</f>
        <v>0</v>
      </c>
      <c r="AH28" s="49">
        <f>資料儲存!I3980</f>
        <v>0</v>
      </c>
      <c r="AI28" s="49">
        <f>資料儲存!J3980</f>
        <v>0</v>
      </c>
      <c r="AJ28" s="52"/>
    </row>
    <row r="29" spans="1:36" ht="16" thickBot="1">
      <c r="A29" s="68">
        <v>20</v>
      </c>
      <c r="B29" s="49">
        <f>資料儲存!D3621</f>
        <v>0</v>
      </c>
      <c r="C29" s="49">
        <f>資料儲存!E3621</f>
        <v>0</v>
      </c>
      <c r="D29" s="49">
        <f>資料儲存!F3621</f>
        <v>0</v>
      </c>
      <c r="E29" s="49">
        <f>資料儲存!G3621</f>
        <v>0</v>
      </c>
      <c r="F29" s="49">
        <f>資料儲存!H3621</f>
        <v>0</v>
      </c>
      <c r="G29" s="49">
        <f>資料儲存!I3621</f>
        <v>0</v>
      </c>
      <c r="H29" s="49">
        <f>資料儲存!J3621</f>
        <v>0</v>
      </c>
      <c r="I29" s="52"/>
      <c r="J29" s="68">
        <v>20</v>
      </c>
      <c r="K29" s="49">
        <f>資料儲存!D3741</f>
        <v>0</v>
      </c>
      <c r="L29" s="49">
        <f>資料儲存!E3741</f>
        <v>0</v>
      </c>
      <c r="M29" s="49">
        <f>資料儲存!F3741</f>
        <v>0</v>
      </c>
      <c r="N29" s="49">
        <f>資料儲存!G3741</f>
        <v>0</v>
      </c>
      <c r="O29" s="49">
        <f>資料儲存!H3741</f>
        <v>0</v>
      </c>
      <c r="P29" s="49">
        <f>資料儲存!I3741</f>
        <v>0</v>
      </c>
      <c r="Q29" s="49">
        <f>資料儲存!J3741</f>
        <v>0</v>
      </c>
      <c r="R29" s="52"/>
      <c r="S29" s="68">
        <v>20</v>
      </c>
      <c r="T29" s="49">
        <f>資料儲存!D3861</f>
        <v>0</v>
      </c>
      <c r="U29" s="49">
        <f>資料儲存!E3861</f>
        <v>0</v>
      </c>
      <c r="V29" s="49">
        <f>資料儲存!F3861</f>
        <v>0</v>
      </c>
      <c r="W29" s="49">
        <f>資料儲存!G3861</f>
        <v>0</v>
      </c>
      <c r="X29" s="49">
        <f>資料儲存!H3861</f>
        <v>0</v>
      </c>
      <c r="Y29" s="49">
        <f>資料儲存!I3861</f>
        <v>0</v>
      </c>
      <c r="Z29" s="49">
        <f>資料儲存!J3861</f>
        <v>0</v>
      </c>
      <c r="AA29" s="52"/>
      <c r="AB29" s="68">
        <v>20</v>
      </c>
      <c r="AC29" s="49">
        <f>資料儲存!D3981</f>
        <v>0</v>
      </c>
      <c r="AD29" s="49">
        <f>資料儲存!E3981</f>
        <v>0</v>
      </c>
      <c r="AE29" s="49">
        <f>資料儲存!F3981</f>
        <v>0</v>
      </c>
      <c r="AF29" s="49">
        <f>資料儲存!G3981</f>
        <v>0</v>
      </c>
      <c r="AG29" s="49">
        <f>資料儲存!H3981</f>
        <v>0</v>
      </c>
      <c r="AH29" s="49">
        <f>資料儲存!I3981</f>
        <v>0</v>
      </c>
      <c r="AI29" s="49">
        <f>資料儲存!J3981</f>
        <v>0</v>
      </c>
      <c r="AJ29" s="52"/>
    </row>
    <row r="30" spans="1:36" ht="16" thickBot="1">
      <c r="A30" s="68">
        <v>21</v>
      </c>
      <c r="B30" s="49">
        <f>資料儲存!D3622</f>
        <v>0</v>
      </c>
      <c r="C30" s="49">
        <f>資料儲存!E3622</f>
        <v>0</v>
      </c>
      <c r="D30" s="49">
        <f>資料儲存!F3622</f>
        <v>0</v>
      </c>
      <c r="E30" s="49">
        <f>資料儲存!G3622</f>
        <v>0</v>
      </c>
      <c r="F30" s="49">
        <f>資料儲存!H3622</f>
        <v>0</v>
      </c>
      <c r="G30" s="49">
        <f>資料儲存!I3622</f>
        <v>0</v>
      </c>
      <c r="H30" s="49">
        <f>資料儲存!J3622</f>
        <v>0</v>
      </c>
      <c r="I30" s="52"/>
      <c r="J30" s="68">
        <v>21</v>
      </c>
      <c r="K30" s="49">
        <f>資料儲存!D3742</f>
        <v>0</v>
      </c>
      <c r="L30" s="49">
        <f>資料儲存!E3742</f>
        <v>0</v>
      </c>
      <c r="M30" s="49">
        <f>資料儲存!F3742</f>
        <v>0</v>
      </c>
      <c r="N30" s="49">
        <f>資料儲存!G3742</f>
        <v>0</v>
      </c>
      <c r="O30" s="49">
        <f>資料儲存!H3742</f>
        <v>0</v>
      </c>
      <c r="P30" s="49">
        <f>資料儲存!I3742</f>
        <v>0</v>
      </c>
      <c r="Q30" s="49">
        <f>資料儲存!J3742</f>
        <v>0</v>
      </c>
      <c r="R30" s="52"/>
      <c r="S30" s="68">
        <v>21</v>
      </c>
      <c r="T30" s="49">
        <f>資料儲存!D3862</f>
        <v>0</v>
      </c>
      <c r="U30" s="49">
        <f>資料儲存!E3862</f>
        <v>0</v>
      </c>
      <c r="V30" s="49">
        <f>資料儲存!F3862</f>
        <v>0</v>
      </c>
      <c r="W30" s="49">
        <f>資料儲存!G3862</f>
        <v>0</v>
      </c>
      <c r="X30" s="49">
        <f>資料儲存!H3862</f>
        <v>0</v>
      </c>
      <c r="Y30" s="49">
        <f>資料儲存!I3862</f>
        <v>0</v>
      </c>
      <c r="Z30" s="49">
        <f>資料儲存!J3862</f>
        <v>0</v>
      </c>
      <c r="AA30" s="52"/>
      <c r="AB30" s="68">
        <v>21</v>
      </c>
      <c r="AC30" s="49">
        <f>資料儲存!D3982</f>
        <v>0</v>
      </c>
      <c r="AD30" s="49">
        <f>資料儲存!E3982</f>
        <v>0</v>
      </c>
      <c r="AE30" s="49">
        <f>資料儲存!F3982</f>
        <v>0</v>
      </c>
      <c r="AF30" s="49">
        <f>資料儲存!G3982</f>
        <v>0</v>
      </c>
      <c r="AG30" s="49">
        <f>資料儲存!H3982</f>
        <v>0</v>
      </c>
      <c r="AH30" s="49">
        <f>資料儲存!I3982</f>
        <v>0</v>
      </c>
      <c r="AI30" s="49">
        <f>資料儲存!J3982</f>
        <v>0</v>
      </c>
      <c r="AJ30" s="52"/>
    </row>
    <row r="31" spans="1:36" ht="16" thickBot="1">
      <c r="A31" s="68">
        <v>22</v>
      </c>
      <c r="B31" s="49">
        <f>資料儲存!D3623</f>
        <v>0</v>
      </c>
      <c r="C31" s="49">
        <f>資料儲存!E3623</f>
        <v>0</v>
      </c>
      <c r="D31" s="49">
        <f>資料儲存!F3623</f>
        <v>0</v>
      </c>
      <c r="E31" s="49">
        <f>資料儲存!G3623</f>
        <v>0</v>
      </c>
      <c r="F31" s="49">
        <f>資料儲存!H3623</f>
        <v>0</v>
      </c>
      <c r="G31" s="49">
        <f>資料儲存!I3623</f>
        <v>0</v>
      </c>
      <c r="H31" s="49">
        <f>資料儲存!J3623</f>
        <v>0</v>
      </c>
      <c r="I31" s="52"/>
      <c r="J31" s="68">
        <v>22</v>
      </c>
      <c r="K31" s="49">
        <f>資料儲存!D3743</f>
        <v>0</v>
      </c>
      <c r="L31" s="49">
        <f>資料儲存!E3743</f>
        <v>0</v>
      </c>
      <c r="M31" s="49">
        <f>資料儲存!F3743</f>
        <v>0</v>
      </c>
      <c r="N31" s="49">
        <f>資料儲存!G3743</f>
        <v>0</v>
      </c>
      <c r="O31" s="49">
        <f>資料儲存!H3743</f>
        <v>0</v>
      </c>
      <c r="P31" s="49">
        <f>資料儲存!I3743</f>
        <v>0</v>
      </c>
      <c r="Q31" s="49">
        <f>資料儲存!J3743</f>
        <v>0</v>
      </c>
      <c r="R31" s="52"/>
      <c r="S31" s="68">
        <v>22</v>
      </c>
      <c r="T31" s="49">
        <f>資料儲存!D3863</f>
        <v>0</v>
      </c>
      <c r="U31" s="49">
        <f>資料儲存!E3863</f>
        <v>0</v>
      </c>
      <c r="V31" s="49">
        <f>資料儲存!F3863</f>
        <v>0</v>
      </c>
      <c r="W31" s="49">
        <f>資料儲存!G3863</f>
        <v>0</v>
      </c>
      <c r="X31" s="49">
        <f>資料儲存!H3863</f>
        <v>0</v>
      </c>
      <c r="Y31" s="49">
        <f>資料儲存!I3863</f>
        <v>0</v>
      </c>
      <c r="Z31" s="49">
        <f>資料儲存!J3863</f>
        <v>0</v>
      </c>
      <c r="AA31" s="52"/>
      <c r="AB31" s="68">
        <v>22</v>
      </c>
      <c r="AC31" s="49">
        <f>資料儲存!D3983</f>
        <v>0</v>
      </c>
      <c r="AD31" s="49">
        <f>資料儲存!E3983</f>
        <v>0</v>
      </c>
      <c r="AE31" s="49">
        <f>資料儲存!F3983</f>
        <v>0</v>
      </c>
      <c r="AF31" s="49">
        <f>資料儲存!G3983</f>
        <v>0</v>
      </c>
      <c r="AG31" s="49">
        <f>資料儲存!H3983</f>
        <v>0</v>
      </c>
      <c r="AH31" s="49">
        <f>資料儲存!I3983</f>
        <v>0</v>
      </c>
      <c r="AI31" s="49">
        <f>資料儲存!J3983</f>
        <v>0</v>
      </c>
      <c r="AJ31" s="52"/>
    </row>
    <row r="32" spans="1:36" ht="16" thickBot="1">
      <c r="A32" s="68">
        <v>23</v>
      </c>
      <c r="B32" s="49">
        <f>資料儲存!D3624</f>
        <v>0</v>
      </c>
      <c r="C32" s="49">
        <f>資料儲存!E3624</f>
        <v>0</v>
      </c>
      <c r="D32" s="49">
        <f>資料儲存!F3624</f>
        <v>0</v>
      </c>
      <c r="E32" s="49">
        <f>資料儲存!G3624</f>
        <v>0</v>
      </c>
      <c r="F32" s="49">
        <f>資料儲存!H3624</f>
        <v>0</v>
      </c>
      <c r="G32" s="49">
        <f>資料儲存!I3624</f>
        <v>0</v>
      </c>
      <c r="H32" s="49">
        <f>資料儲存!J3624</f>
        <v>0</v>
      </c>
      <c r="I32" s="52"/>
      <c r="J32" s="68">
        <v>23</v>
      </c>
      <c r="K32" s="49">
        <f>資料儲存!D3744</f>
        <v>0</v>
      </c>
      <c r="L32" s="49">
        <f>資料儲存!E3744</f>
        <v>0</v>
      </c>
      <c r="M32" s="49">
        <f>資料儲存!F3744</f>
        <v>0</v>
      </c>
      <c r="N32" s="49">
        <f>資料儲存!G3744</f>
        <v>0</v>
      </c>
      <c r="O32" s="49">
        <f>資料儲存!H3744</f>
        <v>0</v>
      </c>
      <c r="P32" s="49">
        <f>資料儲存!I3744</f>
        <v>0</v>
      </c>
      <c r="Q32" s="49">
        <f>資料儲存!J3744</f>
        <v>0</v>
      </c>
      <c r="R32" s="52"/>
      <c r="S32" s="68">
        <v>23</v>
      </c>
      <c r="T32" s="49">
        <f>資料儲存!D3864</f>
        <v>0</v>
      </c>
      <c r="U32" s="49">
        <f>資料儲存!E3864</f>
        <v>0</v>
      </c>
      <c r="V32" s="49">
        <f>資料儲存!F3864</f>
        <v>0</v>
      </c>
      <c r="W32" s="49">
        <f>資料儲存!G3864</f>
        <v>0</v>
      </c>
      <c r="X32" s="49">
        <f>資料儲存!H3864</f>
        <v>0</v>
      </c>
      <c r="Y32" s="49">
        <f>資料儲存!I3864</f>
        <v>0</v>
      </c>
      <c r="Z32" s="49">
        <f>資料儲存!J3864</f>
        <v>0</v>
      </c>
      <c r="AA32" s="52"/>
      <c r="AB32" s="68">
        <v>23</v>
      </c>
      <c r="AC32" s="49">
        <f>資料儲存!D3984</f>
        <v>0</v>
      </c>
      <c r="AD32" s="49">
        <f>資料儲存!E3984</f>
        <v>0</v>
      </c>
      <c r="AE32" s="49">
        <f>資料儲存!F3984</f>
        <v>0</v>
      </c>
      <c r="AF32" s="49">
        <f>資料儲存!G3984</f>
        <v>0</v>
      </c>
      <c r="AG32" s="49">
        <f>資料儲存!H3984</f>
        <v>0</v>
      </c>
      <c r="AH32" s="49">
        <f>資料儲存!I3984</f>
        <v>0</v>
      </c>
      <c r="AI32" s="49">
        <f>資料儲存!J3984</f>
        <v>0</v>
      </c>
      <c r="AJ32" s="52"/>
    </row>
    <row r="33" spans="1:36" ht="16" thickBot="1">
      <c r="A33" s="68">
        <v>24</v>
      </c>
      <c r="B33" s="49">
        <f>資料儲存!D3625</f>
        <v>0</v>
      </c>
      <c r="C33" s="49">
        <f>資料儲存!E3625</f>
        <v>0</v>
      </c>
      <c r="D33" s="49">
        <f>資料儲存!F3625</f>
        <v>0</v>
      </c>
      <c r="E33" s="49">
        <f>資料儲存!G3625</f>
        <v>0</v>
      </c>
      <c r="F33" s="49">
        <f>資料儲存!H3625</f>
        <v>0</v>
      </c>
      <c r="G33" s="49">
        <f>資料儲存!I3625</f>
        <v>0</v>
      </c>
      <c r="H33" s="49">
        <f>資料儲存!J3625</f>
        <v>0</v>
      </c>
      <c r="I33" s="52"/>
      <c r="J33" s="68">
        <v>24</v>
      </c>
      <c r="K33" s="49">
        <f>資料儲存!D3745</f>
        <v>0</v>
      </c>
      <c r="L33" s="49">
        <f>資料儲存!E3745</f>
        <v>0</v>
      </c>
      <c r="M33" s="49">
        <f>資料儲存!F3745</f>
        <v>0</v>
      </c>
      <c r="N33" s="49">
        <f>資料儲存!G3745</f>
        <v>0</v>
      </c>
      <c r="O33" s="49">
        <f>資料儲存!H3745</f>
        <v>0</v>
      </c>
      <c r="P33" s="49">
        <f>資料儲存!I3745</f>
        <v>0</v>
      </c>
      <c r="Q33" s="49">
        <f>資料儲存!J3745</f>
        <v>0</v>
      </c>
      <c r="R33" s="52"/>
      <c r="S33" s="68">
        <v>24</v>
      </c>
      <c r="T33" s="49">
        <f>資料儲存!D3865</f>
        <v>0</v>
      </c>
      <c r="U33" s="49">
        <f>資料儲存!E3865</f>
        <v>0</v>
      </c>
      <c r="V33" s="49">
        <f>資料儲存!F3865</f>
        <v>0</v>
      </c>
      <c r="W33" s="49">
        <f>資料儲存!G3865</f>
        <v>0</v>
      </c>
      <c r="X33" s="49">
        <f>資料儲存!H3865</f>
        <v>0</v>
      </c>
      <c r="Y33" s="49">
        <f>資料儲存!I3865</f>
        <v>0</v>
      </c>
      <c r="Z33" s="49">
        <f>資料儲存!J3865</f>
        <v>0</v>
      </c>
      <c r="AA33" s="52"/>
      <c r="AB33" s="68">
        <v>24</v>
      </c>
      <c r="AC33" s="49">
        <f>資料儲存!D3985</f>
        <v>0</v>
      </c>
      <c r="AD33" s="49">
        <f>資料儲存!E3985</f>
        <v>0</v>
      </c>
      <c r="AE33" s="49">
        <f>資料儲存!F3985</f>
        <v>0</v>
      </c>
      <c r="AF33" s="49">
        <f>資料儲存!G3985</f>
        <v>0</v>
      </c>
      <c r="AG33" s="49">
        <f>資料儲存!H3985</f>
        <v>0</v>
      </c>
      <c r="AH33" s="49">
        <f>資料儲存!I3985</f>
        <v>0</v>
      </c>
      <c r="AI33" s="49">
        <f>資料儲存!J3985</f>
        <v>0</v>
      </c>
      <c r="AJ33" s="52"/>
    </row>
    <row r="34" spans="1:36" ht="16" thickBot="1">
      <c r="A34" s="68">
        <v>25</v>
      </c>
      <c r="B34" s="49">
        <f>資料儲存!D3626</f>
        <v>0</v>
      </c>
      <c r="C34" s="49">
        <f>資料儲存!E3626</f>
        <v>0</v>
      </c>
      <c r="D34" s="49">
        <f>資料儲存!F3626</f>
        <v>0</v>
      </c>
      <c r="E34" s="49">
        <f>資料儲存!G3626</f>
        <v>0</v>
      </c>
      <c r="F34" s="49">
        <f>資料儲存!H3626</f>
        <v>0</v>
      </c>
      <c r="G34" s="49">
        <f>資料儲存!I3626</f>
        <v>0</v>
      </c>
      <c r="H34" s="49">
        <f>資料儲存!J3626</f>
        <v>0</v>
      </c>
      <c r="I34" s="52"/>
      <c r="J34" s="68">
        <v>25</v>
      </c>
      <c r="K34" s="49">
        <f>資料儲存!D3746</f>
        <v>0</v>
      </c>
      <c r="L34" s="49">
        <f>資料儲存!E3746</f>
        <v>0</v>
      </c>
      <c r="M34" s="49">
        <f>資料儲存!F3746</f>
        <v>0</v>
      </c>
      <c r="N34" s="49">
        <f>資料儲存!G3746</f>
        <v>0</v>
      </c>
      <c r="O34" s="49">
        <f>資料儲存!H3746</f>
        <v>0</v>
      </c>
      <c r="P34" s="49">
        <f>資料儲存!I3746</f>
        <v>0</v>
      </c>
      <c r="Q34" s="49">
        <f>資料儲存!J3746</f>
        <v>0</v>
      </c>
      <c r="R34" s="52"/>
      <c r="S34" s="68">
        <v>25</v>
      </c>
      <c r="T34" s="49">
        <f>資料儲存!D3866</f>
        <v>0</v>
      </c>
      <c r="U34" s="49">
        <f>資料儲存!E3866</f>
        <v>0</v>
      </c>
      <c r="V34" s="49">
        <f>資料儲存!F3866</f>
        <v>0</v>
      </c>
      <c r="W34" s="49">
        <f>資料儲存!G3866</f>
        <v>0</v>
      </c>
      <c r="X34" s="49">
        <f>資料儲存!H3866</f>
        <v>0</v>
      </c>
      <c r="Y34" s="49">
        <f>資料儲存!I3866</f>
        <v>0</v>
      </c>
      <c r="Z34" s="49">
        <f>資料儲存!J3866</f>
        <v>0</v>
      </c>
      <c r="AA34" s="52"/>
      <c r="AB34" s="68">
        <v>25</v>
      </c>
      <c r="AC34" s="49">
        <f>資料儲存!D3986</f>
        <v>0</v>
      </c>
      <c r="AD34" s="49">
        <f>資料儲存!E3986</f>
        <v>0</v>
      </c>
      <c r="AE34" s="49">
        <f>資料儲存!F3986</f>
        <v>0</v>
      </c>
      <c r="AF34" s="49">
        <f>資料儲存!G3986</f>
        <v>0</v>
      </c>
      <c r="AG34" s="49">
        <f>資料儲存!H3986</f>
        <v>0</v>
      </c>
      <c r="AH34" s="49">
        <f>資料儲存!I3986</f>
        <v>0</v>
      </c>
      <c r="AI34" s="49">
        <f>資料儲存!J3986</f>
        <v>0</v>
      </c>
      <c r="AJ34" s="52"/>
    </row>
    <row r="35" spans="1:36" ht="16" thickBot="1">
      <c r="A35" s="68">
        <v>26</v>
      </c>
      <c r="B35" s="49">
        <f>資料儲存!D3627</f>
        <v>0</v>
      </c>
      <c r="C35" s="49">
        <f>資料儲存!E3627</f>
        <v>0</v>
      </c>
      <c r="D35" s="49">
        <f>資料儲存!F3627</f>
        <v>0</v>
      </c>
      <c r="E35" s="49">
        <f>資料儲存!G3627</f>
        <v>0</v>
      </c>
      <c r="F35" s="49">
        <f>資料儲存!H3627</f>
        <v>0</v>
      </c>
      <c r="G35" s="49">
        <f>資料儲存!I3627</f>
        <v>0</v>
      </c>
      <c r="H35" s="49">
        <f>資料儲存!J3627</f>
        <v>0</v>
      </c>
      <c r="I35" s="52"/>
      <c r="J35" s="68">
        <v>26</v>
      </c>
      <c r="K35" s="49">
        <f>資料儲存!D3747</f>
        <v>0</v>
      </c>
      <c r="L35" s="49">
        <f>資料儲存!E3747</f>
        <v>0</v>
      </c>
      <c r="M35" s="49">
        <f>資料儲存!F3747</f>
        <v>0</v>
      </c>
      <c r="N35" s="49">
        <f>資料儲存!G3747</f>
        <v>0</v>
      </c>
      <c r="O35" s="49">
        <f>資料儲存!H3747</f>
        <v>0</v>
      </c>
      <c r="P35" s="49">
        <f>資料儲存!I3747</f>
        <v>0</v>
      </c>
      <c r="Q35" s="49">
        <f>資料儲存!J3747</f>
        <v>0</v>
      </c>
      <c r="R35" s="52"/>
      <c r="S35" s="68">
        <v>26</v>
      </c>
      <c r="T35" s="49">
        <f>資料儲存!D3867</f>
        <v>0</v>
      </c>
      <c r="U35" s="49">
        <f>資料儲存!E3867</f>
        <v>0</v>
      </c>
      <c r="V35" s="49">
        <f>資料儲存!F3867</f>
        <v>0</v>
      </c>
      <c r="W35" s="49">
        <f>資料儲存!G3867</f>
        <v>0</v>
      </c>
      <c r="X35" s="49">
        <f>資料儲存!H3867</f>
        <v>0</v>
      </c>
      <c r="Y35" s="49">
        <f>資料儲存!I3867</f>
        <v>0</v>
      </c>
      <c r="Z35" s="49">
        <f>資料儲存!J3867</f>
        <v>0</v>
      </c>
      <c r="AA35" s="52"/>
      <c r="AB35" s="68">
        <v>26</v>
      </c>
      <c r="AC35" s="49">
        <f>資料儲存!D3987</f>
        <v>0</v>
      </c>
      <c r="AD35" s="49">
        <f>資料儲存!E3987</f>
        <v>0</v>
      </c>
      <c r="AE35" s="49">
        <f>資料儲存!F3987</f>
        <v>0</v>
      </c>
      <c r="AF35" s="49">
        <f>資料儲存!G3987</f>
        <v>0</v>
      </c>
      <c r="AG35" s="49">
        <f>資料儲存!H3987</f>
        <v>0</v>
      </c>
      <c r="AH35" s="49">
        <f>資料儲存!I3987</f>
        <v>0</v>
      </c>
      <c r="AI35" s="49">
        <f>資料儲存!J3987</f>
        <v>0</v>
      </c>
      <c r="AJ35" s="52"/>
    </row>
    <row r="36" spans="1:36" ht="16" thickBot="1">
      <c r="A36" s="68">
        <v>27</v>
      </c>
      <c r="B36" s="49">
        <f>資料儲存!D3628</f>
        <v>0</v>
      </c>
      <c r="C36" s="49">
        <f>資料儲存!E3628</f>
        <v>0</v>
      </c>
      <c r="D36" s="49">
        <f>資料儲存!F3628</f>
        <v>0</v>
      </c>
      <c r="E36" s="49">
        <f>資料儲存!G3628</f>
        <v>0</v>
      </c>
      <c r="F36" s="49">
        <f>資料儲存!H3628</f>
        <v>0</v>
      </c>
      <c r="G36" s="49">
        <f>資料儲存!I3628</f>
        <v>0</v>
      </c>
      <c r="H36" s="49">
        <f>資料儲存!J3628</f>
        <v>0</v>
      </c>
      <c r="I36" s="52"/>
      <c r="J36" s="68">
        <v>27</v>
      </c>
      <c r="K36" s="49">
        <f>資料儲存!D3748</f>
        <v>0</v>
      </c>
      <c r="L36" s="49">
        <f>資料儲存!E3748</f>
        <v>0</v>
      </c>
      <c r="M36" s="49">
        <f>資料儲存!F3748</f>
        <v>0</v>
      </c>
      <c r="N36" s="49">
        <f>資料儲存!G3748</f>
        <v>0</v>
      </c>
      <c r="O36" s="49">
        <f>資料儲存!H3748</f>
        <v>0</v>
      </c>
      <c r="P36" s="49">
        <f>資料儲存!I3748</f>
        <v>0</v>
      </c>
      <c r="Q36" s="49">
        <f>資料儲存!J3748</f>
        <v>0</v>
      </c>
      <c r="R36" s="52"/>
      <c r="S36" s="68">
        <v>27</v>
      </c>
      <c r="T36" s="49">
        <f>資料儲存!D3868</f>
        <v>0</v>
      </c>
      <c r="U36" s="49">
        <f>資料儲存!E3868</f>
        <v>0</v>
      </c>
      <c r="V36" s="49">
        <f>資料儲存!F3868</f>
        <v>0</v>
      </c>
      <c r="W36" s="49">
        <f>資料儲存!G3868</f>
        <v>0</v>
      </c>
      <c r="X36" s="49">
        <f>資料儲存!H3868</f>
        <v>0</v>
      </c>
      <c r="Y36" s="49">
        <f>資料儲存!I3868</f>
        <v>0</v>
      </c>
      <c r="Z36" s="49">
        <f>資料儲存!J3868</f>
        <v>0</v>
      </c>
      <c r="AA36" s="52"/>
      <c r="AB36" s="68">
        <v>27</v>
      </c>
      <c r="AC36" s="49">
        <f>資料儲存!D3988</f>
        <v>0</v>
      </c>
      <c r="AD36" s="49">
        <f>資料儲存!E3988</f>
        <v>0</v>
      </c>
      <c r="AE36" s="49">
        <f>資料儲存!F3988</f>
        <v>0</v>
      </c>
      <c r="AF36" s="49">
        <f>資料儲存!G3988</f>
        <v>0</v>
      </c>
      <c r="AG36" s="49">
        <f>資料儲存!H3988</f>
        <v>0</v>
      </c>
      <c r="AH36" s="49">
        <f>資料儲存!I3988</f>
        <v>0</v>
      </c>
      <c r="AI36" s="49">
        <f>資料儲存!J3988</f>
        <v>0</v>
      </c>
      <c r="AJ36" s="52"/>
    </row>
    <row r="37" spans="1:36" ht="16" thickBot="1">
      <c r="A37" s="68">
        <v>28</v>
      </c>
      <c r="B37" s="49">
        <f>資料儲存!D3629</f>
        <v>0</v>
      </c>
      <c r="C37" s="49">
        <f>資料儲存!E3629</f>
        <v>0</v>
      </c>
      <c r="D37" s="49">
        <f>資料儲存!F3629</f>
        <v>0</v>
      </c>
      <c r="E37" s="49">
        <f>資料儲存!G3629</f>
        <v>0</v>
      </c>
      <c r="F37" s="49">
        <f>資料儲存!H3629</f>
        <v>0</v>
      </c>
      <c r="G37" s="49">
        <f>資料儲存!I3629</f>
        <v>0</v>
      </c>
      <c r="H37" s="49">
        <f>資料儲存!J3629</f>
        <v>0</v>
      </c>
      <c r="I37" s="52"/>
      <c r="J37" s="68">
        <v>28</v>
      </c>
      <c r="K37" s="49">
        <f>資料儲存!D3749</f>
        <v>0</v>
      </c>
      <c r="L37" s="49">
        <f>資料儲存!E3749</f>
        <v>0</v>
      </c>
      <c r="M37" s="49">
        <f>資料儲存!F3749</f>
        <v>0</v>
      </c>
      <c r="N37" s="49">
        <f>資料儲存!G3749</f>
        <v>0</v>
      </c>
      <c r="O37" s="49">
        <f>資料儲存!H3749</f>
        <v>0</v>
      </c>
      <c r="P37" s="49">
        <f>資料儲存!I3749</f>
        <v>0</v>
      </c>
      <c r="Q37" s="49">
        <f>資料儲存!J3749</f>
        <v>0</v>
      </c>
      <c r="R37" s="52"/>
      <c r="S37" s="68">
        <v>28</v>
      </c>
      <c r="T37" s="49">
        <f>資料儲存!D3869</f>
        <v>0</v>
      </c>
      <c r="U37" s="49">
        <f>資料儲存!E3869</f>
        <v>0</v>
      </c>
      <c r="V37" s="49">
        <f>資料儲存!F3869</f>
        <v>0</v>
      </c>
      <c r="W37" s="49">
        <f>資料儲存!G3869</f>
        <v>0</v>
      </c>
      <c r="X37" s="49">
        <f>資料儲存!H3869</f>
        <v>0</v>
      </c>
      <c r="Y37" s="49">
        <f>資料儲存!I3869</f>
        <v>0</v>
      </c>
      <c r="Z37" s="49">
        <f>資料儲存!J3869</f>
        <v>0</v>
      </c>
      <c r="AA37" s="52"/>
      <c r="AB37" s="68">
        <v>28</v>
      </c>
      <c r="AC37" s="49">
        <f>資料儲存!D3989</f>
        <v>0</v>
      </c>
      <c r="AD37" s="49">
        <f>資料儲存!E3989</f>
        <v>0</v>
      </c>
      <c r="AE37" s="49">
        <f>資料儲存!F3989</f>
        <v>0</v>
      </c>
      <c r="AF37" s="49">
        <f>資料儲存!G3989</f>
        <v>0</v>
      </c>
      <c r="AG37" s="49">
        <f>資料儲存!H3989</f>
        <v>0</v>
      </c>
      <c r="AH37" s="49">
        <f>資料儲存!I3989</f>
        <v>0</v>
      </c>
      <c r="AI37" s="49">
        <f>資料儲存!J3989</f>
        <v>0</v>
      </c>
      <c r="AJ37" s="52"/>
    </row>
    <row r="38" spans="1:36" ht="16" thickBot="1">
      <c r="A38" s="68">
        <v>29</v>
      </c>
      <c r="B38" s="49">
        <f>資料儲存!D3630</f>
        <v>0</v>
      </c>
      <c r="C38" s="49">
        <f>資料儲存!E3630</f>
        <v>0</v>
      </c>
      <c r="D38" s="49">
        <f>資料儲存!F3630</f>
        <v>0</v>
      </c>
      <c r="E38" s="49">
        <f>資料儲存!G3630</f>
        <v>0</v>
      </c>
      <c r="F38" s="49">
        <f>資料儲存!H3630</f>
        <v>0</v>
      </c>
      <c r="G38" s="49">
        <f>資料儲存!I3630</f>
        <v>0</v>
      </c>
      <c r="H38" s="49">
        <f>資料儲存!J3630</f>
        <v>0</v>
      </c>
      <c r="I38" s="52"/>
      <c r="J38" s="68">
        <v>29</v>
      </c>
      <c r="K38" s="49">
        <f>資料儲存!D3750</f>
        <v>0</v>
      </c>
      <c r="L38" s="49">
        <f>資料儲存!E3750</f>
        <v>0</v>
      </c>
      <c r="M38" s="49">
        <f>資料儲存!F3750</f>
        <v>0</v>
      </c>
      <c r="N38" s="49">
        <f>資料儲存!G3750</f>
        <v>0</v>
      </c>
      <c r="O38" s="49">
        <f>資料儲存!H3750</f>
        <v>0</v>
      </c>
      <c r="P38" s="49">
        <f>資料儲存!I3750</f>
        <v>0</v>
      </c>
      <c r="Q38" s="49">
        <f>資料儲存!J3750</f>
        <v>0</v>
      </c>
      <c r="R38" s="52"/>
      <c r="S38" s="68">
        <v>29</v>
      </c>
      <c r="T38" s="49">
        <f>資料儲存!D3870</f>
        <v>0</v>
      </c>
      <c r="U38" s="49">
        <f>資料儲存!E3870</f>
        <v>0</v>
      </c>
      <c r="V38" s="49">
        <f>資料儲存!F3870</f>
        <v>0</v>
      </c>
      <c r="W38" s="49">
        <f>資料儲存!G3870</f>
        <v>0</v>
      </c>
      <c r="X38" s="49">
        <f>資料儲存!H3870</f>
        <v>0</v>
      </c>
      <c r="Y38" s="49">
        <f>資料儲存!I3870</f>
        <v>0</v>
      </c>
      <c r="Z38" s="49">
        <f>資料儲存!J3870</f>
        <v>0</v>
      </c>
      <c r="AA38" s="52"/>
      <c r="AB38" s="68">
        <v>29</v>
      </c>
      <c r="AC38" s="49">
        <f>資料儲存!D3990</f>
        <v>0</v>
      </c>
      <c r="AD38" s="49">
        <f>資料儲存!E3990</f>
        <v>0</v>
      </c>
      <c r="AE38" s="49">
        <f>資料儲存!F3990</f>
        <v>0</v>
      </c>
      <c r="AF38" s="49">
        <f>資料儲存!G3990</f>
        <v>0</v>
      </c>
      <c r="AG38" s="49">
        <f>資料儲存!H3990</f>
        <v>0</v>
      </c>
      <c r="AH38" s="49">
        <f>資料儲存!I3990</f>
        <v>0</v>
      </c>
      <c r="AI38" s="49">
        <f>資料儲存!J3990</f>
        <v>0</v>
      </c>
      <c r="AJ38" s="52"/>
    </row>
    <row r="39" spans="1:36" ht="16" thickBot="1">
      <c r="A39" s="68">
        <v>30</v>
      </c>
      <c r="B39" s="49">
        <f>資料儲存!D3631</f>
        <v>0</v>
      </c>
      <c r="C39" s="49">
        <f>資料儲存!E3631</f>
        <v>0</v>
      </c>
      <c r="D39" s="49">
        <f>資料儲存!F3631</f>
        <v>0</v>
      </c>
      <c r="E39" s="49">
        <f>資料儲存!G3631</f>
        <v>0</v>
      </c>
      <c r="F39" s="49">
        <f>資料儲存!H3631</f>
        <v>0</v>
      </c>
      <c r="G39" s="49">
        <f>資料儲存!I3631</f>
        <v>0</v>
      </c>
      <c r="H39" s="49">
        <f>資料儲存!J3631</f>
        <v>0</v>
      </c>
      <c r="I39" s="52"/>
      <c r="J39" s="68">
        <v>30</v>
      </c>
      <c r="K39" s="49">
        <f>資料儲存!D3751</f>
        <v>0</v>
      </c>
      <c r="L39" s="49">
        <f>資料儲存!E3751</f>
        <v>0</v>
      </c>
      <c r="M39" s="49">
        <f>資料儲存!F3751</f>
        <v>0</v>
      </c>
      <c r="N39" s="49">
        <f>資料儲存!G3751</f>
        <v>0</v>
      </c>
      <c r="O39" s="49">
        <f>資料儲存!H3751</f>
        <v>0</v>
      </c>
      <c r="P39" s="49">
        <f>資料儲存!I3751</f>
        <v>0</v>
      </c>
      <c r="Q39" s="49">
        <f>資料儲存!J3751</f>
        <v>0</v>
      </c>
      <c r="R39" s="52"/>
      <c r="S39" s="68">
        <v>30</v>
      </c>
      <c r="T39" s="49">
        <f>資料儲存!D3871</f>
        <v>0</v>
      </c>
      <c r="U39" s="49">
        <f>資料儲存!E3871</f>
        <v>0</v>
      </c>
      <c r="V39" s="49">
        <f>資料儲存!F3871</f>
        <v>0</v>
      </c>
      <c r="W39" s="49">
        <f>資料儲存!G3871</f>
        <v>0</v>
      </c>
      <c r="X39" s="49">
        <f>資料儲存!H3871</f>
        <v>0</v>
      </c>
      <c r="Y39" s="49">
        <f>資料儲存!I3871</f>
        <v>0</v>
      </c>
      <c r="Z39" s="49">
        <f>資料儲存!J3871</f>
        <v>0</v>
      </c>
      <c r="AA39" s="52"/>
      <c r="AB39" s="68">
        <v>30</v>
      </c>
      <c r="AC39" s="49">
        <f>資料儲存!D3991</f>
        <v>0</v>
      </c>
      <c r="AD39" s="49">
        <f>資料儲存!E3991</f>
        <v>0</v>
      </c>
      <c r="AE39" s="49">
        <f>資料儲存!F3991</f>
        <v>0</v>
      </c>
      <c r="AF39" s="49">
        <f>資料儲存!G3991</f>
        <v>0</v>
      </c>
      <c r="AG39" s="49">
        <f>資料儲存!H3991</f>
        <v>0</v>
      </c>
      <c r="AH39" s="49">
        <f>資料儲存!I3991</f>
        <v>0</v>
      </c>
      <c r="AI39" s="49">
        <f>資料儲存!J3991</f>
        <v>0</v>
      </c>
      <c r="AJ39" s="52"/>
    </row>
    <row r="40" spans="1:36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8.5" thickBot="1">
      <c r="A41" s="259" t="s">
        <v>76</v>
      </c>
      <c r="B41" s="260"/>
      <c r="C41" s="260"/>
      <c r="D41" s="260"/>
      <c r="E41" s="260"/>
      <c r="F41" s="260"/>
      <c r="G41" s="260"/>
      <c r="H41" s="261"/>
      <c r="I41" s="14"/>
      <c r="J41" s="259" t="s">
        <v>76</v>
      </c>
      <c r="K41" s="260"/>
      <c r="L41" s="260"/>
      <c r="M41" s="260"/>
      <c r="N41" s="260"/>
      <c r="O41" s="260"/>
      <c r="P41" s="260"/>
      <c r="Q41" s="261"/>
      <c r="R41" s="14"/>
      <c r="S41" s="259" t="s">
        <v>76</v>
      </c>
      <c r="T41" s="260"/>
      <c r="U41" s="260"/>
      <c r="V41" s="260"/>
      <c r="W41" s="260"/>
      <c r="X41" s="260"/>
      <c r="Y41" s="260"/>
      <c r="Z41" s="261"/>
      <c r="AA41" s="14"/>
      <c r="AB41" s="259" t="s">
        <v>76</v>
      </c>
      <c r="AC41" s="260"/>
      <c r="AD41" s="260"/>
      <c r="AE41" s="260"/>
      <c r="AF41" s="260"/>
      <c r="AG41" s="260"/>
      <c r="AH41" s="260"/>
      <c r="AI41" s="261"/>
      <c r="AJ41" s="14"/>
    </row>
    <row r="42" spans="1:36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</row>
    <row r="43" spans="1:36" ht="16" thickBot="1">
      <c r="A43" s="59" t="s">
        <v>77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 t="s">
        <v>77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 t="s">
        <v>77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 t="s">
        <v>77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</row>
    <row r="44" spans="1:36" ht="16" thickBot="1">
      <c r="A44" s="61">
        <v>31</v>
      </c>
      <c r="B44" s="39">
        <f>資料儲存!D3632</f>
        <v>0</v>
      </c>
      <c r="C44" s="39">
        <f>資料儲存!E3632</f>
        <v>0</v>
      </c>
      <c r="D44" s="39">
        <f>資料儲存!F3632</f>
        <v>0</v>
      </c>
      <c r="E44" s="39">
        <f>資料儲存!G3632</f>
        <v>0</v>
      </c>
      <c r="F44" s="39">
        <f>資料儲存!H3632</f>
        <v>0</v>
      </c>
      <c r="G44" s="39">
        <f>資料儲存!I3632</f>
        <v>0</v>
      </c>
      <c r="H44" s="39">
        <f>資料儲存!J3632</f>
        <v>0</v>
      </c>
      <c r="I44" s="58"/>
      <c r="J44" s="61">
        <v>31</v>
      </c>
      <c r="K44" s="39">
        <f>資料儲存!D3752</f>
        <v>0</v>
      </c>
      <c r="L44" s="39">
        <f>資料儲存!E3752</f>
        <v>0</v>
      </c>
      <c r="M44" s="39">
        <f>資料儲存!F3752</f>
        <v>0</v>
      </c>
      <c r="N44" s="39">
        <f>資料儲存!G3752</f>
        <v>0</v>
      </c>
      <c r="O44" s="39">
        <f>資料儲存!H3752</f>
        <v>0</v>
      </c>
      <c r="P44" s="39">
        <f>資料儲存!I3752</f>
        <v>0</v>
      </c>
      <c r="Q44" s="39">
        <f>資料儲存!J3752</f>
        <v>0</v>
      </c>
      <c r="R44" s="58"/>
      <c r="S44" s="61">
        <v>31</v>
      </c>
      <c r="T44" s="39">
        <f>資料儲存!D3872</f>
        <v>0</v>
      </c>
      <c r="U44" s="39">
        <f>資料儲存!E3872</f>
        <v>0</v>
      </c>
      <c r="V44" s="39">
        <f>資料儲存!F3872</f>
        <v>0</v>
      </c>
      <c r="W44" s="39">
        <f>資料儲存!G3872</f>
        <v>0</v>
      </c>
      <c r="X44" s="39">
        <f>資料儲存!H3872</f>
        <v>0</v>
      </c>
      <c r="Y44" s="39">
        <f>資料儲存!I3872</f>
        <v>0</v>
      </c>
      <c r="Z44" s="39">
        <f>資料儲存!J3872</f>
        <v>0</v>
      </c>
      <c r="AA44" s="58"/>
      <c r="AB44" s="61">
        <v>31</v>
      </c>
      <c r="AC44" s="39">
        <f>資料儲存!D3992</f>
        <v>0</v>
      </c>
      <c r="AD44" s="39">
        <f>資料儲存!E3992</f>
        <v>0</v>
      </c>
      <c r="AE44" s="39">
        <f>資料儲存!F3992</f>
        <v>0</v>
      </c>
      <c r="AF44" s="39">
        <f>資料儲存!G3992</f>
        <v>0</v>
      </c>
      <c r="AG44" s="39">
        <f>資料儲存!H3992</f>
        <v>0</v>
      </c>
      <c r="AH44" s="39">
        <f>資料儲存!I3992</f>
        <v>0</v>
      </c>
      <c r="AI44" s="39">
        <f>資料儲存!J3992</f>
        <v>0</v>
      </c>
      <c r="AJ44" s="58"/>
    </row>
    <row r="45" spans="1:36" ht="16" thickBot="1">
      <c r="A45" s="61">
        <v>32</v>
      </c>
      <c r="B45" s="39">
        <f>資料儲存!D3633</f>
        <v>0</v>
      </c>
      <c r="C45" s="39">
        <f>資料儲存!E3633</f>
        <v>0</v>
      </c>
      <c r="D45" s="39">
        <f>資料儲存!F3633</f>
        <v>0</v>
      </c>
      <c r="E45" s="39">
        <f>資料儲存!G3633</f>
        <v>0</v>
      </c>
      <c r="F45" s="39">
        <f>資料儲存!H3633</f>
        <v>0</v>
      </c>
      <c r="G45" s="39">
        <f>資料儲存!I3633</f>
        <v>0</v>
      </c>
      <c r="H45" s="39">
        <f>資料儲存!J3633</f>
        <v>0</v>
      </c>
      <c r="I45" s="58"/>
      <c r="J45" s="61">
        <v>32</v>
      </c>
      <c r="K45" s="39">
        <f>資料儲存!D3753</f>
        <v>0</v>
      </c>
      <c r="L45" s="39">
        <f>資料儲存!E3753</f>
        <v>0</v>
      </c>
      <c r="M45" s="39">
        <f>資料儲存!F3753</f>
        <v>0</v>
      </c>
      <c r="N45" s="39">
        <f>資料儲存!G3753</f>
        <v>0</v>
      </c>
      <c r="O45" s="39">
        <f>資料儲存!H3753</f>
        <v>0</v>
      </c>
      <c r="P45" s="39">
        <f>資料儲存!I3753</f>
        <v>0</v>
      </c>
      <c r="Q45" s="39">
        <f>資料儲存!J3753</f>
        <v>0</v>
      </c>
      <c r="R45" s="58"/>
      <c r="S45" s="61">
        <v>32</v>
      </c>
      <c r="T45" s="39">
        <f>資料儲存!D3873</f>
        <v>0</v>
      </c>
      <c r="U45" s="39">
        <f>資料儲存!E3873</f>
        <v>0</v>
      </c>
      <c r="V45" s="39">
        <f>資料儲存!F3873</f>
        <v>0</v>
      </c>
      <c r="W45" s="39">
        <f>資料儲存!G3873</f>
        <v>0</v>
      </c>
      <c r="X45" s="39">
        <f>資料儲存!H3873</f>
        <v>0</v>
      </c>
      <c r="Y45" s="39">
        <f>資料儲存!I3873</f>
        <v>0</v>
      </c>
      <c r="Z45" s="39">
        <f>資料儲存!J3873</f>
        <v>0</v>
      </c>
      <c r="AA45" s="58"/>
      <c r="AB45" s="61">
        <v>32</v>
      </c>
      <c r="AC45" s="39">
        <f>資料儲存!D3993</f>
        <v>0</v>
      </c>
      <c r="AD45" s="39">
        <f>資料儲存!E3993</f>
        <v>0</v>
      </c>
      <c r="AE45" s="39">
        <f>資料儲存!F3993</f>
        <v>0</v>
      </c>
      <c r="AF45" s="39">
        <f>資料儲存!G3993</f>
        <v>0</v>
      </c>
      <c r="AG45" s="39">
        <f>資料儲存!H3993</f>
        <v>0</v>
      </c>
      <c r="AH45" s="39">
        <f>資料儲存!I3993</f>
        <v>0</v>
      </c>
      <c r="AI45" s="39">
        <f>資料儲存!J3993</f>
        <v>0</v>
      </c>
      <c r="AJ45" s="58"/>
    </row>
    <row r="46" spans="1:36" ht="16" thickBot="1">
      <c r="A46" s="61">
        <v>33</v>
      </c>
      <c r="B46" s="39">
        <f>資料儲存!D3634</f>
        <v>0</v>
      </c>
      <c r="C46" s="39">
        <f>資料儲存!E3634</f>
        <v>0</v>
      </c>
      <c r="D46" s="39">
        <f>資料儲存!F3634</f>
        <v>0</v>
      </c>
      <c r="E46" s="39">
        <f>資料儲存!G3634</f>
        <v>0</v>
      </c>
      <c r="F46" s="39">
        <f>資料儲存!H3634</f>
        <v>0</v>
      </c>
      <c r="G46" s="39">
        <f>資料儲存!I3634</f>
        <v>0</v>
      </c>
      <c r="H46" s="39">
        <f>資料儲存!J3634</f>
        <v>0</v>
      </c>
      <c r="I46" s="58"/>
      <c r="J46" s="61">
        <v>33</v>
      </c>
      <c r="K46" s="39">
        <f>資料儲存!D3754</f>
        <v>0</v>
      </c>
      <c r="L46" s="39">
        <f>資料儲存!E3754</f>
        <v>0</v>
      </c>
      <c r="M46" s="39">
        <f>資料儲存!F3754</f>
        <v>0</v>
      </c>
      <c r="N46" s="39">
        <f>資料儲存!G3754</f>
        <v>0</v>
      </c>
      <c r="O46" s="39">
        <f>資料儲存!H3754</f>
        <v>0</v>
      </c>
      <c r="P46" s="39">
        <f>資料儲存!I3754</f>
        <v>0</v>
      </c>
      <c r="Q46" s="39">
        <f>資料儲存!J3754</f>
        <v>0</v>
      </c>
      <c r="R46" s="58"/>
      <c r="S46" s="61">
        <v>33</v>
      </c>
      <c r="T46" s="39">
        <f>資料儲存!D3874</f>
        <v>0</v>
      </c>
      <c r="U46" s="39">
        <f>資料儲存!E3874</f>
        <v>0</v>
      </c>
      <c r="V46" s="39">
        <f>資料儲存!F3874</f>
        <v>0</v>
      </c>
      <c r="W46" s="39">
        <f>資料儲存!G3874</f>
        <v>0</v>
      </c>
      <c r="X46" s="39">
        <f>資料儲存!H3874</f>
        <v>0</v>
      </c>
      <c r="Y46" s="39">
        <f>資料儲存!I3874</f>
        <v>0</v>
      </c>
      <c r="Z46" s="39">
        <f>資料儲存!J3874</f>
        <v>0</v>
      </c>
      <c r="AA46" s="58"/>
      <c r="AB46" s="61">
        <v>33</v>
      </c>
      <c r="AC46" s="39">
        <f>資料儲存!D3994</f>
        <v>0</v>
      </c>
      <c r="AD46" s="39">
        <f>資料儲存!E3994</f>
        <v>0</v>
      </c>
      <c r="AE46" s="39">
        <f>資料儲存!F3994</f>
        <v>0</v>
      </c>
      <c r="AF46" s="39">
        <f>資料儲存!G3994</f>
        <v>0</v>
      </c>
      <c r="AG46" s="39">
        <f>資料儲存!H3994</f>
        <v>0</v>
      </c>
      <c r="AH46" s="39">
        <f>資料儲存!I3994</f>
        <v>0</v>
      </c>
      <c r="AI46" s="39">
        <f>資料儲存!J3994</f>
        <v>0</v>
      </c>
      <c r="AJ46" s="58"/>
    </row>
    <row r="47" spans="1:36" ht="16" thickBot="1">
      <c r="A47" s="61">
        <v>34</v>
      </c>
      <c r="B47" s="39">
        <f>資料儲存!D3635</f>
        <v>0</v>
      </c>
      <c r="C47" s="39">
        <f>資料儲存!E3635</f>
        <v>0</v>
      </c>
      <c r="D47" s="39">
        <f>資料儲存!F3635</f>
        <v>0</v>
      </c>
      <c r="E47" s="39">
        <f>資料儲存!G3635</f>
        <v>0</v>
      </c>
      <c r="F47" s="39">
        <f>資料儲存!H3635</f>
        <v>0</v>
      </c>
      <c r="G47" s="39">
        <f>資料儲存!I3635</f>
        <v>0</v>
      </c>
      <c r="H47" s="39">
        <f>資料儲存!J3635</f>
        <v>0</v>
      </c>
      <c r="I47" s="58"/>
      <c r="J47" s="61">
        <v>34</v>
      </c>
      <c r="K47" s="39">
        <f>資料儲存!D3755</f>
        <v>0</v>
      </c>
      <c r="L47" s="39">
        <f>資料儲存!E3755</f>
        <v>0</v>
      </c>
      <c r="M47" s="39">
        <f>資料儲存!F3755</f>
        <v>0</v>
      </c>
      <c r="N47" s="39">
        <f>資料儲存!G3755</f>
        <v>0</v>
      </c>
      <c r="O47" s="39">
        <f>資料儲存!H3755</f>
        <v>0</v>
      </c>
      <c r="P47" s="39">
        <f>資料儲存!I3755</f>
        <v>0</v>
      </c>
      <c r="Q47" s="39">
        <f>資料儲存!J3755</f>
        <v>0</v>
      </c>
      <c r="R47" s="58"/>
      <c r="S47" s="61">
        <v>34</v>
      </c>
      <c r="T47" s="39">
        <f>資料儲存!D3875</f>
        <v>0</v>
      </c>
      <c r="U47" s="39">
        <f>資料儲存!E3875</f>
        <v>0</v>
      </c>
      <c r="V47" s="39">
        <f>資料儲存!F3875</f>
        <v>0</v>
      </c>
      <c r="W47" s="39">
        <f>資料儲存!G3875</f>
        <v>0</v>
      </c>
      <c r="X47" s="39">
        <f>資料儲存!H3875</f>
        <v>0</v>
      </c>
      <c r="Y47" s="39">
        <f>資料儲存!I3875</f>
        <v>0</v>
      </c>
      <c r="Z47" s="39">
        <f>資料儲存!J3875</f>
        <v>0</v>
      </c>
      <c r="AA47" s="58"/>
      <c r="AB47" s="61">
        <v>34</v>
      </c>
      <c r="AC47" s="39">
        <f>資料儲存!D3995</f>
        <v>0</v>
      </c>
      <c r="AD47" s="39">
        <f>資料儲存!E3995</f>
        <v>0</v>
      </c>
      <c r="AE47" s="39">
        <f>資料儲存!F3995</f>
        <v>0</v>
      </c>
      <c r="AF47" s="39">
        <f>資料儲存!G3995</f>
        <v>0</v>
      </c>
      <c r="AG47" s="39">
        <f>資料儲存!H3995</f>
        <v>0</v>
      </c>
      <c r="AH47" s="39">
        <f>資料儲存!I3995</f>
        <v>0</v>
      </c>
      <c r="AI47" s="39">
        <f>資料儲存!J3995</f>
        <v>0</v>
      </c>
      <c r="AJ47" s="58"/>
    </row>
    <row r="48" spans="1:36" ht="16" thickBot="1">
      <c r="A48" s="61">
        <v>35</v>
      </c>
      <c r="B48" s="39">
        <f>資料儲存!D3636</f>
        <v>0</v>
      </c>
      <c r="C48" s="39">
        <f>資料儲存!E3636</f>
        <v>0</v>
      </c>
      <c r="D48" s="39">
        <f>資料儲存!F3636</f>
        <v>0</v>
      </c>
      <c r="E48" s="39">
        <f>資料儲存!G3636</f>
        <v>0</v>
      </c>
      <c r="F48" s="39">
        <f>資料儲存!H3636</f>
        <v>0</v>
      </c>
      <c r="G48" s="39">
        <f>資料儲存!I3636</f>
        <v>0</v>
      </c>
      <c r="H48" s="39">
        <f>資料儲存!J3636</f>
        <v>0</v>
      </c>
      <c r="I48" s="58"/>
      <c r="J48" s="61">
        <v>35</v>
      </c>
      <c r="K48" s="39">
        <f>資料儲存!D3756</f>
        <v>0</v>
      </c>
      <c r="L48" s="39">
        <f>資料儲存!E3756</f>
        <v>0</v>
      </c>
      <c r="M48" s="39">
        <f>資料儲存!F3756</f>
        <v>0</v>
      </c>
      <c r="N48" s="39">
        <f>資料儲存!G3756</f>
        <v>0</v>
      </c>
      <c r="O48" s="39">
        <f>資料儲存!H3756</f>
        <v>0</v>
      </c>
      <c r="P48" s="39">
        <f>資料儲存!I3756</f>
        <v>0</v>
      </c>
      <c r="Q48" s="39">
        <f>資料儲存!J3756</f>
        <v>0</v>
      </c>
      <c r="R48" s="58"/>
      <c r="S48" s="61">
        <v>35</v>
      </c>
      <c r="T48" s="39">
        <f>資料儲存!D3876</f>
        <v>0</v>
      </c>
      <c r="U48" s="39">
        <f>資料儲存!E3876</f>
        <v>0</v>
      </c>
      <c r="V48" s="39">
        <f>資料儲存!F3876</f>
        <v>0</v>
      </c>
      <c r="W48" s="39">
        <f>資料儲存!G3876</f>
        <v>0</v>
      </c>
      <c r="X48" s="39">
        <f>資料儲存!H3876</f>
        <v>0</v>
      </c>
      <c r="Y48" s="39">
        <f>資料儲存!I3876</f>
        <v>0</v>
      </c>
      <c r="Z48" s="39">
        <f>資料儲存!J3876</f>
        <v>0</v>
      </c>
      <c r="AA48" s="58"/>
      <c r="AB48" s="61">
        <v>35</v>
      </c>
      <c r="AC48" s="39">
        <f>資料儲存!D3996</f>
        <v>0</v>
      </c>
      <c r="AD48" s="39">
        <f>資料儲存!E3996</f>
        <v>0</v>
      </c>
      <c r="AE48" s="39">
        <f>資料儲存!F3996</f>
        <v>0</v>
      </c>
      <c r="AF48" s="39">
        <f>資料儲存!G3996</f>
        <v>0</v>
      </c>
      <c r="AG48" s="39">
        <f>資料儲存!H3996</f>
        <v>0</v>
      </c>
      <c r="AH48" s="39">
        <f>資料儲存!I3996</f>
        <v>0</v>
      </c>
      <c r="AI48" s="39">
        <f>資料儲存!J3996</f>
        <v>0</v>
      </c>
      <c r="AJ48" s="58"/>
    </row>
    <row r="49" spans="1:36" ht="16" thickBot="1">
      <c r="A49" s="61">
        <v>36</v>
      </c>
      <c r="B49" s="39">
        <f>資料儲存!D3637</f>
        <v>0</v>
      </c>
      <c r="C49" s="39">
        <f>資料儲存!E3637</f>
        <v>0</v>
      </c>
      <c r="D49" s="39">
        <f>資料儲存!F3637</f>
        <v>0</v>
      </c>
      <c r="E49" s="39">
        <f>資料儲存!G3637</f>
        <v>0</v>
      </c>
      <c r="F49" s="39">
        <f>資料儲存!H3637</f>
        <v>0</v>
      </c>
      <c r="G49" s="39">
        <f>資料儲存!I3637</f>
        <v>0</v>
      </c>
      <c r="H49" s="39">
        <f>資料儲存!J3637</f>
        <v>0</v>
      </c>
      <c r="I49" s="58"/>
      <c r="J49" s="61">
        <v>36</v>
      </c>
      <c r="K49" s="39">
        <f>資料儲存!D3757</f>
        <v>0</v>
      </c>
      <c r="L49" s="39">
        <f>資料儲存!E3757</f>
        <v>0</v>
      </c>
      <c r="M49" s="39">
        <f>資料儲存!F3757</f>
        <v>0</v>
      </c>
      <c r="N49" s="39">
        <f>資料儲存!G3757</f>
        <v>0</v>
      </c>
      <c r="O49" s="39">
        <f>資料儲存!H3757</f>
        <v>0</v>
      </c>
      <c r="P49" s="39">
        <f>資料儲存!I3757</f>
        <v>0</v>
      </c>
      <c r="Q49" s="39">
        <f>資料儲存!J3757</f>
        <v>0</v>
      </c>
      <c r="R49" s="58"/>
      <c r="S49" s="61">
        <v>36</v>
      </c>
      <c r="T49" s="39">
        <f>資料儲存!D3877</f>
        <v>0</v>
      </c>
      <c r="U49" s="39">
        <f>資料儲存!E3877</f>
        <v>0</v>
      </c>
      <c r="V49" s="39">
        <f>資料儲存!F3877</f>
        <v>0</v>
      </c>
      <c r="W49" s="39">
        <f>資料儲存!G3877</f>
        <v>0</v>
      </c>
      <c r="X49" s="39">
        <f>資料儲存!H3877</f>
        <v>0</v>
      </c>
      <c r="Y49" s="39">
        <f>資料儲存!I3877</f>
        <v>0</v>
      </c>
      <c r="Z49" s="39">
        <f>資料儲存!J3877</f>
        <v>0</v>
      </c>
      <c r="AA49" s="58"/>
      <c r="AB49" s="61">
        <v>36</v>
      </c>
      <c r="AC49" s="39">
        <f>資料儲存!D3997</f>
        <v>0</v>
      </c>
      <c r="AD49" s="39">
        <f>資料儲存!E3997</f>
        <v>0</v>
      </c>
      <c r="AE49" s="39">
        <f>資料儲存!F3997</f>
        <v>0</v>
      </c>
      <c r="AF49" s="39">
        <f>資料儲存!G3997</f>
        <v>0</v>
      </c>
      <c r="AG49" s="39">
        <f>資料儲存!H3997</f>
        <v>0</v>
      </c>
      <c r="AH49" s="39">
        <f>資料儲存!I3997</f>
        <v>0</v>
      </c>
      <c r="AI49" s="39">
        <f>資料儲存!J3997</f>
        <v>0</v>
      </c>
      <c r="AJ49" s="58"/>
    </row>
    <row r="50" spans="1:36" ht="16" thickBot="1">
      <c r="A50" s="61">
        <v>37</v>
      </c>
      <c r="B50" s="39">
        <f>資料儲存!D3638</f>
        <v>0</v>
      </c>
      <c r="C50" s="39">
        <f>資料儲存!E3638</f>
        <v>0</v>
      </c>
      <c r="D50" s="39">
        <f>資料儲存!F3638</f>
        <v>0</v>
      </c>
      <c r="E50" s="39">
        <f>資料儲存!G3638</f>
        <v>0</v>
      </c>
      <c r="F50" s="39">
        <f>資料儲存!H3638</f>
        <v>0</v>
      </c>
      <c r="G50" s="39">
        <f>資料儲存!I3638</f>
        <v>0</v>
      </c>
      <c r="H50" s="39">
        <f>資料儲存!J3638</f>
        <v>0</v>
      </c>
      <c r="I50" s="58"/>
      <c r="J50" s="61">
        <v>37</v>
      </c>
      <c r="K50" s="39">
        <f>資料儲存!D3758</f>
        <v>0</v>
      </c>
      <c r="L50" s="39">
        <f>資料儲存!E3758</f>
        <v>0</v>
      </c>
      <c r="M50" s="39">
        <f>資料儲存!F3758</f>
        <v>0</v>
      </c>
      <c r="N50" s="39">
        <f>資料儲存!G3758</f>
        <v>0</v>
      </c>
      <c r="O50" s="39">
        <f>資料儲存!H3758</f>
        <v>0</v>
      </c>
      <c r="P50" s="39">
        <f>資料儲存!I3758</f>
        <v>0</v>
      </c>
      <c r="Q50" s="39">
        <f>資料儲存!J3758</f>
        <v>0</v>
      </c>
      <c r="R50" s="58"/>
      <c r="S50" s="61">
        <v>37</v>
      </c>
      <c r="T50" s="39">
        <f>資料儲存!D3878</f>
        <v>0</v>
      </c>
      <c r="U50" s="39">
        <f>資料儲存!E3878</f>
        <v>0</v>
      </c>
      <c r="V50" s="39">
        <f>資料儲存!F3878</f>
        <v>0</v>
      </c>
      <c r="W50" s="39">
        <f>資料儲存!G3878</f>
        <v>0</v>
      </c>
      <c r="X50" s="39">
        <f>資料儲存!H3878</f>
        <v>0</v>
      </c>
      <c r="Y50" s="39">
        <f>資料儲存!I3878</f>
        <v>0</v>
      </c>
      <c r="Z50" s="39">
        <f>資料儲存!J3878</f>
        <v>0</v>
      </c>
      <c r="AA50" s="58"/>
      <c r="AB50" s="61">
        <v>37</v>
      </c>
      <c r="AC50" s="39">
        <f>資料儲存!D3998</f>
        <v>0</v>
      </c>
      <c r="AD50" s="39">
        <f>資料儲存!E3998</f>
        <v>0</v>
      </c>
      <c r="AE50" s="39">
        <f>資料儲存!F3998</f>
        <v>0</v>
      </c>
      <c r="AF50" s="39">
        <f>資料儲存!G3998</f>
        <v>0</v>
      </c>
      <c r="AG50" s="39">
        <f>資料儲存!H3998</f>
        <v>0</v>
      </c>
      <c r="AH50" s="39">
        <f>資料儲存!I3998</f>
        <v>0</v>
      </c>
      <c r="AI50" s="39">
        <f>資料儲存!J3998</f>
        <v>0</v>
      </c>
      <c r="AJ50" s="58"/>
    </row>
    <row r="51" spans="1:36" ht="16" thickBot="1">
      <c r="A51" s="61">
        <v>38</v>
      </c>
      <c r="B51" s="39">
        <f>資料儲存!D3639</f>
        <v>0</v>
      </c>
      <c r="C51" s="39">
        <f>資料儲存!E3639</f>
        <v>0</v>
      </c>
      <c r="D51" s="39">
        <f>資料儲存!F3639</f>
        <v>0</v>
      </c>
      <c r="E51" s="39">
        <f>資料儲存!G3639</f>
        <v>0</v>
      </c>
      <c r="F51" s="39">
        <f>資料儲存!H3639</f>
        <v>0</v>
      </c>
      <c r="G51" s="39">
        <f>資料儲存!I3639</f>
        <v>0</v>
      </c>
      <c r="H51" s="39">
        <f>資料儲存!J3639</f>
        <v>0</v>
      </c>
      <c r="I51" s="58"/>
      <c r="J51" s="61">
        <v>38</v>
      </c>
      <c r="K51" s="39">
        <f>資料儲存!D3759</f>
        <v>0</v>
      </c>
      <c r="L51" s="39">
        <f>資料儲存!E3759</f>
        <v>0</v>
      </c>
      <c r="M51" s="39">
        <f>資料儲存!F3759</f>
        <v>0</v>
      </c>
      <c r="N51" s="39">
        <f>資料儲存!G3759</f>
        <v>0</v>
      </c>
      <c r="O51" s="39">
        <f>資料儲存!H3759</f>
        <v>0</v>
      </c>
      <c r="P51" s="39">
        <f>資料儲存!I3759</f>
        <v>0</v>
      </c>
      <c r="Q51" s="39">
        <f>資料儲存!J3759</f>
        <v>0</v>
      </c>
      <c r="R51" s="58"/>
      <c r="S51" s="61">
        <v>38</v>
      </c>
      <c r="T51" s="39">
        <f>資料儲存!D3879</f>
        <v>0</v>
      </c>
      <c r="U51" s="39">
        <f>資料儲存!E3879</f>
        <v>0</v>
      </c>
      <c r="V51" s="39">
        <f>資料儲存!F3879</f>
        <v>0</v>
      </c>
      <c r="W51" s="39">
        <f>資料儲存!G3879</f>
        <v>0</v>
      </c>
      <c r="X51" s="39">
        <f>資料儲存!H3879</f>
        <v>0</v>
      </c>
      <c r="Y51" s="39">
        <f>資料儲存!I3879</f>
        <v>0</v>
      </c>
      <c r="Z51" s="39">
        <f>資料儲存!J3879</f>
        <v>0</v>
      </c>
      <c r="AA51" s="58"/>
      <c r="AB51" s="61">
        <v>38</v>
      </c>
      <c r="AC51" s="39">
        <f>資料儲存!D3999</f>
        <v>0</v>
      </c>
      <c r="AD51" s="39">
        <f>資料儲存!E3999</f>
        <v>0</v>
      </c>
      <c r="AE51" s="39">
        <f>資料儲存!F3999</f>
        <v>0</v>
      </c>
      <c r="AF51" s="39">
        <f>資料儲存!G3999</f>
        <v>0</v>
      </c>
      <c r="AG51" s="39">
        <f>資料儲存!H3999</f>
        <v>0</v>
      </c>
      <c r="AH51" s="39">
        <f>資料儲存!I3999</f>
        <v>0</v>
      </c>
      <c r="AI51" s="39">
        <f>資料儲存!J3999</f>
        <v>0</v>
      </c>
      <c r="AJ51" s="58"/>
    </row>
    <row r="52" spans="1:36" ht="16" thickBot="1">
      <c r="A52" s="61">
        <v>39</v>
      </c>
      <c r="B52" s="39">
        <f>資料儲存!D3640</f>
        <v>0</v>
      </c>
      <c r="C52" s="39">
        <f>資料儲存!E3640</f>
        <v>0</v>
      </c>
      <c r="D52" s="39">
        <f>資料儲存!F3640</f>
        <v>0</v>
      </c>
      <c r="E52" s="39">
        <f>資料儲存!G3640</f>
        <v>0</v>
      </c>
      <c r="F52" s="39">
        <f>資料儲存!H3640</f>
        <v>0</v>
      </c>
      <c r="G52" s="39">
        <f>資料儲存!I3640</f>
        <v>0</v>
      </c>
      <c r="H52" s="39">
        <f>資料儲存!J3640</f>
        <v>0</v>
      </c>
      <c r="I52" s="58"/>
      <c r="J52" s="61">
        <v>39</v>
      </c>
      <c r="K52" s="39">
        <f>資料儲存!D3760</f>
        <v>0</v>
      </c>
      <c r="L52" s="39">
        <f>資料儲存!E3760</f>
        <v>0</v>
      </c>
      <c r="M52" s="39">
        <f>資料儲存!F3760</f>
        <v>0</v>
      </c>
      <c r="N52" s="39">
        <f>資料儲存!G3760</f>
        <v>0</v>
      </c>
      <c r="O52" s="39">
        <f>資料儲存!H3760</f>
        <v>0</v>
      </c>
      <c r="P52" s="39">
        <f>資料儲存!I3760</f>
        <v>0</v>
      </c>
      <c r="Q52" s="39">
        <f>資料儲存!J3760</f>
        <v>0</v>
      </c>
      <c r="R52" s="58"/>
      <c r="S52" s="61">
        <v>39</v>
      </c>
      <c r="T52" s="39">
        <f>資料儲存!D3880</f>
        <v>0</v>
      </c>
      <c r="U52" s="39">
        <f>資料儲存!E3880</f>
        <v>0</v>
      </c>
      <c r="V52" s="39">
        <f>資料儲存!F3880</f>
        <v>0</v>
      </c>
      <c r="W52" s="39">
        <f>資料儲存!G3880</f>
        <v>0</v>
      </c>
      <c r="X52" s="39">
        <f>資料儲存!H3880</f>
        <v>0</v>
      </c>
      <c r="Y52" s="39">
        <f>資料儲存!I3880</f>
        <v>0</v>
      </c>
      <c r="Z52" s="39">
        <f>資料儲存!J3880</f>
        <v>0</v>
      </c>
      <c r="AA52" s="58"/>
      <c r="AB52" s="61">
        <v>39</v>
      </c>
      <c r="AC52" s="39">
        <f>資料儲存!D4000</f>
        <v>0</v>
      </c>
      <c r="AD52" s="39">
        <f>資料儲存!E4000</f>
        <v>0</v>
      </c>
      <c r="AE52" s="39">
        <f>資料儲存!F4000</f>
        <v>0</v>
      </c>
      <c r="AF52" s="39">
        <f>資料儲存!G4000</f>
        <v>0</v>
      </c>
      <c r="AG52" s="39">
        <f>資料儲存!H4000</f>
        <v>0</v>
      </c>
      <c r="AH52" s="39">
        <f>資料儲存!I4000</f>
        <v>0</v>
      </c>
      <c r="AI52" s="39">
        <f>資料儲存!J4000</f>
        <v>0</v>
      </c>
      <c r="AJ52" s="58"/>
    </row>
    <row r="53" spans="1:36" ht="16" thickBot="1">
      <c r="A53" s="61">
        <v>40</v>
      </c>
      <c r="B53" s="39">
        <f>資料儲存!D3641</f>
        <v>0</v>
      </c>
      <c r="C53" s="39">
        <f>資料儲存!E3641</f>
        <v>0</v>
      </c>
      <c r="D53" s="39">
        <f>資料儲存!F3641</f>
        <v>0</v>
      </c>
      <c r="E53" s="39">
        <f>資料儲存!G3641</f>
        <v>0</v>
      </c>
      <c r="F53" s="39">
        <f>資料儲存!H3641</f>
        <v>0</v>
      </c>
      <c r="G53" s="39">
        <f>資料儲存!I3641</f>
        <v>0</v>
      </c>
      <c r="H53" s="39">
        <f>資料儲存!J3641</f>
        <v>0</v>
      </c>
      <c r="I53" s="58"/>
      <c r="J53" s="61">
        <v>40</v>
      </c>
      <c r="K53" s="39">
        <f>資料儲存!D3761</f>
        <v>0</v>
      </c>
      <c r="L53" s="39">
        <f>資料儲存!E3761</f>
        <v>0</v>
      </c>
      <c r="M53" s="39">
        <f>資料儲存!F3761</f>
        <v>0</v>
      </c>
      <c r="N53" s="39">
        <f>資料儲存!G3761</f>
        <v>0</v>
      </c>
      <c r="O53" s="39">
        <f>資料儲存!H3761</f>
        <v>0</v>
      </c>
      <c r="P53" s="39">
        <f>資料儲存!I3761</f>
        <v>0</v>
      </c>
      <c r="Q53" s="39">
        <f>資料儲存!J3761</f>
        <v>0</v>
      </c>
      <c r="R53" s="58"/>
      <c r="S53" s="61">
        <v>40</v>
      </c>
      <c r="T53" s="39">
        <f>資料儲存!D3881</f>
        <v>0</v>
      </c>
      <c r="U53" s="39">
        <f>資料儲存!E3881</f>
        <v>0</v>
      </c>
      <c r="V53" s="39">
        <f>資料儲存!F3881</f>
        <v>0</v>
      </c>
      <c r="W53" s="39">
        <f>資料儲存!G3881</f>
        <v>0</v>
      </c>
      <c r="X53" s="39">
        <f>資料儲存!H3881</f>
        <v>0</v>
      </c>
      <c r="Y53" s="39">
        <f>資料儲存!I3881</f>
        <v>0</v>
      </c>
      <c r="Z53" s="39">
        <f>資料儲存!J3881</f>
        <v>0</v>
      </c>
      <c r="AA53" s="58"/>
      <c r="AB53" s="61">
        <v>40</v>
      </c>
      <c r="AC53" s="39">
        <f>資料儲存!D4001</f>
        <v>0</v>
      </c>
      <c r="AD53" s="39">
        <f>資料儲存!E4001</f>
        <v>0</v>
      </c>
      <c r="AE53" s="39">
        <f>資料儲存!F4001</f>
        <v>0</v>
      </c>
      <c r="AF53" s="39">
        <f>資料儲存!G4001</f>
        <v>0</v>
      </c>
      <c r="AG53" s="39">
        <f>資料儲存!H4001</f>
        <v>0</v>
      </c>
      <c r="AH53" s="39">
        <f>資料儲存!I4001</f>
        <v>0</v>
      </c>
      <c r="AI53" s="39">
        <f>資料儲存!J4001</f>
        <v>0</v>
      </c>
      <c r="AJ53" s="58"/>
    </row>
    <row r="54" spans="1:36" ht="16" thickBot="1">
      <c r="A54" s="61">
        <v>41</v>
      </c>
      <c r="B54" s="39">
        <f>資料儲存!D3642</f>
        <v>0</v>
      </c>
      <c r="C54" s="39">
        <f>資料儲存!E3642</f>
        <v>0</v>
      </c>
      <c r="D54" s="39">
        <f>資料儲存!F3642</f>
        <v>0</v>
      </c>
      <c r="E54" s="39">
        <f>資料儲存!G3642</f>
        <v>0</v>
      </c>
      <c r="F54" s="39">
        <f>資料儲存!H3642</f>
        <v>0</v>
      </c>
      <c r="G54" s="39">
        <f>資料儲存!I3642</f>
        <v>0</v>
      </c>
      <c r="H54" s="39">
        <f>資料儲存!J3642</f>
        <v>0</v>
      </c>
      <c r="I54" s="58"/>
      <c r="J54" s="61">
        <v>41</v>
      </c>
      <c r="K54" s="39">
        <f>資料儲存!D3762</f>
        <v>0</v>
      </c>
      <c r="L54" s="39">
        <f>資料儲存!E3762</f>
        <v>0</v>
      </c>
      <c r="M54" s="39">
        <f>資料儲存!F3762</f>
        <v>0</v>
      </c>
      <c r="N54" s="39">
        <f>資料儲存!G3762</f>
        <v>0</v>
      </c>
      <c r="O54" s="39">
        <f>資料儲存!H3762</f>
        <v>0</v>
      </c>
      <c r="P54" s="39">
        <f>資料儲存!I3762</f>
        <v>0</v>
      </c>
      <c r="Q54" s="39">
        <f>資料儲存!J3762</f>
        <v>0</v>
      </c>
      <c r="R54" s="58"/>
      <c r="S54" s="61">
        <v>41</v>
      </c>
      <c r="T54" s="39">
        <f>資料儲存!D3882</f>
        <v>0</v>
      </c>
      <c r="U54" s="39">
        <f>資料儲存!E3882</f>
        <v>0</v>
      </c>
      <c r="V54" s="39">
        <f>資料儲存!F3882</f>
        <v>0</v>
      </c>
      <c r="W54" s="39">
        <f>資料儲存!G3882</f>
        <v>0</v>
      </c>
      <c r="X54" s="39">
        <f>資料儲存!H3882</f>
        <v>0</v>
      </c>
      <c r="Y54" s="39">
        <f>資料儲存!I3882</f>
        <v>0</v>
      </c>
      <c r="Z54" s="39">
        <f>資料儲存!J3882</f>
        <v>0</v>
      </c>
      <c r="AA54" s="58"/>
      <c r="AB54" s="61">
        <v>41</v>
      </c>
      <c r="AC54" s="39">
        <f>資料儲存!D4002</f>
        <v>0</v>
      </c>
      <c r="AD54" s="39">
        <f>資料儲存!E4002</f>
        <v>0</v>
      </c>
      <c r="AE54" s="39">
        <f>資料儲存!F4002</f>
        <v>0</v>
      </c>
      <c r="AF54" s="39">
        <f>資料儲存!G4002</f>
        <v>0</v>
      </c>
      <c r="AG54" s="39">
        <f>資料儲存!H4002</f>
        <v>0</v>
      </c>
      <c r="AH54" s="39">
        <f>資料儲存!I4002</f>
        <v>0</v>
      </c>
      <c r="AI54" s="39">
        <f>資料儲存!J4002</f>
        <v>0</v>
      </c>
      <c r="AJ54" s="58"/>
    </row>
    <row r="55" spans="1:36" ht="16" thickBot="1">
      <c r="A55" s="61">
        <v>42</v>
      </c>
      <c r="B55" s="39">
        <f>資料儲存!D3643</f>
        <v>0</v>
      </c>
      <c r="C55" s="39">
        <f>資料儲存!E3643</f>
        <v>0</v>
      </c>
      <c r="D55" s="39">
        <f>資料儲存!F3643</f>
        <v>0</v>
      </c>
      <c r="E55" s="39">
        <f>資料儲存!G3643</f>
        <v>0</v>
      </c>
      <c r="F55" s="39">
        <f>資料儲存!H3643</f>
        <v>0</v>
      </c>
      <c r="G55" s="39">
        <f>資料儲存!I3643</f>
        <v>0</v>
      </c>
      <c r="H55" s="39">
        <f>資料儲存!J3643</f>
        <v>0</v>
      </c>
      <c r="I55" s="58"/>
      <c r="J55" s="61">
        <v>42</v>
      </c>
      <c r="K55" s="39">
        <f>資料儲存!D3763</f>
        <v>0</v>
      </c>
      <c r="L55" s="39">
        <f>資料儲存!E3763</f>
        <v>0</v>
      </c>
      <c r="M55" s="39">
        <f>資料儲存!F3763</f>
        <v>0</v>
      </c>
      <c r="N55" s="39">
        <f>資料儲存!G3763</f>
        <v>0</v>
      </c>
      <c r="O55" s="39">
        <f>資料儲存!H3763</f>
        <v>0</v>
      </c>
      <c r="P55" s="39">
        <f>資料儲存!I3763</f>
        <v>0</v>
      </c>
      <c r="Q55" s="39">
        <f>資料儲存!J3763</f>
        <v>0</v>
      </c>
      <c r="R55" s="58"/>
      <c r="S55" s="61">
        <v>42</v>
      </c>
      <c r="T55" s="39">
        <f>資料儲存!D3883</f>
        <v>0</v>
      </c>
      <c r="U55" s="39">
        <f>資料儲存!E3883</f>
        <v>0</v>
      </c>
      <c r="V55" s="39">
        <f>資料儲存!F3883</f>
        <v>0</v>
      </c>
      <c r="W55" s="39">
        <f>資料儲存!G3883</f>
        <v>0</v>
      </c>
      <c r="X55" s="39">
        <f>資料儲存!H3883</f>
        <v>0</v>
      </c>
      <c r="Y55" s="39">
        <f>資料儲存!I3883</f>
        <v>0</v>
      </c>
      <c r="Z55" s="39">
        <f>資料儲存!J3883</f>
        <v>0</v>
      </c>
      <c r="AA55" s="58"/>
      <c r="AB55" s="61">
        <v>42</v>
      </c>
      <c r="AC55" s="39">
        <f>資料儲存!D4003</f>
        <v>0</v>
      </c>
      <c r="AD55" s="39">
        <f>資料儲存!E4003</f>
        <v>0</v>
      </c>
      <c r="AE55" s="39">
        <f>資料儲存!F4003</f>
        <v>0</v>
      </c>
      <c r="AF55" s="39">
        <f>資料儲存!G4003</f>
        <v>0</v>
      </c>
      <c r="AG55" s="39">
        <f>資料儲存!H4003</f>
        <v>0</v>
      </c>
      <c r="AH55" s="39">
        <f>資料儲存!I4003</f>
        <v>0</v>
      </c>
      <c r="AI55" s="39">
        <f>資料儲存!J4003</f>
        <v>0</v>
      </c>
      <c r="AJ55" s="58"/>
    </row>
    <row r="56" spans="1:36" ht="16" thickBot="1">
      <c r="A56" s="61">
        <v>43</v>
      </c>
      <c r="B56" s="39">
        <f>資料儲存!D3644</f>
        <v>0</v>
      </c>
      <c r="C56" s="39">
        <f>資料儲存!E3644</f>
        <v>0</v>
      </c>
      <c r="D56" s="39">
        <f>資料儲存!F3644</f>
        <v>0</v>
      </c>
      <c r="E56" s="39">
        <f>資料儲存!G3644</f>
        <v>0</v>
      </c>
      <c r="F56" s="39">
        <f>資料儲存!H3644</f>
        <v>0</v>
      </c>
      <c r="G56" s="39">
        <f>資料儲存!I3644</f>
        <v>0</v>
      </c>
      <c r="H56" s="39">
        <f>資料儲存!J3644</f>
        <v>0</v>
      </c>
      <c r="I56" s="58"/>
      <c r="J56" s="61">
        <v>43</v>
      </c>
      <c r="K56" s="39">
        <f>資料儲存!D3764</f>
        <v>0</v>
      </c>
      <c r="L56" s="39">
        <f>資料儲存!E3764</f>
        <v>0</v>
      </c>
      <c r="M56" s="39">
        <f>資料儲存!F3764</f>
        <v>0</v>
      </c>
      <c r="N56" s="39">
        <f>資料儲存!G3764</f>
        <v>0</v>
      </c>
      <c r="O56" s="39">
        <f>資料儲存!H3764</f>
        <v>0</v>
      </c>
      <c r="P56" s="39">
        <f>資料儲存!I3764</f>
        <v>0</v>
      </c>
      <c r="Q56" s="39">
        <f>資料儲存!J3764</f>
        <v>0</v>
      </c>
      <c r="R56" s="58"/>
      <c r="S56" s="61">
        <v>43</v>
      </c>
      <c r="T56" s="39">
        <f>資料儲存!D3884</f>
        <v>0</v>
      </c>
      <c r="U56" s="39">
        <f>資料儲存!E3884</f>
        <v>0</v>
      </c>
      <c r="V56" s="39">
        <f>資料儲存!F3884</f>
        <v>0</v>
      </c>
      <c r="W56" s="39">
        <f>資料儲存!G3884</f>
        <v>0</v>
      </c>
      <c r="X56" s="39">
        <f>資料儲存!H3884</f>
        <v>0</v>
      </c>
      <c r="Y56" s="39">
        <f>資料儲存!I3884</f>
        <v>0</v>
      </c>
      <c r="Z56" s="39">
        <f>資料儲存!J3884</f>
        <v>0</v>
      </c>
      <c r="AA56" s="58"/>
      <c r="AB56" s="61">
        <v>43</v>
      </c>
      <c r="AC56" s="39">
        <f>資料儲存!D4004</f>
        <v>0</v>
      </c>
      <c r="AD56" s="39">
        <f>資料儲存!E4004</f>
        <v>0</v>
      </c>
      <c r="AE56" s="39">
        <f>資料儲存!F4004</f>
        <v>0</v>
      </c>
      <c r="AF56" s="39">
        <f>資料儲存!G4004</f>
        <v>0</v>
      </c>
      <c r="AG56" s="39">
        <f>資料儲存!H4004</f>
        <v>0</v>
      </c>
      <c r="AH56" s="39">
        <f>資料儲存!I4004</f>
        <v>0</v>
      </c>
      <c r="AI56" s="39">
        <f>資料儲存!J4004</f>
        <v>0</v>
      </c>
      <c r="AJ56" s="58"/>
    </row>
    <row r="57" spans="1:36" ht="16" thickBot="1">
      <c r="A57" s="61">
        <v>44</v>
      </c>
      <c r="B57" s="39">
        <f>資料儲存!D3645</f>
        <v>0</v>
      </c>
      <c r="C57" s="39">
        <f>資料儲存!E3645</f>
        <v>0</v>
      </c>
      <c r="D57" s="39">
        <f>資料儲存!F3645</f>
        <v>0</v>
      </c>
      <c r="E57" s="39">
        <f>資料儲存!G3645</f>
        <v>0</v>
      </c>
      <c r="F57" s="39">
        <f>資料儲存!H3645</f>
        <v>0</v>
      </c>
      <c r="G57" s="39">
        <f>資料儲存!I3645</f>
        <v>0</v>
      </c>
      <c r="H57" s="39">
        <f>資料儲存!J3645</f>
        <v>0</v>
      </c>
      <c r="I57" s="58"/>
      <c r="J57" s="61">
        <v>44</v>
      </c>
      <c r="K57" s="39">
        <f>資料儲存!D3765</f>
        <v>0</v>
      </c>
      <c r="L57" s="39">
        <f>資料儲存!E3765</f>
        <v>0</v>
      </c>
      <c r="M57" s="39">
        <f>資料儲存!F3765</f>
        <v>0</v>
      </c>
      <c r="N57" s="39">
        <f>資料儲存!G3765</f>
        <v>0</v>
      </c>
      <c r="O57" s="39">
        <f>資料儲存!H3765</f>
        <v>0</v>
      </c>
      <c r="P57" s="39">
        <f>資料儲存!I3765</f>
        <v>0</v>
      </c>
      <c r="Q57" s="39">
        <f>資料儲存!J3765</f>
        <v>0</v>
      </c>
      <c r="R57" s="58"/>
      <c r="S57" s="61">
        <v>44</v>
      </c>
      <c r="T57" s="39">
        <f>資料儲存!D3885</f>
        <v>0</v>
      </c>
      <c r="U57" s="39">
        <f>資料儲存!E3885</f>
        <v>0</v>
      </c>
      <c r="V57" s="39">
        <f>資料儲存!F3885</f>
        <v>0</v>
      </c>
      <c r="W57" s="39">
        <f>資料儲存!G3885</f>
        <v>0</v>
      </c>
      <c r="X57" s="39">
        <f>資料儲存!H3885</f>
        <v>0</v>
      </c>
      <c r="Y57" s="39">
        <f>資料儲存!I3885</f>
        <v>0</v>
      </c>
      <c r="Z57" s="39">
        <f>資料儲存!J3885</f>
        <v>0</v>
      </c>
      <c r="AA57" s="58"/>
      <c r="AB57" s="61">
        <v>44</v>
      </c>
      <c r="AC57" s="39">
        <f>資料儲存!D4005</f>
        <v>0</v>
      </c>
      <c r="AD57" s="39">
        <f>資料儲存!E4005</f>
        <v>0</v>
      </c>
      <c r="AE57" s="39">
        <f>資料儲存!F4005</f>
        <v>0</v>
      </c>
      <c r="AF57" s="39">
        <f>資料儲存!G4005</f>
        <v>0</v>
      </c>
      <c r="AG57" s="39">
        <f>資料儲存!H4005</f>
        <v>0</v>
      </c>
      <c r="AH57" s="39">
        <f>資料儲存!I4005</f>
        <v>0</v>
      </c>
      <c r="AI57" s="39">
        <f>資料儲存!J4005</f>
        <v>0</v>
      </c>
      <c r="AJ57" s="58"/>
    </row>
    <row r="58" spans="1:36" ht="16" thickBot="1">
      <c r="A58" s="61">
        <v>45</v>
      </c>
      <c r="B58" s="39">
        <f>資料儲存!D3646</f>
        <v>0</v>
      </c>
      <c r="C58" s="39">
        <f>資料儲存!E3646</f>
        <v>0</v>
      </c>
      <c r="D58" s="39">
        <f>資料儲存!F3646</f>
        <v>0</v>
      </c>
      <c r="E58" s="39">
        <f>資料儲存!G3646</f>
        <v>0</v>
      </c>
      <c r="F58" s="39">
        <f>資料儲存!H3646</f>
        <v>0</v>
      </c>
      <c r="G58" s="39">
        <f>資料儲存!I3646</f>
        <v>0</v>
      </c>
      <c r="H58" s="39">
        <f>資料儲存!J3646</f>
        <v>0</v>
      </c>
      <c r="I58" s="58"/>
      <c r="J58" s="61">
        <v>45</v>
      </c>
      <c r="K58" s="39">
        <f>資料儲存!D3766</f>
        <v>0</v>
      </c>
      <c r="L58" s="39">
        <f>資料儲存!E3766</f>
        <v>0</v>
      </c>
      <c r="M58" s="39">
        <f>資料儲存!F3766</f>
        <v>0</v>
      </c>
      <c r="N58" s="39">
        <f>資料儲存!G3766</f>
        <v>0</v>
      </c>
      <c r="O58" s="39">
        <f>資料儲存!H3766</f>
        <v>0</v>
      </c>
      <c r="P58" s="39">
        <f>資料儲存!I3766</f>
        <v>0</v>
      </c>
      <c r="Q58" s="39">
        <f>資料儲存!J3766</f>
        <v>0</v>
      </c>
      <c r="R58" s="58"/>
      <c r="S58" s="61">
        <v>45</v>
      </c>
      <c r="T58" s="39">
        <f>資料儲存!D3886</f>
        <v>0</v>
      </c>
      <c r="U58" s="39">
        <f>資料儲存!E3886</f>
        <v>0</v>
      </c>
      <c r="V58" s="39">
        <f>資料儲存!F3886</f>
        <v>0</v>
      </c>
      <c r="W58" s="39">
        <f>資料儲存!G3886</f>
        <v>0</v>
      </c>
      <c r="X58" s="39">
        <f>資料儲存!H3886</f>
        <v>0</v>
      </c>
      <c r="Y58" s="39">
        <f>資料儲存!I3886</f>
        <v>0</v>
      </c>
      <c r="Z58" s="39">
        <f>資料儲存!J3886</f>
        <v>0</v>
      </c>
      <c r="AA58" s="58"/>
      <c r="AB58" s="61">
        <v>45</v>
      </c>
      <c r="AC58" s="39">
        <f>資料儲存!D4006</f>
        <v>0</v>
      </c>
      <c r="AD58" s="39">
        <f>資料儲存!E4006</f>
        <v>0</v>
      </c>
      <c r="AE58" s="39">
        <f>資料儲存!F4006</f>
        <v>0</v>
      </c>
      <c r="AF58" s="39">
        <f>資料儲存!G4006</f>
        <v>0</v>
      </c>
      <c r="AG58" s="39">
        <f>資料儲存!H4006</f>
        <v>0</v>
      </c>
      <c r="AH58" s="39">
        <f>資料儲存!I4006</f>
        <v>0</v>
      </c>
      <c r="AI58" s="39">
        <f>資料儲存!J4006</f>
        <v>0</v>
      </c>
      <c r="AJ58" s="58"/>
    </row>
    <row r="59" spans="1:36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</row>
    <row r="60" spans="1:36" ht="18.5" thickBot="1">
      <c r="A60" s="259" t="s">
        <v>78</v>
      </c>
      <c r="B60" s="260"/>
      <c r="C60" s="260"/>
      <c r="D60" s="260"/>
      <c r="E60" s="260"/>
      <c r="F60" s="260"/>
      <c r="G60" s="260"/>
      <c r="H60" s="261"/>
      <c r="I60" s="14"/>
      <c r="J60" s="259" t="s">
        <v>78</v>
      </c>
      <c r="K60" s="260"/>
      <c r="L60" s="260"/>
      <c r="M60" s="260"/>
      <c r="N60" s="260"/>
      <c r="O60" s="260"/>
      <c r="P60" s="260"/>
      <c r="Q60" s="261"/>
      <c r="R60" s="14"/>
      <c r="S60" s="259" t="s">
        <v>78</v>
      </c>
      <c r="T60" s="260"/>
      <c r="U60" s="260"/>
      <c r="V60" s="260"/>
      <c r="W60" s="260"/>
      <c r="X60" s="260"/>
      <c r="Y60" s="260"/>
      <c r="Z60" s="261"/>
      <c r="AA60" s="14"/>
      <c r="AB60" s="259" t="s">
        <v>78</v>
      </c>
      <c r="AC60" s="260"/>
      <c r="AD60" s="260"/>
      <c r="AE60" s="260"/>
      <c r="AF60" s="260"/>
      <c r="AG60" s="260"/>
      <c r="AH60" s="260"/>
      <c r="AI60" s="261"/>
      <c r="AJ60" s="14"/>
    </row>
    <row r="61" spans="1:36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</row>
    <row r="62" spans="1:36" ht="16" thickBot="1">
      <c r="A62" s="66" t="s">
        <v>79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 t="s">
        <v>79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 t="s">
        <v>79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 t="s">
        <v>79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</row>
    <row r="63" spans="1:36" ht="16" thickBot="1">
      <c r="A63" s="68">
        <v>46</v>
      </c>
      <c r="B63" s="49">
        <f>資料儲存!D3647</f>
        <v>0</v>
      </c>
      <c r="C63" s="49">
        <f>資料儲存!E3647</f>
        <v>0</v>
      </c>
      <c r="D63" s="49">
        <f>資料儲存!F3647</f>
        <v>0</v>
      </c>
      <c r="E63" s="49">
        <f>資料儲存!G3647</f>
        <v>0</v>
      </c>
      <c r="F63" s="49">
        <f>資料儲存!H3647</f>
        <v>0</v>
      </c>
      <c r="G63" s="49">
        <f>資料儲存!I3647</f>
        <v>0</v>
      </c>
      <c r="H63" s="49">
        <f>資料儲存!J3647</f>
        <v>0</v>
      </c>
      <c r="I63" s="52"/>
      <c r="J63" s="68">
        <v>46</v>
      </c>
      <c r="K63" s="49">
        <f>資料儲存!D3767</f>
        <v>0</v>
      </c>
      <c r="L63" s="49">
        <f>資料儲存!E3767</f>
        <v>0</v>
      </c>
      <c r="M63" s="49">
        <f>資料儲存!F3767</f>
        <v>0</v>
      </c>
      <c r="N63" s="49">
        <f>資料儲存!G3767</f>
        <v>0</v>
      </c>
      <c r="O63" s="49">
        <f>資料儲存!H3767</f>
        <v>0</v>
      </c>
      <c r="P63" s="49">
        <f>資料儲存!I3767</f>
        <v>0</v>
      </c>
      <c r="Q63" s="49">
        <f>資料儲存!J3767</f>
        <v>0</v>
      </c>
      <c r="R63" s="52"/>
      <c r="S63" s="68">
        <v>46</v>
      </c>
      <c r="T63" s="49">
        <f>資料儲存!D3887</f>
        <v>0</v>
      </c>
      <c r="U63" s="49">
        <f>資料儲存!E3887</f>
        <v>0</v>
      </c>
      <c r="V63" s="49">
        <f>資料儲存!F3887</f>
        <v>0</v>
      </c>
      <c r="W63" s="49">
        <f>資料儲存!G3887</f>
        <v>0</v>
      </c>
      <c r="X63" s="49">
        <f>資料儲存!H3887</f>
        <v>0</v>
      </c>
      <c r="Y63" s="49">
        <f>資料儲存!I3887</f>
        <v>0</v>
      </c>
      <c r="Z63" s="49">
        <f>資料儲存!J3887</f>
        <v>0</v>
      </c>
      <c r="AA63" s="52"/>
      <c r="AB63" s="68">
        <v>46</v>
      </c>
      <c r="AC63" s="49">
        <f>資料儲存!D4007</f>
        <v>0</v>
      </c>
      <c r="AD63" s="49">
        <f>資料儲存!E4007</f>
        <v>0</v>
      </c>
      <c r="AE63" s="49">
        <f>資料儲存!F4007</f>
        <v>0</v>
      </c>
      <c r="AF63" s="49">
        <f>資料儲存!G4007</f>
        <v>0</v>
      </c>
      <c r="AG63" s="49">
        <f>資料儲存!H4007</f>
        <v>0</v>
      </c>
      <c r="AH63" s="49">
        <f>資料儲存!I4007</f>
        <v>0</v>
      </c>
      <c r="AI63" s="49">
        <f>資料儲存!J4007</f>
        <v>0</v>
      </c>
      <c r="AJ63" s="52"/>
    </row>
    <row r="64" spans="1:36" ht="16" thickBot="1">
      <c r="A64" s="68">
        <v>47</v>
      </c>
      <c r="B64" s="49">
        <f>資料儲存!D3648</f>
        <v>0</v>
      </c>
      <c r="C64" s="49">
        <f>資料儲存!E3648</f>
        <v>0</v>
      </c>
      <c r="D64" s="49">
        <f>資料儲存!F3648</f>
        <v>0</v>
      </c>
      <c r="E64" s="49">
        <f>資料儲存!G3648</f>
        <v>0</v>
      </c>
      <c r="F64" s="49">
        <f>資料儲存!H3648</f>
        <v>0</v>
      </c>
      <c r="G64" s="49">
        <f>資料儲存!I3648</f>
        <v>0</v>
      </c>
      <c r="H64" s="49">
        <f>資料儲存!J3648</f>
        <v>0</v>
      </c>
      <c r="I64" s="52"/>
      <c r="J64" s="68">
        <v>47</v>
      </c>
      <c r="K64" s="49">
        <f>資料儲存!D3768</f>
        <v>0</v>
      </c>
      <c r="L64" s="49">
        <f>資料儲存!E3768</f>
        <v>0</v>
      </c>
      <c r="M64" s="49">
        <f>資料儲存!F3768</f>
        <v>0</v>
      </c>
      <c r="N64" s="49">
        <f>資料儲存!G3768</f>
        <v>0</v>
      </c>
      <c r="O64" s="49">
        <f>資料儲存!H3768</f>
        <v>0</v>
      </c>
      <c r="P64" s="49">
        <f>資料儲存!I3768</f>
        <v>0</v>
      </c>
      <c r="Q64" s="49">
        <f>資料儲存!J3768</f>
        <v>0</v>
      </c>
      <c r="R64" s="52"/>
      <c r="S64" s="68">
        <v>47</v>
      </c>
      <c r="T64" s="49">
        <f>資料儲存!D3888</f>
        <v>0</v>
      </c>
      <c r="U64" s="49">
        <f>資料儲存!E3888</f>
        <v>0</v>
      </c>
      <c r="V64" s="49">
        <f>資料儲存!F3888</f>
        <v>0</v>
      </c>
      <c r="W64" s="49">
        <f>資料儲存!G3888</f>
        <v>0</v>
      </c>
      <c r="X64" s="49">
        <f>資料儲存!H3888</f>
        <v>0</v>
      </c>
      <c r="Y64" s="49">
        <f>資料儲存!I3888</f>
        <v>0</v>
      </c>
      <c r="Z64" s="49">
        <f>資料儲存!J3888</f>
        <v>0</v>
      </c>
      <c r="AA64" s="52"/>
      <c r="AB64" s="68">
        <v>47</v>
      </c>
      <c r="AC64" s="49">
        <f>資料儲存!D4008</f>
        <v>0</v>
      </c>
      <c r="AD64" s="49">
        <f>資料儲存!E4008</f>
        <v>0</v>
      </c>
      <c r="AE64" s="49">
        <f>資料儲存!F4008</f>
        <v>0</v>
      </c>
      <c r="AF64" s="49">
        <f>資料儲存!G4008</f>
        <v>0</v>
      </c>
      <c r="AG64" s="49">
        <f>資料儲存!H4008</f>
        <v>0</v>
      </c>
      <c r="AH64" s="49">
        <f>資料儲存!I4008</f>
        <v>0</v>
      </c>
      <c r="AI64" s="49">
        <f>資料儲存!J4008</f>
        <v>0</v>
      </c>
      <c r="AJ64" s="52"/>
    </row>
    <row r="65" spans="1:36" ht="16" thickBot="1">
      <c r="A65" s="68">
        <v>48</v>
      </c>
      <c r="B65" s="49">
        <f>資料儲存!D3649</f>
        <v>0</v>
      </c>
      <c r="C65" s="49">
        <f>資料儲存!E3649</f>
        <v>0</v>
      </c>
      <c r="D65" s="49">
        <f>資料儲存!F3649</f>
        <v>0</v>
      </c>
      <c r="E65" s="49">
        <f>資料儲存!G3649</f>
        <v>0</v>
      </c>
      <c r="F65" s="49">
        <f>資料儲存!H3649</f>
        <v>0</v>
      </c>
      <c r="G65" s="49">
        <f>資料儲存!I3649</f>
        <v>0</v>
      </c>
      <c r="H65" s="49">
        <f>資料儲存!J3649</f>
        <v>0</v>
      </c>
      <c r="I65" s="52"/>
      <c r="J65" s="68">
        <v>48</v>
      </c>
      <c r="K65" s="49">
        <f>資料儲存!D3769</f>
        <v>0</v>
      </c>
      <c r="L65" s="49">
        <f>資料儲存!E3769</f>
        <v>0</v>
      </c>
      <c r="M65" s="49">
        <f>資料儲存!F3769</f>
        <v>0</v>
      </c>
      <c r="N65" s="49">
        <f>資料儲存!G3769</f>
        <v>0</v>
      </c>
      <c r="O65" s="49">
        <f>資料儲存!H3769</f>
        <v>0</v>
      </c>
      <c r="P65" s="49">
        <f>資料儲存!I3769</f>
        <v>0</v>
      </c>
      <c r="Q65" s="49">
        <f>資料儲存!J3769</f>
        <v>0</v>
      </c>
      <c r="R65" s="52"/>
      <c r="S65" s="68">
        <v>48</v>
      </c>
      <c r="T65" s="49">
        <f>資料儲存!D3889</f>
        <v>0</v>
      </c>
      <c r="U65" s="49">
        <f>資料儲存!E3889</f>
        <v>0</v>
      </c>
      <c r="V65" s="49">
        <f>資料儲存!F3889</f>
        <v>0</v>
      </c>
      <c r="W65" s="49">
        <f>資料儲存!G3889</f>
        <v>0</v>
      </c>
      <c r="X65" s="49">
        <f>資料儲存!H3889</f>
        <v>0</v>
      </c>
      <c r="Y65" s="49">
        <f>資料儲存!I3889</f>
        <v>0</v>
      </c>
      <c r="Z65" s="49">
        <f>資料儲存!J3889</f>
        <v>0</v>
      </c>
      <c r="AA65" s="52"/>
      <c r="AB65" s="68">
        <v>48</v>
      </c>
      <c r="AC65" s="49">
        <f>資料儲存!D4009</f>
        <v>0</v>
      </c>
      <c r="AD65" s="49">
        <f>資料儲存!E4009</f>
        <v>0</v>
      </c>
      <c r="AE65" s="49">
        <f>資料儲存!F4009</f>
        <v>0</v>
      </c>
      <c r="AF65" s="49">
        <f>資料儲存!G4009</f>
        <v>0</v>
      </c>
      <c r="AG65" s="49">
        <f>資料儲存!H4009</f>
        <v>0</v>
      </c>
      <c r="AH65" s="49">
        <f>資料儲存!I4009</f>
        <v>0</v>
      </c>
      <c r="AI65" s="49">
        <f>資料儲存!J4009</f>
        <v>0</v>
      </c>
      <c r="AJ65" s="52"/>
    </row>
    <row r="66" spans="1:36" ht="16" thickBot="1">
      <c r="A66" s="68">
        <v>49</v>
      </c>
      <c r="B66" s="49">
        <f>資料儲存!D3650</f>
        <v>0</v>
      </c>
      <c r="C66" s="49">
        <f>資料儲存!E3650</f>
        <v>0</v>
      </c>
      <c r="D66" s="49">
        <f>資料儲存!F3650</f>
        <v>0</v>
      </c>
      <c r="E66" s="49">
        <f>資料儲存!G3650</f>
        <v>0</v>
      </c>
      <c r="F66" s="49">
        <f>資料儲存!H3650</f>
        <v>0</v>
      </c>
      <c r="G66" s="49">
        <f>資料儲存!I3650</f>
        <v>0</v>
      </c>
      <c r="H66" s="49">
        <f>資料儲存!J3650</f>
        <v>0</v>
      </c>
      <c r="I66" s="52"/>
      <c r="J66" s="68">
        <v>49</v>
      </c>
      <c r="K66" s="49">
        <f>資料儲存!D3770</f>
        <v>0</v>
      </c>
      <c r="L66" s="49">
        <f>資料儲存!E3770</f>
        <v>0</v>
      </c>
      <c r="M66" s="49">
        <f>資料儲存!F3770</f>
        <v>0</v>
      </c>
      <c r="N66" s="49">
        <f>資料儲存!G3770</f>
        <v>0</v>
      </c>
      <c r="O66" s="49">
        <f>資料儲存!H3770</f>
        <v>0</v>
      </c>
      <c r="P66" s="49">
        <f>資料儲存!I3770</f>
        <v>0</v>
      </c>
      <c r="Q66" s="49">
        <f>資料儲存!J3770</f>
        <v>0</v>
      </c>
      <c r="R66" s="52"/>
      <c r="S66" s="68">
        <v>49</v>
      </c>
      <c r="T66" s="49">
        <f>資料儲存!D3890</f>
        <v>0</v>
      </c>
      <c r="U66" s="49">
        <f>資料儲存!E3890</f>
        <v>0</v>
      </c>
      <c r="V66" s="49">
        <f>資料儲存!F3890</f>
        <v>0</v>
      </c>
      <c r="W66" s="49">
        <f>資料儲存!G3890</f>
        <v>0</v>
      </c>
      <c r="X66" s="49">
        <f>資料儲存!H3890</f>
        <v>0</v>
      </c>
      <c r="Y66" s="49">
        <f>資料儲存!I3890</f>
        <v>0</v>
      </c>
      <c r="Z66" s="49">
        <f>資料儲存!J3890</f>
        <v>0</v>
      </c>
      <c r="AA66" s="52"/>
      <c r="AB66" s="68">
        <v>49</v>
      </c>
      <c r="AC66" s="49">
        <f>資料儲存!D4010</f>
        <v>0</v>
      </c>
      <c r="AD66" s="49">
        <f>資料儲存!E4010</f>
        <v>0</v>
      </c>
      <c r="AE66" s="49">
        <f>資料儲存!F4010</f>
        <v>0</v>
      </c>
      <c r="AF66" s="49">
        <f>資料儲存!G4010</f>
        <v>0</v>
      </c>
      <c r="AG66" s="49">
        <f>資料儲存!H4010</f>
        <v>0</v>
      </c>
      <c r="AH66" s="49">
        <f>資料儲存!I4010</f>
        <v>0</v>
      </c>
      <c r="AI66" s="49">
        <f>資料儲存!J4010</f>
        <v>0</v>
      </c>
      <c r="AJ66" s="52"/>
    </row>
    <row r="67" spans="1:36" ht="16" thickBot="1">
      <c r="A67" s="68">
        <v>50</v>
      </c>
      <c r="B67" s="49">
        <f>資料儲存!D3651</f>
        <v>0</v>
      </c>
      <c r="C67" s="49">
        <f>資料儲存!E3651</f>
        <v>0</v>
      </c>
      <c r="D67" s="49">
        <f>資料儲存!F3651</f>
        <v>0</v>
      </c>
      <c r="E67" s="49">
        <f>資料儲存!G3651</f>
        <v>0</v>
      </c>
      <c r="F67" s="49">
        <f>資料儲存!H3651</f>
        <v>0</v>
      </c>
      <c r="G67" s="49">
        <f>資料儲存!I3651</f>
        <v>0</v>
      </c>
      <c r="H67" s="49">
        <f>資料儲存!J3651</f>
        <v>0</v>
      </c>
      <c r="I67" s="52"/>
      <c r="J67" s="68">
        <v>50</v>
      </c>
      <c r="K67" s="49">
        <f>資料儲存!D3771</f>
        <v>0</v>
      </c>
      <c r="L67" s="49">
        <f>資料儲存!E3771</f>
        <v>0</v>
      </c>
      <c r="M67" s="49">
        <f>資料儲存!F3771</f>
        <v>0</v>
      </c>
      <c r="N67" s="49">
        <f>資料儲存!G3771</f>
        <v>0</v>
      </c>
      <c r="O67" s="49">
        <f>資料儲存!H3771</f>
        <v>0</v>
      </c>
      <c r="P67" s="49">
        <f>資料儲存!I3771</f>
        <v>0</v>
      </c>
      <c r="Q67" s="49">
        <f>資料儲存!J3771</f>
        <v>0</v>
      </c>
      <c r="R67" s="52"/>
      <c r="S67" s="68">
        <v>50</v>
      </c>
      <c r="T67" s="49">
        <f>資料儲存!D3891</f>
        <v>0</v>
      </c>
      <c r="U67" s="49">
        <f>資料儲存!E3891</f>
        <v>0</v>
      </c>
      <c r="V67" s="49">
        <f>資料儲存!F3891</f>
        <v>0</v>
      </c>
      <c r="W67" s="49">
        <f>資料儲存!G3891</f>
        <v>0</v>
      </c>
      <c r="X67" s="49">
        <f>資料儲存!H3891</f>
        <v>0</v>
      </c>
      <c r="Y67" s="49">
        <f>資料儲存!I3891</f>
        <v>0</v>
      </c>
      <c r="Z67" s="49">
        <f>資料儲存!J3891</f>
        <v>0</v>
      </c>
      <c r="AA67" s="52"/>
      <c r="AB67" s="68">
        <v>50</v>
      </c>
      <c r="AC67" s="49">
        <f>資料儲存!D4011</f>
        <v>0</v>
      </c>
      <c r="AD67" s="49">
        <f>資料儲存!E4011</f>
        <v>0</v>
      </c>
      <c r="AE67" s="49">
        <f>資料儲存!F4011</f>
        <v>0</v>
      </c>
      <c r="AF67" s="49">
        <f>資料儲存!G4011</f>
        <v>0</v>
      </c>
      <c r="AG67" s="49">
        <f>資料儲存!H4011</f>
        <v>0</v>
      </c>
      <c r="AH67" s="49">
        <f>資料儲存!I4011</f>
        <v>0</v>
      </c>
      <c r="AI67" s="49">
        <f>資料儲存!J4011</f>
        <v>0</v>
      </c>
      <c r="AJ67" s="52"/>
    </row>
    <row r="68" spans="1:36" ht="16" thickBot="1">
      <c r="A68" s="68">
        <v>51</v>
      </c>
      <c r="B68" s="49">
        <f>資料儲存!D3652</f>
        <v>0</v>
      </c>
      <c r="C68" s="49">
        <f>資料儲存!E3652</f>
        <v>0</v>
      </c>
      <c r="D68" s="49">
        <f>資料儲存!F3652</f>
        <v>0</v>
      </c>
      <c r="E68" s="49">
        <f>資料儲存!G3652</f>
        <v>0</v>
      </c>
      <c r="F68" s="49">
        <f>資料儲存!H3652</f>
        <v>0</v>
      </c>
      <c r="G68" s="49">
        <f>資料儲存!I3652</f>
        <v>0</v>
      </c>
      <c r="H68" s="49">
        <f>資料儲存!J3652</f>
        <v>0</v>
      </c>
      <c r="I68" s="52"/>
      <c r="J68" s="68">
        <v>51</v>
      </c>
      <c r="K68" s="49">
        <f>資料儲存!D3772</f>
        <v>0</v>
      </c>
      <c r="L68" s="49">
        <f>資料儲存!E3772</f>
        <v>0</v>
      </c>
      <c r="M68" s="49">
        <f>資料儲存!F3772</f>
        <v>0</v>
      </c>
      <c r="N68" s="49">
        <f>資料儲存!G3772</f>
        <v>0</v>
      </c>
      <c r="O68" s="49">
        <f>資料儲存!H3772</f>
        <v>0</v>
      </c>
      <c r="P68" s="49">
        <f>資料儲存!I3772</f>
        <v>0</v>
      </c>
      <c r="Q68" s="49">
        <f>資料儲存!J3772</f>
        <v>0</v>
      </c>
      <c r="R68" s="52"/>
      <c r="S68" s="68">
        <v>51</v>
      </c>
      <c r="T68" s="49">
        <f>資料儲存!D3892</f>
        <v>0</v>
      </c>
      <c r="U68" s="49">
        <f>資料儲存!E3892</f>
        <v>0</v>
      </c>
      <c r="V68" s="49">
        <f>資料儲存!F3892</f>
        <v>0</v>
      </c>
      <c r="W68" s="49">
        <f>資料儲存!G3892</f>
        <v>0</v>
      </c>
      <c r="X68" s="49">
        <f>資料儲存!H3892</f>
        <v>0</v>
      </c>
      <c r="Y68" s="49">
        <f>資料儲存!I3892</f>
        <v>0</v>
      </c>
      <c r="Z68" s="49">
        <f>資料儲存!J3892</f>
        <v>0</v>
      </c>
      <c r="AA68" s="52"/>
      <c r="AB68" s="68">
        <v>51</v>
      </c>
      <c r="AC68" s="49">
        <f>資料儲存!D4012</f>
        <v>0</v>
      </c>
      <c r="AD68" s="49">
        <f>資料儲存!E4012</f>
        <v>0</v>
      </c>
      <c r="AE68" s="49">
        <f>資料儲存!F4012</f>
        <v>0</v>
      </c>
      <c r="AF68" s="49">
        <f>資料儲存!G4012</f>
        <v>0</v>
      </c>
      <c r="AG68" s="49">
        <f>資料儲存!H4012</f>
        <v>0</v>
      </c>
      <c r="AH68" s="49">
        <f>資料儲存!I4012</f>
        <v>0</v>
      </c>
      <c r="AI68" s="49">
        <f>資料儲存!J4012</f>
        <v>0</v>
      </c>
      <c r="AJ68" s="52"/>
    </row>
    <row r="69" spans="1:36" ht="16" thickBot="1">
      <c r="A69" s="68">
        <v>52</v>
      </c>
      <c r="B69" s="49">
        <f>資料儲存!D3653</f>
        <v>0</v>
      </c>
      <c r="C69" s="49">
        <f>資料儲存!E3653</f>
        <v>0</v>
      </c>
      <c r="D69" s="49">
        <f>資料儲存!F3653</f>
        <v>0</v>
      </c>
      <c r="E69" s="49">
        <f>資料儲存!G3653</f>
        <v>0</v>
      </c>
      <c r="F69" s="49">
        <f>資料儲存!H3653</f>
        <v>0</v>
      </c>
      <c r="G69" s="49">
        <f>資料儲存!I3653</f>
        <v>0</v>
      </c>
      <c r="H69" s="49">
        <f>資料儲存!J3653</f>
        <v>0</v>
      </c>
      <c r="I69" s="52"/>
      <c r="J69" s="68">
        <v>52</v>
      </c>
      <c r="K69" s="49">
        <f>資料儲存!D3773</f>
        <v>0</v>
      </c>
      <c r="L69" s="49">
        <f>資料儲存!E3773</f>
        <v>0</v>
      </c>
      <c r="M69" s="49">
        <f>資料儲存!F3773</f>
        <v>0</v>
      </c>
      <c r="N69" s="49">
        <f>資料儲存!G3773</f>
        <v>0</v>
      </c>
      <c r="O69" s="49">
        <f>資料儲存!H3773</f>
        <v>0</v>
      </c>
      <c r="P69" s="49">
        <f>資料儲存!I3773</f>
        <v>0</v>
      </c>
      <c r="Q69" s="49">
        <f>資料儲存!J3773</f>
        <v>0</v>
      </c>
      <c r="R69" s="52"/>
      <c r="S69" s="68">
        <v>52</v>
      </c>
      <c r="T69" s="49">
        <f>資料儲存!D3893</f>
        <v>0</v>
      </c>
      <c r="U69" s="49">
        <f>資料儲存!E3893</f>
        <v>0</v>
      </c>
      <c r="V69" s="49">
        <f>資料儲存!F3893</f>
        <v>0</v>
      </c>
      <c r="W69" s="49">
        <f>資料儲存!G3893</f>
        <v>0</v>
      </c>
      <c r="X69" s="49">
        <f>資料儲存!H3893</f>
        <v>0</v>
      </c>
      <c r="Y69" s="49">
        <f>資料儲存!I3893</f>
        <v>0</v>
      </c>
      <c r="Z69" s="49">
        <f>資料儲存!J3893</f>
        <v>0</v>
      </c>
      <c r="AA69" s="52"/>
      <c r="AB69" s="68">
        <v>52</v>
      </c>
      <c r="AC69" s="49">
        <f>資料儲存!D4013</f>
        <v>0</v>
      </c>
      <c r="AD69" s="49">
        <f>資料儲存!E4013</f>
        <v>0</v>
      </c>
      <c r="AE69" s="49">
        <f>資料儲存!F4013</f>
        <v>0</v>
      </c>
      <c r="AF69" s="49">
        <f>資料儲存!G4013</f>
        <v>0</v>
      </c>
      <c r="AG69" s="49">
        <f>資料儲存!H4013</f>
        <v>0</v>
      </c>
      <c r="AH69" s="49">
        <f>資料儲存!I4013</f>
        <v>0</v>
      </c>
      <c r="AI69" s="49">
        <f>資料儲存!J4013</f>
        <v>0</v>
      </c>
      <c r="AJ69" s="52"/>
    </row>
    <row r="70" spans="1:36" ht="16" thickBot="1">
      <c r="A70" s="68">
        <v>53</v>
      </c>
      <c r="B70" s="49">
        <f>資料儲存!D3654</f>
        <v>0</v>
      </c>
      <c r="C70" s="49">
        <f>資料儲存!E3654</f>
        <v>0</v>
      </c>
      <c r="D70" s="49">
        <f>資料儲存!F3654</f>
        <v>0</v>
      </c>
      <c r="E70" s="49">
        <f>資料儲存!G3654</f>
        <v>0</v>
      </c>
      <c r="F70" s="49">
        <f>資料儲存!H3654</f>
        <v>0</v>
      </c>
      <c r="G70" s="49">
        <f>資料儲存!I3654</f>
        <v>0</v>
      </c>
      <c r="H70" s="49">
        <f>資料儲存!J3654</f>
        <v>0</v>
      </c>
      <c r="I70" s="52"/>
      <c r="J70" s="68">
        <v>53</v>
      </c>
      <c r="K70" s="49">
        <f>資料儲存!D3774</f>
        <v>0</v>
      </c>
      <c r="L70" s="49">
        <f>資料儲存!E3774</f>
        <v>0</v>
      </c>
      <c r="M70" s="49">
        <f>資料儲存!F3774</f>
        <v>0</v>
      </c>
      <c r="N70" s="49">
        <f>資料儲存!G3774</f>
        <v>0</v>
      </c>
      <c r="O70" s="49">
        <f>資料儲存!H3774</f>
        <v>0</v>
      </c>
      <c r="P70" s="49">
        <f>資料儲存!I3774</f>
        <v>0</v>
      </c>
      <c r="Q70" s="49">
        <f>資料儲存!J3774</f>
        <v>0</v>
      </c>
      <c r="R70" s="52"/>
      <c r="S70" s="68">
        <v>53</v>
      </c>
      <c r="T70" s="49">
        <f>資料儲存!D3894</f>
        <v>0</v>
      </c>
      <c r="U70" s="49">
        <f>資料儲存!E3894</f>
        <v>0</v>
      </c>
      <c r="V70" s="49">
        <f>資料儲存!F3894</f>
        <v>0</v>
      </c>
      <c r="W70" s="49">
        <f>資料儲存!G3894</f>
        <v>0</v>
      </c>
      <c r="X70" s="49">
        <f>資料儲存!H3894</f>
        <v>0</v>
      </c>
      <c r="Y70" s="49">
        <f>資料儲存!I3894</f>
        <v>0</v>
      </c>
      <c r="Z70" s="49">
        <f>資料儲存!J3894</f>
        <v>0</v>
      </c>
      <c r="AA70" s="52"/>
      <c r="AB70" s="68">
        <v>53</v>
      </c>
      <c r="AC70" s="49">
        <f>資料儲存!D4014</f>
        <v>0</v>
      </c>
      <c r="AD70" s="49">
        <f>資料儲存!E4014</f>
        <v>0</v>
      </c>
      <c r="AE70" s="49">
        <f>資料儲存!F4014</f>
        <v>0</v>
      </c>
      <c r="AF70" s="49">
        <f>資料儲存!G4014</f>
        <v>0</v>
      </c>
      <c r="AG70" s="49">
        <f>資料儲存!H4014</f>
        <v>0</v>
      </c>
      <c r="AH70" s="49">
        <f>資料儲存!I4014</f>
        <v>0</v>
      </c>
      <c r="AI70" s="49">
        <f>資料儲存!J4014</f>
        <v>0</v>
      </c>
      <c r="AJ70" s="52"/>
    </row>
    <row r="71" spans="1:36" ht="16" thickBot="1">
      <c r="A71" s="68">
        <v>54</v>
      </c>
      <c r="B71" s="49">
        <f>資料儲存!D3655</f>
        <v>0</v>
      </c>
      <c r="C71" s="49">
        <f>資料儲存!E3655</f>
        <v>0</v>
      </c>
      <c r="D71" s="49">
        <f>資料儲存!F3655</f>
        <v>0</v>
      </c>
      <c r="E71" s="49">
        <f>資料儲存!G3655</f>
        <v>0</v>
      </c>
      <c r="F71" s="49">
        <f>資料儲存!H3655</f>
        <v>0</v>
      </c>
      <c r="G71" s="49">
        <f>資料儲存!I3655</f>
        <v>0</v>
      </c>
      <c r="H71" s="49">
        <f>資料儲存!J3655</f>
        <v>0</v>
      </c>
      <c r="I71" s="52"/>
      <c r="J71" s="68">
        <v>54</v>
      </c>
      <c r="K71" s="49">
        <f>資料儲存!D3775</f>
        <v>0</v>
      </c>
      <c r="L71" s="49">
        <f>資料儲存!E3775</f>
        <v>0</v>
      </c>
      <c r="M71" s="49">
        <f>資料儲存!F3775</f>
        <v>0</v>
      </c>
      <c r="N71" s="49">
        <f>資料儲存!G3775</f>
        <v>0</v>
      </c>
      <c r="O71" s="49">
        <f>資料儲存!H3775</f>
        <v>0</v>
      </c>
      <c r="P71" s="49">
        <f>資料儲存!I3775</f>
        <v>0</v>
      </c>
      <c r="Q71" s="49">
        <f>資料儲存!J3775</f>
        <v>0</v>
      </c>
      <c r="R71" s="52"/>
      <c r="S71" s="68">
        <v>54</v>
      </c>
      <c r="T71" s="49">
        <f>資料儲存!D3895</f>
        <v>0</v>
      </c>
      <c r="U71" s="49">
        <f>資料儲存!E3895</f>
        <v>0</v>
      </c>
      <c r="V71" s="49">
        <f>資料儲存!F3895</f>
        <v>0</v>
      </c>
      <c r="W71" s="49">
        <f>資料儲存!G3895</f>
        <v>0</v>
      </c>
      <c r="X71" s="49">
        <f>資料儲存!H3895</f>
        <v>0</v>
      </c>
      <c r="Y71" s="49">
        <f>資料儲存!I3895</f>
        <v>0</v>
      </c>
      <c r="Z71" s="49">
        <f>資料儲存!J3895</f>
        <v>0</v>
      </c>
      <c r="AA71" s="52"/>
      <c r="AB71" s="68">
        <v>54</v>
      </c>
      <c r="AC71" s="49">
        <f>資料儲存!D4015</f>
        <v>0</v>
      </c>
      <c r="AD71" s="49">
        <f>資料儲存!E4015</f>
        <v>0</v>
      </c>
      <c r="AE71" s="49">
        <f>資料儲存!F4015</f>
        <v>0</v>
      </c>
      <c r="AF71" s="49">
        <f>資料儲存!G4015</f>
        <v>0</v>
      </c>
      <c r="AG71" s="49">
        <f>資料儲存!H4015</f>
        <v>0</v>
      </c>
      <c r="AH71" s="49">
        <f>資料儲存!I4015</f>
        <v>0</v>
      </c>
      <c r="AI71" s="49">
        <f>資料儲存!J4015</f>
        <v>0</v>
      </c>
      <c r="AJ71" s="52"/>
    </row>
    <row r="72" spans="1:36" ht="16" thickBot="1">
      <c r="A72" s="68">
        <v>55</v>
      </c>
      <c r="B72" s="49">
        <f>資料儲存!D3656</f>
        <v>0</v>
      </c>
      <c r="C72" s="49">
        <f>資料儲存!E3656</f>
        <v>0</v>
      </c>
      <c r="D72" s="49">
        <f>資料儲存!F3656</f>
        <v>0</v>
      </c>
      <c r="E72" s="49">
        <f>資料儲存!G3656</f>
        <v>0</v>
      </c>
      <c r="F72" s="49">
        <f>資料儲存!H3656</f>
        <v>0</v>
      </c>
      <c r="G72" s="49">
        <f>資料儲存!I3656</f>
        <v>0</v>
      </c>
      <c r="H72" s="49">
        <f>資料儲存!J3656</f>
        <v>0</v>
      </c>
      <c r="I72" s="52"/>
      <c r="J72" s="68">
        <v>55</v>
      </c>
      <c r="K72" s="49">
        <f>資料儲存!D3776</f>
        <v>0</v>
      </c>
      <c r="L72" s="49">
        <f>資料儲存!E3776</f>
        <v>0</v>
      </c>
      <c r="M72" s="49">
        <f>資料儲存!F3776</f>
        <v>0</v>
      </c>
      <c r="N72" s="49">
        <f>資料儲存!G3776</f>
        <v>0</v>
      </c>
      <c r="O72" s="49">
        <f>資料儲存!H3776</f>
        <v>0</v>
      </c>
      <c r="P72" s="49">
        <f>資料儲存!I3776</f>
        <v>0</v>
      </c>
      <c r="Q72" s="49">
        <f>資料儲存!J3776</f>
        <v>0</v>
      </c>
      <c r="R72" s="52"/>
      <c r="S72" s="68">
        <v>55</v>
      </c>
      <c r="T72" s="49">
        <f>資料儲存!D3896</f>
        <v>0</v>
      </c>
      <c r="U72" s="49">
        <f>資料儲存!E3896</f>
        <v>0</v>
      </c>
      <c r="V72" s="49">
        <f>資料儲存!F3896</f>
        <v>0</v>
      </c>
      <c r="W72" s="49">
        <f>資料儲存!G3896</f>
        <v>0</v>
      </c>
      <c r="X72" s="49">
        <f>資料儲存!H3896</f>
        <v>0</v>
      </c>
      <c r="Y72" s="49">
        <f>資料儲存!I3896</f>
        <v>0</v>
      </c>
      <c r="Z72" s="49">
        <f>資料儲存!J3896</f>
        <v>0</v>
      </c>
      <c r="AA72" s="52"/>
      <c r="AB72" s="68">
        <v>55</v>
      </c>
      <c r="AC72" s="49">
        <f>資料儲存!D4016</f>
        <v>0</v>
      </c>
      <c r="AD72" s="49">
        <f>資料儲存!E4016</f>
        <v>0</v>
      </c>
      <c r="AE72" s="49">
        <f>資料儲存!F4016</f>
        <v>0</v>
      </c>
      <c r="AF72" s="49">
        <f>資料儲存!G4016</f>
        <v>0</v>
      </c>
      <c r="AG72" s="49">
        <f>資料儲存!H4016</f>
        <v>0</v>
      </c>
      <c r="AH72" s="49">
        <f>資料儲存!I4016</f>
        <v>0</v>
      </c>
      <c r="AI72" s="49">
        <f>資料儲存!J4016</f>
        <v>0</v>
      </c>
      <c r="AJ72" s="52"/>
    </row>
    <row r="73" spans="1:36" ht="16" thickBot="1">
      <c r="A73" s="68">
        <v>56</v>
      </c>
      <c r="B73" s="49">
        <f>資料儲存!D3657</f>
        <v>0</v>
      </c>
      <c r="C73" s="49">
        <f>資料儲存!E3657</f>
        <v>0</v>
      </c>
      <c r="D73" s="49">
        <f>資料儲存!F3657</f>
        <v>0</v>
      </c>
      <c r="E73" s="49">
        <f>資料儲存!G3657</f>
        <v>0</v>
      </c>
      <c r="F73" s="49">
        <f>資料儲存!H3657</f>
        <v>0</v>
      </c>
      <c r="G73" s="49">
        <f>資料儲存!I3657</f>
        <v>0</v>
      </c>
      <c r="H73" s="49">
        <f>資料儲存!J3657</f>
        <v>0</v>
      </c>
      <c r="I73" s="52"/>
      <c r="J73" s="68">
        <v>56</v>
      </c>
      <c r="K73" s="49">
        <f>資料儲存!D3777</f>
        <v>0</v>
      </c>
      <c r="L73" s="49">
        <f>資料儲存!E3777</f>
        <v>0</v>
      </c>
      <c r="M73" s="49">
        <f>資料儲存!F3777</f>
        <v>0</v>
      </c>
      <c r="N73" s="49">
        <f>資料儲存!G3777</f>
        <v>0</v>
      </c>
      <c r="O73" s="49">
        <f>資料儲存!H3777</f>
        <v>0</v>
      </c>
      <c r="P73" s="49">
        <f>資料儲存!I3777</f>
        <v>0</v>
      </c>
      <c r="Q73" s="49">
        <f>資料儲存!J3777</f>
        <v>0</v>
      </c>
      <c r="R73" s="52"/>
      <c r="S73" s="68">
        <v>56</v>
      </c>
      <c r="T73" s="49">
        <f>資料儲存!D3897</f>
        <v>0</v>
      </c>
      <c r="U73" s="49">
        <f>資料儲存!E3897</f>
        <v>0</v>
      </c>
      <c r="V73" s="49">
        <f>資料儲存!F3897</f>
        <v>0</v>
      </c>
      <c r="W73" s="49">
        <f>資料儲存!G3897</f>
        <v>0</v>
      </c>
      <c r="X73" s="49">
        <f>資料儲存!H3897</f>
        <v>0</v>
      </c>
      <c r="Y73" s="49">
        <f>資料儲存!I3897</f>
        <v>0</v>
      </c>
      <c r="Z73" s="49">
        <f>資料儲存!J3897</f>
        <v>0</v>
      </c>
      <c r="AA73" s="52"/>
      <c r="AB73" s="68">
        <v>56</v>
      </c>
      <c r="AC73" s="49">
        <f>資料儲存!D4017</f>
        <v>0</v>
      </c>
      <c r="AD73" s="49">
        <f>資料儲存!E4017</f>
        <v>0</v>
      </c>
      <c r="AE73" s="49">
        <f>資料儲存!F4017</f>
        <v>0</v>
      </c>
      <c r="AF73" s="49">
        <f>資料儲存!G4017</f>
        <v>0</v>
      </c>
      <c r="AG73" s="49">
        <f>資料儲存!H4017</f>
        <v>0</v>
      </c>
      <c r="AH73" s="49">
        <f>資料儲存!I4017</f>
        <v>0</v>
      </c>
      <c r="AI73" s="49">
        <f>資料儲存!J4017</f>
        <v>0</v>
      </c>
      <c r="AJ73" s="52"/>
    </row>
    <row r="74" spans="1:36" ht="16" thickBot="1">
      <c r="A74" s="68">
        <v>57</v>
      </c>
      <c r="B74" s="49">
        <f>資料儲存!D3658</f>
        <v>0</v>
      </c>
      <c r="C74" s="49">
        <f>資料儲存!E3658</f>
        <v>0</v>
      </c>
      <c r="D74" s="49">
        <f>資料儲存!F3658</f>
        <v>0</v>
      </c>
      <c r="E74" s="49">
        <f>資料儲存!G3658</f>
        <v>0</v>
      </c>
      <c r="F74" s="49">
        <f>資料儲存!H3658</f>
        <v>0</v>
      </c>
      <c r="G74" s="49">
        <f>資料儲存!I3658</f>
        <v>0</v>
      </c>
      <c r="H74" s="49">
        <f>資料儲存!J3658</f>
        <v>0</v>
      </c>
      <c r="I74" s="52"/>
      <c r="J74" s="68">
        <v>57</v>
      </c>
      <c r="K74" s="49">
        <f>資料儲存!D3778</f>
        <v>0</v>
      </c>
      <c r="L74" s="49">
        <f>資料儲存!E3778</f>
        <v>0</v>
      </c>
      <c r="M74" s="49">
        <f>資料儲存!F3778</f>
        <v>0</v>
      </c>
      <c r="N74" s="49">
        <f>資料儲存!G3778</f>
        <v>0</v>
      </c>
      <c r="O74" s="49">
        <f>資料儲存!H3778</f>
        <v>0</v>
      </c>
      <c r="P74" s="49">
        <f>資料儲存!I3778</f>
        <v>0</v>
      </c>
      <c r="Q74" s="49">
        <f>資料儲存!J3778</f>
        <v>0</v>
      </c>
      <c r="R74" s="52"/>
      <c r="S74" s="68">
        <v>57</v>
      </c>
      <c r="T74" s="49">
        <f>資料儲存!D3898</f>
        <v>0</v>
      </c>
      <c r="U74" s="49">
        <f>資料儲存!E3898</f>
        <v>0</v>
      </c>
      <c r="V74" s="49">
        <f>資料儲存!F3898</f>
        <v>0</v>
      </c>
      <c r="W74" s="49">
        <f>資料儲存!G3898</f>
        <v>0</v>
      </c>
      <c r="X74" s="49">
        <f>資料儲存!H3898</f>
        <v>0</v>
      </c>
      <c r="Y74" s="49">
        <f>資料儲存!I3898</f>
        <v>0</v>
      </c>
      <c r="Z74" s="49">
        <f>資料儲存!J3898</f>
        <v>0</v>
      </c>
      <c r="AA74" s="52"/>
      <c r="AB74" s="68">
        <v>57</v>
      </c>
      <c r="AC74" s="49">
        <f>資料儲存!D4018</f>
        <v>0</v>
      </c>
      <c r="AD74" s="49">
        <f>資料儲存!E4018</f>
        <v>0</v>
      </c>
      <c r="AE74" s="49">
        <f>資料儲存!F4018</f>
        <v>0</v>
      </c>
      <c r="AF74" s="49">
        <f>資料儲存!G4018</f>
        <v>0</v>
      </c>
      <c r="AG74" s="49">
        <f>資料儲存!H4018</f>
        <v>0</v>
      </c>
      <c r="AH74" s="49">
        <f>資料儲存!I4018</f>
        <v>0</v>
      </c>
      <c r="AI74" s="49">
        <f>資料儲存!J4018</f>
        <v>0</v>
      </c>
      <c r="AJ74" s="52"/>
    </row>
    <row r="75" spans="1:36" ht="16" thickBot="1">
      <c r="A75" s="68">
        <v>58</v>
      </c>
      <c r="B75" s="49">
        <f>資料儲存!D3659</f>
        <v>0</v>
      </c>
      <c r="C75" s="49">
        <f>資料儲存!E3659</f>
        <v>0</v>
      </c>
      <c r="D75" s="49">
        <f>資料儲存!F3659</f>
        <v>0</v>
      </c>
      <c r="E75" s="49">
        <f>資料儲存!G3659</f>
        <v>0</v>
      </c>
      <c r="F75" s="49">
        <f>資料儲存!H3659</f>
        <v>0</v>
      </c>
      <c r="G75" s="49">
        <f>資料儲存!I3659</f>
        <v>0</v>
      </c>
      <c r="H75" s="49">
        <f>資料儲存!J3659</f>
        <v>0</v>
      </c>
      <c r="I75" s="52"/>
      <c r="J75" s="68">
        <v>58</v>
      </c>
      <c r="K75" s="49">
        <f>資料儲存!D3779</f>
        <v>0</v>
      </c>
      <c r="L75" s="49">
        <f>資料儲存!E3779</f>
        <v>0</v>
      </c>
      <c r="M75" s="49">
        <f>資料儲存!F3779</f>
        <v>0</v>
      </c>
      <c r="N75" s="49">
        <f>資料儲存!G3779</f>
        <v>0</v>
      </c>
      <c r="O75" s="49">
        <f>資料儲存!H3779</f>
        <v>0</v>
      </c>
      <c r="P75" s="49">
        <f>資料儲存!I3779</f>
        <v>0</v>
      </c>
      <c r="Q75" s="49">
        <f>資料儲存!J3779</f>
        <v>0</v>
      </c>
      <c r="R75" s="52"/>
      <c r="S75" s="68">
        <v>58</v>
      </c>
      <c r="T75" s="49">
        <f>資料儲存!D3899</f>
        <v>0</v>
      </c>
      <c r="U75" s="49">
        <f>資料儲存!E3899</f>
        <v>0</v>
      </c>
      <c r="V75" s="49">
        <f>資料儲存!F3899</f>
        <v>0</v>
      </c>
      <c r="W75" s="49">
        <f>資料儲存!G3899</f>
        <v>0</v>
      </c>
      <c r="X75" s="49">
        <f>資料儲存!H3899</f>
        <v>0</v>
      </c>
      <c r="Y75" s="49">
        <f>資料儲存!I3899</f>
        <v>0</v>
      </c>
      <c r="Z75" s="49">
        <f>資料儲存!J3899</f>
        <v>0</v>
      </c>
      <c r="AA75" s="52"/>
      <c r="AB75" s="68">
        <v>58</v>
      </c>
      <c r="AC75" s="49">
        <f>資料儲存!D4019</f>
        <v>0</v>
      </c>
      <c r="AD75" s="49">
        <f>資料儲存!E4019</f>
        <v>0</v>
      </c>
      <c r="AE75" s="49">
        <f>資料儲存!F4019</f>
        <v>0</v>
      </c>
      <c r="AF75" s="49">
        <f>資料儲存!G4019</f>
        <v>0</v>
      </c>
      <c r="AG75" s="49">
        <f>資料儲存!H4019</f>
        <v>0</v>
      </c>
      <c r="AH75" s="49">
        <f>資料儲存!I4019</f>
        <v>0</v>
      </c>
      <c r="AI75" s="49">
        <f>資料儲存!J4019</f>
        <v>0</v>
      </c>
      <c r="AJ75" s="52"/>
    </row>
    <row r="76" spans="1:36" ht="16" thickBot="1">
      <c r="A76" s="68">
        <v>59</v>
      </c>
      <c r="B76" s="49">
        <f>資料儲存!D3660</f>
        <v>0</v>
      </c>
      <c r="C76" s="49">
        <f>資料儲存!E3660</f>
        <v>0</v>
      </c>
      <c r="D76" s="49">
        <f>資料儲存!F3660</f>
        <v>0</v>
      </c>
      <c r="E76" s="49">
        <f>資料儲存!G3660</f>
        <v>0</v>
      </c>
      <c r="F76" s="49">
        <f>資料儲存!H3660</f>
        <v>0</v>
      </c>
      <c r="G76" s="49">
        <f>資料儲存!I3660</f>
        <v>0</v>
      </c>
      <c r="H76" s="49">
        <f>資料儲存!J3660</f>
        <v>0</v>
      </c>
      <c r="I76" s="52"/>
      <c r="J76" s="68">
        <v>59</v>
      </c>
      <c r="K76" s="49">
        <f>資料儲存!D3780</f>
        <v>0</v>
      </c>
      <c r="L76" s="49">
        <f>資料儲存!E3780</f>
        <v>0</v>
      </c>
      <c r="M76" s="49">
        <f>資料儲存!F3780</f>
        <v>0</v>
      </c>
      <c r="N76" s="49">
        <f>資料儲存!G3780</f>
        <v>0</v>
      </c>
      <c r="O76" s="49">
        <f>資料儲存!H3780</f>
        <v>0</v>
      </c>
      <c r="P76" s="49">
        <f>資料儲存!I3780</f>
        <v>0</v>
      </c>
      <c r="Q76" s="49">
        <f>資料儲存!J3780</f>
        <v>0</v>
      </c>
      <c r="R76" s="52"/>
      <c r="S76" s="68">
        <v>59</v>
      </c>
      <c r="T76" s="49">
        <f>資料儲存!D3900</f>
        <v>0</v>
      </c>
      <c r="U76" s="49">
        <f>資料儲存!E3900</f>
        <v>0</v>
      </c>
      <c r="V76" s="49">
        <f>資料儲存!F3900</f>
        <v>0</v>
      </c>
      <c r="W76" s="49">
        <f>資料儲存!G3900</f>
        <v>0</v>
      </c>
      <c r="X76" s="49">
        <f>資料儲存!H3900</f>
        <v>0</v>
      </c>
      <c r="Y76" s="49">
        <f>資料儲存!I3900</f>
        <v>0</v>
      </c>
      <c r="Z76" s="49">
        <f>資料儲存!J3900</f>
        <v>0</v>
      </c>
      <c r="AA76" s="52"/>
      <c r="AB76" s="68">
        <v>59</v>
      </c>
      <c r="AC76" s="49">
        <f>資料儲存!D4020</f>
        <v>0</v>
      </c>
      <c r="AD76" s="49">
        <f>資料儲存!E4020</f>
        <v>0</v>
      </c>
      <c r="AE76" s="49">
        <f>資料儲存!F4020</f>
        <v>0</v>
      </c>
      <c r="AF76" s="49">
        <f>資料儲存!G4020</f>
        <v>0</v>
      </c>
      <c r="AG76" s="49">
        <f>資料儲存!H4020</f>
        <v>0</v>
      </c>
      <c r="AH76" s="49">
        <f>資料儲存!I4020</f>
        <v>0</v>
      </c>
      <c r="AI76" s="49">
        <f>資料儲存!J4020</f>
        <v>0</v>
      </c>
      <c r="AJ76" s="52"/>
    </row>
    <row r="77" spans="1:36" ht="16" thickBot="1">
      <c r="A77" s="68">
        <v>60</v>
      </c>
      <c r="B77" s="49">
        <f>資料儲存!D3661</f>
        <v>0</v>
      </c>
      <c r="C77" s="49">
        <f>資料儲存!E3661</f>
        <v>0</v>
      </c>
      <c r="D77" s="49">
        <f>資料儲存!F3661</f>
        <v>0</v>
      </c>
      <c r="E77" s="49">
        <f>資料儲存!G3661</f>
        <v>0</v>
      </c>
      <c r="F77" s="49">
        <f>資料儲存!H3661</f>
        <v>0</v>
      </c>
      <c r="G77" s="49">
        <f>資料儲存!I3661</f>
        <v>0</v>
      </c>
      <c r="H77" s="49">
        <f>資料儲存!J3661</f>
        <v>0</v>
      </c>
      <c r="I77" s="52"/>
      <c r="J77" s="68">
        <v>60</v>
      </c>
      <c r="K77" s="49">
        <f>資料儲存!D3781</f>
        <v>0</v>
      </c>
      <c r="L77" s="49">
        <f>資料儲存!E3781</f>
        <v>0</v>
      </c>
      <c r="M77" s="49">
        <f>資料儲存!F3781</f>
        <v>0</v>
      </c>
      <c r="N77" s="49">
        <f>資料儲存!G3781</f>
        <v>0</v>
      </c>
      <c r="O77" s="49">
        <f>資料儲存!H3781</f>
        <v>0</v>
      </c>
      <c r="P77" s="49">
        <f>資料儲存!I3781</f>
        <v>0</v>
      </c>
      <c r="Q77" s="49">
        <f>資料儲存!J3781</f>
        <v>0</v>
      </c>
      <c r="R77" s="52"/>
      <c r="S77" s="68">
        <v>60</v>
      </c>
      <c r="T77" s="49">
        <f>資料儲存!D3901</f>
        <v>0</v>
      </c>
      <c r="U77" s="49">
        <f>資料儲存!E3901</f>
        <v>0</v>
      </c>
      <c r="V77" s="49">
        <f>資料儲存!F3901</f>
        <v>0</v>
      </c>
      <c r="W77" s="49">
        <f>資料儲存!G3901</f>
        <v>0</v>
      </c>
      <c r="X77" s="49">
        <f>資料儲存!H3901</f>
        <v>0</v>
      </c>
      <c r="Y77" s="49">
        <f>資料儲存!I3901</f>
        <v>0</v>
      </c>
      <c r="Z77" s="49">
        <f>資料儲存!J3901</f>
        <v>0</v>
      </c>
      <c r="AA77" s="52"/>
      <c r="AB77" s="68">
        <v>60</v>
      </c>
      <c r="AC77" s="49">
        <f>資料儲存!D4021</f>
        <v>0</v>
      </c>
      <c r="AD77" s="49">
        <f>資料儲存!E4021</f>
        <v>0</v>
      </c>
      <c r="AE77" s="49">
        <f>資料儲存!F4021</f>
        <v>0</v>
      </c>
      <c r="AF77" s="49">
        <f>資料儲存!G4021</f>
        <v>0</v>
      </c>
      <c r="AG77" s="49">
        <f>資料儲存!H4021</f>
        <v>0</v>
      </c>
      <c r="AH77" s="49">
        <f>資料儲存!I4021</f>
        <v>0</v>
      </c>
      <c r="AI77" s="49">
        <f>資料儲存!J4021</f>
        <v>0</v>
      </c>
      <c r="AJ77" s="52"/>
    </row>
    <row r="78" spans="1:36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  <row r="79" spans="1:36" ht="18.5" thickBot="1">
      <c r="A79" s="259" t="s">
        <v>80</v>
      </c>
      <c r="B79" s="260"/>
      <c r="C79" s="260"/>
      <c r="D79" s="260"/>
      <c r="E79" s="260"/>
      <c r="F79" s="260"/>
      <c r="G79" s="260"/>
      <c r="H79" s="261"/>
      <c r="I79" s="14"/>
      <c r="J79" s="259" t="s">
        <v>80</v>
      </c>
      <c r="K79" s="260"/>
      <c r="L79" s="260"/>
      <c r="M79" s="260"/>
      <c r="N79" s="260"/>
      <c r="O79" s="260"/>
      <c r="P79" s="260"/>
      <c r="Q79" s="261"/>
      <c r="R79" s="14"/>
      <c r="S79" s="259" t="s">
        <v>80</v>
      </c>
      <c r="T79" s="260"/>
      <c r="U79" s="260"/>
      <c r="V79" s="260"/>
      <c r="W79" s="260"/>
      <c r="X79" s="260"/>
      <c r="Y79" s="260"/>
      <c r="Z79" s="261"/>
      <c r="AA79" s="14"/>
      <c r="AB79" s="259" t="s">
        <v>80</v>
      </c>
      <c r="AC79" s="260"/>
      <c r="AD79" s="260"/>
      <c r="AE79" s="260"/>
      <c r="AF79" s="260"/>
      <c r="AG79" s="260"/>
      <c r="AH79" s="260"/>
      <c r="AI79" s="261"/>
      <c r="AJ79" s="14"/>
    </row>
    <row r="80" spans="1:36" ht="17.25" customHeight="1" thickBot="1">
      <c r="A80" s="54" t="s">
        <v>2</v>
      </c>
      <c r="B80" s="55" t="s">
        <v>46</v>
      </c>
      <c r="C80" s="56"/>
      <c r="D80" s="56"/>
      <c r="E80" s="57"/>
      <c r="F80" s="55" t="s">
        <v>47</v>
      </c>
      <c r="G80" s="56"/>
      <c r="H80" s="57"/>
      <c r="I80" s="58"/>
      <c r="J80" s="54" t="s">
        <v>2</v>
      </c>
      <c r="K80" s="55" t="s">
        <v>46</v>
      </c>
      <c r="L80" s="56"/>
      <c r="M80" s="56"/>
      <c r="N80" s="57"/>
      <c r="O80" s="55" t="s">
        <v>47</v>
      </c>
      <c r="P80" s="56"/>
      <c r="Q80" s="57"/>
      <c r="R80" s="58"/>
      <c r="S80" s="54" t="s">
        <v>2</v>
      </c>
      <c r="T80" s="55" t="s">
        <v>46</v>
      </c>
      <c r="U80" s="56"/>
      <c r="V80" s="56"/>
      <c r="W80" s="57"/>
      <c r="X80" s="55" t="s">
        <v>47</v>
      </c>
      <c r="Y80" s="56"/>
      <c r="Z80" s="57"/>
      <c r="AA80" s="58"/>
      <c r="AB80" s="54" t="s">
        <v>2</v>
      </c>
      <c r="AC80" s="55" t="s">
        <v>46</v>
      </c>
      <c r="AD80" s="56"/>
      <c r="AE80" s="56"/>
      <c r="AF80" s="57"/>
      <c r="AG80" s="55" t="s">
        <v>47</v>
      </c>
      <c r="AH80" s="56"/>
      <c r="AI80" s="57"/>
      <c r="AJ80" s="58"/>
    </row>
    <row r="81" spans="1:36" ht="16" thickBot="1">
      <c r="A81" s="59" t="s">
        <v>81</v>
      </c>
      <c r="B81" s="60" t="s">
        <v>49</v>
      </c>
      <c r="C81" s="60" t="s">
        <v>50</v>
      </c>
      <c r="D81" s="60" t="s">
        <v>51</v>
      </c>
      <c r="E81" s="60" t="s">
        <v>52</v>
      </c>
      <c r="F81" s="60" t="s">
        <v>53</v>
      </c>
      <c r="G81" s="60" t="s">
        <v>54</v>
      </c>
      <c r="H81" s="60" t="s">
        <v>55</v>
      </c>
      <c r="I81" s="58"/>
      <c r="J81" s="59" t="s">
        <v>81</v>
      </c>
      <c r="K81" s="60" t="s">
        <v>49</v>
      </c>
      <c r="L81" s="60" t="s">
        <v>50</v>
      </c>
      <c r="M81" s="60" t="s">
        <v>51</v>
      </c>
      <c r="N81" s="60" t="s">
        <v>52</v>
      </c>
      <c r="O81" s="60" t="s">
        <v>53</v>
      </c>
      <c r="P81" s="60" t="s">
        <v>54</v>
      </c>
      <c r="Q81" s="60" t="s">
        <v>55</v>
      </c>
      <c r="R81" s="58"/>
      <c r="S81" s="59" t="s">
        <v>81</v>
      </c>
      <c r="T81" s="60" t="s">
        <v>49</v>
      </c>
      <c r="U81" s="60" t="s">
        <v>50</v>
      </c>
      <c r="V81" s="60" t="s">
        <v>51</v>
      </c>
      <c r="W81" s="60" t="s">
        <v>52</v>
      </c>
      <c r="X81" s="60" t="s">
        <v>53</v>
      </c>
      <c r="Y81" s="60" t="s">
        <v>54</v>
      </c>
      <c r="Z81" s="60" t="s">
        <v>55</v>
      </c>
      <c r="AA81" s="58"/>
      <c r="AB81" s="59" t="s">
        <v>81</v>
      </c>
      <c r="AC81" s="60" t="s">
        <v>49</v>
      </c>
      <c r="AD81" s="60" t="s">
        <v>50</v>
      </c>
      <c r="AE81" s="60" t="s">
        <v>51</v>
      </c>
      <c r="AF81" s="60" t="s">
        <v>52</v>
      </c>
      <c r="AG81" s="60" t="s">
        <v>53</v>
      </c>
      <c r="AH81" s="60" t="s">
        <v>54</v>
      </c>
      <c r="AI81" s="60" t="s">
        <v>55</v>
      </c>
      <c r="AJ81" s="58"/>
    </row>
    <row r="82" spans="1:36" ht="16" thickBot="1">
      <c r="A82" s="61">
        <v>1</v>
      </c>
      <c r="B82" s="39">
        <f>資料儲存!D3662</f>
        <v>0</v>
      </c>
      <c r="C82" s="39">
        <f>資料儲存!E3662</f>
        <v>0</v>
      </c>
      <c r="D82" s="39">
        <f>資料儲存!F3662</f>
        <v>0</v>
      </c>
      <c r="E82" s="39">
        <f>資料儲存!G3662</f>
        <v>0</v>
      </c>
      <c r="F82" s="39">
        <f>資料儲存!H3662</f>
        <v>0</v>
      </c>
      <c r="G82" s="39">
        <f>資料儲存!I3662</f>
        <v>0</v>
      </c>
      <c r="H82" s="39">
        <f>資料儲存!J3662</f>
        <v>0</v>
      </c>
      <c r="I82" s="58"/>
      <c r="J82" s="61">
        <v>1</v>
      </c>
      <c r="K82" s="39">
        <f>資料儲存!D3782</f>
        <v>0</v>
      </c>
      <c r="L82" s="39">
        <f>資料儲存!E3782</f>
        <v>0</v>
      </c>
      <c r="M82" s="39">
        <f>資料儲存!F3782</f>
        <v>0</v>
      </c>
      <c r="N82" s="39">
        <f>資料儲存!G3782</f>
        <v>0</v>
      </c>
      <c r="O82" s="39">
        <f>資料儲存!H3782</f>
        <v>0</v>
      </c>
      <c r="P82" s="39">
        <f>資料儲存!I3782</f>
        <v>0</v>
      </c>
      <c r="Q82" s="39">
        <f>資料儲存!J3782</f>
        <v>0</v>
      </c>
      <c r="R82" s="58"/>
      <c r="S82" s="61">
        <v>1</v>
      </c>
      <c r="T82" s="39">
        <f>資料儲存!D3902</f>
        <v>0</v>
      </c>
      <c r="U82" s="39">
        <f>資料儲存!E3902</f>
        <v>0</v>
      </c>
      <c r="V82" s="39">
        <f>資料儲存!F3902</f>
        <v>0</v>
      </c>
      <c r="W82" s="39">
        <f>資料儲存!G3902</f>
        <v>0</v>
      </c>
      <c r="X82" s="39">
        <f>資料儲存!H3902</f>
        <v>0</v>
      </c>
      <c r="Y82" s="39">
        <f>資料儲存!I3902</f>
        <v>0</v>
      </c>
      <c r="Z82" s="39">
        <f>資料儲存!J3902</f>
        <v>0</v>
      </c>
      <c r="AA82" s="58"/>
      <c r="AB82" s="61">
        <v>1</v>
      </c>
      <c r="AC82" s="39">
        <f>資料儲存!D4022</f>
        <v>0</v>
      </c>
      <c r="AD82" s="39">
        <f>資料儲存!E4022</f>
        <v>0</v>
      </c>
      <c r="AE82" s="39">
        <f>資料儲存!F4022</f>
        <v>0</v>
      </c>
      <c r="AF82" s="39">
        <f>資料儲存!G4022</f>
        <v>0</v>
      </c>
      <c r="AG82" s="39">
        <f>資料儲存!H4022</f>
        <v>0</v>
      </c>
      <c r="AH82" s="39">
        <f>資料儲存!I4022</f>
        <v>0</v>
      </c>
      <c r="AI82" s="39">
        <f>資料儲存!J4022</f>
        <v>0</v>
      </c>
      <c r="AJ82" s="58"/>
    </row>
    <row r="83" spans="1:36" ht="16" thickBot="1">
      <c r="A83" s="61">
        <v>2</v>
      </c>
      <c r="B83" s="39">
        <f>資料儲存!D3663</f>
        <v>0</v>
      </c>
      <c r="C83" s="39">
        <f>資料儲存!E3663</f>
        <v>0</v>
      </c>
      <c r="D83" s="39">
        <f>資料儲存!F3663</f>
        <v>0</v>
      </c>
      <c r="E83" s="39">
        <f>資料儲存!G3663</f>
        <v>0</v>
      </c>
      <c r="F83" s="39">
        <f>資料儲存!H3663</f>
        <v>0</v>
      </c>
      <c r="G83" s="39">
        <f>資料儲存!I3663</f>
        <v>0</v>
      </c>
      <c r="H83" s="39">
        <f>資料儲存!J3663</f>
        <v>0</v>
      </c>
      <c r="I83" s="58"/>
      <c r="J83" s="61">
        <v>2</v>
      </c>
      <c r="K83" s="39">
        <f>資料儲存!D3783</f>
        <v>0</v>
      </c>
      <c r="L83" s="39">
        <f>資料儲存!E3783</f>
        <v>0</v>
      </c>
      <c r="M83" s="39">
        <f>資料儲存!F3783</f>
        <v>0</v>
      </c>
      <c r="N83" s="39">
        <f>資料儲存!G3783</f>
        <v>0</v>
      </c>
      <c r="O83" s="39">
        <f>資料儲存!H3783</f>
        <v>0</v>
      </c>
      <c r="P83" s="39">
        <f>資料儲存!I3783</f>
        <v>0</v>
      </c>
      <c r="Q83" s="39">
        <f>資料儲存!J3783</f>
        <v>0</v>
      </c>
      <c r="R83" s="58"/>
      <c r="S83" s="61">
        <v>2</v>
      </c>
      <c r="T83" s="39">
        <f>資料儲存!D3903</f>
        <v>0</v>
      </c>
      <c r="U83" s="39">
        <f>資料儲存!E3903</f>
        <v>0</v>
      </c>
      <c r="V83" s="39">
        <f>資料儲存!F3903</f>
        <v>0</v>
      </c>
      <c r="W83" s="39">
        <f>資料儲存!G3903</f>
        <v>0</v>
      </c>
      <c r="X83" s="39">
        <f>資料儲存!H3903</f>
        <v>0</v>
      </c>
      <c r="Y83" s="39">
        <f>資料儲存!I3903</f>
        <v>0</v>
      </c>
      <c r="Z83" s="39">
        <f>資料儲存!J3903</f>
        <v>0</v>
      </c>
      <c r="AA83" s="58"/>
      <c r="AB83" s="61">
        <v>2</v>
      </c>
      <c r="AC83" s="39">
        <f>資料儲存!D4023</f>
        <v>0</v>
      </c>
      <c r="AD83" s="39">
        <f>資料儲存!E4023</f>
        <v>0</v>
      </c>
      <c r="AE83" s="39">
        <f>資料儲存!F4023</f>
        <v>0</v>
      </c>
      <c r="AF83" s="39">
        <f>資料儲存!G4023</f>
        <v>0</v>
      </c>
      <c r="AG83" s="39">
        <f>資料儲存!H4023</f>
        <v>0</v>
      </c>
      <c r="AH83" s="39">
        <f>資料儲存!I4023</f>
        <v>0</v>
      </c>
      <c r="AI83" s="39">
        <f>資料儲存!J4023</f>
        <v>0</v>
      </c>
      <c r="AJ83" s="58"/>
    </row>
    <row r="84" spans="1:36" ht="16" thickBot="1">
      <c r="A84" s="61">
        <v>3</v>
      </c>
      <c r="B84" s="39">
        <f>資料儲存!D3664</f>
        <v>0</v>
      </c>
      <c r="C84" s="39">
        <f>資料儲存!E3664</f>
        <v>0</v>
      </c>
      <c r="D84" s="39">
        <f>資料儲存!F3664</f>
        <v>0</v>
      </c>
      <c r="E84" s="39">
        <f>資料儲存!G3664</f>
        <v>0</v>
      </c>
      <c r="F84" s="39">
        <f>資料儲存!H3664</f>
        <v>0</v>
      </c>
      <c r="G84" s="39">
        <f>資料儲存!I3664</f>
        <v>0</v>
      </c>
      <c r="H84" s="39">
        <f>資料儲存!J3664</f>
        <v>0</v>
      </c>
      <c r="I84" s="58"/>
      <c r="J84" s="61">
        <v>3</v>
      </c>
      <c r="K84" s="39">
        <f>資料儲存!D3784</f>
        <v>0</v>
      </c>
      <c r="L84" s="39">
        <f>資料儲存!E3784</f>
        <v>0</v>
      </c>
      <c r="M84" s="39">
        <f>資料儲存!F3784</f>
        <v>0</v>
      </c>
      <c r="N84" s="39">
        <f>資料儲存!G3784</f>
        <v>0</v>
      </c>
      <c r="O84" s="39">
        <f>資料儲存!H3784</f>
        <v>0</v>
      </c>
      <c r="P84" s="39">
        <f>資料儲存!I3784</f>
        <v>0</v>
      </c>
      <c r="Q84" s="39">
        <f>資料儲存!J3784</f>
        <v>0</v>
      </c>
      <c r="R84" s="58"/>
      <c r="S84" s="61">
        <v>3</v>
      </c>
      <c r="T84" s="39">
        <f>資料儲存!D3904</f>
        <v>0</v>
      </c>
      <c r="U84" s="39">
        <f>資料儲存!E3904</f>
        <v>0</v>
      </c>
      <c r="V84" s="39">
        <f>資料儲存!F3904</f>
        <v>0</v>
      </c>
      <c r="W84" s="39">
        <f>資料儲存!G3904</f>
        <v>0</v>
      </c>
      <c r="X84" s="39">
        <f>資料儲存!H3904</f>
        <v>0</v>
      </c>
      <c r="Y84" s="39">
        <f>資料儲存!I3904</f>
        <v>0</v>
      </c>
      <c r="Z84" s="39">
        <f>資料儲存!J3904</f>
        <v>0</v>
      </c>
      <c r="AA84" s="58"/>
      <c r="AB84" s="61">
        <v>3</v>
      </c>
      <c r="AC84" s="39">
        <f>資料儲存!D4024</f>
        <v>0</v>
      </c>
      <c r="AD84" s="39">
        <f>資料儲存!E4024</f>
        <v>0</v>
      </c>
      <c r="AE84" s="39">
        <f>資料儲存!F4024</f>
        <v>0</v>
      </c>
      <c r="AF84" s="39">
        <f>資料儲存!G4024</f>
        <v>0</v>
      </c>
      <c r="AG84" s="39">
        <f>資料儲存!H4024</f>
        <v>0</v>
      </c>
      <c r="AH84" s="39">
        <f>資料儲存!I4024</f>
        <v>0</v>
      </c>
      <c r="AI84" s="39">
        <f>資料儲存!J4024</f>
        <v>0</v>
      </c>
      <c r="AJ84" s="58"/>
    </row>
    <row r="85" spans="1:36" ht="16" thickBot="1">
      <c r="A85" s="61">
        <v>4</v>
      </c>
      <c r="B85" s="39">
        <f>資料儲存!D3665</f>
        <v>0</v>
      </c>
      <c r="C85" s="39">
        <f>資料儲存!E3665</f>
        <v>0</v>
      </c>
      <c r="D85" s="39">
        <f>資料儲存!F3665</f>
        <v>0</v>
      </c>
      <c r="E85" s="39">
        <f>資料儲存!G3665</f>
        <v>0</v>
      </c>
      <c r="F85" s="39">
        <f>資料儲存!H3665</f>
        <v>0</v>
      </c>
      <c r="G85" s="39">
        <f>資料儲存!I3665</f>
        <v>0</v>
      </c>
      <c r="H85" s="39">
        <f>資料儲存!J3665</f>
        <v>0</v>
      </c>
      <c r="I85" s="58"/>
      <c r="J85" s="61">
        <v>4</v>
      </c>
      <c r="K85" s="39">
        <f>資料儲存!D3785</f>
        <v>0</v>
      </c>
      <c r="L85" s="39">
        <f>資料儲存!E3785</f>
        <v>0</v>
      </c>
      <c r="M85" s="39">
        <f>資料儲存!F3785</f>
        <v>0</v>
      </c>
      <c r="N85" s="39">
        <f>資料儲存!G3785</f>
        <v>0</v>
      </c>
      <c r="O85" s="39">
        <f>資料儲存!H3785</f>
        <v>0</v>
      </c>
      <c r="P85" s="39">
        <f>資料儲存!I3785</f>
        <v>0</v>
      </c>
      <c r="Q85" s="39">
        <f>資料儲存!J3785</f>
        <v>0</v>
      </c>
      <c r="R85" s="58"/>
      <c r="S85" s="61">
        <v>4</v>
      </c>
      <c r="T85" s="39">
        <f>資料儲存!D3905</f>
        <v>0</v>
      </c>
      <c r="U85" s="39">
        <f>資料儲存!E3905</f>
        <v>0</v>
      </c>
      <c r="V85" s="39">
        <f>資料儲存!F3905</f>
        <v>0</v>
      </c>
      <c r="W85" s="39">
        <f>資料儲存!G3905</f>
        <v>0</v>
      </c>
      <c r="X85" s="39">
        <f>資料儲存!H3905</f>
        <v>0</v>
      </c>
      <c r="Y85" s="39">
        <f>資料儲存!I3905</f>
        <v>0</v>
      </c>
      <c r="Z85" s="39">
        <f>資料儲存!J3905</f>
        <v>0</v>
      </c>
      <c r="AA85" s="58"/>
      <c r="AB85" s="61">
        <v>4</v>
      </c>
      <c r="AC85" s="39">
        <f>資料儲存!D4025</f>
        <v>0</v>
      </c>
      <c r="AD85" s="39">
        <f>資料儲存!E4025</f>
        <v>0</v>
      </c>
      <c r="AE85" s="39">
        <f>資料儲存!F4025</f>
        <v>0</v>
      </c>
      <c r="AF85" s="39">
        <f>資料儲存!G4025</f>
        <v>0</v>
      </c>
      <c r="AG85" s="39">
        <f>資料儲存!H4025</f>
        <v>0</v>
      </c>
      <c r="AH85" s="39">
        <f>資料儲存!I4025</f>
        <v>0</v>
      </c>
      <c r="AI85" s="39">
        <f>資料儲存!J4025</f>
        <v>0</v>
      </c>
      <c r="AJ85" s="58"/>
    </row>
    <row r="86" spans="1:36" ht="16" thickBot="1">
      <c r="A86" s="61">
        <v>5</v>
      </c>
      <c r="B86" s="39">
        <f>資料儲存!D3666</f>
        <v>0</v>
      </c>
      <c r="C86" s="39">
        <f>資料儲存!E3666</f>
        <v>0</v>
      </c>
      <c r="D86" s="39">
        <f>資料儲存!F3666</f>
        <v>0</v>
      </c>
      <c r="E86" s="39">
        <f>資料儲存!G3666</f>
        <v>0</v>
      </c>
      <c r="F86" s="39">
        <f>資料儲存!H3666</f>
        <v>0</v>
      </c>
      <c r="G86" s="39">
        <f>資料儲存!I3666</f>
        <v>0</v>
      </c>
      <c r="H86" s="39">
        <f>資料儲存!J3666</f>
        <v>0</v>
      </c>
      <c r="I86" s="58"/>
      <c r="J86" s="61">
        <v>5</v>
      </c>
      <c r="K86" s="39">
        <f>資料儲存!D3786</f>
        <v>0</v>
      </c>
      <c r="L86" s="39">
        <f>資料儲存!E3786</f>
        <v>0</v>
      </c>
      <c r="M86" s="39">
        <f>資料儲存!F3786</f>
        <v>0</v>
      </c>
      <c r="N86" s="39">
        <f>資料儲存!G3786</f>
        <v>0</v>
      </c>
      <c r="O86" s="39">
        <f>資料儲存!H3786</f>
        <v>0</v>
      </c>
      <c r="P86" s="39">
        <f>資料儲存!I3786</f>
        <v>0</v>
      </c>
      <c r="Q86" s="39">
        <f>資料儲存!J3786</f>
        <v>0</v>
      </c>
      <c r="R86" s="58"/>
      <c r="S86" s="61">
        <v>5</v>
      </c>
      <c r="T86" s="39">
        <f>資料儲存!D3906</f>
        <v>0</v>
      </c>
      <c r="U86" s="39">
        <f>資料儲存!E3906</f>
        <v>0</v>
      </c>
      <c r="V86" s="39">
        <f>資料儲存!F3906</f>
        <v>0</v>
      </c>
      <c r="W86" s="39">
        <f>資料儲存!G3906</f>
        <v>0</v>
      </c>
      <c r="X86" s="39">
        <f>資料儲存!H3906</f>
        <v>0</v>
      </c>
      <c r="Y86" s="39">
        <f>資料儲存!I3906</f>
        <v>0</v>
      </c>
      <c r="Z86" s="39">
        <f>資料儲存!J3906</f>
        <v>0</v>
      </c>
      <c r="AA86" s="58"/>
      <c r="AB86" s="61">
        <v>5</v>
      </c>
      <c r="AC86" s="39">
        <f>資料儲存!D4026</f>
        <v>0</v>
      </c>
      <c r="AD86" s="39">
        <f>資料儲存!E4026</f>
        <v>0</v>
      </c>
      <c r="AE86" s="39">
        <f>資料儲存!F4026</f>
        <v>0</v>
      </c>
      <c r="AF86" s="39">
        <f>資料儲存!G4026</f>
        <v>0</v>
      </c>
      <c r="AG86" s="39">
        <f>資料儲存!H4026</f>
        <v>0</v>
      </c>
      <c r="AH86" s="39">
        <f>資料儲存!I4026</f>
        <v>0</v>
      </c>
      <c r="AI86" s="39">
        <f>資料儲存!J4026</f>
        <v>0</v>
      </c>
      <c r="AJ86" s="58"/>
    </row>
    <row r="87" spans="1:36" ht="16" thickBot="1">
      <c r="A87" s="61">
        <v>6</v>
      </c>
      <c r="B87" s="39">
        <f>資料儲存!D3667</f>
        <v>0</v>
      </c>
      <c r="C87" s="39">
        <f>資料儲存!E3667</f>
        <v>0</v>
      </c>
      <c r="D87" s="39">
        <f>資料儲存!F3667</f>
        <v>0</v>
      </c>
      <c r="E87" s="39">
        <f>資料儲存!G3667</f>
        <v>0</v>
      </c>
      <c r="F87" s="39">
        <f>資料儲存!H3667</f>
        <v>0</v>
      </c>
      <c r="G87" s="39">
        <f>資料儲存!I3667</f>
        <v>0</v>
      </c>
      <c r="H87" s="39">
        <f>資料儲存!J3667</f>
        <v>0</v>
      </c>
      <c r="I87" s="58"/>
      <c r="J87" s="61">
        <v>6</v>
      </c>
      <c r="K87" s="39">
        <f>資料儲存!D3787</f>
        <v>0</v>
      </c>
      <c r="L87" s="39">
        <f>資料儲存!E3787</f>
        <v>0</v>
      </c>
      <c r="M87" s="39">
        <f>資料儲存!F3787</f>
        <v>0</v>
      </c>
      <c r="N87" s="39">
        <f>資料儲存!G3787</f>
        <v>0</v>
      </c>
      <c r="O87" s="39">
        <f>資料儲存!H3787</f>
        <v>0</v>
      </c>
      <c r="P87" s="39">
        <f>資料儲存!I3787</f>
        <v>0</v>
      </c>
      <c r="Q87" s="39">
        <f>資料儲存!J3787</f>
        <v>0</v>
      </c>
      <c r="R87" s="58"/>
      <c r="S87" s="61">
        <v>6</v>
      </c>
      <c r="T87" s="39">
        <f>資料儲存!D3907</f>
        <v>0</v>
      </c>
      <c r="U87" s="39">
        <f>資料儲存!E3907</f>
        <v>0</v>
      </c>
      <c r="V87" s="39">
        <f>資料儲存!F3907</f>
        <v>0</v>
      </c>
      <c r="W87" s="39">
        <f>資料儲存!G3907</f>
        <v>0</v>
      </c>
      <c r="X87" s="39">
        <f>資料儲存!H3907</f>
        <v>0</v>
      </c>
      <c r="Y87" s="39">
        <f>資料儲存!I3907</f>
        <v>0</v>
      </c>
      <c r="Z87" s="39">
        <f>資料儲存!J3907</f>
        <v>0</v>
      </c>
      <c r="AA87" s="58"/>
      <c r="AB87" s="61">
        <v>6</v>
      </c>
      <c r="AC87" s="39">
        <f>資料儲存!D4027</f>
        <v>0</v>
      </c>
      <c r="AD87" s="39">
        <f>資料儲存!E4027</f>
        <v>0</v>
      </c>
      <c r="AE87" s="39">
        <f>資料儲存!F4027</f>
        <v>0</v>
      </c>
      <c r="AF87" s="39">
        <f>資料儲存!G4027</f>
        <v>0</v>
      </c>
      <c r="AG87" s="39">
        <f>資料儲存!H4027</f>
        <v>0</v>
      </c>
      <c r="AH87" s="39">
        <f>資料儲存!I4027</f>
        <v>0</v>
      </c>
      <c r="AI87" s="39">
        <f>資料儲存!J4027</f>
        <v>0</v>
      </c>
      <c r="AJ87" s="58"/>
    </row>
    <row r="88" spans="1:36" ht="16" thickBot="1">
      <c r="A88" s="61">
        <v>7</v>
      </c>
      <c r="B88" s="39">
        <f>資料儲存!D3668</f>
        <v>0</v>
      </c>
      <c r="C88" s="39">
        <f>資料儲存!E3668</f>
        <v>0</v>
      </c>
      <c r="D88" s="39">
        <f>資料儲存!F3668</f>
        <v>0</v>
      </c>
      <c r="E88" s="39">
        <f>資料儲存!G3668</f>
        <v>0</v>
      </c>
      <c r="F88" s="39">
        <f>資料儲存!H3668</f>
        <v>0</v>
      </c>
      <c r="G88" s="39">
        <f>資料儲存!I3668</f>
        <v>0</v>
      </c>
      <c r="H88" s="39">
        <f>資料儲存!J3668</f>
        <v>0</v>
      </c>
      <c r="I88" s="58"/>
      <c r="J88" s="61">
        <v>7</v>
      </c>
      <c r="K88" s="39">
        <f>資料儲存!D3788</f>
        <v>0</v>
      </c>
      <c r="L88" s="39">
        <f>資料儲存!E3788</f>
        <v>0</v>
      </c>
      <c r="M88" s="39">
        <f>資料儲存!F3788</f>
        <v>0</v>
      </c>
      <c r="N88" s="39">
        <f>資料儲存!G3788</f>
        <v>0</v>
      </c>
      <c r="O88" s="39">
        <f>資料儲存!H3788</f>
        <v>0</v>
      </c>
      <c r="P88" s="39">
        <f>資料儲存!I3788</f>
        <v>0</v>
      </c>
      <c r="Q88" s="39">
        <f>資料儲存!J3788</f>
        <v>0</v>
      </c>
      <c r="R88" s="58"/>
      <c r="S88" s="61">
        <v>7</v>
      </c>
      <c r="T88" s="39">
        <f>資料儲存!D3908</f>
        <v>0</v>
      </c>
      <c r="U88" s="39">
        <f>資料儲存!E3908</f>
        <v>0</v>
      </c>
      <c r="V88" s="39">
        <f>資料儲存!F3908</f>
        <v>0</v>
      </c>
      <c r="W88" s="39">
        <f>資料儲存!G3908</f>
        <v>0</v>
      </c>
      <c r="X88" s="39">
        <f>資料儲存!H3908</f>
        <v>0</v>
      </c>
      <c r="Y88" s="39">
        <f>資料儲存!I3908</f>
        <v>0</v>
      </c>
      <c r="Z88" s="39">
        <f>資料儲存!J3908</f>
        <v>0</v>
      </c>
      <c r="AA88" s="58"/>
      <c r="AB88" s="61">
        <v>7</v>
      </c>
      <c r="AC88" s="39">
        <f>資料儲存!D4028</f>
        <v>0</v>
      </c>
      <c r="AD88" s="39">
        <f>資料儲存!E4028</f>
        <v>0</v>
      </c>
      <c r="AE88" s="39">
        <f>資料儲存!F4028</f>
        <v>0</v>
      </c>
      <c r="AF88" s="39">
        <f>資料儲存!G4028</f>
        <v>0</v>
      </c>
      <c r="AG88" s="39">
        <f>資料儲存!H4028</f>
        <v>0</v>
      </c>
      <c r="AH88" s="39">
        <f>資料儲存!I4028</f>
        <v>0</v>
      </c>
      <c r="AI88" s="39">
        <f>資料儲存!J4028</f>
        <v>0</v>
      </c>
      <c r="AJ88" s="58"/>
    </row>
    <row r="89" spans="1:36" ht="16" thickBot="1">
      <c r="A89" s="61">
        <v>8</v>
      </c>
      <c r="B89" s="39">
        <f>資料儲存!D3669</f>
        <v>0</v>
      </c>
      <c r="C89" s="39">
        <f>資料儲存!E3669</f>
        <v>0</v>
      </c>
      <c r="D89" s="39">
        <f>資料儲存!F3669</f>
        <v>0</v>
      </c>
      <c r="E89" s="39">
        <f>資料儲存!G3669</f>
        <v>0</v>
      </c>
      <c r="F89" s="39">
        <f>資料儲存!H3669</f>
        <v>0</v>
      </c>
      <c r="G89" s="39">
        <f>資料儲存!I3669</f>
        <v>0</v>
      </c>
      <c r="H89" s="39">
        <f>資料儲存!J3669</f>
        <v>0</v>
      </c>
      <c r="I89" s="58"/>
      <c r="J89" s="61">
        <v>8</v>
      </c>
      <c r="K89" s="39">
        <f>資料儲存!D3789</f>
        <v>0</v>
      </c>
      <c r="L89" s="39">
        <f>資料儲存!E3789</f>
        <v>0</v>
      </c>
      <c r="M89" s="39">
        <f>資料儲存!F3789</f>
        <v>0</v>
      </c>
      <c r="N89" s="39">
        <f>資料儲存!G3789</f>
        <v>0</v>
      </c>
      <c r="O89" s="39">
        <f>資料儲存!H3789</f>
        <v>0</v>
      </c>
      <c r="P89" s="39">
        <f>資料儲存!I3789</f>
        <v>0</v>
      </c>
      <c r="Q89" s="39">
        <f>資料儲存!J3789</f>
        <v>0</v>
      </c>
      <c r="R89" s="58"/>
      <c r="S89" s="61">
        <v>8</v>
      </c>
      <c r="T89" s="39">
        <f>資料儲存!D3909</f>
        <v>0</v>
      </c>
      <c r="U89" s="39">
        <f>資料儲存!E3909</f>
        <v>0</v>
      </c>
      <c r="V89" s="39">
        <f>資料儲存!F3909</f>
        <v>0</v>
      </c>
      <c r="W89" s="39">
        <f>資料儲存!G3909</f>
        <v>0</v>
      </c>
      <c r="X89" s="39">
        <f>資料儲存!H3909</f>
        <v>0</v>
      </c>
      <c r="Y89" s="39">
        <f>資料儲存!I3909</f>
        <v>0</v>
      </c>
      <c r="Z89" s="39">
        <f>資料儲存!J3909</f>
        <v>0</v>
      </c>
      <c r="AA89" s="58"/>
      <c r="AB89" s="61">
        <v>8</v>
      </c>
      <c r="AC89" s="39">
        <f>資料儲存!D4029</f>
        <v>0</v>
      </c>
      <c r="AD89" s="39">
        <f>資料儲存!E4029</f>
        <v>0</v>
      </c>
      <c r="AE89" s="39">
        <f>資料儲存!F4029</f>
        <v>0</v>
      </c>
      <c r="AF89" s="39">
        <f>資料儲存!G4029</f>
        <v>0</v>
      </c>
      <c r="AG89" s="39">
        <f>資料儲存!H4029</f>
        <v>0</v>
      </c>
      <c r="AH89" s="39">
        <f>資料儲存!I4029</f>
        <v>0</v>
      </c>
      <c r="AI89" s="39">
        <f>資料儲存!J4029</f>
        <v>0</v>
      </c>
      <c r="AJ89" s="58"/>
    </row>
    <row r="90" spans="1:36" ht="16" thickBot="1">
      <c r="A90" s="61">
        <v>9</v>
      </c>
      <c r="B90" s="39">
        <f>資料儲存!D3670</f>
        <v>0</v>
      </c>
      <c r="C90" s="39">
        <f>資料儲存!E3670</f>
        <v>0</v>
      </c>
      <c r="D90" s="39">
        <f>資料儲存!F3670</f>
        <v>0</v>
      </c>
      <c r="E90" s="39">
        <f>資料儲存!G3670</f>
        <v>0</v>
      </c>
      <c r="F90" s="39">
        <f>資料儲存!H3670</f>
        <v>0</v>
      </c>
      <c r="G90" s="39">
        <f>資料儲存!I3670</f>
        <v>0</v>
      </c>
      <c r="H90" s="39">
        <f>資料儲存!J3670</f>
        <v>0</v>
      </c>
      <c r="I90" s="58"/>
      <c r="J90" s="61">
        <v>9</v>
      </c>
      <c r="K90" s="39">
        <f>資料儲存!D3790</f>
        <v>0</v>
      </c>
      <c r="L90" s="39">
        <f>資料儲存!E3790</f>
        <v>0</v>
      </c>
      <c r="M90" s="39">
        <f>資料儲存!F3790</f>
        <v>0</v>
      </c>
      <c r="N90" s="39">
        <f>資料儲存!G3790</f>
        <v>0</v>
      </c>
      <c r="O90" s="39">
        <f>資料儲存!H3790</f>
        <v>0</v>
      </c>
      <c r="P90" s="39">
        <f>資料儲存!I3790</f>
        <v>0</v>
      </c>
      <c r="Q90" s="39">
        <f>資料儲存!J3790</f>
        <v>0</v>
      </c>
      <c r="R90" s="58"/>
      <c r="S90" s="61">
        <v>9</v>
      </c>
      <c r="T90" s="39">
        <f>資料儲存!D3910</f>
        <v>0</v>
      </c>
      <c r="U90" s="39">
        <f>資料儲存!E3910</f>
        <v>0</v>
      </c>
      <c r="V90" s="39">
        <f>資料儲存!F3910</f>
        <v>0</v>
      </c>
      <c r="W90" s="39">
        <f>資料儲存!G3910</f>
        <v>0</v>
      </c>
      <c r="X90" s="39">
        <f>資料儲存!H3910</f>
        <v>0</v>
      </c>
      <c r="Y90" s="39">
        <f>資料儲存!I3910</f>
        <v>0</v>
      </c>
      <c r="Z90" s="39">
        <f>資料儲存!J3910</f>
        <v>0</v>
      </c>
      <c r="AA90" s="58"/>
      <c r="AB90" s="61">
        <v>9</v>
      </c>
      <c r="AC90" s="39">
        <f>資料儲存!D4030</f>
        <v>0</v>
      </c>
      <c r="AD90" s="39">
        <f>資料儲存!E4030</f>
        <v>0</v>
      </c>
      <c r="AE90" s="39">
        <f>資料儲存!F4030</f>
        <v>0</v>
      </c>
      <c r="AF90" s="39">
        <f>資料儲存!G4030</f>
        <v>0</v>
      </c>
      <c r="AG90" s="39">
        <f>資料儲存!H4030</f>
        <v>0</v>
      </c>
      <c r="AH90" s="39">
        <f>資料儲存!I4030</f>
        <v>0</v>
      </c>
      <c r="AI90" s="39">
        <f>資料儲存!J4030</f>
        <v>0</v>
      </c>
      <c r="AJ90" s="58"/>
    </row>
    <row r="91" spans="1:36" ht="16" thickBot="1">
      <c r="A91" s="61">
        <v>10</v>
      </c>
      <c r="B91" s="39">
        <f>資料儲存!D3671</f>
        <v>0</v>
      </c>
      <c r="C91" s="39">
        <f>資料儲存!E3671</f>
        <v>0</v>
      </c>
      <c r="D91" s="39">
        <f>資料儲存!F3671</f>
        <v>0</v>
      </c>
      <c r="E91" s="39">
        <f>資料儲存!G3671</f>
        <v>0</v>
      </c>
      <c r="F91" s="39">
        <f>資料儲存!H3671</f>
        <v>0</v>
      </c>
      <c r="G91" s="39">
        <f>資料儲存!I3671</f>
        <v>0</v>
      </c>
      <c r="H91" s="39">
        <f>資料儲存!J3671</f>
        <v>0</v>
      </c>
      <c r="I91" s="58"/>
      <c r="J91" s="61">
        <v>10</v>
      </c>
      <c r="K91" s="39">
        <f>資料儲存!D3791</f>
        <v>0</v>
      </c>
      <c r="L91" s="39">
        <f>資料儲存!E3791</f>
        <v>0</v>
      </c>
      <c r="M91" s="39">
        <f>資料儲存!F3791</f>
        <v>0</v>
      </c>
      <c r="N91" s="39">
        <f>資料儲存!G3791</f>
        <v>0</v>
      </c>
      <c r="O91" s="39">
        <f>資料儲存!H3791</f>
        <v>0</v>
      </c>
      <c r="P91" s="39">
        <f>資料儲存!I3791</f>
        <v>0</v>
      </c>
      <c r="Q91" s="39">
        <f>資料儲存!J3791</f>
        <v>0</v>
      </c>
      <c r="R91" s="58"/>
      <c r="S91" s="61">
        <v>10</v>
      </c>
      <c r="T91" s="39">
        <f>資料儲存!D3911</f>
        <v>0</v>
      </c>
      <c r="U91" s="39">
        <f>資料儲存!E3911</f>
        <v>0</v>
      </c>
      <c r="V91" s="39">
        <f>資料儲存!F3911</f>
        <v>0</v>
      </c>
      <c r="W91" s="39">
        <f>資料儲存!G3911</f>
        <v>0</v>
      </c>
      <c r="X91" s="39">
        <f>資料儲存!H3911</f>
        <v>0</v>
      </c>
      <c r="Y91" s="39">
        <f>資料儲存!I3911</f>
        <v>0</v>
      </c>
      <c r="Z91" s="39">
        <f>資料儲存!J3911</f>
        <v>0</v>
      </c>
      <c r="AA91" s="58"/>
      <c r="AB91" s="61">
        <v>10</v>
      </c>
      <c r="AC91" s="39">
        <f>資料儲存!D4031</f>
        <v>0</v>
      </c>
      <c r="AD91" s="39">
        <f>資料儲存!E4031</f>
        <v>0</v>
      </c>
      <c r="AE91" s="39">
        <f>資料儲存!F4031</f>
        <v>0</v>
      </c>
      <c r="AF91" s="39">
        <f>資料儲存!G4031</f>
        <v>0</v>
      </c>
      <c r="AG91" s="39">
        <f>資料儲存!H4031</f>
        <v>0</v>
      </c>
      <c r="AH91" s="39">
        <f>資料儲存!I4031</f>
        <v>0</v>
      </c>
      <c r="AI91" s="39">
        <f>資料儲存!J4031</f>
        <v>0</v>
      </c>
      <c r="AJ91" s="58"/>
    </row>
    <row r="92" spans="1:36" ht="16" thickBot="1">
      <c r="A92" s="61">
        <v>11</v>
      </c>
      <c r="B92" s="39">
        <f>資料儲存!D3672</f>
        <v>0</v>
      </c>
      <c r="C92" s="39">
        <f>資料儲存!E3672</f>
        <v>0</v>
      </c>
      <c r="D92" s="39">
        <f>資料儲存!F3672</f>
        <v>0</v>
      </c>
      <c r="E92" s="39">
        <f>資料儲存!G3672</f>
        <v>0</v>
      </c>
      <c r="F92" s="39">
        <f>資料儲存!H3672</f>
        <v>0</v>
      </c>
      <c r="G92" s="39">
        <f>資料儲存!I3672</f>
        <v>0</v>
      </c>
      <c r="H92" s="39">
        <f>資料儲存!J3672</f>
        <v>0</v>
      </c>
      <c r="I92" s="58"/>
      <c r="J92" s="61">
        <v>11</v>
      </c>
      <c r="K92" s="39">
        <f>資料儲存!D3792</f>
        <v>0</v>
      </c>
      <c r="L92" s="39">
        <f>資料儲存!E3792</f>
        <v>0</v>
      </c>
      <c r="M92" s="39">
        <f>資料儲存!F3792</f>
        <v>0</v>
      </c>
      <c r="N92" s="39">
        <f>資料儲存!G3792</f>
        <v>0</v>
      </c>
      <c r="O92" s="39">
        <f>資料儲存!H3792</f>
        <v>0</v>
      </c>
      <c r="P92" s="39">
        <f>資料儲存!I3792</f>
        <v>0</v>
      </c>
      <c r="Q92" s="39">
        <f>資料儲存!J3792</f>
        <v>0</v>
      </c>
      <c r="R92" s="58"/>
      <c r="S92" s="61">
        <v>11</v>
      </c>
      <c r="T92" s="39">
        <f>資料儲存!D3912</f>
        <v>0</v>
      </c>
      <c r="U92" s="39">
        <f>資料儲存!E3912</f>
        <v>0</v>
      </c>
      <c r="V92" s="39">
        <f>資料儲存!F3912</f>
        <v>0</v>
      </c>
      <c r="W92" s="39">
        <f>資料儲存!G3912</f>
        <v>0</v>
      </c>
      <c r="X92" s="39">
        <f>資料儲存!H3912</f>
        <v>0</v>
      </c>
      <c r="Y92" s="39">
        <f>資料儲存!I3912</f>
        <v>0</v>
      </c>
      <c r="Z92" s="39">
        <f>資料儲存!J3912</f>
        <v>0</v>
      </c>
      <c r="AA92" s="58"/>
      <c r="AB92" s="61">
        <v>11</v>
      </c>
      <c r="AC92" s="39">
        <f>資料儲存!D4032</f>
        <v>0</v>
      </c>
      <c r="AD92" s="39">
        <f>資料儲存!E4032</f>
        <v>0</v>
      </c>
      <c r="AE92" s="39">
        <f>資料儲存!F4032</f>
        <v>0</v>
      </c>
      <c r="AF92" s="39">
        <f>資料儲存!G4032</f>
        <v>0</v>
      </c>
      <c r="AG92" s="39">
        <f>資料儲存!H4032</f>
        <v>0</v>
      </c>
      <c r="AH92" s="39">
        <f>資料儲存!I4032</f>
        <v>0</v>
      </c>
      <c r="AI92" s="39">
        <f>資料儲存!J4032</f>
        <v>0</v>
      </c>
      <c r="AJ92" s="58"/>
    </row>
    <row r="93" spans="1:36" ht="16" thickBot="1">
      <c r="A93" s="61">
        <v>12</v>
      </c>
      <c r="B93" s="39">
        <f>資料儲存!D3673</f>
        <v>0</v>
      </c>
      <c r="C93" s="39">
        <f>資料儲存!E3673</f>
        <v>0</v>
      </c>
      <c r="D93" s="39">
        <f>資料儲存!F3673</f>
        <v>0</v>
      </c>
      <c r="E93" s="39">
        <f>資料儲存!G3673</f>
        <v>0</v>
      </c>
      <c r="F93" s="39">
        <f>資料儲存!H3673</f>
        <v>0</v>
      </c>
      <c r="G93" s="39">
        <f>資料儲存!I3673</f>
        <v>0</v>
      </c>
      <c r="H93" s="39">
        <f>資料儲存!J3673</f>
        <v>0</v>
      </c>
      <c r="I93" s="58"/>
      <c r="J93" s="61">
        <v>12</v>
      </c>
      <c r="K93" s="39">
        <f>資料儲存!D3793</f>
        <v>0</v>
      </c>
      <c r="L93" s="39">
        <f>資料儲存!E3793</f>
        <v>0</v>
      </c>
      <c r="M93" s="39">
        <f>資料儲存!F3793</f>
        <v>0</v>
      </c>
      <c r="N93" s="39">
        <f>資料儲存!G3793</f>
        <v>0</v>
      </c>
      <c r="O93" s="39">
        <f>資料儲存!H3793</f>
        <v>0</v>
      </c>
      <c r="P93" s="39">
        <f>資料儲存!I3793</f>
        <v>0</v>
      </c>
      <c r="Q93" s="39">
        <f>資料儲存!J3793</f>
        <v>0</v>
      </c>
      <c r="R93" s="58"/>
      <c r="S93" s="61">
        <v>12</v>
      </c>
      <c r="T93" s="39">
        <f>資料儲存!D3913</f>
        <v>0</v>
      </c>
      <c r="U93" s="39">
        <f>資料儲存!E3913</f>
        <v>0</v>
      </c>
      <c r="V93" s="39">
        <f>資料儲存!F3913</f>
        <v>0</v>
      </c>
      <c r="W93" s="39">
        <f>資料儲存!G3913</f>
        <v>0</v>
      </c>
      <c r="X93" s="39">
        <f>資料儲存!H3913</f>
        <v>0</v>
      </c>
      <c r="Y93" s="39">
        <f>資料儲存!I3913</f>
        <v>0</v>
      </c>
      <c r="Z93" s="39">
        <f>資料儲存!J3913</f>
        <v>0</v>
      </c>
      <c r="AA93" s="58"/>
      <c r="AB93" s="61">
        <v>12</v>
      </c>
      <c r="AC93" s="39">
        <f>資料儲存!D4033</f>
        <v>0</v>
      </c>
      <c r="AD93" s="39">
        <f>資料儲存!E4033</f>
        <v>0</v>
      </c>
      <c r="AE93" s="39">
        <f>資料儲存!F4033</f>
        <v>0</v>
      </c>
      <c r="AF93" s="39">
        <f>資料儲存!G4033</f>
        <v>0</v>
      </c>
      <c r="AG93" s="39">
        <f>資料儲存!H4033</f>
        <v>0</v>
      </c>
      <c r="AH93" s="39">
        <f>資料儲存!I4033</f>
        <v>0</v>
      </c>
      <c r="AI93" s="39">
        <f>資料儲存!J4033</f>
        <v>0</v>
      </c>
      <c r="AJ93" s="58"/>
    </row>
    <row r="94" spans="1:36" ht="16" thickBot="1">
      <c r="A94" s="61">
        <v>13</v>
      </c>
      <c r="B94" s="39">
        <f>資料儲存!D3674</f>
        <v>0</v>
      </c>
      <c r="C94" s="39">
        <f>資料儲存!E3674</f>
        <v>0</v>
      </c>
      <c r="D94" s="39">
        <f>資料儲存!F3674</f>
        <v>0</v>
      </c>
      <c r="E94" s="39">
        <f>資料儲存!G3674</f>
        <v>0</v>
      </c>
      <c r="F94" s="39">
        <f>資料儲存!H3674</f>
        <v>0</v>
      </c>
      <c r="G94" s="39">
        <f>資料儲存!I3674</f>
        <v>0</v>
      </c>
      <c r="H94" s="39">
        <f>資料儲存!J3674</f>
        <v>0</v>
      </c>
      <c r="I94" s="58"/>
      <c r="J94" s="61">
        <v>13</v>
      </c>
      <c r="K94" s="39">
        <f>資料儲存!D3794</f>
        <v>0</v>
      </c>
      <c r="L94" s="39">
        <f>資料儲存!E3794</f>
        <v>0</v>
      </c>
      <c r="M94" s="39">
        <f>資料儲存!F3794</f>
        <v>0</v>
      </c>
      <c r="N94" s="39">
        <f>資料儲存!G3794</f>
        <v>0</v>
      </c>
      <c r="O94" s="39">
        <f>資料儲存!H3794</f>
        <v>0</v>
      </c>
      <c r="P94" s="39">
        <f>資料儲存!I3794</f>
        <v>0</v>
      </c>
      <c r="Q94" s="39">
        <f>資料儲存!J3794</f>
        <v>0</v>
      </c>
      <c r="R94" s="58"/>
      <c r="S94" s="61">
        <v>13</v>
      </c>
      <c r="T94" s="39">
        <f>資料儲存!D3914</f>
        <v>0</v>
      </c>
      <c r="U94" s="39">
        <f>資料儲存!E3914</f>
        <v>0</v>
      </c>
      <c r="V94" s="39">
        <f>資料儲存!F3914</f>
        <v>0</v>
      </c>
      <c r="W94" s="39">
        <f>資料儲存!G3914</f>
        <v>0</v>
      </c>
      <c r="X94" s="39">
        <f>資料儲存!H3914</f>
        <v>0</v>
      </c>
      <c r="Y94" s="39">
        <f>資料儲存!I3914</f>
        <v>0</v>
      </c>
      <c r="Z94" s="39">
        <f>資料儲存!J3914</f>
        <v>0</v>
      </c>
      <c r="AA94" s="58"/>
      <c r="AB94" s="61">
        <v>13</v>
      </c>
      <c r="AC94" s="39">
        <f>資料儲存!D4034</f>
        <v>0</v>
      </c>
      <c r="AD94" s="39">
        <f>資料儲存!E4034</f>
        <v>0</v>
      </c>
      <c r="AE94" s="39">
        <f>資料儲存!F4034</f>
        <v>0</v>
      </c>
      <c r="AF94" s="39">
        <f>資料儲存!G4034</f>
        <v>0</v>
      </c>
      <c r="AG94" s="39">
        <f>資料儲存!H4034</f>
        <v>0</v>
      </c>
      <c r="AH94" s="39">
        <f>資料儲存!I4034</f>
        <v>0</v>
      </c>
      <c r="AI94" s="39">
        <f>資料儲存!J4034</f>
        <v>0</v>
      </c>
      <c r="AJ94" s="58"/>
    </row>
    <row r="95" spans="1:36" ht="16" thickBot="1">
      <c r="A95" s="61">
        <v>14</v>
      </c>
      <c r="B95" s="39">
        <f>資料儲存!D3675</f>
        <v>0</v>
      </c>
      <c r="C95" s="39">
        <f>資料儲存!E3675</f>
        <v>0</v>
      </c>
      <c r="D95" s="39">
        <f>資料儲存!F3675</f>
        <v>0</v>
      </c>
      <c r="E95" s="39">
        <f>資料儲存!G3675</f>
        <v>0</v>
      </c>
      <c r="F95" s="39">
        <f>資料儲存!H3675</f>
        <v>0</v>
      </c>
      <c r="G95" s="39">
        <f>資料儲存!I3675</f>
        <v>0</v>
      </c>
      <c r="H95" s="39">
        <f>資料儲存!J3675</f>
        <v>0</v>
      </c>
      <c r="I95" s="58"/>
      <c r="J95" s="61">
        <v>14</v>
      </c>
      <c r="K95" s="39">
        <f>資料儲存!D3795</f>
        <v>0</v>
      </c>
      <c r="L95" s="39">
        <f>資料儲存!E3795</f>
        <v>0</v>
      </c>
      <c r="M95" s="39">
        <f>資料儲存!F3795</f>
        <v>0</v>
      </c>
      <c r="N95" s="39">
        <f>資料儲存!G3795</f>
        <v>0</v>
      </c>
      <c r="O95" s="39">
        <f>資料儲存!H3795</f>
        <v>0</v>
      </c>
      <c r="P95" s="39">
        <f>資料儲存!I3795</f>
        <v>0</v>
      </c>
      <c r="Q95" s="39">
        <f>資料儲存!J3795</f>
        <v>0</v>
      </c>
      <c r="R95" s="58"/>
      <c r="S95" s="61">
        <v>14</v>
      </c>
      <c r="T95" s="39">
        <f>資料儲存!D3915</f>
        <v>0</v>
      </c>
      <c r="U95" s="39">
        <f>資料儲存!E3915</f>
        <v>0</v>
      </c>
      <c r="V95" s="39">
        <f>資料儲存!F3915</f>
        <v>0</v>
      </c>
      <c r="W95" s="39">
        <f>資料儲存!G3915</f>
        <v>0</v>
      </c>
      <c r="X95" s="39">
        <f>資料儲存!H3915</f>
        <v>0</v>
      </c>
      <c r="Y95" s="39">
        <f>資料儲存!I3915</f>
        <v>0</v>
      </c>
      <c r="Z95" s="39">
        <f>資料儲存!J3915</f>
        <v>0</v>
      </c>
      <c r="AA95" s="58"/>
      <c r="AB95" s="61">
        <v>14</v>
      </c>
      <c r="AC95" s="39">
        <f>資料儲存!D4035</f>
        <v>0</v>
      </c>
      <c r="AD95" s="39">
        <f>資料儲存!E4035</f>
        <v>0</v>
      </c>
      <c r="AE95" s="39">
        <f>資料儲存!F4035</f>
        <v>0</v>
      </c>
      <c r="AF95" s="39">
        <f>資料儲存!G4035</f>
        <v>0</v>
      </c>
      <c r="AG95" s="39">
        <f>資料儲存!H4035</f>
        <v>0</v>
      </c>
      <c r="AH95" s="39">
        <f>資料儲存!I4035</f>
        <v>0</v>
      </c>
      <c r="AI95" s="39">
        <f>資料儲存!J4035</f>
        <v>0</v>
      </c>
      <c r="AJ95" s="58"/>
    </row>
    <row r="96" spans="1:36" ht="16" thickBot="1">
      <c r="A96" s="61">
        <v>15</v>
      </c>
      <c r="B96" s="39">
        <f>資料儲存!D3676</f>
        <v>0</v>
      </c>
      <c r="C96" s="39">
        <f>資料儲存!E3676</f>
        <v>0</v>
      </c>
      <c r="D96" s="39">
        <f>資料儲存!F3676</f>
        <v>0</v>
      </c>
      <c r="E96" s="39">
        <f>資料儲存!G3676</f>
        <v>0</v>
      </c>
      <c r="F96" s="39">
        <f>資料儲存!H3676</f>
        <v>0</v>
      </c>
      <c r="G96" s="39">
        <f>資料儲存!I3676</f>
        <v>0</v>
      </c>
      <c r="H96" s="39">
        <f>資料儲存!J3676</f>
        <v>0</v>
      </c>
      <c r="I96" s="58"/>
      <c r="J96" s="61">
        <v>15</v>
      </c>
      <c r="K96" s="39">
        <f>資料儲存!D3796</f>
        <v>0</v>
      </c>
      <c r="L96" s="39">
        <f>資料儲存!E3796</f>
        <v>0</v>
      </c>
      <c r="M96" s="39">
        <f>資料儲存!F3796</f>
        <v>0</v>
      </c>
      <c r="N96" s="39">
        <f>資料儲存!G3796</f>
        <v>0</v>
      </c>
      <c r="O96" s="39">
        <f>資料儲存!H3796</f>
        <v>0</v>
      </c>
      <c r="P96" s="39">
        <f>資料儲存!I3796</f>
        <v>0</v>
      </c>
      <c r="Q96" s="39">
        <f>資料儲存!J3796</f>
        <v>0</v>
      </c>
      <c r="R96" s="58"/>
      <c r="S96" s="61">
        <v>15</v>
      </c>
      <c r="T96" s="39">
        <f>資料儲存!D3916</f>
        <v>0</v>
      </c>
      <c r="U96" s="39">
        <f>資料儲存!E3916</f>
        <v>0</v>
      </c>
      <c r="V96" s="39">
        <f>資料儲存!F3916</f>
        <v>0</v>
      </c>
      <c r="W96" s="39">
        <f>資料儲存!G3916</f>
        <v>0</v>
      </c>
      <c r="X96" s="39">
        <f>資料儲存!H3916</f>
        <v>0</v>
      </c>
      <c r="Y96" s="39">
        <f>資料儲存!I3916</f>
        <v>0</v>
      </c>
      <c r="Z96" s="39">
        <f>資料儲存!J3916</f>
        <v>0</v>
      </c>
      <c r="AA96" s="58"/>
      <c r="AB96" s="61">
        <v>15</v>
      </c>
      <c r="AC96" s="39">
        <f>資料儲存!D4036</f>
        <v>0</v>
      </c>
      <c r="AD96" s="39">
        <f>資料儲存!E4036</f>
        <v>0</v>
      </c>
      <c r="AE96" s="39">
        <f>資料儲存!F4036</f>
        <v>0</v>
      </c>
      <c r="AF96" s="39">
        <f>資料儲存!G4036</f>
        <v>0</v>
      </c>
      <c r="AG96" s="39">
        <f>資料儲存!H4036</f>
        <v>0</v>
      </c>
      <c r="AH96" s="39">
        <f>資料儲存!I4036</f>
        <v>0</v>
      </c>
      <c r="AI96" s="39">
        <f>資料儲存!J4036</f>
        <v>0</v>
      </c>
      <c r="AJ96" s="58"/>
    </row>
    <row r="97" spans="1:36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35"/>
    </row>
    <row r="98" spans="1:36" ht="18.5" thickBot="1">
      <c r="A98" s="259" t="s">
        <v>82</v>
      </c>
      <c r="B98" s="260"/>
      <c r="C98" s="260"/>
      <c r="D98" s="260"/>
      <c r="E98" s="260"/>
      <c r="F98" s="260"/>
      <c r="G98" s="260"/>
      <c r="H98" s="261"/>
      <c r="I98" s="14"/>
      <c r="J98" s="259" t="s">
        <v>82</v>
      </c>
      <c r="K98" s="260"/>
      <c r="L98" s="260"/>
      <c r="M98" s="260"/>
      <c r="N98" s="260"/>
      <c r="O98" s="260"/>
      <c r="P98" s="260"/>
      <c r="Q98" s="261"/>
      <c r="R98" s="14"/>
      <c r="S98" s="259" t="s">
        <v>82</v>
      </c>
      <c r="T98" s="260"/>
      <c r="U98" s="260"/>
      <c r="V98" s="260"/>
      <c r="W98" s="260"/>
      <c r="X98" s="260"/>
      <c r="Y98" s="260"/>
      <c r="Z98" s="261"/>
      <c r="AA98" s="14"/>
      <c r="AB98" s="259" t="s">
        <v>82</v>
      </c>
      <c r="AC98" s="260"/>
      <c r="AD98" s="260"/>
      <c r="AE98" s="260"/>
      <c r="AF98" s="260"/>
      <c r="AG98" s="260"/>
      <c r="AH98" s="260"/>
      <c r="AI98" s="261"/>
      <c r="AJ98" s="14"/>
    </row>
    <row r="99" spans="1:36" ht="17.25" customHeight="1" thickBot="1">
      <c r="A99" s="62" t="s">
        <v>2</v>
      </c>
      <c r="B99" s="63" t="s">
        <v>46</v>
      </c>
      <c r="C99" s="64"/>
      <c r="D99" s="64"/>
      <c r="E99" s="65"/>
      <c r="F99" s="63" t="s">
        <v>47</v>
      </c>
      <c r="G99" s="64"/>
      <c r="H99" s="65"/>
      <c r="I99" s="52"/>
      <c r="J99" s="62" t="s">
        <v>2</v>
      </c>
      <c r="K99" s="63" t="s">
        <v>46</v>
      </c>
      <c r="L99" s="64"/>
      <c r="M99" s="64"/>
      <c r="N99" s="65"/>
      <c r="O99" s="63" t="s">
        <v>47</v>
      </c>
      <c r="P99" s="64"/>
      <c r="Q99" s="65"/>
      <c r="R99" s="52"/>
      <c r="S99" s="62" t="s">
        <v>2</v>
      </c>
      <c r="T99" s="63" t="s">
        <v>46</v>
      </c>
      <c r="U99" s="64"/>
      <c r="V99" s="64"/>
      <c r="W99" s="65"/>
      <c r="X99" s="63" t="s">
        <v>47</v>
      </c>
      <c r="Y99" s="64"/>
      <c r="Z99" s="65"/>
      <c r="AA99" s="52"/>
      <c r="AB99" s="62" t="s">
        <v>2</v>
      </c>
      <c r="AC99" s="63" t="s">
        <v>46</v>
      </c>
      <c r="AD99" s="64"/>
      <c r="AE99" s="64"/>
      <c r="AF99" s="65"/>
      <c r="AG99" s="63" t="s">
        <v>47</v>
      </c>
      <c r="AH99" s="64"/>
      <c r="AI99" s="65"/>
      <c r="AJ99" s="52"/>
    </row>
    <row r="100" spans="1:36" ht="16" thickBot="1">
      <c r="A100" s="66" t="s">
        <v>83</v>
      </c>
      <c r="B100" s="67" t="s">
        <v>49</v>
      </c>
      <c r="C100" s="67" t="s">
        <v>50</v>
      </c>
      <c r="D100" s="67" t="s">
        <v>51</v>
      </c>
      <c r="E100" s="67" t="s">
        <v>52</v>
      </c>
      <c r="F100" s="67" t="s">
        <v>53</v>
      </c>
      <c r="G100" s="67" t="s">
        <v>54</v>
      </c>
      <c r="H100" s="67" t="s">
        <v>55</v>
      </c>
      <c r="I100" s="52"/>
      <c r="J100" s="66" t="s">
        <v>83</v>
      </c>
      <c r="K100" s="67" t="s">
        <v>49</v>
      </c>
      <c r="L100" s="67" t="s">
        <v>50</v>
      </c>
      <c r="M100" s="67" t="s">
        <v>51</v>
      </c>
      <c r="N100" s="67" t="s">
        <v>52</v>
      </c>
      <c r="O100" s="67" t="s">
        <v>53</v>
      </c>
      <c r="P100" s="67" t="s">
        <v>54</v>
      </c>
      <c r="Q100" s="67" t="s">
        <v>55</v>
      </c>
      <c r="R100" s="52"/>
      <c r="S100" s="66" t="s">
        <v>83</v>
      </c>
      <c r="T100" s="67" t="s">
        <v>49</v>
      </c>
      <c r="U100" s="67" t="s">
        <v>50</v>
      </c>
      <c r="V100" s="67" t="s">
        <v>51</v>
      </c>
      <c r="W100" s="67" t="s">
        <v>52</v>
      </c>
      <c r="X100" s="67" t="s">
        <v>53</v>
      </c>
      <c r="Y100" s="67" t="s">
        <v>54</v>
      </c>
      <c r="Z100" s="67" t="s">
        <v>55</v>
      </c>
      <c r="AA100" s="52"/>
      <c r="AB100" s="66" t="s">
        <v>83</v>
      </c>
      <c r="AC100" s="67" t="s">
        <v>49</v>
      </c>
      <c r="AD100" s="67" t="s">
        <v>50</v>
      </c>
      <c r="AE100" s="67" t="s">
        <v>51</v>
      </c>
      <c r="AF100" s="67" t="s">
        <v>52</v>
      </c>
      <c r="AG100" s="67" t="s">
        <v>53</v>
      </c>
      <c r="AH100" s="67" t="s">
        <v>54</v>
      </c>
      <c r="AI100" s="67" t="s">
        <v>55</v>
      </c>
      <c r="AJ100" s="52"/>
    </row>
    <row r="101" spans="1:36" ht="16" thickBot="1">
      <c r="A101" s="68">
        <v>16</v>
      </c>
      <c r="B101" s="49">
        <f>資料儲存!D3677</f>
        <v>0</v>
      </c>
      <c r="C101" s="49">
        <f>資料儲存!E3677</f>
        <v>0</v>
      </c>
      <c r="D101" s="49">
        <f>資料儲存!F3677</f>
        <v>0</v>
      </c>
      <c r="E101" s="49">
        <f>資料儲存!G3677</f>
        <v>0</v>
      </c>
      <c r="F101" s="49">
        <f>資料儲存!H3677</f>
        <v>0</v>
      </c>
      <c r="G101" s="49">
        <f>資料儲存!I3677</f>
        <v>0</v>
      </c>
      <c r="H101" s="49">
        <f>資料儲存!J3677</f>
        <v>0</v>
      </c>
      <c r="I101" s="52"/>
      <c r="J101" s="68">
        <v>16</v>
      </c>
      <c r="K101" s="49">
        <f>資料儲存!D3797</f>
        <v>0</v>
      </c>
      <c r="L101" s="49">
        <f>資料儲存!E3797</f>
        <v>0</v>
      </c>
      <c r="M101" s="49">
        <f>資料儲存!F3797</f>
        <v>0</v>
      </c>
      <c r="N101" s="49">
        <f>資料儲存!G3797</f>
        <v>0</v>
      </c>
      <c r="O101" s="49">
        <f>資料儲存!H3797</f>
        <v>0</v>
      </c>
      <c r="P101" s="49">
        <f>資料儲存!I3797</f>
        <v>0</v>
      </c>
      <c r="Q101" s="49">
        <f>資料儲存!J3797</f>
        <v>0</v>
      </c>
      <c r="R101" s="52"/>
      <c r="S101" s="68">
        <v>16</v>
      </c>
      <c r="T101" s="49">
        <f>資料儲存!D3917</f>
        <v>0</v>
      </c>
      <c r="U101" s="49">
        <f>資料儲存!E3917</f>
        <v>0</v>
      </c>
      <c r="V101" s="49">
        <f>資料儲存!F3917</f>
        <v>0</v>
      </c>
      <c r="W101" s="49">
        <f>資料儲存!G3917</f>
        <v>0</v>
      </c>
      <c r="X101" s="49">
        <f>資料儲存!H3917</f>
        <v>0</v>
      </c>
      <c r="Y101" s="49">
        <f>資料儲存!I3917</f>
        <v>0</v>
      </c>
      <c r="Z101" s="49">
        <f>資料儲存!J3917</f>
        <v>0</v>
      </c>
      <c r="AA101" s="52"/>
      <c r="AB101" s="68">
        <v>16</v>
      </c>
      <c r="AC101" s="49">
        <f>資料儲存!D4037</f>
        <v>0</v>
      </c>
      <c r="AD101" s="49">
        <f>資料儲存!E4037</f>
        <v>0</v>
      </c>
      <c r="AE101" s="49">
        <f>資料儲存!F4037</f>
        <v>0</v>
      </c>
      <c r="AF101" s="49">
        <f>資料儲存!G4037</f>
        <v>0</v>
      </c>
      <c r="AG101" s="49">
        <f>資料儲存!H4037</f>
        <v>0</v>
      </c>
      <c r="AH101" s="49">
        <f>資料儲存!I4037</f>
        <v>0</v>
      </c>
      <c r="AI101" s="49">
        <f>資料儲存!J4037</f>
        <v>0</v>
      </c>
      <c r="AJ101" s="52"/>
    </row>
    <row r="102" spans="1:36" ht="16" thickBot="1">
      <c r="A102" s="68">
        <v>17</v>
      </c>
      <c r="B102" s="49">
        <f>資料儲存!D3678</f>
        <v>0</v>
      </c>
      <c r="C102" s="49">
        <f>資料儲存!E3678</f>
        <v>0</v>
      </c>
      <c r="D102" s="49">
        <f>資料儲存!F3678</f>
        <v>0</v>
      </c>
      <c r="E102" s="49">
        <f>資料儲存!G3678</f>
        <v>0</v>
      </c>
      <c r="F102" s="49">
        <f>資料儲存!H3678</f>
        <v>0</v>
      </c>
      <c r="G102" s="49">
        <f>資料儲存!I3678</f>
        <v>0</v>
      </c>
      <c r="H102" s="49">
        <f>資料儲存!J3678</f>
        <v>0</v>
      </c>
      <c r="I102" s="52"/>
      <c r="J102" s="68">
        <v>17</v>
      </c>
      <c r="K102" s="49">
        <f>資料儲存!D3798</f>
        <v>0</v>
      </c>
      <c r="L102" s="49">
        <f>資料儲存!E3798</f>
        <v>0</v>
      </c>
      <c r="M102" s="49">
        <f>資料儲存!F3798</f>
        <v>0</v>
      </c>
      <c r="N102" s="49">
        <f>資料儲存!G3798</f>
        <v>0</v>
      </c>
      <c r="O102" s="49">
        <f>資料儲存!H3798</f>
        <v>0</v>
      </c>
      <c r="P102" s="49">
        <f>資料儲存!I3798</f>
        <v>0</v>
      </c>
      <c r="Q102" s="49">
        <f>資料儲存!J3798</f>
        <v>0</v>
      </c>
      <c r="R102" s="52"/>
      <c r="S102" s="68">
        <v>17</v>
      </c>
      <c r="T102" s="49">
        <f>資料儲存!D3918</f>
        <v>0</v>
      </c>
      <c r="U102" s="49">
        <f>資料儲存!E3918</f>
        <v>0</v>
      </c>
      <c r="V102" s="49">
        <f>資料儲存!F3918</f>
        <v>0</v>
      </c>
      <c r="W102" s="49">
        <f>資料儲存!G3918</f>
        <v>0</v>
      </c>
      <c r="X102" s="49">
        <f>資料儲存!H3918</f>
        <v>0</v>
      </c>
      <c r="Y102" s="49">
        <f>資料儲存!I3918</f>
        <v>0</v>
      </c>
      <c r="Z102" s="49">
        <f>資料儲存!J3918</f>
        <v>0</v>
      </c>
      <c r="AA102" s="52"/>
      <c r="AB102" s="68">
        <v>17</v>
      </c>
      <c r="AC102" s="49">
        <f>資料儲存!D4038</f>
        <v>0</v>
      </c>
      <c r="AD102" s="49">
        <f>資料儲存!E4038</f>
        <v>0</v>
      </c>
      <c r="AE102" s="49">
        <f>資料儲存!F4038</f>
        <v>0</v>
      </c>
      <c r="AF102" s="49">
        <f>資料儲存!G4038</f>
        <v>0</v>
      </c>
      <c r="AG102" s="49">
        <f>資料儲存!H4038</f>
        <v>0</v>
      </c>
      <c r="AH102" s="49">
        <f>資料儲存!I4038</f>
        <v>0</v>
      </c>
      <c r="AI102" s="49">
        <f>資料儲存!J4038</f>
        <v>0</v>
      </c>
      <c r="AJ102" s="52"/>
    </row>
    <row r="103" spans="1:36" ht="16" thickBot="1">
      <c r="A103" s="68">
        <v>18</v>
      </c>
      <c r="B103" s="49">
        <f>資料儲存!D3679</f>
        <v>0</v>
      </c>
      <c r="C103" s="49">
        <f>資料儲存!E3679</f>
        <v>0</v>
      </c>
      <c r="D103" s="49">
        <f>資料儲存!F3679</f>
        <v>0</v>
      </c>
      <c r="E103" s="49">
        <f>資料儲存!G3679</f>
        <v>0</v>
      </c>
      <c r="F103" s="49">
        <f>資料儲存!H3679</f>
        <v>0</v>
      </c>
      <c r="G103" s="49">
        <f>資料儲存!I3679</f>
        <v>0</v>
      </c>
      <c r="H103" s="49">
        <f>資料儲存!J3679</f>
        <v>0</v>
      </c>
      <c r="I103" s="52"/>
      <c r="J103" s="68">
        <v>18</v>
      </c>
      <c r="K103" s="49">
        <f>資料儲存!D3799</f>
        <v>0</v>
      </c>
      <c r="L103" s="49">
        <f>資料儲存!E3799</f>
        <v>0</v>
      </c>
      <c r="M103" s="49">
        <f>資料儲存!F3799</f>
        <v>0</v>
      </c>
      <c r="N103" s="49">
        <f>資料儲存!G3799</f>
        <v>0</v>
      </c>
      <c r="O103" s="49">
        <f>資料儲存!H3799</f>
        <v>0</v>
      </c>
      <c r="P103" s="49">
        <f>資料儲存!I3799</f>
        <v>0</v>
      </c>
      <c r="Q103" s="49">
        <f>資料儲存!J3799</f>
        <v>0</v>
      </c>
      <c r="R103" s="52"/>
      <c r="S103" s="68">
        <v>18</v>
      </c>
      <c r="T103" s="49">
        <f>資料儲存!D3919</f>
        <v>0</v>
      </c>
      <c r="U103" s="49">
        <f>資料儲存!E3919</f>
        <v>0</v>
      </c>
      <c r="V103" s="49">
        <f>資料儲存!F3919</f>
        <v>0</v>
      </c>
      <c r="W103" s="49">
        <f>資料儲存!G3919</f>
        <v>0</v>
      </c>
      <c r="X103" s="49">
        <f>資料儲存!H3919</f>
        <v>0</v>
      </c>
      <c r="Y103" s="49">
        <f>資料儲存!I3919</f>
        <v>0</v>
      </c>
      <c r="Z103" s="49">
        <f>資料儲存!J3919</f>
        <v>0</v>
      </c>
      <c r="AA103" s="52"/>
      <c r="AB103" s="68">
        <v>18</v>
      </c>
      <c r="AC103" s="49">
        <f>資料儲存!D4039</f>
        <v>0</v>
      </c>
      <c r="AD103" s="49">
        <f>資料儲存!E4039</f>
        <v>0</v>
      </c>
      <c r="AE103" s="49">
        <f>資料儲存!F4039</f>
        <v>0</v>
      </c>
      <c r="AF103" s="49">
        <f>資料儲存!G4039</f>
        <v>0</v>
      </c>
      <c r="AG103" s="49">
        <f>資料儲存!H4039</f>
        <v>0</v>
      </c>
      <c r="AH103" s="49">
        <f>資料儲存!I4039</f>
        <v>0</v>
      </c>
      <c r="AI103" s="49">
        <f>資料儲存!J4039</f>
        <v>0</v>
      </c>
      <c r="AJ103" s="52"/>
    </row>
    <row r="104" spans="1:36" ht="16" thickBot="1">
      <c r="A104" s="68">
        <v>19</v>
      </c>
      <c r="B104" s="49">
        <f>資料儲存!D3680</f>
        <v>0</v>
      </c>
      <c r="C104" s="49">
        <f>資料儲存!E3680</f>
        <v>0</v>
      </c>
      <c r="D104" s="49">
        <f>資料儲存!F3680</f>
        <v>0</v>
      </c>
      <c r="E104" s="49">
        <f>資料儲存!G3680</f>
        <v>0</v>
      </c>
      <c r="F104" s="49">
        <f>資料儲存!H3680</f>
        <v>0</v>
      </c>
      <c r="G104" s="49">
        <f>資料儲存!I3680</f>
        <v>0</v>
      </c>
      <c r="H104" s="49">
        <f>資料儲存!J3680</f>
        <v>0</v>
      </c>
      <c r="I104" s="52"/>
      <c r="J104" s="68">
        <v>19</v>
      </c>
      <c r="K104" s="49">
        <f>資料儲存!D3800</f>
        <v>0</v>
      </c>
      <c r="L104" s="49">
        <f>資料儲存!E3800</f>
        <v>0</v>
      </c>
      <c r="M104" s="49">
        <f>資料儲存!F3800</f>
        <v>0</v>
      </c>
      <c r="N104" s="49">
        <f>資料儲存!G3800</f>
        <v>0</v>
      </c>
      <c r="O104" s="49">
        <f>資料儲存!H3800</f>
        <v>0</v>
      </c>
      <c r="P104" s="49">
        <f>資料儲存!I3800</f>
        <v>0</v>
      </c>
      <c r="Q104" s="49">
        <f>資料儲存!J3800</f>
        <v>0</v>
      </c>
      <c r="R104" s="52"/>
      <c r="S104" s="68">
        <v>19</v>
      </c>
      <c r="T104" s="49">
        <f>資料儲存!D3920</f>
        <v>0</v>
      </c>
      <c r="U104" s="49">
        <f>資料儲存!E3920</f>
        <v>0</v>
      </c>
      <c r="V104" s="49">
        <f>資料儲存!F3920</f>
        <v>0</v>
      </c>
      <c r="W104" s="49">
        <f>資料儲存!G3920</f>
        <v>0</v>
      </c>
      <c r="X104" s="49">
        <f>資料儲存!H3920</f>
        <v>0</v>
      </c>
      <c r="Y104" s="49">
        <f>資料儲存!I3920</f>
        <v>0</v>
      </c>
      <c r="Z104" s="49">
        <f>資料儲存!J3920</f>
        <v>0</v>
      </c>
      <c r="AA104" s="52"/>
      <c r="AB104" s="68">
        <v>19</v>
      </c>
      <c r="AC104" s="49">
        <f>資料儲存!D4040</f>
        <v>0</v>
      </c>
      <c r="AD104" s="49">
        <f>資料儲存!E4040</f>
        <v>0</v>
      </c>
      <c r="AE104" s="49">
        <f>資料儲存!F4040</f>
        <v>0</v>
      </c>
      <c r="AF104" s="49">
        <f>資料儲存!G4040</f>
        <v>0</v>
      </c>
      <c r="AG104" s="49">
        <f>資料儲存!H4040</f>
        <v>0</v>
      </c>
      <c r="AH104" s="49">
        <f>資料儲存!I4040</f>
        <v>0</v>
      </c>
      <c r="AI104" s="49">
        <f>資料儲存!J4040</f>
        <v>0</v>
      </c>
      <c r="AJ104" s="52"/>
    </row>
    <row r="105" spans="1:36" ht="16" thickBot="1">
      <c r="A105" s="68">
        <v>20</v>
      </c>
      <c r="B105" s="49">
        <f>資料儲存!D3681</f>
        <v>0</v>
      </c>
      <c r="C105" s="49">
        <f>資料儲存!E3681</f>
        <v>0</v>
      </c>
      <c r="D105" s="49">
        <f>資料儲存!F3681</f>
        <v>0</v>
      </c>
      <c r="E105" s="49">
        <f>資料儲存!G3681</f>
        <v>0</v>
      </c>
      <c r="F105" s="49">
        <f>資料儲存!H3681</f>
        <v>0</v>
      </c>
      <c r="G105" s="49">
        <f>資料儲存!I3681</f>
        <v>0</v>
      </c>
      <c r="H105" s="49">
        <f>資料儲存!J3681</f>
        <v>0</v>
      </c>
      <c r="I105" s="52"/>
      <c r="J105" s="68">
        <v>20</v>
      </c>
      <c r="K105" s="49">
        <f>資料儲存!D3801</f>
        <v>0</v>
      </c>
      <c r="L105" s="49">
        <f>資料儲存!E3801</f>
        <v>0</v>
      </c>
      <c r="M105" s="49">
        <f>資料儲存!F3801</f>
        <v>0</v>
      </c>
      <c r="N105" s="49">
        <f>資料儲存!G3801</f>
        <v>0</v>
      </c>
      <c r="O105" s="49">
        <f>資料儲存!H3801</f>
        <v>0</v>
      </c>
      <c r="P105" s="49">
        <f>資料儲存!I3801</f>
        <v>0</v>
      </c>
      <c r="Q105" s="49">
        <f>資料儲存!J3801</f>
        <v>0</v>
      </c>
      <c r="R105" s="52"/>
      <c r="S105" s="68">
        <v>20</v>
      </c>
      <c r="T105" s="49">
        <f>資料儲存!D3921</f>
        <v>0</v>
      </c>
      <c r="U105" s="49">
        <f>資料儲存!E3921</f>
        <v>0</v>
      </c>
      <c r="V105" s="49">
        <f>資料儲存!F3921</f>
        <v>0</v>
      </c>
      <c r="W105" s="49">
        <f>資料儲存!G3921</f>
        <v>0</v>
      </c>
      <c r="X105" s="49">
        <f>資料儲存!H3921</f>
        <v>0</v>
      </c>
      <c r="Y105" s="49">
        <f>資料儲存!I3921</f>
        <v>0</v>
      </c>
      <c r="Z105" s="49">
        <f>資料儲存!J3921</f>
        <v>0</v>
      </c>
      <c r="AA105" s="52"/>
      <c r="AB105" s="68">
        <v>20</v>
      </c>
      <c r="AC105" s="49">
        <f>資料儲存!D4041</f>
        <v>0</v>
      </c>
      <c r="AD105" s="49">
        <f>資料儲存!E4041</f>
        <v>0</v>
      </c>
      <c r="AE105" s="49">
        <f>資料儲存!F4041</f>
        <v>0</v>
      </c>
      <c r="AF105" s="49">
        <f>資料儲存!G4041</f>
        <v>0</v>
      </c>
      <c r="AG105" s="49">
        <f>資料儲存!H4041</f>
        <v>0</v>
      </c>
      <c r="AH105" s="49">
        <f>資料儲存!I4041</f>
        <v>0</v>
      </c>
      <c r="AI105" s="49">
        <f>資料儲存!J4041</f>
        <v>0</v>
      </c>
      <c r="AJ105" s="52"/>
    </row>
    <row r="106" spans="1:36" ht="16" thickBot="1">
      <c r="A106" s="68">
        <v>21</v>
      </c>
      <c r="B106" s="49">
        <f>資料儲存!D3682</f>
        <v>0</v>
      </c>
      <c r="C106" s="49">
        <f>資料儲存!E3682</f>
        <v>0</v>
      </c>
      <c r="D106" s="49">
        <f>資料儲存!F3682</f>
        <v>0</v>
      </c>
      <c r="E106" s="49">
        <f>資料儲存!G3682</f>
        <v>0</v>
      </c>
      <c r="F106" s="49">
        <f>資料儲存!H3682</f>
        <v>0</v>
      </c>
      <c r="G106" s="49">
        <f>資料儲存!I3682</f>
        <v>0</v>
      </c>
      <c r="H106" s="49">
        <f>資料儲存!J3682</f>
        <v>0</v>
      </c>
      <c r="I106" s="52"/>
      <c r="J106" s="68">
        <v>21</v>
      </c>
      <c r="K106" s="49">
        <f>資料儲存!D3802</f>
        <v>0</v>
      </c>
      <c r="L106" s="49">
        <f>資料儲存!E3802</f>
        <v>0</v>
      </c>
      <c r="M106" s="49">
        <f>資料儲存!F3802</f>
        <v>0</v>
      </c>
      <c r="N106" s="49">
        <f>資料儲存!G3802</f>
        <v>0</v>
      </c>
      <c r="O106" s="49">
        <f>資料儲存!H3802</f>
        <v>0</v>
      </c>
      <c r="P106" s="49">
        <f>資料儲存!I3802</f>
        <v>0</v>
      </c>
      <c r="Q106" s="49">
        <f>資料儲存!J3802</f>
        <v>0</v>
      </c>
      <c r="R106" s="52"/>
      <c r="S106" s="68">
        <v>21</v>
      </c>
      <c r="T106" s="49">
        <f>資料儲存!D3922</f>
        <v>0</v>
      </c>
      <c r="U106" s="49">
        <f>資料儲存!E3922</f>
        <v>0</v>
      </c>
      <c r="V106" s="49">
        <f>資料儲存!F3922</f>
        <v>0</v>
      </c>
      <c r="W106" s="49">
        <f>資料儲存!G3922</f>
        <v>0</v>
      </c>
      <c r="X106" s="49">
        <f>資料儲存!H3922</f>
        <v>0</v>
      </c>
      <c r="Y106" s="49">
        <f>資料儲存!I3922</f>
        <v>0</v>
      </c>
      <c r="Z106" s="49">
        <f>資料儲存!J3922</f>
        <v>0</v>
      </c>
      <c r="AA106" s="52"/>
      <c r="AB106" s="68">
        <v>21</v>
      </c>
      <c r="AC106" s="49">
        <f>資料儲存!D4042</f>
        <v>0</v>
      </c>
      <c r="AD106" s="49">
        <f>資料儲存!E4042</f>
        <v>0</v>
      </c>
      <c r="AE106" s="49">
        <f>資料儲存!F4042</f>
        <v>0</v>
      </c>
      <c r="AF106" s="49">
        <f>資料儲存!G4042</f>
        <v>0</v>
      </c>
      <c r="AG106" s="49">
        <f>資料儲存!H4042</f>
        <v>0</v>
      </c>
      <c r="AH106" s="49">
        <f>資料儲存!I4042</f>
        <v>0</v>
      </c>
      <c r="AI106" s="49">
        <f>資料儲存!J4042</f>
        <v>0</v>
      </c>
      <c r="AJ106" s="52"/>
    </row>
    <row r="107" spans="1:36" ht="16" thickBot="1">
      <c r="A107" s="68">
        <v>22</v>
      </c>
      <c r="B107" s="49">
        <f>資料儲存!D3683</f>
        <v>0</v>
      </c>
      <c r="C107" s="49">
        <f>資料儲存!E3683</f>
        <v>0</v>
      </c>
      <c r="D107" s="49">
        <f>資料儲存!F3683</f>
        <v>0</v>
      </c>
      <c r="E107" s="49">
        <f>資料儲存!G3683</f>
        <v>0</v>
      </c>
      <c r="F107" s="49">
        <f>資料儲存!H3683</f>
        <v>0</v>
      </c>
      <c r="G107" s="49">
        <f>資料儲存!I3683</f>
        <v>0</v>
      </c>
      <c r="H107" s="49">
        <f>資料儲存!J3683</f>
        <v>0</v>
      </c>
      <c r="I107" s="52"/>
      <c r="J107" s="68">
        <v>22</v>
      </c>
      <c r="K107" s="49">
        <f>資料儲存!D3803</f>
        <v>0</v>
      </c>
      <c r="L107" s="49">
        <f>資料儲存!E3803</f>
        <v>0</v>
      </c>
      <c r="M107" s="49">
        <f>資料儲存!F3803</f>
        <v>0</v>
      </c>
      <c r="N107" s="49">
        <f>資料儲存!G3803</f>
        <v>0</v>
      </c>
      <c r="O107" s="49">
        <f>資料儲存!H3803</f>
        <v>0</v>
      </c>
      <c r="P107" s="49">
        <f>資料儲存!I3803</f>
        <v>0</v>
      </c>
      <c r="Q107" s="49">
        <f>資料儲存!J3803</f>
        <v>0</v>
      </c>
      <c r="R107" s="52"/>
      <c r="S107" s="68">
        <v>22</v>
      </c>
      <c r="T107" s="49">
        <f>資料儲存!D3923</f>
        <v>0</v>
      </c>
      <c r="U107" s="49">
        <f>資料儲存!E3923</f>
        <v>0</v>
      </c>
      <c r="V107" s="49">
        <f>資料儲存!F3923</f>
        <v>0</v>
      </c>
      <c r="W107" s="49">
        <f>資料儲存!G3923</f>
        <v>0</v>
      </c>
      <c r="X107" s="49">
        <f>資料儲存!H3923</f>
        <v>0</v>
      </c>
      <c r="Y107" s="49">
        <f>資料儲存!I3923</f>
        <v>0</v>
      </c>
      <c r="Z107" s="49">
        <f>資料儲存!J3923</f>
        <v>0</v>
      </c>
      <c r="AA107" s="52"/>
      <c r="AB107" s="68">
        <v>22</v>
      </c>
      <c r="AC107" s="49">
        <f>資料儲存!D4043</f>
        <v>0</v>
      </c>
      <c r="AD107" s="49">
        <f>資料儲存!E4043</f>
        <v>0</v>
      </c>
      <c r="AE107" s="49">
        <f>資料儲存!F4043</f>
        <v>0</v>
      </c>
      <c r="AF107" s="49">
        <f>資料儲存!G4043</f>
        <v>0</v>
      </c>
      <c r="AG107" s="49">
        <f>資料儲存!H4043</f>
        <v>0</v>
      </c>
      <c r="AH107" s="49">
        <f>資料儲存!I4043</f>
        <v>0</v>
      </c>
      <c r="AI107" s="49">
        <f>資料儲存!J4043</f>
        <v>0</v>
      </c>
      <c r="AJ107" s="52"/>
    </row>
    <row r="108" spans="1:36" ht="16" thickBot="1">
      <c r="A108" s="68">
        <v>23</v>
      </c>
      <c r="B108" s="49">
        <f>資料儲存!D3684</f>
        <v>0</v>
      </c>
      <c r="C108" s="49">
        <f>資料儲存!E3684</f>
        <v>0</v>
      </c>
      <c r="D108" s="49">
        <f>資料儲存!F3684</f>
        <v>0</v>
      </c>
      <c r="E108" s="49">
        <f>資料儲存!G3684</f>
        <v>0</v>
      </c>
      <c r="F108" s="49">
        <f>資料儲存!H3684</f>
        <v>0</v>
      </c>
      <c r="G108" s="49">
        <f>資料儲存!I3684</f>
        <v>0</v>
      </c>
      <c r="H108" s="49">
        <f>資料儲存!J3684</f>
        <v>0</v>
      </c>
      <c r="I108" s="52"/>
      <c r="J108" s="68">
        <v>23</v>
      </c>
      <c r="K108" s="49">
        <f>資料儲存!D3804</f>
        <v>0</v>
      </c>
      <c r="L108" s="49">
        <f>資料儲存!E3804</f>
        <v>0</v>
      </c>
      <c r="M108" s="49">
        <f>資料儲存!F3804</f>
        <v>0</v>
      </c>
      <c r="N108" s="49">
        <f>資料儲存!G3804</f>
        <v>0</v>
      </c>
      <c r="O108" s="49">
        <f>資料儲存!H3804</f>
        <v>0</v>
      </c>
      <c r="P108" s="49">
        <f>資料儲存!I3804</f>
        <v>0</v>
      </c>
      <c r="Q108" s="49">
        <f>資料儲存!J3804</f>
        <v>0</v>
      </c>
      <c r="R108" s="52"/>
      <c r="S108" s="68">
        <v>23</v>
      </c>
      <c r="T108" s="49">
        <f>資料儲存!D3924</f>
        <v>0</v>
      </c>
      <c r="U108" s="49">
        <f>資料儲存!E3924</f>
        <v>0</v>
      </c>
      <c r="V108" s="49">
        <f>資料儲存!F3924</f>
        <v>0</v>
      </c>
      <c r="W108" s="49">
        <f>資料儲存!G3924</f>
        <v>0</v>
      </c>
      <c r="X108" s="49">
        <f>資料儲存!H3924</f>
        <v>0</v>
      </c>
      <c r="Y108" s="49">
        <f>資料儲存!I3924</f>
        <v>0</v>
      </c>
      <c r="Z108" s="49">
        <f>資料儲存!J3924</f>
        <v>0</v>
      </c>
      <c r="AA108" s="52"/>
      <c r="AB108" s="68">
        <v>23</v>
      </c>
      <c r="AC108" s="49">
        <f>資料儲存!D4044</f>
        <v>0</v>
      </c>
      <c r="AD108" s="49">
        <f>資料儲存!E4044</f>
        <v>0</v>
      </c>
      <c r="AE108" s="49">
        <f>資料儲存!F4044</f>
        <v>0</v>
      </c>
      <c r="AF108" s="49">
        <f>資料儲存!G4044</f>
        <v>0</v>
      </c>
      <c r="AG108" s="49">
        <f>資料儲存!H4044</f>
        <v>0</v>
      </c>
      <c r="AH108" s="49">
        <f>資料儲存!I4044</f>
        <v>0</v>
      </c>
      <c r="AI108" s="49">
        <f>資料儲存!J4044</f>
        <v>0</v>
      </c>
      <c r="AJ108" s="52"/>
    </row>
    <row r="109" spans="1:36" ht="16" thickBot="1">
      <c r="A109" s="68">
        <v>24</v>
      </c>
      <c r="B109" s="49">
        <f>資料儲存!D3685</f>
        <v>0</v>
      </c>
      <c r="C109" s="49">
        <f>資料儲存!E3685</f>
        <v>0</v>
      </c>
      <c r="D109" s="49">
        <f>資料儲存!F3685</f>
        <v>0</v>
      </c>
      <c r="E109" s="49">
        <f>資料儲存!G3685</f>
        <v>0</v>
      </c>
      <c r="F109" s="49">
        <f>資料儲存!H3685</f>
        <v>0</v>
      </c>
      <c r="G109" s="49">
        <f>資料儲存!I3685</f>
        <v>0</v>
      </c>
      <c r="H109" s="49">
        <f>資料儲存!J3685</f>
        <v>0</v>
      </c>
      <c r="I109" s="52"/>
      <c r="J109" s="68">
        <v>24</v>
      </c>
      <c r="K109" s="49">
        <f>資料儲存!D3805</f>
        <v>0</v>
      </c>
      <c r="L109" s="49">
        <f>資料儲存!E3805</f>
        <v>0</v>
      </c>
      <c r="M109" s="49">
        <f>資料儲存!F3805</f>
        <v>0</v>
      </c>
      <c r="N109" s="49">
        <f>資料儲存!G3805</f>
        <v>0</v>
      </c>
      <c r="O109" s="49">
        <f>資料儲存!H3805</f>
        <v>0</v>
      </c>
      <c r="P109" s="49">
        <f>資料儲存!I3805</f>
        <v>0</v>
      </c>
      <c r="Q109" s="49">
        <f>資料儲存!J3805</f>
        <v>0</v>
      </c>
      <c r="R109" s="52"/>
      <c r="S109" s="68">
        <v>24</v>
      </c>
      <c r="T109" s="49">
        <f>資料儲存!D3925</f>
        <v>0</v>
      </c>
      <c r="U109" s="49">
        <f>資料儲存!E3925</f>
        <v>0</v>
      </c>
      <c r="V109" s="49">
        <f>資料儲存!F3925</f>
        <v>0</v>
      </c>
      <c r="W109" s="49">
        <f>資料儲存!G3925</f>
        <v>0</v>
      </c>
      <c r="X109" s="49">
        <f>資料儲存!H3925</f>
        <v>0</v>
      </c>
      <c r="Y109" s="49">
        <f>資料儲存!I3925</f>
        <v>0</v>
      </c>
      <c r="Z109" s="49">
        <f>資料儲存!J3925</f>
        <v>0</v>
      </c>
      <c r="AA109" s="52"/>
      <c r="AB109" s="68">
        <v>24</v>
      </c>
      <c r="AC109" s="49">
        <f>資料儲存!D4045</f>
        <v>0</v>
      </c>
      <c r="AD109" s="49">
        <f>資料儲存!E4045</f>
        <v>0</v>
      </c>
      <c r="AE109" s="49">
        <f>資料儲存!F4045</f>
        <v>0</v>
      </c>
      <c r="AF109" s="49">
        <f>資料儲存!G4045</f>
        <v>0</v>
      </c>
      <c r="AG109" s="49">
        <f>資料儲存!H4045</f>
        <v>0</v>
      </c>
      <c r="AH109" s="49">
        <f>資料儲存!I4045</f>
        <v>0</v>
      </c>
      <c r="AI109" s="49">
        <f>資料儲存!J4045</f>
        <v>0</v>
      </c>
      <c r="AJ109" s="52"/>
    </row>
    <row r="110" spans="1:36" ht="16" thickBot="1">
      <c r="A110" s="68">
        <v>25</v>
      </c>
      <c r="B110" s="49">
        <f>資料儲存!D3686</f>
        <v>0</v>
      </c>
      <c r="C110" s="49">
        <f>資料儲存!E3686</f>
        <v>0</v>
      </c>
      <c r="D110" s="49">
        <f>資料儲存!F3686</f>
        <v>0</v>
      </c>
      <c r="E110" s="49">
        <f>資料儲存!G3686</f>
        <v>0</v>
      </c>
      <c r="F110" s="49">
        <f>資料儲存!H3686</f>
        <v>0</v>
      </c>
      <c r="G110" s="49">
        <f>資料儲存!I3686</f>
        <v>0</v>
      </c>
      <c r="H110" s="49">
        <f>資料儲存!J3686</f>
        <v>0</v>
      </c>
      <c r="I110" s="52"/>
      <c r="J110" s="68">
        <v>25</v>
      </c>
      <c r="K110" s="49">
        <f>資料儲存!D3806</f>
        <v>0</v>
      </c>
      <c r="L110" s="49">
        <f>資料儲存!E3806</f>
        <v>0</v>
      </c>
      <c r="M110" s="49">
        <f>資料儲存!F3806</f>
        <v>0</v>
      </c>
      <c r="N110" s="49">
        <f>資料儲存!G3806</f>
        <v>0</v>
      </c>
      <c r="O110" s="49">
        <f>資料儲存!H3806</f>
        <v>0</v>
      </c>
      <c r="P110" s="49">
        <f>資料儲存!I3806</f>
        <v>0</v>
      </c>
      <c r="Q110" s="49">
        <f>資料儲存!J3806</f>
        <v>0</v>
      </c>
      <c r="R110" s="52"/>
      <c r="S110" s="68">
        <v>25</v>
      </c>
      <c r="T110" s="49">
        <f>資料儲存!D3926</f>
        <v>0</v>
      </c>
      <c r="U110" s="49">
        <f>資料儲存!E3926</f>
        <v>0</v>
      </c>
      <c r="V110" s="49">
        <f>資料儲存!F3926</f>
        <v>0</v>
      </c>
      <c r="W110" s="49">
        <f>資料儲存!G3926</f>
        <v>0</v>
      </c>
      <c r="X110" s="49">
        <f>資料儲存!H3926</f>
        <v>0</v>
      </c>
      <c r="Y110" s="49">
        <f>資料儲存!I3926</f>
        <v>0</v>
      </c>
      <c r="Z110" s="49">
        <f>資料儲存!J3926</f>
        <v>0</v>
      </c>
      <c r="AA110" s="52"/>
      <c r="AB110" s="68">
        <v>25</v>
      </c>
      <c r="AC110" s="49">
        <f>資料儲存!D4046</f>
        <v>0</v>
      </c>
      <c r="AD110" s="49">
        <f>資料儲存!E4046</f>
        <v>0</v>
      </c>
      <c r="AE110" s="49">
        <f>資料儲存!F4046</f>
        <v>0</v>
      </c>
      <c r="AF110" s="49">
        <f>資料儲存!G4046</f>
        <v>0</v>
      </c>
      <c r="AG110" s="49">
        <f>資料儲存!H4046</f>
        <v>0</v>
      </c>
      <c r="AH110" s="49">
        <f>資料儲存!I4046</f>
        <v>0</v>
      </c>
      <c r="AI110" s="49">
        <f>資料儲存!J4046</f>
        <v>0</v>
      </c>
      <c r="AJ110" s="52"/>
    </row>
    <row r="111" spans="1:36" ht="16" thickBot="1">
      <c r="A111" s="68">
        <v>26</v>
      </c>
      <c r="B111" s="49">
        <f>資料儲存!D3687</f>
        <v>0</v>
      </c>
      <c r="C111" s="49">
        <f>資料儲存!E3687</f>
        <v>0</v>
      </c>
      <c r="D111" s="49">
        <f>資料儲存!F3687</f>
        <v>0</v>
      </c>
      <c r="E111" s="49">
        <f>資料儲存!G3687</f>
        <v>0</v>
      </c>
      <c r="F111" s="49">
        <f>資料儲存!H3687</f>
        <v>0</v>
      </c>
      <c r="G111" s="49">
        <f>資料儲存!I3687</f>
        <v>0</v>
      </c>
      <c r="H111" s="49">
        <f>資料儲存!J3687</f>
        <v>0</v>
      </c>
      <c r="I111" s="52"/>
      <c r="J111" s="68">
        <v>26</v>
      </c>
      <c r="K111" s="49">
        <f>資料儲存!D3807</f>
        <v>0</v>
      </c>
      <c r="L111" s="49">
        <f>資料儲存!E3807</f>
        <v>0</v>
      </c>
      <c r="M111" s="49">
        <f>資料儲存!F3807</f>
        <v>0</v>
      </c>
      <c r="N111" s="49">
        <f>資料儲存!G3807</f>
        <v>0</v>
      </c>
      <c r="O111" s="49">
        <f>資料儲存!H3807</f>
        <v>0</v>
      </c>
      <c r="P111" s="49">
        <f>資料儲存!I3807</f>
        <v>0</v>
      </c>
      <c r="Q111" s="49">
        <f>資料儲存!J3807</f>
        <v>0</v>
      </c>
      <c r="R111" s="52"/>
      <c r="S111" s="68">
        <v>26</v>
      </c>
      <c r="T111" s="49">
        <f>資料儲存!D3927</f>
        <v>0</v>
      </c>
      <c r="U111" s="49">
        <f>資料儲存!E3927</f>
        <v>0</v>
      </c>
      <c r="V111" s="49">
        <f>資料儲存!F3927</f>
        <v>0</v>
      </c>
      <c r="W111" s="49">
        <f>資料儲存!G3927</f>
        <v>0</v>
      </c>
      <c r="X111" s="49">
        <f>資料儲存!H3927</f>
        <v>0</v>
      </c>
      <c r="Y111" s="49">
        <f>資料儲存!I3927</f>
        <v>0</v>
      </c>
      <c r="Z111" s="49">
        <f>資料儲存!J3927</f>
        <v>0</v>
      </c>
      <c r="AA111" s="52"/>
      <c r="AB111" s="68">
        <v>26</v>
      </c>
      <c r="AC111" s="49">
        <f>資料儲存!D4047</f>
        <v>0</v>
      </c>
      <c r="AD111" s="49">
        <f>資料儲存!E4047</f>
        <v>0</v>
      </c>
      <c r="AE111" s="49">
        <f>資料儲存!F4047</f>
        <v>0</v>
      </c>
      <c r="AF111" s="49">
        <f>資料儲存!G4047</f>
        <v>0</v>
      </c>
      <c r="AG111" s="49">
        <f>資料儲存!H4047</f>
        <v>0</v>
      </c>
      <c r="AH111" s="49">
        <f>資料儲存!I4047</f>
        <v>0</v>
      </c>
      <c r="AI111" s="49">
        <f>資料儲存!J4047</f>
        <v>0</v>
      </c>
      <c r="AJ111" s="52"/>
    </row>
    <row r="112" spans="1:36" ht="16" thickBot="1">
      <c r="A112" s="68">
        <v>27</v>
      </c>
      <c r="B112" s="49">
        <f>資料儲存!D3688</f>
        <v>0</v>
      </c>
      <c r="C112" s="49">
        <f>資料儲存!E3688</f>
        <v>0</v>
      </c>
      <c r="D112" s="49">
        <f>資料儲存!F3688</f>
        <v>0</v>
      </c>
      <c r="E112" s="49">
        <f>資料儲存!G3688</f>
        <v>0</v>
      </c>
      <c r="F112" s="49">
        <f>資料儲存!H3688</f>
        <v>0</v>
      </c>
      <c r="G112" s="49">
        <f>資料儲存!I3688</f>
        <v>0</v>
      </c>
      <c r="H112" s="49">
        <f>資料儲存!J3688</f>
        <v>0</v>
      </c>
      <c r="I112" s="52"/>
      <c r="J112" s="68">
        <v>27</v>
      </c>
      <c r="K112" s="49">
        <f>資料儲存!D3808</f>
        <v>0</v>
      </c>
      <c r="L112" s="49">
        <f>資料儲存!E3808</f>
        <v>0</v>
      </c>
      <c r="M112" s="49">
        <f>資料儲存!F3808</f>
        <v>0</v>
      </c>
      <c r="N112" s="49">
        <f>資料儲存!G3808</f>
        <v>0</v>
      </c>
      <c r="O112" s="49">
        <f>資料儲存!H3808</f>
        <v>0</v>
      </c>
      <c r="P112" s="49">
        <f>資料儲存!I3808</f>
        <v>0</v>
      </c>
      <c r="Q112" s="49">
        <f>資料儲存!J3808</f>
        <v>0</v>
      </c>
      <c r="R112" s="52"/>
      <c r="S112" s="68">
        <v>27</v>
      </c>
      <c r="T112" s="49">
        <f>資料儲存!D3928</f>
        <v>0</v>
      </c>
      <c r="U112" s="49">
        <f>資料儲存!E3928</f>
        <v>0</v>
      </c>
      <c r="V112" s="49">
        <f>資料儲存!F3928</f>
        <v>0</v>
      </c>
      <c r="W112" s="49">
        <f>資料儲存!G3928</f>
        <v>0</v>
      </c>
      <c r="X112" s="49">
        <f>資料儲存!H3928</f>
        <v>0</v>
      </c>
      <c r="Y112" s="49">
        <f>資料儲存!I3928</f>
        <v>0</v>
      </c>
      <c r="Z112" s="49">
        <f>資料儲存!J3928</f>
        <v>0</v>
      </c>
      <c r="AA112" s="52"/>
      <c r="AB112" s="68">
        <v>27</v>
      </c>
      <c r="AC112" s="49">
        <f>資料儲存!D4048</f>
        <v>0</v>
      </c>
      <c r="AD112" s="49">
        <f>資料儲存!E4048</f>
        <v>0</v>
      </c>
      <c r="AE112" s="49">
        <f>資料儲存!F4048</f>
        <v>0</v>
      </c>
      <c r="AF112" s="49">
        <f>資料儲存!G4048</f>
        <v>0</v>
      </c>
      <c r="AG112" s="49">
        <f>資料儲存!H4048</f>
        <v>0</v>
      </c>
      <c r="AH112" s="49">
        <f>資料儲存!I4048</f>
        <v>0</v>
      </c>
      <c r="AI112" s="49">
        <f>資料儲存!J4048</f>
        <v>0</v>
      </c>
      <c r="AJ112" s="52"/>
    </row>
    <row r="113" spans="1:36" ht="16" thickBot="1">
      <c r="A113" s="68">
        <v>28</v>
      </c>
      <c r="B113" s="49">
        <f>資料儲存!D3689</f>
        <v>0</v>
      </c>
      <c r="C113" s="49">
        <f>資料儲存!E3689</f>
        <v>0</v>
      </c>
      <c r="D113" s="49">
        <f>資料儲存!F3689</f>
        <v>0</v>
      </c>
      <c r="E113" s="49">
        <f>資料儲存!G3689</f>
        <v>0</v>
      </c>
      <c r="F113" s="49">
        <f>資料儲存!H3689</f>
        <v>0</v>
      </c>
      <c r="G113" s="49">
        <f>資料儲存!I3689</f>
        <v>0</v>
      </c>
      <c r="H113" s="49">
        <f>資料儲存!J3689</f>
        <v>0</v>
      </c>
      <c r="I113" s="52"/>
      <c r="J113" s="68">
        <v>28</v>
      </c>
      <c r="K113" s="49">
        <f>資料儲存!D3809</f>
        <v>0</v>
      </c>
      <c r="L113" s="49">
        <f>資料儲存!E3809</f>
        <v>0</v>
      </c>
      <c r="M113" s="49">
        <f>資料儲存!F3809</f>
        <v>0</v>
      </c>
      <c r="N113" s="49">
        <f>資料儲存!G3809</f>
        <v>0</v>
      </c>
      <c r="O113" s="49">
        <f>資料儲存!H3809</f>
        <v>0</v>
      </c>
      <c r="P113" s="49">
        <f>資料儲存!I3809</f>
        <v>0</v>
      </c>
      <c r="Q113" s="49">
        <f>資料儲存!J3809</f>
        <v>0</v>
      </c>
      <c r="R113" s="52"/>
      <c r="S113" s="68">
        <v>28</v>
      </c>
      <c r="T113" s="49">
        <f>資料儲存!D3929</f>
        <v>0</v>
      </c>
      <c r="U113" s="49">
        <f>資料儲存!E3929</f>
        <v>0</v>
      </c>
      <c r="V113" s="49">
        <f>資料儲存!F3929</f>
        <v>0</v>
      </c>
      <c r="W113" s="49">
        <f>資料儲存!G3929</f>
        <v>0</v>
      </c>
      <c r="X113" s="49">
        <f>資料儲存!H3929</f>
        <v>0</v>
      </c>
      <c r="Y113" s="49">
        <f>資料儲存!I3929</f>
        <v>0</v>
      </c>
      <c r="Z113" s="49">
        <f>資料儲存!J3929</f>
        <v>0</v>
      </c>
      <c r="AA113" s="52"/>
      <c r="AB113" s="68">
        <v>28</v>
      </c>
      <c r="AC113" s="49">
        <f>資料儲存!D4049</f>
        <v>0</v>
      </c>
      <c r="AD113" s="49">
        <f>資料儲存!E4049</f>
        <v>0</v>
      </c>
      <c r="AE113" s="49">
        <f>資料儲存!F4049</f>
        <v>0</v>
      </c>
      <c r="AF113" s="49">
        <f>資料儲存!G4049</f>
        <v>0</v>
      </c>
      <c r="AG113" s="49">
        <f>資料儲存!H4049</f>
        <v>0</v>
      </c>
      <c r="AH113" s="49">
        <f>資料儲存!I4049</f>
        <v>0</v>
      </c>
      <c r="AI113" s="49">
        <f>資料儲存!J4049</f>
        <v>0</v>
      </c>
      <c r="AJ113" s="52"/>
    </row>
    <row r="114" spans="1:36" ht="16" thickBot="1">
      <c r="A114" s="68">
        <v>29</v>
      </c>
      <c r="B114" s="49">
        <f>資料儲存!D3690</f>
        <v>0</v>
      </c>
      <c r="C114" s="49">
        <f>資料儲存!E3690</f>
        <v>0</v>
      </c>
      <c r="D114" s="49">
        <f>資料儲存!F3690</f>
        <v>0</v>
      </c>
      <c r="E114" s="49">
        <f>資料儲存!G3690</f>
        <v>0</v>
      </c>
      <c r="F114" s="49">
        <f>資料儲存!H3690</f>
        <v>0</v>
      </c>
      <c r="G114" s="49">
        <f>資料儲存!I3690</f>
        <v>0</v>
      </c>
      <c r="H114" s="49">
        <f>資料儲存!J3690</f>
        <v>0</v>
      </c>
      <c r="I114" s="52"/>
      <c r="J114" s="68">
        <v>29</v>
      </c>
      <c r="K114" s="49">
        <f>資料儲存!D3810</f>
        <v>0</v>
      </c>
      <c r="L114" s="49">
        <f>資料儲存!E3810</f>
        <v>0</v>
      </c>
      <c r="M114" s="49">
        <f>資料儲存!F3810</f>
        <v>0</v>
      </c>
      <c r="N114" s="49">
        <f>資料儲存!G3810</f>
        <v>0</v>
      </c>
      <c r="O114" s="49">
        <f>資料儲存!H3810</f>
        <v>0</v>
      </c>
      <c r="P114" s="49">
        <f>資料儲存!I3810</f>
        <v>0</v>
      </c>
      <c r="Q114" s="49">
        <f>資料儲存!J3810</f>
        <v>0</v>
      </c>
      <c r="R114" s="52"/>
      <c r="S114" s="68">
        <v>29</v>
      </c>
      <c r="T114" s="49">
        <f>資料儲存!D3930</f>
        <v>0</v>
      </c>
      <c r="U114" s="49">
        <f>資料儲存!E3930</f>
        <v>0</v>
      </c>
      <c r="V114" s="49">
        <f>資料儲存!F3930</f>
        <v>0</v>
      </c>
      <c r="W114" s="49">
        <f>資料儲存!G3930</f>
        <v>0</v>
      </c>
      <c r="X114" s="49">
        <f>資料儲存!H3930</f>
        <v>0</v>
      </c>
      <c r="Y114" s="49">
        <f>資料儲存!I3930</f>
        <v>0</v>
      </c>
      <c r="Z114" s="49">
        <f>資料儲存!J3930</f>
        <v>0</v>
      </c>
      <c r="AA114" s="52"/>
      <c r="AB114" s="68">
        <v>29</v>
      </c>
      <c r="AC114" s="49">
        <f>資料儲存!D4050</f>
        <v>0</v>
      </c>
      <c r="AD114" s="49">
        <f>資料儲存!E4050</f>
        <v>0</v>
      </c>
      <c r="AE114" s="49">
        <f>資料儲存!F4050</f>
        <v>0</v>
      </c>
      <c r="AF114" s="49">
        <f>資料儲存!G4050</f>
        <v>0</v>
      </c>
      <c r="AG114" s="49">
        <f>資料儲存!H4050</f>
        <v>0</v>
      </c>
      <c r="AH114" s="49">
        <f>資料儲存!I4050</f>
        <v>0</v>
      </c>
      <c r="AI114" s="49">
        <f>資料儲存!J4050</f>
        <v>0</v>
      </c>
      <c r="AJ114" s="52"/>
    </row>
    <row r="115" spans="1:36" ht="16" thickBot="1">
      <c r="A115" s="68">
        <v>30</v>
      </c>
      <c r="B115" s="49">
        <f>資料儲存!D3691</f>
        <v>0</v>
      </c>
      <c r="C115" s="49">
        <f>資料儲存!E3691</f>
        <v>0</v>
      </c>
      <c r="D115" s="49">
        <f>資料儲存!F3691</f>
        <v>0</v>
      </c>
      <c r="E115" s="49">
        <f>資料儲存!G3691</f>
        <v>0</v>
      </c>
      <c r="F115" s="49">
        <f>資料儲存!H3691</f>
        <v>0</v>
      </c>
      <c r="G115" s="49">
        <f>資料儲存!I3691</f>
        <v>0</v>
      </c>
      <c r="H115" s="49">
        <f>資料儲存!J3691</f>
        <v>0</v>
      </c>
      <c r="I115" s="52"/>
      <c r="J115" s="68">
        <v>30</v>
      </c>
      <c r="K115" s="49">
        <f>資料儲存!D3811</f>
        <v>0</v>
      </c>
      <c r="L115" s="49">
        <f>資料儲存!E3811</f>
        <v>0</v>
      </c>
      <c r="M115" s="49">
        <f>資料儲存!F3811</f>
        <v>0</v>
      </c>
      <c r="N115" s="49">
        <f>資料儲存!G3811</f>
        <v>0</v>
      </c>
      <c r="O115" s="49">
        <f>資料儲存!H3811</f>
        <v>0</v>
      </c>
      <c r="P115" s="49">
        <f>資料儲存!I3811</f>
        <v>0</v>
      </c>
      <c r="Q115" s="49">
        <f>資料儲存!J3811</f>
        <v>0</v>
      </c>
      <c r="R115" s="52"/>
      <c r="S115" s="68">
        <v>30</v>
      </c>
      <c r="T115" s="49">
        <f>資料儲存!D3931</f>
        <v>0</v>
      </c>
      <c r="U115" s="49">
        <f>資料儲存!E3931</f>
        <v>0</v>
      </c>
      <c r="V115" s="49">
        <f>資料儲存!F3931</f>
        <v>0</v>
      </c>
      <c r="W115" s="49">
        <f>資料儲存!G3931</f>
        <v>0</v>
      </c>
      <c r="X115" s="49">
        <f>資料儲存!H3931</f>
        <v>0</v>
      </c>
      <c r="Y115" s="49">
        <f>資料儲存!I3931</f>
        <v>0</v>
      </c>
      <c r="Z115" s="49">
        <f>資料儲存!J3931</f>
        <v>0</v>
      </c>
      <c r="AA115" s="52"/>
      <c r="AB115" s="68">
        <v>30</v>
      </c>
      <c r="AC115" s="49">
        <f>資料儲存!D4051</f>
        <v>0</v>
      </c>
      <c r="AD115" s="49">
        <f>資料儲存!E4051</f>
        <v>0</v>
      </c>
      <c r="AE115" s="49">
        <f>資料儲存!F4051</f>
        <v>0</v>
      </c>
      <c r="AF115" s="49">
        <f>資料儲存!G4051</f>
        <v>0</v>
      </c>
      <c r="AG115" s="49">
        <f>資料儲存!H4051</f>
        <v>0</v>
      </c>
      <c r="AH115" s="49">
        <f>資料儲存!I4051</f>
        <v>0</v>
      </c>
      <c r="AI115" s="49">
        <f>資料儲存!J4051</f>
        <v>0</v>
      </c>
      <c r="AJ115" s="52"/>
    </row>
    <row r="116" spans="1:36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</row>
    <row r="117" spans="1:36" ht="18.5" thickBot="1">
      <c r="A117" s="259" t="s">
        <v>84</v>
      </c>
      <c r="B117" s="260"/>
      <c r="C117" s="260"/>
      <c r="D117" s="260"/>
      <c r="E117" s="260"/>
      <c r="F117" s="260"/>
      <c r="G117" s="260"/>
      <c r="H117" s="261"/>
      <c r="I117" s="14"/>
      <c r="J117" s="259" t="s">
        <v>84</v>
      </c>
      <c r="K117" s="260"/>
      <c r="L117" s="260"/>
      <c r="M117" s="260"/>
      <c r="N117" s="260"/>
      <c r="O117" s="260"/>
      <c r="P117" s="260"/>
      <c r="Q117" s="261"/>
      <c r="R117" s="14"/>
      <c r="S117" s="259" t="s">
        <v>84</v>
      </c>
      <c r="T117" s="260"/>
      <c r="U117" s="260"/>
      <c r="V117" s="260"/>
      <c r="W117" s="260"/>
      <c r="X117" s="260"/>
      <c r="Y117" s="260"/>
      <c r="Z117" s="261"/>
      <c r="AA117" s="14"/>
      <c r="AB117" s="259" t="s">
        <v>84</v>
      </c>
      <c r="AC117" s="260"/>
      <c r="AD117" s="260"/>
      <c r="AE117" s="260"/>
      <c r="AF117" s="260"/>
      <c r="AG117" s="260"/>
      <c r="AH117" s="260"/>
      <c r="AI117" s="261"/>
      <c r="AJ117" s="14"/>
    </row>
    <row r="118" spans="1:36" ht="17.25" customHeight="1" thickBot="1">
      <c r="A118" s="54" t="s">
        <v>2</v>
      </c>
      <c r="B118" s="55" t="s">
        <v>46</v>
      </c>
      <c r="C118" s="56"/>
      <c r="D118" s="56"/>
      <c r="E118" s="57"/>
      <c r="F118" s="55" t="s">
        <v>47</v>
      </c>
      <c r="G118" s="56"/>
      <c r="H118" s="57"/>
      <c r="I118" s="58"/>
      <c r="J118" s="54" t="s">
        <v>2</v>
      </c>
      <c r="K118" s="55" t="s">
        <v>46</v>
      </c>
      <c r="L118" s="56"/>
      <c r="M118" s="56"/>
      <c r="N118" s="57"/>
      <c r="O118" s="55" t="s">
        <v>47</v>
      </c>
      <c r="P118" s="56"/>
      <c r="Q118" s="57"/>
      <c r="R118" s="58"/>
      <c r="S118" s="54" t="s">
        <v>2</v>
      </c>
      <c r="T118" s="55" t="s">
        <v>46</v>
      </c>
      <c r="U118" s="56"/>
      <c r="V118" s="56"/>
      <c r="W118" s="57"/>
      <c r="X118" s="55" t="s">
        <v>47</v>
      </c>
      <c r="Y118" s="56"/>
      <c r="Z118" s="57"/>
      <c r="AA118" s="58"/>
      <c r="AB118" s="54" t="s">
        <v>2</v>
      </c>
      <c r="AC118" s="55" t="s">
        <v>46</v>
      </c>
      <c r="AD118" s="56"/>
      <c r="AE118" s="56"/>
      <c r="AF118" s="57"/>
      <c r="AG118" s="55" t="s">
        <v>47</v>
      </c>
      <c r="AH118" s="56"/>
      <c r="AI118" s="57"/>
      <c r="AJ118" s="58"/>
    </row>
    <row r="119" spans="1:36" ht="16" thickBot="1">
      <c r="A119" s="59" t="s">
        <v>85</v>
      </c>
      <c r="B119" s="60" t="s">
        <v>49</v>
      </c>
      <c r="C119" s="60" t="s">
        <v>50</v>
      </c>
      <c r="D119" s="60" t="s">
        <v>51</v>
      </c>
      <c r="E119" s="60" t="s">
        <v>52</v>
      </c>
      <c r="F119" s="60" t="s">
        <v>53</v>
      </c>
      <c r="G119" s="60" t="s">
        <v>54</v>
      </c>
      <c r="H119" s="60" t="s">
        <v>55</v>
      </c>
      <c r="I119" s="58"/>
      <c r="J119" s="59" t="s">
        <v>85</v>
      </c>
      <c r="K119" s="60" t="s">
        <v>49</v>
      </c>
      <c r="L119" s="60" t="s">
        <v>50</v>
      </c>
      <c r="M119" s="60" t="s">
        <v>51</v>
      </c>
      <c r="N119" s="60" t="s">
        <v>52</v>
      </c>
      <c r="O119" s="60" t="s">
        <v>53</v>
      </c>
      <c r="P119" s="60" t="s">
        <v>54</v>
      </c>
      <c r="Q119" s="60" t="s">
        <v>55</v>
      </c>
      <c r="R119" s="58"/>
      <c r="S119" s="59" t="s">
        <v>85</v>
      </c>
      <c r="T119" s="60" t="s">
        <v>49</v>
      </c>
      <c r="U119" s="60" t="s">
        <v>50</v>
      </c>
      <c r="V119" s="60" t="s">
        <v>51</v>
      </c>
      <c r="W119" s="60" t="s">
        <v>52</v>
      </c>
      <c r="X119" s="60" t="s">
        <v>53</v>
      </c>
      <c r="Y119" s="60" t="s">
        <v>54</v>
      </c>
      <c r="Z119" s="60" t="s">
        <v>55</v>
      </c>
      <c r="AA119" s="58"/>
      <c r="AB119" s="59" t="s">
        <v>85</v>
      </c>
      <c r="AC119" s="60" t="s">
        <v>49</v>
      </c>
      <c r="AD119" s="60" t="s">
        <v>50</v>
      </c>
      <c r="AE119" s="60" t="s">
        <v>51</v>
      </c>
      <c r="AF119" s="60" t="s">
        <v>52</v>
      </c>
      <c r="AG119" s="60" t="s">
        <v>53</v>
      </c>
      <c r="AH119" s="60" t="s">
        <v>54</v>
      </c>
      <c r="AI119" s="60" t="s">
        <v>55</v>
      </c>
      <c r="AJ119" s="58"/>
    </row>
    <row r="120" spans="1:36" ht="16" thickBot="1">
      <c r="A120" s="61">
        <v>31</v>
      </c>
      <c r="B120" s="39">
        <f>資料儲存!D3692</f>
        <v>0</v>
      </c>
      <c r="C120" s="39">
        <f>資料儲存!E3692</f>
        <v>0</v>
      </c>
      <c r="D120" s="39">
        <f>資料儲存!F3692</f>
        <v>0</v>
      </c>
      <c r="E120" s="39">
        <f>資料儲存!G3692</f>
        <v>0</v>
      </c>
      <c r="F120" s="39">
        <f>資料儲存!H3692</f>
        <v>0</v>
      </c>
      <c r="G120" s="39">
        <f>資料儲存!I3692</f>
        <v>0</v>
      </c>
      <c r="H120" s="39">
        <f>資料儲存!J3692</f>
        <v>0</v>
      </c>
      <c r="I120" s="58"/>
      <c r="J120" s="61">
        <v>31</v>
      </c>
      <c r="K120" s="39">
        <f>資料儲存!D3812</f>
        <v>0</v>
      </c>
      <c r="L120" s="39">
        <f>資料儲存!E3812</f>
        <v>0</v>
      </c>
      <c r="M120" s="39">
        <f>資料儲存!F3812</f>
        <v>0</v>
      </c>
      <c r="N120" s="39">
        <f>資料儲存!G3812</f>
        <v>0</v>
      </c>
      <c r="O120" s="39">
        <f>資料儲存!H3812</f>
        <v>0</v>
      </c>
      <c r="P120" s="39">
        <f>資料儲存!I3812</f>
        <v>0</v>
      </c>
      <c r="Q120" s="39">
        <f>資料儲存!J3812</f>
        <v>0</v>
      </c>
      <c r="R120" s="58"/>
      <c r="S120" s="61">
        <v>31</v>
      </c>
      <c r="T120" s="39">
        <f>資料儲存!D3932</f>
        <v>0</v>
      </c>
      <c r="U120" s="39">
        <f>資料儲存!E3932</f>
        <v>0</v>
      </c>
      <c r="V120" s="39">
        <f>資料儲存!F3932</f>
        <v>0</v>
      </c>
      <c r="W120" s="39">
        <f>資料儲存!G3932</f>
        <v>0</v>
      </c>
      <c r="X120" s="39">
        <f>資料儲存!H3932</f>
        <v>0</v>
      </c>
      <c r="Y120" s="39">
        <f>資料儲存!I3932</f>
        <v>0</v>
      </c>
      <c r="Z120" s="39">
        <f>資料儲存!J3932</f>
        <v>0</v>
      </c>
      <c r="AA120" s="58"/>
      <c r="AB120" s="61">
        <v>31</v>
      </c>
      <c r="AC120" s="39">
        <f>資料儲存!D4052</f>
        <v>0</v>
      </c>
      <c r="AD120" s="39">
        <f>資料儲存!E4052</f>
        <v>0</v>
      </c>
      <c r="AE120" s="39">
        <f>資料儲存!F4052</f>
        <v>0</v>
      </c>
      <c r="AF120" s="39">
        <f>資料儲存!G4052</f>
        <v>0</v>
      </c>
      <c r="AG120" s="39">
        <f>資料儲存!H4052</f>
        <v>0</v>
      </c>
      <c r="AH120" s="39">
        <f>資料儲存!I4052</f>
        <v>0</v>
      </c>
      <c r="AI120" s="39">
        <f>資料儲存!J4052</f>
        <v>0</v>
      </c>
      <c r="AJ120" s="58"/>
    </row>
    <row r="121" spans="1:36" ht="16" thickBot="1">
      <c r="A121" s="61">
        <v>32</v>
      </c>
      <c r="B121" s="39">
        <f>資料儲存!D3693</f>
        <v>0</v>
      </c>
      <c r="C121" s="39">
        <f>資料儲存!E3693</f>
        <v>0</v>
      </c>
      <c r="D121" s="39">
        <f>資料儲存!F3693</f>
        <v>0</v>
      </c>
      <c r="E121" s="39">
        <f>資料儲存!G3693</f>
        <v>0</v>
      </c>
      <c r="F121" s="39">
        <f>資料儲存!H3693</f>
        <v>0</v>
      </c>
      <c r="G121" s="39">
        <f>資料儲存!I3693</f>
        <v>0</v>
      </c>
      <c r="H121" s="39">
        <f>資料儲存!J3693</f>
        <v>0</v>
      </c>
      <c r="I121" s="58"/>
      <c r="J121" s="61">
        <v>32</v>
      </c>
      <c r="K121" s="39">
        <f>資料儲存!D3813</f>
        <v>0</v>
      </c>
      <c r="L121" s="39">
        <f>資料儲存!E3813</f>
        <v>0</v>
      </c>
      <c r="M121" s="39">
        <f>資料儲存!F3813</f>
        <v>0</v>
      </c>
      <c r="N121" s="39">
        <f>資料儲存!G3813</f>
        <v>0</v>
      </c>
      <c r="O121" s="39">
        <f>資料儲存!H3813</f>
        <v>0</v>
      </c>
      <c r="P121" s="39">
        <f>資料儲存!I3813</f>
        <v>0</v>
      </c>
      <c r="Q121" s="39">
        <f>資料儲存!J3813</f>
        <v>0</v>
      </c>
      <c r="R121" s="58"/>
      <c r="S121" s="61">
        <v>32</v>
      </c>
      <c r="T121" s="39">
        <f>資料儲存!D3933</f>
        <v>0</v>
      </c>
      <c r="U121" s="39">
        <f>資料儲存!E3933</f>
        <v>0</v>
      </c>
      <c r="V121" s="39">
        <f>資料儲存!F3933</f>
        <v>0</v>
      </c>
      <c r="W121" s="39">
        <f>資料儲存!G3933</f>
        <v>0</v>
      </c>
      <c r="X121" s="39">
        <f>資料儲存!H3933</f>
        <v>0</v>
      </c>
      <c r="Y121" s="39">
        <f>資料儲存!I3933</f>
        <v>0</v>
      </c>
      <c r="Z121" s="39">
        <f>資料儲存!J3933</f>
        <v>0</v>
      </c>
      <c r="AA121" s="58"/>
      <c r="AB121" s="61">
        <v>32</v>
      </c>
      <c r="AC121" s="39">
        <f>資料儲存!D4053</f>
        <v>0</v>
      </c>
      <c r="AD121" s="39">
        <f>資料儲存!E4053</f>
        <v>0</v>
      </c>
      <c r="AE121" s="39">
        <f>資料儲存!F4053</f>
        <v>0</v>
      </c>
      <c r="AF121" s="39">
        <f>資料儲存!G4053</f>
        <v>0</v>
      </c>
      <c r="AG121" s="39">
        <f>資料儲存!H4053</f>
        <v>0</v>
      </c>
      <c r="AH121" s="39">
        <f>資料儲存!I4053</f>
        <v>0</v>
      </c>
      <c r="AI121" s="39">
        <f>資料儲存!J4053</f>
        <v>0</v>
      </c>
      <c r="AJ121" s="58"/>
    </row>
    <row r="122" spans="1:36" ht="16" thickBot="1">
      <c r="A122" s="61">
        <v>33</v>
      </c>
      <c r="B122" s="39">
        <f>資料儲存!D3694</f>
        <v>0</v>
      </c>
      <c r="C122" s="39">
        <f>資料儲存!E3694</f>
        <v>0</v>
      </c>
      <c r="D122" s="39">
        <f>資料儲存!F3694</f>
        <v>0</v>
      </c>
      <c r="E122" s="39">
        <f>資料儲存!G3694</f>
        <v>0</v>
      </c>
      <c r="F122" s="39">
        <f>資料儲存!H3694</f>
        <v>0</v>
      </c>
      <c r="G122" s="39">
        <f>資料儲存!I3694</f>
        <v>0</v>
      </c>
      <c r="H122" s="39">
        <f>資料儲存!J3694</f>
        <v>0</v>
      </c>
      <c r="I122" s="58"/>
      <c r="J122" s="61">
        <v>33</v>
      </c>
      <c r="K122" s="39">
        <f>資料儲存!D3814</f>
        <v>0</v>
      </c>
      <c r="L122" s="39">
        <f>資料儲存!E3814</f>
        <v>0</v>
      </c>
      <c r="M122" s="39">
        <f>資料儲存!F3814</f>
        <v>0</v>
      </c>
      <c r="N122" s="39">
        <f>資料儲存!G3814</f>
        <v>0</v>
      </c>
      <c r="O122" s="39">
        <f>資料儲存!H3814</f>
        <v>0</v>
      </c>
      <c r="P122" s="39">
        <f>資料儲存!I3814</f>
        <v>0</v>
      </c>
      <c r="Q122" s="39">
        <f>資料儲存!J3814</f>
        <v>0</v>
      </c>
      <c r="R122" s="58"/>
      <c r="S122" s="61">
        <v>33</v>
      </c>
      <c r="T122" s="39">
        <f>資料儲存!D3934</f>
        <v>0</v>
      </c>
      <c r="U122" s="39">
        <f>資料儲存!E3934</f>
        <v>0</v>
      </c>
      <c r="V122" s="39">
        <f>資料儲存!F3934</f>
        <v>0</v>
      </c>
      <c r="W122" s="39">
        <f>資料儲存!G3934</f>
        <v>0</v>
      </c>
      <c r="X122" s="39">
        <f>資料儲存!H3934</f>
        <v>0</v>
      </c>
      <c r="Y122" s="39">
        <f>資料儲存!I3934</f>
        <v>0</v>
      </c>
      <c r="Z122" s="39">
        <f>資料儲存!J3934</f>
        <v>0</v>
      </c>
      <c r="AA122" s="58"/>
      <c r="AB122" s="61">
        <v>33</v>
      </c>
      <c r="AC122" s="39">
        <f>資料儲存!D4054</f>
        <v>0</v>
      </c>
      <c r="AD122" s="39">
        <f>資料儲存!E4054</f>
        <v>0</v>
      </c>
      <c r="AE122" s="39">
        <f>資料儲存!F4054</f>
        <v>0</v>
      </c>
      <c r="AF122" s="39">
        <f>資料儲存!G4054</f>
        <v>0</v>
      </c>
      <c r="AG122" s="39">
        <f>資料儲存!H4054</f>
        <v>0</v>
      </c>
      <c r="AH122" s="39">
        <f>資料儲存!I4054</f>
        <v>0</v>
      </c>
      <c r="AI122" s="39">
        <f>資料儲存!J4054</f>
        <v>0</v>
      </c>
      <c r="AJ122" s="58"/>
    </row>
    <row r="123" spans="1:36" ht="16" thickBot="1">
      <c r="A123" s="61">
        <v>34</v>
      </c>
      <c r="B123" s="39">
        <f>資料儲存!D3695</f>
        <v>0</v>
      </c>
      <c r="C123" s="39">
        <f>資料儲存!E3695</f>
        <v>0</v>
      </c>
      <c r="D123" s="39">
        <f>資料儲存!F3695</f>
        <v>0</v>
      </c>
      <c r="E123" s="39">
        <f>資料儲存!G3695</f>
        <v>0</v>
      </c>
      <c r="F123" s="39">
        <f>資料儲存!H3695</f>
        <v>0</v>
      </c>
      <c r="G123" s="39">
        <f>資料儲存!I3695</f>
        <v>0</v>
      </c>
      <c r="H123" s="39">
        <f>資料儲存!J3695</f>
        <v>0</v>
      </c>
      <c r="I123" s="58"/>
      <c r="J123" s="61">
        <v>34</v>
      </c>
      <c r="K123" s="39">
        <f>資料儲存!D3815</f>
        <v>0</v>
      </c>
      <c r="L123" s="39">
        <f>資料儲存!E3815</f>
        <v>0</v>
      </c>
      <c r="M123" s="39">
        <f>資料儲存!F3815</f>
        <v>0</v>
      </c>
      <c r="N123" s="39">
        <f>資料儲存!G3815</f>
        <v>0</v>
      </c>
      <c r="O123" s="39">
        <f>資料儲存!H3815</f>
        <v>0</v>
      </c>
      <c r="P123" s="39">
        <f>資料儲存!I3815</f>
        <v>0</v>
      </c>
      <c r="Q123" s="39">
        <f>資料儲存!J3815</f>
        <v>0</v>
      </c>
      <c r="R123" s="58"/>
      <c r="S123" s="61">
        <v>34</v>
      </c>
      <c r="T123" s="39">
        <f>資料儲存!D3935</f>
        <v>0</v>
      </c>
      <c r="U123" s="39">
        <f>資料儲存!E3935</f>
        <v>0</v>
      </c>
      <c r="V123" s="39">
        <f>資料儲存!F3935</f>
        <v>0</v>
      </c>
      <c r="W123" s="39">
        <f>資料儲存!G3935</f>
        <v>0</v>
      </c>
      <c r="X123" s="39">
        <f>資料儲存!H3935</f>
        <v>0</v>
      </c>
      <c r="Y123" s="39">
        <f>資料儲存!I3935</f>
        <v>0</v>
      </c>
      <c r="Z123" s="39">
        <f>資料儲存!J3935</f>
        <v>0</v>
      </c>
      <c r="AA123" s="58"/>
      <c r="AB123" s="61">
        <v>34</v>
      </c>
      <c r="AC123" s="39">
        <f>資料儲存!D4055</f>
        <v>0</v>
      </c>
      <c r="AD123" s="39">
        <f>資料儲存!E4055</f>
        <v>0</v>
      </c>
      <c r="AE123" s="39">
        <f>資料儲存!F4055</f>
        <v>0</v>
      </c>
      <c r="AF123" s="39">
        <f>資料儲存!G4055</f>
        <v>0</v>
      </c>
      <c r="AG123" s="39">
        <f>資料儲存!H4055</f>
        <v>0</v>
      </c>
      <c r="AH123" s="39">
        <f>資料儲存!I4055</f>
        <v>0</v>
      </c>
      <c r="AI123" s="39">
        <f>資料儲存!J4055</f>
        <v>0</v>
      </c>
      <c r="AJ123" s="58"/>
    </row>
    <row r="124" spans="1:36" ht="16" thickBot="1">
      <c r="A124" s="61">
        <v>35</v>
      </c>
      <c r="B124" s="39">
        <f>資料儲存!D3696</f>
        <v>0</v>
      </c>
      <c r="C124" s="39">
        <f>資料儲存!E3696</f>
        <v>0</v>
      </c>
      <c r="D124" s="39">
        <f>資料儲存!F3696</f>
        <v>0</v>
      </c>
      <c r="E124" s="39">
        <f>資料儲存!G3696</f>
        <v>0</v>
      </c>
      <c r="F124" s="39">
        <f>資料儲存!H3696</f>
        <v>0</v>
      </c>
      <c r="G124" s="39">
        <f>資料儲存!I3696</f>
        <v>0</v>
      </c>
      <c r="H124" s="39">
        <f>資料儲存!J3696</f>
        <v>0</v>
      </c>
      <c r="I124" s="58"/>
      <c r="J124" s="61">
        <v>35</v>
      </c>
      <c r="K124" s="39">
        <f>資料儲存!D3816</f>
        <v>0</v>
      </c>
      <c r="L124" s="39">
        <f>資料儲存!E3816</f>
        <v>0</v>
      </c>
      <c r="M124" s="39">
        <f>資料儲存!F3816</f>
        <v>0</v>
      </c>
      <c r="N124" s="39">
        <f>資料儲存!G3816</f>
        <v>0</v>
      </c>
      <c r="O124" s="39">
        <f>資料儲存!H3816</f>
        <v>0</v>
      </c>
      <c r="P124" s="39">
        <f>資料儲存!I3816</f>
        <v>0</v>
      </c>
      <c r="Q124" s="39">
        <f>資料儲存!J3816</f>
        <v>0</v>
      </c>
      <c r="R124" s="58"/>
      <c r="S124" s="61">
        <v>35</v>
      </c>
      <c r="T124" s="39">
        <f>資料儲存!D3936</f>
        <v>0</v>
      </c>
      <c r="U124" s="39">
        <f>資料儲存!E3936</f>
        <v>0</v>
      </c>
      <c r="V124" s="39">
        <f>資料儲存!F3936</f>
        <v>0</v>
      </c>
      <c r="W124" s="39">
        <f>資料儲存!G3936</f>
        <v>0</v>
      </c>
      <c r="X124" s="39">
        <f>資料儲存!H3936</f>
        <v>0</v>
      </c>
      <c r="Y124" s="39">
        <f>資料儲存!I3936</f>
        <v>0</v>
      </c>
      <c r="Z124" s="39">
        <f>資料儲存!J3936</f>
        <v>0</v>
      </c>
      <c r="AA124" s="58"/>
      <c r="AB124" s="61">
        <v>35</v>
      </c>
      <c r="AC124" s="39">
        <f>資料儲存!D4056</f>
        <v>0</v>
      </c>
      <c r="AD124" s="39">
        <f>資料儲存!E4056</f>
        <v>0</v>
      </c>
      <c r="AE124" s="39">
        <f>資料儲存!F4056</f>
        <v>0</v>
      </c>
      <c r="AF124" s="39">
        <f>資料儲存!G4056</f>
        <v>0</v>
      </c>
      <c r="AG124" s="39">
        <f>資料儲存!H4056</f>
        <v>0</v>
      </c>
      <c r="AH124" s="39">
        <f>資料儲存!I4056</f>
        <v>0</v>
      </c>
      <c r="AI124" s="39">
        <f>資料儲存!J4056</f>
        <v>0</v>
      </c>
      <c r="AJ124" s="58"/>
    </row>
    <row r="125" spans="1:36" ht="16" thickBot="1">
      <c r="A125" s="61">
        <v>36</v>
      </c>
      <c r="B125" s="39">
        <f>資料儲存!D3697</f>
        <v>0</v>
      </c>
      <c r="C125" s="39">
        <f>資料儲存!E3697</f>
        <v>0</v>
      </c>
      <c r="D125" s="39">
        <f>資料儲存!F3697</f>
        <v>0</v>
      </c>
      <c r="E125" s="39">
        <f>資料儲存!G3697</f>
        <v>0</v>
      </c>
      <c r="F125" s="39">
        <f>資料儲存!H3697</f>
        <v>0</v>
      </c>
      <c r="G125" s="39">
        <f>資料儲存!I3697</f>
        <v>0</v>
      </c>
      <c r="H125" s="39">
        <f>資料儲存!J3697</f>
        <v>0</v>
      </c>
      <c r="I125" s="58"/>
      <c r="J125" s="61">
        <v>36</v>
      </c>
      <c r="K125" s="39">
        <f>資料儲存!D3817</f>
        <v>0</v>
      </c>
      <c r="L125" s="39">
        <f>資料儲存!E3817</f>
        <v>0</v>
      </c>
      <c r="M125" s="39">
        <f>資料儲存!F3817</f>
        <v>0</v>
      </c>
      <c r="N125" s="39">
        <f>資料儲存!G3817</f>
        <v>0</v>
      </c>
      <c r="O125" s="39">
        <f>資料儲存!H3817</f>
        <v>0</v>
      </c>
      <c r="P125" s="39">
        <f>資料儲存!I3817</f>
        <v>0</v>
      </c>
      <c r="Q125" s="39">
        <f>資料儲存!J3817</f>
        <v>0</v>
      </c>
      <c r="R125" s="58"/>
      <c r="S125" s="61">
        <v>36</v>
      </c>
      <c r="T125" s="39">
        <f>資料儲存!D3937</f>
        <v>0</v>
      </c>
      <c r="U125" s="39">
        <f>資料儲存!E3937</f>
        <v>0</v>
      </c>
      <c r="V125" s="39">
        <f>資料儲存!F3937</f>
        <v>0</v>
      </c>
      <c r="W125" s="39">
        <f>資料儲存!G3937</f>
        <v>0</v>
      </c>
      <c r="X125" s="39">
        <f>資料儲存!H3937</f>
        <v>0</v>
      </c>
      <c r="Y125" s="39">
        <f>資料儲存!I3937</f>
        <v>0</v>
      </c>
      <c r="Z125" s="39">
        <f>資料儲存!J3937</f>
        <v>0</v>
      </c>
      <c r="AA125" s="58"/>
      <c r="AB125" s="61">
        <v>36</v>
      </c>
      <c r="AC125" s="39">
        <f>資料儲存!D4057</f>
        <v>0</v>
      </c>
      <c r="AD125" s="39">
        <f>資料儲存!E4057</f>
        <v>0</v>
      </c>
      <c r="AE125" s="39">
        <f>資料儲存!F4057</f>
        <v>0</v>
      </c>
      <c r="AF125" s="39">
        <f>資料儲存!G4057</f>
        <v>0</v>
      </c>
      <c r="AG125" s="39">
        <f>資料儲存!H4057</f>
        <v>0</v>
      </c>
      <c r="AH125" s="39">
        <f>資料儲存!I4057</f>
        <v>0</v>
      </c>
      <c r="AI125" s="39">
        <f>資料儲存!J4057</f>
        <v>0</v>
      </c>
      <c r="AJ125" s="58"/>
    </row>
    <row r="126" spans="1:36" ht="16" thickBot="1">
      <c r="A126" s="61">
        <v>37</v>
      </c>
      <c r="B126" s="39">
        <f>資料儲存!D3698</f>
        <v>0</v>
      </c>
      <c r="C126" s="39">
        <f>資料儲存!E3698</f>
        <v>0</v>
      </c>
      <c r="D126" s="39">
        <f>資料儲存!F3698</f>
        <v>0</v>
      </c>
      <c r="E126" s="39">
        <f>資料儲存!G3698</f>
        <v>0</v>
      </c>
      <c r="F126" s="39">
        <f>資料儲存!H3698</f>
        <v>0</v>
      </c>
      <c r="G126" s="39">
        <f>資料儲存!I3698</f>
        <v>0</v>
      </c>
      <c r="H126" s="39">
        <f>資料儲存!J3698</f>
        <v>0</v>
      </c>
      <c r="I126" s="58"/>
      <c r="J126" s="61">
        <v>37</v>
      </c>
      <c r="K126" s="39">
        <f>資料儲存!D3818</f>
        <v>0</v>
      </c>
      <c r="L126" s="39">
        <f>資料儲存!E3818</f>
        <v>0</v>
      </c>
      <c r="M126" s="39">
        <f>資料儲存!F3818</f>
        <v>0</v>
      </c>
      <c r="N126" s="39">
        <f>資料儲存!G3818</f>
        <v>0</v>
      </c>
      <c r="O126" s="39">
        <f>資料儲存!H3818</f>
        <v>0</v>
      </c>
      <c r="P126" s="39">
        <f>資料儲存!I3818</f>
        <v>0</v>
      </c>
      <c r="Q126" s="39">
        <f>資料儲存!J3818</f>
        <v>0</v>
      </c>
      <c r="R126" s="58"/>
      <c r="S126" s="61">
        <v>37</v>
      </c>
      <c r="T126" s="39">
        <f>資料儲存!D3938</f>
        <v>0</v>
      </c>
      <c r="U126" s="39">
        <f>資料儲存!E3938</f>
        <v>0</v>
      </c>
      <c r="V126" s="39">
        <f>資料儲存!F3938</f>
        <v>0</v>
      </c>
      <c r="W126" s="39">
        <f>資料儲存!G3938</f>
        <v>0</v>
      </c>
      <c r="X126" s="39">
        <f>資料儲存!H3938</f>
        <v>0</v>
      </c>
      <c r="Y126" s="39">
        <f>資料儲存!I3938</f>
        <v>0</v>
      </c>
      <c r="Z126" s="39">
        <f>資料儲存!J3938</f>
        <v>0</v>
      </c>
      <c r="AA126" s="58"/>
      <c r="AB126" s="61">
        <v>37</v>
      </c>
      <c r="AC126" s="39">
        <f>資料儲存!D4058</f>
        <v>0</v>
      </c>
      <c r="AD126" s="39">
        <f>資料儲存!E4058</f>
        <v>0</v>
      </c>
      <c r="AE126" s="39">
        <f>資料儲存!F4058</f>
        <v>0</v>
      </c>
      <c r="AF126" s="39">
        <f>資料儲存!G4058</f>
        <v>0</v>
      </c>
      <c r="AG126" s="39">
        <f>資料儲存!H4058</f>
        <v>0</v>
      </c>
      <c r="AH126" s="39">
        <f>資料儲存!I4058</f>
        <v>0</v>
      </c>
      <c r="AI126" s="39">
        <f>資料儲存!J4058</f>
        <v>0</v>
      </c>
      <c r="AJ126" s="58"/>
    </row>
    <row r="127" spans="1:36" ht="16" thickBot="1">
      <c r="A127" s="61">
        <v>38</v>
      </c>
      <c r="B127" s="39">
        <f>資料儲存!D3699</f>
        <v>0</v>
      </c>
      <c r="C127" s="39">
        <f>資料儲存!E3699</f>
        <v>0</v>
      </c>
      <c r="D127" s="39">
        <f>資料儲存!F3699</f>
        <v>0</v>
      </c>
      <c r="E127" s="39">
        <f>資料儲存!G3699</f>
        <v>0</v>
      </c>
      <c r="F127" s="39">
        <f>資料儲存!H3699</f>
        <v>0</v>
      </c>
      <c r="G127" s="39">
        <f>資料儲存!I3699</f>
        <v>0</v>
      </c>
      <c r="H127" s="39">
        <f>資料儲存!J3699</f>
        <v>0</v>
      </c>
      <c r="I127" s="58"/>
      <c r="J127" s="61">
        <v>38</v>
      </c>
      <c r="K127" s="39">
        <f>資料儲存!D3819</f>
        <v>0</v>
      </c>
      <c r="L127" s="39">
        <f>資料儲存!E3819</f>
        <v>0</v>
      </c>
      <c r="M127" s="39">
        <f>資料儲存!F3819</f>
        <v>0</v>
      </c>
      <c r="N127" s="39">
        <f>資料儲存!G3819</f>
        <v>0</v>
      </c>
      <c r="O127" s="39">
        <f>資料儲存!H3819</f>
        <v>0</v>
      </c>
      <c r="P127" s="39">
        <f>資料儲存!I3819</f>
        <v>0</v>
      </c>
      <c r="Q127" s="39">
        <f>資料儲存!J3819</f>
        <v>0</v>
      </c>
      <c r="R127" s="58"/>
      <c r="S127" s="61">
        <v>38</v>
      </c>
      <c r="T127" s="39">
        <f>資料儲存!D3939</f>
        <v>0</v>
      </c>
      <c r="U127" s="39">
        <f>資料儲存!E3939</f>
        <v>0</v>
      </c>
      <c r="V127" s="39">
        <f>資料儲存!F3939</f>
        <v>0</v>
      </c>
      <c r="W127" s="39">
        <f>資料儲存!G3939</f>
        <v>0</v>
      </c>
      <c r="X127" s="39">
        <f>資料儲存!H3939</f>
        <v>0</v>
      </c>
      <c r="Y127" s="39">
        <f>資料儲存!I3939</f>
        <v>0</v>
      </c>
      <c r="Z127" s="39">
        <f>資料儲存!J3939</f>
        <v>0</v>
      </c>
      <c r="AA127" s="58"/>
      <c r="AB127" s="61">
        <v>38</v>
      </c>
      <c r="AC127" s="39">
        <f>資料儲存!D4059</f>
        <v>0</v>
      </c>
      <c r="AD127" s="39">
        <f>資料儲存!E4059</f>
        <v>0</v>
      </c>
      <c r="AE127" s="39">
        <f>資料儲存!F4059</f>
        <v>0</v>
      </c>
      <c r="AF127" s="39">
        <f>資料儲存!G4059</f>
        <v>0</v>
      </c>
      <c r="AG127" s="39">
        <f>資料儲存!H4059</f>
        <v>0</v>
      </c>
      <c r="AH127" s="39">
        <f>資料儲存!I4059</f>
        <v>0</v>
      </c>
      <c r="AI127" s="39">
        <f>資料儲存!J4059</f>
        <v>0</v>
      </c>
      <c r="AJ127" s="58"/>
    </row>
    <row r="128" spans="1:36" ht="16" thickBot="1">
      <c r="A128" s="61">
        <v>39</v>
      </c>
      <c r="B128" s="39">
        <f>資料儲存!D3700</f>
        <v>0</v>
      </c>
      <c r="C128" s="39">
        <f>資料儲存!E3700</f>
        <v>0</v>
      </c>
      <c r="D128" s="39">
        <f>資料儲存!F3700</f>
        <v>0</v>
      </c>
      <c r="E128" s="39">
        <f>資料儲存!G3700</f>
        <v>0</v>
      </c>
      <c r="F128" s="39">
        <f>資料儲存!H3700</f>
        <v>0</v>
      </c>
      <c r="G128" s="39">
        <f>資料儲存!I3700</f>
        <v>0</v>
      </c>
      <c r="H128" s="39">
        <f>資料儲存!J3700</f>
        <v>0</v>
      </c>
      <c r="I128" s="58"/>
      <c r="J128" s="61">
        <v>39</v>
      </c>
      <c r="K128" s="39">
        <f>資料儲存!D3820</f>
        <v>0</v>
      </c>
      <c r="L128" s="39">
        <f>資料儲存!E3820</f>
        <v>0</v>
      </c>
      <c r="M128" s="39">
        <f>資料儲存!F3820</f>
        <v>0</v>
      </c>
      <c r="N128" s="39">
        <f>資料儲存!G3820</f>
        <v>0</v>
      </c>
      <c r="O128" s="39">
        <f>資料儲存!H3820</f>
        <v>0</v>
      </c>
      <c r="P128" s="39">
        <f>資料儲存!I3820</f>
        <v>0</v>
      </c>
      <c r="Q128" s="39">
        <f>資料儲存!J3820</f>
        <v>0</v>
      </c>
      <c r="R128" s="58"/>
      <c r="S128" s="61">
        <v>39</v>
      </c>
      <c r="T128" s="39">
        <f>資料儲存!D3940</f>
        <v>0</v>
      </c>
      <c r="U128" s="39">
        <f>資料儲存!E3940</f>
        <v>0</v>
      </c>
      <c r="V128" s="39">
        <f>資料儲存!F3940</f>
        <v>0</v>
      </c>
      <c r="W128" s="39">
        <f>資料儲存!G3940</f>
        <v>0</v>
      </c>
      <c r="X128" s="39">
        <f>資料儲存!H3940</f>
        <v>0</v>
      </c>
      <c r="Y128" s="39">
        <f>資料儲存!I3940</f>
        <v>0</v>
      </c>
      <c r="Z128" s="39">
        <f>資料儲存!J3940</f>
        <v>0</v>
      </c>
      <c r="AA128" s="58"/>
      <c r="AB128" s="61">
        <v>39</v>
      </c>
      <c r="AC128" s="39">
        <f>資料儲存!D4060</f>
        <v>0</v>
      </c>
      <c r="AD128" s="39">
        <f>資料儲存!E4060</f>
        <v>0</v>
      </c>
      <c r="AE128" s="39">
        <f>資料儲存!F4060</f>
        <v>0</v>
      </c>
      <c r="AF128" s="39">
        <f>資料儲存!G4060</f>
        <v>0</v>
      </c>
      <c r="AG128" s="39">
        <f>資料儲存!H4060</f>
        <v>0</v>
      </c>
      <c r="AH128" s="39">
        <f>資料儲存!I4060</f>
        <v>0</v>
      </c>
      <c r="AI128" s="39">
        <f>資料儲存!J4060</f>
        <v>0</v>
      </c>
      <c r="AJ128" s="58"/>
    </row>
    <row r="129" spans="1:36" ht="16" thickBot="1">
      <c r="A129" s="61">
        <v>40</v>
      </c>
      <c r="B129" s="39">
        <f>資料儲存!D3701</f>
        <v>0</v>
      </c>
      <c r="C129" s="39">
        <f>資料儲存!E3701</f>
        <v>0</v>
      </c>
      <c r="D129" s="39">
        <f>資料儲存!F3701</f>
        <v>0</v>
      </c>
      <c r="E129" s="39">
        <f>資料儲存!G3701</f>
        <v>0</v>
      </c>
      <c r="F129" s="39">
        <f>資料儲存!H3701</f>
        <v>0</v>
      </c>
      <c r="G129" s="39">
        <f>資料儲存!I3701</f>
        <v>0</v>
      </c>
      <c r="H129" s="39">
        <f>資料儲存!J3701</f>
        <v>0</v>
      </c>
      <c r="I129" s="58"/>
      <c r="J129" s="61">
        <v>40</v>
      </c>
      <c r="K129" s="39">
        <f>資料儲存!D3821</f>
        <v>0</v>
      </c>
      <c r="L129" s="39">
        <f>資料儲存!E3821</f>
        <v>0</v>
      </c>
      <c r="M129" s="39">
        <f>資料儲存!F3821</f>
        <v>0</v>
      </c>
      <c r="N129" s="39">
        <f>資料儲存!G3821</f>
        <v>0</v>
      </c>
      <c r="O129" s="39">
        <f>資料儲存!H3821</f>
        <v>0</v>
      </c>
      <c r="P129" s="39">
        <f>資料儲存!I3821</f>
        <v>0</v>
      </c>
      <c r="Q129" s="39">
        <f>資料儲存!J3821</f>
        <v>0</v>
      </c>
      <c r="R129" s="58"/>
      <c r="S129" s="61">
        <v>40</v>
      </c>
      <c r="T129" s="39">
        <f>資料儲存!D3941</f>
        <v>0</v>
      </c>
      <c r="U129" s="39">
        <f>資料儲存!E3941</f>
        <v>0</v>
      </c>
      <c r="V129" s="39">
        <f>資料儲存!F3941</f>
        <v>0</v>
      </c>
      <c r="W129" s="39">
        <f>資料儲存!G3941</f>
        <v>0</v>
      </c>
      <c r="X129" s="39">
        <f>資料儲存!H3941</f>
        <v>0</v>
      </c>
      <c r="Y129" s="39">
        <f>資料儲存!I3941</f>
        <v>0</v>
      </c>
      <c r="Z129" s="39">
        <f>資料儲存!J3941</f>
        <v>0</v>
      </c>
      <c r="AA129" s="58"/>
      <c r="AB129" s="61">
        <v>40</v>
      </c>
      <c r="AC129" s="39">
        <f>資料儲存!D4061</f>
        <v>0</v>
      </c>
      <c r="AD129" s="39">
        <f>資料儲存!E4061</f>
        <v>0</v>
      </c>
      <c r="AE129" s="39">
        <f>資料儲存!F4061</f>
        <v>0</v>
      </c>
      <c r="AF129" s="39">
        <f>資料儲存!G4061</f>
        <v>0</v>
      </c>
      <c r="AG129" s="39">
        <f>資料儲存!H4061</f>
        <v>0</v>
      </c>
      <c r="AH129" s="39">
        <f>資料儲存!I4061</f>
        <v>0</v>
      </c>
      <c r="AI129" s="39">
        <f>資料儲存!J4061</f>
        <v>0</v>
      </c>
      <c r="AJ129" s="58"/>
    </row>
    <row r="130" spans="1:36" ht="16" thickBot="1">
      <c r="A130" s="61">
        <v>41</v>
      </c>
      <c r="B130" s="39">
        <f>資料儲存!D3702</f>
        <v>0</v>
      </c>
      <c r="C130" s="39">
        <f>資料儲存!E3702</f>
        <v>0</v>
      </c>
      <c r="D130" s="39">
        <f>資料儲存!F3702</f>
        <v>0</v>
      </c>
      <c r="E130" s="39">
        <f>資料儲存!G3702</f>
        <v>0</v>
      </c>
      <c r="F130" s="39">
        <f>資料儲存!H3702</f>
        <v>0</v>
      </c>
      <c r="G130" s="39">
        <f>資料儲存!I3702</f>
        <v>0</v>
      </c>
      <c r="H130" s="39">
        <f>資料儲存!J3702</f>
        <v>0</v>
      </c>
      <c r="I130" s="58"/>
      <c r="J130" s="61">
        <v>41</v>
      </c>
      <c r="K130" s="39">
        <f>資料儲存!D3822</f>
        <v>0</v>
      </c>
      <c r="L130" s="39">
        <f>資料儲存!E3822</f>
        <v>0</v>
      </c>
      <c r="M130" s="39">
        <f>資料儲存!F3822</f>
        <v>0</v>
      </c>
      <c r="N130" s="39">
        <f>資料儲存!G3822</f>
        <v>0</v>
      </c>
      <c r="O130" s="39">
        <f>資料儲存!H3822</f>
        <v>0</v>
      </c>
      <c r="P130" s="39">
        <f>資料儲存!I3822</f>
        <v>0</v>
      </c>
      <c r="Q130" s="39">
        <f>資料儲存!J3822</f>
        <v>0</v>
      </c>
      <c r="R130" s="58"/>
      <c r="S130" s="61">
        <v>41</v>
      </c>
      <c r="T130" s="39">
        <f>資料儲存!D3942</f>
        <v>0</v>
      </c>
      <c r="U130" s="39">
        <f>資料儲存!E3942</f>
        <v>0</v>
      </c>
      <c r="V130" s="39">
        <f>資料儲存!F3942</f>
        <v>0</v>
      </c>
      <c r="W130" s="39">
        <f>資料儲存!G3942</f>
        <v>0</v>
      </c>
      <c r="X130" s="39">
        <f>資料儲存!H3942</f>
        <v>0</v>
      </c>
      <c r="Y130" s="39">
        <f>資料儲存!I3942</f>
        <v>0</v>
      </c>
      <c r="Z130" s="39">
        <f>資料儲存!J3942</f>
        <v>0</v>
      </c>
      <c r="AA130" s="58"/>
      <c r="AB130" s="61">
        <v>41</v>
      </c>
      <c r="AC130" s="39">
        <f>資料儲存!D4062</f>
        <v>0</v>
      </c>
      <c r="AD130" s="39">
        <f>資料儲存!E4062</f>
        <v>0</v>
      </c>
      <c r="AE130" s="39">
        <f>資料儲存!F4062</f>
        <v>0</v>
      </c>
      <c r="AF130" s="39">
        <f>資料儲存!G4062</f>
        <v>0</v>
      </c>
      <c r="AG130" s="39">
        <f>資料儲存!H4062</f>
        <v>0</v>
      </c>
      <c r="AH130" s="39">
        <f>資料儲存!I4062</f>
        <v>0</v>
      </c>
      <c r="AI130" s="39">
        <f>資料儲存!J4062</f>
        <v>0</v>
      </c>
      <c r="AJ130" s="58"/>
    </row>
    <row r="131" spans="1:36" ht="16" thickBot="1">
      <c r="A131" s="61">
        <v>42</v>
      </c>
      <c r="B131" s="39">
        <f>資料儲存!D3703</f>
        <v>0</v>
      </c>
      <c r="C131" s="39">
        <f>資料儲存!E3703</f>
        <v>0</v>
      </c>
      <c r="D131" s="39">
        <f>資料儲存!F3703</f>
        <v>0</v>
      </c>
      <c r="E131" s="39">
        <f>資料儲存!G3703</f>
        <v>0</v>
      </c>
      <c r="F131" s="39">
        <f>資料儲存!H3703</f>
        <v>0</v>
      </c>
      <c r="G131" s="39">
        <f>資料儲存!I3703</f>
        <v>0</v>
      </c>
      <c r="H131" s="39">
        <f>資料儲存!J3703</f>
        <v>0</v>
      </c>
      <c r="I131" s="58"/>
      <c r="J131" s="61">
        <v>42</v>
      </c>
      <c r="K131" s="39">
        <f>資料儲存!D3823</f>
        <v>0</v>
      </c>
      <c r="L131" s="39">
        <f>資料儲存!E3823</f>
        <v>0</v>
      </c>
      <c r="M131" s="39">
        <f>資料儲存!F3823</f>
        <v>0</v>
      </c>
      <c r="N131" s="39">
        <f>資料儲存!G3823</f>
        <v>0</v>
      </c>
      <c r="O131" s="39">
        <f>資料儲存!H3823</f>
        <v>0</v>
      </c>
      <c r="P131" s="39">
        <f>資料儲存!I3823</f>
        <v>0</v>
      </c>
      <c r="Q131" s="39">
        <f>資料儲存!J3823</f>
        <v>0</v>
      </c>
      <c r="R131" s="58"/>
      <c r="S131" s="61">
        <v>42</v>
      </c>
      <c r="T131" s="39">
        <f>資料儲存!D3943</f>
        <v>0</v>
      </c>
      <c r="U131" s="39">
        <f>資料儲存!E3943</f>
        <v>0</v>
      </c>
      <c r="V131" s="39">
        <f>資料儲存!F3943</f>
        <v>0</v>
      </c>
      <c r="W131" s="39">
        <f>資料儲存!G3943</f>
        <v>0</v>
      </c>
      <c r="X131" s="39">
        <f>資料儲存!H3943</f>
        <v>0</v>
      </c>
      <c r="Y131" s="39">
        <f>資料儲存!I3943</f>
        <v>0</v>
      </c>
      <c r="Z131" s="39">
        <f>資料儲存!J3943</f>
        <v>0</v>
      </c>
      <c r="AA131" s="58"/>
      <c r="AB131" s="61">
        <v>42</v>
      </c>
      <c r="AC131" s="39">
        <f>資料儲存!D4063</f>
        <v>0</v>
      </c>
      <c r="AD131" s="39">
        <f>資料儲存!E4063</f>
        <v>0</v>
      </c>
      <c r="AE131" s="39">
        <f>資料儲存!F4063</f>
        <v>0</v>
      </c>
      <c r="AF131" s="39">
        <f>資料儲存!G4063</f>
        <v>0</v>
      </c>
      <c r="AG131" s="39">
        <f>資料儲存!H4063</f>
        <v>0</v>
      </c>
      <c r="AH131" s="39">
        <f>資料儲存!I4063</f>
        <v>0</v>
      </c>
      <c r="AI131" s="39">
        <f>資料儲存!J4063</f>
        <v>0</v>
      </c>
      <c r="AJ131" s="58"/>
    </row>
    <row r="132" spans="1:36" ht="16" thickBot="1">
      <c r="A132" s="61">
        <v>43</v>
      </c>
      <c r="B132" s="39">
        <f>資料儲存!D3704</f>
        <v>0</v>
      </c>
      <c r="C132" s="39">
        <f>資料儲存!E3704</f>
        <v>0</v>
      </c>
      <c r="D132" s="39">
        <f>資料儲存!F3704</f>
        <v>0</v>
      </c>
      <c r="E132" s="39">
        <f>資料儲存!G3704</f>
        <v>0</v>
      </c>
      <c r="F132" s="39">
        <f>資料儲存!H3704</f>
        <v>0</v>
      </c>
      <c r="G132" s="39">
        <f>資料儲存!I3704</f>
        <v>0</v>
      </c>
      <c r="H132" s="39">
        <f>資料儲存!J3704</f>
        <v>0</v>
      </c>
      <c r="I132" s="58"/>
      <c r="J132" s="61">
        <v>43</v>
      </c>
      <c r="K132" s="39">
        <f>資料儲存!D3824</f>
        <v>0</v>
      </c>
      <c r="L132" s="39">
        <f>資料儲存!E3824</f>
        <v>0</v>
      </c>
      <c r="M132" s="39">
        <f>資料儲存!F3824</f>
        <v>0</v>
      </c>
      <c r="N132" s="39">
        <f>資料儲存!G3824</f>
        <v>0</v>
      </c>
      <c r="O132" s="39">
        <f>資料儲存!H3824</f>
        <v>0</v>
      </c>
      <c r="P132" s="39">
        <f>資料儲存!I3824</f>
        <v>0</v>
      </c>
      <c r="Q132" s="39">
        <f>資料儲存!J3824</f>
        <v>0</v>
      </c>
      <c r="R132" s="58"/>
      <c r="S132" s="61">
        <v>43</v>
      </c>
      <c r="T132" s="39">
        <f>資料儲存!D3944</f>
        <v>0</v>
      </c>
      <c r="U132" s="39">
        <f>資料儲存!E3944</f>
        <v>0</v>
      </c>
      <c r="V132" s="39">
        <f>資料儲存!F3944</f>
        <v>0</v>
      </c>
      <c r="W132" s="39">
        <f>資料儲存!G3944</f>
        <v>0</v>
      </c>
      <c r="X132" s="39">
        <f>資料儲存!H3944</f>
        <v>0</v>
      </c>
      <c r="Y132" s="39">
        <f>資料儲存!I3944</f>
        <v>0</v>
      </c>
      <c r="Z132" s="39">
        <f>資料儲存!J3944</f>
        <v>0</v>
      </c>
      <c r="AA132" s="58"/>
      <c r="AB132" s="61">
        <v>43</v>
      </c>
      <c r="AC132" s="39">
        <f>資料儲存!D4064</f>
        <v>0</v>
      </c>
      <c r="AD132" s="39">
        <f>資料儲存!E4064</f>
        <v>0</v>
      </c>
      <c r="AE132" s="39">
        <f>資料儲存!F4064</f>
        <v>0</v>
      </c>
      <c r="AF132" s="39">
        <f>資料儲存!G4064</f>
        <v>0</v>
      </c>
      <c r="AG132" s="39">
        <f>資料儲存!H4064</f>
        <v>0</v>
      </c>
      <c r="AH132" s="39">
        <f>資料儲存!I4064</f>
        <v>0</v>
      </c>
      <c r="AI132" s="39">
        <f>資料儲存!J4064</f>
        <v>0</v>
      </c>
      <c r="AJ132" s="58"/>
    </row>
    <row r="133" spans="1:36" ht="16" thickBot="1">
      <c r="A133" s="61">
        <v>44</v>
      </c>
      <c r="B133" s="39">
        <f>資料儲存!D3705</f>
        <v>0</v>
      </c>
      <c r="C133" s="39">
        <f>資料儲存!E3705</f>
        <v>0</v>
      </c>
      <c r="D133" s="39">
        <f>資料儲存!F3705</f>
        <v>0</v>
      </c>
      <c r="E133" s="39">
        <f>資料儲存!G3705</f>
        <v>0</v>
      </c>
      <c r="F133" s="39">
        <f>資料儲存!H3705</f>
        <v>0</v>
      </c>
      <c r="G133" s="39">
        <f>資料儲存!I3705</f>
        <v>0</v>
      </c>
      <c r="H133" s="39">
        <f>資料儲存!J3705</f>
        <v>0</v>
      </c>
      <c r="I133" s="58"/>
      <c r="J133" s="61">
        <v>44</v>
      </c>
      <c r="K133" s="39">
        <f>資料儲存!D3825</f>
        <v>0</v>
      </c>
      <c r="L133" s="39">
        <f>資料儲存!E3825</f>
        <v>0</v>
      </c>
      <c r="M133" s="39">
        <f>資料儲存!F3825</f>
        <v>0</v>
      </c>
      <c r="N133" s="39">
        <f>資料儲存!G3825</f>
        <v>0</v>
      </c>
      <c r="O133" s="39">
        <f>資料儲存!H3825</f>
        <v>0</v>
      </c>
      <c r="P133" s="39">
        <f>資料儲存!I3825</f>
        <v>0</v>
      </c>
      <c r="Q133" s="39">
        <f>資料儲存!J3825</f>
        <v>0</v>
      </c>
      <c r="R133" s="58"/>
      <c r="S133" s="61">
        <v>44</v>
      </c>
      <c r="T133" s="39">
        <f>資料儲存!D3945</f>
        <v>0</v>
      </c>
      <c r="U133" s="39">
        <f>資料儲存!E3945</f>
        <v>0</v>
      </c>
      <c r="V133" s="39">
        <f>資料儲存!F3945</f>
        <v>0</v>
      </c>
      <c r="W133" s="39">
        <f>資料儲存!G3945</f>
        <v>0</v>
      </c>
      <c r="X133" s="39">
        <f>資料儲存!H3945</f>
        <v>0</v>
      </c>
      <c r="Y133" s="39">
        <f>資料儲存!I3945</f>
        <v>0</v>
      </c>
      <c r="Z133" s="39">
        <f>資料儲存!J3945</f>
        <v>0</v>
      </c>
      <c r="AA133" s="58"/>
      <c r="AB133" s="61">
        <v>44</v>
      </c>
      <c r="AC133" s="39">
        <f>資料儲存!D4065</f>
        <v>0</v>
      </c>
      <c r="AD133" s="39">
        <f>資料儲存!E4065</f>
        <v>0</v>
      </c>
      <c r="AE133" s="39">
        <f>資料儲存!F4065</f>
        <v>0</v>
      </c>
      <c r="AF133" s="39">
        <f>資料儲存!G4065</f>
        <v>0</v>
      </c>
      <c r="AG133" s="39">
        <f>資料儲存!H4065</f>
        <v>0</v>
      </c>
      <c r="AH133" s="39">
        <f>資料儲存!I4065</f>
        <v>0</v>
      </c>
      <c r="AI133" s="39">
        <f>資料儲存!J4065</f>
        <v>0</v>
      </c>
      <c r="AJ133" s="58"/>
    </row>
    <row r="134" spans="1:36" ht="16" thickBot="1">
      <c r="A134" s="61">
        <v>45</v>
      </c>
      <c r="B134" s="39">
        <f>資料儲存!D3706</f>
        <v>0</v>
      </c>
      <c r="C134" s="39">
        <f>資料儲存!E3706</f>
        <v>0</v>
      </c>
      <c r="D134" s="39">
        <f>資料儲存!F3706</f>
        <v>0</v>
      </c>
      <c r="E134" s="39">
        <f>資料儲存!G3706</f>
        <v>0</v>
      </c>
      <c r="F134" s="39">
        <f>資料儲存!H3706</f>
        <v>0</v>
      </c>
      <c r="G134" s="39">
        <f>資料儲存!I3706</f>
        <v>0</v>
      </c>
      <c r="H134" s="39">
        <f>資料儲存!J3706</f>
        <v>0</v>
      </c>
      <c r="I134" s="58"/>
      <c r="J134" s="61">
        <v>45</v>
      </c>
      <c r="K134" s="39">
        <f>資料儲存!D3826</f>
        <v>0</v>
      </c>
      <c r="L134" s="39">
        <f>資料儲存!E3826</f>
        <v>0</v>
      </c>
      <c r="M134" s="39">
        <f>資料儲存!F3826</f>
        <v>0</v>
      </c>
      <c r="N134" s="39">
        <f>資料儲存!G3826</f>
        <v>0</v>
      </c>
      <c r="O134" s="39">
        <f>資料儲存!H3826</f>
        <v>0</v>
      </c>
      <c r="P134" s="39">
        <f>資料儲存!I3826</f>
        <v>0</v>
      </c>
      <c r="Q134" s="39">
        <f>資料儲存!J3826</f>
        <v>0</v>
      </c>
      <c r="R134" s="58"/>
      <c r="S134" s="61">
        <v>45</v>
      </c>
      <c r="T134" s="39">
        <f>資料儲存!D3946</f>
        <v>0</v>
      </c>
      <c r="U134" s="39">
        <f>資料儲存!E3946</f>
        <v>0</v>
      </c>
      <c r="V134" s="39">
        <f>資料儲存!F3946</f>
        <v>0</v>
      </c>
      <c r="W134" s="39">
        <f>資料儲存!G3946</f>
        <v>0</v>
      </c>
      <c r="X134" s="39">
        <f>資料儲存!H3946</f>
        <v>0</v>
      </c>
      <c r="Y134" s="39">
        <f>資料儲存!I3946</f>
        <v>0</v>
      </c>
      <c r="Z134" s="39">
        <f>資料儲存!J3946</f>
        <v>0</v>
      </c>
      <c r="AA134" s="58"/>
      <c r="AB134" s="61">
        <v>45</v>
      </c>
      <c r="AC134" s="39">
        <f>資料儲存!D4066</f>
        <v>0</v>
      </c>
      <c r="AD134" s="39">
        <f>資料儲存!E4066</f>
        <v>0</v>
      </c>
      <c r="AE134" s="39">
        <f>資料儲存!F4066</f>
        <v>0</v>
      </c>
      <c r="AF134" s="39">
        <f>資料儲存!G4066</f>
        <v>0</v>
      </c>
      <c r="AG134" s="39">
        <f>資料儲存!H4066</f>
        <v>0</v>
      </c>
      <c r="AH134" s="39">
        <f>資料儲存!I4066</f>
        <v>0</v>
      </c>
      <c r="AI134" s="39">
        <f>資料儲存!J4066</f>
        <v>0</v>
      </c>
      <c r="AJ134" s="58"/>
    </row>
    <row r="135" spans="1:36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35"/>
    </row>
    <row r="136" spans="1:36" ht="18.5" thickBot="1">
      <c r="A136" s="259" t="s">
        <v>86</v>
      </c>
      <c r="B136" s="260"/>
      <c r="C136" s="260"/>
      <c r="D136" s="260"/>
      <c r="E136" s="260"/>
      <c r="F136" s="260"/>
      <c r="G136" s="260"/>
      <c r="H136" s="261"/>
      <c r="I136" s="14"/>
      <c r="J136" s="259" t="s">
        <v>86</v>
      </c>
      <c r="K136" s="260"/>
      <c r="L136" s="260"/>
      <c r="M136" s="260"/>
      <c r="N136" s="260"/>
      <c r="O136" s="260"/>
      <c r="P136" s="260"/>
      <c r="Q136" s="261"/>
      <c r="R136" s="14"/>
      <c r="S136" s="259" t="s">
        <v>86</v>
      </c>
      <c r="T136" s="260"/>
      <c r="U136" s="260"/>
      <c r="V136" s="260"/>
      <c r="W136" s="260"/>
      <c r="X136" s="260"/>
      <c r="Y136" s="260"/>
      <c r="Z136" s="261"/>
      <c r="AA136" s="14"/>
      <c r="AB136" s="259" t="s">
        <v>86</v>
      </c>
      <c r="AC136" s="260"/>
      <c r="AD136" s="260"/>
      <c r="AE136" s="260"/>
      <c r="AF136" s="260"/>
      <c r="AG136" s="260"/>
      <c r="AH136" s="260"/>
      <c r="AI136" s="261"/>
      <c r="AJ136" s="14"/>
    </row>
    <row r="137" spans="1:36" ht="17.25" customHeight="1" thickBot="1">
      <c r="A137" s="62" t="s">
        <v>2</v>
      </c>
      <c r="B137" s="63" t="s">
        <v>46</v>
      </c>
      <c r="C137" s="64"/>
      <c r="D137" s="64"/>
      <c r="E137" s="65"/>
      <c r="F137" s="63" t="s">
        <v>47</v>
      </c>
      <c r="G137" s="64"/>
      <c r="H137" s="65"/>
      <c r="I137" s="52"/>
      <c r="J137" s="62" t="s">
        <v>2</v>
      </c>
      <c r="K137" s="63" t="s">
        <v>46</v>
      </c>
      <c r="L137" s="64"/>
      <c r="M137" s="64"/>
      <c r="N137" s="65"/>
      <c r="O137" s="63" t="s">
        <v>47</v>
      </c>
      <c r="P137" s="64"/>
      <c r="Q137" s="65"/>
      <c r="R137" s="52"/>
      <c r="S137" s="62" t="s">
        <v>2</v>
      </c>
      <c r="T137" s="63" t="s">
        <v>46</v>
      </c>
      <c r="U137" s="64"/>
      <c r="V137" s="64"/>
      <c r="W137" s="65"/>
      <c r="X137" s="63" t="s">
        <v>47</v>
      </c>
      <c r="Y137" s="64"/>
      <c r="Z137" s="65"/>
      <c r="AA137" s="52"/>
      <c r="AB137" s="62" t="s">
        <v>2</v>
      </c>
      <c r="AC137" s="63" t="s">
        <v>46</v>
      </c>
      <c r="AD137" s="64"/>
      <c r="AE137" s="64"/>
      <c r="AF137" s="65"/>
      <c r="AG137" s="63" t="s">
        <v>47</v>
      </c>
      <c r="AH137" s="64"/>
      <c r="AI137" s="65"/>
      <c r="AJ137" s="52"/>
    </row>
    <row r="138" spans="1:36" ht="16" thickBot="1">
      <c r="A138" s="66" t="s">
        <v>87</v>
      </c>
      <c r="B138" s="67" t="s">
        <v>49</v>
      </c>
      <c r="C138" s="67" t="s">
        <v>50</v>
      </c>
      <c r="D138" s="67" t="s">
        <v>51</v>
      </c>
      <c r="E138" s="67" t="s">
        <v>52</v>
      </c>
      <c r="F138" s="67" t="s">
        <v>53</v>
      </c>
      <c r="G138" s="67" t="s">
        <v>54</v>
      </c>
      <c r="H138" s="67" t="s">
        <v>55</v>
      </c>
      <c r="I138" s="52"/>
      <c r="J138" s="66" t="s">
        <v>87</v>
      </c>
      <c r="K138" s="67" t="s">
        <v>49</v>
      </c>
      <c r="L138" s="67" t="s">
        <v>50</v>
      </c>
      <c r="M138" s="67" t="s">
        <v>51</v>
      </c>
      <c r="N138" s="67" t="s">
        <v>52</v>
      </c>
      <c r="O138" s="67" t="s">
        <v>53</v>
      </c>
      <c r="P138" s="67" t="s">
        <v>54</v>
      </c>
      <c r="Q138" s="67" t="s">
        <v>55</v>
      </c>
      <c r="R138" s="52"/>
      <c r="S138" s="66" t="s">
        <v>87</v>
      </c>
      <c r="T138" s="67" t="s">
        <v>49</v>
      </c>
      <c r="U138" s="67" t="s">
        <v>50</v>
      </c>
      <c r="V138" s="67" t="s">
        <v>51</v>
      </c>
      <c r="W138" s="67" t="s">
        <v>52</v>
      </c>
      <c r="X138" s="67" t="s">
        <v>53</v>
      </c>
      <c r="Y138" s="67" t="s">
        <v>54</v>
      </c>
      <c r="Z138" s="67" t="s">
        <v>55</v>
      </c>
      <c r="AA138" s="52"/>
      <c r="AB138" s="66" t="s">
        <v>87</v>
      </c>
      <c r="AC138" s="67" t="s">
        <v>49</v>
      </c>
      <c r="AD138" s="67" t="s">
        <v>50</v>
      </c>
      <c r="AE138" s="67" t="s">
        <v>51</v>
      </c>
      <c r="AF138" s="67" t="s">
        <v>52</v>
      </c>
      <c r="AG138" s="67" t="s">
        <v>53</v>
      </c>
      <c r="AH138" s="67" t="s">
        <v>54</v>
      </c>
      <c r="AI138" s="67" t="s">
        <v>55</v>
      </c>
      <c r="AJ138" s="52"/>
    </row>
    <row r="139" spans="1:36" ht="16" thickBot="1">
      <c r="A139" s="68">
        <v>46</v>
      </c>
      <c r="B139" s="49">
        <f>資料儲存!D3707</f>
        <v>0</v>
      </c>
      <c r="C139" s="49">
        <f>資料儲存!E3707</f>
        <v>0</v>
      </c>
      <c r="D139" s="49">
        <f>資料儲存!F3707</f>
        <v>0</v>
      </c>
      <c r="E139" s="49">
        <f>資料儲存!G3707</f>
        <v>0</v>
      </c>
      <c r="F139" s="49">
        <f>資料儲存!H3707</f>
        <v>0</v>
      </c>
      <c r="G139" s="49">
        <f>資料儲存!I3707</f>
        <v>0</v>
      </c>
      <c r="H139" s="49">
        <f>資料儲存!J3707</f>
        <v>0</v>
      </c>
      <c r="I139" s="52"/>
      <c r="J139" s="68">
        <v>46</v>
      </c>
      <c r="K139" s="49">
        <f>資料儲存!D3827</f>
        <v>0</v>
      </c>
      <c r="L139" s="49">
        <f>資料儲存!E3827</f>
        <v>0</v>
      </c>
      <c r="M139" s="49">
        <f>資料儲存!F3827</f>
        <v>0</v>
      </c>
      <c r="N139" s="49">
        <f>資料儲存!G3827</f>
        <v>0</v>
      </c>
      <c r="O139" s="49">
        <f>資料儲存!H3827</f>
        <v>0</v>
      </c>
      <c r="P139" s="49">
        <f>資料儲存!I3827</f>
        <v>0</v>
      </c>
      <c r="Q139" s="49">
        <f>資料儲存!J3827</f>
        <v>0</v>
      </c>
      <c r="R139" s="52"/>
      <c r="S139" s="68">
        <v>46</v>
      </c>
      <c r="T139" s="49">
        <f>資料儲存!D3947</f>
        <v>0</v>
      </c>
      <c r="U139" s="49">
        <f>資料儲存!E3947</f>
        <v>0</v>
      </c>
      <c r="V139" s="49">
        <f>資料儲存!F3947</f>
        <v>0</v>
      </c>
      <c r="W139" s="49">
        <f>資料儲存!G3947</f>
        <v>0</v>
      </c>
      <c r="X139" s="49">
        <f>資料儲存!H3947</f>
        <v>0</v>
      </c>
      <c r="Y139" s="49">
        <f>資料儲存!I3947</f>
        <v>0</v>
      </c>
      <c r="Z139" s="49">
        <f>資料儲存!J3947</f>
        <v>0</v>
      </c>
      <c r="AA139" s="52"/>
      <c r="AB139" s="68">
        <v>46</v>
      </c>
      <c r="AC139" s="49">
        <f>資料儲存!D4067</f>
        <v>0</v>
      </c>
      <c r="AD139" s="49">
        <f>資料儲存!E4067</f>
        <v>0</v>
      </c>
      <c r="AE139" s="49">
        <f>資料儲存!F4067</f>
        <v>0</v>
      </c>
      <c r="AF139" s="49">
        <f>資料儲存!G4067</f>
        <v>0</v>
      </c>
      <c r="AG139" s="49">
        <f>資料儲存!H4067</f>
        <v>0</v>
      </c>
      <c r="AH139" s="49">
        <f>資料儲存!I4067</f>
        <v>0</v>
      </c>
      <c r="AI139" s="49">
        <f>資料儲存!J4067</f>
        <v>0</v>
      </c>
      <c r="AJ139" s="52"/>
    </row>
    <row r="140" spans="1:36" ht="16" thickBot="1">
      <c r="A140" s="68">
        <v>47</v>
      </c>
      <c r="B140" s="49">
        <f>資料儲存!D3708</f>
        <v>0</v>
      </c>
      <c r="C140" s="49">
        <f>資料儲存!E3708</f>
        <v>0</v>
      </c>
      <c r="D140" s="49">
        <f>資料儲存!F3708</f>
        <v>0</v>
      </c>
      <c r="E140" s="49">
        <f>資料儲存!G3708</f>
        <v>0</v>
      </c>
      <c r="F140" s="49">
        <f>資料儲存!H3708</f>
        <v>0</v>
      </c>
      <c r="G140" s="49">
        <f>資料儲存!I3708</f>
        <v>0</v>
      </c>
      <c r="H140" s="49">
        <f>資料儲存!J3708</f>
        <v>0</v>
      </c>
      <c r="I140" s="52"/>
      <c r="J140" s="68">
        <v>47</v>
      </c>
      <c r="K140" s="49">
        <f>資料儲存!D3828</f>
        <v>0</v>
      </c>
      <c r="L140" s="49">
        <f>資料儲存!E3828</f>
        <v>0</v>
      </c>
      <c r="M140" s="49">
        <f>資料儲存!F3828</f>
        <v>0</v>
      </c>
      <c r="N140" s="49">
        <f>資料儲存!G3828</f>
        <v>0</v>
      </c>
      <c r="O140" s="49">
        <f>資料儲存!H3828</f>
        <v>0</v>
      </c>
      <c r="P140" s="49">
        <f>資料儲存!I3828</f>
        <v>0</v>
      </c>
      <c r="Q140" s="49">
        <f>資料儲存!J3828</f>
        <v>0</v>
      </c>
      <c r="R140" s="52"/>
      <c r="S140" s="68">
        <v>47</v>
      </c>
      <c r="T140" s="49">
        <f>資料儲存!D3948</f>
        <v>0</v>
      </c>
      <c r="U140" s="49">
        <f>資料儲存!E3948</f>
        <v>0</v>
      </c>
      <c r="V140" s="49">
        <f>資料儲存!F3948</f>
        <v>0</v>
      </c>
      <c r="W140" s="49">
        <f>資料儲存!G3948</f>
        <v>0</v>
      </c>
      <c r="X140" s="49">
        <f>資料儲存!H3948</f>
        <v>0</v>
      </c>
      <c r="Y140" s="49">
        <f>資料儲存!I3948</f>
        <v>0</v>
      </c>
      <c r="Z140" s="49">
        <f>資料儲存!J3948</f>
        <v>0</v>
      </c>
      <c r="AA140" s="52"/>
      <c r="AB140" s="68">
        <v>47</v>
      </c>
      <c r="AC140" s="49">
        <f>資料儲存!D4068</f>
        <v>0</v>
      </c>
      <c r="AD140" s="49">
        <f>資料儲存!E4068</f>
        <v>0</v>
      </c>
      <c r="AE140" s="49">
        <f>資料儲存!F4068</f>
        <v>0</v>
      </c>
      <c r="AF140" s="49">
        <f>資料儲存!G4068</f>
        <v>0</v>
      </c>
      <c r="AG140" s="49">
        <f>資料儲存!H4068</f>
        <v>0</v>
      </c>
      <c r="AH140" s="49">
        <f>資料儲存!I4068</f>
        <v>0</v>
      </c>
      <c r="AI140" s="49">
        <f>資料儲存!J4068</f>
        <v>0</v>
      </c>
      <c r="AJ140" s="52"/>
    </row>
    <row r="141" spans="1:36" ht="16" thickBot="1">
      <c r="A141" s="68">
        <v>48</v>
      </c>
      <c r="B141" s="49">
        <f>資料儲存!D3709</f>
        <v>0</v>
      </c>
      <c r="C141" s="49">
        <f>資料儲存!E3709</f>
        <v>0</v>
      </c>
      <c r="D141" s="49">
        <f>資料儲存!F3709</f>
        <v>0</v>
      </c>
      <c r="E141" s="49">
        <f>資料儲存!G3709</f>
        <v>0</v>
      </c>
      <c r="F141" s="49">
        <f>資料儲存!H3709</f>
        <v>0</v>
      </c>
      <c r="G141" s="49">
        <f>資料儲存!I3709</f>
        <v>0</v>
      </c>
      <c r="H141" s="49">
        <f>資料儲存!J3709</f>
        <v>0</v>
      </c>
      <c r="I141" s="52"/>
      <c r="J141" s="68">
        <v>48</v>
      </c>
      <c r="K141" s="49">
        <f>資料儲存!D3829</f>
        <v>0</v>
      </c>
      <c r="L141" s="49">
        <f>資料儲存!E3829</f>
        <v>0</v>
      </c>
      <c r="M141" s="49">
        <f>資料儲存!F3829</f>
        <v>0</v>
      </c>
      <c r="N141" s="49">
        <f>資料儲存!G3829</f>
        <v>0</v>
      </c>
      <c r="O141" s="49">
        <f>資料儲存!H3829</f>
        <v>0</v>
      </c>
      <c r="P141" s="49">
        <f>資料儲存!I3829</f>
        <v>0</v>
      </c>
      <c r="Q141" s="49">
        <f>資料儲存!J3829</f>
        <v>0</v>
      </c>
      <c r="R141" s="52"/>
      <c r="S141" s="68">
        <v>48</v>
      </c>
      <c r="T141" s="49">
        <f>資料儲存!D3949</f>
        <v>0</v>
      </c>
      <c r="U141" s="49">
        <f>資料儲存!E3949</f>
        <v>0</v>
      </c>
      <c r="V141" s="49">
        <f>資料儲存!F3949</f>
        <v>0</v>
      </c>
      <c r="W141" s="49">
        <f>資料儲存!G3949</f>
        <v>0</v>
      </c>
      <c r="X141" s="49">
        <f>資料儲存!H3949</f>
        <v>0</v>
      </c>
      <c r="Y141" s="49">
        <f>資料儲存!I3949</f>
        <v>0</v>
      </c>
      <c r="Z141" s="49">
        <f>資料儲存!J3949</f>
        <v>0</v>
      </c>
      <c r="AA141" s="52"/>
      <c r="AB141" s="68">
        <v>48</v>
      </c>
      <c r="AC141" s="49">
        <f>資料儲存!D4069</f>
        <v>0</v>
      </c>
      <c r="AD141" s="49">
        <f>資料儲存!E4069</f>
        <v>0</v>
      </c>
      <c r="AE141" s="49">
        <f>資料儲存!F4069</f>
        <v>0</v>
      </c>
      <c r="AF141" s="49">
        <f>資料儲存!G4069</f>
        <v>0</v>
      </c>
      <c r="AG141" s="49">
        <f>資料儲存!H4069</f>
        <v>0</v>
      </c>
      <c r="AH141" s="49">
        <f>資料儲存!I4069</f>
        <v>0</v>
      </c>
      <c r="AI141" s="49">
        <f>資料儲存!J4069</f>
        <v>0</v>
      </c>
      <c r="AJ141" s="52"/>
    </row>
    <row r="142" spans="1:36" ht="16" thickBot="1">
      <c r="A142" s="68">
        <v>49</v>
      </c>
      <c r="B142" s="49">
        <f>資料儲存!D3710</f>
        <v>0</v>
      </c>
      <c r="C142" s="49">
        <f>資料儲存!E3710</f>
        <v>0</v>
      </c>
      <c r="D142" s="49">
        <f>資料儲存!F3710</f>
        <v>0</v>
      </c>
      <c r="E142" s="49">
        <f>資料儲存!G3710</f>
        <v>0</v>
      </c>
      <c r="F142" s="49">
        <f>資料儲存!H3710</f>
        <v>0</v>
      </c>
      <c r="G142" s="49">
        <f>資料儲存!I3710</f>
        <v>0</v>
      </c>
      <c r="H142" s="49">
        <f>資料儲存!J3710</f>
        <v>0</v>
      </c>
      <c r="I142" s="52"/>
      <c r="J142" s="68">
        <v>49</v>
      </c>
      <c r="K142" s="49">
        <f>資料儲存!D3830</f>
        <v>0</v>
      </c>
      <c r="L142" s="49">
        <f>資料儲存!E3830</f>
        <v>0</v>
      </c>
      <c r="M142" s="49">
        <f>資料儲存!F3830</f>
        <v>0</v>
      </c>
      <c r="N142" s="49">
        <f>資料儲存!G3830</f>
        <v>0</v>
      </c>
      <c r="O142" s="49">
        <f>資料儲存!H3830</f>
        <v>0</v>
      </c>
      <c r="P142" s="49">
        <f>資料儲存!I3830</f>
        <v>0</v>
      </c>
      <c r="Q142" s="49">
        <f>資料儲存!J3830</f>
        <v>0</v>
      </c>
      <c r="R142" s="52"/>
      <c r="S142" s="68">
        <v>49</v>
      </c>
      <c r="T142" s="49">
        <f>資料儲存!D3950</f>
        <v>0</v>
      </c>
      <c r="U142" s="49">
        <f>資料儲存!E3950</f>
        <v>0</v>
      </c>
      <c r="V142" s="49">
        <f>資料儲存!F3950</f>
        <v>0</v>
      </c>
      <c r="W142" s="49">
        <f>資料儲存!G3950</f>
        <v>0</v>
      </c>
      <c r="X142" s="49">
        <f>資料儲存!H3950</f>
        <v>0</v>
      </c>
      <c r="Y142" s="49">
        <f>資料儲存!I3950</f>
        <v>0</v>
      </c>
      <c r="Z142" s="49">
        <f>資料儲存!J3950</f>
        <v>0</v>
      </c>
      <c r="AA142" s="52"/>
      <c r="AB142" s="68">
        <v>49</v>
      </c>
      <c r="AC142" s="49">
        <f>資料儲存!D4070</f>
        <v>0</v>
      </c>
      <c r="AD142" s="49">
        <f>資料儲存!E4070</f>
        <v>0</v>
      </c>
      <c r="AE142" s="49">
        <f>資料儲存!F4070</f>
        <v>0</v>
      </c>
      <c r="AF142" s="49">
        <f>資料儲存!G4070</f>
        <v>0</v>
      </c>
      <c r="AG142" s="49">
        <f>資料儲存!H4070</f>
        <v>0</v>
      </c>
      <c r="AH142" s="49">
        <f>資料儲存!I4070</f>
        <v>0</v>
      </c>
      <c r="AI142" s="49">
        <f>資料儲存!J4070</f>
        <v>0</v>
      </c>
      <c r="AJ142" s="52"/>
    </row>
    <row r="143" spans="1:36" ht="16" thickBot="1">
      <c r="A143" s="68">
        <v>50</v>
      </c>
      <c r="B143" s="49">
        <f>資料儲存!D3711</f>
        <v>0</v>
      </c>
      <c r="C143" s="49">
        <f>資料儲存!E3711</f>
        <v>0</v>
      </c>
      <c r="D143" s="49">
        <f>資料儲存!F3711</f>
        <v>0</v>
      </c>
      <c r="E143" s="49">
        <f>資料儲存!G3711</f>
        <v>0</v>
      </c>
      <c r="F143" s="49">
        <f>資料儲存!H3711</f>
        <v>0</v>
      </c>
      <c r="G143" s="49">
        <f>資料儲存!I3711</f>
        <v>0</v>
      </c>
      <c r="H143" s="49">
        <f>資料儲存!J3711</f>
        <v>0</v>
      </c>
      <c r="I143" s="52"/>
      <c r="J143" s="68">
        <v>50</v>
      </c>
      <c r="K143" s="49">
        <f>資料儲存!D3831</f>
        <v>0</v>
      </c>
      <c r="L143" s="49">
        <f>資料儲存!E3831</f>
        <v>0</v>
      </c>
      <c r="M143" s="49">
        <f>資料儲存!F3831</f>
        <v>0</v>
      </c>
      <c r="N143" s="49">
        <f>資料儲存!G3831</f>
        <v>0</v>
      </c>
      <c r="O143" s="49">
        <f>資料儲存!H3831</f>
        <v>0</v>
      </c>
      <c r="P143" s="49">
        <f>資料儲存!I3831</f>
        <v>0</v>
      </c>
      <c r="Q143" s="49">
        <f>資料儲存!J3831</f>
        <v>0</v>
      </c>
      <c r="R143" s="52"/>
      <c r="S143" s="68">
        <v>50</v>
      </c>
      <c r="T143" s="49">
        <f>資料儲存!D3951</f>
        <v>0</v>
      </c>
      <c r="U143" s="49">
        <f>資料儲存!E3951</f>
        <v>0</v>
      </c>
      <c r="V143" s="49">
        <f>資料儲存!F3951</f>
        <v>0</v>
      </c>
      <c r="W143" s="49">
        <f>資料儲存!G3951</f>
        <v>0</v>
      </c>
      <c r="X143" s="49">
        <f>資料儲存!H3951</f>
        <v>0</v>
      </c>
      <c r="Y143" s="49">
        <f>資料儲存!I3951</f>
        <v>0</v>
      </c>
      <c r="Z143" s="49">
        <f>資料儲存!J3951</f>
        <v>0</v>
      </c>
      <c r="AA143" s="52"/>
      <c r="AB143" s="68">
        <v>50</v>
      </c>
      <c r="AC143" s="49">
        <f>資料儲存!D4071</f>
        <v>0</v>
      </c>
      <c r="AD143" s="49">
        <f>資料儲存!E4071</f>
        <v>0</v>
      </c>
      <c r="AE143" s="49">
        <f>資料儲存!F4071</f>
        <v>0</v>
      </c>
      <c r="AF143" s="49">
        <f>資料儲存!G4071</f>
        <v>0</v>
      </c>
      <c r="AG143" s="49">
        <f>資料儲存!H4071</f>
        <v>0</v>
      </c>
      <c r="AH143" s="49">
        <f>資料儲存!I4071</f>
        <v>0</v>
      </c>
      <c r="AI143" s="49">
        <f>資料儲存!J4071</f>
        <v>0</v>
      </c>
      <c r="AJ143" s="52"/>
    </row>
    <row r="144" spans="1:36" ht="16" thickBot="1">
      <c r="A144" s="68">
        <v>51</v>
      </c>
      <c r="B144" s="49">
        <f>資料儲存!D3712</f>
        <v>0</v>
      </c>
      <c r="C144" s="49">
        <f>資料儲存!E3712</f>
        <v>0</v>
      </c>
      <c r="D144" s="49">
        <f>資料儲存!F3712</f>
        <v>0</v>
      </c>
      <c r="E144" s="49">
        <f>資料儲存!G3712</f>
        <v>0</v>
      </c>
      <c r="F144" s="49">
        <f>資料儲存!H3712</f>
        <v>0</v>
      </c>
      <c r="G144" s="49">
        <f>資料儲存!I3712</f>
        <v>0</v>
      </c>
      <c r="H144" s="49">
        <f>資料儲存!J3712</f>
        <v>0</v>
      </c>
      <c r="I144" s="52"/>
      <c r="J144" s="68">
        <v>51</v>
      </c>
      <c r="K144" s="49">
        <f>資料儲存!D3832</f>
        <v>0</v>
      </c>
      <c r="L144" s="49">
        <f>資料儲存!E3832</f>
        <v>0</v>
      </c>
      <c r="M144" s="49">
        <f>資料儲存!F3832</f>
        <v>0</v>
      </c>
      <c r="N144" s="49">
        <f>資料儲存!G3832</f>
        <v>0</v>
      </c>
      <c r="O144" s="49">
        <f>資料儲存!H3832</f>
        <v>0</v>
      </c>
      <c r="P144" s="49">
        <f>資料儲存!I3832</f>
        <v>0</v>
      </c>
      <c r="Q144" s="49">
        <f>資料儲存!J3832</f>
        <v>0</v>
      </c>
      <c r="R144" s="52"/>
      <c r="S144" s="68">
        <v>51</v>
      </c>
      <c r="T144" s="49">
        <f>資料儲存!D3952</f>
        <v>0</v>
      </c>
      <c r="U144" s="49">
        <f>資料儲存!E3952</f>
        <v>0</v>
      </c>
      <c r="V144" s="49">
        <f>資料儲存!F3952</f>
        <v>0</v>
      </c>
      <c r="W144" s="49">
        <f>資料儲存!G3952</f>
        <v>0</v>
      </c>
      <c r="X144" s="49">
        <f>資料儲存!H3952</f>
        <v>0</v>
      </c>
      <c r="Y144" s="49">
        <f>資料儲存!I3952</f>
        <v>0</v>
      </c>
      <c r="Z144" s="49">
        <f>資料儲存!J3952</f>
        <v>0</v>
      </c>
      <c r="AA144" s="52"/>
      <c r="AB144" s="68">
        <v>51</v>
      </c>
      <c r="AC144" s="49">
        <f>資料儲存!D4072</f>
        <v>0</v>
      </c>
      <c r="AD144" s="49">
        <f>資料儲存!E4072</f>
        <v>0</v>
      </c>
      <c r="AE144" s="49">
        <f>資料儲存!F4072</f>
        <v>0</v>
      </c>
      <c r="AF144" s="49">
        <f>資料儲存!G4072</f>
        <v>0</v>
      </c>
      <c r="AG144" s="49">
        <f>資料儲存!H4072</f>
        <v>0</v>
      </c>
      <c r="AH144" s="49">
        <f>資料儲存!I4072</f>
        <v>0</v>
      </c>
      <c r="AI144" s="49">
        <f>資料儲存!J4072</f>
        <v>0</v>
      </c>
      <c r="AJ144" s="52"/>
    </row>
    <row r="145" spans="1:36" ht="16" thickBot="1">
      <c r="A145" s="68">
        <v>52</v>
      </c>
      <c r="B145" s="49">
        <f>資料儲存!D3713</f>
        <v>0</v>
      </c>
      <c r="C145" s="49">
        <f>資料儲存!E3713</f>
        <v>0</v>
      </c>
      <c r="D145" s="49">
        <f>資料儲存!F3713</f>
        <v>0</v>
      </c>
      <c r="E145" s="49">
        <f>資料儲存!G3713</f>
        <v>0</v>
      </c>
      <c r="F145" s="49">
        <f>資料儲存!H3713</f>
        <v>0</v>
      </c>
      <c r="G145" s="49">
        <f>資料儲存!I3713</f>
        <v>0</v>
      </c>
      <c r="H145" s="49">
        <f>資料儲存!J3713</f>
        <v>0</v>
      </c>
      <c r="I145" s="52"/>
      <c r="J145" s="68">
        <v>52</v>
      </c>
      <c r="K145" s="49">
        <f>資料儲存!D3833</f>
        <v>0</v>
      </c>
      <c r="L145" s="49">
        <f>資料儲存!E3833</f>
        <v>0</v>
      </c>
      <c r="M145" s="49">
        <f>資料儲存!F3833</f>
        <v>0</v>
      </c>
      <c r="N145" s="49">
        <f>資料儲存!G3833</f>
        <v>0</v>
      </c>
      <c r="O145" s="49">
        <f>資料儲存!H3833</f>
        <v>0</v>
      </c>
      <c r="P145" s="49">
        <f>資料儲存!I3833</f>
        <v>0</v>
      </c>
      <c r="Q145" s="49">
        <f>資料儲存!J3833</f>
        <v>0</v>
      </c>
      <c r="R145" s="52"/>
      <c r="S145" s="68">
        <v>52</v>
      </c>
      <c r="T145" s="49">
        <f>資料儲存!D3953</f>
        <v>0</v>
      </c>
      <c r="U145" s="49">
        <f>資料儲存!E3953</f>
        <v>0</v>
      </c>
      <c r="V145" s="49">
        <f>資料儲存!F3953</f>
        <v>0</v>
      </c>
      <c r="W145" s="49">
        <f>資料儲存!G3953</f>
        <v>0</v>
      </c>
      <c r="X145" s="49">
        <f>資料儲存!H3953</f>
        <v>0</v>
      </c>
      <c r="Y145" s="49">
        <f>資料儲存!I3953</f>
        <v>0</v>
      </c>
      <c r="Z145" s="49">
        <f>資料儲存!J3953</f>
        <v>0</v>
      </c>
      <c r="AA145" s="52"/>
      <c r="AB145" s="68">
        <v>52</v>
      </c>
      <c r="AC145" s="49">
        <f>資料儲存!D4073</f>
        <v>0</v>
      </c>
      <c r="AD145" s="49">
        <f>資料儲存!E4073</f>
        <v>0</v>
      </c>
      <c r="AE145" s="49">
        <f>資料儲存!F4073</f>
        <v>0</v>
      </c>
      <c r="AF145" s="49">
        <f>資料儲存!G4073</f>
        <v>0</v>
      </c>
      <c r="AG145" s="49">
        <f>資料儲存!H4073</f>
        <v>0</v>
      </c>
      <c r="AH145" s="49">
        <f>資料儲存!I4073</f>
        <v>0</v>
      </c>
      <c r="AI145" s="49">
        <f>資料儲存!J4073</f>
        <v>0</v>
      </c>
      <c r="AJ145" s="52"/>
    </row>
    <row r="146" spans="1:36" ht="16" thickBot="1">
      <c r="A146" s="68">
        <v>53</v>
      </c>
      <c r="B146" s="49">
        <f>資料儲存!D3714</f>
        <v>0</v>
      </c>
      <c r="C146" s="49">
        <f>資料儲存!E3714</f>
        <v>0</v>
      </c>
      <c r="D146" s="49">
        <f>資料儲存!F3714</f>
        <v>0</v>
      </c>
      <c r="E146" s="49">
        <f>資料儲存!G3714</f>
        <v>0</v>
      </c>
      <c r="F146" s="49">
        <f>資料儲存!H3714</f>
        <v>0</v>
      </c>
      <c r="G146" s="49">
        <f>資料儲存!I3714</f>
        <v>0</v>
      </c>
      <c r="H146" s="49">
        <f>資料儲存!J3714</f>
        <v>0</v>
      </c>
      <c r="I146" s="52"/>
      <c r="J146" s="68">
        <v>53</v>
      </c>
      <c r="K146" s="49">
        <f>資料儲存!D3834</f>
        <v>0</v>
      </c>
      <c r="L146" s="49">
        <f>資料儲存!E3834</f>
        <v>0</v>
      </c>
      <c r="M146" s="49">
        <f>資料儲存!F3834</f>
        <v>0</v>
      </c>
      <c r="N146" s="49">
        <f>資料儲存!G3834</f>
        <v>0</v>
      </c>
      <c r="O146" s="49">
        <f>資料儲存!H3834</f>
        <v>0</v>
      </c>
      <c r="P146" s="49">
        <f>資料儲存!I3834</f>
        <v>0</v>
      </c>
      <c r="Q146" s="49">
        <f>資料儲存!J3834</f>
        <v>0</v>
      </c>
      <c r="R146" s="52"/>
      <c r="S146" s="68">
        <v>53</v>
      </c>
      <c r="T146" s="49">
        <f>資料儲存!D3954</f>
        <v>0</v>
      </c>
      <c r="U146" s="49">
        <f>資料儲存!E3954</f>
        <v>0</v>
      </c>
      <c r="V146" s="49">
        <f>資料儲存!F3954</f>
        <v>0</v>
      </c>
      <c r="W146" s="49">
        <f>資料儲存!G3954</f>
        <v>0</v>
      </c>
      <c r="X146" s="49">
        <f>資料儲存!H3954</f>
        <v>0</v>
      </c>
      <c r="Y146" s="49">
        <f>資料儲存!I3954</f>
        <v>0</v>
      </c>
      <c r="Z146" s="49">
        <f>資料儲存!J3954</f>
        <v>0</v>
      </c>
      <c r="AA146" s="52"/>
      <c r="AB146" s="68">
        <v>53</v>
      </c>
      <c r="AC146" s="49">
        <f>資料儲存!D4074</f>
        <v>0</v>
      </c>
      <c r="AD146" s="49">
        <f>資料儲存!E4074</f>
        <v>0</v>
      </c>
      <c r="AE146" s="49">
        <f>資料儲存!F4074</f>
        <v>0</v>
      </c>
      <c r="AF146" s="49">
        <f>資料儲存!G4074</f>
        <v>0</v>
      </c>
      <c r="AG146" s="49">
        <f>資料儲存!H4074</f>
        <v>0</v>
      </c>
      <c r="AH146" s="49">
        <f>資料儲存!I4074</f>
        <v>0</v>
      </c>
      <c r="AI146" s="49">
        <f>資料儲存!J4074</f>
        <v>0</v>
      </c>
      <c r="AJ146" s="52"/>
    </row>
    <row r="147" spans="1:36" ht="16" thickBot="1">
      <c r="A147" s="68">
        <v>54</v>
      </c>
      <c r="B147" s="49">
        <f>資料儲存!D3715</f>
        <v>0</v>
      </c>
      <c r="C147" s="49">
        <f>資料儲存!E3715</f>
        <v>0</v>
      </c>
      <c r="D147" s="49">
        <f>資料儲存!F3715</f>
        <v>0</v>
      </c>
      <c r="E147" s="49">
        <f>資料儲存!G3715</f>
        <v>0</v>
      </c>
      <c r="F147" s="49">
        <f>資料儲存!H3715</f>
        <v>0</v>
      </c>
      <c r="G147" s="49">
        <f>資料儲存!I3715</f>
        <v>0</v>
      </c>
      <c r="H147" s="49">
        <f>資料儲存!J3715</f>
        <v>0</v>
      </c>
      <c r="I147" s="52"/>
      <c r="J147" s="68">
        <v>54</v>
      </c>
      <c r="K147" s="49">
        <f>資料儲存!D3835</f>
        <v>0</v>
      </c>
      <c r="L147" s="49">
        <f>資料儲存!E3835</f>
        <v>0</v>
      </c>
      <c r="M147" s="49">
        <f>資料儲存!F3835</f>
        <v>0</v>
      </c>
      <c r="N147" s="49">
        <f>資料儲存!G3835</f>
        <v>0</v>
      </c>
      <c r="O147" s="49">
        <f>資料儲存!H3835</f>
        <v>0</v>
      </c>
      <c r="P147" s="49">
        <f>資料儲存!I3835</f>
        <v>0</v>
      </c>
      <c r="Q147" s="49">
        <f>資料儲存!J3835</f>
        <v>0</v>
      </c>
      <c r="R147" s="52"/>
      <c r="S147" s="68">
        <v>54</v>
      </c>
      <c r="T147" s="49">
        <f>資料儲存!D3955</f>
        <v>0</v>
      </c>
      <c r="U147" s="49">
        <f>資料儲存!E3955</f>
        <v>0</v>
      </c>
      <c r="V147" s="49">
        <f>資料儲存!F3955</f>
        <v>0</v>
      </c>
      <c r="W147" s="49">
        <f>資料儲存!G3955</f>
        <v>0</v>
      </c>
      <c r="X147" s="49">
        <f>資料儲存!H3955</f>
        <v>0</v>
      </c>
      <c r="Y147" s="49">
        <f>資料儲存!I3955</f>
        <v>0</v>
      </c>
      <c r="Z147" s="49">
        <f>資料儲存!J3955</f>
        <v>0</v>
      </c>
      <c r="AA147" s="52"/>
      <c r="AB147" s="68">
        <v>54</v>
      </c>
      <c r="AC147" s="49">
        <f>資料儲存!D4075</f>
        <v>0</v>
      </c>
      <c r="AD147" s="49">
        <f>資料儲存!E4075</f>
        <v>0</v>
      </c>
      <c r="AE147" s="49">
        <f>資料儲存!F4075</f>
        <v>0</v>
      </c>
      <c r="AF147" s="49">
        <f>資料儲存!G4075</f>
        <v>0</v>
      </c>
      <c r="AG147" s="49">
        <f>資料儲存!H4075</f>
        <v>0</v>
      </c>
      <c r="AH147" s="49">
        <f>資料儲存!I4075</f>
        <v>0</v>
      </c>
      <c r="AI147" s="49">
        <f>資料儲存!J4075</f>
        <v>0</v>
      </c>
      <c r="AJ147" s="52"/>
    </row>
    <row r="148" spans="1:36" ht="16" thickBot="1">
      <c r="A148" s="68">
        <v>55</v>
      </c>
      <c r="B148" s="49">
        <f>資料儲存!D3716</f>
        <v>0</v>
      </c>
      <c r="C148" s="49">
        <f>資料儲存!E3716</f>
        <v>0</v>
      </c>
      <c r="D148" s="49">
        <f>資料儲存!F3716</f>
        <v>0</v>
      </c>
      <c r="E148" s="49">
        <f>資料儲存!G3716</f>
        <v>0</v>
      </c>
      <c r="F148" s="49">
        <f>資料儲存!H3716</f>
        <v>0</v>
      </c>
      <c r="G148" s="49">
        <f>資料儲存!I3716</f>
        <v>0</v>
      </c>
      <c r="H148" s="49">
        <f>資料儲存!J3716</f>
        <v>0</v>
      </c>
      <c r="I148" s="52"/>
      <c r="J148" s="68">
        <v>55</v>
      </c>
      <c r="K148" s="49">
        <f>資料儲存!D3836</f>
        <v>0</v>
      </c>
      <c r="L148" s="49">
        <f>資料儲存!E3836</f>
        <v>0</v>
      </c>
      <c r="M148" s="49">
        <f>資料儲存!F3836</f>
        <v>0</v>
      </c>
      <c r="N148" s="49">
        <f>資料儲存!G3836</f>
        <v>0</v>
      </c>
      <c r="O148" s="49">
        <f>資料儲存!H3836</f>
        <v>0</v>
      </c>
      <c r="P148" s="49">
        <f>資料儲存!I3836</f>
        <v>0</v>
      </c>
      <c r="Q148" s="49">
        <f>資料儲存!J3836</f>
        <v>0</v>
      </c>
      <c r="R148" s="52"/>
      <c r="S148" s="68">
        <v>55</v>
      </c>
      <c r="T148" s="49">
        <f>資料儲存!D3956</f>
        <v>0</v>
      </c>
      <c r="U148" s="49">
        <f>資料儲存!E3956</f>
        <v>0</v>
      </c>
      <c r="V148" s="49">
        <f>資料儲存!F3956</f>
        <v>0</v>
      </c>
      <c r="W148" s="49">
        <f>資料儲存!G3956</f>
        <v>0</v>
      </c>
      <c r="X148" s="49">
        <f>資料儲存!H3956</f>
        <v>0</v>
      </c>
      <c r="Y148" s="49">
        <f>資料儲存!I3956</f>
        <v>0</v>
      </c>
      <c r="Z148" s="49">
        <f>資料儲存!J3956</f>
        <v>0</v>
      </c>
      <c r="AA148" s="52"/>
      <c r="AB148" s="68">
        <v>55</v>
      </c>
      <c r="AC148" s="49">
        <f>資料儲存!D4076</f>
        <v>0</v>
      </c>
      <c r="AD148" s="49">
        <f>資料儲存!E4076</f>
        <v>0</v>
      </c>
      <c r="AE148" s="49">
        <f>資料儲存!F4076</f>
        <v>0</v>
      </c>
      <c r="AF148" s="49">
        <f>資料儲存!G4076</f>
        <v>0</v>
      </c>
      <c r="AG148" s="49">
        <f>資料儲存!H4076</f>
        <v>0</v>
      </c>
      <c r="AH148" s="49">
        <f>資料儲存!I4076</f>
        <v>0</v>
      </c>
      <c r="AI148" s="49">
        <f>資料儲存!J4076</f>
        <v>0</v>
      </c>
      <c r="AJ148" s="52"/>
    </row>
    <row r="149" spans="1:36" ht="16" thickBot="1">
      <c r="A149" s="68">
        <v>56</v>
      </c>
      <c r="B149" s="49">
        <f>資料儲存!D3717</f>
        <v>0</v>
      </c>
      <c r="C149" s="49">
        <f>資料儲存!E3717</f>
        <v>0</v>
      </c>
      <c r="D149" s="49">
        <f>資料儲存!F3717</f>
        <v>0</v>
      </c>
      <c r="E149" s="49">
        <f>資料儲存!G3717</f>
        <v>0</v>
      </c>
      <c r="F149" s="49">
        <f>資料儲存!H3717</f>
        <v>0</v>
      </c>
      <c r="G149" s="49">
        <f>資料儲存!I3717</f>
        <v>0</v>
      </c>
      <c r="H149" s="49">
        <f>資料儲存!J3717</f>
        <v>0</v>
      </c>
      <c r="I149" s="52"/>
      <c r="J149" s="68">
        <v>56</v>
      </c>
      <c r="K149" s="49">
        <f>資料儲存!D3837</f>
        <v>0</v>
      </c>
      <c r="L149" s="49">
        <f>資料儲存!E3837</f>
        <v>0</v>
      </c>
      <c r="M149" s="49">
        <f>資料儲存!F3837</f>
        <v>0</v>
      </c>
      <c r="N149" s="49">
        <f>資料儲存!G3837</f>
        <v>0</v>
      </c>
      <c r="O149" s="49">
        <f>資料儲存!H3837</f>
        <v>0</v>
      </c>
      <c r="P149" s="49">
        <f>資料儲存!I3837</f>
        <v>0</v>
      </c>
      <c r="Q149" s="49">
        <f>資料儲存!J3837</f>
        <v>0</v>
      </c>
      <c r="R149" s="52"/>
      <c r="S149" s="68">
        <v>56</v>
      </c>
      <c r="T149" s="49">
        <f>資料儲存!D3957</f>
        <v>0</v>
      </c>
      <c r="U149" s="49">
        <f>資料儲存!E3957</f>
        <v>0</v>
      </c>
      <c r="V149" s="49">
        <f>資料儲存!F3957</f>
        <v>0</v>
      </c>
      <c r="W149" s="49">
        <f>資料儲存!G3957</f>
        <v>0</v>
      </c>
      <c r="X149" s="49">
        <f>資料儲存!H3957</f>
        <v>0</v>
      </c>
      <c r="Y149" s="49">
        <f>資料儲存!I3957</f>
        <v>0</v>
      </c>
      <c r="Z149" s="49">
        <f>資料儲存!J3957</f>
        <v>0</v>
      </c>
      <c r="AA149" s="52"/>
      <c r="AB149" s="68">
        <v>56</v>
      </c>
      <c r="AC149" s="49">
        <f>資料儲存!D4077</f>
        <v>0</v>
      </c>
      <c r="AD149" s="49">
        <f>資料儲存!E4077</f>
        <v>0</v>
      </c>
      <c r="AE149" s="49">
        <f>資料儲存!F4077</f>
        <v>0</v>
      </c>
      <c r="AF149" s="49">
        <f>資料儲存!G4077</f>
        <v>0</v>
      </c>
      <c r="AG149" s="49">
        <f>資料儲存!H4077</f>
        <v>0</v>
      </c>
      <c r="AH149" s="49">
        <f>資料儲存!I4077</f>
        <v>0</v>
      </c>
      <c r="AI149" s="49">
        <f>資料儲存!J4077</f>
        <v>0</v>
      </c>
      <c r="AJ149" s="52"/>
    </row>
    <row r="150" spans="1:36" ht="16" thickBot="1">
      <c r="A150" s="68">
        <v>57</v>
      </c>
      <c r="B150" s="49">
        <f>資料儲存!D3718</f>
        <v>0</v>
      </c>
      <c r="C150" s="49">
        <f>資料儲存!E3718</f>
        <v>0</v>
      </c>
      <c r="D150" s="49">
        <f>資料儲存!F3718</f>
        <v>0</v>
      </c>
      <c r="E150" s="49">
        <f>資料儲存!G3718</f>
        <v>0</v>
      </c>
      <c r="F150" s="49">
        <f>資料儲存!H3718</f>
        <v>0</v>
      </c>
      <c r="G150" s="49">
        <f>資料儲存!I3718</f>
        <v>0</v>
      </c>
      <c r="H150" s="49">
        <f>資料儲存!J3718</f>
        <v>0</v>
      </c>
      <c r="I150" s="52"/>
      <c r="J150" s="68">
        <v>57</v>
      </c>
      <c r="K150" s="49">
        <f>資料儲存!D3838</f>
        <v>0</v>
      </c>
      <c r="L150" s="49">
        <f>資料儲存!E3838</f>
        <v>0</v>
      </c>
      <c r="M150" s="49">
        <f>資料儲存!F3838</f>
        <v>0</v>
      </c>
      <c r="N150" s="49">
        <f>資料儲存!G3838</f>
        <v>0</v>
      </c>
      <c r="O150" s="49">
        <f>資料儲存!H3838</f>
        <v>0</v>
      </c>
      <c r="P150" s="49">
        <f>資料儲存!I3838</f>
        <v>0</v>
      </c>
      <c r="Q150" s="49">
        <f>資料儲存!J3838</f>
        <v>0</v>
      </c>
      <c r="R150" s="52"/>
      <c r="S150" s="68">
        <v>57</v>
      </c>
      <c r="T150" s="49">
        <f>資料儲存!D3958</f>
        <v>0</v>
      </c>
      <c r="U150" s="49">
        <f>資料儲存!E3958</f>
        <v>0</v>
      </c>
      <c r="V150" s="49">
        <f>資料儲存!F3958</f>
        <v>0</v>
      </c>
      <c r="W150" s="49">
        <f>資料儲存!G3958</f>
        <v>0</v>
      </c>
      <c r="X150" s="49">
        <f>資料儲存!H3958</f>
        <v>0</v>
      </c>
      <c r="Y150" s="49">
        <f>資料儲存!I3958</f>
        <v>0</v>
      </c>
      <c r="Z150" s="49">
        <f>資料儲存!J3958</f>
        <v>0</v>
      </c>
      <c r="AA150" s="52"/>
      <c r="AB150" s="68">
        <v>57</v>
      </c>
      <c r="AC150" s="49">
        <f>資料儲存!D4078</f>
        <v>0</v>
      </c>
      <c r="AD150" s="49">
        <f>資料儲存!E4078</f>
        <v>0</v>
      </c>
      <c r="AE150" s="49">
        <f>資料儲存!F4078</f>
        <v>0</v>
      </c>
      <c r="AF150" s="49">
        <f>資料儲存!G4078</f>
        <v>0</v>
      </c>
      <c r="AG150" s="49">
        <f>資料儲存!H4078</f>
        <v>0</v>
      </c>
      <c r="AH150" s="49">
        <f>資料儲存!I4078</f>
        <v>0</v>
      </c>
      <c r="AI150" s="49">
        <f>資料儲存!J4078</f>
        <v>0</v>
      </c>
      <c r="AJ150" s="52"/>
    </row>
    <row r="151" spans="1:36" ht="16" thickBot="1">
      <c r="A151" s="68">
        <v>58</v>
      </c>
      <c r="B151" s="49">
        <f>資料儲存!D3719</f>
        <v>0</v>
      </c>
      <c r="C151" s="49">
        <f>資料儲存!E3719</f>
        <v>0</v>
      </c>
      <c r="D151" s="49">
        <f>資料儲存!F3719</f>
        <v>0</v>
      </c>
      <c r="E151" s="49">
        <f>資料儲存!G3719</f>
        <v>0</v>
      </c>
      <c r="F151" s="49">
        <f>資料儲存!H3719</f>
        <v>0</v>
      </c>
      <c r="G151" s="49">
        <f>資料儲存!I3719</f>
        <v>0</v>
      </c>
      <c r="H151" s="49">
        <f>資料儲存!J3719</f>
        <v>0</v>
      </c>
      <c r="I151" s="52"/>
      <c r="J151" s="68">
        <v>58</v>
      </c>
      <c r="K151" s="49">
        <f>資料儲存!D3839</f>
        <v>0</v>
      </c>
      <c r="L151" s="49">
        <f>資料儲存!E3839</f>
        <v>0</v>
      </c>
      <c r="M151" s="49">
        <f>資料儲存!F3839</f>
        <v>0</v>
      </c>
      <c r="N151" s="49">
        <f>資料儲存!G3839</f>
        <v>0</v>
      </c>
      <c r="O151" s="49">
        <f>資料儲存!H3839</f>
        <v>0</v>
      </c>
      <c r="P151" s="49">
        <f>資料儲存!I3839</f>
        <v>0</v>
      </c>
      <c r="Q151" s="49">
        <f>資料儲存!J3839</f>
        <v>0</v>
      </c>
      <c r="R151" s="52"/>
      <c r="S151" s="68">
        <v>58</v>
      </c>
      <c r="T151" s="49">
        <f>資料儲存!D3959</f>
        <v>0</v>
      </c>
      <c r="U151" s="49">
        <f>資料儲存!E3959</f>
        <v>0</v>
      </c>
      <c r="V151" s="49">
        <f>資料儲存!F3959</f>
        <v>0</v>
      </c>
      <c r="W151" s="49">
        <f>資料儲存!G3959</f>
        <v>0</v>
      </c>
      <c r="X151" s="49">
        <f>資料儲存!H3959</f>
        <v>0</v>
      </c>
      <c r="Y151" s="49">
        <f>資料儲存!I3959</f>
        <v>0</v>
      </c>
      <c r="Z151" s="49">
        <f>資料儲存!J3959</f>
        <v>0</v>
      </c>
      <c r="AA151" s="52"/>
      <c r="AB151" s="68">
        <v>58</v>
      </c>
      <c r="AC151" s="49">
        <f>資料儲存!D4079</f>
        <v>0</v>
      </c>
      <c r="AD151" s="49">
        <f>資料儲存!E4079</f>
        <v>0</v>
      </c>
      <c r="AE151" s="49">
        <f>資料儲存!F4079</f>
        <v>0</v>
      </c>
      <c r="AF151" s="49">
        <f>資料儲存!G4079</f>
        <v>0</v>
      </c>
      <c r="AG151" s="49">
        <f>資料儲存!H4079</f>
        <v>0</v>
      </c>
      <c r="AH151" s="49">
        <f>資料儲存!I4079</f>
        <v>0</v>
      </c>
      <c r="AI151" s="49">
        <f>資料儲存!J4079</f>
        <v>0</v>
      </c>
      <c r="AJ151" s="52"/>
    </row>
    <row r="152" spans="1:36" ht="16" thickBot="1">
      <c r="A152" s="68">
        <v>59</v>
      </c>
      <c r="B152" s="49">
        <f>資料儲存!D3720</f>
        <v>0</v>
      </c>
      <c r="C152" s="49">
        <f>資料儲存!E3720</f>
        <v>0</v>
      </c>
      <c r="D152" s="49">
        <f>資料儲存!F3720</f>
        <v>0</v>
      </c>
      <c r="E152" s="49">
        <f>資料儲存!G3720</f>
        <v>0</v>
      </c>
      <c r="F152" s="49">
        <f>資料儲存!H3720</f>
        <v>0</v>
      </c>
      <c r="G152" s="49">
        <f>資料儲存!I3720</f>
        <v>0</v>
      </c>
      <c r="H152" s="49">
        <f>資料儲存!J3720</f>
        <v>0</v>
      </c>
      <c r="I152" s="52"/>
      <c r="J152" s="68">
        <v>59</v>
      </c>
      <c r="K152" s="49">
        <f>資料儲存!D3840</f>
        <v>0</v>
      </c>
      <c r="L152" s="49">
        <f>資料儲存!E3840</f>
        <v>0</v>
      </c>
      <c r="M152" s="49">
        <f>資料儲存!F3840</f>
        <v>0</v>
      </c>
      <c r="N152" s="49">
        <f>資料儲存!G3840</f>
        <v>0</v>
      </c>
      <c r="O152" s="49">
        <f>資料儲存!H3840</f>
        <v>0</v>
      </c>
      <c r="P152" s="49">
        <f>資料儲存!I3840</f>
        <v>0</v>
      </c>
      <c r="Q152" s="49">
        <f>資料儲存!J3840</f>
        <v>0</v>
      </c>
      <c r="R152" s="52"/>
      <c r="S152" s="68">
        <v>59</v>
      </c>
      <c r="T152" s="49">
        <f>資料儲存!D3960</f>
        <v>0</v>
      </c>
      <c r="U152" s="49">
        <f>資料儲存!E3960</f>
        <v>0</v>
      </c>
      <c r="V152" s="49">
        <f>資料儲存!F3960</f>
        <v>0</v>
      </c>
      <c r="W152" s="49">
        <f>資料儲存!G3960</f>
        <v>0</v>
      </c>
      <c r="X152" s="49">
        <f>資料儲存!H3960</f>
        <v>0</v>
      </c>
      <c r="Y152" s="49">
        <f>資料儲存!I3960</f>
        <v>0</v>
      </c>
      <c r="Z152" s="49">
        <f>資料儲存!J3960</f>
        <v>0</v>
      </c>
      <c r="AA152" s="52"/>
      <c r="AB152" s="68">
        <v>59</v>
      </c>
      <c r="AC152" s="49">
        <f>資料儲存!D4080</f>
        <v>0</v>
      </c>
      <c r="AD152" s="49">
        <f>資料儲存!E4080</f>
        <v>0</v>
      </c>
      <c r="AE152" s="49">
        <f>資料儲存!F4080</f>
        <v>0</v>
      </c>
      <c r="AF152" s="49">
        <f>資料儲存!G4080</f>
        <v>0</v>
      </c>
      <c r="AG152" s="49">
        <f>資料儲存!H4080</f>
        <v>0</v>
      </c>
      <c r="AH152" s="49">
        <f>資料儲存!I4080</f>
        <v>0</v>
      </c>
      <c r="AI152" s="49">
        <f>資料儲存!J4080</f>
        <v>0</v>
      </c>
      <c r="AJ152" s="52"/>
    </row>
    <row r="153" spans="1:36" ht="16" thickBot="1">
      <c r="A153" s="68">
        <v>60</v>
      </c>
      <c r="B153" s="49">
        <f>資料儲存!D3721</f>
        <v>0</v>
      </c>
      <c r="C153" s="49">
        <f>資料儲存!E3721</f>
        <v>0</v>
      </c>
      <c r="D153" s="49">
        <f>資料儲存!F3721</f>
        <v>0</v>
      </c>
      <c r="E153" s="49">
        <f>資料儲存!G3721</f>
        <v>0</v>
      </c>
      <c r="F153" s="49">
        <f>資料儲存!H3721</f>
        <v>0</v>
      </c>
      <c r="G153" s="49">
        <f>資料儲存!I3721</f>
        <v>0</v>
      </c>
      <c r="H153" s="49">
        <f>資料儲存!J3721</f>
        <v>0</v>
      </c>
      <c r="I153" s="52"/>
      <c r="J153" s="68">
        <v>60</v>
      </c>
      <c r="K153" s="49">
        <f>資料儲存!D3841</f>
        <v>0</v>
      </c>
      <c r="L153" s="49">
        <f>資料儲存!E3841</f>
        <v>0</v>
      </c>
      <c r="M153" s="49">
        <f>資料儲存!F3841</f>
        <v>0</v>
      </c>
      <c r="N153" s="49">
        <f>資料儲存!G3841</f>
        <v>0</v>
      </c>
      <c r="O153" s="49">
        <f>資料儲存!H3841</f>
        <v>0</v>
      </c>
      <c r="P153" s="49">
        <f>資料儲存!I3841</f>
        <v>0</v>
      </c>
      <c r="Q153" s="49">
        <f>資料儲存!J3841</f>
        <v>0</v>
      </c>
      <c r="R153" s="52"/>
      <c r="S153" s="68">
        <v>60</v>
      </c>
      <c r="T153" s="49">
        <f>資料儲存!D3961</f>
        <v>0</v>
      </c>
      <c r="U153" s="49">
        <f>資料儲存!E3961</f>
        <v>0</v>
      </c>
      <c r="V153" s="49">
        <f>資料儲存!F3961</f>
        <v>0</v>
      </c>
      <c r="W153" s="49">
        <f>資料儲存!G3961</f>
        <v>0</v>
      </c>
      <c r="X153" s="49">
        <f>資料儲存!H3961</f>
        <v>0</v>
      </c>
      <c r="Y153" s="49">
        <f>資料儲存!I3961</f>
        <v>0</v>
      </c>
      <c r="Z153" s="49">
        <f>資料儲存!J3961</f>
        <v>0</v>
      </c>
      <c r="AA153" s="52"/>
      <c r="AB153" s="68">
        <v>60</v>
      </c>
      <c r="AC153" s="49">
        <f>資料儲存!D4081</f>
        <v>0</v>
      </c>
      <c r="AD153" s="49">
        <f>資料儲存!E4081</f>
        <v>0</v>
      </c>
      <c r="AE153" s="49">
        <f>資料儲存!F4081</f>
        <v>0</v>
      </c>
      <c r="AF153" s="49">
        <f>資料儲存!G4081</f>
        <v>0</v>
      </c>
      <c r="AG153" s="49">
        <f>資料儲存!H4081</f>
        <v>0</v>
      </c>
      <c r="AH153" s="49">
        <f>資料儲存!I4081</f>
        <v>0</v>
      </c>
      <c r="AI153" s="49">
        <f>資料儲存!J4081</f>
        <v>0</v>
      </c>
      <c r="AJ153" s="52"/>
    </row>
    <row r="154" spans="1:36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</row>
    <row r="155" spans="1:36">
      <c r="A155" s="69" t="s">
        <v>88</v>
      </c>
      <c r="B155" s="52"/>
      <c r="C155" s="52"/>
      <c r="D155" s="52"/>
      <c r="E155" s="52"/>
      <c r="F155" s="52"/>
      <c r="G155" s="52"/>
      <c r="H155" s="52"/>
      <c r="I155" s="52"/>
      <c r="J155" s="70" t="s">
        <v>88</v>
      </c>
      <c r="K155" s="52"/>
      <c r="L155" s="52"/>
      <c r="M155" s="52"/>
      <c r="N155" s="52"/>
      <c r="O155" s="52"/>
      <c r="P155" s="52"/>
      <c r="Q155" s="52"/>
      <c r="R155" s="52"/>
      <c r="S155" s="70" t="s">
        <v>88</v>
      </c>
      <c r="T155" s="52"/>
      <c r="U155" s="52"/>
      <c r="V155" s="52"/>
      <c r="W155" s="52"/>
      <c r="X155" s="52"/>
      <c r="Y155" s="52"/>
      <c r="Z155" s="52"/>
      <c r="AA155" s="52"/>
      <c r="AB155" s="70" t="s">
        <v>88</v>
      </c>
      <c r="AC155" s="52"/>
      <c r="AD155" s="52"/>
      <c r="AE155" s="52"/>
      <c r="AF155" s="52"/>
      <c r="AG155" s="52"/>
      <c r="AH155" s="52"/>
      <c r="AI155" s="52"/>
      <c r="AJ155" s="52"/>
    </row>
  </sheetData>
  <mergeCells count="40">
    <mergeCell ref="A136:H136"/>
    <mergeCell ref="S79:Z79"/>
    <mergeCell ref="AB79:AI79"/>
    <mergeCell ref="AB117:AI117"/>
    <mergeCell ref="J117:Q117"/>
    <mergeCell ref="S117:Z117"/>
    <mergeCell ref="A98:H98"/>
    <mergeCell ref="A117:H117"/>
    <mergeCell ref="J136:Q136"/>
    <mergeCell ref="S136:Z136"/>
    <mergeCell ref="AB136:AI136"/>
    <mergeCell ref="J98:Q98"/>
    <mergeCell ref="S98:Z98"/>
    <mergeCell ref="AB98:AI98"/>
    <mergeCell ref="A60:H60"/>
    <mergeCell ref="J60:Q60"/>
    <mergeCell ref="S60:Z60"/>
    <mergeCell ref="AB60:AI60"/>
    <mergeCell ref="A79:H79"/>
    <mergeCell ref="J79:Q79"/>
    <mergeCell ref="A41:H41"/>
    <mergeCell ref="J41:Q41"/>
    <mergeCell ref="S41:Z41"/>
    <mergeCell ref="AB41:AI41"/>
    <mergeCell ref="A3:H3"/>
    <mergeCell ref="J3:Q3"/>
    <mergeCell ref="S3:Z3"/>
    <mergeCell ref="AB3:AI3"/>
    <mergeCell ref="A22:H22"/>
    <mergeCell ref="J22:Q22"/>
    <mergeCell ref="S22:Z22"/>
    <mergeCell ref="AB22:AI22"/>
    <mergeCell ref="AB2:AI2"/>
    <mergeCell ref="S1:Z1"/>
    <mergeCell ref="AB1:AI1"/>
    <mergeCell ref="A1:H1"/>
    <mergeCell ref="J1:Q1"/>
    <mergeCell ref="A2:H2"/>
    <mergeCell ref="J2:Q2"/>
    <mergeCell ref="S2:Z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AJ306"/>
  <sheetViews>
    <sheetView tabSelected="1" zoomScale="70" zoomScaleNormal="70" zoomScaleSheetLayoutView="70" workbookViewId="0">
      <pane ySplit="1" topLeftCell="A2" activePane="bottomLeft" state="frozen"/>
      <selection activeCell="E159" sqref="E159"/>
      <selection pane="bottomLeft" activeCell="AK4" sqref="AK1:AR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37" width="2.08984375" style="1" customWidth="1"/>
    <col min="38" max="16384" width="10.08984375" style="1"/>
  </cols>
  <sheetData>
    <row r="1" spans="1:36" s="11" customFormat="1" ht="18.5" thickBot="1">
      <c r="A1" s="253" t="str">
        <f>基本資料!L11</f>
        <v>假日(16-20)</v>
      </c>
      <c r="B1" s="254"/>
      <c r="C1" s="254"/>
      <c r="D1" s="254"/>
      <c r="E1" s="254"/>
      <c r="F1" s="254"/>
      <c r="G1" s="254"/>
      <c r="H1" s="255"/>
      <c r="J1" s="253" t="str">
        <f>基本資料!L11</f>
        <v>假日(16-20)</v>
      </c>
      <c r="K1" s="254"/>
      <c r="L1" s="254"/>
      <c r="M1" s="254"/>
      <c r="N1" s="254"/>
      <c r="O1" s="254"/>
      <c r="P1" s="254"/>
      <c r="Q1" s="255"/>
      <c r="S1" s="253" t="str">
        <f>基本資料!L11</f>
        <v>假日(16-20)</v>
      </c>
      <c r="T1" s="254"/>
      <c r="U1" s="254"/>
      <c r="V1" s="254"/>
      <c r="W1" s="254"/>
      <c r="X1" s="254"/>
      <c r="Y1" s="254"/>
      <c r="Z1" s="255"/>
      <c r="AB1" s="253" t="str">
        <f>基本資料!L11</f>
        <v>假日(16-20)</v>
      </c>
      <c r="AC1" s="254"/>
      <c r="AD1" s="254"/>
      <c r="AE1" s="254"/>
      <c r="AF1" s="254"/>
      <c r="AG1" s="254"/>
      <c r="AH1" s="254"/>
      <c r="AI1" s="255"/>
    </row>
    <row r="2" spans="1:36" ht="18.5" thickBot="1">
      <c r="A2" s="256" t="str">
        <f>CONCATENATE(基本資料!B18,"方向：",基本資料!B19,基本資料!B20)</f>
        <v>A方向：</v>
      </c>
      <c r="B2" s="257"/>
      <c r="C2" s="257"/>
      <c r="D2" s="257"/>
      <c r="E2" s="257"/>
      <c r="F2" s="257"/>
      <c r="G2" s="257"/>
      <c r="H2" s="258"/>
      <c r="I2" s="1"/>
      <c r="J2" s="256" t="str">
        <f>CONCATENATE(基本資料!C18,"方向：",基本資料!C19,基本資料!C20)</f>
        <v>B方向：</v>
      </c>
      <c r="K2" s="257"/>
      <c r="L2" s="257"/>
      <c r="M2" s="257"/>
      <c r="N2" s="257"/>
      <c r="O2" s="257"/>
      <c r="P2" s="257"/>
      <c r="Q2" s="258"/>
      <c r="R2" s="1"/>
      <c r="S2" s="256" t="str">
        <f>CONCATENATE(基本資料!D18,"方向：",基本資料!D19,基本資料!D20)</f>
        <v>C方向：</v>
      </c>
      <c r="T2" s="257"/>
      <c r="U2" s="257"/>
      <c r="V2" s="257"/>
      <c r="W2" s="257"/>
      <c r="X2" s="257"/>
      <c r="Y2" s="257"/>
      <c r="Z2" s="258"/>
      <c r="AA2" s="1"/>
      <c r="AB2" s="256" t="str">
        <f>CONCATENATE(基本資料!E18,"方向：",基本資料!E19,基本資料!E20)</f>
        <v>D方向：</v>
      </c>
      <c r="AC2" s="257"/>
      <c r="AD2" s="257"/>
      <c r="AE2" s="257"/>
      <c r="AF2" s="257"/>
      <c r="AG2" s="257"/>
      <c r="AH2" s="257"/>
      <c r="AI2" s="258"/>
      <c r="AJ2" s="1"/>
    </row>
    <row r="3" spans="1:36" ht="18.5" thickBot="1">
      <c r="A3" s="250" t="s">
        <v>117</v>
      </c>
      <c r="B3" s="251"/>
      <c r="C3" s="251"/>
      <c r="D3" s="251"/>
      <c r="E3" s="251"/>
      <c r="F3" s="251"/>
      <c r="G3" s="251"/>
      <c r="H3" s="252"/>
      <c r="I3" s="22"/>
      <c r="J3" s="250" t="s">
        <v>117</v>
      </c>
      <c r="K3" s="251"/>
      <c r="L3" s="251"/>
      <c r="M3" s="251"/>
      <c r="N3" s="251"/>
      <c r="O3" s="251"/>
      <c r="P3" s="251"/>
      <c r="Q3" s="252"/>
      <c r="R3" s="22"/>
      <c r="S3" s="250" t="s">
        <v>117</v>
      </c>
      <c r="T3" s="251"/>
      <c r="U3" s="251"/>
      <c r="V3" s="251"/>
      <c r="W3" s="251"/>
      <c r="X3" s="251"/>
      <c r="Y3" s="251"/>
      <c r="Z3" s="252"/>
      <c r="AA3" s="22"/>
      <c r="AB3" s="250" t="s">
        <v>117</v>
      </c>
      <c r="AC3" s="251"/>
      <c r="AD3" s="251"/>
      <c r="AE3" s="251"/>
      <c r="AF3" s="251"/>
      <c r="AG3" s="251"/>
      <c r="AH3" s="251"/>
      <c r="AI3" s="252"/>
      <c r="AJ3" s="22"/>
    </row>
    <row r="4" spans="1:36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</row>
    <row r="5" spans="1:36" ht="16" thickBot="1">
      <c r="A5" s="59">
        <v>0.66666666666666663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>
        <v>0.66666666666666663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>
        <v>0.66666666666666663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>
        <v>0.66666666666666663</v>
      </c>
      <c r="AC5" s="60" t="s">
        <v>49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</row>
    <row r="6" spans="1:36" ht="16" thickBot="1">
      <c r="A6" s="61">
        <v>1</v>
      </c>
      <c r="B6" s="39">
        <f>資料儲存!D4082</f>
        <v>0</v>
      </c>
      <c r="C6" s="39">
        <f>資料儲存!E4082</f>
        <v>0</v>
      </c>
      <c r="D6" s="39">
        <f>資料儲存!F4082</f>
        <v>0</v>
      </c>
      <c r="E6" s="39">
        <f>資料儲存!G4082</f>
        <v>0</v>
      </c>
      <c r="F6" s="39">
        <f>資料儲存!H4082</f>
        <v>0</v>
      </c>
      <c r="G6" s="39">
        <f>資料儲存!I4082</f>
        <v>0</v>
      </c>
      <c r="H6" s="39">
        <f>資料儲存!J4082</f>
        <v>0</v>
      </c>
      <c r="I6" s="58"/>
      <c r="J6" s="61">
        <v>1</v>
      </c>
      <c r="K6" s="39">
        <f>資料儲存!D4322</f>
        <v>0</v>
      </c>
      <c r="L6" s="39">
        <f>資料儲存!E4322</f>
        <v>0</v>
      </c>
      <c r="M6" s="39">
        <f>資料儲存!F4322</f>
        <v>0</v>
      </c>
      <c r="N6" s="39">
        <f>資料儲存!G4322</f>
        <v>0</v>
      </c>
      <c r="O6" s="39">
        <f>資料儲存!H4322</f>
        <v>0</v>
      </c>
      <c r="P6" s="39">
        <f>資料儲存!I4322</f>
        <v>0</v>
      </c>
      <c r="Q6" s="39">
        <f>資料儲存!J4322</f>
        <v>0</v>
      </c>
      <c r="R6" s="58"/>
      <c r="S6" s="61">
        <v>1</v>
      </c>
      <c r="T6" s="39">
        <f>資料儲存!D4562</f>
        <v>0</v>
      </c>
      <c r="U6" s="39">
        <f>資料儲存!E4562</f>
        <v>0</v>
      </c>
      <c r="V6" s="39">
        <f>資料儲存!F4562</f>
        <v>0</v>
      </c>
      <c r="W6" s="39">
        <f>資料儲存!G4562</f>
        <v>0</v>
      </c>
      <c r="X6" s="39">
        <f>資料儲存!H4562</f>
        <v>0</v>
      </c>
      <c r="Y6" s="39">
        <f>資料儲存!I4562</f>
        <v>0</v>
      </c>
      <c r="Z6" s="39">
        <f>資料儲存!J4562</f>
        <v>0</v>
      </c>
      <c r="AA6" s="58"/>
      <c r="AB6" s="61">
        <v>1</v>
      </c>
      <c r="AC6" s="39">
        <f>資料儲存!D4802</f>
        <v>0</v>
      </c>
      <c r="AD6" s="39">
        <f>資料儲存!E4802</f>
        <v>0</v>
      </c>
      <c r="AE6" s="39">
        <f>資料儲存!F4802</f>
        <v>0</v>
      </c>
      <c r="AF6" s="39">
        <f>資料儲存!G4802</f>
        <v>0</v>
      </c>
      <c r="AG6" s="39">
        <f>資料儲存!H4802</f>
        <v>0</v>
      </c>
      <c r="AH6" s="39">
        <f>資料儲存!I4802</f>
        <v>0</v>
      </c>
      <c r="AI6" s="39">
        <f>資料儲存!J4802</f>
        <v>0</v>
      </c>
      <c r="AJ6" s="58"/>
    </row>
    <row r="7" spans="1:36" ht="16" thickBot="1">
      <c r="A7" s="61">
        <v>2</v>
      </c>
      <c r="B7" s="39">
        <f>資料儲存!D4083</f>
        <v>0</v>
      </c>
      <c r="C7" s="39">
        <f>資料儲存!E4083</f>
        <v>0</v>
      </c>
      <c r="D7" s="39">
        <f>資料儲存!F4083</f>
        <v>0</v>
      </c>
      <c r="E7" s="39">
        <f>資料儲存!G4083</f>
        <v>0</v>
      </c>
      <c r="F7" s="39">
        <f>資料儲存!H4083</f>
        <v>0</v>
      </c>
      <c r="G7" s="39">
        <f>資料儲存!I4083</f>
        <v>0</v>
      </c>
      <c r="H7" s="39">
        <f>資料儲存!J4083</f>
        <v>0</v>
      </c>
      <c r="I7" s="58"/>
      <c r="J7" s="61">
        <v>2</v>
      </c>
      <c r="K7" s="39">
        <f>資料儲存!D4323</f>
        <v>0</v>
      </c>
      <c r="L7" s="39">
        <f>資料儲存!E4323</f>
        <v>0</v>
      </c>
      <c r="M7" s="39">
        <f>資料儲存!F4323</f>
        <v>0</v>
      </c>
      <c r="N7" s="39">
        <f>資料儲存!G4323</f>
        <v>0</v>
      </c>
      <c r="O7" s="39">
        <f>資料儲存!H4323</f>
        <v>0</v>
      </c>
      <c r="P7" s="39">
        <f>資料儲存!I4323</f>
        <v>0</v>
      </c>
      <c r="Q7" s="39">
        <f>資料儲存!J4323</f>
        <v>0</v>
      </c>
      <c r="R7" s="58"/>
      <c r="S7" s="61">
        <v>2</v>
      </c>
      <c r="T7" s="39">
        <f>資料儲存!D4563</f>
        <v>0</v>
      </c>
      <c r="U7" s="39">
        <f>資料儲存!E4563</f>
        <v>0</v>
      </c>
      <c r="V7" s="39">
        <f>資料儲存!F4563</f>
        <v>0</v>
      </c>
      <c r="W7" s="39">
        <f>資料儲存!G4563</f>
        <v>0</v>
      </c>
      <c r="X7" s="39">
        <f>資料儲存!H4563</f>
        <v>0</v>
      </c>
      <c r="Y7" s="39">
        <f>資料儲存!I4563</f>
        <v>0</v>
      </c>
      <c r="Z7" s="39">
        <f>資料儲存!J4563</f>
        <v>0</v>
      </c>
      <c r="AA7" s="58"/>
      <c r="AB7" s="61">
        <v>2</v>
      </c>
      <c r="AC7" s="39">
        <f>資料儲存!D4803</f>
        <v>0</v>
      </c>
      <c r="AD7" s="39">
        <f>資料儲存!E4803</f>
        <v>0</v>
      </c>
      <c r="AE7" s="39">
        <f>資料儲存!F4803</f>
        <v>0</v>
      </c>
      <c r="AF7" s="39">
        <f>資料儲存!G4803</f>
        <v>0</v>
      </c>
      <c r="AG7" s="39">
        <f>資料儲存!H4803</f>
        <v>0</v>
      </c>
      <c r="AH7" s="39">
        <f>資料儲存!I4803</f>
        <v>0</v>
      </c>
      <c r="AI7" s="39">
        <f>資料儲存!J4803</f>
        <v>0</v>
      </c>
      <c r="AJ7" s="58"/>
    </row>
    <row r="8" spans="1:36" ht="16" thickBot="1">
      <c r="A8" s="61">
        <v>3</v>
      </c>
      <c r="B8" s="39">
        <f>資料儲存!D4084</f>
        <v>0</v>
      </c>
      <c r="C8" s="39">
        <f>資料儲存!E4084</f>
        <v>0</v>
      </c>
      <c r="D8" s="39">
        <f>資料儲存!F4084</f>
        <v>0</v>
      </c>
      <c r="E8" s="39">
        <f>資料儲存!G4084</f>
        <v>0</v>
      </c>
      <c r="F8" s="39">
        <f>資料儲存!H4084</f>
        <v>0</v>
      </c>
      <c r="G8" s="39">
        <f>資料儲存!I4084</f>
        <v>0</v>
      </c>
      <c r="H8" s="39">
        <f>資料儲存!J4084</f>
        <v>0</v>
      </c>
      <c r="I8" s="58"/>
      <c r="J8" s="61">
        <v>3</v>
      </c>
      <c r="K8" s="39">
        <f>資料儲存!D4324</f>
        <v>0</v>
      </c>
      <c r="L8" s="39">
        <f>資料儲存!E4324</f>
        <v>0</v>
      </c>
      <c r="M8" s="39">
        <f>資料儲存!F4324</f>
        <v>0</v>
      </c>
      <c r="N8" s="39">
        <f>資料儲存!G4324</f>
        <v>0</v>
      </c>
      <c r="O8" s="39">
        <f>資料儲存!H4324</f>
        <v>0</v>
      </c>
      <c r="P8" s="39">
        <f>資料儲存!I4324</f>
        <v>0</v>
      </c>
      <c r="Q8" s="39">
        <f>資料儲存!J4324</f>
        <v>0</v>
      </c>
      <c r="R8" s="58"/>
      <c r="S8" s="61">
        <v>3</v>
      </c>
      <c r="T8" s="39">
        <f>資料儲存!D4564</f>
        <v>0</v>
      </c>
      <c r="U8" s="39">
        <f>資料儲存!E4564</f>
        <v>0</v>
      </c>
      <c r="V8" s="39">
        <f>資料儲存!F4564</f>
        <v>0</v>
      </c>
      <c r="W8" s="39">
        <f>資料儲存!G4564</f>
        <v>0</v>
      </c>
      <c r="X8" s="39">
        <f>資料儲存!H4564</f>
        <v>0</v>
      </c>
      <c r="Y8" s="39">
        <f>資料儲存!I4564</f>
        <v>0</v>
      </c>
      <c r="Z8" s="39">
        <f>資料儲存!J4564</f>
        <v>0</v>
      </c>
      <c r="AA8" s="58"/>
      <c r="AB8" s="61">
        <v>3</v>
      </c>
      <c r="AC8" s="39">
        <f>資料儲存!D4804</f>
        <v>0</v>
      </c>
      <c r="AD8" s="39">
        <f>資料儲存!E4804</f>
        <v>0</v>
      </c>
      <c r="AE8" s="39">
        <f>資料儲存!F4804</f>
        <v>0</v>
      </c>
      <c r="AF8" s="39">
        <f>資料儲存!G4804</f>
        <v>0</v>
      </c>
      <c r="AG8" s="39">
        <f>資料儲存!H4804</f>
        <v>0</v>
      </c>
      <c r="AH8" s="39">
        <f>資料儲存!I4804</f>
        <v>0</v>
      </c>
      <c r="AI8" s="39">
        <f>資料儲存!J4804</f>
        <v>0</v>
      </c>
      <c r="AJ8" s="58"/>
    </row>
    <row r="9" spans="1:36" ht="16" thickBot="1">
      <c r="A9" s="61">
        <v>4</v>
      </c>
      <c r="B9" s="39">
        <f>資料儲存!D4085</f>
        <v>0</v>
      </c>
      <c r="C9" s="39">
        <f>資料儲存!E4085</f>
        <v>0</v>
      </c>
      <c r="D9" s="39">
        <f>資料儲存!F4085</f>
        <v>0</v>
      </c>
      <c r="E9" s="39">
        <f>資料儲存!G4085</f>
        <v>0</v>
      </c>
      <c r="F9" s="39">
        <f>資料儲存!H4085</f>
        <v>0</v>
      </c>
      <c r="G9" s="39">
        <f>資料儲存!I4085</f>
        <v>0</v>
      </c>
      <c r="H9" s="39">
        <f>資料儲存!J4085</f>
        <v>0</v>
      </c>
      <c r="I9" s="58"/>
      <c r="J9" s="61">
        <v>4</v>
      </c>
      <c r="K9" s="39">
        <f>資料儲存!D4325</f>
        <v>0</v>
      </c>
      <c r="L9" s="39">
        <f>資料儲存!E4325</f>
        <v>0</v>
      </c>
      <c r="M9" s="39">
        <f>資料儲存!F4325</f>
        <v>0</v>
      </c>
      <c r="N9" s="39">
        <f>資料儲存!G4325</f>
        <v>0</v>
      </c>
      <c r="O9" s="39">
        <f>資料儲存!H4325</f>
        <v>0</v>
      </c>
      <c r="P9" s="39">
        <f>資料儲存!I4325</f>
        <v>0</v>
      </c>
      <c r="Q9" s="39">
        <f>資料儲存!J4325</f>
        <v>0</v>
      </c>
      <c r="R9" s="58"/>
      <c r="S9" s="61">
        <v>4</v>
      </c>
      <c r="T9" s="39">
        <f>資料儲存!D4565</f>
        <v>0</v>
      </c>
      <c r="U9" s="39">
        <f>資料儲存!E4565</f>
        <v>0</v>
      </c>
      <c r="V9" s="39">
        <f>資料儲存!F4565</f>
        <v>0</v>
      </c>
      <c r="W9" s="39">
        <f>資料儲存!G4565</f>
        <v>0</v>
      </c>
      <c r="X9" s="39">
        <f>資料儲存!H4565</f>
        <v>0</v>
      </c>
      <c r="Y9" s="39">
        <f>資料儲存!I4565</f>
        <v>0</v>
      </c>
      <c r="Z9" s="39">
        <f>資料儲存!J4565</f>
        <v>0</v>
      </c>
      <c r="AA9" s="58"/>
      <c r="AB9" s="61">
        <v>4</v>
      </c>
      <c r="AC9" s="39">
        <f>資料儲存!D4805</f>
        <v>0</v>
      </c>
      <c r="AD9" s="39">
        <f>資料儲存!E4805</f>
        <v>0</v>
      </c>
      <c r="AE9" s="39">
        <f>資料儲存!F4805</f>
        <v>0</v>
      </c>
      <c r="AF9" s="39">
        <f>資料儲存!G4805</f>
        <v>0</v>
      </c>
      <c r="AG9" s="39">
        <f>資料儲存!H4805</f>
        <v>0</v>
      </c>
      <c r="AH9" s="39">
        <f>資料儲存!I4805</f>
        <v>0</v>
      </c>
      <c r="AI9" s="39">
        <f>資料儲存!J4805</f>
        <v>0</v>
      </c>
      <c r="AJ9" s="58"/>
    </row>
    <row r="10" spans="1:36" ht="16" thickBot="1">
      <c r="A10" s="61">
        <v>5</v>
      </c>
      <c r="B10" s="39">
        <f>資料儲存!D4086</f>
        <v>0</v>
      </c>
      <c r="C10" s="39">
        <f>資料儲存!E4086</f>
        <v>0</v>
      </c>
      <c r="D10" s="39">
        <f>資料儲存!F4086</f>
        <v>0</v>
      </c>
      <c r="E10" s="39">
        <f>資料儲存!G4086</f>
        <v>0</v>
      </c>
      <c r="F10" s="39">
        <f>資料儲存!H4086</f>
        <v>0</v>
      </c>
      <c r="G10" s="39">
        <f>資料儲存!I4086</f>
        <v>0</v>
      </c>
      <c r="H10" s="39">
        <f>資料儲存!J4086</f>
        <v>0</v>
      </c>
      <c r="I10" s="58"/>
      <c r="J10" s="61">
        <v>5</v>
      </c>
      <c r="K10" s="39">
        <f>資料儲存!D4326</f>
        <v>0</v>
      </c>
      <c r="L10" s="39">
        <f>資料儲存!E4326</f>
        <v>0</v>
      </c>
      <c r="M10" s="39">
        <f>資料儲存!F4326</f>
        <v>0</v>
      </c>
      <c r="N10" s="39">
        <f>資料儲存!G4326</f>
        <v>0</v>
      </c>
      <c r="O10" s="39">
        <f>資料儲存!H4326</f>
        <v>0</v>
      </c>
      <c r="P10" s="39">
        <f>資料儲存!I4326</f>
        <v>0</v>
      </c>
      <c r="Q10" s="39">
        <f>資料儲存!J4326</f>
        <v>0</v>
      </c>
      <c r="R10" s="58"/>
      <c r="S10" s="61">
        <v>5</v>
      </c>
      <c r="T10" s="39">
        <f>資料儲存!D4566</f>
        <v>0</v>
      </c>
      <c r="U10" s="39">
        <f>資料儲存!E4566</f>
        <v>0</v>
      </c>
      <c r="V10" s="39">
        <f>資料儲存!F4566</f>
        <v>0</v>
      </c>
      <c r="W10" s="39">
        <f>資料儲存!G4566</f>
        <v>0</v>
      </c>
      <c r="X10" s="39">
        <f>資料儲存!H4566</f>
        <v>0</v>
      </c>
      <c r="Y10" s="39">
        <f>資料儲存!I4566</f>
        <v>0</v>
      </c>
      <c r="Z10" s="39">
        <f>資料儲存!J4566</f>
        <v>0</v>
      </c>
      <c r="AA10" s="58"/>
      <c r="AB10" s="61">
        <v>5</v>
      </c>
      <c r="AC10" s="39">
        <f>資料儲存!D4806</f>
        <v>0</v>
      </c>
      <c r="AD10" s="39">
        <f>資料儲存!E4806</f>
        <v>0</v>
      </c>
      <c r="AE10" s="39">
        <f>資料儲存!F4806</f>
        <v>0</v>
      </c>
      <c r="AF10" s="39">
        <f>資料儲存!G4806</f>
        <v>0</v>
      </c>
      <c r="AG10" s="39">
        <f>資料儲存!H4806</f>
        <v>0</v>
      </c>
      <c r="AH10" s="39">
        <f>資料儲存!I4806</f>
        <v>0</v>
      </c>
      <c r="AI10" s="39">
        <f>資料儲存!J4806</f>
        <v>0</v>
      </c>
      <c r="AJ10" s="58"/>
    </row>
    <row r="11" spans="1:36" ht="16" thickBot="1">
      <c r="A11" s="61">
        <v>6</v>
      </c>
      <c r="B11" s="39">
        <f>資料儲存!D4087</f>
        <v>0</v>
      </c>
      <c r="C11" s="39">
        <f>資料儲存!E4087</f>
        <v>0</v>
      </c>
      <c r="D11" s="39">
        <f>資料儲存!F4087</f>
        <v>0</v>
      </c>
      <c r="E11" s="39">
        <f>資料儲存!G4087</f>
        <v>0</v>
      </c>
      <c r="F11" s="39">
        <f>資料儲存!H4087</f>
        <v>0</v>
      </c>
      <c r="G11" s="39">
        <f>資料儲存!I4087</f>
        <v>0</v>
      </c>
      <c r="H11" s="39">
        <f>資料儲存!J4087</f>
        <v>0</v>
      </c>
      <c r="I11" s="58"/>
      <c r="J11" s="61">
        <v>6</v>
      </c>
      <c r="K11" s="39">
        <f>資料儲存!D4327</f>
        <v>0</v>
      </c>
      <c r="L11" s="39">
        <f>資料儲存!E4327</f>
        <v>0</v>
      </c>
      <c r="M11" s="39">
        <f>資料儲存!F4327</f>
        <v>0</v>
      </c>
      <c r="N11" s="39">
        <f>資料儲存!G4327</f>
        <v>0</v>
      </c>
      <c r="O11" s="39">
        <f>資料儲存!H4327</f>
        <v>0</v>
      </c>
      <c r="P11" s="39">
        <f>資料儲存!I4327</f>
        <v>0</v>
      </c>
      <c r="Q11" s="39">
        <f>資料儲存!J4327</f>
        <v>0</v>
      </c>
      <c r="R11" s="58"/>
      <c r="S11" s="61">
        <v>6</v>
      </c>
      <c r="T11" s="39">
        <f>資料儲存!D4567</f>
        <v>0</v>
      </c>
      <c r="U11" s="39">
        <f>資料儲存!E4567</f>
        <v>0</v>
      </c>
      <c r="V11" s="39">
        <f>資料儲存!F4567</f>
        <v>0</v>
      </c>
      <c r="W11" s="39">
        <f>資料儲存!G4567</f>
        <v>0</v>
      </c>
      <c r="X11" s="39">
        <f>資料儲存!H4567</f>
        <v>0</v>
      </c>
      <c r="Y11" s="39">
        <f>資料儲存!I4567</f>
        <v>0</v>
      </c>
      <c r="Z11" s="39">
        <f>資料儲存!J4567</f>
        <v>0</v>
      </c>
      <c r="AA11" s="58"/>
      <c r="AB11" s="61">
        <v>6</v>
      </c>
      <c r="AC11" s="39">
        <f>資料儲存!D4807</f>
        <v>0</v>
      </c>
      <c r="AD11" s="39">
        <f>資料儲存!E4807</f>
        <v>0</v>
      </c>
      <c r="AE11" s="39">
        <f>資料儲存!F4807</f>
        <v>0</v>
      </c>
      <c r="AF11" s="39">
        <f>資料儲存!G4807</f>
        <v>0</v>
      </c>
      <c r="AG11" s="39">
        <f>資料儲存!H4807</f>
        <v>0</v>
      </c>
      <c r="AH11" s="39">
        <f>資料儲存!I4807</f>
        <v>0</v>
      </c>
      <c r="AI11" s="39">
        <f>資料儲存!J4807</f>
        <v>0</v>
      </c>
      <c r="AJ11" s="58"/>
    </row>
    <row r="12" spans="1:36" ht="16" thickBot="1">
      <c r="A12" s="61">
        <v>7</v>
      </c>
      <c r="B12" s="39">
        <f>資料儲存!D4088</f>
        <v>0</v>
      </c>
      <c r="C12" s="39">
        <f>資料儲存!E4088</f>
        <v>0</v>
      </c>
      <c r="D12" s="39">
        <f>資料儲存!F4088</f>
        <v>0</v>
      </c>
      <c r="E12" s="39">
        <f>資料儲存!G4088</f>
        <v>0</v>
      </c>
      <c r="F12" s="39">
        <f>資料儲存!H4088</f>
        <v>0</v>
      </c>
      <c r="G12" s="39">
        <f>資料儲存!I4088</f>
        <v>0</v>
      </c>
      <c r="H12" s="39">
        <f>資料儲存!J4088</f>
        <v>0</v>
      </c>
      <c r="I12" s="58"/>
      <c r="J12" s="61">
        <v>7</v>
      </c>
      <c r="K12" s="39">
        <f>資料儲存!D4328</f>
        <v>0</v>
      </c>
      <c r="L12" s="39">
        <f>資料儲存!E4328</f>
        <v>0</v>
      </c>
      <c r="M12" s="39">
        <f>資料儲存!F4328</f>
        <v>0</v>
      </c>
      <c r="N12" s="39">
        <f>資料儲存!G4328</f>
        <v>0</v>
      </c>
      <c r="O12" s="39">
        <f>資料儲存!H4328</f>
        <v>0</v>
      </c>
      <c r="P12" s="39">
        <f>資料儲存!I4328</f>
        <v>0</v>
      </c>
      <c r="Q12" s="39">
        <f>資料儲存!J4328</f>
        <v>0</v>
      </c>
      <c r="R12" s="58"/>
      <c r="S12" s="61">
        <v>7</v>
      </c>
      <c r="T12" s="39">
        <f>資料儲存!D4568</f>
        <v>0</v>
      </c>
      <c r="U12" s="39">
        <f>資料儲存!E4568</f>
        <v>0</v>
      </c>
      <c r="V12" s="39">
        <f>資料儲存!F4568</f>
        <v>0</v>
      </c>
      <c r="W12" s="39">
        <f>資料儲存!G4568</f>
        <v>0</v>
      </c>
      <c r="X12" s="39">
        <f>資料儲存!H4568</f>
        <v>0</v>
      </c>
      <c r="Y12" s="39">
        <f>資料儲存!I4568</f>
        <v>0</v>
      </c>
      <c r="Z12" s="39">
        <f>資料儲存!J4568</f>
        <v>0</v>
      </c>
      <c r="AA12" s="58"/>
      <c r="AB12" s="61">
        <v>7</v>
      </c>
      <c r="AC12" s="39">
        <f>資料儲存!D4808</f>
        <v>0</v>
      </c>
      <c r="AD12" s="39">
        <f>資料儲存!E4808</f>
        <v>0</v>
      </c>
      <c r="AE12" s="39">
        <f>資料儲存!F4808</f>
        <v>0</v>
      </c>
      <c r="AF12" s="39">
        <f>資料儲存!G4808</f>
        <v>0</v>
      </c>
      <c r="AG12" s="39">
        <f>資料儲存!H4808</f>
        <v>0</v>
      </c>
      <c r="AH12" s="39">
        <f>資料儲存!I4808</f>
        <v>0</v>
      </c>
      <c r="AI12" s="39">
        <f>資料儲存!J4808</f>
        <v>0</v>
      </c>
      <c r="AJ12" s="58"/>
    </row>
    <row r="13" spans="1:36" ht="16" thickBot="1">
      <c r="A13" s="61">
        <v>8</v>
      </c>
      <c r="B13" s="39">
        <f>資料儲存!D4089</f>
        <v>0</v>
      </c>
      <c r="C13" s="39">
        <f>資料儲存!E4089</f>
        <v>0</v>
      </c>
      <c r="D13" s="39">
        <f>資料儲存!F4089</f>
        <v>0</v>
      </c>
      <c r="E13" s="39">
        <f>資料儲存!G4089</f>
        <v>0</v>
      </c>
      <c r="F13" s="39">
        <f>資料儲存!H4089</f>
        <v>0</v>
      </c>
      <c r="G13" s="39">
        <f>資料儲存!I4089</f>
        <v>0</v>
      </c>
      <c r="H13" s="39">
        <f>資料儲存!J4089</f>
        <v>0</v>
      </c>
      <c r="I13" s="58"/>
      <c r="J13" s="61">
        <v>8</v>
      </c>
      <c r="K13" s="39">
        <f>資料儲存!D4329</f>
        <v>0</v>
      </c>
      <c r="L13" s="39">
        <f>資料儲存!E4329</f>
        <v>0</v>
      </c>
      <c r="M13" s="39">
        <f>資料儲存!F4329</f>
        <v>0</v>
      </c>
      <c r="N13" s="39">
        <f>資料儲存!G4329</f>
        <v>0</v>
      </c>
      <c r="O13" s="39">
        <f>資料儲存!H4329</f>
        <v>0</v>
      </c>
      <c r="P13" s="39">
        <f>資料儲存!I4329</f>
        <v>0</v>
      </c>
      <c r="Q13" s="39">
        <f>資料儲存!J4329</f>
        <v>0</v>
      </c>
      <c r="R13" s="58"/>
      <c r="S13" s="61">
        <v>8</v>
      </c>
      <c r="T13" s="39">
        <f>資料儲存!D4569</f>
        <v>0</v>
      </c>
      <c r="U13" s="39">
        <f>資料儲存!E4569</f>
        <v>0</v>
      </c>
      <c r="V13" s="39">
        <f>資料儲存!F4569</f>
        <v>0</v>
      </c>
      <c r="W13" s="39">
        <f>資料儲存!G4569</f>
        <v>0</v>
      </c>
      <c r="X13" s="39">
        <f>資料儲存!H4569</f>
        <v>0</v>
      </c>
      <c r="Y13" s="39">
        <f>資料儲存!I4569</f>
        <v>0</v>
      </c>
      <c r="Z13" s="39">
        <f>資料儲存!J4569</f>
        <v>0</v>
      </c>
      <c r="AA13" s="58"/>
      <c r="AB13" s="61">
        <v>8</v>
      </c>
      <c r="AC13" s="39">
        <f>資料儲存!D4809</f>
        <v>0</v>
      </c>
      <c r="AD13" s="39">
        <f>資料儲存!E4809</f>
        <v>0</v>
      </c>
      <c r="AE13" s="39">
        <f>資料儲存!F4809</f>
        <v>0</v>
      </c>
      <c r="AF13" s="39">
        <f>資料儲存!G4809</f>
        <v>0</v>
      </c>
      <c r="AG13" s="39">
        <f>資料儲存!H4809</f>
        <v>0</v>
      </c>
      <c r="AH13" s="39">
        <f>資料儲存!I4809</f>
        <v>0</v>
      </c>
      <c r="AI13" s="39">
        <f>資料儲存!J4809</f>
        <v>0</v>
      </c>
      <c r="AJ13" s="58"/>
    </row>
    <row r="14" spans="1:36" ht="16" thickBot="1">
      <c r="A14" s="61">
        <v>9</v>
      </c>
      <c r="B14" s="39">
        <f>資料儲存!D4090</f>
        <v>0</v>
      </c>
      <c r="C14" s="39">
        <f>資料儲存!E4090</f>
        <v>0</v>
      </c>
      <c r="D14" s="39">
        <f>資料儲存!F4090</f>
        <v>0</v>
      </c>
      <c r="E14" s="39">
        <f>資料儲存!G4090</f>
        <v>0</v>
      </c>
      <c r="F14" s="39">
        <f>資料儲存!H4090</f>
        <v>0</v>
      </c>
      <c r="G14" s="39">
        <f>資料儲存!I4090</f>
        <v>0</v>
      </c>
      <c r="H14" s="39">
        <f>資料儲存!J4090</f>
        <v>0</v>
      </c>
      <c r="I14" s="58"/>
      <c r="J14" s="61">
        <v>9</v>
      </c>
      <c r="K14" s="39">
        <f>資料儲存!D4330</f>
        <v>0</v>
      </c>
      <c r="L14" s="39">
        <f>資料儲存!E4330</f>
        <v>0</v>
      </c>
      <c r="M14" s="39">
        <f>資料儲存!F4330</f>
        <v>0</v>
      </c>
      <c r="N14" s="39">
        <f>資料儲存!G4330</f>
        <v>0</v>
      </c>
      <c r="O14" s="39">
        <f>資料儲存!H4330</f>
        <v>0</v>
      </c>
      <c r="P14" s="39">
        <f>資料儲存!I4330</f>
        <v>0</v>
      </c>
      <c r="Q14" s="39">
        <f>資料儲存!J4330</f>
        <v>0</v>
      </c>
      <c r="R14" s="58"/>
      <c r="S14" s="61">
        <v>9</v>
      </c>
      <c r="T14" s="39">
        <f>資料儲存!D4570</f>
        <v>0</v>
      </c>
      <c r="U14" s="39">
        <f>資料儲存!E4570</f>
        <v>0</v>
      </c>
      <c r="V14" s="39">
        <f>資料儲存!F4570</f>
        <v>0</v>
      </c>
      <c r="W14" s="39">
        <f>資料儲存!G4570</f>
        <v>0</v>
      </c>
      <c r="X14" s="39">
        <f>資料儲存!H4570</f>
        <v>0</v>
      </c>
      <c r="Y14" s="39">
        <f>資料儲存!I4570</f>
        <v>0</v>
      </c>
      <c r="Z14" s="39">
        <f>資料儲存!J4570</f>
        <v>0</v>
      </c>
      <c r="AA14" s="58"/>
      <c r="AB14" s="61">
        <v>9</v>
      </c>
      <c r="AC14" s="39">
        <f>資料儲存!D4810</f>
        <v>0</v>
      </c>
      <c r="AD14" s="39">
        <f>資料儲存!E4810</f>
        <v>0</v>
      </c>
      <c r="AE14" s="39">
        <f>資料儲存!F4810</f>
        <v>0</v>
      </c>
      <c r="AF14" s="39">
        <f>資料儲存!G4810</f>
        <v>0</v>
      </c>
      <c r="AG14" s="39">
        <f>資料儲存!H4810</f>
        <v>0</v>
      </c>
      <c r="AH14" s="39">
        <f>資料儲存!I4810</f>
        <v>0</v>
      </c>
      <c r="AI14" s="39">
        <f>資料儲存!J4810</f>
        <v>0</v>
      </c>
      <c r="AJ14" s="58"/>
    </row>
    <row r="15" spans="1:36" ht="16" thickBot="1">
      <c r="A15" s="61">
        <v>10</v>
      </c>
      <c r="B15" s="39">
        <f>資料儲存!D4091</f>
        <v>0</v>
      </c>
      <c r="C15" s="39">
        <f>資料儲存!E4091</f>
        <v>0</v>
      </c>
      <c r="D15" s="39">
        <f>資料儲存!F4091</f>
        <v>0</v>
      </c>
      <c r="E15" s="39">
        <f>資料儲存!G4091</f>
        <v>0</v>
      </c>
      <c r="F15" s="39">
        <f>資料儲存!H4091</f>
        <v>0</v>
      </c>
      <c r="G15" s="39">
        <f>資料儲存!I4091</f>
        <v>0</v>
      </c>
      <c r="H15" s="39">
        <f>資料儲存!J4091</f>
        <v>0</v>
      </c>
      <c r="I15" s="58"/>
      <c r="J15" s="61">
        <v>10</v>
      </c>
      <c r="K15" s="39">
        <f>資料儲存!D4331</f>
        <v>0</v>
      </c>
      <c r="L15" s="39">
        <f>資料儲存!E4331</f>
        <v>0</v>
      </c>
      <c r="M15" s="39">
        <f>資料儲存!F4331</f>
        <v>0</v>
      </c>
      <c r="N15" s="39">
        <f>資料儲存!G4331</f>
        <v>0</v>
      </c>
      <c r="O15" s="39">
        <f>資料儲存!H4331</f>
        <v>0</v>
      </c>
      <c r="P15" s="39">
        <f>資料儲存!I4331</f>
        <v>0</v>
      </c>
      <c r="Q15" s="39">
        <f>資料儲存!J4331</f>
        <v>0</v>
      </c>
      <c r="R15" s="58"/>
      <c r="S15" s="61">
        <v>10</v>
      </c>
      <c r="T15" s="39">
        <f>資料儲存!D4571</f>
        <v>0</v>
      </c>
      <c r="U15" s="39">
        <f>資料儲存!E4571</f>
        <v>0</v>
      </c>
      <c r="V15" s="39">
        <f>資料儲存!F4571</f>
        <v>0</v>
      </c>
      <c r="W15" s="39">
        <f>資料儲存!G4571</f>
        <v>0</v>
      </c>
      <c r="X15" s="39">
        <f>資料儲存!H4571</f>
        <v>0</v>
      </c>
      <c r="Y15" s="39">
        <f>資料儲存!I4571</f>
        <v>0</v>
      </c>
      <c r="Z15" s="39">
        <f>資料儲存!J4571</f>
        <v>0</v>
      </c>
      <c r="AA15" s="58"/>
      <c r="AB15" s="61">
        <v>10</v>
      </c>
      <c r="AC15" s="39">
        <f>資料儲存!D4811</f>
        <v>0</v>
      </c>
      <c r="AD15" s="39">
        <f>資料儲存!E4811</f>
        <v>0</v>
      </c>
      <c r="AE15" s="39">
        <f>資料儲存!F4811</f>
        <v>0</v>
      </c>
      <c r="AF15" s="39">
        <f>資料儲存!G4811</f>
        <v>0</v>
      </c>
      <c r="AG15" s="39">
        <f>資料儲存!H4811</f>
        <v>0</v>
      </c>
      <c r="AH15" s="39">
        <f>資料儲存!I4811</f>
        <v>0</v>
      </c>
      <c r="AI15" s="39">
        <f>資料儲存!J4811</f>
        <v>0</v>
      </c>
      <c r="AJ15" s="58"/>
    </row>
    <row r="16" spans="1:36" ht="16" thickBot="1">
      <c r="A16" s="61">
        <v>11</v>
      </c>
      <c r="B16" s="39">
        <f>資料儲存!D4092</f>
        <v>0</v>
      </c>
      <c r="C16" s="39">
        <f>資料儲存!E4092</f>
        <v>0</v>
      </c>
      <c r="D16" s="39">
        <f>資料儲存!F4092</f>
        <v>0</v>
      </c>
      <c r="E16" s="39">
        <f>資料儲存!G4092</f>
        <v>0</v>
      </c>
      <c r="F16" s="39">
        <f>資料儲存!H4092</f>
        <v>0</v>
      </c>
      <c r="G16" s="39">
        <f>資料儲存!I4092</f>
        <v>0</v>
      </c>
      <c r="H16" s="39">
        <f>資料儲存!J4092</f>
        <v>0</v>
      </c>
      <c r="I16" s="58"/>
      <c r="J16" s="61">
        <v>11</v>
      </c>
      <c r="K16" s="39">
        <f>資料儲存!D4332</f>
        <v>0</v>
      </c>
      <c r="L16" s="39">
        <f>資料儲存!E4332</f>
        <v>0</v>
      </c>
      <c r="M16" s="39">
        <f>資料儲存!F4332</f>
        <v>0</v>
      </c>
      <c r="N16" s="39">
        <f>資料儲存!G4332</f>
        <v>0</v>
      </c>
      <c r="O16" s="39">
        <f>資料儲存!H4332</f>
        <v>0</v>
      </c>
      <c r="P16" s="39">
        <f>資料儲存!I4332</f>
        <v>0</v>
      </c>
      <c r="Q16" s="39">
        <f>資料儲存!J4332</f>
        <v>0</v>
      </c>
      <c r="R16" s="58"/>
      <c r="S16" s="61">
        <v>11</v>
      </c>
      <c r="T16" s="39">
        <f>資料儲存!D4572</f>
        <v>0</v>
      </c>
      <c r="U16" s="39">
        <f>資料儲存!E4572</f>
        <v>0</v>
      </c>
      <c r="V16" s="39">
        <f>資料儲存!F4572</f>
        <v>0</v>
      </c>
      <c r="W16" s="39">
        <f>資料儲存!G4572</f>
        <v>0</v>
      </c>
      <c r="X16" s="39">
        <f>資料儲存!H4572</f>
        <v>0</v>
      </c>
      <c r="Y16" s="39">
        <f>資料儲存!I4572</f>
        <v>0</v>
      </c>
      <c r="Z16" s="39">
        <f>資料儲存!J4572</f>
        <v>0</v>
      </c>
      <c r="AA16" s="58"/>
      <c r="AB16" s="61">
        <v>11</v>
      </c>
      <c r="AC16" s="39">
        <f>資料儲存!D4812</f>
        <v>0</v>
      </c>
      <c r="AD16" s="39">
        <f>資料儲存!E4812</f>
        <v>0</v>
      </c>
      <c r="AE16" s="39">
        <f>資料儲存!F4812</f>
        <v>0</v>
      </c>
      <c r="AF16" s="39">
        <f>資料儲存!G4812</f>
        <v>0</v>
      </c>
      <c r="AG16" s="39">
        <f>資料儲存!H4812</f>
        <v>0</v>
      </c>
      <c r="AH16" s="39">
        <f>資料儲存!I4812</f>
        <v>0</v>
      </c>
      <c r="AI16" s="39">
        <f>資料儲存!J4812</f>
        <v>0</v>
      </c>
      <c r="AJ16" s="58"/>
    </row>
    <row r="17" spans="1:36" ht="16" thickBot="1">
      <c r="A17" s="61">
        <v>12</v>
      </c>
      <c r="B17" s="39">
        <f>資料儲存!D4093</f>
        <v>0</v>
      </c>
      <c r="C17" s="39">
        <f>資料儲存!E4093</f>
        <v>0</v>
      </c>
      <c r="D17" s="39">
        <f>資料儲存!F4093</f>
        <v>0</v>
      </c>
      <c r="E17" s="39">
        <f>資料儲存!G4093</f>
        <v>0</v>
      </c>
      <c r="F17" s="39">
        <f>資料儲存!H4093</f>
        <v>0</v>
      </c>
      <c r="G17" s="39">
        <f>資料儲存!I4093</f>
        <v>0</v>
      </c>
      <c r="H17" s="39">
        <f>資料儲存!J4093</f>
        <v>0</v>
      </c>
      <c r="I17" s="58"/>
      <c r="J17" s="61">
        <v>12</v>
      </c>
      <c r="K17" s="39">
        <f>資料儲存!D4333</f>
        <v>0</v>
      </c>
      <c r="L17" s="39">
        <f>資料儲存!E4333</f>
        <v>0</v>
      </c>
      <c r="M17" s="39">
        <f>資料儲存!F4333</f>
        <v>0</v>
      </c>
      <c r="N17" s="39">
        <f>資料儲存!G4333</f>
        <v>0</v>
      </c>
      <c r="O17" s="39">
        <f>資料儲存!H4333</f>
        <v>0</v>
      </c>
      <c r="P17" s="39">
        <f>資料儲存!I4333</f>
        <v>0</v>
      </c>
      <c r="Q17" s="39">
        <f>資料儲存!J4333</f>
        <v>0</v>
      </c>
      <c r="R17" s="58"/>
      <c r="S17" s="61">
        <v>12</v>
      </c>
      <c r="T17" s="39">
        <f>資料儲存!D4573</f>
        <v>0</v>
      </c>
      <c r="U17" s="39">
        <f>資料儲存!E4573</f>
        <v>0</v>
      </c>
      <c r="V17" s="39">
        <f>資料儲存!F4573</f>
        <v>0</v>
      </c>
      <c r="W17" s="39">
        <f>資料儲存!G4573</f>
        <v>0</v>
      </c>
      <c r="X17" s="39">
        <f>資料儲存!H4573</f>
        <v>0</v>
      </c>
      <c r="Y17" s="39">
        <f>資料儲存!I4573</f>
        <v>0</v>
      </c>
      <c r="Z17" s="39">
        <f>資料儲存!J4573</f>
        <v>0</v>
      </c>
      <c r="AA17" s="58"/>
      <c r="AB17" s="61">
        <v>12</v>
      </c>
      <c r="AC17" s="39">
        <f>資料儲存!D4813</f>
        <v>0</v>
      </c>
      <c r="AD17" s="39">
        <f>資料儲存!E4813</f>
        <v>0</v>
      </c>
      <c r="AE17" s="39">
        <f>資料儲存!F4813</f>
        <v>0</v>
      </c>
      <c r="AF17" s="39">
        <f>資料儲存!G4813</f>
        <v>0</v>
      </c>
      <c r="AG17" s="39">
        <f>資料儲存!H4813</f>
        <v>0</v>
      </c>
      <c r="AH17" s="39">
        <f>資料儲存!I4813</f>
        <v>0</v>
      </c>
      <c r="AI17" s="39">
        <f>資料儲存!J4813</f>
        <v>0</v>
      </c>
      <c r="AJ17" s="58"/>
    </row>
    <row r="18" spans="1:36" ht="16" thickBot="1">
      <c r="A18" s="61">
        <v>13</v>
      </c>
      <c r="B18" s="39">
        <f>資料儲存!D4094</f>
        <v>0</v>
      </c>
      <c r="C18" s="39">
        <f>資料儲存!E4094</f>
        <v>0</v>
      </c>
      <c r="D18" s="39">
        <f>資料儲存!F4094</f>
        <v>0</v>
      </c>
      <c r="E18" s="39">
        <f>資料儲存!G4094</f>
        <v>0</v>
      </c>
      <c r="F18" s="39">
        <f>資料儲存!H4094</f>
        <v>0</v>
      </c>
      <c r="G18" s="39">
        <f>資料儲存!I4094</f>
        <v>0</v>
      </c>
      <c r="H18" s="39">
        <f>資料儲存!J4094</f>
        <v>0</v>
      </c>
      <c r="I18" s="58"/>
      <c r="J18" s="61">
        <v>13</v>
      </c>
      <c r="K18" s="39">
        <f>資料儲存!D4334</f>
        <v>0</v>
      </c>
      <c r="L18" s="39">
        <f>資料儲存!E4334</f>
        <v>0</v>
      </c>
      <c r="M18" s="39">
        <f>資料儲存!F4334</f>
        <v>0</v>
      </c>
      <c r="N18" s="39">
        <f>資料儲存!G4334</f>
        <v>0</v>
      </c>
      <c r="O18" s="39">
        <f>資料儲存!H4334</f>
        <v>0</v>
      </c>
      <c r="P18" s="39">
        <f>資料儲存!I4334</f>
        <v>0</v>
      </c>
      <c r="Q18" s="39">
        <f>資料儲存!J4334</f>
        <v>0</v>
      </c>
      <c r="R18" s="58"/>
      <c r="S18" s="61">
        <v>13</v>
      </c>
      <c r="T18" s="39">
        <f>資料儲存!D4574</f>
        <v>0</v>
      </c>
      <c r="U18" s="39">
        <f>資料儲存!E4574</f>
        <v>0</v>
      </c>
      <c r="V18" s="39">
        <f>資料儲存!F4574</f>
        <v>0</v>
      </c>
      <c r="W18" s="39">
        <f>資料儲存!G4574</f>
        <v>0</v>
      </c>
      <c r="X18" s="39">
        <f>資料儲存!H4574</f>
        <v>0</v>
      </c>
      <c r="Y18" s="39">
        <f>資料儲存!I4574</f>
        <v>0</v>
      </c>
      <c r="Z18" s="39">
        <f>資料儲存!J4574</f>
        <v>0</v>
      </c>
      <c r="AA18" s="58"/>
      <c r="AB18" s="61">
        <v>13</v>
      </c>
      <c r="AC18" s="39">
        <f>資料儲存!D4814</f>
        <v>0</v>
      </c>
      <c r="AD18" s="39">
        <f>資料儲存!E4814</f>
        <v>0</v>
      </c>
      <c r="AE18" s="39">
        <f>資料儲存!F4814</f>
        <v>0</v>
      </c>
      <c r="AF18" s="39">
        <f>資料儲存!G4814</f>
        <v>0</v>
      </c>
      <c r="AG18" s="39">
        <f>資料儲存!H4814</f>
        <v>0</v>
      </c>
      <c r="AH18" s="39">
        <f>資料儲存!I4814</f>
        <v>0</v>
      </c>
      <c r="AI18" s="39">
        <f>資料儲存!J4814</f>
        <v>0</v>
      </c>
      <c r="AJ18" s="58"/>
    </row>
    <row r="19" spans="1:36" ht="16" thickBot="1">
      <c r="A19" s="61">
        <v>14</v>
      </c>
      <c r="B19" s="39">
        <f>資料儲存!D4095</f>
        <v>0</v>
      </c>
      <c r="C19" s="39">
        <f>資料儲存!E4095</f>
        <v>0</v>
      </c>
      <c r="D19" s="39">
        <f>資料儲存!F4095</f>
        <v>0</v>
      </c>
      <c r="E19" s="39">
        <f>資料儲存!G4095</f>
        <v>0</v>
      </c>
      <c r="F19" s="39">
        <f>資料儲存!H4095</f>
        <v>0</v>
      </c>
      <c r="G19" s="39">
        <f>資料儲存!I4095</f>
        <v>0</v>
      </c>
      <c r="H19" s="39">
        <f>資料儲存!J4095</f>
        <v>0</v>
      </c>
      <c r="I19" s="58"/>
      <c r="J19" s="61">
        <v>14</v>
      </c>
      <c r="K19" s="39">
        <f>資料儲存!D4335</f>
        <v>0</v>
      </c>
      <c r="L19" s="39">
        <f>資料儲存!E4335</f>
        <v>0</v>
      </c>
      <c r="M19" s="39">
        <f>資料儲存!F4335</f>
        <v>0</v>
      </c>
      <c r="N19" s="39">
        <f>資料儲存!G4335</f>
        <v>0</v>
      </c>
      <c r="O19" s="39">
        <f>資料儲存!H4335</f>
        <v>0</v>
      </c>
      <c r="P19" s="39">
        <f>資料儲存!I4335</f>
        <v>0</v>
      </c>
      <c r="Q19" s="39">
        <f>資料儲存!J4335</f>
        <v>0</v>
      </c>
      <c r="R19" s="58"/>
      <c r="S19" s="61">
        <v>14</v>
      </c>
      <c r="T19" s="39">
        <f>資料儲存!D4575</f>
        <v>0</v>
      </c>
      <c r="U19" s="39">
        <f>資料儲存!E4575</f>
        <v>0</v>
      </c>
      <c r="V19" s="39">
        <f>資料儲存!F4575</f>
        <v>0</v>
      </c>
      <c r="W19" s="39">
        <f>資料儲存!G4575</f>
        <v>0</v>
      </c>
      <c r="X19" s="39">
        <f>資料儲存!H4575</f>
        <v>0</v>
      </c>
      <c r="Y19" s="39">
        <f>資料儲存!I4575</f>
        <v>0</v>
      </c>
      <c r="Z19" s="39">
        <f>資料儲存!J4575</f>
        <v>0</v>
      </c>
      <c r="AA19" s="58"/>
      <c r="AB19" s="61">
        <v>14</v>
      </c>
      <c r="AC19" s="39">
        <f>資料儲存!D4815</f>
        <v>0</v>
      </c>
      <c r="AD19" s="39">
        <f>資料儲存!E4815</f>
        <v>0</v>
      </c>
      <c r="AE19" s="39">
        <f>資料儲存!F4815</f>
        <v>0</v>
      </c>
      <c r="AF19" s="39">
        <f>資料儲存!G4815</f>
        <v>0</v>
      </c>
      <c r="AG19" s="39">
        <f>資料儲存!H4815</f>
        <v>0</v>
      </c>
      <c r="AH19" s="39">
        <f>資料儲存!I4815</f>
        <v>0</v>
      </c>
      <c r="AI19" s="39">
        <f>資料儲存!J4815</f>
        <v>0</v>
      </c>
      <c r="AJ19" s="58"/>
    </row>
    <row r="20" spans="1:36" ht="16" thickBot="1">
      <c r="A20" s="61">
        <v>15</v>
      </c>
      <c r="B20" s="39">
        <f>資料儲存!D4096</f>
        <v>0</v>
      </c>
      <c r="C20" s="39">
        <f>資料儲存!E4096</f>
        <v>0</v>
      </c>
      <c r="D20" s="39">
        <f>資料儲存!F4096</f>
        <v>0</v>
      </c>
      <c r="E20" s="39">
        <f>資料儲存!G4096</f>
        <v>0</v>
      </c>
      <c r="F20" s="39">
        <f>資料儲存!H4096</f>
        <v>0</v>
      </c>
      <c r="G20" s="39">
        <f>資料儲存!I4096</f>
        <v>0</v>
      </c>
      <c r="H20" s="39">
        <f>資料儲存!J4096</f>
        <v>0</v>
      </c>
      <c r="I20" s="58"/>
      <c r="J20" s="61">
        <v>15</v>
      </c>
      <c r="K20" s="39">
        <f>資料儲存!D4336</f>
        <v>0</v>
      </c>
      <c r="L20" s="39">
        <f>資料儲存!E4336</f>
        <v>0</v>
      </c>
      <c r="M20" s="39">
        <f>資料儲存!F4336</f>
        <v>0</v>
      </c>
      <c r="N20" s="39">
        <f>資料儲存!G4336</f>
        <v>0</v>
      </c>
      <c r="O20" s="39">
        <f>資料儲存!H4336</f>
        <v>0</v>
      </c>
      <c r="P20" s="39">
        <f>資料儲存!I4336</f>
        <v>0</v>
      </c>
      <c r="Q20" s="39">
        <f>資料儲存!J4336</f>
        <v>0</v>
      </c>
      <c r="R20" s="58"/>
      <c r="S20" s="61">
        <v>15</v>
      </c>
      <c r="T20" s="39">
        <f>資料儲存!D4576</f>
        <v>0</v>
      </c>
      <c r="U20" s="39">
        <f>資料儲存!E4576</f>
        <v>0</v>
      </c>
      <c r="V20" s="39">
        <f>資料儲存!F4576</f>
        <v>0</v>
      </c>
      <c r="W20" s="39">
        <f>資料儲存!G4576</f>
        <v>0</v>
      </c>
      <c r="X20" s="39">
        <f>資料儲存!H4576</f>
        <v>0</v>
      </c>
      <c r="Y20" s="39">
        <f>資料儲存!I4576</f>
        <v>0</v>
      </c>
      <c r="Z20" s="39">
        <f>資料儲存!J4576</f>
        <v>0</v>
      </c>
      <c r="AA20" s="58"/>
      <c r="AB20" s="61">
        <v>15</v>
      </c>
      <c r="AC20" s="39">
        <f>資料儲存!D4816</f>
        <v>0</v>
      </c>
      <c r="AD20" s="39">
        <f>資料儲存!E4816</f>
        <v>0</v>
      </c>
      <c r="AE20" s="39">
        <f>資料儲存!F4816</f>
        <v>0</v>
      </c>
      <c r="AF20" s="39">
        <f>資料儲存!G4816</f>
        <v>0</v>
      </c>
      <c r="AG20" s="39">
        <f>資料儲存!H4816</f>
        <v>0</v>
      </c>
      <c r="AH20" s="39">
        <f>資料儲存!I4816</f>
        <v>0</v>
      </c>
      <c r="AI20" s="39">
        <f>資料儲存!J4816</f>
        <v>0</v>
      </c>
      <c r="AJ20" s="58"/>
    </row>
    <row r="21" spans="1:36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</row>
    <row r="22" spans="1:36" ht="18.5" thickBot="1">
      <c r="A22" s="259" t="s">
        <v>118</v>
      </c>
      <c r="B22" s="260"/>
      <c r="C22" s="260"/>
      <c r="D22" s="260"/>
      <c r="E22" s="260"/>
      <c r="F22" s="260"/>
      <c r="G22" s="260"/>
      <c r="H22" s="261"/>
      <c r="I22" s="14"/>
      <c r="J22" s="259" t="s">
        <v>118</v>
      </c>
      <c r="K22" s="260"/>
      <c r="L22" s="260"/>
      <c r="M22" s="260"/>
      <c r="N22" s="260"/>
      <c r="O22" s="260"/>
      <c r="P22" s="260"/>
      <c r="Q22" s="261"/>
      <c r="R22" s="14"/>
      <c r="S22" s="259" t="s">
        <v>118</v>
      </c>
      <c r="T22" s="260"/>
      <c r="U22" s="260"/>
      <c r="V22" s="260"/>
      <c r="W22" s="260"/>
      <c r="X22" s="260"/>
      <c r="Y22" s="260"/>
      <c r="Z22" s="261"/>
      <c r="AA22" s="14"/>
      <c r="AB22" s="259" t="s">
        <v>118</v>
      </c>
      <c r="AC22" s="260"/>
      <c r="AD22" s="260"/>
      <c r="AE22" s="260"/>
      <c r="AF22" s="260"/>
      <c r="AG22" s="260"/>
      <c r="AH22" s="260"/>
      <c r="AI22" s="261"/>
      <c r="AJ22" s="14"/>
    </row>
    <row r="23" spans="1:36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</row>
    <row r="24" spans="1:36" ht="16" thickBot="1">
      <c r="A24" s="66">
        <v>0.67708333333333337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>
        <v>0.67708333333333337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>
        <v>0.67708333333333337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>
        <v>0.67708333333333337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</row>
    <row r="25" spans="1:36" ht="16" thickBot="1">
      <c r="A25" s="68">
        <v>16</v>
      </c>
      <c r="B25" s="49">
        <f>資料儲存!D4097</f>
        <v>0</v>
      </c>
      <c r="C25" s="49">
        <f>資料儲存!E4097</f>
        <v>0</v>
      </c>
      <c r="D25" s="49">
        <f>資料儲存!F4097</f>
        <v>0</v>
      </c>
      <c r="E25" s="49">
        <f>資料儲存!G4097</f>
        <v>0</v>
      </c>
      <c r="F25" s="49">
        <f>資料儲存!H4097</f>
        <v>0</v>
      </c>
      <c r="G25" s="49">
        <f>資料儲存!I4097</f>
        <v>0</v>
      </c>
      <c r="H25" s="49">
        <f>資料儲存!J4097</f>
        <v>0</v>
      </c>
      <c r="I25" s="52"/>
      <c r="J25" s="68">
        <v>16</v>
      </c>
      <c r="K25" s="49">
        <f>資料儲存!D4337</f>
        <v>0</v>
      </c>
      <c r="L25" s="49">
        <f>資料儲存!E4337</f>
        <v>0</v>
      </c>
      <c r="M25" s="49">
        <f>資料儲存!F4337</f>
        <v>0</v>
      </c>
      <c r="N25" s="49">
        <f>資料儲存!G4337</f>
        <v>0</v>
      </c>
      <c r="O25" s="49">
        <f>資料儲存!H4337</f>
        <v>0</v>
      </c>
      <c r="P25" s="49">
        <f>資料儲存!I4337</f>
        <v>0</v>
      </c>
      <c r="Q25" s="49">
        <f>資料儲存!J4337</f>
        <v>0</v>
      </c>
      <c r="R25" s="52"/>
      <c r="S25" s="68">
        <v>16</v>
      </c>
      <c r="T25" s="49">
        <f>資料儲存!D4577</f>
        <v>0</v>
      </c>
      <c r="U25" s="49">
        <f>資料儲存!E4577</f>
        <v>0</v>
      </c>
      <c r="V25" s="49">
        <f>資料儲存!F4577</f>
        <v>0</v>
      </c>
      <c r="W25" s="49">
        <f>資料儲存!G4577</f>
        <v>0</v>
      </c>
      <c r="X25" s="49">
        <f>資料儲存!H4577</f>
        <v>0</v>
      </c>
      <c r="Y25" s="49">
        <f>資料儲存!I4577</f>
        <v>0</v>
      </c>
      <c r="Z25" s="49">
        <f>資料儲存!J4577</f>
        <v>0</v>
      </c>
      <c r="AA25" s="52"/>
      <c r="AB25" s="68">
        <v>16</v>
      </c>
      <c r="AC25" s="49">
        <f>資料儲存!D4817</f>
        <v>0</v>
      </c>
      <c r="AD25" s="49">
        <f>資料儲存!E4817</f>
        <v>0</v>
      </c>
      <c r="AE25" s="49">
        <f>資料儲存!F4817</f>
        <v>0</v>
      </c>
      <c r="AF25" s="49">
        <f>資料儲存!G4817</f>
        <v>0</v>
      </c>
      <c r="AG25" s="49">
        <f>資料儲存!H4817</f>
        <v>0</v>
      </c>
      <c r="AH25" s="49">
        <f>資料儲存!I4817</f>
        <v>0</v>
      </c>
      <c r="AI25" s="49">
        <f>資料儲存!J4817</f>
        <v>0</v>
      </c>
      <c r="AJ25" s="52"/>
    </row>
    <row r="26" spans="1:36" ht="16" thickBot="1">
      <c r="A26" s="68">
        <v>17</v>
      </c>
      <c r="B26" s="49">
        <f>資料儲存!D4098</f>
        <v>0</v>
      </c>
      <c r="C26" s="49">
        <f>資料儲存!E4098</f>
        <v>0</v>
      </c>
      <c r="D26" s="49">
        <f>資料儲存!F4098</f>
        <v>0</v>
      </c>
      <c r="E26" s="49">
        <f>資料儲存!G4098</f>
        <v>0</v>
      </c>
      <c r="F26" s="49">
        <f>資料儲存!H4098</f>
        <v>0</v>
      </c>
      <c r="G26" s="49">
        <f>資料儲存!I4098</f>
        <v>0</v>
      </c>
      <c r="H26" s="49">
        <f>資料儲存!J4098</f>
        <v>0</v>
      </c>
      <c r="I26" s="52"/>
      <c r="J26" s="68">
        <v>17</v>
      </c>
      <c r="K26" s="49">
        <f>資料儲存!D4338</f>
        <v>0</v>
      </c>
      <c r="L26" s="49">
        <f>資料儲存!E4338</f>
        <v>0</v>
      </c>
      <c r="M26" s="49">
        <f>資料儲存!F4338</f>
        <v>0</v>
      </c>
      <c r="N26" s="49">
        <f>資料儲存!G4338</f>
        <v>0</v>
      </c>
      <c r="O26" s="49">
        <f>資料儲存!H4338</f>
        <v>0</v>
      </c>
      <c r="P26" s="49">
        <f>資料儲存!I4338</f>
        <v>0</v>
      </c>
      <c r="Q26" s="49">
        <f>資料儲存!J4338</f>
        <v>0</v>
      </c>
      <c r="R26" s="52"/>
      <c r="S26" s="68">
        <v>17</v>
      </c>
      <c r="T26" s="49">
        <f>資料儲存!D4578</f>
        <v>0</v>
      </c>
      <c r="U26" s="49">
        <f>資料儲存!E4578</f>
        <v>0</v>
      </c>
      <c r="V26" s="49">
        <f>資料儲存!F4578</f>
        <v>0</v>
      </c>
      <c r="W26" s="49">
        <f>資料儲存!G4578</f>
        <v>0</v>
      </c>
      <c r="X26" s="49">
        <f>資料儲存!H4578</f>
        <v>0</v>
      </c>
      <c r="Y26" s="49">
        <f>資料儲存!I4578</f>
        <v>0</v>
      </c>
      <c r="Z26" s="49">
        <f>資料儲存!J4578</f>
        <v>0</v>
      </c>
      <c r="AA26" s="52"/>
      <c r="AB26" s="68">
        <v>17</v>
      </c>
      <c r="AC26" s="49">
        <f>資料儲存!D4818</f>
        <v>0</v>
      </c>
      <c r="AD26" s="49">
        <f>資料儲存!E4818</f>
        <v>0</v>
      </c>
      <c r="AE26" s="49">
        <f>資料儲存!F4818</f>
        <v>0</v>
      </c>
      <c r="AF26" s="49">
        <f>資料儲存!G4818</f>
        <v>0</v>
      </c>
      <c r="AG26" s="49">
        <f>資料儲存!H4818</f>
        <v>0</v>
      </c>
      <c r="AH26" s="49">
        <f>資料儲存!I4818</f>
        <v>0</v>
      </c>
      <c r="AI26" s="49">
        <f>資料儲存!J4818</f>
        <v>0</v>
      </c>
      <c r="AJ26" s="52"/>
    </row>
    <row r="27" spans="1:36" ht="16" thickBot="1">
      <c r="A27" s="68">
        <v>18</v>
      </c>
      <c r="B27" s="49">
        <f>資料儲存!D4099</f>
        <v>0</v>
      </c>
      <c r="C27" s="49">
        <f>資料儲存!E4099</f>
        <v>0</v>
      </c>
      <c r="D27" s="49">
        <f>資料儲存!F4099</f>
        <v>0</v>
      </c>
      <c r="E27" s="49">
        <f>資料儲存!G4099</f>
        <v>0</v>
      </c>
      <c r="F27" s="49">
        <f>資料儲存!H4099</f>
        <v>0</v>
      </c>
      <c r="G27" s="49">
        <f>資料儲存!I4099</f>
        <v>0</v>
      </c>
      <c r="H27" s="49">
        <f>資料儲存!J4099</f>
        <v>0</v>
      </c>
      <c r="I27" s="52"/>
      <c r="J27" s="68">
        <v>18</v>
      </c>
      <c r="K27" s="49">
        <f>資料儲存!D4339</f>
        <v>0</v>
      </c>
      <c r="L27" s="49">
        <f>資料儲存!E4339</f>
        <v>0</v>
      </c>
      <c r="M27" s="49">
        <f>資料儲存!F4339</f>
        <v>0</v>
      </c>
      <c r="N27" s="49">
        <f>資料儲存!G4339</f>
        <v>0</v>
      </c>
      <c r="O27" s="49">
        <f>資料儲存!H4339</f>
        <v>0</v>
      </c>
      <c r="P27" s="49">
        <f>資料儲存!I4339</f>
        <v>0</v>
      </c>
      <c r="Q27" s="49">
        <f>資料儲存!J4339</f>
        <v>0</v>
      </c>
      <c r="R27" s="52"/>
      <c r="S27" s="68">
        <v>18</v>
      </c>
      <c r="T27" s="49">
        <f>資料儲存!D4579</f>
        <v>0</v>
      </c>
      <c r="U27" s="49">
        <f>資料儲存!E4579</f>
        <v>0</v>
      </c>
      <c r="V27" s="49">
        <f>資料儲存!F4579</f>
        <v>0</v>
      </c>
      <c r="W27" s="49">
        <f>資料儲存!G4579</f>
        <v>0</v>
      </c>
      <c r="X27" s="49">
        <f>資料儲存!H4579</f>
        <v>0</v>
      </c>
      <c r="Y27" s="49">
        <f>資料儲存!I4579</f>
        <v>0</v>
      </c>
      <c r="Z27" s="49">
        <f>資料儲存!J4579</f>
        <v>0</v>
      </c>
      <c r="AA27" s="52"/>
      <c r="AB27" s="68">
        <v>18</v>
      </c>
      <c r="AC27" s="49">
        <f>資料儲存!D4819</f>
        <v>0</v>
      </c>
      <c r="AD27" s="49">
        <f>資料儲存!E4819</f>
        <v>0</v>
      </c>
      <c r="AE27" s="49">
        <f>資料儲存!F4819</f>
        <v>0</v>
      </c>
      <c r="AF27" s="49">
        <f>資料儲存!G4819</f>
        <v>0</v>
      </c>
      <c r="AG27" s="49">
        <f>資料儲存!H4819</f>
        <v>0</v>
      </c>
      <c r="AH27" s="49">
        <f>資料儲存!I4819</f>
        <v>0</v>
      </c>
      <c r="AI27" s="49">
        <f>資料儲存!J4819</f>
        <v>0</v>
      </c>
      <c r="AJ27" s="52"/>
    </row>
    <row r="28" spans="1:36" ht="16" thickBot="1">
      <c r="A28" s="68">
        <v>19</v>
      </c>
      <c r="B28" s="49">
        <f>資料儲存!D4100</f>
        <v>0</v>
      </c>
      <c r="C28" s="49">
        <f>資料儲存!E4100</f>
        <v>0</v>
      </c>
      <c r="D28" s="49">
        <f>資料儲存!F4100</f>
        <v>0</v>
      </c>
      <c r="E28" s="49">
        <f>資料儲存!G4100</f>
        <v>0</v>
      </c>
      <c r="F28" s="49">
        <f>資料儲存!H4100</f>
        <v>0</v>
      </c>
      <c r="G28" s="49">
        <f>資料儲存!I4100</f>
        <v>0</v>
      </c>
      <c r="H28" s="49">
        <f>資料儲存!J4100</f>
        <v>0</v>
      </c>
      <c r="I28" s="52"/>
      <c r="J28" s="68">
        <v>19</v>
      </c>
      <c r="K28" s="49">
        <f>資料儲存!D4340</f>
        <v>0</v>
      </c>
      <c r="L28" s="49">
        <f>資料儲存!E4340</f>
        <v>0</v>
      </c>
      <c r="M28" s="49">
        <f>資料儲存!F4340</f>
        <v>0</v>
      </c>
      <c r="N28" s="49">
        <f>資料儲存!G4340</f>
        <v>0</v>
      </c>
      <c r="O28" s="49">
        <f>資料儲存!H4340</f>
        <v>0</v>
      </c>
      <c r="P28" s="49">
        <f>資料儲存!I4340</f>
        <v>0</v>
      </c>
      <c r="Q28" s="49">
        <f>資料儲存!J4340</f>
        <v>0</v>
      </c>
      <c r="R28" s="52"/>
      <c r="S28" s="68">
        <v>19</v>
      </c>
      <c r="T28" s="49">
        <f>資料儲存!D4580</f>
        <v>0</v>
      </c>
      <c r="U28" s="49">
        <f>資料儲存!E4580</f>
        <v>0</v>
      </c>
      <c r="V28" s="49">
        <f>資料儲存!F4580</f>
        <v>0</v>
      </c>
      <c r="W28" s="49">
        <f>資料儲存!G4580</f>
        <v>0</v>
      </c>
      <c r="X28" s="49">
        <f>資料儲存!H4580</f>
        <v>0</v>
      </c>
      <c r="Y28" s="49">
        <f>資料儲存!I4580</f>
        <v>0</v>
      </c>
      <c r="Z28" s="49">
        <f>資料儲存!J4580</f>
        <v>0</v>
      </c>
      <c r="AA28" s="52"/>
      <c r="AB28" s="68">
        <v>19</v>
      </c>
      <c r="AC28" s="49">
        <f>資料儲存!D4820</f>
        <v>0</v>
      </c>
      <c r="AD28" s="49">
        <f>資料儲存!E4820</f>
        <v>0</v>
      </c>
      <c r="AE28" s="49">
        <f>資料儲存!F4820</f>
        <v>0</v>
      </c>
      <c r="AF28" s="49">
        <f>資料儲存!G4820</f>
        <v>0</v>
      </c>
      <c r="AG28" s="49">
        <f>資料儲存!H4820</f>
        <v>0</v>
      </c>
      <c r="AH28" s="49">
        <f>資料儲存!I4820</f>
        <v>0</v>
      </c>
      <c r="AI28" s="49">
        <f>資料儲存!J4820</f>
        <v>0</v>
      </c>
      <c r="AJ28" s="52"/>
    </row>
    <row r="29" spans="1:36" ht="16" thickBot="1">
      <c r="A29" s="68">
        <v>20</v>
      </c>
      <c r="B29" s="49">
        <f>資料儲存!D4101</f>
        <v>0</v>
      </c>
      <c r="C29" s="49">
        <f>資料儲存!E4101</f>
        <v>0</v>
      </c>
      <c r="D29" s="49">
        <f>資料儲存!F4101</f>
        <v>0</v>
      </c>
      <c r="E29" s="49">
        <f>資料儲存!G4101</f>
        <v>0</v>
      </c>
      <c r="F29" s="49">
        <f>資料儲存!H4101</f>
        <v>0</v>
      </c>
      <c r="G29" s="49">
        <f>資料儲存!I4101</f>
        <v>0</v>
      </c>
      <c r="H29" s="49">
        <f>資料儲存!J4101</f>
        <v>0</v>
      </c>
      <c r="I29" s="52"/>
      <c r="J29" s="68">
        <v>20</v>
      </c>
      <c r="K29" s="49">
        <f>資料儲存!D4341</f>
        <v>0</v>
      </c>
      <c r="L29" s="49">
        <f>資料儲存!E4341</f>
        <v>0</v>
      </c>
      <c r="M29" s="49">
        <f>資料儲存!F4341</f>
        <v>0</v>
      </c>
      <c r="N29" s="49">
        <f>資料儲存!G4341</f>
        <v>0</v>
      </c>
      <c r="O29" s="49">
        <f>資料儲存!H4341</f>
        <v>0</v>
      </c>
      <c r="P29" s="49">
        <f>資料儲存!I4341</f>
        <v>0</v>
      </c>
      <c r="Q29" s="49">
        <f>資料儲存!J4341</f>
        <v>0</v>
      </c>
      <c r="R29" s="52"/>
      <c r="S29" s="68">
        <v>20</v>
      </c>
      <c r="T29" s="49">
        <f>資料儲存!D4581</f>
        <v>0</v>
      </c>
      <c r="U29" s="49">
        <f>資料儲存!E4581</f>
        <v>0</v>
      </c>
      <c r="V29" s="49">
        <f>資料儲存!F4581</f>
        <v>0</v>
      </c>
      <c r="W29" s="49">
        <f>資料儲存!G4581</f>
        <v>0</v>
      </c>
      <c r="X29" s="49">
        <f>資料儲存!H4581</f>
        <v>0</v>
      </c>
      <c r="Y29" s="49">
        <f>資料儲存!I4581</f>
        <v>0</v>
      </c>
      <c r="Z29" s="49">
        <f>資料儲存!J4581</f>
        <v>0</v>
      </c>
      <c r="AA29" s="52"/>
      <c r="AB29" s="68">
        <v>20</v>
      </c>
      <c r="AC29" s="49">
        <f>資料儲存!D4821</f>
        <v>0</v>
      </c>
      <c r="AD29" s="49">
        <f>資料儲存!E4821</f>
        <v>0</v>
      </c>
      <c r="AE29" s="49">
        <f>資料儲存!F4821</f>
        <v>0</v>
      </c>
      <c r="AF29" s="49">
        <f>資料儲存!G4821</f>
        <v>0</v>
      </c>
      <c r="AG29" s="49">
        <f>資料儲存!H4821</f>
        <v>0</v>
      </c>
      <c r="AH29" s="49">
        <f>資料儲存!I4821</f>
        <v>0</v>
      </c>
      <c r="AI29" s="49">
        <f>資料儲存!J4821</f>
        <v>0</v>
      </c>
      <c r="AJ29" s="52"/>
    </row>
    <row r="30" spans="1:36" ht="16" thickBot="1">
      <c r="A30" s="68">
        <v>21</v>
      </c>
      <c r="B30" s="49">
        <f>資料儲存!D4102</f>
        <v>0</v>
      </c>
      <c r="C30" s="49">
        <f>資料儲存!E4102</f>
        <v>0</v>
      </c>
      <c r="D30" s="49">
        <f>資料儲存!F4102</f>
        <v>0</v>
      </c>
      <c r="E30" s="49">
        <f>資料儲存!G4102</f>
        <v>0</v>
      </c>
      <c r="F30" s="49">
        <f>資料儲存!H4102</f>
        <v>0</v>
      </c>
      <c r="G30" s="49">
        <f>資料儲存!I4102</f>
        <v>0</v>
      </c>
      <c r="H30" s="49">
        <f>資料儲存!J4102</f>
        <v>0</v>
      </c>
      <c r="I30" s="52"/>
      <c r="J30" s="68">
        <v>21</v>
      </c>
      <c r="K30" s="49">
        <f>資料儲存!D4342</f>
        <v>0</v>
      </c>
      <c r="L30" s="49">
        <f>資料儲存!E4342</f>
        <v>0</v>
      </c>
      <c r="M30" s="49">
        <f>資料儲存!F4342</f>
        <v>0</v>
      </c>
      <c r="N30" s="49">
        <f>資料儲存!G4342</f>
        <v>0</v>
      </c>
      <c r="O30" s="49">
        <f>資料儲存!H4342</f>
        <v>0</v>
      </c>
      <c r="P30" s="49">
        <f>資料儲存!I4342</f>
        <v>0</v>
      </c>
      <c r="Q30" s="49">
        <f>資料儲存!J4342</f>
        <v>0</v>
      </c>
      <c r="R30" s="52"/>
      <c r="S30" s="68">
        <v>21</v>
      </c>
      <c r="T30" s="49">
        <f>資料儲存!D4582</f>
        <v>0</v>
      </c>
      <c r="U30" s="49">
        <f>資料儲存!E4582</f>
        <v>0</v>
      </c>
      <c r="V30" s="49">
        <f>資料儲存!F4582</f>
        <v>0</v>
      </c>
      <c r="W30" s="49">
        <f>資料儲存!G4582</f>
        <v>0</v>
      </c>
      <c r="X30" s="49">
        <f>資料儲存!H4582</f>
        <v>0</v>
      </c>
      <c r="Y30" s="49">
        <f>資料儲存!I4582</f>
        <v>0</v>
      </c>
      <c r="Z30" s="49">
        <f>資料儲存!J4582</f>
        <v>0</v>
      </c>
      <c r="AA30" s="52"/>
      <c r="AB30" s="68">
        <v>21</v>
      </c>
      <c r="AC30" s="49">
        <f>資料儲存!D4822</f>
        <v>0</v>
      </c>
      <c r="AD30" s="49">
        <f>資料儲存!E4822</f>
        <v>0</v>
      </c>
      <c r="AE30" s="49">
        <f>資料儲存!F4822</f>
        <v>0</v>
      </c>
      <c r="AF30" s="49">
        <f>資料儲存!G4822</f>
        <v>0</v>
      </c>
      <c r="AG30" s="49">
        <f>資料儲存!H4822</f>
        <v>0</v>
      </c>
      <c r="AH30" s="49">
        <f>資料儲存!I4822</f>
        <v>0</v>
      </c>
      <c r="AI30" s="49">
        <f>資料儲存!J4822</f>
        <v>0</v>
      </c>
      <c r="AJ30" s="52"/>
    </row>
    <row r="31" spans="1:36" ht="16" thickBot="1">
      <c r="A31" s="68">
        <v>22</v>
      </c>
      <c r="B31" s="49">
        <f>資料儲存!D4103</f>
        <v>0</v>
      </c>
      <c r="C31" s="49">
        <f>資料儲存!E4103</f>
        <v>0</v>
      </c>
      <c r="D31" s="49">
        <f>資料儲存!F4103</f>
        <v>0</v>
      </c>
      <c r="E31" s="49">
        <f>資料儲存!G4103</f>
        <v>0</v>
      </c>
      <c r="F31" s="49">
        <f>資料儲存!H4103</f>
        <v>0</v>
      </c>
      <c r="G31" s="49">
        <f>資料儲存!I4103</f>
        <v>0</v>
      </c>
      <c r="H31" s="49">
        <f>資料儲存!J4103</f>
        <v>0</v>
      </c>
      <c r="I31" s="52"/>
      <c r="J31" s="68">
        <v>22</v>
      </c>
      <c r="K31" s="49">
        <f>資料儲存!D4343</f>
        <v>0</v>
      </c>
      <c r="L31" s="49">
        <f>資料儲存!E4343</f>
        <v>0</v>
      </c>
      <c r="M31" s="49">
        <f>資料儲存!F4343</f>
        <v>0</v>
      </c>
      <c r="N31" s="49">
        <f>資料儲存!G4343</f>
        <v>0</v>
      </c>
      <c r="O31" s="49">
        <f>資料儲存!H4343</f>
        <v>0</v>
      </c>
      <c r="P31" s="49">
        <f>資料儲存!I4343</f>
        <v>0</v>
      </c>
      <c r="Q31" s="49">
        <f>資料儲存!J4343</f>
        <v>0</v>
      </c>
      <c r="R31" s="52"/>
      <c r="S31" s="68">
        <v>22</v>
      </c>
      <c r="T31" s="49">
        <f>資料儲存!D4583</f>
        <v>0</v>
      </c>
      <c r="U31" s="49">
        <f>資料儲存!E4583</f>
        <v>0</v>
      </c>
      <c r="V31" s="49">
        <f>資料儲存!F4583</f>
        <v>0</v>
      </c>
      <c r="W31" s="49">
        <f>資料儲存!G4583</f>
        <v>0</v>
      </c>
      <c r="X31" s="49">
        <f>資料儲存!H4583</f>
        <v>0</v>
      </c>
      <c r="Y31" s="49">
        <f>資料儲存!I4583</f>
        <v>0</v>
      </c>
      <c r="Z31" s="49">
        <f>資料儲存!J4583</f>
        <v>0</v>
      </c>
      <c r="AA31" s="52"/>
      <c r="AB31" s="68">
        <v>22</v>
      </c>
      <c r="AC31" s="49">
        <f>資料儲存!D4823</f>
        <v>0</v>
      </c>
      <c r="AD31" s="49">
        <f>資料儲存!E4823</f>
        <v>0</v>
      </c>
      <c r="AE31" s="49">
        <f>資料儲存!F4823</f>
        <v>0</v>
      </c>
      <c r="AF31" s="49">
        <f>資料儲存!G4823</f>
        <v>0</v>
      </c>
      <c r="AG31" s="49">
        <f>資料儲存!H4823</f>
        <v>0</v>
      </c>
      <c r="AH31" s="49">
        <f>資料儲存!I4823</f>
        <v>0</v>
      </c>
      <c r="AI31" s="49">
        <f>資料儲存!J4823</f>
        <v>0</v>
      </c>
      <c r="AJ31" s="52"/>
    </row>
    <row r="32" spans="1:36" ht="16" thickBot="1">
      <c r="A32" s="68">
        <v>23</v>
      </c>
      <c r="B32" s="49">
        <f>資料儲存!D4104</f>
        <v>0</v>
      </c>
      <c r="C32" s="49">
        <f>資料儲存!E4104</f>
        <v>0</v>
      </c>
      <c r="D32" s="49">
        <f>資料儲存!F4104</f>
        <v>0</v>
      </c>
      <c r="E32" s="49">
        <f>資料儲存!G4104</f>
        <v>0</v>
      </c>
      <c r="F32" s="49">
        <f>資料儲存!H4104</f>
        <v>0</v>
      </c>
      <c r="G32" s="49">
        <f>資料儲存!I4104</f>
        <v>0</v>
      </c>
      <c r="H32" s="49">
        <f>資料儲存!J4104</f>
        <v>0</v>
      </c>
      <c r="I32" s="52"/>
      <c r="J32" s="68">
        <v>23</v>
      </c>
      <c r="K32" s="49">
        <f>資料儲存!D4344</f>
        <v>0</v>
      </c>
      <c r="L32" s="49">
        <f>資料儲存!E4344</f>
        <v>0</v>
      </c>
      <c r="M32" s="49">
        <f>資料儲存!F4344</f>
        <v>0</v>
      </c>
      <c r="N32" s="49">
        <f>資料儲存!G4344</f>
        <v>0</v>
      </c>
      <c r="O32" s="49">
        <f>資料儲存!H4344</f>
        <v>0</v>
      </c>
      <c r="P32" s="49">
        <f>資料儲存!I4344</f>
        <v>0</v>
      </c>
      <c r="Q32" s="49">
        <f>資料儲存!J4344</f>
        <v>0</v>
      </c>
      <c r="R32" s="52"/>
      <c r="S32" s="68">
        <v>23</v>
      </c>
      <c r="T32" s="49">
        <f>資料儲存!D4584</f>
        <v>0</v>
      </c>
      <c r="U32" s="49">
        <f>資料儲存!E4584</f>
        <v>0</v>
      </c>
      <c r="V32" s="49">
        <f>資料儲存!F4584</f>
        <v>0</v>
      </c>
      <c r="W32" s="49">
        <f>資料儲存!G4584</f>
        <v>0</v>
      </c>
      <c r="X32" s="49">
        <f>資料儲存!H4584</f>
        <v>0</v>
      </c>
      <c r="Y32" s="49">
        <f>資料儲存!I4584</f>
        <v>0</v>
      </c>
      <c r="Z32" s="49">
        <f>資料儲存!J4584</f>
        <v>0</v>
      </c>
      <c r="AA32" s="52"/>
      <c r="AB32" s="68">
        <v>23</v>
      </c>
      <c r="AC32" s="49">
        <f>資料儲存!D4824</f>
        <v>0</v>
      </c>
      <c r="AD32" s="49">
        <f>資料儲存!E4824</f>
        <v>0</v>
      </c>
      <c r="AE32" s="49">
        <f>資料儲存!F4824</f>
        <v>0</v>
      </c>
      <c r="AF32" s="49">
        <f>資料儲存!G4824</f>
        <v>0</v>
      </c>
      <c r="AG32" s="49">
        <f>資料儲存!H4824</f>
        <v>0</v>
      </c>
      <c r="AH32" s="49">
        <f>資料儲存!I4824</f>
        <v>0</v>
      </c>
      <c r="AI32" s="49">
        <f>資料儲存!J4824</f>
        <v>0</v>
      </c>
      <c r="AJ32" s="52"/>
    </row>
    <row r="33" spans="1:36" ht="16" thickBot="1">
      <c r="A33" s="68">
        <v>24</v>
      </c>
      <c r="B33" s="49">
        <f>資料儲存!D4105</f>
        <v>0</v>
      </c>
      <c r="C33" s="49">
        <f>資料儲存!E4105</f>
        <v>0</v>
      </c>
      <c r="D33" s="49">
        <f>資料儲存!F4105</f>
        <v>0</v>
      </c>
      <c r="E33" s="49">
        <f>資料儲存!G4105</f>
        <v>0</v>
      </c>
      <c r="F33" s="49">
        <f>資料儲存!H4105</f>
        <v>0</v>
      </c>
      <c r="G33" s="49">
        <f>資料儲存!I4105</f>
        <v>0</v>
      </c>
      <c r="H33" s="49">
        <f>資料儲存!J4105</f>
        <v>0</v>
      </c>
      <c r="I33" s="52"/>
      <c r="J33" s="68">
        <v>24</v>
      </c>
      <c r="K33" s="49">
        <f>資料儲存!D4345</f>
        <v>0</v>
      </c>
      <c r="L33" s="49">
        <f>資料儲存!E4345</f>
        <v>0</v>
      </c>
      <c r="M33" s="49">
        <f>資料儲存!F4345</f>
        <v>0</v>
      </c>
      <c r="N33" s="49">
        <f>資料儲存!G4345</f>
        <v>0</v>
      </c>
      <c r="O33" s="49">
        <f>資料儲存!H4345</f>
        <v>0</v>
      </c>
      <c r="P33" s="49">
        <f>資料儲存!I4345</f>
        <v>0</v>
      </c>
      <c r="Q33" s="49">
        <f>資料儲存!J4345</f>
        <v>0</v>
      </c>
      <c r="R33" s="52"/>
      <c r="S33" s="68">
        <v>24</v>
      </c>
      <c r="T33" s="49">
        <f>資料儲存!D4585</f>
        <v>0</v>
      </c>
      <c r="U33" s="49">
        <f>資料儲存!E4585</f>
        <v>0</v>
      </c>
      <c r="V33" s="49">
        <f>資料儲存!F4585</f>
        <v>0</v>
      </c>
      <c r="W33" s="49">
        <f>資料儲存!G4585</f>
        <v>0</v>
      </c>
      <c r="X33" s="49">
        <f>資料儲存!H4585</f>
        <v>0</v>
      </c>
      <c r="Y33" s="49">
        <f>資料儲存!I4585</f>
        <v>0</v>
      </c>
      <c r="Z33" s="49">
        <f>資料儲存!J4585</f>
        <v>0</v>
      </c>
      <c r="AA33" s="52"/>
      <c r="AB33" s="68">
        <v>24</v>
      </c>
      <c r="AC33" s="49">
        <f>資料儲存!D4825</f>
        <v>0</v>
      </c>
      <c r="AD33" s="49">
        <f>資料儲存!E4825</f>
        <v>0</v>
      </c>
      <c r="AE33" s="49">
        <f>資料儲存!F4825</f>
        <v>0</v>
      </c>
      <c r="AF33" s="49">
        <f>資料儲存!G4825</f>
        <v>0</v>
      </c>
      <c r="AG33" s="49">
        <f>資料儲存!H4825</f>
        <v>0</v>
      </c>
      <c r="AH33" s="49">
        <f>資料儲存!I4825</f>
        <v>0</v>
      </c>
      <c r="AI33" s="49">
        <f>資料儲存!J4825</f>
        <v>0</v>
      </c>
      <c r="AJ33" s="52"/>
    </row>
    <row r="34" spans="1:36" ht="16" thickBot="1">
      <c r="A34" s="68">
        <v>25</v>
      </c>
      <c r="B34" s="49">
        <f>資料儲存!D4106</f>
        <v>0</v>
      </c>
      <c r="C34" s="49">
        <f>資料儲存!E4106</f>
        <v>0</v>
      </c>
      <c r="D34" s="49">
        <f>資料儲存!F4106</f>
        <v>0</v>
      </c>
      <c r="E34" s="49">
        <f>資料儲存!G4106</f>
        <v>0</v>
      </c>
      <c r="F34" s="49">
        <f>資料儲存!H4106</f>
        <v>0</v>
      </c>
      <c r="G34" s="49">
        <f>資料儲存!I4106</f>
        <v>0</v>
      </c>
      <c r="H34" s="49">
        <f>資料儲存!J4106</f>
        <v>0</v>
      </c>
      <c r="I34" s="52"/>
      <c r="J34" s="68">
        <v>25</v>
      </c>
      <c r="K34" s="49">
        <f>資料儲存!D4346</f>
        <v>0</v>
      </c>
      <c r="L34" s="49">
        <f>資料儲存!E4346</f>
        <v>0</v>
      </c>
      <c r="M34" s="49">
        <f>資料儲存!F4346</f>
        <v>0</v>
      </c>
      <c r="N34" s="49">
        <f>資料儲存!G4346</f>
        <v>0</v>
      </c>
      <c r="O34" s="49">
        <f>資料儲存!H4346</f>
        <v>0</v>
      </c>
      <c r="P34" s="49">
        <f>資料儲存!I4346</f>
        <v>0</v>
      </c>
      <c r="Q34" s="49">
        <f>資料儲存!J4346</f>
        <v>0</v>
      </c>
      <c r="R34" s="52"/>
      <c r="S34" s="68">
        <v>25</v>
      </c>
      <c r="T34" s="49">
        <f>資料儲存!D4586</f>
        <v>0</v>
      </c>
      <c r="U34" s="49">
        <f>資料儲存!E4586</f>
        <v>0</v>
      </c>
      <c r="V34" s="49">
        <f>資料儲存!F4586</f>
        <v>0</v>
      </c>
      <c r="W34" s="49">
        <f>資料儲存!G4586</f>
        <v>0</v>
      </c>
      <c r="X34" s="49">
        <f>資料儲存!H4586</f>
        <v>0</v>
      </c>
      <c r="Y34" s="49">
        <f>資料儲存!I4586</f>
        <v>0</v>
      </c>
      <c r="Z34" s="49">
        <f>資料儲存!J4586</f>
        <v>0</v>
      </c>
      <c r="AA34" s="52"/>
      <c r="AB34" s="68">
        <v>25</v>
      </c>
      <c r="AC34" s="49">
        <f>資料儲存!D4826</f>
        <v>0</v>
      </c>
      <c r="AD34" s="49">
        <f>資料儲存!E4826</f>
        <v>0</v>
      </c>
      <c r="AE34" s="49">
        <f>資料儲存!F4826</f>
        <v>0</v>
      </c>
      <c r="AF34" s="49">
        <f>資料儲存!G4826</f>
        <v>0</v>
      </c>
      <c r="AG34" s="49">
        <f>資料儲存!H4826</f>
        <v>0</v>
      </c>
      <c r="AH34" s="49">
        <f>資料儲存!I4826</f>
        <v>0</v>
      </c>
      <c r="AI34" s="49">
        <f>資料儲存!J4826</f>
        <v>0</v>
      </c>
      <c r="AJ34" s="52"/>
    </row>
    <row r="35" spans="1:36" ht="16" thickBot="1">
      <c r="A35" s="68">
        <v>26</v>
      </c>
      <c r="B35" s="49">
        <f>資料儲存!D4107</f>
        <v>0</v>
      </c>
      <c r="C35" s="49">
        <f>資料儲存!E4107</f>
        <v>0</v>
      </c>
      <c r="D35" s="49">
        <f>資料儲存!F4107</f>
        <v>0</v>
      </c>
      <c r="E35" s="49">
        <f>資料儲存!G4107</f>
        <v>0</v>
      </c>
      <c r="F35" s="49">
        <f>資料儲存!H4107</f>
        <v>0</v>
      </c>
      <c r="G35" s="49">
        <f>資料儲存!I4107</f>
        <v>0</v>
      </c>
      <c r="H35" s="49">
        <f>資料儲存!J4107</f>
        <v>0</v>
      </c>
      <c r="I35" s="52"/>
      <c r="J35" s="68">
        <v>26</v>
      </c>
      <c r="K35" s="49">
        <f>資料儲存!D4347</f>
        <v>0</v>
      </c>
      <c r="L35" s="49">
        <f>資料儲存!E4347</f>
        <v>0</v>
      </c>
      <c r="M35" s="49">
        <f>資料儲存!F4347</f>
        <v>0</v>
      </c>
      <c r="N35" s="49">
        <f>資料儲存!G4347</f>
        <v>0</v>
      </c>
      <c r="O35" s="49">
        <f>資料儲存!H4347</f>
        <v>0</v>
      </c>
      <c r="P35" s="49">
        <f>資料儲存!I4347</f>
        <v>0</v>
      </c>
      <c r="Q35" s="49">
        <f>資料儲存!J4347</f>
        <v>0</v>
      </c>
      <c r="R35" s="52"/>
      <c r="S35" s="68">
        <v>26</v>
      </c>
      <c r="T35" s="49">
        <f>資料儲存!D4587</f>
        <v>0</v>
      </c>
      <c r="U35" s="49">
        <f>資料儲存!E4587</f>
        <v>0</v>
      </c>
      <c r="V35" s="49">
        <f>資料儲存!F4587</f>
        <v>0</v>
      </c>
      <c r="W35" s="49">
        <f>資料儲存!G4587</f>
        <v>0</v>
      </c>
      <c r="X35" s="49">
        <f>資料儲存!H4587</f>
        <v>0</v>
      </c>
      <c r="Y35" s="49">
        <f>資料儲存!I4587</f>
        <v>0</v>
      </c>
      <c r="Z35" s="49">
        <f>資料儲存!J4587</f>
        <v>0</v>
      </c>
      <c r="AA35" s="52"/>
      <c r="AB35" s="68">
        <v>26</v>
      </c>
      <c r="AC35" s="49">
        <f>資料儲存!D4827</f>
        <v>0</v>
      </c>
      <c r="AD35" s="49">
        <f>資料儲存!E4827</f>
        <v>0</v>
      </c>
      <c r="AE35" s="49">
        <f>資料儲存!F4827</f>
        <v>0</v>
      </c>
      <c r="AF35" s="49">
        <f>資料儲存!G4827</f>
        <v>0</v>
      </c>
      <c r="AG35" s="49">
        <f>資料儲存!H4827</f>
        <v>0</v>
      </c>
      <c r="AH35" s="49">
        <f>資料儲存!I4827</f>
        <v>0</v>
      </c>
      <c r="AI35" s="49">
        <f>資料儲存!J4827</f>
        <v>0</v>
      </c>
      <c r="AJ35" s="52"/>
    </row>
    <row r="36" spans="1:36" ht="16" thickBot="1">
      <c r="A36" s="68">
        <v>27</v>
      </c>
      <c r="B36" s="49">
        <f>資料儲存!D4108</f>
        <v>0</v>
      </c>
      <c r="C36" s="49">
        <f>資料儲存!E4108</f>
        <v>0</v>
      </c>
      <c r="D36" s="49">
        <f>資料儲存!F4108</f>
        <v>0</v>
      </c>
      <c r="E36" s="49">
        <f>資料儲存!G4108</f>
        <v>0</v>
      </c>
      <c r="F36" s="49">
        <f>資料儲存!H4108</f>
        <v>0</v>
      </c>
      <c r="G36" s="49">
        <f>資料儲存!I4108</f>
        <v>0</v>
      </c>
      <c r="H36" s="49">
        <f>資料儲存!J4108</f>
        <v>0</v>
      </c>
      <c r="I36" s="52"/>
      <c r="J36" s="68">
        <v>27</v>
      </c>
      <c r="K36" s="49">
        <f>資料儲存!D4348</f>
        <v>0</v>
      </c>
      <c r="L36" s="49">
        <f>資料儲存!E4348</f>
        <v>0</v>
      </c>
      <c r="M36" s="49">
        <f>資料儲存!F4348</f>
        <v>0</v>
      </c>
      <c r="N36" s="49">
        <f>資料儲存!G4348</f>
        <v>0</v>
      </c>
      <c r="O36" s="49">
        <f>資料儲存!H4348</f>
        <v>0</v>
      </c>
      <c r="P36" s="49">
        <f>資料儲存!I4348</f>
        <v>0</v>
      </c>
      <c r="Q36" s="49">
        <f>資料儲存!J4348</f>
        <v>0</v>
      </c>
      <c r="R36" s="52"/>
      <c r="S36" s="68">
        <v>27</v>
      </c>
      <c r="T36" s="49">
        <f>資料儲存!D4588</f>
        <v>0</v>
      </c>
      <c r="U36" s="49">
        <f>資料儲存!E4588</f>
        <v>0</v>
      </c>
      <c r="V36" s="49">
        <f>資料儲存!F4588</f>
        <v>0</v>
      </c>
      <c r="W36" s="49">
        <f>資料儲存!G4588</f>
        <v>0</v>
      </c>
      <c r="X36" s="49">
        <f>資料儲存!H4588</f>
        <v>0</v>
      </c>
      <c r="Y36" s="49">
        <f>資料儲存!I4588</f>
        <v>0</v>
      </c>
      <c r="Z36" s="49">
        <f>資料儲存!J4588</f>
        <v>0</v>
      </c>
      <c r="AA36" s="52"/>
      <c r="AB36" s="68">
        <v>27</v>
      </c>
      <c r="AC36" s="49">
        <f>資料儲存!D4828</f>
        <v>0</v>
      </c>
      <c r="AD36" s="49">
        <f>資料儲存!E4828</f>
        <v>0</v>
      </c>
      <c r="AE36" s="49">
        <f>資料儲存!F4828</f>
        <v>0</v>
      </c>
      <c r="AF36" s="49">
        <f>資料儲存!G4828</f>
        <v>0</v>
      </c>
      <c r="AG36" s="49">
        <f>資料儲存!H4828</f>
        <v>0</v>
      </c>
      <c r="AH36" s="49">
        <f>資料儲存!I4828</f>
        <v>0</v>
      </c>
      <c r="AI36" s="49">
        <f>資料儲存!J4828</f>
        <v>0</v>
      </c>
      <c r="AJ36" s="52"/>
    </row>
    <row r="37" spans="1:36" ht="16" thickBot="1">
      <c r="A37" s="68">
        <v>28</v>
      </c>
      <c r="B37" s="49">
        <f>資料儲存!D4109</f>
        <v>0</v>
      </c>
      <c r="C37" s="49">
        <f>資料儲存!E4109</f>
        <v>0</v>
      </c>
      <c r="D37" s="49">
        <f>資料儲存!F4109</f>
        <v>0</v>
      </c>
      <c r="E37" s="49">
        <f>資料儲存!G4109</f>
        <v>0</v>
      </c>
      <c r="F37" s="49">
        <f>資料儲存!H4109</f>
        <v>0</v>
      </c>
      <c r="G37" s="49">
        <f>資料儲存!I4109</f>
        <v>0</v>
      </c>
      <c r="H37" s="49">
        <f>資料儲存!J4109</f>
        <v>0</v>
      </c>
      <c r="I37" s="52"/>
      <c r="J37" s="68">
        <v>28</v>
      </c>
      <c r="K37" s="49">
        <f>資料儲存!D4349</f>
        <v>0</v>
      </c>
      <c r="L37" s="49">
        <f>資料儲存!E4349</f>
        <v>0</v>
      </c>
      <c r="M37" s="49">
        <f>資料儲存!F4349</f>
        <v>0</v>
      </c>
      <c r="N37" s="49">
        <f>資料儲存!G4349</f>
        <v>0</v>
      </c>
      <c r="O37" s="49">
        <f>資料儲存!H4349</f>
        <v>0</v>
      </c>
      <c r="P37" s="49">
        <f>資料儲存!I4349</f>
        <v>0</v>
      </c>
      <c r="Q37" s="49">
        <f>資料儲存!J4349</f>
        <v>0</v>
      </c>
      <c r="R37" s="52"/>
      <c r="S37" s="68">
        <v>28</v>
      </c>
      <c r="T37" s="49">
        <f>資料儲存!D4589</f>
        <v>0</v>
      </c>
      <c r="U37" s="49">
        <f>資料儲存!E4589</f>
        <v>0</v>
      </c>
      <c r="V37" s="49">
        <f>資料儲存!F4589</f>
        <v>0</v>
      </c>
      <c r="W37" s="49">
        <f>資料儲存!G4589</f>
        <v>0</v>
      </c>
      <c r="X37" s="49">
        <f>資料儲存!H4589</f>
        <v>0</v>
      </c>
      <c r="Y37" s="49">
        <f>資料儲存!I4589</f>
        <v>0</v>
      </c>
      <c r="Z37" s="49">
        <f>資料儲存!J4589</f>
        <v>0</v>
      </c>
      <c r="AA37" s="52"/>
      <c r="AB37" s="68">
        <v>28</v>
      </c>
      <c r="AC37" s="49">
        <f>資料儲存!D4829</f>
        <v>0</v>
      </c>
      <c r="AD37" s="49">
        <f>資料儲存!E4829</f>
        <v>0</v>
      </c>
      <c r="AE37" s="49">
        <f>資料儲存!F4829</f>
        <v>0</v>
      </c>
      <c r="AF37" s="49">
        <f>資料儲存!G4829</f>
        <v>0</v>
      </c>
      <c r="AG37" s="49">
        <f>資料儲存!H4829</f>
        <v>0</v>
      </c>
      <c r="AH37" s="49">
        <f>資料儲存!I4829</f>
        <v>0</v>
      </c>
      <c r="AI37" s="49">
        <f>資料儲存!J4829</f>
        <v>0</v>
      </c>
      <c r="AJ37" s="52"/>
    </row>
    <row r="38" spans="1:36" ht="16" thickBot="1">
      <c r="A38" s="68">
        <v>29</v>
      </c>
      <c r="B38" s="49">
        <f>資料儲存!D4110</f>
        <v>0</v>
      </c>
      <c r="C38" s="49">
        <f>資料儲存!E4110</f>
        <v>0</v>
      </c>
      <c r="D38" s="49">
        <f>資料儲存!F4110</f>
        <v>0</v>
      </c>
      <c r="E38" s="49">
        <f>資料儲存!G4110</f>
        <v>0</v>
      </c>
      <c r="F38" s="49">
        <f>資料儲存!H4110</f>
        <v>0</v>
      </c>
      <c r="G38" s="49">
        <f>資料儲存!I4110</f>
        <v>0</v>
      </c>
      <c r="H38" s="49">
        <f>資料儲存!J4110</f>
        <v>0</v>
      </c>
      <c r="I38" s="52"/>
      <c r="J38" s="68">
        <v>29</v>
      </c>
      <c r="K38" s="49">
        <f>資料儲存!D4350</f>
        <v>0</v>
      </c>
      <c r="L38" s="49">
        <f>資料儲存!E4350</f>
        <v>0</v>
      </c>
      <c r="M38" s="49">
        <f>資料儲存!F4350</f>
        <v>0</v>
      </c>
      <c r="N38" s="49">
        <f>資料儲存!G4350</f>
        <v>0</v>
      </c>
      <c r="O38" s="49">
        <f>資料儲存!H4350</f>
        <v>0</v>
      </c>
      <c r="P38" s="49">
        <f>資料儲存!I4350</f>
        <v>0</v>
      </c>
      <c r="Q38" s="49">
        <f>資料儲存!J4350</f>
        <v>0</v>
      </c>
      <c r="R38" s="52"/>
      <c r="S38" s="68">
        <v>29</v>
      </c>
      <c r="T38" s="49">
        <f>資料儲存!D4590</f>
        <v>0</v>
      </c>
      <c r="U38" s="49">
        <f>資料儲存!E4590</f>
        <v>0</v>
      </c>
      <c r="V38" s="49">
        <f>資料儲存!F4590</f>
        <v>0</v>
      </c>
      <c r="W38" s="49">
        <f>資料儲存!G4590</f>
        <v>0</v>
      </c>
      <c r="X38" s="49">
        <f>資料儲存!H4590</f>
        <v>0</v>
      </c>
      <c r="Y38" s="49">
        <f>資料儲存!I4590</f>
        <v>0</v>
      </c>
      <c r="Z38" s="49">
        <f>資料儲存!J4590</f>
        <v>0</v>
      </c>
      <c r="AA38" s="52"/>
      <c r="AB38" s="68">
        <v>29</v>
      </c>
      <c r="AC38" s="49">
        <f>資料儲存!D4830</f>
        <v>0</v>
      </c>
      <c r="AD38" s="49">
        <f>資料儲存!E4830</f>
        <v>0</v>
      </c>
      <c r="AE38" s="49">
        <f>資料儲存!F4830</f>
        <v>0</v>
      </c>
      <c r="AF38" s="49">
        <f>資料儲存!G4830</f>
        <v>0</v>
      </c>
      <c r="AG38" s="49">
        <f>資料儲存!H4830</f>
        <v>0</v>
      </c>
      <c r="AH38" s="49">
        <f>資料儲存!I4830</f>
        <v>0</v>
      </c>
      <c r="AI38" s="49">
        <f>資料儲存!J4830</f>
        <v>0</v>
      </c>
      <c r="AJ38" s="52"/>
    </row>
    <row r="39" spans="1:36" ht="16" thickBot="1">
      <c r="A39" s="68">
        <v>30</v>
      </c>
      <c r="B39" s="49">
        <f>資料儲存!D4111</f>
        <v>0</v>
      </c>
      <c r="C39" s="49">
        <f>資料儲存!E4111</f>
        <v>0</v>
      </c>
      <c r="D39" s="49">
        <f>資料儲存!F4111</f>
        <v>0</v>
      </c>
      <c r="E39" s="49">
        <f>資料儲存!G4111</f>
        <v>0</v>
      </c>
      <c r="F39" s="49">
        <f>資料儲存!H4111</f>
        <v>0</v>
      </c>
      <c r="G39" s="49">
        <f>資料儲存!I4111</f>
        <v>0</v>
      </c>
      <c r="H39" s="49">
        <f>資料儲存!J4111</f>
        <v>0</v>
      </c>
      <c r="I39" s="52"/>
      <c r="J39" s="68">
        <v>30</v>
      </c>
      <c r="K39" s="49">
        <f>資料儲存!D4351</f>
        <v>0</v>
      </c>
      <c r="L39" s="49">
        <f>資料儲存!E4351</f>
        <v>0</v>
      </c>
      <c r="M39" s="49">
        <f>資料儲存!F4351</f>
        <v>0</v>
      </c>
      <c r="N39" s="49">
        <f>資料儲存!G4351</f>
        <v>0</v>
      </c>
      <c r="O39" s="49">
        <f>資料儲存!H4351</f>
        <v>0</v>
      </c>
      <c r="P39" s="49">
        <f>資料儲存!I4351</f>
        <v>0</v>
      </c>
      <c r="Q39" s="49">
        <f>資料儲存!J4351</f>
        <v>0</v>
      </c>
      <c r="R39" s="52"/>
      <c r="S39" s="68">
        <v>30</v>
      </c>
      <c r="T39" s="49">
        <f>資料儲存!D4591</f>
        <v>0</v>
      </c>
      <c r="U39" s="49">
        <f>資料儲存!E4591</f>
        <v>0</v>
      </c>
      <c r="V39" s="49">
        <f>資料儲存!F4591</f>
        <v>0</v>
      </c>
      <c r="W39" s="49">
        <f>資料儲存!G4591</f>
        <v>0</v>
      </c>
      <c r="X39" s="49">
        <f>資料儲存!H4591</f>
        <v>0</v>
      </c>
      <c r="Y39" s="49">
        <f>資料儲存!I4591</f>
        <v>0</v>
      </c>
      <c r="Z39" s="49">
        <f>資料儲存!J4591</f>
        <v>0</v>
      </c>
      <c r="AA39" s="52"/>
      <c r="AB39" s="68">
        <v>30</v>
      </c>
      <c r="AC39" s="49">
        <f>資料儲存!D4831</f>
        <v>0</v>
      </c>
      <c r="AD39" s="49">
        <f>資料儲存!E4831</f>
        <v>0</v>
      </c>
      <c r="AE39" s="49">
        <f>資料儲存!F4831</f>
        <v>0</v>
      </c>
      <c r="AF39" s="49">
        <f>資料儲存!G4831</f>
        <v>0</v>
      </c>
      <c r="AG39" s="49">
        <f>資料儲存!H4831</f>
        <v>0</v>
      </c>
      <c r="AH39" s="49">
        <f>資料儲存!I4831</f>
        <v>0</v>
      </c>
      <c r="AI39" s="49">
        <f>資料儲存!J4831</f>
        <v>0</v>
      </c>
      <c r="AJ39" s="52"/>
    </row>
    <row r="40" spans="1:36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8.5" thickBot="1">
      <c r="A41" s="259" t="s">
        <v>119</v>
      </c>
      <c r="B41" s="260"/>
      <c r="C41" s="260"/>
      <c r="D41" s="260"/>
      <c r="E41" s="260"/>
      <c r="F41" s="260"/>
      <c r="G41" s="260"/>
      <c r="H41" s="261"/>
      <c r="I41" s="14"/>
      <c r="J41" s="259" t="s">
        <v>119</v>
      </c>
      <c r="K41" s="260"/>
      <c r="L41" s="260"/>
      <c r="M41" s="260"/>
      <c r="N41" s="260"/>
      <c r="O41" s="260"/>
      <c r="P41" s="260"/>
      <c r="Q41" s="261"/>
      <c r="R41" s="14"/>
      <c r="S41" s="259" t="s">
        <v>119</v>
      </c>
      <c r="T41" s="260"/>
      <c r="U41" s="260"/>
      <c r="V41" s="260"/>
      <c r="W41" s="260"/>
      <c r="X41" s="260"/>
      <c r="Y41" s="260"/>
      <c r="Z41" s="261"/>
      <c r="AA41" s="14"/>
      <c r="AB41" s="259" t="s">
        <v>119</v>
      </c>
      <c r="AC41" s="260"/>
      <c r="AD41" s="260"/>
      <c r="AE41" s="260"/>
      <c r="AF41" s="260"/>
      <c r="AG41" s="260"/>
      <c r="AH41" s="260"/>
      <c r="AI41" s="261"/>
      <c r="AJ41" s="14"/>
    </row>
    <row r="42" spans="1:36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</row>
    <row r="43" spans="1:36" ht="16" thickBot="1">
      <c r="A43" s="59">
        <v>0.6875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>
        <v>0.6875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>
        <v>0.6875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>
        <v>0.6875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</row>
    <row r="44" spans="1:36" ht="16" thickBot="1">
      <c r="A44" s="61">
        <v>31</v>
      </c>
      <c r="B44" s="39">
        <f>資料儲存!D4112</f>
        <v>0</v>
      </c>
      <c r="C44" s="39">
        <f>資料儲存!E4112</f>
        <v>0</v>
      </c>
      <c r="D44" s="39">
        <f>資料儲存!F4112</f>
        <v>0</v>
      </c>
      <c r="E44" s="39">
        <f>資料儲存!G4112</f>
        <v>0</v>
      </c>
      <c r="F44" s="39">
        <f>資料儲存!H4112</f>
        <v>0</v>
      </c>
      <c r="G44" s="39">
        <f>資料儲存!I4112</f>
        <v>0</v>
      </c>
      <c r="H44" s="39">
        <f>資料儲存!J4112</f>
        <v>0</v>
      </c>
      <c r="I44" s="58"/>
      <c r="J44" s="61">
        <v>31</v>
      </c>
      <c r="K44" s="39">
        <f>資料儲存!D4352</f>
        <v>0</v>
      </c>
      <c r="L44" s="39">
        <f>資料儲存!E4352</f>
        <v>0</v>
      </c>
      <c r="M44" s="39">
        <f>資料儲存!F4352</f>
        <v>0</v>
      </c>
      <c r="N44" s="39">
        <f>資料儲存!G4352</f>
        <v>0</v>
      </c>
      <c r="O44" s="39">
        <f>資料儲存!H4352</f>
        <v>0</v>
      </c>
      <c r="P44" s="39">
        <f>資料儲存!I4352</f>
        <v>0</v>
      </c>
      <c r="Q44" s="39">
        <f>資料儲存!J4352</f>
        <v>0</v>
      </c>
      <c r="R44" s="58"/>
      <c r="S44" s="61">
        <v>31</v>
      </c>
      <c r="T44" s="39">
        <f>資料儲存!D4592</f>
        <v>0</v>
      </c>
      <c r="U44" s="39">
        <f>資料儲存!E4592</f>
        <v>0</v>
      </c>
      <c r="V44" s="39">
        <f>資料儲存!F4592</f>
        <v>0</v>
      </c>
      <c r="W44" s="39">
        <f>資料儲存!G4592</f>
        <v>0</v>
      </c>
      <c r="X44" s="39">
        <f>資料儲存!H4592</f>
        <v>0</v>
      </c>
      <c r="Y44" s="39">
        <f>資料儲存!I4592</f>
        <v>0</v>
      </c>
      <c r="Z44" s="39">
        <f>資料儲存!J4592</f>
        <v>0</v>
      </c>
      <c r="AA44" s="58"/>
      <c r="AB44" s="61">
        <v>31</v>
      </c>
      <c r="AC44" s="39">
        <f>資料儲存!D4832</f>
        <v>0</v>
      </c>
      <c r="AD44" s="39">
        <f>資料儲存!E4832</f>
        <v>0</v>
      </c>
      <c r="AE44" s="39">
        <f>資料儲存!F4832</f>
        <v>0</v>
      </c>
      <c r="AF44" s="39">
        <f>資料儲存!G4832</f>
        <v>0</v>
      </c>
      <c r="AG44" s="39">
        <f>資料儲存!H4832</f>
        <v>0</v>
      </c>
      <c r="AH44" s="39">
        <f>資料儲存!I4832</f>
        <v>0</v>
      </c>
      <c r="AI44" s="39">
        <f>資料儲存!J4832</f>
        <v>0</v>
      </c>
      <c r="AJ44" s="58"/>
    </row>
    <row r="45" spans="1:36" ht="16" thickBot="1">
      <c r="A45" s="61">
        <v>32</v>
      </c>
      <c r="B45" s="39">
        <f>資料儲存!D4113</f>
        <v>0</v>
      </c>
      <c r="C45" s="39">
        <f>資料儲存!E4113</f>
        <v>0</v>
      </c>
      <c r="D45" s="39">
        <f>資料儲存!F4113</f>
        <v>0</v>
      </c>
      <c r="E45" s="39">
        <f>資料儲存!G4113</f>
        <v>0</v>
      </c>
      <c r="F45" s="39">
        <f>資料儲存!H4113</f>
        <v>0</v>
      </c>
      <c r="G45" s="39">
        <f>資料儲存!I4113</f>
        <v>0</v>
      </c>
      <c r="H45" s="39">
        <f>資料儲存!J4113</f>
        <v>0</v>
      </c>
      <c r="I45" s="58"/>
      <c r="J45" s="61">
        <v>32</v>
      </c>
      <c r="K45" s="39">
        <f>資料儲存!D4353</f>
        <v>0</v>
      </c>
      <c r="L45" s="39">
        <f>資料儲存!E4353</f>
        <v>0</v>
      </c>
      <c r="M45" s="39">
        <f>資料儲存!F4353</f>
        <v>0</v>
      </c>
      <c r="N45" s="39">
        <f>資料儲存!G4353</f>
        <v>0</v>
      </c>
      <c r="O45" s="39">
        <f>資料儲存!H4353</f>
        <v>0</v>
      </c>
      <c r="P45" s="39">
        <f>資料儲存!I4353</f>
        <v>0</v>
      </c>
      <c r="Q45" s="39">
        <f>資料儲存!J4353</f>
        <v>0</v>
      </c>
      <c r="R45" s="58"/>
      <c r="S45" s="61">
        <v>32</v>
      </c>
      <c r="T45" s="39">
        <f>資料儲存!D4593</f>
        <v>0</v>
      </c>
      <c r="U45" s="39">
        <f>資料儲存!E4593</f>
        <v>0</v>
      </c>
      <c r="V45" s="39">
        <f>資料儲存!F4593</f>
        <v>0</v>
      </c>
      <c r="W45" s="39">
        <f>資料儲存!G4593</f>
        <v>0</v>
      </c>
      <c r="X45" s="39">
        <f>資料儲存!H4593</f>
        <v>0</v>
      </c>
      <c r="Y45" s="39">
        <f>資料儲存!I4593</f>
        <v>0</v>
      </c>
      <c r="Z45" s="39">
        <f>資料儲存!J4593</f>
        <v>0</v>
      </c>
      <c r="AA45" s="58"/>
      <c r="AB45" s="61">
        <v>32</v>
      </c>
      <c r="AC45" s="39">
        <f>資料儲存!D4833</f>
        <v>0</v>
      </c>
      <c r="AD45" s="39">
        <f>資料儲存!E4833</f>
        <v>0</v>
      </c>
      <c r="AE45" s="39">
        <f>資料儲存!F4833</f>
        <v>0</v>
      </c>
      <c r="AF45" s="39">
        <f>資料儲存!G4833</f>
        <v>0</v>
      </c>
      <c r="AG45" s="39">
        <f>資料儲存!H4833</f>
        <v>0</v>
      </c>
      <c r="AH45" s="39">
        <f>資料儲存!I4833</f>
        <v>0</v>
      </c>
      <c r="AI45" s="39">
        <f>資料儲存!J4833</f>
        <v>0</v>
      </c>
      <c r="AJ45" s="58"/>
    </row>
    <row r="46" spans="1:36" ht="16" thickBot="1">
      <c r="A46" s="61">
        <v>33</v>
      </c>
      <c r="B46" s="39">
        <f>資料儲存!D4114</f>
        <v>0</v>
      </c>
      <c r="C46" s="39">
        <f>資料儲存!E4114</f>
        <v>0</v>
      </c>
      <c r="D46" s="39">
        <f>資料儲存!F4114</f>
        <v>0</v>
      </c>
      <c r="E46" s="39">
        <f>資料儲存!G4114</f>
        <v>0</v>
      </c>
      <c r="F46" s="39">
        <f>資料儲存!H4114</f>
        <v>0</v>
      </c>
      <c r="G46" s="39">
        <f>資料儲存!I4114</f>
        <v>0</v>
      </c>
      <c r="H46" s="39">
        <f>資料儲存!J4114</f>
        <v>0</v>
      </c>
      <c r="I46" s="58"/>
      <c r="J46" s="61">
        <v>33</v>
      </c>
      <c r="K46" s="39">
        <f>資料儲存!D4354</f>
        <v>0</v>
      </c>
      <c r="L46" s="39">
        <f>資料儲存!E4354</f>
        <v>0</v>
      </c>
      <c r="M46" s="39">
        <f>資料儲存!F4354</f>
        <v>0</v>
      </c>
      <c r="N46" s="39">
        <f>資料儲存!G4354</f>
        <v>0</v>
      </c>
      <c r="O46" s="39">
        <f>資料儲存!H4354</f>
        <v>0</v>
      </c>
      <c r="P46" s="39">
        <f>資料儲存!I4354</f>
        <v>0</v>
      </c>
      <c r="Q46" s="39">
        <f>資料儲存!J4354</f>
        <v>0</v>
      </c>
      <c r="R46" s="58"/>
      <c r="S46" s="61">
        <v>33</v>
      </c>
      <c r="T46" s="39">
        <f>資料儲存!D4594</f>
        <v>0</v>
      </c>
      <c r="U46" s="39">
        <f>資料儲存!E4594</f>
        <v>0</v>
      </c>
      <c r="V46" s="39">
        <f>資料儲存!F4594</f>
        <v>0</v>
      </c>
      <c r="W46" s="39">
        <f>資料儲存!G4594</f>
        <v>0</v>
      </c>
      <c r="X46" s="39">
        <f>資料儲存!H4594</f>
        <v>0</v>
      </c>
      <c r="Y46" s="39">
        <f>資料儲存!I4594</f>
        <v>0</v>
      </c>
      <c r="Z46" s="39">
        <f>資料儲存!J4594</f>
        <v>0</v>
      </c>
      <c r="AA46" s="58"/>
      <c r="AB46" s="61">
        <v>33</v>
      </c>
      <c r="AC46" s="39">
        <f>資料儲存!D4834</f>
        <v>0</v>
      </c>
      <c r="AD46" s="39">
        <f>資料儲存!E4834</f>
        <v>0</v>
      </c>
      <c r="AE46" s="39">
        <f>資料儲存!F4834</f>
        <v>0</v>
      </c>
      <c r="AF46" s="39">
        <f>資料儲存!G4834</f>
        <v>0</v>
      </c>
      <c r="AG46" s="39">
        <f>資料儲存!H4834</f>
        <v>0</v>
      </c>
      <c r="AH46" s="39">
        <f>資料儲存!I4834</f>
        <v>0</v>
      </c>
      <c r="AI46" s="39">
        <f>資料儲存!J4834</f>
        <v>0</v>
      </c>
      <c r="AJ46" s="58"/>
    </row>
    <row r="47" spans="1:36" ht="16" thickBot="1">
      <c r="A47" s="61">
        <v>34</v>
      </c>
      <c r="B47" s="39">
        <f>資料儲存!D4115</f>
        <v>0</v>
      </c>
      <c r="C47" s="39">
        <f>資料儲存!E4115</f>
        <v>0</v>
      </c>
      <c r="D47" s="39">
        <f>資料儲存!F4115</f>
        <v>0</v>
      </c>
      <c r="E47" s="39">
        <f>資料儲存!G4115</f>
        <v>0</v>
      </c>
      <c r="F47" s="39">
        <f>資料儲存!H4115</f>
        <v>0</v>
      </c>
      <c r="G47" s="39">
        <f>資料儲存!I4115</f>
        <v>0</v>
      </c>
      <c r="H47" s="39">
        <f>資料儲存!J4115</f>
        <v>0</v>
      </c>
      <c r="I47" s="58"/>
      <c r="J47" s="61">
        <v>34</v>
      </c>
      <c r="K47" s="39">
        <f>資料儲存!D4355</f>
        <v>0</v>
      </c>
      <c r="L47" s="39">
        <f>資料儲存!E4355</f>
        <v>0</v>
      </c>
      <c r="M47" s="39">
        <f>資料儲存!F4355</f>
        <v>0</v>
      </c>
      <c r="N47" s="39">
        <f>資料儲存!G4355</f>
        <v>0</v>
      </c>
      <c r="O47" s="39">
        <f>資料儲存!H4355</f>
        <v>0</v>
      </c>
      <c r="P47" s="39">
        <f>資料儲存!I4355</f>
        <v>0</v>
      </c>
      <c r="Q47" s="39">
        <f>資料儲存!J4355</f>
        <v>0</v>
      </c>
      <c r="R47" s="58"/>
      <c r="S47" s="61">
        <v>34</v>
      </c>
      <c r="T47" s="39">
        <f>資料儲存!D4595</f>
        <v>0</v>
      </c>
      <c r="U47" s="39">
        <f>資料儲存!E4595</f>
        <v>0</v>
      </c>
      <c r="V47" s="39">
        <f>資料儲存!F4595</f>
        <v>0</v>
      </c>
      <c r="W47" s="39">
        <f>資料儲存!G4595</f>
        <v>0</v>
      </c>
      <c r="X47" s="39">
        <f>資料儲存!H4595</f>
        <v>0</v>
      </c>
      <c r="Y47" s="39">
        <f>資料儲存!I4595</f>
        <v>0</v>
      </c>
      <c r="Z47" s="39">
        <f>資料儲存!J4595</f>
        <v>0</v>
      </c>
      <c r="AA47" s="58"/>
      <c r="AB47" s="61">
        <v>34</v>
      </c>
      <c r="AC47" s="39">
        <f>資料儲存!D4835</f>
        <v>0</v>
      </c>
      <c r="AD47" s="39">
        <f>資料儲存!E4835</f>
        <v>0</v>
      </c>
      <c r="AE47" s="39">
        <f>資料儲存!F4835</f>
        <v>0</v>
      </c>
      <c r="AF47" s="39">
        <f>資料儲存!G4835</f>
        <v>0</v>
      </c>
      <c r="AG47" s="39">
        <f>資料儲存!H4835</f>
        <v>0</v>
      </c>
      <c r="AH47" s="39">
        <f>資料儲存!I4835</f>
        <v>0</v>
      </c>
      <c r="AI47" s="39">
        <f>資料儲存!J4835</f>
        <v>0</v>
      </c>
      <c r="AJ47" s="58"/>
    </row>
    <row r="48" spans="1:36" ht="16" thickBot="1">
      <c r="A48" s="61">
        <v>35</v>
      </c>
      <c r="B48" s="39">
        <f>資料儲存!D4116</f>
        <v>0</v>
      </c>
      <c r="C48" s="39">
        <f>資料儲存!E4116</f>
        <v>0</v>
      </c>
      <c r="D48" s="39">
        <f>資料儲存!F4116</f>
        <v>0</v>
      </c>
      <c r="E48" s="39">
        <f>資料儲存!G4116</f>
        <v>0</v>
      </c>
      <c r="F48" s="39">
        <f>資料儲存!H4116</f>
        <v>0</v>
      </c>
      <c r="G48" s="39">
        <f>資料儲存!I4116</f>
        <v>0</v>
      </c>
      <c r="H48" s="39">
        <f>資料儲存!J4116</f>
        <v>0</v>
      </c>
      <c r="I48" s="58"/>
      <c r="J48" s="61">
        <v>35</v>
      </c>
      <c r="K48" s="39">
        <f>資料儲存!D4356</f>
        <v>0</v>
      </c>
      <c r="L48" s="39">
        <f>資料儲存!E4356</f>
        <v>0</v>
      </c>
      <c r="M48" s="39">
        <f>資料儲存!F4356</f>
        <v>0</v>
      </c>
      <c r="N48" s="39">
        <f>資料儲存!G4356</f>
        <v>0</v>
      </c>
      <c r="O48" s="39">
        <f>資料儲存!H4356</f>
        <v>0</v>
      </c>
      <c r="P48" s="39">
        <f>資料儲存!I4356</f>
        <v>0</v>
      </c>
      <c r="Q48" s="39">
        <f>資料儲存!J4356</f>
        <v>0</v>
      </c>
      <c r="R48" s="58"/>
      <c r="S48" s="61">
        <v>35</v>
      </c>
      <c r="T48" s="39">
        <f>資料儲存!D4596</f>
        <v>0</v>
      </c>
      <c r="U48" s="39">
        <f>資料儲存!E4596</f>
        <v>0</v>
      </c>
      <c r="V48" s="39">
        <f>資料儲存!F4596</f>
        <v>0</v>
      </c>
      <c r="W48" s="39">
        <f>資料儲存!G4596</f>
        <v>0</v>
      </c>
      <c r="X48" s="39">
        <f>資料儲存!H4596</f>
        <v>0</v>
      </c>
      <c r="Y48" s="39">
        <f>資料儲存!I4596</f>
        <v>0</v>
      </c>
      <c r="Z48" s="39">
        <f>資料儲存!J4596</f>
        <v>0</v>
      </c>
      <c r="AA48" s="58"/>
      <c r="AB48" s="61">
        <v>35</v>
      </c>
      <c r="AC48" s="39">
        <f>資料儲存!D4836</f>
        <v>0</v>
      </c>
      <c r="AD48" s="39">
        <f>資料儲存!E4836</f>
        <v>0</v>
      </c>
      <c r="AE48" s="39">
        <f>資料儲存!F4836</f>
        <v>0</v>
      </c>
      <c r="AF48" s="39">
        <f>資料儲存!G4836</f>
        <v>0</v>
      </c>
      <c r="AG48" s="39">
        <f>資料儲存!H4836</f>
        <v>0</v>
      </c>
      <c r="AH48" s="39">
        <f>資料儲存!I4836</f>
        <v>0</v>
      </c>
      <c r="AI48" s="39">
        <f>資料儲存!J4836</f>
        <v>0</v>
      </c>
      <c r="AJ48" s="58"/>
    </row>
    <row r="49" spans="1:36" ht="16" thickBot="1">
      <c r="A49" s="61">
        <v>36</v>
      </c>
      <c r="B49" s="39">
        <f>資料儲存!D4117</f>
        <v>0</v>
      </c>
      <c r="C49" s="39">
        <f>資料儲存!E4117</f>
        <v>0</v>
      </c>
      <c r="D49" s="39">
        <f>資料儲存!F4117</f>
        <v>0</v>
      </c>
      <c r="E49" s="39">
        <f>資料儲存!G4117</f>
        <v>0</v>
      </c>
      <c r="F49" s="39">
        <f>資料儲存!H4117</f>
        <v>0</v>
      </c>
      <c r="G49" s="39">
        <f>資料儲存!I4117</f>
        <v>0</v>
      </c>
      <c r="H49" s="39">
        <f>資料儲存!J4117</f>
        <v>0</v>
      </c>
      <c r="I49" s="58"/>
      <c r="J49" s="61">
        <v>36</v>
      </c>
      <c r="K49" s="39">
        <f>資料儲存!D4357</f>
        <v>0</v>
      </c>
      <c r="L49" s="39">
        <f>資料儲存!E4357</f>
        <v>0</v>
      </c>
      <c r="M49" s="39">
        <f>資料儲存!F4357</f>
        <v>0</v>
      </c>
      <c r="N49" s="39">
        <f>資料儲存!G4357</f>
        <v>0</v>
      </c>
      <c r="O49" s="39">
        <f>資料儲存!H4357</f>
        <v>0</v>
      </c>
      <c r="P49" s="39">
        <f>資料儲存!I4357</f>
        <v>0</v>
      </c>
      <c r="Q49" s="39">
        <f>資料儲存!J4357</f>
        <v>0</v>
      </c>
      <c r="R49" s="58"/>
      <c r="S49" s="61">
        <v>36</v>
      </c>
      <c r="T49" s="39">
        <f>資料儲存!D4597</f>
        <v>0</v>
      </c>
      <c r="U49" s="39">
        <f>資料儲存!E4597</f>
        <v>0</v>
      </c>
      <c r="V49" s="39">
        <f>資料儲存!F4597</f>
        <v>0</v>
      </c>
      <c r="W49" s="39">
        <f>資料儲存!G4597</f>
        <v>0</v>
      </c>
      <c r="X49" s="39">
        <f>資料儲存!H4597</f>
        <v>0</v>
      </c>
      <c r="Y49" s="39">
        <f>資料儲存!I4597</f>
        <v>0</v>
      </c>
      <c r="Z49" s="39">
        <f>資料儲存!J4597</f>
        <v>0</v>
      </c>
      <c r="AA49" s="58"/>
      <c r="AB49" s="61">
        <v>36</v>
      </c>
      <c r="AC49" s="39">
        <f>資料儲存!D4837</f>
        <v>0</v>
      </c>
      <c r="AD49" s="39">
        <f>資料儲存!E4837</f>
        <v>0</v>
      </c>
      <c r="AE49" s="39">
        <f>資料儲存!F4837</f>
        <v>0</v>
      </c>
      <c r="AF49" s="39">
        <f>資料儲存!G4837</f>
        <v>0</v>
      </c>
      <c r="AG49" s="39">
        <f>資料儲存!H4837</f>
        <v>0</v>
      </c>
      <c r="AH49" s="39">
        <f>資料儲存!I4837</f>
        <v>0</v>
      </c>
      <c r="AI49" s="39">
        <f>資料儲存!J4837</f>
        <v>0</v>
      </c>
      <c r="AJ49" s="58"/>
    </row>
    <row r="50" spans="1:36" ht="16" thickBot="1">
      <c r="A50" s="61">
        <v>37</v>
      </c>
      <c r="B50" s="39">
        <f>資料儲存!D4118</f>
        <v>0</v>
      </c>
      <c r="C50" s="39">
        <f>資料儲存!E4118</f>
        <v>0</v>
      </c>
      <c r="D50" s="39">
        <f>資料儲存!F4118</f>
        <v>0</v>
      </c>
      <c r="E50" s="39">
        <f>資料儲存!G4118</f>
        <v>0</v>
      </c>
      <c r="F50" s="39">
        <f>資料儲存!H4118</f>
        <v>0</v>
      </c>
      <c r="G50" s="39">
        <f>資料儲存!I4118</f>
        <v>0</v>
      </c>
      <c r="H50" s="39">
        <f>資料儲存!J4118</f>
        <v>0</v>
      </c>
      <c r="I50" s="58"/>
      <c r="J50" s="61">
        <v>37</v>
      </c>
      <c r="K50" s="39">
        <f>資料儲存!D4358</f>
        <v>0</v>
      </c>
      <c r="L50" s="39">
        <f>資料儲存!E4358</f>
        <v>0</v>
      </c>
      <c r="M50" s="39">
        <f>資料儲存!F4358</f>
        <v>0</v>
      </c>
      <c r="N50" s="39">
        <f>資料儲存!G4358</f>
        <v>0</v>
      </c>
      <c r="O50" s="39">
        <f>資料儲存!H4358</f>
        <v>0</v>
      </c>
      <c r="P50" s="39">
        <f>資料儲存!I4358</f>
        <v>0</v>
      </c>
      <c r="Q50" s="39">
        <f>資料儲存!J4358</f>
        <v>0</v>
      </c>
      <c r="R50" s="58"/>
      <c r="S50" s="61">
        <v>37</v>
      </c>
      <c r="T50" s="39">
        <f>資料儲存!D4598</f>
        <v>0</v>
      </c>
      <c r="U50" s="39">
        <f>資料儲存!E4598</f>
        <v>0</v>
      </c>
      <c r="V50" s="39">
        <f>資料儲存!F4598</f>
        <v>0</v>
      </c>
      <c r="W50" s="39">
        <f>資料儲存!G4598</f>
        <v>0</v>
      </c>
      <c r="X50" s="39">
        <f>資料儲存!H4598</f>
        <v>0</v>
      </c>
      <c r="Y50" s="39">
        <f>資料儲存!I4598</f>
        <v>0</v>
      </c>
      <c r="Z50" s="39">
        <f>資料儲存!J4598</f>
        <v>0</v>
      </c>
      <c r="AA50" s="58"/>
      <c r="AB50" s="61">
        <v>37</v>
      </c>
      <c r="AC50" s="39">
        <f>資料儲存!D4838</f>
        <v>0</v>
      </c>
      <c r="AD50" s="39">
        <f>資料儲存!E4838</f>
        <v>0</v>
      </c>
      <c r="AE50" s="39">
        <f>資料儲存!F4838</f>
        <v>0</v>
      </c>
      <c r="AF50" s="39">
        <f>資料儲存!G4838</f>
        <v>0</v>
      </c>
      <c r="AG50" s="39">
        <f>資料儲存!H4838</f>
        <v>0</v>
      </c>
      <c r="AH50" s="39">
        <f>資料儲存!I4838</f>
        <v>0</v>
      </c>
      <c r="AI50" s="39">
        <f>資料儲存!J4838</f>
        <v>0</v>
      </c>
      <c r="AJ50" s="58"/>
    </row>
    <row r="51" spans="1:36" ht="16" thickBot="1">
      <c r="A51" s="61">
        <v>38</v>
      </c>
      <c r="B51" s="39">
        <f>資料儲存!D4119</f>
        <v>0</v>
      </c>
      <c r="C51" s="39">
        <f>資料儲存!E4119</f>
        <v>0</v>
      </c>
      <c r="D51" s="39">
        <f>資料儲存!F4119</f>
        <v>0</v>
      </c>
      <c r="E51" s="39">
        <f>資料儲存!G4119</f>
        <v>0</v>
      </c>
      <c r="F51" s="39">
        <f>資料儲存!H4119</f>
        <v>0</v>
      </c>
      <c r="G51" s="39">
        <f>資料儲存!I4119</f>
        <v>0</v>
      </c>
      <c r="H51" s="39">
        <f>資料儲存!J4119</f>
        <v>0</v>
      </c>
      <c r="I51" s="58"/>
      <c r="J51" s="61">
        <v>38</v>
      </c>
      <c r="K51" s="39">
        <f>資料儲存!D4359</f>
        <v>0</v>
      </c>
      <c r="L51" s="39">
        <f>資料儲存!E4359</f>
        <v>0</v>
      </c>
      <c r="M51" s="39">
        <f>資料儲存!F4359</f>
        <v>0</v>
      </c>
      <c r="N51" s="39">
        <f>資料儲存!G4359</f>
        <v>0</v>
      </c>
      <c r="O51" s="39">
        <f>資料儲存!H4359</f>
        <v>0</v>
      </c>
      <c r="P51" s="39">
        <f>資料儲存!I4359</f>
        <v>0</v>
      </c>
      <c r="Q51" s="39">
        <f>資料儲存!J4359</f>
        <v>0</v>
      </c>
      <c r="R51" s="58"/>
      <c r="S51" s="61">
        <v>38</v>
      </c>
      <c r="T51" s="39">
        <f>資料儲存!D4599</f>
        <v>0</v>
      </c>
      <c r="U51" s="39">
        <f>資料儲存!E4599</f>
        <v>0</v>
      </c>
      <c r="V51" s="39">
        <f>資料儲存!F4599</f>
        <v>0</v>
      </c>
      <c r="W51" s="39">
        <f>資料儲存!G4599</f>
        <v>0</v>
      </c>
      <c r="X51" s="39">
        <f>資料儲存!H4599</f>
        <v>0</v>
      </c>
      <c r="Y51" s="39">
        <f>資料儲存!I4599</f>
        <v>0</v>
      </c>
      <c r="Z51" s="39">
        <f>資料儲存!J4599</f>
        <v>0</v>
      </c>
      <c r="AA51" s="58"/>
      <c r="AB51" s="61">
        <v>38</v>
      </c>
      <c r="AC51" s="39">
        <f>資料儲存!D4839</f>
        <v>0</v>
      </c>
      <c r="AD51" s="39">
        <f>資料儲存!E4839</f>
        <v>0</v>
      </c>
      <c r="AE51" s="39">
        <f>資料儲存!F4839</f>
        <v>0</v>
      </c>
      <c r="AF51" s="39">
        <f>資料儲存!G4839</f>
        <v>0</v>
      </c>
      <c r="AG51" s="39">
        <f>資料儲存!H4839</f>
        <v>0</v>
      </c>
      <c r="AH51" s="39">
        <f>資料儲存!I4839</f>
        <v>0</v>
      </c>
      <c r="AI51" s="39">
        <f>資料儲存!J4839</f>
        <v>0</v>
      </c>
      <c r="AJ51" s="58"/>
    </row>
    <row r="52" spans="1:36" ht="16" thickBot="1">
      <c r="A52" s="61">
        <v>39</v>
      </c>
      <c r="B52" s="39">
        <f>資料儲存!D4120</f>
        <v>0</v>
      </c>
      <c r="C52" s="39">
        <f>資料儲存!E4120</f>
        <v>0</v>
      </c>
      <c r="D52" s="39">
        <f>資料儲存!F4120</f>
        <v>0</v>
      </c>
      <c r="E52" s="39">
        <f>資料儲存!G4120</f>
        <v>0</v>
      </c>
      <c r="F52" s="39">
        <f>資料儲存!H4120</f>
        <v>0</v>
      </c>
      <c r="G52" s="39">
        <f>資料儲存!I4120</f>
        <v>0</v>
      </c>
      <c r="H52" s="39">
        <f>資料儲存!J4120</f>
        <v>0</v>
      </c>
      <c r="I52" s="58"/>
      <c r="J52" s="61">
        <v>39</v>
      </c>
      <c r="K52" s="39">
        <f>資料儲存!D4360</f>
        <v>0</v>
      </c>
      <c r="L52" s="39">
        <f>資料儲存!E4360</f>
        <v>0</v>
      </c>
      <c r="M52" s="39">
        <f>資料儲存!F4360</f>
        <v>0</v>
      </c>
      <c r="N52" s="39">
        <f>資料儲存!G4360</f>
        <v>0</v>
      </c>
      <c r="O52" s="39">
        <f>資料儲存!H4360</f>
        <v>0</v>
      </c>
      <c r="P52" s="39">
        <f>資料儲存!I4360</f>
        <v>0</v>
      </c>
      <c r="Q52" s="39">
        <f>資料儲存!J4360</f>
        <v>0</v>
      </c>
      <c r="R52" s="58"/>
      <c r="S52" s="61">
        <v>39</v>
      </c>
      <c r="T52" s="39">
        <f>資料儲存!D4600</f>
        <v>0</v>
      </c>
      <c r="U52" s="39">
        <f>資料儲存!E4600</f>
        <v>0</v>
      </c>
      <c r="V52" s="39">
        <f>資料儲存!F4600</f>
        <v>0</v>
      </c>
      <c r="W52" s="39">
        <f>資料儲存!G4600</f>
        <v>0</v>
      </c>
      <c r="X52" s="39">
        <f>資料儲存!H4600</f>
        <v>0</v>
      </c>
      <c r="Y52" s="39">
        <f>資料儲存!I4600</f>
        <v>0</v>
      </c>
      <c r="Z52" s="39">
        <f>資料儲存!J4600</f>
        <v>0</v>
      </c>
      <c r="AA52" s="58"/>
      <c r="AB52" s="61">
        <v>39</v>
      </c>
      <c r="AC52" s="39">
        <f>資料儲存!D4840</f>
        <v>0</v>
      </c>
      <c r="AD52" s="39">
        <f>資料儲存!E4840</f>
        <v>0</v>
      </c>
      <c r="AE52" s="39">
        <f>資料儲存!F4840</f>
        <v>0</v>
      </c>
      <c r="AF52" s="39">
        <f>資料儲存!G4840</f>
        <v>0</v>
      </c>
      <c r="AG52" s="39">
        <f>資料儲存!H4840</f>
        <v>0</v>
      </c>
      <c r="AH52" s="39">
        <f>資料儲存!I4840</f>
        <v>0</v>
      </c>
      <c r="AI52" s="39">
        <f>資料儲存!J4840</f>
        <v>0</v>
      </c>
      <c r="AJ52" s="58"/>
    </row>
    <row r="53" spans="1:36" ht="16" thickBot="1">
      <c r="A53" s="61">
        <v>40</v>
      </c>
      <c r="B53" s="39">
        <f>資料儲存!D4121</f>
        <v>0</v>
      </c>
      <c r="C53" s="39">
        <f>資料儲存!E4121</f>
        <v>0</v>
      </c>
      <c r="D53" s="39">
        <f>資料儲存!F4121</f>
        <v>0</v>
      </c>
      <c r="E53" s="39">
        <f>資料儲存!G4121</f>
        <v>0</v>
      </c>
      <c r="F53" s="39">
        <f>資料儲存!H4121</f>
        <v>0</v>
      </c>
      <c r="G53" s="39">
        <f>資料儲存!I4121</f>
        <v>0</v>
      </c>
      <c r="H53" s="39">
        <f>資料儲存!J4121</f>
        <v>0</v>
      </c>
      <c r="I53" s="58"/>
      <c r="J53" s="61">
        <v>40</v>
      </c>
      <c r="K53" s="39">
        <f>資料儲存!D4361</f>
        <v>0</v>
      </c>
      <c r="L53" s="39">
        <f>資料儲存!E4361</f>
        <v>0</v>
      </c>
      <c r="M53" s="39">
        <f>資料儲存!F4361</f>
        <v>0</v>
      </c>
      <c r="N53" s="39">
        <f>資料儲存!G4361</f>
        <v>0</v>
      </c>
      <c r="O53" s="39">
        <f>資料儲存!H4361</f>
        <v>0</v>
      </c>
      <c r="P53" s="39">
        <f>資料儲存!I4361</f>
        <v>0</v>
      </c>
      <c r="Q53" s="39">
        <f>資料儲存!J4361</f>
        <v>0</v>
      </c>
      <c r="R53" s="58"/>
      <c r="S53" s="61">
        <v>40</v>
      </c>
      <c r="T53" s="39">
        <f>資料儲存!D4601</f>
        <v>0</v>
      </c>
      <c r="U53" s="39">
        <f>資料儲存!E4601</f>
        <v>0</v>
      </c>
      <c r="V53" s="39">
        <f>資料儲存!F4601</f>
        <v>0</v>
      </c>
      <c r="W53" s="39">
        <f>資料儲存!G4601</f>
        <v>0</v>
      </c>
      <c r="X53" s="39">
        <f>資料儲存!H4601</f>
        <v>0</v>
      </c>
      <c r="Y53" s="39">
        <f>資料儲存!I4601</f>
        <v>0</v>
      </c>
      <c r="Z53" s="39">
        <f>資料儲存!J4601</f>
        <v>0</v>
      </c>
      <c r="AA53" s="58"/>
      <c r="AB53" s="61">
        <v>40</v>
      </c>
      <c r="AC53" s="39">
        <f>資料儲存!D4841</f>
        <v>0</v>
      </c>
      <c r="AD53" s="39">
        <f>資料儲存!E4841</f>
        <v>0</v>
      </c>
      <c r="AE53" s="39">
        <f>資料儲存!F4841</f>
        <v>0</v>
      </c>
      <c r="AF53" s="39">
        <f>資料儲存!G4841</f>
        <v>0</v>
      </c>
      <c r="AG53" s="39">
        <f>資料儲存!H4841</f>
        <v>0</v>
      </c>
      <c r="AH53" s="39">
        <f>資料儲存!I4841</f>
        <v>0</v>
      </c>
      <c r="AI53" s="39">
        <f>資料儲存!J4841</f>
        <v>0</v>
      </c>
      <c r="AJ53" s="58"/>
    </row>
    <row r="54" spans="1:36" ht="16" thickBot="1">
      <c r="A54" s="61">
        <v>41</v>
      </c>
      <c r="B54" s="39">
        <f>資料儲存!D4122</f>
        <v>0</v>
      </c>
      <c r="C54" s="39">
        <f>資料儲存!E4122</f>
        <v>0</v>
      </c>
      <c r="D54" s="39">
        <f>資料儲存!F4122</f>
        <v>0</v>
      </c>
      <c r="E54" s="39">
        <f>資料儲存!G4122</f>
        <v>0</v>
      </c>
      <c r="F54" s="39">
        <f>資料儲存!H4122</f>
        <v>0</v>
      </c>
      <c r="G54" s="39">
        <f>資料儲存!I4122</f>
        <v>0</v>
      </c>
      <c r="H54" s="39">
        <f>資料儲存!J4122</f>
        <v>0</v>
      </c>
      <c r="I54" s="58"/>
      <c r="J54" s="61">
        <v>41</v>
      </c>
      <c r="K54" s="39">
        <f>資料儲存!D4362</f>
        <v>0</v>
      </c>
      <c r="L54" s="39">
        <f>資料儲存!E4362</f>
        <v>0</v>
      </c>
      <c r="M54" s="39">
        <f>資料儲存!F4362</f>
        <v>0</v>
      </c>
      <c r="N54" s="39">
        <f>資料儲存!G4362</f>
        <v>0</v>
      </c>
      <c r="O54" s="39">
        <f>資料儲存!H4362</f>
        <v>0</v>
      </c>
      <c r="P54" s="39">
        <f>資料儲存!I4362</f>
        <v>0</v>
      </c>
      <c r="Q54" s="39">
        <f>資料儲存!J4362</f>
        <v>0</v>
      </c>
      <c r="R54" s="58"/>
      <c r="S54" s="61">
        <v>41</v>
      </c>
      <c r="T54" s="39">
        <f>資料儲存!D4602</f>
        <v>0</v>
      </c>
      <c r="U54" s="39">
        <f>資料儲存!E4602</f>
        <v>0</v>
      </c>
      <c r="V54" s="39">
        <f>資料儲存!F4602</f>
        <v>0</v>
      </c>
      <c r="W54" s="39">
        <f>資料儲存!G4602</f>
        <v>0</v>
      </c>
      <c r="X54" s="39">
        <f>資料儲存!H4602</f>
        <v>0</v>
      </c>
      <c r="Y54" s="39">
        <f>資料儲存!I4602</f>
        <v>0</v>
      </c>
      <c r="Z54" s="39">
        <f>資料儲存!J4602</f>
        <v>0</v>
      </c>
      <c r="AA54" s="58"/>
      <c r="AB54" s="61">
        <v>41</v>
      </c>
      <c r="AC54" s="39">
        <f>資料儲存!D4842</f>
        <v>0</v>
      </c>
      <c r="AD54" s="39">
        <f>資料儲存!E4842</f>
        <v>0</v>
      </c>
      <c r="AE54" s="39">
        <f>資料儲存!F4842</f>
        <v>0</v>
      </c>
      <c r="AF54" s="39">
        <f>資料儲存!G4842</f>
        <v>0</v>
      </c>
      <c r="AG54" s="39">
        <f>資料儲存!H4842</f>
        <v>0</v>
      </c>
      <c r="AH54" s="39">
        <f>資料儲存!I4842</f>
        <v>0</v>
      </c>
      <c r="AI54" s="39">
        <f>資料儲存!J4842</f>
        <v>0</v>
      </c>
      <c r="AJ54" s="58"/>
    </row>
    <row r="55" spans="1:36" ht="16" thickBot="1">
      <c r="A55" s="61">
        <v>42</v>
      </c>
      <c r="B55" s="39">
        <f>資料儲存!D4123</f>
        <v>0</v>
      </c>
      <c r="C55" s="39">
        <f>資料儲存!E4123</f>
        <v>0</v>
      </c>
      <c r="D55" s="39">
        <f>資料儲存!F4123</f>
        <v>0</v>
      </c>
      <c r="E55" s="39">
        <f>資料儲存!G4123</f>
        <v>0</v>
      </c>
      <c r="F55" s="39">
        <f>資料儲存!H4123</f>
        <v>0</v>
      </c>
      <c r="G55" s="39">
        <f>資料儲存!I4123</f>
        <v>0</v>
      </c>
      <c r="H55" s="39">
        <f>資料儲存!J4123</f>
        <v>0</v>
      </c>
      <c r="I55" s="58"/>
      <c r="J55" s="61">
        <v>42</v>
      </c>
      <c r="K55" s="39">
        <f>資料儲存!D4363</f>
        <v>0</v>
      </c>
      <c r="L55" s="39">
        <f>資料儲存!E4363</f>
        <v>0</v>
      </c>
      <c r="M55" s="39">
        <f>資料儲存!F4363</f>
        <v>0</v>
      </c>
      <c r="N55" s="39">
        <f>資料儲存!G4363</f>
        <v>0</v>
      </c>
      <c r="O55" s="39">
        <f>資料儲存!H4363</f>
        <v>0</v>
      </c>
      <c r="P55" s="39">
        <f>資料儲存!I4363</f>
        <v>0</v>
      </c>
      <c r="Q55" s="39">
        <f>資料儲存!J4363</f>
        <v>0</v>
      </c>
      <c r="R55" s="58"/>
      <c r="S55" s="61">
        <v>42</v>
      </c>
      <c r="T55" s="39">
        <f>資料儲存!D4603</f>
        <v>0</v>
      </c>
      <c r="U55" s="39">
        <f>資料儲存!E4603</f>
        <v>0</v>
      </c>
      <c r="V55" s="39">
        <f>資料儲存!F4603</f>
        <v>0</v>
      </c>
      <c r="W55" s="39">
        <f>資料儲存!G4603</f>
        <v>0</v>
      </c>
      <c r="X55" s="39">
        <f>資料儲存!H4603</f>
        <v>0</v>
      </c>
      <c r="Y55" s="39">
        <f>資料儲存!I4603</f>
        <v>0</v>
      </c>
      <c r="Z55" s="39">
        <f>資料儲存!J4603</f>
        <v>0</v>
      </c>
      <c r="AA55" s="58"/>
      <c r="AB55" s="61">
        <v>42</v>
      </c>
      <c r="AC55" s="39">
        <f>資料儲存!D4843</f>
        <v>0</v>
      </c>
      <c r="AD55" s="39">
        <f>資料儲存!E4843</f>
        <v>0</v>
      </c>
      <c r="AE55" s="39">
        <f>資料儲存!F4843</f>
        <v>0</v>
      </c>
      <c r="AF55" s="39">
        <f>資料儲存!G4843</f>
        <v>0</v>
      </c>
      <c r="AG55" s="39">
        <f>資料儲存!H4843</f>
        <v>0</v>
      </c>
      <c r="AH55" s="39">
        <f>資料儲存!I4843</f>
        <v>0</v>
      </c>
      <c r="AI55" s="39">
        <f>資料儲存!J4843</f>
        <v>0</v>
      </c>
      <c r="AJ55" s="58"/>
    </row>
    <row r="56" spans="1:36" ht="16" thickBot="1">
      <c r="A56" s="61">
        <v>43</v>
      </c>
      <c r="B56" s="39">
        <f>資料儲存!D4124</f>
        <v>0</v>
      </c>
      <c r="C56" s="39">
        <f>資料儲存!E4124</f>
        <v>0</v>
      </c>
      <c r="D56" s="39">
        <f>資料儲存!F4124</f>
        <v>0</v>
      </c>
      <c r="E56" s="39">
        <f>資料儲存!G4124</f>
        <v>0</v>
      </c>
      <c r="F56" s="39">
        <f>資料儲存!H4124</f>
        <v>0</v>
      </c>
      <c r="G56" s="39">
        <f>資料儲存!I4124</f>
        <v>0</v>
      </c>
      <c r="H56" s="39">
        <f>資料儲存!J4124</f>
        <v>0</v>
      </c>
      <c r="I56" s="58"/>
      <c r="J56" s="61">
        <v>43</v>
      </c>
      <c r="K56" s="39">
        <f>資料儲存!D4364</f>
        <v>0</v>
      </c>
      <c r="L56" s="39">
        <f>資料儲存!E4364</f>
        <v>0</v>
      </c>
      <c r="M56" s="39">
        <f>資料儲存!F4364</f>
        <v>0</v>
      </c>
      <c r="N56" s="39">
        <f>資料儲存!G4364</f>
        <v>0</v>
      </c>
      <c r="O56" s="39">
        <f>資料儲存!H4364</f>
        <v>0</v>
      </c>
      <c r="P56" s="39">
        <f>資料儲存!I4364</f>
        <v>0</v>
      </c>
      <c r="Q56" s="39">
        <f>資料儲存!J4364</f>
        <v>0</v>
      </c>
      <c r="R56" s="58"/>
      <c r="S56" s="61">
        <v>43</v>
      </c>
      <c r="T56" s="39">
        <f>資料儲存!D4604</f>
        <v>0</v>
      </c>
      <c r="U56" s="39">
        <f>資料儲存!E4604</f>
        <v>0</v>
      </c>
      <c r="V56" s="39">
        <f>資料儲存!F4604</f>
        <v>0</v>
      </c>
      <c r="W56" s="39">
        <f>資料儲存!G4604</f>
        <v>0</v>
      </c>
      <c r="X56" s="39">
        <f>資料儲存!H4604</f>
        <v>0</v>
      </c>
      <c r="Y56" s="39">
        <f>資料儲存!I4604</f>
        <v>0</v>
      </c>
      <c r="Z56" s="39">
        <f>資料儲存!J4604</f>
        <v>0</v>
      </c>
      <c r="AA56" s="58"/>
      <c r="AB56" s="61">
        <v>43</v>
      </c>
      <c r="AC56" s="39">
        <f>資料儲存!D4844</f>
        <v>0</v>
      </c>
      <c r="AD56" s="39">
        <f>資料儲存!E4844</f>
        <v>0</v>
      </c>
      <c r="AE56" s="39">
        <f>資料儲存!F4844</f>
        <v>0</v>
      </c>
      <c r="AF56" s="39">
        <f>資料儲存!G4844</f>
        <v>0</v>
      </c>
      <c r="AG56" s="39">
        <f>資料儲存!H4844</f>
        <v>0</v>
      </c>
      <c r="AH56" s="39">
        <f>資料儲存!I4844</f>
        <v>0</v>
      </c>
      <c r="AI56" s="39">
        <f>資料儲存!J4844</f>
        <v>0</v>
      </c>
      <c r="AJ56" s="58"/>
    </row>
    <row r="57" spans="1:36" ht="16" thickBot="1">
      <c r="A57" s="61">
        <v>44</v>
      </c>
      <c r="B57" s="39">
        <f>資料儲存!D4125</f>
        <v>0</v>
      </c>
      <c r="C57" s="39">
        <f>資料儲存!E4125</f>
        <v>0</v>
      </c>
      <c r="D57" s="39">
        <f>資料儲存!F4125</f>
        <v>0</v>
      </c>
      <c r="E57" s="39">
        <f>資料儲存!G4125</f>
        <v>0</v>
      </c>
      <c r="F57" s="39">
        <f>資料儲存!H4125</f>
        <v>0</v>
      </c>
      <c r="G57" s="39">
        <f>資料儲存!I4125</f>
        <v>0</v>
      </c>
      <c r="H57" s="39">
        <f>資料儲存!J4125</f>
        <v>0</v>
      </c>
      <c r="I57" s="58"/>
      <c r="J57" s="61">
        <v>44</v>
      </c>
      <c r="K57" s="39">
        <f>資料儲存!D4365</f>
        <v>0</v>
      </c>
      <c r="L57" s="39">
        <f>資料儲存!E4365</f>
        <v>0</v>
      </c>
      <c r="M57" s="39">
        <f>資料儲存!F4365</f>
        <v>0</v>
      </c>
      <c r="N57" s="39">
        <f>資料儲存!G4365</f>
        <v>0</v>
      </c>
      <c r="O57" s="39">
        <f>資料儲存!H4365</f>
        <v>0</v>
      </c>
      <c r="P57" s="39">
        <f>資料儲存!I4365</f>
        <v>0</v>
      </c>
      <c r="Q57" s="39">
        <f>資料儲存!J4365</f>
        <v>0</v>
      </c>
      <c r="R57" s="58"/>
      <c r="S57" s="61">
        <v>44</v>
      </c>
      <c r="T57" s="39">
        <f>資料儲存!D4605</f>
        <v>0</v>
      </c>
      <c r="U57" s="39">
        <f>資料儲存!E4605</f>
        <v>0</v>
      </c>
      <c r="V57" s="39">
        <f>資料儲存!F4605</f>
        <v>0</v>
      </c>
      <c r="W57" s="39">
        <f>資料儲存!G4605</f>
        <v>0</v>
      </c>
      <c r="X57" s="39">
        <f>資料儲存!H4605</f>
        <v>0</v>
      </c>
      <c r="Y57" s="39">
        <f>資料儲存!I4605</f>
        <v>0</v>
      </c>
      <c r="Z57" s="39">
        <f>資料儲存!J4605</f>
        <v>0</v>
      </c>
      <c r="AA57" s="58"/>
      <c r="AB57" s="61">
        <v>44</v>
      </c>
      <c r="AC57" s="39">
        <f>資料儲存!D4845</f>
        <v>0</v>
      </c>
      <c r="AD57" s="39">
        <f>資料儲存!E4845</f>
        <v>0</v>
      </c>
      <c r="AE57" s="39">
        <f>資料儲存!F4845</f>
        <v>0</v>
      </c>
      <c r="AF57" s="39">
        <f>資料儲存!G4845</f>
        <v>0</v>
      </c>
      <c r="AG57" s="39">
        <f>資料儲存!H4845</f>
        <v>0</v>
      </c>
      <c r="AH57" s="39">
        <f>資料儲存!I4845</f>
        <v>0</v>
      </c>
      <c r="AI57" s="39">
        <f>資料儲存!J4845</f>
        <v>0</v>
      </c>
      <c r="AJ57" s="58"/>
    </row>
    <row r="58" spans="1:36" ht="16" thickBot="1">
      <c r="A58" s="61">
        <v>45</v>
      </c>
      <c r="B58" s="39">
        <f>資料儲存!D4126</f>
        <v>0</v>
      </c>
      <c r="C58" s="39">
        <f>資料儲存!E4126</f>
        <v>0</v>
      </c>
      <c r="D58" s="39">
        <f>資料儲存!F4126</f>
        <v>0</v>
      </c>
      <c r="E58" s="39">
        <f>資料儲存!G4126</f>
        <v>0</v>
      </c>
      <c r="F58" s="39">
        <f>資料儲存!H4126</f>
        <v>0</v>
      </c>
      <c r="G58" s="39">
        <f>資料儲存!I4126</f>
        <v>0</v>
      </c>
      <c r="H58" s="39">
        <f>資料儲存!J4126</f>
        <v>0</v>
      </c>
      <c r="I58" s="58"/>
      <c r="J58" s="61">
        <v>45</v>
      </c>
      <c r="K58" s="39">
        <f>資料儲存!D4366</f>
        <v>0</v>
      </c>
      <c r="L58" s="39">
        <f>資料儲存!E4366</f>
        <v>0</v>
      </c>
      <c r="M58" s="39">
        <f>資料儲存!F4366</f>
        <v>0</v>
      </c>
      <c r="N58" s="39">
        <f>資料儲存!G4366</f>
        <v>0</v>
      </c>
      <c r="O58" s="39">
        <f>資料儲存!H4366</f>
        <v>0</v>
      </c>
      <c r="P58" s="39">
        <f>資料儲存!I4366</f>
        <v>0</v>
      </c>
      <c r="Q58" s="39">
        <f>資料儲存!J4366</f>
        <v>0</v>
      </c>
      <c r="R58" s="58"/>
      <c r="S58" s="61">
        <v>45</v>
      </c>
      <c r="T58" s="39">
        <f>資料儲存!D4606</f>
        <v>0</v>
      </c>
      <c r="U58" s="39">
        <f>資料儲存!E4606</f>
        <v>0</v>
      </c>
      <c r="V58" s="39">
        <f>資料儲存!F4606</f>
        <v>0</v>
      </c>
      <c r="W58" s="39">
        <f>資料儲存!G4606</f>
        <v>0</v>
      </c>
      <c r="X58" s="39">
        <f>資料儲存!H4606</f>
        <v>0</v>
      </c>
      <c r="Y58" s="39">
        <f>資料儲存!I4606</f>
        <v>0</v>
      </c>
      <c r="Z58" s="39">
        <f>資料儲存!J4606</f>
        <v>0</v>
      </c>
      <c r="AA58" s="58"/>
      <c r="AB58" s="61">
        <v>45</v>
      </c>
      <c r="AC58" s="39">
        <f>資料儲存!D4846</f>
        <v>0</v>
      </c>
      <c r="AD58" s="39">
        <f>資料儲存!E4846</f>
        <v>0</v>
      </c>
      <c r="AE58" s="39">
        <f>資料儲存!F4846</f>
        <v>0</v>
      </c>
      <c r="AF58" s="39">
        <f>資料儲存!G4846</f>
        <v>0</v>
      </c>
      <c r="AG58" s="39">
        <f>資料儲存!H4846</f>
        <v>0</v>
      </c>
      <c r="AH58" s="39">
        <f>資料儲存!I4846</f>
        <v>0</v>
      </c>
      <c r="AI58" s="39">
        <f>資料儲存!J4846</f>
        <v>0</v>
      </c>
      <c r="AJ58" s="58"/>
    </row>
    <row r="59" spans="1:36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</row>
    <row r="60" spans="1:36" ht="18.5" thickBot="1">
      <c r="A60" s="259" t="s">
        <v>120</v>
      </c>
      <c r="B60" s="260"/>
      <c r="C60" s="260"/>
      <c r="D60" s="260"/>
      <c r="E60" s="260"/>
      <c r="F60" s="260"/>
      <c r="G60" s="260"/>
      <c r="H60" s="261"/>
      <c r="I60" s="14"/>
      <c r="J60" s="259" t="s">
        <v>120</v>
      </c>
      <c r="K60" s="260"/>
      <c r="L60" s="260"/>
      <c r="M60" s="260"/>
      <c r="N60" s="260"/>
      <c r="O60" s="260"/>
      <c r="P60" s="260"/>
      <c r="Q60" s="261"/>
      <c r="R60" s="14"/>
      <c r="S60" s="259" t="s">
        <v>120</v>
      </c>
      <c r="T60" s="260"/>
      <c r="U60" s="260"/>
      <c r="V60" s="260"/>
      <c r="W60" s="260"/>
      <c r="X60" s="260"/>
      <c r="Y60" s="260"/>
      <c r="Z60" s="261"/>
      <c r="AA60" s="14"/>
      <c r="AB60" s="259" t="s">
        <v>120</v>
      </c>
      <c r="AC60" s="260"/>
      <c r="AD60" s="260"/>
      <c r="AE60" s="260"/>
      <c r="AF60" s="260"/>
      <c r="AG60" s="260"/>
      <c r="AH60" s="260"/>
      <c r="AI60" s="261"/>
      <c r="AJ60" s="14"/>
    </row>
    <row r="61" spans="1:36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</row>
    <row r="62" spans="1:36" ht="16" thickBot="1">
      <c r="A62" s="66">
        <v>0.69791666666666663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>
        <v>0.69791666666666663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>
        <v>0.69791666666666663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>
        <v>0.69791666666666663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</row>
    <row r="63" spans="1:36" ht="16" thickBot="1">
      <c r="A63" s="68">
        <v>46</v>
      </c>
      <c r="B63" s="49">
        <f>資料儲存!D4127</f>
        <v>0</v>
      </c>
      <c r="C63" s="49">
        <f>資料儲存!E4127</f>
        <v>0</v>
      </c>
      <c r="D63" s="49">
        <f>資料儲存!F4127</f>
        <v>0</v>
      </c>
      <c r="E63" s="49">
        <f>資料儲存!G4127</f>
        <v>0</v>
      </c>
      <c r="F63" s="49">
        <f>資料儲存!H4127</f>
        <v>0</v>
      </c>
      <c r="G63" s="49">
        <f>資料儲存!I4127</f>
        <v>0</v>
      </c>
      <c r="H63" s="49">
        <f>資料儲存!J4127</f>
        <v>0</v>
      </c>
      <c r="I63" s="52"/>
      <c r="J63" s="68">
        <v>46</v>
      </c>
      <c r="K63" s="49">
        <f>資料儲存!D4367</f>
        <v>0</v>
      </c>
      <c r="L63" s="49">
        <f>資料儲存!E4367</f>
        <v>0</v>
      </c>
      <c r="M63" s="49">
        <f>資料儲存!F4367</f>
        <v>0</v>
      </c>
      <c r="N63" s="49">
        <f>資料儲存!G4367</f>
        <v>0</v>
      </c>
      <c r="O63" s="49">
        <f>資料儲存!H4367</f>
        <v>0</v>
      </c>
      <c r="P63" s="49">
        <f>資料儲存!I4367</f>
        <v>0</v>
      </c>
      <c r="Q63" s="49">
        <f>資料儲存!J4367</f>
        <v>0</v>
      </c>
      <c r="R63" s="52"/>
      <c r="S63" s="68">
        <v>46</v>
      </c>
      <c r="T63" s="49">
        <f>資料儲存!D4607</f>
        <v>0</v>
      </c>
      <c r="U63" s="49">
        <f>資料儲存!E4607</f>
        <v>0</v>
      </c>
      <c r="V63" s="49">
        <f>資料儲存!F4607</f>
        <v>0</v>
      </c>
      <c r="W63" s="49">
        <f>資料儲存!G4607</f>
        <v>0</v>
      </c>
      <c r="X63" s="49">
        <f>資料儲存!H4607</f>
        <v>0</v>
      </c>
      <c r="Y63" s="49">
        <f>資料儲存!I4607</f>
        <v>0</v>
      </c>
      <c r="Z63" s="49">
        <f>資料儲存!J4607</f>
        <v>0</v>
      </c>
      <c r="AA63" s="52"/>
      <c r="AB63" s="68">
        <v>46</v>
      </c>
      <c r="AC63" s="49">
        <f>資料儲存!D4847</f>
        <v>0</v>
      </c>
      <c r="AD63" s="49">
        <f>資料儲存!E4847</f>
        <v>0</v>
      </c>
      <c r="AE63" s="49">
        <f>資料儲存!F4847</f>
        <v>0</v>
      </c>
      <c r="AF63" s="49">
        <f>資料儲存!G4847</f>
        <v>0</v>
      </c>
      <c r="AG63" s="49">
        <f>資料儲存!H4847</f>
        <v>0</v>
      </c>
      <c r="AH63" s="49">
        <f>資料儲存!I4847</f>
        <v>0</v>
      </c>
      <c r="AI63" s="49">
        <f>資料儲存!J4847</f>
        <v>0</v>
      </c>
      <c r="AJ63" s="52"/>
    </row>
    <row r="64" spans="1:36" ht="16" thickBot="1">
      <c r="A64" s="68">
        <v>47</v>
      </c>
      <c r="B64" s="49">
        <f>資料儲存!D4128</f>
        <v>0</v>
      </c>
      <c r="C64" s="49">
        <f>資料儲存!E4128</f>
        <v>0</v>
      </c>
      <c r="D64" s="49">
        <f>資料儲存!F4128</f>
        <v>0</v>
      </c>
      <c r="E64" s="49">
        <f>資料儲存!G4128</f>
        <v>0</v>
      </c>
      <c r="F64" s="49">
        <f>資料儲存!H4128</f>
        <v>0</v>
      </c>
      <c r="G64" s="49">
        <f>資料儲存!I4128</f>
        <v>0</v>
      </c>
      <c r="H64" s="49">
        <f>資料儲存!J4128</f>
        <v>0</v>
      </c>
      <c r="I64" s="52"/>
      <c r="J64" s="68">
        <v>47</v>
      </c>
      <c r="K64" s="49">
        <f>資料儲存!D4368</f>
        <v>0</v>
      </c>
      <c r="L64" s="49">
        <f>資料儲存!E4368</f>
        <v>0</v>
      </c>
      <c r="M64" s="49">
        <f>資料儲存!F4368</f>
        <v>0</v>
      </c>
      <c r="N64" s="49">
        <f>資料儲存!G4368</f>
        <v>0</v>
      </c>
      <c r="O64" s="49">
        <f>資料儲存!H4368</f>
        <v>0</v>
      </c>
      <c r="P64" s="49">
        <f>資料儲存!I4368</f>
        <v>0</v>
      </c>
      <c r="Q64" s="49">
        <f>資料儲存!J4368</f>
        <v>0</v>
      </c>
      <c r="R64" s="52"/>
      <c r="S64" s="68">
        <v>47</v>
      </c>
      <c r="T64" s="49">
        <f>資料儲存!D4608</f>
        <v>0</v>
      </c>
      <c r="U64" s="49">
        <f>資料儲存!E4608</f>
        <v>0</v>
      </c>
      <c r="V64" s="49">
        <f>資料儲存!F4608</f>
        <v>0</v>
      </c>
      <c r="W64" s="49">
        <f>資料儲存!G4608</f>
        <v>0</v>
      </c>
      <c r="X64" s="49">
        <f>資料儲存!H4608</f>
        <v>0</v>
      </c>
      <c r="Y64" s="49">
        <f>資料儲存!I4608</f>
        <v>0</v>
      </c>
      <c r="Z64" s="49">
        <f>資料儲存!J4608</f>
        <v>0</v>
      </c>
      <c r="AA64" s="52"/>
      <c r="AB64" s="68">
        <v>47</v>
      </c>
      <c r="AC64" s="49">
        <f>資料儲存!D4848</f>
        <v>0</v>
      </c>
      <c r="AD64" s="49">
        <f>資料儲存!E4848</f>
        <v>0</v>
      </c>
      <c r="AE64" s="49">
        <f>資料儲存!F4848</f>
        <v>0</v>
      </c>
      <c r="AF64" s="49">
        <f>資料儲存!G4848</f>
        <v>0</v>
      </c>
      <c r="AG64" s="49">
        <f>資料儲存!H4848</f>
        <v>0</v>
      </c>
      <c r="AH64" s="49">
        <f>資料儲存!I4848</f>
        <v>0</v>
      </c>
      <c r="AI64" s="49">
        <f>資料儲存!J4848</f>
        <v>0</v>
      </c>
      <c r="AJ64" s="52"/>
    </row>
    <row r="65" spans="1:36" ht="16" thickBot="1">
      <c r="A65" s="68">
        <v>48</v>
      </c>
      <c r="B65" s="49">
        <f>資料儲存!D4129</f>
        <v>0</v>
      </c>
      <c r="C65" s="49">
        <f>資料儲存!E4129</f>
        <v>0</v>
      </c>
      <c r="D65" s="49">
        <f>資料儲存!F4129</f>
        <v>0</v>
      </c>
      <c r="E65" s="49">
        <f>資料儲存!G4129</f>
        <v>0</v>
      </c>
      <c r="F65" s="49">
        <f>資料儲存!H4129</f>
        <v>0</v>
      </c>
      <c r="G65" s="49">
        <f>資料儲存!I4129</f>
        <v>0</v>
      </c>
      <c r="H65" s="49">
        <f>資料儲存!J4129</f>
        <v>0</v>
      </c>
      <c r="I65" s="52"/>
      <c r="J65" s="68">
        <v>48</v>
      </c>
      <c r="K65" s="49">
        <f>資料儲存!D4369</f>
        <v>0</v>
      </c>
      <c r="L65" s="49">
        <f>資料儲存!E4369</f>
        <v>0</v>
      </c>
      <c r="M65" s="49">
        <f>資料儲存!F4369</f>
        <v>0</v>
      </c>
      <c r="N65" s="49">
        <f>資料儲存!G4369</f>
        <v>0</v>
      </c>
      <c r="O65" s="49">
        <f>資料儲存!H4369</f>
        <v>0</v>
      </c>
      <c r="P65" s="49">
        <f>資料儲存!I4369</f>
        <v>0</v>
      </c>
      <c r="Q65" s="49">
        <f>資料儲存!J4369</f>
        <v>0</v>
      </c>
      <c r="R65" s="52"/>
      <c r="S65" s="68">
        <v>48</v>
      </c>
      <c r="T65" s="49">
        <f>資料儲存!D4609</f>
        <v>0</v>
      </c>
      <c r="U65" s="49">
        <f>資料儲存!E4609</f>
        <v>0</v>
      </c>
      <c r="V65" s="49">
        <f>資料儲存!F4609</f>
        <v>0</v>
      </c>
      <c r="W65" s="49">
        <f>資料儲存!G4609</f>
        <v>0</v>
      </c>
      <c r="X65" s="49">
        <f>資料儲存!H4609</f>
        <v>0</v>
      </c>
      <c r="Y65" s="49">
        <f>資料儲存!I4609</f>
        <v>0</v>
      </c>
      <c r="Z65" s="49">
        <f>資料儲存!J4609</f>
        <v>0</v>
      </c>
      <c r="AA65" s="52"/>
      <c r="AB65" s="68">
        <v>48</v>
      </c>
      <c r="AC65" s="49">
        <f>資料儲存!D4849</f>
        <v>0</v>
      </c>
      <c r="AD65" s="49">
        <f>資料儲存!E4849</f>
        <v>0</v>
      </c>
      <c r="AE65" s="49">
        <f>資料儲存!F4849</f>
        <v>0</v>
      </c>
      <c r="AF65" s="49">
        <f>資料儲存!G4849</f>
        <v>0</v>
      </c>
      <c r="AG65" s="49">
        <f>資料儲存!H4849</f>
        <v>0</v>
      </c>
      <c r="AH65" s="49">
        <f>資料儲存!I4849</f>
        <v>0</v>
      </c>
      <c r="AI65" s="49">
        <f>資料儲存!J4849</f>
        <v>0</v>
      </c>
      <c r="AJ65" s="52"/>
    </row>
    <row r="66" spans="1:36" ht="16" thickBot="1">
      <c r="A66" s="68">
        <v>49</v>
      </c>
      <c r="B66" s="49">
        <f>資料儲存!D4130</f>
        <v>0</v>
      </c>
      <c r="C66" s="49">
        <f>資料儲存!E4130</f>
        <v>0</v>
      </c>
      <c r="D66" s="49">
        <f>資料儲存!F4130</f>
        <v>0</v>
      </c>
      <c r="E66" s="49">
        <f>資料儲存!G4130</f>
        <v>0</v>
      </c>
      <c r="F66" s="49">
        <f>資料儲存!H4130</f>
        <v>0</v>
      </c>
      <c r="G66" s="49">
        <f>資料儲存!I4130</f>
        <v>0</v>
      </c>
      <c r="H66" s="49">
        <f>資料儲存!J4130</f>
        <v>0</v>
      </c>
      <c r="I66" s="52"/>
      <c r="J66" s="68">
        <v>49</v>
      </c>
      <c r="K66" s="49">
        <f>資料儲存!D4370</f>
        <v>0</v>
      </c>
      <c r="L66" s="49">
        <f>資料儲存!E4370</f>
        <v>0</v>
      </c>
      <c r="M66" s="49">
        <f>資料儲存!F4370</f>
        <v>0</v>
      </c>
      <c r="N66" s="49">
        <f>資料儲存!G4370</f>
        <v>0</v>
      </c>
      <c r="O66" s="49">
        <f>資料儲存!H4370</f>
        <v>0</v>
      </c>
      <c r="P66" s="49">
        <f>資料儲存!I4370</f>
        <v>0</v>
      </c>
      <c r="Q66" s="49">
        <f>資料儲存!J4370</f>
        <v>0</v>
      </c>
      <c r="R66" s="52"/>
      <c r="S66" s="68">
        <v>49</v>
      </c>
      <c r="T66" s="49">
        <f>資料儲存!D4610</f>
        <v>0</v>
      </c>
      <c r="U66" s="49">
        <f>資料儲存!E4610</f>
        <v>0</v>
      </c>
      <c r="V66" s="49">
        <f>資料儲存!F4610</f>
        <v>0</v>
      </c>
      <c r="W66" s="49">
        <f>資料儲存!G4610</f>
        <v>0</v>
      </c>
      <c r="X66" s="49">
        <f>資料儲存!H4610</f>
        <v>0</v>
      </c>
      <c r="Y66" s="49">
        <f>資料儲存!I4610</f>
        <v>0</v>
      </c>
      <c r="Z66" s="49">
        <f>資料儲存!J4610</f>
        <v>0</v>
      </c>
      <c r="AA66" s="52"/>
      <c r="AB66" s="68">
        <v>49</v>
      </c>
      <c r="AC66" s="49">
        <f>資料儲存!D4850</f>
        <v>0</v>
      </c>
      <c r="AD66" s="49">
        <f>資料儲存!E4850</f>
        <v>0</v>
      </c>
      <c r="AE66" s="49">
        <f>資料儲存!F4850</f>
        <v>0</v>
      </c>
      <c r="AF66" s="49">
        <f>資料儲存!G4850</f>
        <v>0</v>
      </c>
      <c r="AG66" s="49">
        <f>資料儲存!H4850</f>
        <v>0</v>
      </c>
      <c r="AH66" s="49">
        <f>資料儲存!I4850</f>
        <v>0</v>
      </c>
      <c r="AI66" s="49">
        <f>資料儲存!J4850</f>
        <v>0</v>
      </c>
      <c r="AJ66" s="52"/>
    </row>
    <row r="67" spans="1:36" ht="16" thickBot="1">
      <c r="A67" s="68">
        <v>50</v>
      </c>
      <c r="B67" s="49">
        <f>資料儲存!D4131</f>
        <v>0</v>
      </c>
      <c r="C67" s="49">
        <f>資料儲存!E4131</f>
        <v>0</v>
      </c>
      <c r="D67" s="49">
        <f>資料儲存!F4131</f>
        <v>0</v>
      </c>
      <c r="E67" s="49">
        <f>資料儲存!G4131</f>
        <v>0</v>
      </c>
      <c r="F67" s="49">
        <f>資料儲存!H4131</f>
        <v>0</v>
      </c>
      <c r="G67" s="49">
        <f>資料儲存!I4131</f>
        <v>0</v>
      </c>
      <c r="H67" s="49">
        <f>資料儲存!J4131</f>
        <v>0</v>
      </c>
      <c r="I67" s="52"/>
      <c r="J67" s="68">
        <v>50</v>
      </c>
      <c r="K67" s="49">
        <f>資料儲存!D4371</f>
        <v>0</v>
      </c>
      <c r="L67" s="49">
        <f>資料儲存!E4371</f>
        <v>0</v>
      </c>
      <c r="M67" s="49">
        <f>資料儲存!F4371</f>
        <v>0</v>
      </c>
      <c r="N67" s="49">
        <f>資料儲存!G4371</f>
        <v>0</v>
      </c>
      <c r="O67" s="49">
        <f>資料儲存!H4371</f>
        <v>0</v>
      </c>
      <c r="P67" s="49">
        <f>資料儲存!I4371</f>
        <v>0</v>
      </c>
      <c r="Q67" s="49">
        <f>資料儲存!J4371</f>
        <v>0</v>
      </c>
      <c r="R67" s="52"/>
      <c r="S67" s="68">
        <v>50</v>
      </c>
      <c r="T67" s="49">
        <f>資料儲存!D4611</f>
        <v>0</v>
      </c>
      <c r="U67" s="49">
        <f>資料儲存!E4611</f>
        <v>0</v>
      </c>
      <c r="V67" s="49">
        <f>資料儲存!F4611</f>
        <v>0</v>
      </c>
      <c r="W67" s="49">
        <f>資料儲存!G4611</f>
        <v>0</v>
      </c>
      <c r="X67" s="49">
        <f>資料儲存!H4611</f>
        <v>0</v>
      </c>
      <c r="Y67" s="49">
        <f>資料儲存!I4611</f>
        <v>0</v>
      </c>
      <c r="Z67" s="49">
        <f>資料儲存!J4611</f>
        <v>0</v>
      </c>
      <c r="AA67" s="52"/>
      <c r="AB67" s="68">
        <v>50</v>
      </c>
      <c r="AC67" s="49">
        <f>資料儲存!D4851</f>
        <v>0</v>
      </c>
      <c r="AD67" s="49">
        <f>資料儲存!E4851</f>
        <v>0</v>
      </c>
      <c r="AE67" s="49">
        <f>資料儲存!F4851</f>
        <v>0</v>
      </c>
      <c r="AF67" s="49">
        <f>資料儲存!G4851</f>
        <v>0</v>
      </c>
      <c r="AG67" s="49">
        <f>資料儲存!H4851</f>
        <v>0</v>
      </c>
      <c r="AH67" s="49">
        <f>資料儲存!I4851</f>
        <v>0</v>
      </c>
      <c r="AI67" s="49">
        <f>資料儲存!J4851</f>
        <v>0</v>
      </c>
      <c r="AJ67" s="52"/>
    </row>
    <row r="68" spans="1:36" ht="16" thickBot="1">
      <c r="A68" s="68">
        <v>51</v>
      </c>
      <c r="B68" s="49">
        <f>資料儲存!D4132</f>
        <v>0</v>
      </c>
      <c r="C68" s="49">
        <f>資料儲存!E4132</f>
        <v>0</v>
      </c>
      <c r="D68" s="49">
        <f>資料儲存!F4132</f>
        <v>0</v>
      </c>
      <c r="E68" s="49">
        <f>資料儲存!G4132</f>
        <v>0</v>
      </c>
      <c r="F68" s="49">
        <f>資料儲存!H4132</f>
        <v>0</v>
      </c>
      <c r="G68" s="49">
        <f>資料儲存!I4132</f>
        <v>0</v>
      </c>
      <c r="H68" s="49">
        <f>資料儲存!J4132</f>
        <v>0</v>
      </c>
      <c r="I68" s="52"/>
      <c r="J68" s="68">
        <v>51</v>
      </c>
      <c r="K68" s="49">
        <f>資料儲存!D4372</f>
        <v>0</v>
      </c>
      <c r="L68" s="49">
        <f>資料儲存!E4372</f>
        <v>0</v>
      </c>
      <c r="M68" s="49">
        <f>資料儲存!F4372</f>
        <v>0</v>
      </c>
      <c r="N68" s="49">
        <f>資料儲存!G4372</f>
        <v>0</v>
      </c>
      <c r="O68" s="49">
        <f>資料儲存!H4372</f>
        <v>0</v>
      </c>
      <c r="P68" s="49">
        <f>資料儲存!I4372</f>
        <v>0</v>
      </c>
      <c r="Q68" s="49">
        <f>資料儲存!J4372</f>
        <v>0</v>
      </c>
      <c r="R68" s="52"/>
      <c r="S68" s="68">
        <v>51</v>
      </c>
      <c r="T68" s="49">
        <f>資料儲存!D4612</f>
        <v>0</v>
      </c>
      <c r="U68" s="49">
        <f>資料儲存!E4612</f>
        <v>0</v>
      </c>
      <c r="V68" s="49">
        <f>資料儲存!F4612</f>
        <v>0</v>
      </c>
      <c r="W68" s="49">
        <f>資料儲存!G4612</f>
        <v>0</v>
      </c>
      <c r="X68" s="49">
        <f>資料儲存!H4612</f>
        <v>0</v>
      </c>
      <c r="Y68" s="49">
        <f>資料儲存!I4612</f>
        <v>0</v>
      </c>
      <c r="Z68" s="49">
        <f>資料儲存!J4612</f>
        <v>0</v>
      </c>
      <c r="AA68" s="52"/>
      <c r="AB68" s="68">
        <v>51</v>
      </c>
      <c r="AC68" s="49">
        <f>資料儲存!D4852</f>
        <v>0</v>
      </c>
      <c r="AD68" s="49">
        <f>資料儲存!E4852</f>
        <v>0</v>
      </c>
      <c r="AE68" s="49">
        <f>資料儲存!F4852</f>
        <v>0</v>
      </c>
      <c r="AF68" s="49">
        <f>資料儲存!G4852</f>
        <v>0</v>
      </c>
      <c r="AG68" s="49">
        <f>資料儲存!H4852</f>
        <v>0</v>
      </c>
      <c r="AH68" s="49">
        <f>資料儲存!I4852</f>
        <v>0</v>
      </c>
      <c r="AI68" s="49">
        <f>資料儲存!J4852</f>
        <v>0</v>
      </c>
      <c r="AJ68" s="52"/>
    </row>
    <row r="69" spans="1:36" ht="16" thickBot="1">
      <c r="A69" s="68">
        <v>52</v>
      </c>
      <c r="B69" s="49">
        <f>資料儲存!D4133</f>
        <v>0</v>
      </c>
      <c r="C69" s="49">
        <f>資料儲存!E4133</f>
        <v>0</v>
      </c>
      <c r="D69" s="49">
        <f>資料儲存!F4133</f>
        <v>0</v>
      </c>
      <c r="E69" s="49">
        <f>資料儲存!G4133</f>
        <v>0</v>
      </c>
      <c r="F69" s="49">
        <f>資料儲存!H4133</f>
        <v>0</v>
      </c>
      <c r="G69" s="49">
        <f>資料儲存!I4133</f>
        <v>0</v>
      </c>
      <c r="H69" s="49">
        <f>資料儲存!J4133</f>
        <v>0</v>
      </c>
      <c r="I69" s="52"/>
      <c r="J69" s="68">
        <v>52</v>
      </c>
      <c r="K69" s="49">
        <f>資料儲存!D4373</f>
        <v>0</v>
      </c>
      <c r="L69" s="49">
        <f>資料儲存!E4373</f>
        <v>0</v>
      </c>
      <c r="M69" s="49">
        <f>資料儲存!F4373</f>
        <v>0</v>
      </c>
      <c r="N69" s="49">
        <f>資料儲存!G4373</f>
        <v>0</v>
      </c>
      <c r="O69" s="49">
        <f>資料儲存!H4373</f>
        <v>0</v>
      </c>
      <c r="P69" s="49">
        <f>資料儲存!I4373</f>
        <v>0</v>
      </c>
      <c r="Q69" s="49">
        <f>資料儲存!J4373</f>
        <v>0</v>
      </c>
      <c r="R69" s="52"/>
      <c r="S69" s="68">
        <v>52</v>
      </c>
      <c r="T69" s="49">
        <f>資料儲存!D4613</f>
        <v>0</v>
      </c>
      <c r="U69" s="49">
        <f>資料儲存!E4613</f>
        <v>0</v>
      </c>
      <c r="V69" s="49">
        <f>資料儲存!F4613</f>
        <v>0</v>
      </c>
      <c r="W69" s="49">
        <f>資料儲存!G4613</f>
        <v>0</v>
      </c>
      <c r="X69" s="49">
        <f>資料儲存!H4613</f>
        <v>0</v>
      </c>
      <c r="Y69" s="49">
        <f>資料儲存!I4613</f>
        <v>0</v>
      </c>
      <c r="Z69" s="49">
        <f>資料儲存!J4613</f>
        <v>0</v>
      </c>
      <c r="AA69" s="52"/>
      <c r="AB69" s="68">
        <v>52</v>
      </c>
      <c r="AC69" s="49">
        <f>資料儲存!D4853</f>
        <v>0</v>
      </c>
      <c r="AD69" s="49">
        <f>資料儲存!E4853</f>
        <v>0</v>
      </c>
      <c r="AE69" s="49">
        <f>資料儲存!F4853</f>
        <v>0</v>
      </c>
      <c r="AF69" s="49">
        <f>資料儲存!G4853</f>
        <v>0</v>
      </c>
      <c r="AG69" s="49">
        <f>資料儲存!H4853</f>
        <v>0</v>
      </c>
      <c r="AH69" s="49">
        <f>資料儲存!I4853</f>
        <v>0</v>
      </c>
      <c r="AI69" s="49">
        <f>資料儲存!J4853</f>
        <v>0</v>
      </c>
      <c r="AJ69" s="52"/>
    </row>
    <row r="70" spans="1:36" ht="16" thickBot="1">
      <c r="A70" s="68">
        <v>53</v>
      </c>
      <c r="B70" s="49">
        <f>資料儲存!D4134</f>
        <v>0</v>
      </c>
      <c r="C70" s="49">
        <f>資料儲存!E4134</f>
        <v>0</v>
      </c>
      <c r="D70" s="49">
        <f>資料儲存!F4134</f>
        <v>0</v>
      </c>
      <c r="E70" s="49">
        <f>資料儲存!G4134</f>
        <v>0</v>
      </c>
      <c r="F70" s="49">
        <f>資料儲存!H4134</f>
        <v>0</v>
      </c>
      <c r="G70" s="49">
        <f>資料儲存!I4134</f>
        <v>0</v>
      </c>
      <c r="H70" s="49">
        <f>資料儲存!J4134</f>
        <v>0</v>
      </c>
      <c r="I70" s="52"/>
      <c r="J70" s="68">
        <v>53</v>
      </c>
      <c r="K70" s="49">
        <f>資料儲存!D4374</f>
        <v>0</v>
      </c>
      <c r="L70" s="49">
        <f>資料儲存!E4374</f>
        <v>0</v>
      </c>
      <c r="M70" s="49">
        <f>資料儲存!F4374</f>
        <v>0</v>
      </c>
      <c r="N70" s="49">
        <f>資料儲存!G4374</f>
        <v>0</v>
      </c>
      <c r="O70" s="49">
        <f>資料儲存!H4374</f>
        <v>0</v>
      </c>
      <c r="P70" s="49">
        <f>資料儲存!I4374</f>
        <v>0</v>
      </c>
      <c r="Q70" s="49">
        <f>資料儲存!J4374</f>
        <v>0</v>
      </c>
      <c r="R70" s="52"/>
      <c r="S70" s="68">
        <v>53</v>
      </c>
      <c r="T70" s="49">
        <f>資料儲存!D4614</f>
        <v>0</v>
      </c>
      <c r="U70" s="49">
        <f>資料儲存!E4614</f>
        <v>0</v>
      </c>
      <c r="V70" s="49">
        <f>資料儲存!F4614</f>
        <v>0</v>
      </c>
      <c r="W70" s="49">
        <f>資料儲存!G4614</f>
        <v>0</v>
      </c>
      <c r="X70" s="49">
        <f>資料儲存!H4614</f>
        <v>0</v>
      </c>
      <c r="Y70" s="49">
        <f>資料儲存!I4614</f>
        <v>0</v>
      </c>
      <c r="Z70" s="49">
        <f>資料儲存!J4614</f>
        <v>0</v>
      </c>
      <c r="AA70" s="52"/>
      <c r="AB70" s="68">
        <v>53</v>
      </c>
      <c r="AC70" s="49">
        <f>資料儲存!D4854</f>
        <v>0</v>
      </c>
      <c r="AD70" s="49">
        <f>資料儲存!E4854</f>
        <v>0</v>
      </c>
      <c r="AE70" s="49">
        <f>資料儲存!F4854</f>
        <v>0</v>
      </c>
      <c r="AF70" s="49">
        <f>資料儲存!G4854</f>
        <v>0</v>
      </c>
      <c r="AG70" s="49">
        <f>資料儲存!H4854</f>
        <v>0</v>
      </c>
      <c r="AH70" s="49">
        <f>資料儲存!I4854</f>
        <v>0</v>
      </c>
      <c r="AI70" s="49">
        <f>資料儲存!J4854</f>
        <v>0</v>
      </c>
      <c r="AJ70" s="52"/>
    </row>
    <row r="71" spans="1:36" ht="16" thickBot="1">
      <c r="A71" s="68">
        <v>54</v>
      </c>
      <c r="B71" s="49">
        <f>資料儲存!D4135</f>
        <v>0</v>
      </c>
      <c r="C71" s="49">
        <f>資料儲存!E4135</f>
        <v>0</v>
      </c>
      <c r="D71" s="49">
        <f>資料儲存!F4135</f>
        <v>0</v>
      </c>
      <c r="E71" s="49">
        <f>資料儲存!G4135</f>
        <v>0</v>
      </c>
      <c r="F71" s="49">
        <f>資料儲存!H4135</f>
        <v>0</v>
      </c>
      <c r="G71" s="49">
        <f>資料儲存!I4135</f>
        <v>0</v>
      </c>
      <c r="H71" s="49">
        <f>資料儲存!J4135</f>
        <v>0</v>
      </c>
      <c r="I71" s="52"/>
      <c r="J71" s="68">
        <v>54</v>
      </c>
      <c r="K71" s="49">
        <f>資料儲存!D4375</f>
        <v>0</v>
      </c>
      <c r="L71" s="49">
        <f>資料儲存!E4375</f>
        <v>0</v>
      </c>
      <c r="M71" s="49">
        <f>資料儲存!F4375</f>
        <v>0</v>
      </c>
      <c r="N71" s="49">
        <f>資料儲存!G4375</f>
        <v>0</v>
      </c>
      <c r="O71" s="49">
        <f>資料儲存!H4375</f>
        <v>0</v>
      </c>
      <c r="P71" s="49">
        <f>資料儲存!I4375</f>
        <v>0</v>
      </c>
      <c r="Q71" s="49">
        <f>資料儲存!J4375</f>
        <v>0</v>
      </c>
      <c r="R71" s="52"/>
      <c r="S71" s="68">
        <v>54</v>
      </c>
      <c r="T71" s="49">
        <f>資料儲存!D4615</f>
        <v>0</v>
      </c>
      <c r="U71" s="49">
        <f>資料儲存!E4615</f>
        <v>0</v>
      </c>
      <c r="V71" s="49">
        <f>資料儲存!F4615</f>
        <v>0</v>
      </c>
      <c r="W71" s="49">
        <f>資料儲存!G4615</f>
        <v>0</v>
      </c>
      <c r="X71" s="49">
        <f>資料儲存!H4615</f>
        <v>0</v>
      </c>
      <c r="Y71" s="49">
        <f>資料儲存!I4615</f>
        <v>0</v>
      </c>
      <c r="Z71" s="49">
        <f>資料儲存!J4615</f>
        <v>0</v>
      </c>
      <c r="AA71" s="52"/>
      <c r="AB71" s="68">
        <v>54</v>
      </c>
      <c r="AC71" s="49">
        <f>資料儲存!D4855</f>
        <v>0</v>
      </c>
      <c r="AD71" s="49">
        <f>資料儲存!E4855</f>
        <v>0</v>
      </c>
      <c r="AE71" s="49">
        <f>資料儲存!F4855</f>
        <v>0</v>
      </c>
      <c r="AF71" s="49">
        <f>資料儲存!G4855</f>
        <v>0</v>
      </c>
      <c r="AG71" s="49">
        <f>資料儲存!H4855</f>
        <v>0</v>
      </c>
      <c r="AH71" s="49">
        <f>資料儲存!I4855</f>
        <v>0</v>
      </c>
      <c r="AI71" s="49">
        <f>資料儲存!J4855</f>
        <v>0</v>
      </c>
      <c r="AJ71" s="52"/>
    </row>
    <row r="72" spans="1:36" ht="16" thickBot="1">
      <c r="A72" s="68">
        <v>55</v>
      </c>
      <c r="B72" s="49">
        <f>資料儲存!D4136</f>
        <v>0</v>
      </c>
      <c r="C72" s="49">
        <f>資料儲存!E4136</f>
        <v>0</v>
      </c>
      <c r="D72" s="49">
        <f>資料儲存!F4136</f>
        <v>0</v>
      </c>
      <c r="E72" s="49">
        <f>資料儲存!G4136</f>
        <v>0</v>
      </c>
      <c r="F72" s="49">
        <f>資料儲存!H4136</f>
        <v>0</v>
      </c>
      <c r="G72" s="49">
        <f>資料儲存!I4136</f>
        <v>0</v>
      </c>
      <c r="H72" s="49">
        <f>資料儲存!J4136</f>
        <v>0</v>
      </c>
      <c r="I72" s="52"/>
      <c r="J72" s="68">
        <v>55</v>
      </c>
      <c r="K72" s="49">
        <f>資料儲存!D4376</f>
        <v>0</v>
      </c>
      <c r="L72" s="49">
        <f>資料儲存!E4376</f>
        <v>0</v>
      </c>
      <c r="M72" s="49">
        <f>資料儲存!F4376</f>
        <v>0</v>
      </c>
      <c r="N72" s="49">
        <f>資料儲存!G4376</f>
        <v>0</v>
      </c>
      <c r="O72" s="49">
        <f>資料儲存!H4376</f>
        <v>0</v>
      </c>
      <c r="P72" s="49">
        <f>資料儲存!I4376</f>
        <v>0</v>
      </c>
      <c r="Q72" s="49">
        <f>資料儲存!J4376</f>
        <v>0</v>
      </c>
      <c r="R72" s="52"/>
      <c r="S72" s="68">
        <v>55</v>
      </c>
      <c r="T72" s="49">
        <f>資料儲存!D4616</f>
        <v>0</v>
      </c>
      <c r="U72" s="49">
        <f>資料儲存!E4616</f>
        <v>0</v>
      </c>
      <c r="V72" s="49">
        <f>資料儲存!F4616</f>
        <v>0</v>
      </c>
      <c r="W72" s="49">
        <f>資料儲存!G4616</f>
        <v>0</v>
      </c>
      <c r="X72" s="49">
        <f>資料儲存!H4616</f>
        <v>0</v>
      </c>
      <c r="Y72" s="49">
        <f>資料儲存!I4616</f>
        <v>0</v>
      </c>
      <c r="Z72" s="49">
        <f>資料儲存!J4616</f>
        <v>0</v>
      </c>
      <c r="AA72" s="52"/>
      <c r="AB72" s="68">
        <v>55</v>
      </c>
      <c r="AC72" s="49">
        <f>資料儲存!D4856</f>
        <v>0</v>
      </c>
      <c r="AD72" s="49">
        <f>資料儲存!E4856</f>
        <v>0</v>
      </c>
      <c r="AE72" s="49">
        <f>資料儲存!F4856</f>
        <v>0</v>
      </c>
      <c r="AF72" s="49">
        <f>資料儲存!G4856</f>
        <v>0</v>
      </c>
      <c r="AG72" s="49">
        <f>資料儲存!H4856</f>
        <v>0</v>
      </c>
      <c r="AH72" s="49">
        <f>資料儲存!I4856</f>
        <v>0</v>
      </c>
      <c r="AI72" s="49">
        <f>資料儲存!J4856</f>
        <v>0</v>
      </c>
      <c r="AJ72" s="52"/>
    </row>
    <row r="73" spans="1:36" ht="16" thickBot="1">
      <c r="A73" s="68">
        <v>56</v>
      </c>
      <c r="B73" s="49">
        <f>資料儲存!D4137</f>
        <v>0</v>
      </c>
      <c r="C73" s="49">
        <f>資料儲存!E4137</f>
        <v>0</v>
      </c>
      <c r="D73" s="49">
        <f>資料儲存!F4137</f>
        <v>0</v>
      </c>
      <c r="E73" s="49">
        <f>資料儲存!G4137</f>
        <v>0</v>
      </c>
      <c r="F73" s="49">
        <f>資料儲存!H4137</f>
        <v>0</v>
      </c>
      <c r="G73" s="49">
        <f>資料儲存!I4137</f>
        <v>0</v>
      </c>
      <c r="H73" s="49">
        <f>資料儲存!J4137</f>
        <v>0</v>
      </c>
      <c r="I73" s="52"/>
      <c r="J73" s="68">
        <v>56</v>
      </c>
      <c r="K73" s="49">
        <f>資料儲存!D4377</f>
        <v>0</v>
      </c>
      <c r="L73" s="49">
        <f>資料儲存!E4377</f>
        <v>0</v>
      </c>
      <c r="M73" s="49">
        <f>資料儲存!F4377</f>
        <v>0</v>
      </c>
      <c r="N73" s="49">
        <f>資料儲存!G4377</f>
        <v>0</v>
      </c>
      <c r="O73" s="49">
        <f>資料儲存!H4377</f>
        <v>0</v>
      </c>
      <c r="P73" s="49">
        <f>資料儲存!I4377</f>
        <v>0</v>
      </c>
      <c r="Q73" s="49">
        <f>資料儲存!J4377</f>
        <v>0</v>
      </c>
      <c r="R73" s="52"/>
      <c r="S73" s="68">
        <v>56</v>
      </c>
      <c r="T73" s="49">
        <f>資料儲存!D4617</f>
        <v>0</v>
      </c>
      <c r="U73" s="49">
        <f>資料儲存!E4617</f>
        <v>0</v>
      </c>
      <c r="V73" s="49">
        <f>資料儲存!F4617</f>
        <v>0</v>
      </c>
      <c r="W73" s="49">
        <f>資料儲存!G4617</f>
        <v>0</v>
      </c>
      <c r="X73" s="49">
        <f>資料儲存!H4617</f>
        <v>0</v>
      </c>
      <c r="Y73" s="49">
        <f>資料儲存!I4617</f>
        <v>0</v>
      </c>
      <c r="Z73" s="49">
        <f>資料儲存!J4617</f>
        <v>0</v>
      </c>
      <c r="AA73" s="52"/>
      <c r="AB73" s="68">
        <v>56</v>
      </c>
      <c r="AC73" s="49">
        <f>資料儲存!D4857</f>
        <v>0</v>
      </c>
      <c r="AD73" s="49">
        <f>資料儲存!E4857</f>
        <v>0</v>
      </c>
      <c r="AE73" s="49">
        <f>資料儲存!F4857</f>
        <v>0</v>
      </c>
      <c r="AF73" s="49">
        <f>資料儲存!G4857</f>
        <v>0</v>
      </c>
      <c r="AG73" s="49">
        <f>資料儲存!H4857</f>
        <v>0</v>
      </c>
      <c r="AH73" s="49">
        <f>資料儲存!I4857</f>
        <v>0</v>
      </c>
      <c r="AI73" s="49">
        <f>資料儲存!J4857</f>
        <v>0</v>
      </c>
      <c r="AJ73" s="52"/>
    </row>
    <row r="74" spans="1:36" ht="16" thickBot="1">
      <c r="A74" s="68">
        <v>57</v>
      </c>
      <c r="B74" s="49">
        <f>資料儲存!D4138</f>
        <v>0</v>
      </c>
      <c r="C74" s="49">
        <f>資料儲存!E4138</f>
        <v>0</v>
      </c>
      <c r="D74" s="49">
        <f>資料儲存!F4138</f>
        <v>0</v>
      </c>
      <c r="E74" s="49">
        <f>資料儲存!G4138</f>
        <v>0</v>
      </c>
      <c r="F74" s="49">
        <f>資料儲存!H4138</f>
        <v>0</v>
      </c>
      <c r="G74" s="49">
        <f>資料儲存!I4138</f>
        <v>0</v>
      </c>
      <c r="H74" s="49">
        <f>資料儲存!J4138</f>
        <v>0</v>
      </c>
      <c r="I74" s="52"/>
      <c r="J74" s="68">
        <v>57</v>
      </c>
      <c r="K74" s="49">
        <f>資料儲存!D4378</f>
        <v>0</v>
      </c>
      <c r="L74" s="49">
        <f>資料儲存!E4378</f>
        <v>0</v>
      </c>
      <c r="M74" s="49">
        <f>資料儲存!F4378</f>
        <v>0</v>
      </c>
      <c r="N74" s="49">
        <f>資料儲存!G4378</f>
        <v>0</v>
      </c>
      <c r="O74" s="49">
        <f>資料儲存!H4378</f>
        <v>0</v>
      </c>
      <c r="P74" s="49">
        <f>資料儲存!I4378</f>
        <v>0</v>
      </c>
      <c r="Q74" s="49">
        <f>資料儲存!J4378</f>
        <v>0</v>
      </c>
      <c r="R74" s="52"/>
      <c r="S74" s="68">
        <v>57</v>
      </c>
      <c r="T74" s="49">
        <f>資料儲存!D4618</f>
        <v>0</v>
      </c>
      <c r="U74" s="49">
        <f>資料儲存!E4618</f>
        <v>0</v>
      </c>
      <c r="V74" s="49">
        <f>資料儲存!F4618</f>
        <v>0</v>
      </c>
      <c r="W74" s="49">
        <f>資料儲存!G4618</f>
        <v>0</v>
      </c>
      <c r="X74" s="49">
        <f>資料儲存!H4618</f>
        <v>0</v>
      </c>
      <c r="Y74" s="49">
        <f>資料儲存!I4618</f>
        <v>0</v>
      </c>
      <c r="Z74" s="49">
        <f>資料儲存!J4618</f>
        <v>0</v>
      </c>
      <c r="AA74" s="52"/>
      <c r="AB74" s="68">
        <v>57</v>
      </c>
      <c r="AC74" s="49">
        <f>資料儲存!D4858</f>
        <v>0</v>
      </c>
      <c r="AD74" s="49">
        <f>資料儲存!E4858</f>
        <v>0</v>
      </c>
      <c r="AE74" s="49">
        <f>資料儲存!F4858</f>
        <v>0</v>
      </c>
      <c r="AF74" s="49">
        <f>資料儲存!G4858</f>
        <v>0</v>
      </c>
      <c r="AG74" s="49">
        <f>資料儲存!H4858</f>
        <v>0</v>
      </c>
      <c r="AH74" s="49">
        <f>資料儲存!I4858</f>
        <v>0</v>
      </c>
      <c r="AI74" s="49">
        <f>資料儲存!J4858</f>
        <v>0</v>
      </c>
      <c r="AJ74" s="52"/>
    </row>
    <row r="75" spans="1:36" ht="16" thickBot="1">
      <c r="A75" s="68">
        <v>58</v>
      </c>
      <c r="B75" s="49">
        <f>資料儲存!D4139</f>
        <v>0</v>
      </c>
      <c r="C75" s="49">
        <f>資料儲存!E4139</f>
        <v>0</v>
      </c>
      <c r="D75" s="49">
        <f>資料儲存!F4139</f>
        <v>0</v>
      </c>
      <c r="E75" s="49">
        <f>資料儲存!G4139</f>
        <v>0</v>
      </c>
      <c r="F75" s="49">
        <f>資料儲存!H4139</f>
        <v>0</v>
      </c>
      <c r="G75" s="49">
        <f>資料儲存!I4139</f>
        <v>0</v>
      </c>
      <c r="H75" s="49">
        <f>資料儲存!J4139</f>
        <v>0</v>
      </c>
      <c r="I75" s="52"/>
      <c r="J75" s="68">
        <v>58</v>
      </c>
      <c r="K75" s="49">
        <f>資料儲存!D4379</f>
        <v>0</v>
      </c>
      <c r="L75" s="49">
        <f>資料儲存!E4379</f>
        <v>0</v>
      </c>
      <c r="M75" s="49">
        <f>資料儲存!F4379</f>
        <v>0</v>
      </c>
      <c r="N75" s="49">
        <f>資料儲存!G4379</f>
        <v>0</v>
      </c>
      <c r="O75" s="49">
        <f>資料儲存!H4379</f>
        <v>0</v>
      </c>
      <c r="P75" s="49">
        <f>資料儲存!I4379</f>
        <v>0</v>
      </c>
      <c r="Q75" s="49">
        <f>資料儲存!J4379</f>
        <v>0</v>
      </c>
      <c r="R75" s="52"/>
      <c r="S75" s="68">
        <v>58</v>
      </c>
      <c r="T75" s="49">
        <f>資料儲存!D4619</f>
        <v>0</v>
      </c>
      <c r="U75" s="49">
        <f>資料儲存!E4619</f>
        <v>0</v>
      </c>
      <c r="V75" s="49">
        <f>資料儲存!F4619</f>
        <v>0</v>
      </c>
      <c r="W75" s="49">
        <f>資料儲存!G4619</f>
        <v>0</v>
      </c>
      <c r="X75" s="49">
        <f>資料儲存!H4619</f>
        <v>0</v>
      </c>
      <c r="Y75" s="49">
        <f>資料儲存!I4619</f>
        <v>0</v>
      </c>
      <c r="Z75" s="49">
        <f>資料儲存!J4619</f>
        <v>0</v>
      </c>
      <c r="AA75" s="52"/>
      <c r="AB75" s="68">
        <v>58</v>
      </c>
      <c r="AC75" s="49">
        <f>資料儲存!D4859</f>
        <v>0</v>
      </c>
      <c r="AD75" s="49">
        <f>資料儲存!E4859</f>
        <v>0</v>
      </c>
      <c r="AE75" s="49">
        <f>資料儲存!F4859</f>
        <v>0</v>
      </c>
      <c r="AF75" s="49">
        <f>資料儲存!G4859</f>
        <v>0</v>
      </c>
      <c r="AG75" s="49">
        <f>資料儲存!H4859</f>
        <v>0</v>
      </c>
      <c r="AH75" s="49">
        <f>資料儲存!I4859</f>
        <v>0</v>
      </c>
      <c r="AI75" s="49">
        <f>資料儲存!J4859</f>
        <v>0</v>
      </c>
      <c r="AJ75" s="52"/>
    </row>
    <row r="76" spans="1:36" ht="16" thickBot="1">
      <c r="A76" s="68">
        <v>59</v>
      </c>
      <c r="B76" s="49">
        <f>資料儲存!D4140</f>
        <v>0</v>
      </c>
      <c r="C76" s="49">
        <f>資料儲存!E4140</f>
        <v>0</v>
      </c>
      <c r="D76" s="49">
        <f>資料儲存!F4140</f>
        <v>0</v>
      </c>
      <c r="E76" s="49">
        <f>資料儲存!G4140</f>
        <v>0</v>
      </c>
      <c r="F76" s="49">
        <f>資料儲存!H4140</f>
        <v>0</v>
      </c>
      <c r="G76" s="49">
        <f>資料儲存!I4140</f>
        <v>0</v>
      </c>
      <c r="H76" s="49">
        <f>資料儲存!J4140</f>
        <v>0</v>
      </c>
      <c r="I76" s="52"/>
      <c r="J76" s="68">
        <v>59</v>
      </c>
      <c r="K76" s="49">
        <f>資料儲存!D4380</f>
        <v>0</v>
      </c>
      <c r="L76" s="49">
        <f>資料儲存!E4380</f>
        <v>0</v>
      </c>
      <c r="M76" s="49">
        <f>資料儲存!F4380</f>
        <v>0</v>
      </c>
      <c r="N76" s="49">
        <f>資料儲存!G4380</f>
        <v>0</v>
      </c>
      <c r="O76" s="49">
        <f>資料儲存!H4380</f>
        <v>0</v>
      </c>
      <c r="P76" s="49">
        <f>資料儲存!I4380</f>
        <v>0</v>
      </c>
      <c r="Q76" s="49">
        <f>資料儲存!J4380</f>
        <v>0</v>
      </c>
      <c r="R76" s="52"/>
      <c r="S76" s="68">
        <v>59</v>
      </c>
      <c r="T76" s="49">
        <f>資料儲存!D4620</f>
        <v>0</v>
      </c>
      <c r="U76" s="49">
        <f>資料儲存!E4620</f>
        <v>0</v>
      </c>
      <c r="V76" s="49">
        <f>資料儲存!F4620</f>
        <v>0</v>
      </c>
      <c r="W76" s="49">
        <f>資料儲存!G4620</f>
        <v>0</v>
      </c>
      <c r="X76" s="49">
        <f>資料儲存!H4620</f>
        <v>0</v>
      </c>
      <c r="Y76" s="49">
        <f>資料儲存!I4620</f>
        <v>0</v>
      </c>
      <c r="Z76" s="49">
        <f>資料儲存!J4620</f>
        <v>0</v>
      </c>
      <c r="AA76" s="52"/>
      <c r="AB76" s="68">
        <v>59</v>
      </c>
      <c r="AC76" s="49">
        <f>資料儲存!D4860</f>
        <v>0</v>
      </c>
      <c r="AD76" s="49">
        <f>資料儲存!E4860</f>
        <v>0</v>
      </c>
      <c r="AE76" s="49">
        <f>資料儲存!F4860</f>
        <v>0</v>
      </c>
      <c r="AF76" s="49">
        <f>資料儲存!G4860</f>
        <v>0</v>
      </c>
      <c r="AG76" s="49">
        <f>資料儲存!H4860</f>
        <v>0</v>
      </c>
      <c r="AH76" s="49">
        <f>資料儲存!I4860</f>
        <v>0</v>
      </c>
      <c r="AI76" s="49">
        <f>資料儲存!J4860</f>
        <v>0</v>
      </c>
      <c r="AJ76" s="52"/>
    </row>
    <row r="77" spans="1:36" ht="16" thickBot="1">
      <c r="A77" s="68">
        <v>60</v>
      </c>
      <c r="B77" s="49">
        <f>資料儲存!D4141</f>
        <v>0</v>
      </c>
      <c r="C77" s="49">
        <f>資料儲存!E4141</f>
        <v>0</v>
      </c>
      <c r="D77" s="49">
        <f>資料儲存!F4141</f>
        <v>0</v>
      </c>
      <c r="E77" s="49">
        <f>資料儲存!G4141</f>
        <v>0</v>
      </c>
      <c r="F77" s="49">
        <f>資料儲存!H4141</f>
        <v>0</v>
      </c>
      <c r="G77" s="49">
        <f>資料儲存!I4141</f>
        <v>0</v>
      </c>
      <c r="H77" s="49">
        <f>資料儲存!J4141</f>
        <v>0</v>
      </c>
      <c r="I77" s="52"/>
      <c r="J77" s="68">
        <v>60</v>
      </c>
      <c r="K77" s="49">
        <f>資料儲存!D4381</f>
        <v>0</v>
      </c>
      <c r="L77" s="49">
        <f>資料儲存!E4381</f>
        <v>0</v>
      </c>
      <c r="M77" s="49">
        <f>資料儲存!F4381</f>
        <v>0</v>
      </c>
      <c r="N77" s="49">
        <f>資料儲存!G4381</f>
        <v>0</v>
      </c>
      <c r="O77" s="49">
        <f>資料儲存!H4381</f>
        <v>0</v>
      </c>
      <c r="P77" s="49">
        <f>資料儲存!I4381</f>
        <v>0</v>
      </c>
      <c r="Q77" s="49">
        <f>資料儲存!J4381</f>
        <v>0</v>
      </c>
      <c r="R77" s="52"/>
      <c r="S77" s="68">
        <v>60</v>
      </c>
      <c r="T77" s="49">
        <f>資料儲存!D4621</f>
        <v>0</v>
      </c>
      <c r="U77" s="49">
        <f>資料儲存!E4621</f>
        <v>0</v>
      </c>
      <c r="V77" s="49">
        <f>資料儲存!F4621</f>
        <v>0</v>
      </c>
      <c r="W77" s="49">
        <f>資料儲存!G4621</f>
        <v>0</v>
      </c>
      <c r="X77" s="49">
        <f>資料儲存!H4621</f>
        <v>0</v>
      </c>
      <c r="Y77" s="49">
        <f>資料儲存!I4621</f>
        <v>0</v>
      </c>
      <c r="Z77" s="49">
        <f>資料儲存!J4621</f>
        <v>0</v>
      </c>
      <c r="AA77" s="52"/>
      <c r="AB77" s="68">
        <v>60</v>
      </c>
      <c r="AC77" s="49">
        <f>資料儲存!D4861</f>
        <v>0</v>
      </c>
      <c r="AD77" s="49">
        <f>資料儲存!E4861</f>
        <v>0</v>
      </c>
      <c r="AE77" s="49">
        <f>資料儲存!F4861</f>
        <v>0</v>
      </c>
      <c r="AF77" s="49">
        <f>資料儲存!G4861</f>
        <v>0</v>
      </c>
      <c r="AG77" s="49">
        <f>資料儲存!H4861</f>
        <v>0</v>
      </c>
      <c r="AH77" s="49">
        <f>資料儲存!I4861</f>
        <v>0</v>
      </c>
      <c r="AI77" s="49">
        <f>資料儲存!J4861</f>
        <v>0</v>
      </c>
      <c r="AJ77" s="52"/>
    </row>
    <row r="78" spans="1:36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  <row r="79" spans="1:36" ht="18.5" thickBot="1">
      <c r="A79" s="259" t="s">
        <v>121</v>
      </c>
      <c r="B79" s="260"/>
      <c r="C79" s="260"/>
      <c r="D79" s="260"/>
      <c r="E79" s="260"/>
      <c r="F79" s="260"/>
      <c r="G79" s="260"/>
      <c r="H79" s="261"/>
      <c r="I79" s="14"/>
      <c r="J79" s="259" t="s">
        <v>121</v>
      </c>
      <c r="K79" s="260"/>
      <c r="L79" s="260"/>
      <c r="M79" s="260"/>
      <c r="N79" s="260"/>
      <c r="O79" s="260"/>
      <c r="P79" s="260"/>
      <c r="Q79" s="261"/>
      <c r="R79" s="14"/>
      <c r="S79" s="259" t="s">
        <v>121</v>
      </c>
      <c r="T79" s="260"/>
      <c r="U79" s="260"/>
      <c r="V79" s="260"/>
      <c r="W79" s="260"/>
      <c r="X79" s="260"/>
      <c r="Y79" s="260"/>
      <c r="Z79" s="261"/>
      <c r="AA79" s="14"/>
      <c r="AB79" s="259" t="s">
        <v>121</v>
      </c>
      <c r="AC79" s="260"/>
      <c r="AD79" s="260"/>
      <c r="AE79" s="260"/>
      <c r="AF79" s="260"/>
      <c r="AG79" s="260"/>
      <c r="AH79" s="260"/>
      <c r="AI79" s="261"/>
      <c r="AJ79" s="14"/>
    </row>
    <row r="80" spans="1:36" ht="17.25" customHeight="1" thickBot="1">
      <c r="A80" s="54" t="s">
        <v>2</v>
      </c>
      <c r="B80" s="55" t="s">
        <v>46</v>
      </c>
      <c r="C80" s="56"/>
      <c r="D80" s="56"/>
      <c r="E80" s="57"/>
      <c r="F80" s="55" t="s">
        <v>47</v>
      </c>
      <c r="G80" s="56"/>
      <c r="H80" s="57"/>
      <c r="I80" s="58"/>
      <c r="J80" s="54" t="s">
        <v>2</v>
      </c>
      <c r="K80" s="55" t="s">
        <v>46</v>
      </c>
      <c r="L80" s="56"/>
      <c r="M80" s="56"/>
      <c r="N80" s="57"/>
      <c r="O80" s="55" t="s">
        <v>47</v>
      </c>
      <c r="P80" s="56"/>
      <c r="Q80" s="57"/>
      <c r="R80" s="58"/>
      <c r="S80" s="54" t="s">
        <v>2</v>
      </c>
      <c r="T80" s="55" t="s">
        <v>46</v>
      </c>
      <c r="U80" s="56"/>
      <c r="V80" s="56"/>
      <c r="W80" s="57"/>
      <c r="X80" s="55" t="s">
        <v>47</v>
      </c>
      <c r="Y80" s="56"/>
      <c r="Z80" s="57"/>
      <c r="AA80" s="58"/>
      <c r="AB80" s="54" t="s">
        <v>2</v>
      </c>
      <c r="AC80" s="55" t="s">
        <v>46</v>
      </c>
      <c r="AD80" s="56"/>
      <c r="AE80" s="56"/>
      <c r="AF80" s="57"/>
      <c r="AG80" s="55" t="s">
        <v>47</v>
      </c>
      <c r="AH80" s="56"/>
      <c r="AI80" s="57"/>
      <c r="AJ80" s="58"/>
    </row>
    <row r="81" spans="1:36" ht="16" thickBot="1">
      <c r="A81" s="59">
        <v>0.70833333333333337</v>
      </c>
      <c r="B81" s="60" t="s">
        <v>49</v>
      </c>
      <c r="C81" s="60" t="s">
        <v>50</v>
      </c>
      <c r="D81" s="60" t="s">
        <v>51</v>
      </c>
      <c r="E81" s="60" t="s">
        <v>52</v>
      </c>
      <c r="F81" s="60" t="s">
        <v>53</v>
      </c>
      <c r="G81" s="60" t="s">
        <v>54</v>
      </c>
      <c r="H81" s="60" t="s">
        <v>55</v>
      </c>
      <c r="I81" s="58"/>
      <c r="J81" s="59">
        <v>0.70833333333333337</v>
      </c>
      <c r="K81" s="60" t="s">
        <v>49</v>
      </c>
      <c r="L81" s="60" t="s">
        <v>50</v>
      </c>
      <c r="M81" s="60" t="s">
        <v>51</v>
      </c>
      <c r="N81" s="60" t="s">
        <v>52</v>
      </c>
      <c r="O81" s="60" t="s">
        <v>53</v>
      </c>
      <c r="P81" s="60" t="s">
        <v>54</v>
      </c>
      <c r="Q81" s="60" t="s">
        <v>55</v>
      </c>
      <c r="R81" s="58"/>
      <c r="S81" s="59">
        <v>0.70833333333333337</v>
      </c>
      <c r="T81" s="60" t="s">
        <v>49</v>
      </c>
      <c r="U81" s="60" t="s">
        <v>50</v>
      </c>
      <c r="V81" s="60" t="s">
        <v>51</v>
      </c>
      <c r="W81" s="60" t="s">
        <v>52</v>
      </c>
      <c r="X81" s="60" t="s">
        <v>53</v>
      </c>
      <c r="Y81" s="60" t="s">
        <v>54</v>
      </c>
      <c r="Z81" s="60" t="s">
        <v>55</v>
      </c>
      <c r="AA81" s="58"/>
      <c r="AB81" s="59">
        <v>0.70833333333333337</v>
      </c>
      <c r="AC81" s="60" t="s">
        <v>49</v>
      </c>
      <c r="AD81" s="60" t="s">
        <v>50</v>
      </c>
      <c r="AE81" s="60" t="s">
        <v>51</v>
      </c>
      <c r="AF81" s="60" t="s">
        <v>52</v>
      </c>
      <c r="AG81" s="60" t="s">
        <v>53</v>
      </c>
      <c r="AH81" s="60" t="s">
        <v>54</v>
      </c>
      <c r="AI81" s="60" t="s">
        <v>55</v>
      </c>
      <c r="AJ81" s="58"/>
    </row>
    <row r="82" spans="1:36" ht="16" thickBot="1">
      <c r="A82" s="61">
        <v>1</v>
      </c>
      <c r="B82" s="39">
        <f>資料儲存!D4142</f>
        <v>0</v>
      </c>
      <c r="C82" s="39">
        <f>資料儲存!E4142</f>
        <v>0</v>
      </c>
      <c r="D82" s="39">
        <f>資料儲存!F4142</f>
        <v>0</v>
      </c>
      <c r="E82" s="39">
        <f>資料儲存!G4142</f>
        <v>0</v>
      </c>
      <c r="F82" s="39">
        <f>資料儲存!H4142</f>
        <v>0</v>
      </c>
      <c r="G82" s="39">
        <f>資料儲存!I4142</f>
        <v>0</v>
      </c>
      <c r="H82" s="39">
        <f>資料儲存!J4142</f>
        <v>0</v>
      </c>
      <c r="I82" s="58"/>
      <c r="J82" s="61">
        <v>1</v>
      </c>
      <c r="K82" s="39">
        <f>資料儲存!D4382</f>
        <v>0</v>
      </c>
      <c r="L82" s="39">
        <f>資料儲存!E4382</f>
        <v>0</v>
      </c>
      <c r="M82" s="39">
        <f>資料儲存!F4382</f>
        <v>0</v>
      </c>
      <c r="N82" s="39">
        <f>資料儲存!G4382</f>
        <v>0</v>
      </c>
      <c r="O82" s="39">
        <f>資料儲存!H4382</f>
        <v>0</v>
      </c>
      <c r="P82" s="39">
        <f>資料儲存!I4382</f>
        <v>0</v>
      </c>
      <c r="Q82" s="39">
        <f>資料儲存!J4382</f>
        <v>0</v>
      </c>
      <c r="R82" s="58"/>
      <c r="S82" s="61">
        <v>1</v>
      </c>
      <c r="T82" s="39">
        <f>資料儲存!D4622</f>
        <v>0</v>
      </c>
      <c r="U82" s="39">
        <f>資料儲存!E4622</f>
        <v>0</v>
      </c>
      <c r="V82" s="39">
        <f>資料儲存!F4622</f>
        <v>0</v>
      </c>
      <c r="W82" s="39">
        <f>資料儲存!G4622</f>
        <v>0</v>
      </c>
      <c r="X82" s="39">
        <f>資料儲存!H4622</f>
        <v>0</v>
      </c>
      <c r="Y82" s="39">
        <f>資料儲存!I4622</f>
        <v>0</v>
      </c>
      <c r="Z82" s="39">
        <f>資料儲存!J4622</f>
        <v>0</v>
      </c>
      <c r="AA82" s="58"/>
      <c r="AB82" s="61">
        <v>1</v>
      </c>
      <c r="AC82" s="39">
        <f>資料儲存!D4862</f>
        <v>0</v>
      </c>
      <c r="AD82" s="39">
        <f>資料儲存!E4862</f>
        <v>0</v>
      </c>
      <c r="AE82" s="39">
        <f>資料儲存!F4862</f>
        <v>0</v>
      </c>
      <c r="AF82" s="39">
        <f>資料儲存!G4862</f>
        <v>0</v>
      </c>
      <c r="AG82" s="39">
        <f>資料儲存!H4862</f>
        <v>0</v>
      </c>
      <c r="AH82" s="39">
        <f>資料儲存!I4862</f>
        <v>0</v>
      </c>
      <c r="AI82" s="39">
        <f>資料儲存!J4862</f>
        <v>0</v>
      </c>
      <c r="AJ82" s="58"/>
    </row>
    <row r="83" spans="1:36" ht="16" thickBot="1">
      <c r="A83" s="61">
        <v>2</v>
      </c>
      <c r="B83" s="39">
        <f>資料儲存!D4143</f>
        <v>0</v>
      </c>
      <c r="C83" s="39">
        <f>資料儲存!E4143</f>
        <v>0</v>
      </c>
      <c r="D83" s="39">
        <f>資料儲存!F4143</f>
        <v>0</v>
      </c>
      <c r="E83" s="39">
        <f>資料儲存!G4143</f>
        <v>0</v>
      </c>
      <c r="F83" s="39">
        <f>資料儲存!H4143</f>
        <v>0</v>
      </c>
      <c r="G83" s="39">
        <f>資料儲存!I4143</f>
        <v>0</v>
      </c>
      <c r="H83" s="39">
        <f>資料儲存!J4143</f>
        <v>0</v>
      </c>
      <c r="I83" s="58"/>
      <c r="J83" s="61">
        <v>2</v>
      </c>
      <c r="K83" s="39">
        <f>資料儲存!D4383</f>
        <v>0</v>
      </c>
      <c r="L83" s="39">
        <f>資料儲存!E4383</f>
        <v>0</v>
      </c>
      <c r="M83" s="39">
        <f>資料儲存!F4383</f>
        <v>0</v>
      </c>
      <c r="N83" s="39">
        <f>資料儲存!G4383</f>
        <v>0</v>
      </c>
      <c r="O83" s="39">
        <f>資料儲存!H4383</f>
        <v>0</v>
      </c>
      <c r="P83" s="39">
        <f>資料儲存!I4383</f>
        <v>0</v>
      </c>
      <c r="Q83" s="39">
        <f>資料儲存!J4383</f>
        <v>0</v>
      </c>
      <c r="R83" s="58"/>
      <c r="S83" s="61">
        <v>2</v>
      </c>
      <c r="T83" s="39">
        <f>資料儲存!D4623</f>
        <v>0</v>
      </c>
      <c r="U83" s="39">
        <f>資料儲存!E4623</f>
        <v>0</v>
      </c>
      <c r="V83" s="39">
        <f>資料儲存!F4623</f>
        <v>0</v>
      </c>
      <c r="W83" s="39">
        <f>資料儲存!G4623</f>
        <v>0</v>
      </c>
      <c r="X83" s="39">
        <f>資料儲存!H4623</f>
        <v>0</v>
      </c>
      <c r="Y83" s="39">
        <f>資料儲存!I4623</f>
        <v>0</v>
      </c>
      <c r="Z83" s="39">
        <f>資料儲存!J4623</f>
        <v>0</v>
      </c>
      <c r="AA83" s="58"/>
      <c r="AB83" s="61">
        <v>2</v>
      </c>
      <c r="AC83" s="39">
        <f>資料儲存!D4863</f>
        <v>0</v>
      </c>
      <c r="AD83" s="39">
        <f>資料儲存!E4863</f>
        <v>0</v>
      </c>
      <c r="AE83" s="39">
        <f>資料儲存!F4863</f>
        <v>0</v>
      </c>
      <c r="AF83" s="39">
        <f>資料儲存!G4863</f>
        <v>0</v>
      </c>
      <c r="AG83" s="39">
        <f>資料儲存!H4863</f>
        <v>0</v>
      </c>
      <c r="AH83" s="39">
        <f>資料儲存!I4863</f>
        <v>0</v>
      </c>
      <c r="AI83" s="39">
        <f>資料儲存!J4863</f>
        <v>0</v>
      </c>
      <c r="AJ83" s="58"/>
    </row>
    <row r="84" spans="1:36" ht="16" thickBot="1">
      <c r="A84" s="61">
        <v>3</v>
      </c>
      <c r="B84" s="39">
        <f>資料儲存!D4144</f>
        <v>0</v>
      </c>
      <c r="C84" s="39">
        <f>資料儲存!E4144</f>
        <v>0</v>
      </c>
      <c r="D84" s="39">
        <f>資料儲存!F4144</f>
        <v>0</v>
      </c>
      <c r="E84" s="39">
        <f>資料儲存!G4144</f>
        <v>0</v>
      </c>
      <c r="F84" s="39">
        <f>資料儲存!H4144</f>
        <v>0</v>
      </c>
      <c r="G84" s="39">
        <f>資料儲存!I4144</f>
        <v>0</v>
      </c>
      <c r="H84" s="39">
        <f>資料儲存!J4144</f>
        <v>0</v>
      </c>
      <c r="I84" s="58"/>
      <c r="J84" s="61">
        <v>3</v>
      </c>
      <c r="K84" s="39">
        <f>資料儲存!D4384</f>
        <v>0</v>
      </c>
      <c r="L84" s="39">
        <f>資料儲存!E4384</f>
        <v>0</v>
      </c>
      <c r="M84" s="39">
        <f>資料儲存!F4384</f>
        <v>0</v>
      </c>
      <c r="N84" s="39">
        <f>資料儲存!G4384</f>
        <v>0</v>
      </c>
      <c r="O84" s="39">
        <f>資料儲存!H4384</f>
        <v>0</v>
      </c>
      <c r="P84" s="39">
        <f>資料儲存!I4384</f>
        <v>0</v>
      </c>
      <c r="Q84" s="39">
        <f>資料儲存!J4384</f>
        <v>0</v>
      </c>
      <c r="R84" s="58"/>
      <c r="S84" s="61">
        <v>3</v>
      </c>
      <c r="T84" s="39">
        <f>資料儲存!D4624</f>
        <v>0</v>
      </c>
      <c r="U84" s="39">
        <f>資料儲存!E4624</f>
        <v>0</v>
      </c>
      <c r="V84" s="39">
        <f>資料儲存!F4624</f>
        <v>0</v>
      </c>
      <c r="W84" s="39">
        <f>資料儲存!G4624</f>
        <v>0</v>
      </c>
      <c r="X84" s="39">
        <f>資料儲存!H4624</f>
        <v>0</v>
      </c>
      <c r="Y84" s="39">
        <f>資料儲存!I4624</f>
        <v>0</v>
      </c>
      <c r="Z84" s="39">
        <f>資料儲存!J4624</f>
        <v>0</v>
      </c>
      <c r="AA84" s="58"/>
      <c r="AB84" s="61">
        <v>3</v>
      </c>
      <c r="AC84" s="39">
        <f>資料儲存!D4864</f>
        <v>0</v>
      </c>
      <c r="AD84" s="39">
        <f>資料儲存!E4864</f>
        <v>0</v>
      </c>
      <c r="AE84" s="39">
        <f>資料儲存!F4864</f>
        <v>0</v>
      </c>
      <c r="AF84" s="39">
        <f>資料儲存!G4864</f>
        <v>0</v>
      </c>
      <c r="AG84" s="39">
        <f>資料儲存!H4864</f>
        <v>0</v>
      </c>
      <c r="AH84" s="39">
        <f>資料儲存!I4864</f>
        <v>0</v>
      </c>
      <c r="AI84" s="39">
        <f>資料儲存!J4864</f>
        <v>0</v>
      </c>
      <c r="AJ84" s="58"/>
    </row>
    <row r="85" spans="1:36" ht="16" thickBot="1">
      <c r="A85" s="61">
        <v>4</v>
      </c>
      <c r="B85" s="39">
        <f>資料儲存!D4145</f>
        <v>0</v>
      </c>
      <c r="C85" s="39">
        <f>資料儲存!E4145</f>
        <v>0</v>
      </c>
      <c r="D85" s="39">
        <f>資料儲存!F4145</f>
        <v>0</v>
      </c>
      <c r="E85" s="39">
        <f>資料儲存!G4145</f>
        <v>0</v>
      </c>
      <c r="F85" s="39">
        <f>資料儲存!H4145</f>
        <v>0</v>
      </c>
      <c r="G85" s="39">
        <f>資料儲存!I4145</f>
        <v>0</v>
      </c>
      <c r="H85" s="39">
        <f>資料儲存!J4145</f>
        <v>0</v>
      </c>
      <c r="I85" s="58"/>
      <c r="J85" s="61">
        <v>4</v>
      </c>
      <c r="K85" s="39">
        <f>資料儲存!D4385</f>
        <v>0</v>
      </c>
      <c r="L85" s="39">
        <f>資料儲存!E4385</f>
        <v>0</v>
      </c>
      <c r="M85" s="39">
        <f>資料儲存!F4385</f>
        <v>0</v>
      </c>
      <c r="N85" s="39">
        <f>資料儲存!G4385</f>
        <v>0</v>
      </c>
      <c r="O85" s="39">
        <f>資料儲存!H4385</f>
        <v>0</v>
      </c>
      <c r="P85" s="39">
        <f>資料儲存!I4385</f>
        <v>0</v>
      </c>
      <c r="Q85" s="39">
        <f>資料儲存!J4385</f>
        <v>0</v>
      </c>
      <c r="R85" s="58"/>
      <c r="S85" s="61">
        <v>4</v>
      </c>
      <c r="T85" s="39">
        <f>資料儲存!D4625</f>
        <v>0</v>
      </c>
      <c r="U85" s="39">
        <f>資料儲存!E4625</f>
        <v>0</v>
      </c>
      <c r="V85" s="39">
        <f>資料儲存!F4625</f>
        <v>0</v>
      </c>
      <c r="W85" s="39">
        <f>資料儲存!G4625</f>
        <v>0</v>
      </c>
      <c r="X85" s="39">
        <f>資料儲存!H4625</f>
        <v>0</v>
      </c>
      <c r="Y85" s="39">
        <f>資料儲存!I4625</f>
        <v>0</v>
      </c>
      <c r="Z85" s="39">
        <f>資料儲存!J4625</f>
        <v>0</v>
      </c>
      <c r="AA85" s="58"/>
      <c r="AB85" s="61">
        <v>4</v>
      </c>
      <c r="AC85" s="39">
        <f>資料儲存!D4865</f>
        <v>0</v>
      </c>
      <c r="AD85" s="39">
        <f>資料儲存!E4865</f>
        <v>0</v>
      </c>
      <c r="AE85" s="39">
        <f>資料儲存!F4865</f>
        <v>0</v>
      </c>
      <c r="AF85" s="39">
        <f>資料儲存!G4865</f>
        <v>0</v>
      </c>
      <c r="AG85" s="39">
        <f>資料儲存!H4865</f>
        <v>0</v>
      </c>
      <c r="AH85" s="39">
        <f>資料儲存!I4865</f>
        <v>0</v>
      </c>
      <c r="AI85" s="39">
        <f>資料儲存!J4865</f>
        <v>0</v>
      </c>
      <c r="AJ85" s="58"/>
    </row>
    <row r="86" spans="1:36" ht="16" thickBot="1">
      <c r="A86" s="61">
        <v>5</v>
      </c>
      <c r="B86" s="39">
        <f>資料儲存!D4146</f>
        <v>0</v>
      </c>
      <c r="C86" s="39">
        <f>資料儲存!E4146</f>
        <v>0</v>
      </c>
      <c r="D86" s="39">
        <f>資料儲存!F4146</f>
        <v>0</v>
      </c>
      <c r="E86" s="39">
        <f>資料儲存!G4146</f>
        <v>0</v>
      </c>
      <c r="F86" s="39">
        <f>資料儲存!H4146</f>
        <v>0</v>
      </c>
      <c r="G86" s="39">
        <f>資料儲存!I4146</f>
        <v>0</v>
      </c>
      <c r="H86" s="39">
        <f>資料儲存!J4146</f>
        <v>0</v>
      </c>
      <c r="I86" s="58"/>
      <c r="J86" s="61">
        <v>5</v>
      </c>
      <c r="K86" s="39">
        <f>資料儲存!D4386</f>
        <v>0</v>
      </c>
      <c r="L86" s="39">
        <f>資料儲存!E4386</f>
        <v>0</v>
      </c>
      <c r="M86" s="39">
        <f>資料儲存!F4386</f>
        <v>0</v>
      </c>
      <c r="N86" s="39">
        <f>資料儲存!G4386</f>
        <v>0</v>
      </c>
      <c r="O86" s="39">
        <f>資料儲存!H4386</f>
        <v>0</v>
      </c>
      <c r="P86" s="39">
        <f>資料儲存!I4386</f>
        <v>0</v>
      </c>
      <c r="Q86" s="39">
        <f>資料儲存!J4386</f>
        <v>0</v>
      </c>
      <c r="R86" s="58"/>
      <c r="S86" s="61">
        <v>5</v>
      </c>
      <c r="T86" s="39">
        <f>資料儲存!D4626</f>
        <v>0</v>
      </c>
      <c r="U86" s="39">
        <f>資料儲存!E4626</f>
        <v>0</v>
      </c>
      <c r="V86" s="39">
        <f>資料儲存!F4626</f>
        <v>0</v>
      </c>
      <c r="W86" s="39">
        <f>資料儲存!G4626</f>
        <v>0</v>
      </c>
      <c r="X86" s="39">
        <f>資料儲存!H4626</f>
        <v>0</v>
      </c>
      <c r="Y86" s="39">
        <f>資料儲存!I4626</f>
        <v>0</v>
      </c>
      <c r="Z86" s="39">
        <f>資料儲存!J4626</f>
        <v>0</v>
      </c>
      <c r="AA86" s="58"/>
      <c r="AB86" s="61">
        <v>5</v>
      </c>
      <c r="AC86" s="39">
        <f>資料儲存!D4866</f>
        <v>0</v>
      </c>
      <c r="AD86" s="39">
        <f>資料儲存!E4866</f>
        <v>0</v>
      </c>
      <c r="AE86" s="39">
        <f>資料儲存!F4866</f>
        <v>0</v>
      </c>
      <c r="AF86" s="39">
        <f>資料儲存!G4866</f>
        <v>0</v>
      </c>
      <c r="AG86" s="39">
        <f>資料儲存!H4866</f>
        <v>0</v>
      </c>
      <c r="AH86" s="39">
        <f>資料儲存!I4866</f>
        <v>0</v>
      </c>
      <c r="AI86" s="39">
        <f>資料儲存!J4866</f>
        <v>0</v>
      </c>
      <c r="AJ86" s="58"/>
    </row>
    <row r="87" spans="1:36" ht="16" thickBot="1">
      <c r="A87" s="61">
        <v>6</v>
      </c>
      <c r="B87" s="39">
        <f>資料儲存!D4147</f>
        <v>0</v>
      </c>
      <c r="C87" s="39">
        <f>資料儲存!E4147</f>
        <v>0</v>
      </c>
      <c r="D87" s="39">
        <f>資料儲存!F4147</f>
        <v>0</v>
      </c>
      <c r="E87" s="39">
        <f>資料儲存!G4147</f>
        <v>0</v>
      </c>
      <c r="F87" s="39">
        <f>資料儲存!H4147</f>
        <v>0</v>
      </c>
      <c r="G87" s="39">
        <f>資料儲存!I4147</f>
        <v>0</v>
      </c>
      <c r="H87" s="39">
        <f>資料儲存!J4147</f>
        <v>0</v>
      </c>
      <c r="I87" s="58"/>
      <c r="J87" s="61">
        <v>6</v>
      </c>
      <c r="K87" s="39">
        <f>資料儲存!D4387</f>
        <v>0</v>
      </c>
      <c r="L87" s="39">
        <f>資料儲存!E4387</f>
        <v>0</v>
      </c>
      <c r="M87" s="39">
        <f>資料儲存!F4387</f>
        <v>0</v>
      </c>
      <c r="N87" s="39">
        <f>資料儲存!G4387</f>
        <v>0</v>
      </c>
      <c r="O87" s="39">
        <f>資料儲存!H4387</f>
        <v>0</v>
      </c>
      <c r="P87" s="39">
        <f>資料儲存!I4387</f>
        <v>0</v>
      </c>
      <c r="Q87" s="39">
        <f>資料儲存!J4387</f>
        <v>0</v>
      </c>
      <c r="R87" s="58"/>
      <c r="S87" s="61">
        <v>6</v>
      </c>
      <c r="T87" s="39">
        <f>資料儲存!D4627</f>
        <v>0</v>
      </c>
      <c r="U87" s="39">
        <f>資料儲存!E4627</f>
        <v>0</v>
      </c>
      <c r="V87" s="39">
        <f>資料儲存!F4627</f>
        <v>0</v>
      </c>
      <c r="W87" s="39">
        <f>資料儲存!G4627</f>
        <v>0</v>
      </c>
      <c r="X87" s="39">
        <f>資料儲存!H4627</f>
        <v>0</v>
      </c>
      <c r="Y87" s="39">
        <f>資料儲存!I4627</f>
        <v>0</v>
      </c>
      <c r="Z87" s="39">
        <f>資料儲存!J4627</f>
        <v>0</v>
      </c>
      <c r="AA87" s="58"/>
      <c r="AB87" s="61">
        <v>6</v>
      </c>
      <c r="AC87" s="39">
        <f>資料儲存!D4867</f>
        <v>0</v>
      </c>
      <c r="AD87" s="39">
        <f>資料儲存!E4867</f>
        <v>0</v>
      </c>
      <c r="AE87" s="39">
        <f>資料儲存!F4867</f>
        <v>0</v>
      </c>
      <c r="AF87" s="39">
        <f>資料儲存!G4867</f>
        <v>0</v>
      </c>
      <c r="AG87" s="39">
        <f>資料儲存!H4867</f>
        <v>0</v>
      </c>
      <c r="AH87" s="39">
        <f>資料儲存!I4867</f>
        <v>0</v>
      </c>
      <c r="AI87" s="39">
        <f>資料儲存!J4867</f>
        <v>0</v>
      </c>
      <c r="AJ87" s="58"/>
    </row>
    <row r="88" spans="1:36" ht="16" thickBot="1">
      <c r="A88" s="61">
        <v>7</v>
      </c>
      <c r="B88" s="39">
        <f>資料儲存!D4148</f>
        <v>0</v>
      </c>
      <c r="C88" s="39">
        <f>資料儲存!E4148</f>
        <v>0</v>
      </c>
      <c r="D88" s="39">
        <f>資料儲存!F4148</f>
        <v>0</v>
      </c>
      <c r="E88" s="39">
        <f>資料儲存!G4148</f>
        <v>0</v>
      </c>
      <c r="F88" s="39">
        <f>資料儲存!H4148</f>
        <v>0</v>
      </c>
      <c r="G88" s="39">
        <f>資料儲存!I4148</f>
        <v>0</v>
      </c>
      <c r="H88" s="39">
        <f>資料儲存!J4148</f>
        <v>0</v>
      </c>
      <c r="I88" s="58"/>
      <c r="J88" s="61">
        <v>7</v>
      </c>
      <c r="K88" s="39">
        <f>資料儲存!D4388</f>
        <v>0</v>
      </c>
      <c r="L88" s="39">
        <f>資料儲存!E4388</f>
        <v>0</v>
      </c>
      <c r="M88" s="39">
        <f>資料儲存!F4388</f>
        <v>0</v>
      </c>
      <c r="N88" s="39">
        <f>資料儲存!G4388</f>
        <v>0</v>
      </c>
      <c r="O88" s="39">
        <f>資料儲存!H4388</f>
        <v>0</v>
      </c>
      <c r="P88" s="39">
        <f>資料儲存!I4388</f>
        <v>0</v>
      </c>
      <c r="Q88" s="39">
        <f>資料儲存!J4388</f>
        <v>0</v>
      </c>
      <c r="R88" s="58"/>
      <c r="S88" s="61">
        <v>7</v>
      </c>
      <c r="T88" s="39">
        <f>資料儲存!D4628</f>
        <v>0</v>
      </c>
      <c r="U88" s="39">
        <f>資料儲存!E4628</f>
        <v>0</v>
      </c>
      <c r="V88" s="39">
        <f>資料儲存!F4628</f>
        <v>0</v>
      </c>
      <c r="W88" s="39">
        <f>資料儲存!G4628</f>
        <v>0</v>
      </c>
      <c r="X88" s="39">
        <f>資料儲存!H4628</f>
        <v>0</v>
      </c>
      <c r="Y88" s="39">
        <f>資料儲存!I4628</f>
        <v>0</v>
      </c>
      <c r="Z88" s="39">
        <f>資料儲存!J4628</f>
        <v>0</v>
      </c>
      <c r="AA88" s="58"/>
      <c r="AB88" s="61">
        <v>7</v>
      </c>
      <c r="AC88" s="39">
        <f>資料儲存!D4868</f>
        <v>0</v>
      </c>
      <c r="AD88" s="39">
        <f>資料儲存!E4868</f>
        <v>0</v>
      </c>
      <c r="AE88" s="39">
        <f>資料儲存!F4868</f>
        <v>0</v>
      </c>
      <c r="AF88" s="39">
        <f>資料儲存!G4868</f>
        <v>0</v>
      </c>
      <c r="AG88" s="39">
        <f>資料儲存!H4868</f>
        <v>0</v>
      </c>
      <c r="AH88" s="39">
        <f>資料儲存!I4868</f>
        <v>0</v>
      </c>
      <c r="AI88" s="39">
        <f>資料儲存!J4868</f>
        <v>0</v>
      </c>
      <c r="AJ88" s="58"/>
    </row>
    <row r="89" spans="1:36" ht="16" thickBot="1">
      <c r="A89" s="61">
        <v>8</v>
      </c>
      <c r="B89" s="39">
        <f>資料儲存!D4149</f>
        <v>0</v>
      </c>
      <c r="C89" s="39">
        <f>資料儲存!E4149</f>
        <v>0</v>
      </c>
      <c r="D89" s="39">
        <f>資料儲存!F4149</f>
        <v>0</v>
      </c>
      <c r="E89" s="39">
        <f>資料儲存!G4149</f>
        <v>0</v>
      </c>
      <c r="F89" s="39">
        <f>資料儲存!H4149</f>
        <v>0</v>
      </c>
      <c r="G89" s="39">
        <f>資料儲存!I4149</f>
        <v>0</v>
      </c>
      <c r="H89" s="39">
        <f>資料儲存!J4149</f>
        <v>0</v>
      </c>
      <c r="I89" s="58"/>
      <c r="J89" s="61">
        <v>8</v>
      </c>
      <c r="K89" s="39">
        <f>資料儲存!D4389</f>
        <v>0</v>
      </c>
      <c r="L89" s="39">
        <f>資料儲存!E4389</f>
        <v>0</v>
      </c>
      <c r="M89" s="39">
        <f>資料儲存!F4389</f>
        <v>0</v>
      </c>
      <c r="N89" s="39">
        <f>資料儲存!G4389</f>
        <v>0</v>
      </c>
      <c r="O89" s="39">
        <f>資料儲存!H4389</f>
        <v>0</v>
      </c>
      <c r="P89" s="39">
        <f>資料儲存!I4389</f>
        <v>0</v>
      </c>
      <c r="Q89" s="39">
        <f>資料儲存!J4389</f>
        <v>0</v>
      </c>
      <c r="R89" s="58"/>
      <c r="S89" s="61">
        <v>8</v>
      </c>
      <c r="T89" s="39">
        <f>資料儲存!D4629</f>
        <v>0</v>
      </c>
      <c r="U89" s="39">
        <f>資料儲存!E4629</f>
        <v>0</v>
      </c>
      <c r="V89" s="39">
        <f>資料儲存!F4629</f>
        <v>0</v>
      </c>
      <c r="W89" s="39">
        <f>資料儲存!G4629</f>
        <v>0</v>
      </c>
      <c r="X89" s="39">
        <f>資料儲存!H4629</f>
        <v>0</v>
      </c>
      <c r="Y89" s="39">
        <f>資料儲存!I4629</f>
        <v>0</v>
      </c>
      <c r="Z89" s="39">
        <f>資料儲存!J4629</f>
        <v>0</v>
      </c>
      <c r="AA89" s="58"/>
      <c r="AB89" s="61">
        <v>8</v>
      </c>
      <c r="AC89" s="39">
        <f>資料儲存!D4869</f>
        <v>0</v>
      </c>
      <c r="AD89" s="39">
        <f>資料儲存!E4869</f>
        <v>0</v>
      </c>
      <c r="AE89" s="39">
        <f>資料儲存!F4869</f>
        <v>0</v>
      </c>
      <c r="AF89" s="39">
        <f>資料儲存!G4869</f>
        <v>0</v>
      </c>
      <c r="AG89" s="39">
        <f>資料儲存!H4869</f>
        <v>0</v>
      </c>
      <c r="AH89" s="39">
        <f>資料儲存!I4869</f>
        <v>0</v>
      </c>
      <c r="AI89" s="39">
        <f>資料儲存!J4869</f>
        <v>0</v>
      </c>
      <c r="AJ89" s="58"/>
    </row>
    <row r="90" spans="1:36" ht="16" thickBot="1">
      <c r="A90" s="61">
        <v>9</v>
      </c>
      <c r="B90" s="39">
        <f>資料儲存!D4150</f>
        <v>0</v>
      </c>
      <c r="C90" s="39">
        <f>資料儲存!E4150</f>
        <v>0</v>
      </c>
      <c r="D90" s="39">
        <f>資料儲存!F4150</f>
        <v>0</v>
      </c>
      <c r="E90" s="39">
        <f>資料儲存!G4150</f>
        <v>0</v>
      </c>
      <c r="F90" s="39">
        <f>資料儲存!H4150</f>
        <v>0</v>
      </c>
      <c r="G90" s="39">
        <f>資料儲存!I4150</f>
        <v>0</v>
      </c>
      <c r="H90" s="39">
        <f>資料儲存!J4150</f>
        <v>0</v>
      </c>
      <c r="I90" s="58"/>
      <c r="J90" s="61">
        <v>9</v>
      </c>
      <c r="K90" s="39">
        <f>資料儲存!D4390</f>
        <v>0</v>
      </c>
      <c r="L90" s="39">
        <f>資料儲存!E4390</f>
        <v>0</v>
      </c>
      <c r="M90" s="39">
        <f>資料儲存!F4390</f>
        <v>0</v>
      </c>
      <c r="N90" s="39">
        <f>資料儲存!G4390</f>
        <v>0</v>
      </c>
      <c r="O90" s="39">
        <f>資料儲存!H4390</f>
        <v>0</v>
      </c>
      <c r="P90" s="39">
        <f>資料儲存!I4390</f>
        <v>0</v>
      </c>
      <c r="Q90" s="39">
        <f>資料儲存!J4390</f>
        <v>0</v>
      </c>
      <c r="R90" s="58"/>
      <c r="S90" s="61">
        <v>9</v>
      </c>
      <c r="T90" s="39">
        <f>資料儲存!D4630</f>
        <v>0</v>
      </c>
      <c r="U90" s="39">
        <f>資料儲存!E4630</f>
        <v>0</v>
      </c>
      <c r="V90" s="39">
        <f>資料儲存!F4630</f>
        <v>0</v>
      </c>
      <c r="W90" s="39">
        <f>資料儲存!G4630</f>
        <v>0</v>
      </c>
      <c r="X90" s="39">
        <f>資料儲存!H4630</f>
        <v>0</v>
      </c>
      <c r="Y90" s="39">
        <f>資料儲存!I4630</f>
        <v>0</v>
      </c>
      <c r="Z90" s="39">
        <f>資料儲存!J4630</f>
        <v>0</v>
      </c>
      <c r="AA90" s="58"/>
      <c r="AB90" s="61">
        <v>9</v>
      </c>
      <c r="AC90" s="39">
        <f>資料儲存!D4870</f>
        <v>0</v>
      </c>
      <c r="AD90" s="39">
        <f>資料儲存!E4870</f>
        <v>0</v>
      </c>
      <c r="AE90" s="39">
        <f>資料儲存!F4870</f>
        <v>0</v>
      </c>
      <c r="AF90" s="39">
        <f>資料儲存!G4870</f>
        <v>0</v>
      </c>
      <c r="AG90" s="39">
        <f>資料儲存!H4870</f>
        <v>0</v>
      </c>
      <c r="AH90" s="39">
        <f>資料儲存!I4870</f>
        <v>0</v>
      </c>
      <c r="AI90" s="39">
        <f>資料儲存!J4870</f>
        <v>0</v>
      </c>
      <c r="AJ90" s="58"/>
    </row>
    <row r="91" spans="1:36" ht="16" thickBot="1">
      <c r="A91" s="61">
        <v>10</v>
      </c>
      <c r="B91" s="39">
        <f>資料儲存!D4151</f>
        <v>0</v>
      </c>
      <c r="C91" s="39">
        <f>資料儲存!E4151</f>
        <v>0</v>
      </c>
      <c r="D91" s="39">
        <f>資料儲存!F4151</f>
        <v>0</v>
      </c>
      <c r="E91" s="39">
        <f>資料儲存!G4151</f>
        <v>0</v>
      </c>
      <c r="F91" s="39">
        <f>資料儲存!H4151</f>
        <v>0</v>
      </c>
      <c r="G91" s="39">
        <f>資料儲存!I4151</f>
        <v>0</v>
      </c>
      <c r="H91" s="39">
        <f>資料儲存!J4151</f>
        <v>0</v>
      </c>
      <c r="I91" s="58"/>
      <c r="J91" s="61">
        <v>10</v>
      </c>
      <c r="K91" s="39">
        <f>資料儲存!D4391</f>
        <v>0</v>
      </c>
      <c r="L91" s="39">
        <f>資料儲存!E4391</f>
        <v>0</v>
      </c>
      <c r="M91" s="39">
        <f>資料儲存!F4391</f>
        <v>0</v>
      </c>
      <c r="N91" s="39">
        <f>資料儲存!G4391</f>
        <v>0</v>
      </c>
      <c r="O91" s="39">
        <f>資料儲存!H4391</f>
        <v>0</v>
      </c>
      <c r="P91" s="39">
        <f>資料儲存!I4391</f>
        <v>0</v>
      </c>
      <c r="Q91" s="39">
        <f>資料儲存!J4391</f>
        <v>0</v>
      </c>
      <c r="R91" s="58"/>
      <c r="S91" s="61">
        <v>10</v>
      </c>
      <c r="T91" s="39">
        <f>資料儲存!D4631</f>
        <v>0</v>
      </c>
      <c r="U91" s="39">
        <f>資料儲存!E4631</f>
        <v>0</v>
      </c>
      <c r="V91" s="39">
        <f>資料儲存!F4631</f>
        <v>0</v>
      </c>
      <c r="W91" s="39">
        <f>資料儲存!G4631</f>
        <v>0</v>
      </c>
      <c r="X91" s="39">
        <f>資料儲存!H4631</f>
        <v>0</v>
      </c>
      <c r="Y91" s="39">
        <f>資料儲存!I4631</f>
        <v>0</v>
      </c>
      <c r="Z91" s="39">
        <f>資料儲存!J4631</f>
        <v>0</v>
      </c>
      <c r="AA91" s="58"/>
      <c r="AB91" s="61">
        <v>10</v>
      </c>
      <c r="AC91" s="39">
        <f>資料儲存!D4871</f>
        <v>0</v>
      </c>
      <c r="AD91" s="39">
        <f>資料儲存!E4871</f>
        <v>0</v>
      </c>
      <c r="AE91" s="39">
        <f>資料儲存!F4871</f>
        <v>0</v>
      </c>
      <c r="AF91" s="39">
        <f>資料儲存!G4871</f>
        <v>0</v>
      </c>
      <c r="AG91" s="39">
        <f>資料儲存!H4871</f>
        <v>0</v>
      </c>
      <c r="AH91" s="39">
        <f>資料儲存!I4871</f>
        <v>0</v>
      </c>
      <c r="AI91" s="39">
        <f>資料儲存!J4871</f>
        <v>0</v>
      </c>
      <c r="AJ91" s="58"/>
    </row>
    <row r="92" spans="1:36" ht="16" thickBot="1">
      <c r="A92" s="61">
        <v>11</v>
      </c>
      <c r="B92" s="39">
        <f>資料儲存!D4152</f>
        <v>0</v>
      </c>
      <c r="C92" s="39">
        <f>資料儲存!E4152</f>
        <v>0</v>
      </c>
      <c r="D92" s="39">
        <f>資料儲存!F4152</f>
        <v>0</v>
      </c>
      <c r="E92" s="39">
        <f>資料儲存!G4152</f>
        <v>0</v>
      </c>
      <c r="F92" s="39">
        <f>資料儲存!H4152</f>
        <v>0</v>
      </c>
      <c r="G92" s="39">
        <f>資料儲存!I4152</f>
        <v>0</v>
      </c>
      <c r="H92" s="39">
        <f>資料儲存!J4152</f>
        <v>0</v>
      </c>
      <c r="I92" s="58"/>
      <c r="J92" s="61">
        <v>11</v>
      </c>
      <c r="K92" s="39">
        <f>資料儲存!D4392</f>
        <v>0</v>
      </c>
      <c r="L92" s="39">
        <f>資料儲存!E4392</f>
        <v>0</v>
      </c>
      <c r="M92" s="39">
        <f>資料儲存!F4392</f>
        <v>0</v>
      </c>
      <c r="N92" s="39">
        <f>資料儲存!G4392</f>
        <v>0</v>
      </c>
      <c r="O92" s="39">
        <f>資料儲存!H4392</f>
        <v>0</v>
      </c>
      <c r="P92" s="39">
        <f>資料儲存!I4392</f>
        <v>0</v>
      </c>
      <c r="Q92" s="39">
        <f>資料儲存!J4392</f>
        <v>0</v>
      </c>
      <c r="R92" s="58"/>
      <c r="S92" s="61">
        <v>11</v>
      </c>
      <c r="T92" s="39">
        <f>資料儲存!D4632</f>
        <v>0</v>
      </c>
      <c r="U92" s="39">
        <f>資料儲存!E4632</f>
        <v>0</v>
      </c>
      <c r="V92" s="39">
        <f>資料儲存!F4632</f>
        <v>0</v>
      </c>
      <c r="W92" s="39">
        <f>資料儲存!G4632</f>
        <v>0</v>
      </c>
      <c r="X92" s="39">
        <f>資料儲存!H4632</f>
        <v>0</v>
      </c>
      <c r="Y92" s="39">
        <f>資料儲存!I4632</f>
        <v>0</v>
      </c>
      <c r="Z92" s="39">
        <f>資料儲存!J4632</f>
        <v>0</v>
      </c>
      <c r="AA92" s="58"/>
      <c r="AB92" s="61">
        <v>11</v>
      </c>
      <c r="AC92" s="39">
        <f>資料儲存!D4872</f>
        <v>0</v>
      </c>
      <c r="AD92" s="39">
        <f>資料儲存!E4872</f>
        <v>0</v>
      </c>
      <c r="AE92" s="39">
        <f>資料儲存!F4872</f>
        <v>0</v>
      </c>
      <c r="AF92" s="39">
        <f>資料儲存!G4872</f>
        <v>0</v>
      </c>
      <c r="AG92" s="39">
        <f>資料儲存!H4872</f>
        <v>0</v>
      </c>
      <c r="AH92" s="39">
        <f>資料儲存!I4872</f>
        <v>0</v>
      </c>
      <c r="AI92" s="39">
        <f>資料儲存!J4872</f>
        <v>0</v>
      </c>
      <c r="AJ92" s="58"/>
    </row>
    <row r="93" spans="1:36" ht="16" thickBot="1">
      <c r="A93" s="61">
        <v>12</v>
      </c>
      <c r="B93" s="39">
        <f>資料儲存!D4153</f>
        <v>0</v>
      </c>
      <c r="C93" s="39">
        <f>資料儲存!E4153</f>
        <v>0</v>
      </c>
      <c r="D93" s="39">
        <f>資料儲存!F4153</f>
        <v>0</v>
      </c>
      <c r="E93" s="39">
        <f>資料儲存!G4153</f>
        <v>0</v>
      </c>
      <c r="F93" s="39">
        <f>資料儲存!H4153</f>
        <v>0</v>
      </c>
      <c r="G93" s="39">
        <f>資料儲存!I4153</f>
        <v>0</v>
      </c>
      <c r="H93" s="39">
        <f>資料儲存!J4153</f>
        <v>0</v>
      </c>
      <c r="I93" s="58"/>
      <c r="J93" s="61">
        <v>12</v>
      </c>
      <c r="K93" s="39">
        <f>資料儲存!D4393</f>
        <v>0</v>
      </c>
      <c r="L93" s="39">
        <f>資料儲存!E4393</f>
        <v>0</v>
      </c>
      <c r="M93" s="39">
        <f>資料儲存!F4393</f>
        <v>0</v>
      </c>
      <c r="N93" s="39">
        <f>資料儲存!G4393</f>
        <v>0</v>
      </c>
      <c r="O93" s="39">
        <f>資料儲存!H4393</f>
        <v>0</v>
      </c>
      <c r="P93" s="39">
        <f>資料儲存!I4393</f>
        <v>0</v>
      </c>
      <c r="Q93" s="39">
        <f>資料儲存!J4393</f>
        <v>0</v>
      </c>
      <c r="R93" s="58"/>
      <c r="S93" s="61">
        <v>12</v>
      </c>
      <c r="T93" s="39">
        <f>資料儲存!D4633</f>
        <v>0</v>
      </c>
      <c r="U93" s="39">
        <f>資料儲存!E4633</f>
        <v>0</v>
      </c>
      <c r="V93" s="39">
        <f>資料儲存!F4633</f>
        <v>0</v>
      </c>
      <c r="W93" s="39">
        <f>資料儲存!G4633</f>
        <v>0</v>
      </c>
      <c r="X93" s="39">
        <f>資料儲存!H4633</f>
        <v>0</v>
      </c>
      <c r="Y93" s="39">
        <f>資料儲存!I4633</f>
        <v>0</v>
      </c>
      <c r="Z93" s="39">
        <f>資料儲存!J4633</f>
        <v>0</v>
      </c>
      <c r="AA93" s="58"/>
      <c r="AB93" s="61">
        <v>12</v>
      </c>
      <c r="AC93" s="39">
        <f>資料儲存!D4873</f>
        <v>0</v>
      </c>
      <c r="AD93" s="39">
        <f>資料儲存!E4873</f>
        <v>0</v>
      </c>
      <c r="AE93" s="39">
        <f>資料儲存!F4873</f>
        <v>0</v>
      </c>
      <c r="AF93" s="39">
        <f>資料儲存!G4873</f>
        <v>0</v>
      </c>
      <c r="AG93" s="39">
        <f>資料儲存!H4873</f>
        <v>0</v>
      </c>
      <c r="AH93" s="39">
        <f>資料儲存!I4873</f>
        <v>0</v>
      </c>
      <c r="AI93" s="39">
        <f>資料儲存!J4873</f>
        <v>0</v>
      </c>
      <c r="AJ93" s="58"/>
    </row>
    <row r="94" spans="1:36" ht="16" thickBot="1">
      <c r="A94" s="61">
        <v>13</v>
      </c>
      <c r="B94" s="39">
        <f>資料儲存!D4154</f>
        <v>0</v>
      </c>
      <c r="C94" s="39">
        <f>資料儲存!E4154</f>
        <v>0</v>
      </c>
      <c r="D94" s="39">
        <f>資料儲存!F4154</f>
        <v>0</v>
      </c>
      <c r="E94" s="39">
        <f>資料儲存!G4154</f>
        <v>0</v>
      </c>
      <c r="F94" s="39">
        <f>資料儲存!H4154</f>
        <v>0</v>
      </c>
      <c r="G94" s="39">
        <f>資料儲存!I4154</f>
        <v>0</v>
      </c>
      <c r="H94" s="39">
        <f>資料儲存!J4154</f>
        <v>0</v>
      </c>
      <c r="I94" s="58"/>
      <c r="J94" s="61">
        <v>13</v>
      </c>
      <c r="K94" s="39">
        <f>資料儲存!D4394</f>
        <v>0</v>
      </c>
      <c r="L94" s="39">
        <f>資料儲存!E4394</f>
        <v>0</v>
      </c>
      <c r="M94" s="39">
        <f>資料儲存!F4394</f>
        <v>0</v>
      </c>
      <c r="N94" s="39">
        <f>資料儲存!G4394</f>
        <v>0</v>
      </c>
      <c r="O94" s="39">
        <f>資料儲存!H4394</f>
        <v>0</v>
      </c>
      <c r="P94" s="39">
        <f>資料儲存!I4394</f>
        <v>0</v>
      </c>
      <c r="Q94" s="39">
        <f>資料儲存!J4394</f>
        <v>0</v>
      </c>
      <c r="R94" s="58"/>
      <c r="S94" s="61">
        <v>13</v>
      </c>
      <c r="T94" s="39">
        <f>資料儲存!D4634</f>
        <v>0</v>
      </c>
      <c r="U94" s="39">
        <f>資料儲存!E4634</f>
        <v>0</v>
      </c>
      <c r="V94" s="39">
        <f>資料儲存!F4634</f>
        <v>0</v>
      </c>
      <c r="W94" s="39">
        <f>資料儲存!G4634</f>
        <v>0</v>
      </c>
      <c r="X94" s="39">
        <f>資料儲存!H4634</f>
        <v>0</v>
      </c>
      <c r="Y94" s="39">
        <f>資料儲存!I4634</f>
        <v>0</v>
      </c>
      <c r="Z94" s="39">
        <f>資料儲存!J4634</f>
        <v>0</v>
      </c>
      <c r="AA94" s="58"/>
      <c r="AB94" s="61">
        <v>13</v>
      </c>
      <c r="AC94" s="39">
        <f>資料儲存!D4874</f>
        <v>0</v>
      </c>
      <c r="AD94" s="39">
        <f>資料儲存!E4874</f>
        <v>0</v>
      </c>
      <c r="AE94" s="39">
        <f>資料儲存!F4874</f>
        <v>0</v>
      </c>
      <c r="AF94" s="39">
        <f>資料儲存!G4874</f>
        <v>0</v>
      </c>
      <c r="AG94" s="39">
        <f>資料儲存!H4874</f>
        <v>0</v>
      </c>
      <c r="AH94" s="39">
        <f>資料儲存!I4874</f>
        <v>0</v>
      </c>
      <c r="AI94" s="39">
        <f>資料儲存!J4874</f>
        <v>0</v>
      </c>
      <c r="AJ94" s="58"/>
    </row>
    <row r="95" spans="1:36" ht="16" thickBot="1">
      <c r="A95" s="61">
        <v>14</v>
      </c>
      <c r="B95" s="39">
        <f>資料儲存!D4155</f>
        <v>0</v>
      </c>
      <c r="C95" s="39">
        <f>資料儲存!E4155</f>
        <v>0</v>
      </c>
      <c r="D95" s="39">
        <f>資料儲存!F4155</f>
        <v>0</v>
      </c>
      <c r="E95" s="39">
        <f>資料儲存!G4155</f>
        <v>0</v>
      </c>
      <c r="F95" s="39">
        <f>資料儲存!H4155</f>
        <v>0</v>
      </c>
      <c r="G95" s="39">
        <f>資料儲存!I4155</f>
        <v>0</v>
      </c>
      <c r="H95" s="39">
        <f>資料儲存!J4155</f>
        <v>0</v>
      </c>
      <c r="I95" s="58"/>
      <c r="J95" s="61">
        <v>14</v>
      </c>
      <c r="K95" s="39">
        <f>資料儲存!D4395</f>
        <v>0</v>
      </c>
      <c r="L95" s="39">
        <f>資料儲存!E4395</f>
        <v>0</v>
      </c>
      <c r="M95" s="39">
        <f>資料儲存!F4395</f>
        <v>0</v>
      </c>
      <c r="N95" s="39">
        <f>資料儲存!G4395</f>
        <v>0</v>
      </c>
      <c r="O95" s="39">
        <f>資料儲存!H4395</f>
        <v>0</v>
      </c>
      <c r="P95" s="39">
        <f>資料儲存!I4395</f>
        <v>0</v>
      </c>
      <c r="Q95" s="39">
        <f>資料儲存!J4395</f>
        <v>0</v>
      </c>
      <c r="R95" s="58"/>
      <c r="S95" s="61">
        <v>14</v>
      </c>
      <c r="T95" s="39">
        <f>資料儲存!D4635</f>
        <v>0</v>
      </c>
      <c r="U95" s="39">
        <f>資料儲存!E4635</f>
        <v>0</v>
      </c>
      <c r="V95" s="39">
        <f>資料儲存!F4635</f>
        <v>0</v>
      </c>
      <c r="W95" s="39">
        <f>資料儲存!G4635</f>
        <v>0</v>
      </c>
      <c r="X95" s="39">
        <f>資料儲存!H4635</f>
        <v>0</v>
      </c>
      <c r="Y95" s="39">
        <f>資料儲存!I4635</f>
        <v>0</v>
      </c>
      <c r="Z95" s="39">
        <f>資料儲存!J4635</f>
        <v>0</v>
      </c>
      <c r="AA95" s="58"/>
      <c r="AB95" s="61">
        <v>14</v>
      </c>
      <c r="AC95" s="39">
        <f>資料儲存!D4875</f>
        <v>0</v>
      </c>
      <c r="AD95" s="39">
        <f>資料儲存!E4875</f>
        <v>0</v>
      </c>
      <c r="AE95" s="39">
        <f>資料儲存!F4875</f>
        <v>0</v>
      </c>
      <c r="AF95" s="39">
        <f>資料儲存!G4875</f>
        <v>0</v>
      </c>
      <c r="AG95" s="39">
        <f>資料儲存!H4875</f>
        <v>0</v>
      </c>
      <c r="AH95" s="39">
        <f>資料儲存!I4875</f>
        <v>0</v>
      </c>
      <c r="AI95" s="39">
        <f>資料儲存!J4875</f>
        <v>0</v>
      </c>
      <c r="AJ95" s="58"/>
    </row>
    <row r="96" spans="1:36" ht="16" thickBot="1">
      <c r="A96" s="61">
        <v>15</v>
      </c>
      <c r="B96" s="39">
        <f>資料儲存!D4156</f>
        <v>0</v>
      </c>
      <c r="C96" s="39">
        <f>資料儲存!E4156</f>
        <v>0</v>
      </c>
      <c r="D96" s="39">
        <f>資料儲存!F4156</f>
        <v>0</v>
      </c>
      <c r="E96" s="39">
        <f>資料儲存!G4156</f>
        <v>0</v>
      </c>
      <c r="F96" s="39">
        <f>資料儲存!H4156</f>
        <v>0</v>
      </c>
      <c r="G96" s="39">
        <f>資料儲存!I4156</f>
        <v>0</v>
      </c>
      <c r="H96" s="39">
        <f>資料儲存!J4156</f>
        <v>0</v>
      </c>
      <c r="I96" s="58"/>
      <c r="J96" s="61">
        <v>15</v>
      </c>
      <c r="K96" s="39">
        <f>資料儲存!D4396</f>
        <v>0</v>
      </c>
      <c r="L96" s="39">
        <f>資料儲存!E4396</f>
        <v>0</v>
      </c>
      <c r="M96" s="39">
        <f>資料儲存!F4396</f>
        <v>0</v>
      </c>
      <c r="N96" s="39">
        <f>資料儲存!G4396</f>
        <v>0</v>
      </c>
      <c r="O96" s="39">
        <f>資料儲存!H4396</f>
        <v>0</v>
      </c>
      <c r="P96" s="39">
        <f>資料儲存!I4396</f>
        <v>0</v>
      </c>
      <c r="Q96" s="39">
        <f>資料儲存!J4396</f>
        <v>0</v>
      </c>
      <c r="R96" s="58"/>
      <c r="S96" s="61">
        <v>15</v>
      </c>
      <c r="T96" s="39">
        <f>資料儲存!D4636</f>
        <v>0</v>
      </c>
      <c r="U96" s="39">
        <f>資料儲存!E4636</f>
        <v>0</v>
      </c>
      <c r="V96" s="39">
        <f>資料儲存!F4636</f>
        <v>0</v>
      </c>
      <c r="W96" s="39">
        <f>資料儲存!G4636</f>
        <v>0</v>
      </c>
      <c r="X96" s="39">
        <f>資料儲存!H4636</f>
        <v>0</v>
      </c>
      <c r="Y96" s="39">
        <f>資料儲存!I4636</f>
        <v>0</v>
      </c>
      <c r="Z96" s="39">
        <f>資料儲存!J4636</f>
        <v>0</v>
      </c>
      <c r="AA96" s="58"/>
      <c r="AB96" s="61">
        <v>15</v>
      </c>
      <c r="AC96" s="39">
        <f>資料儲存!D4876</f>
        <v>0</v>
      </c>
      <c r="AD96" s="39">
        <f>資料儲存!E4876</f>
        <v>0</v>
      </c>
      <c r="AE96" s="39">
        <f>資料儲存!F4876</f>
        <v>0</v>
      </c>
      <c r="AF96" s="39">
        <f>資料儲存!G4876</f>
        <v>0</v>
      </c>
      <c r="AG96" s="39">
        <f>資料儲存!H4876</f>
        <v>0</v>
      </c>
      <c r="AH96" s="39">
        <f>資料儲存!I4876</f>
        <v>0</v>
      </c>
      <c r="AI96" s="39">
        <f>資料儲存!J4876</f>
        <v>0</v>
      </c>
      <c r="AJ96" s="58"/>
    </row>
    <row r="97" spans="1:36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35"/>
    </row>
    <row r="98" spans="1:36" ht="18.5" thickBot="1">
      <c r="A98" s="259" t="s">
        <v>122</v>
      </c>
      <c r="B98" s="260"/>
      <c r="C98" s="260"/>
      <c r="D98" s="260"/>
      <c r="E98" s="260"/>
      <c r="F98" s="260"/>
      <c r="G98" s="260"/>
      <c r="H98" s="261"/>
      <c r="I98" s="14"/>
      <c r="J98" s="259" t="s">
        <v>122</v>
      </c>
      <c r="K98" s="260"/>
      <c r="L98" s="260"/>
      <c r="M98" s="260"/>
      <c r="N98" s="260"/>
      <c r="O98" s="260"/>
      <c r="P98" s="260"/>
      <c r="Q98" s="261"/>
      <c r="R98" s="14"/>
      <c r="S98" s="259" t="s">
        <v>122</v>
      </c>
      <c r="T98" s="260"/>
      <c r="U98" s="260"/>
      <c r="V98" s="260"/>
      <c r="W98" s="260"/>
      <c r="X98" s="260"/>
      <c r="Y98" s="260"/>
      <c r="Z98" s="261"/>
      <c r="AA98" s="14"/>
      <c r="AB98" s="259" t="s">
        <v>122</v>
      </c>
      <c r="AC98" s="260"/>
      <c r="AD98" s="260"/>
      <c r="AE98" s="260"/>
      <c r="AF98" s="260"/>
      <c r="AG98" s="260"/>
      <c r="AH98" s="260"/>
      <c r="AI98" s="261"/>
      <c r="AJ98" s="14"/>
    </row>
    <row r="99" spans="1:36" ht="17.25" customHeight="1" thickBot="1">
      <c r="A99" s="62" t="s">
        <v>2</v>
      </c>
      <c r="B99" s="63" t="s">
        <v>46</v>
      </c>
      <c r="C99" s="64"/>
      <c r="D99" s="64"/>
      <c r="E99" s="65"/>
      <c r="F99" s="63" t="s">
        <v>47</v>
      </c>
      <c r="G99" s="64"/>
      <c r="H99" s="65"/>
      <c r="I99" s="52"/>
      <c r="J99" s="62" t="s">
        <v>2</v>
      </c>
      <c r="K99" s="63" t="s">
        <v>46</v>
      </c>
      <c r="L99" s="64"/>
      <c r="M99" s="64"/>
      <c r="N99" s="65"/>
      <c r="O99" s="63" t="s">
        <v>47</v>
      </c>
      <c r="P99" s="64"/>
      <c r="Q99" s="65"/>
      <c r="R99" s="52"/>
      <c r="S99" s="62" t="s">
        <v>2</v>
      </c>
      <c r="T99" s="63" t="s">
        <v>46</v>
      </c>
      <c r="U99" s="64"/>
      <c r="V99" s="64"/>
      <c r="W99" s="65"/>
      <c r="X99" s="63" t="s">
        <v>47</v>
      </c>
      <c r="Y99" s="64"/>
      <c r="Z99" s="65"/>
      <c r="AA99" s="52"/>
      <c r="AB99" s="62" t="s">
        <v>2</v>
      </c>
      <c r="AC99" s="63" t="s">
        <v>46</v>
      </c>
      <c r="AD99" s="64"/>
      <c r="AE99" s="64"/>
      <c r="AF99" s="65"/>
      <c r="AG99" s="63" t="s">
        <v>47</v>
      </c>
      <c r="AH99" s="64"/>
      <c r="AI99" s="65"/>
      <c r="AJ99" s="52"/>
    </row>
    <row r="100" spans="1:36" ht="16" thickBot="1">
      <c r="A100" s="66">
        <v>0.71875</v>
      </c>
      <c r="B100" s="67" t="s">
        <v>49</v>
      </c>
      <c r="C100" s="67" t="s">
        <v>50</v>
      </c>
      <c r="D100" s="67" t="s">
        <v>51</v>
      </c>
      <c r="E100" s="67" t="s">
        <v>52</v>
      </c>
      <c r="F100" s="67" t="s">
        <v>53</v>
      </c>
      <c r="G100" s="67" t="s">
        <v>54</v>
      </c>
      <c r="H100" s="67" t="s">
        <v>55</v>
      </c>
      <c r="I100" s="52"/>
      <c r="J100" s="66">
        <v>0.71875</v>
      </c>
      <c r="K100" s="67" t="s">
        <v>49</v>
      </c>
      <c r="L100" s="67" t="s">
        <v>50</v>
      </c>
      <c r="M100" s="67" t="s">
        <v>51</v>
      </c>
      <c r="N100" s="67" t="s">
        <v>52</v>
      </c>
      <c r="O100" s="67" t="s">
        <v>53</v>
      </c>
      <c r="P100" s="67" t="s">
        <v>54</v>
      </c>
      <c r="Q100" s="67" t="s">
        <v>55</v>
      </c>
      <c r="R100" s="52"/>
      <c r="S100" s="66">
        <v>0.71875</v>
      </c>
      <c r="T100" s="67" t="s">
        <v>49</v>
      </c>
      <c r="U100" s="67" t="s">
        <v>50</v>
      </c>
      <c r="V100" s="67" t="s">
        <v>51</v>
      </c>
      <c r="W100" s="67" t="s">
        <v>52</v>
      </c>
      <c r="X100" s="67" t="s">
        <v>53</v>
      </c>
      <c r="Y100" s="67" t="s">
        <v>54</v>
      </c>
      <c r="Z100" s="67" t="s">
        <v>55</v>
      </c>
      <c r="AA100" s="52"/>
      <c r="AB100" s="66">
        <v>0.71875</v>
      </c>
      <c r="AC100" s="67" t="s">
        <v>49</v>
      </c>
      <c r="AD100" s="67" t="s">
        <v>50</v>
      </c>
      <c r="AE100" s="67" t="s">
        <v>51</v>
      </c>
      <c r="AF100" s="67" t="s">
        <v>52</v>
      </c>
      <c r="AG100" s="67" t="s">
        <v>53</v>
      </c>
      <c r="AH100" s="67" t="s">
        <v>54</v>
      </c>
      <c r="AI100" s="67" t="s">
        <v>55</v>
      </c>
      <c r="AJ100" s="52"/>
    </row>
    <row r="101" spans="1:36" ht="16" thickBot="1">
      <c r="A101" s="68">
        <v>16</v>
      </c>
      <c r="B101" s="49">
        <f>資料儲存!D4157</f>
        <v>0</v>
      </c>
      <c r="C101" s="49">
        <f>資料儲存!E4157</f>
        <v>0</v>
      </c>
      <c r="D101" s="49">
        <f>資料儲存!F4157</f>
        <v>0</v>
      </c>
      <c r="E101" s="49">
        <f>資料儲存!G4157</f>
        <v>0</v>
      </c>
      <c r="F101" s="49">
        <f>資料儲存!H4157</f>
        <v>0</v>
      </c>
      <c r="G101" s="49">
        <f>資料儲存!I4157</f>
        <v>0</v>
      </c>
      <c r="H101" s="49">
        <f>資料儲存!J4157</f>
        <v>0</v>
      </c>
      <c r="I101" s="52"/>
      <c r="J101" s="68">
        <v>16</v>
      </c>
      <c r="K101" s="49">
        <f>資料儲存!D4397</f>
        <v>0</v>
      </c>
      <c r="L101" s="49">
        <f>資料儲存!E4397</f>
        <v>0</v>
      </c>
      <c r="M101" s="49">
        <f>資料儲存!F4397</f>
        <v>0</v>
      </c>
      <c r="N101" s="49">
        <f>資料儲存!G4397</f>
        <v>0</v>
      </c>
      <c r="O101" s="49">
        <f>資料儲存!H4397</f>
        <v>0</v>
      </c>
      <c r="P101" s="49">
        <f>資料儲存!I4397</f>
        <v>0</v>
      </c>
      <c r="Q101" s="49">
        <f>資料儲存!J4397</f>
        <v>0</v>
      </c>
      <c r="R101" s="52"/>
      <c r="S101" s="68">
        <v>16</v>
      </c>
      <c r="T101" s="49">
        <f>資料儲存!D4637</f>
        <v>0</v>
      </c>
      <c r="U101" s="49">
        <f>資料儲存!E4637</f>
        <v>0</v>
      </c>
      <c r="V101" s="49">
        <f>資料儲存!F4637</f>
        <v>0</v>
      </c>
      <c r="W101" s="49">
        <f>資料儲存!G4637</f>
        <v>0</v>
      </c>
      <c r="X101" s="49">
        <f>資料儲存!H4637</f>
        <v>0</v>
      </c>
      <c r="Y101" s="49">
        <f>資料儲存!I4637</f>
        <v>0</v>
      </c>
      <c r="Z101" s="49">
        <f>資料儲存!J4637</f>
        <v>0</v>
      </c>
      <c r="AA101" s="52"/>
      <c r="AB101" s="68">
        <v>16</v>
      </c>
      <c r="AC101" s="49">
        <f>資料儲存!D4877</f>
        <v>0</v>
      </c>
      <c r="AD101" s="49">
        <f>資料儲存!E4877</f>
        <v>0</v>
      </c>
      <c r="AE101" s="49">
        <f>資料儲存!F4877</f>
        <v>0</v>
      </c>
      <c r="AF101" s="49">
        <f>資料儲存!G4877</f>
        <v>0</v>
      </c>
      <c r="AG101" s="49">
        <f>資料儲存!H4877</f>
        <v>0</v>
      </c>
      <c r="AH101" s="49">
        <f>資料儲存!I4877</f>
        <v>0</v>
      </c>
      <c r="AI101" s="49">
        <f>資料儲存!J4877</f>
        <v>0</v>
      </c>
      <c r="AJ101" s="52"/>
    </row>
    <row r="102" spans="1:36" ht="16" thickBot="1">
      <c r="A102" s="68">
        <v>17</v>
      </c>
      <c r="B102" s="49">
        <f>資料儲存!D4158</f>
        <v>0</v>
      </c>
      <c r="C102" s="49">
        <f>資料儲存!E4158</f>
        <v>0</v>
      </c>
      <c r="D102" s="49">
        <f>資料儲存!F4158</f>
        <v>0</v>
      </c>
      <c r="E102" s="49">
        <f>資料儲存!G4158</f>
        <v>0</v>
      </c>
      <c r="F102" s="49">
        <f>資料儲存!H4158</f>
        <v>0</v>
      </c>
      <c r="G102" s="49">
        <f>資料儲存!I4158</f>
        <v>0</v>
      </c>
      <c r="H102" s="49">
        <f>資料儲存!J4158</f>
        <v>0</v>
      </c>
      <c r="I102" s="52"/>
      <c r="J102" s="68">
        <v>17</v>
      </c>
      <c r="K102" s="49">
        <f>資料儲存!D4398</f>
        <v>0</v>
      </c>
      <c r="L102" s="49">
        <f>資料儲存!E4398</f>
        <v>0</v>
      </c>
      <c r="M102" s="49">
        <f>資料儲存!F4398</f>
        <v>0</v>
      </c>
      <c r="N102" s="49">
        <f>資料儲存!G4398</f>
        <v>0</v>
      </c>
      <c r="O102" s="49">
        <f>資料儲存!H4398</f>
        <v>0</v>
      </c>
      <c r="P102" s="49">
        <f>資料儲存!I4398</f>
        <v>0</v>
      </c>
      <c r="Q102" s="49">
        <f>資料儲存!J4398</f>
        <v>0</v>
      </c>
      <c r="R102" s="52"/>
      <c r="S102" s="68">
        <v>17</v>
      </c>
      <c r="T102" s="49">
        <f>資料儲存!D4638</f>
        <v>0</v>
      </c>
      <c r="U102" s="49">
        <f>資料儲存!E4638</f>
        <v>0</v>
      </c>
      <c r="V102" s="49">
        <f>資料儲存!F4638</f>
        <v>0</v>
      </c>
      <c r="W102" s="49">
        <f>資料儲存!G4638</f>
        <v>0</v>
      </c>
      <c r="X102" s="49">
        <f>資料儲存!H4638</f>
        <v>0</v>
      </c>
      <c r="Y102" s="49">
        <f>資料儲存!I4638</f>
        <v>0</v>
      </c>
      <c r="Z102" s="49">
        <f>資料儲存!J4638</f>
        <v>0</v>
      </c>
      <c r="AA102" s="52"/>
      <c r="AB102" s="68">
        <v>17</v>
      </c>
      <c r="AC102" s="49">
        <f>資料儲存!D4878</f>
        <v>0</v>
      </c>
      <c r="AD102" s="49">
        <f>資料儲存!E4878</f>
        <v>0</v>
      </c>
      <c r="AE102" s="49">
        <f>資料儲存!F4878</f>
        <v>0</v>
      </c>
      <c r="AF102" s="49">
        <f>資料儲存!G4878</f>
        <v>0</v>
      </c>
      <c r="AG102" s="49">
        <f>資料儲存!H4878</f>
        <v>0</v>
      </c>
      <c r="AH102" s="49">
        <f>資料儲存!I4878</f>
        <v>0</v>
      </c>
      <c r="AI102" s="49">
        <f>資料儲存!J4878</f>
        <v>0</v>
      </c>
      <c r="AJ102" s="52"/>
    </row>
    <row r="103" spans="1:36" ht="16" thickBot="1">
      <c r="A103" s="68">
        <v>18</v>
      </c>
      <c r="B103" s="49">
        <f>資料儲存!D4159</f>
        <v>0</v>
      </c>
      <c r="C103" s="49">
        <f>資料儲存!E4159</f>
        <v>0</v>
      </c>
      <c r="D103" s="49">
        <f>資料儲存!F4159</f>
        <v>0</v>
      </c>
      <c r="E103" s="49">
        <f>資料儲存!G4159</f>
        <v>0</v>
      </c>
      <c r="F103" s="49">
        <f>資料儲存!H4159</f>
        <v>0</v>
      </c>
      <c r="G103" s="49">
        <f>資料儲存!I4159</f>
        <v>0</v>
      </c>
      <c r="H103" s="49">
        <f>資料儲存!J4159</f>
        <v>0</v>
      </c>
      <c r="I103" s="52"/>
      <c r="J103" s="68">
        <v>18</v>
      </c>
      <c r="K103" s="49">
        <f>資料儲存!D4399</f>
        <v>0</v>
      </c>
      <c r="L103" s="49">
        <f>資料儲存!E4399</f>
        <v>0</v>
      </c>
      <c r="M103" s="49">
        <f>資料儲存!F4399</f>
        <v>0</v>
      </c>
      <c r="N103" s="49">
        <f>資料儲存!G4399</f>
        <v>0</v>
      </c>
      <c r="O103" s="49">
        <f>資料儲存!H4399</f>
        <v>0</v>
      </c>
      <c r="P103" s="49">
        <f>資料儲存!I4399</f>
        <v>0</v>
      </c>
      <c r="Q103" s="49">
        <f>資料儲存!J4399</f>
        <v>0</v>
      </c>
      <c r="R103" s="52"/>
      <c r="S103" s="68">
        <v>18</v>
      </c>
      <c r="T103" s="49">
        <f>資料儲存!D4639</f>
        <v>0</v>
      </c>
      <c r="U103" s="49">
        <f>資料儲存!E4639</f>
        <v>0</v>
      </c>
      <c r="V103" s="49">
        <f>資料儲存!F4639</f>
        <v>0</v>
      </c>
      <c r="W103" s="49">
        <f>資料儲存!G4639</f>
        <v>0</v>
      </c>
      <c r="X103" s="49">
        <f>資料儲存!H4639</f>
        <v>0</v>
      </c>
      <c r="Y103" s="49">
        <f>資料儲存!I4639</f>
        <v>0</v>
      </c>
      <c r="Z103" s="49">
        <f>資料儲存!J4639</f>
        <v>0</v>
      </c>
      <c r="AA103" s="52"/>
      <c r="AB103" s="68">
        <v>18</v>
      </c>
      <c r="AC103" s="49">
        <f>資料儲存!D4879</f>
        <v>0</v>
      </c>
      <c r="AD103" s="49">
        <f>資料儲存!E4879</f>
        <v>0</v>
      </c>
      <c r="AE103" s="49">
        <f>資料儲存!F4879</f>
        <v>0</v>
      </c>
      <c r="AF103" s="49">
        <f>資料儲存!G4879</f>
        <v>0</v>
      </c>
      <c r="AG103" s="49">
        <f>資料儲存!H4879</f>
        <v>0</v>
      </c>
      <c r="AH103" s="49">
        <f>資料儲存!I4879</f>
        <v>0</v>
      </c>
      <c r="AI103" s="49">
        <f>資料儲存!J4879</f>
        <v>0</v>
      </c>
      <c r="AJ103" s="52"/>
    </row>
    <row r="104" spans="1:36" ht="16" thickBot="1">
      <c r="A104" s="68">
        <v>19</v>
      </c>
      <c r="B104" s="49">
        <f>資料儲存!D4160</f>
        <v>0</v>
      </c>
      <c r="C104" s="49">
        <f>資料儲存!E4160</f>
        <v>0</v>
      </c>
      <c r="D104" s="49">
        <f>資料儲存!F4160</f>
        <v>0</v>
      </c>
      <c r="E104" s="49">
        <f>資料儲存!G4160</f>
        <v>0</v>
      </c>
      <c r="F104" s="49">
        <f>資料儲存!H4160</f>
        <v>0</v>
      </c>
      <c r="G104" s="49">
        <f>資料儲存!I4160</f>
        <v>0</v>
      </c>
      <c r="H104" s="49">
        <f>資料儲存!J4160</f>
        <v>0</v>
      </c>
      <c r="I104" s="52"/>
      <c r="J104" s="68">
        <v>19</v>
      </c>
      <c r="K104" s="49">
        <f>資料儲存!D4400</f>
        <v>0</v>
      </c>
      <c r="L104" s="49">
        <f>資料儲存!E4400</f>
        <v>0</v>
      </c>
      <c r="M104" s="49">
        <f>資料儲存!F4400</f>
        <v>0</v>
      </c>
      <c r="N104" s="49">
        <f>資料儲存!G4400</f>
        <v>0</v>
      </c>
      <c r="O104" s="49">
        <f>資料儲存!H4400</f>
        <v>0</v>
      </c>
      <c r="P104" s="49">
        <f>資料儲存!I4400</f>
        <v>0</v>
      </c>
      <c r="Q104" s="49">
        <f>資料儲存!J4400</f>
        <v>0</v>
      </c>
      <c r="R104" s="52"/>
      <c r="S104" s="68">
        <v>19</v>
      </c>
      <c r="T104" s="49">
        <f>資料儲存!D4640</f>
        <v>0</v>
      </c>
      <c r="U104" s="49">
        <f>資料儲存!E4640</f>
        <v>0</v>
      </c>
      <c r="V104" s="49">
        <f>資料儲存!F4640</f>
        <v>0</v>
      </c>
      <c r="W104" s="49">
        <f>資料儲存!G4640</f>
        <v>0</v>
      </c>
      <c r="X104" s="49">
        <f>資料儲存!H4640</f>
        <v>0</v>
      </c>
      <c r="Y104" s="49">
        <f>資料儲存!I4640</f>
        <v>0</v>
      </c>
      <c r="Z104" s="49">
        <f>資料儲存!J4640</f>
        <v>0</v>
      </c>
      <c r="AA104" s="52"/>
      <c r="AB104" s="68">
        <v>19</v>
      </c>
      <c r="AC104" s="49">
        <f>資料儲存!D4880</f>
        <v>0</v>
      </c>
      <c r="AD104" s="49">
        <f>資料儲存!E4880</f>
        <v>0</v>
      </c>
      <c r="AE104" s="49">
        <f>資料儲存!F4880</f>
        <v>0</v>
      </c>
      <c r="AF104" s="49">
        <f>資料儲存!G4880</f>
        <v>0</v>
      </c>
      <c r="AG104" s="49">
        <f>資料儲存!H4880</f>
        <v>0</v>
      </c>
      <c r="AH104" s="49">
        <f>資料儲存!I4880</f>
        <v>0</v>
      </c>
      <c r="AI104" s="49">
        <f>資料儲存!J4880</f>
        <v>0</v>
      </c>
      <c r="AJ104" s="52"/>
    </row>
    <row r="105" spans="1:36" ht="16" thickBot="1">
      <c r="A105" s="68">
        <v>20</v>
      </c>
      <c r="B105" s="49">
        <f>資料儲存!D4161</f>
        <v>0</v>
      </c>
      <c r="C105" s="49">
        <f>資料儲存!E4161</f>
        <v>0</v>
      </c>
      <c r="D105" s="49">
        <f>資料儲存!F4161</f>
        <v>0</v>
      </c>
      <c r="E105" s="49">
        <f>資料儲存!G4161</f>
        <v>0</v>
      </c>
      <c r="F105" s="49">
        <f>資料儲存!H4161</f>
        <v>0</v>
      </c>
      <c r="G105" s="49">
        <f>資料儲存!I4161</f>
        <v>0</v>
      </c>
      <c r="H105" s="49">
        <f>資料儲存!J4161</f>
        <v>0</v>
      </c>
      <c r="I105" s="52"/>
      <c r="J105" s="68">
        <v>20</v>
      </c>
      <c r="K105" s="49">
        <f>資料儲存!D4401</f>
        <v>0</v>
      </c>
      <c r="L105" s="49">
        <f>資料儲存!E4401</f>
        <v>0</v>
      </c>
      <c r="M105" s="49">
        <f>資料儲存!F4401</f>
        <v>0</v>
      </c>
      <c r="N105" s="49">
        <f>資料儲存!G4401</f>
        <v>0</v>
      </c>
      <c r="O105" s="49">
        <f>資料儲存!H4401</f>
        <v>0</v>
      </c>
      <c r="P105" s="49">
        <f>資料儲存!I4401</f>
        <v>0</v>
      </c>
      <c r="Q105" s="49">
        <f>資料儲存!J4401</f>
        <v>0</v>
      </c>
      <c r="R105" s="52"/>
      <c r="S105" s="68">
        <v>20</v>
      </c>
      <c r="T105" s="49">
        <f>資料儲存!D4641</f>
        <v>0</v>
      </c>
      <c r="U105" s="49">
        <f>資料儲存!E4641</f>
        <v>0</v>
      </c>
      <c r="V105" s="49">
        <f>資料儲存!F4641</f>
        <v>0</v>
      </c>
      <c r="W105" s="49">
        <f>資料儲存!G4641</f>
        <v>0</v>
      </c>
      <c r="X105" s="49">
        <f>資料儲存!H4641</f>
        <v>0</v>
      </c>
      <c r="Y105" s="49">
        <f>資料儲存!I4641</f>
        <v>0</v>
      </c>
      <c r="Z105" s="49">
        <f>資料儲存!J4641</f>
        <v>0</v>
      </c>
      <c r="AA105" s="52"/>
      <c r="AB105" s="68">
        <v>20</v>
      </c>
      <c r="AC105" s="49">
        <f>資料儲存!D4881</f>
        <v>0</v>
      </c>
      <c r="AD105" s="49">
        <f>資料儲存!E4881</f>
        <v>0</v>
      </c>
      <c r="AE105" s="49">
        <f>資料儲存!F4881</f>
        <v>0</v>
      </c>
      <c r="AF105" s="49">
        <f>資料儲存!G4881</f>
        <v>0</v>
      </c>
      <c r="AG105" s="49">
        <f>資料儲存!H4881</f>
        <v>0</v>
      </c>
      <c r="AH105" s="49">
        <f>資料儲存!I4881</f>
        <v>0</v>
      </c>
      <c r="AI105" s="49">
        <f>資料儲存!J4881</f>
        <v>0</v>
      </c>
      <c r="AJ105" s="52"/>
    </row>
    <row r="106" spans="1:36" ht="16" thickBot="1">
      <c r="A106" s="68">
        <v>21</v>
      </c>
      <c r="B106" s="49">
        <f>資料儲存!D4162</f>
        <v>0</v>
      </c>
      <c r="C106" s="49">
        <f>資料儲存!E4162</f>
        <v>0</v>
      </c>
      <c r="D106" s="49">
        <f>資料儲存!F4162</f>
        <v>0</v>
      </c>
      <c r="E106" s="49">
        <f>資料儲存!G4162</f>
        <v>0</v>
      </c>
      <c r="F106" s="49">
        <f>資料儲存!H4162</f>
        <v>0</v>
      </c>
      <c r="G106" s="49">
        <f>資料儲存!I4162</f>
        <v>0</v>
      </c>
      <c r="H106" s="49">
        <f>資料儲存!J4162</f>
        <v>0</v>
      </c>
      <c r="I106" s="52"/>
      <c r="J106" s="68">
        <v>21</v>
      </c>
      <c r="K106" s="49">
        <f>資料儲存!D4402</f>
        <v>0</v>
      </c>
      <c r="L106" s="49">
        <f>資料儲存!E4402</f>
        <v>0</v>
      </c>
      <c r="M106" s="49">
        <f>資料儲存!F4402</f>
        <v>0</v>
      </c>
      <c r="N106" s="49">
        <f>資料儲存!G4402</f>
        <v>0</v>
      </c>
      <c r="O106" s="49">
        <f>資料儲存!H4402</f>
        <v>0</v>
      </c>
      <c r="P106" s="49">
        <f>資料儲存!I4402</f>
        <v>0</v>
      </c>
      <c r="Q106" s="49">
        <f>資料儲存!J4402</f>
        <v>0</v>
      </c>
      <c r="R106" s="52"/>
      <c r="S106" s="68">
        <v>21</v>
      </c>
      <c r="T106" s="49">
        <f>資料儲存!D4642</f>
        <v>0</v>
      </c>
      <c r="U106" s="49">
        <f>資料儲存!E4642</f>
        <v>0</v>
      </c>
      <c r="V106" s="49">
        <f>資料儲存!F4642</f>
        <v>0</v>
      </c>
      <c r="W106" s="49">
        <f>資料儲存!G4642</f>
        <v>0</v>
      </c>
      <c r="X106" s="49">
        <f>資料儲存!H4642</f>
        <v>0</v>
      </c>
      <c r="Y106" s="49">
        <f>資料儲存!I4642</f>
        <v>0</v>
      </c>
      <c r="Z106" s="49">
        <f>資料儲存!J4642</f>
        <v>0</v>
      </c>
      <c r="AA106" s="52"/>
      <c r="AB106" s="68">
        <v>21</v>
      </c>
      <c r="AC106" s="49">
        <f>資料儲存!D4882</f>
        <v>0</v>
      </c>
      <c r="AD106" s="49">
        <f>資料儲存!E4882</f>
        <v>0</v>
      </c>
      <c r="AE106" s="49">
        <f>資料儲存!F4882</f>
        <v>0</v>
      </c>
      <c r="AF106" s="49">
        <f>資料儲存!G4882</f>
        <v>0</v>
      </c>
      <c r="AG106" s="49">
        <f>資料儲存!H4882</f>
        <v>0</v>
      </c>
      <c r="AH106" s="49">
        <f>資料儲存!I4882</f>
        <v>0</v>
      </c>
      <c r="AI106" s="49">
        <f>資料儲存!J4882</f>
        <v>0</v>
      </c>
      <c r="AJ106" s="52"/>
    </row>
    <row r="107" spans="1:36" ht="16" thickBot="1">
      <c r="A107" s="68">
        <v>22</v>
      </c>
      <c r="B107" s="49">
        <f>資料儲存!D4163</f>
        <v>0</v>
      </c>
      <c r="C107" s="49">
        <f>資料儲存!E4163</f>
        <v>0</v>
      </c>
      <c r="D107" s="49">
        <f>資料儲存!F4163</f>
        <v>0</v>
      </c>
      <c r="E107" s="49">
        <f>資料儲存!G4163</f>
        <v>0</v>
      </c>
      <c r="F107" s="49">
        <f>資料儲存!H4163</f>
        <v>0</v>
      </c>
      <c r="G107" s="49">
        <f>資料儲存!I4163</f>
        <v>0</v>
      </c>
      <c r="H107" s="49">
        <f>資料儲存!J4163</f>
        <v>0</v>
      </c>
      <c r="I107" s="52"/>
      <c r="J107" s="68">
        <v>22</v>
      </c>
      <c r="K107" s="49">
        <f>資料儲存!D4403</f>
        <v>0</v>
      </c>
      <c r="L107" s="49">
        <f>資料儲存!E4403</f>
        <v>0</v>
      </c>
      <c r="M107" s="49">
        <f>資料儲存!F4403</f>
        <v>0</v>
      </c>
      <c r="N107" s="49">
        <f>資料儲存!G4403</f>
        <v>0</v>
      </c>
      <c r="O107" s="49">
        <f>資料儲存!H4403</f>
        <v>0</v>
      </c>
      <c r="P107" s="49">
        <f>資料儲存!I4403</f>
        <v>0</v>
      </c>
      <c r="Q107" s="49">
        <f>資料儲存!J4403</f>
        <v>0</v>
      </c>
      <c r="R107" s="52"/>
      <c r="S107" s="68">
        <v>22</v>
      </c>
      <c r="T107" s="49">
        <f>資料儲存!D4643</f>
        <v>0</v>
      </c>
      <c r="U107" s="49">
        <f>資料儲存!E4643</f>
        <v>0</v>
      </c>
      <c r="V107" s="49">
        <f>資料儲存!F4643</f>
        <v>0</v>
      </c>
      <c r="W107" s="49">
        <f>資料儲存!G4643</f>
        <v>0</v>
      </c>
      <c r="X107" s="49">
        <f>資料儲存!H4643</f>
        <v>0</v>
      </c>
      <c r="Y107" s="49">
        <f>資料儲存!I4643</f>
        <v>0</v>
      </c>
      <c r="Z107" s="49">
        <f>資料儲存!J4643</f>
        <v>0</v>
      </c>
      <c r="AA107" s="52"/>
      <c r="AB107" s="68">
        <v>22</v>
      </c>
      <c r="AC107" s="49">
        <f>資料儲存!D4883</f>
        <v>0</v>
      </c>
      <c r="AD107" s="49">
        <f>資料儲存!E4883</f>
        <v>0</v>
      </c>
      <c r="AE107" s="49">
        <f>資料儲存!F4883</f>
        <v>0</v>
      </c>
      <c r="AF107" s="49">
        <f>資料儲存!G4883</f>
        <v>0</v>
      </c>
      <c r="AG107" s="49">
        <f>資料儲存!H4883</f>
        <v>0</v>
      </c>
      <c r="AH107" s="49">
        <f>資料儲存!I4883</f>
        <v>0</v>
      </c>
      <c r="AI107" s="49">
        <f>資料儲存!J4883</f>
        <v>0</v>
      </c>
      <c r="AJ107" s="52"/>
    </row>
    <row r="108" spans="1:36" ht="16" thickBot="1">
      <c r="A108" s="68">
        <v>23</v>
      </c>
      <c r="B108" s="49">
        <f>資料儲存!D4164</f>
        <v>0</v>
      </c>
      <c r="C108" s="49">
        <f>資料儲存!E4164</f>
        <v>0</v>
      </c>
      <c r="D108" s="49">
        <f>資料儲存!F4164</f>
        <v>0</v>
      </c>
      <c r="E108" s="49">
        <f>資料儲存!G4164</f>
        <v>0</v>
      </c>
      <c r="F108" s="49">
        <f>資料儲存!H4164</f>
        <v>0</v>
      </c>
      <c r="G108" s="49">
        <f>資料儲存!I4164</f>
        <v>0</v>
      </c>
      <c r="H108" s="49">
        <f>資料儲存!J4164</f>
        <v>0</v>
      </c>
      <c r="I108" s="52"/>
      <c r="J108" s="68">
        <v>23</v>
      </c>
      <c r="K108" s="49">
        <f>資料儲存!D4404</f>
        <v>0</v>
      </c>
      <c r="L108" s="49">
        <f>資料儲存!E4404</f>
        <v>0</v>
      </c>
      <c r="M108" s="49">
        <f>資料儲存!F4404</f>
        <v>0</v>
      </c>
      <c r="N108" s="49">
        <f>資料儲存!G4404</f>
        <v>0</v>
      </c>
      <c r="O108" s="49">
        <f>資料儲存!H4404</f>
        <v>0</v>
      </c>
      <c r="P108" s="49">
        <f>資料儲存!I4404</f>
        <v>0</v>
      </c>
      <c r="Q108" s="49">
        <f>資料儲存!J4404</f>
        <v>0</v>
      </c>
      <c r="R108" s="52"/>
      <c r="S108" s="68">
        <v>23</v>
      </c>
      <c r="T108" s="49">
        <f>資料儲存!D4644</f>
        <v>0</v>
      </c>
      <c r="U108" s="49">
        <f>資料儲存!E4644</f>
        <v>0</v>
      </c>
      <c r="V108" s="49">
        <f>資料儲存!F4644</f>
        <v>0</v>
      </c>
      <c r="W108" s="49">
        <f>資料儲存!G4644</f>
        <v>0</v>
      </c>
      <c r="X108" s="49">
        <f>資料儲存!H4644</f>
        <v>0</v>
      </c>
      <c r="Y108" s="49">
        <f>資料儲存!I4644</f>
        <v>0</v>
      </c>
      <c r="Z108" s="49">
        <f>資料儲存!J4644</f>
        <v>0</v>
      </c>
      <c r="AA108" s="52"/>
      <c r="AB108" s="68">
        <v>23</v>
      </c>
      <c r="AC108" s="49">
        <f>資料儲存!D4884</f>
        <v>0</v>
      </c>
      <c r="AD108" s="49">
        <f>資料儲存!E4884</f>
        <v>0</v>
      </c>
      <c r="AE108" s="49">
        <f>資料儲存!F4884</f>
        <v>0</v>
      </c>
      <c r="AF108" s="49">
        <f>資料儲存!G4884</f>
        <v>0</v>
      </c>
      <c r="AG108" s="49">
        <f>資料儲存!H4884</f>
        <v>0</v>
      </c>
      <c r="AH108" s="49">
        <f>資料儲存!I4884</f>
        <v>0</v>
      </c>
      <c r="AI108" s="49">
        <f>資料儲存!J4884</f>
        <v>0</v>
      </c>
      <c r="AJ108" s="52"/>
    </row>
    <row r="109" spans="1:36" ht="16" thickBot="1">
      <c r="A109" s="68">
        <v>24</v>
      </c>
      <c r="B109" s="49">
        <f>資料儲存!D4165</f>
        <v>0</v>
      </c>
      <c r="C109" s="49">
        <f>資料儲存!E4165</f>
        <v>0</v>
      </c>
      <c r="D109" s="49">
        <f>資料儲存!F4165</f>
        <v>0</v>
      </c>
      <c r="E109" s="49">
        <f>資料儲存!G4165</f>
        <v>0</v>
      </c>
      <c r="F109" s="49">
        <f>資料儲存!H4165</f>
        <v>0</v>
      </c>
      <c r="G109" s="49">
        <f>資料儲存!I4165</f>
        <v>0</v>
      </c>
      <c r="H109" s="49">
        <f>資料儲存!J4165</f>
        <v>0</v>
      </c>
      <c r="I109" s="52"/>
      <c r="J109" s="68">
        <v>24</v>
      </c>
      <c r="K109" s="49">
        <f>資料儲存!D4405</f>
        <v>0</v>
      </c>
      <c r="L109" s="49">
        <f>資料儲存!E4405</f>
        <v>0</v>
      </c>
      <c r="M109" s="49">
        <f>資料儲存!F4405</f>
        <v>0</v>
      </c>
      <c r="N109" s="49">
        <f>資料儲存!G4405</f>
        <v>0</v>
      </c>
      <c r="O109" s="49">
        <f>資料儲存!H4405</f>
        <v>0</v>
      </c>
      <c r="P109" s="49">
        <f>資料儲存!I4405</f>
        <v>0</v>
      </c>
      <c r="Q109" s="49">
        <f>資料儲存!J4405</f>
        <v>0</v>
      </c>
      <c r="R109" s="52"/>
      <c r="S109" s="68">
        <v>24</v>
      </c>
      <c r="T109" s="49">
        <f>資料儲存!D4645</f>
        <v>0</v>
      </c>
      <c r="U109" s="49">
        <f>資料儲存!E4645</f>
        <v>0</v>
      </c>
      <c r="V109" s="49">
        <f>資料儲存!F4645</f>
        <v>0</v>
      </c>
      <c r="W109" s="49">
        <f>資料儲存!G4645</f>
        <v>0</v>
      </c>
      <c r="X109" s="49">
        <f>資料儲存!H4645</f>
        <v>0</v>
      </c>
      <c r="Y109" s="49">
        <f>資料儲存!I4645</f>
        <v>0</v>
      </c>
      <c r="Z109" s="49">
        <f>資料儲存!J4645</f>
        <v>0</v>
      </c>
      <c r="AA109" s="52"/>
      <c r="AB109" s="68">
        <v>24</v>
      </c>
      <c r="AC109" s="49">
        <f>資料儲存!D4885</f>
        <v>0</v>
      </c>
      <c r="AD109" s="49">
        <f>資料儲存!E4885</f>
        <v>0</v>
      </c>
      <c r="AE109" s="49">
        <f>資料儲存!F4885</f>
        <v>0</v>
      </c>
      <c r="AF109" s="49">
        <f>資料儲存!G4885</f>
        <v>0</v>
      </c>
      <c r="AG109" s="49">
        <f>資料儲存!H4885</f>
        <v>0</v>
      </c>
      <c r="AH109" s="49">
        <f>資料儲存!I4885</f>
        <v>0</v>
      </c>
      <c r="AI109" s="49">
        <f>資料儲存!J4885</f>
        <v>0</v>
      </c>
      <c r="AJ109" s="52"/>
    </row>
    <row r="110" spans="1:36" ht="16" thickBot="1">
      <c r="A110" s="68">
        <v>25</v>
      </c>
      <c r="B110" s="49">
        <f>資料儲存!D4166</f>
        <v>0</v>
      </c>
      <c r="C110" s="49">
        <f>資料儲存!E4166</f>
        <v>0</v>
      </c>
      <c r="D110" s="49">
        <f>資料儲存!F4166</f>
        <v>0</v>
      </c>
      <c r="E110" s="49">
        <f>資料儲存!G4166</f>
        <v>0</v>
      </c>
      <c r="F110" s="49">
        <f>資料儲存!H4166</f>
        <v>0</v>
      </c>
      <c r="G110" s="49">
        <f>資料儲存!I4166</f>
        <v>0</v>
      </c>
      <c r="H110" s="49">
        <f>資料儲存!J4166</f>
        <v>0</v>
      </c>
      <c r="I110" s="52"/>
      <c r="J110" s="68">
        <v>25</v>
      </c>
      <c r="K110" s="49">
        <f>資料儲存!D4406</f>
        <v>0</v>
      </c>
      <c r="L110" s="49">
        <f>資料儲存!E4406</f>
        <v>0</v>
      </c>
      <c r="M110" s="49">
        <f>資料儲存!F4406</f>
        <v>0</v>
      </c>
      <c r="N110" s="49">
        <f>資料儲存!G4406</f>
        <v>0</v>
      </c>
      <c r="O110" s="49">
        <f>資料儲存!H4406</f>
        <v>0</v>
      </c>
      <c r="P110" s="49">
        <f>資料儲存!I4406</f>
        <v>0</v>
      </c>
      <c r="Q110" s="49">
        <f>資料儲存!J4406</f>
        <v>0</v>
      </c>
      <c r="R110" s="52"/>
      <c r="S110" s="68">
        <v>25</v>
      </c>
      <c r="T110" s="49">
        <f>資料儲存!D4646</f>
        <v>0</v>
      </c>
      <c r="U110" s="49">
        <f>資料儲存!E4646</f>
        <v>0</v>
      </c>
      <c r="V110" s="49">
        <f>資料儲存!F4646</f>
        <v>0</v>
      </c>
      <c r="W110" s="49">
        <f>資料儲存!G4646</f>
        <v>0</v>
      </c>
      <c r="X110" s="49">
        <f>資料儲存!H4646</f>
        <v>0</v>
      </c>
      <c r="Y110" s="49">
        <f>資料儲存!I4646</f>
        <v>0</v>
      </c>
      <c r="Z110" s="49">
        <f>資料儲存!J4646</f>
        <v>0</v>
      </c>
      <c r="AA110" s="52"/>
      <c r="AB110" s="68">
        <v>25</v>
      </c>
      <c r="AC110" s="49">
        <f>資料儲存!D4886</f>
        <v>0</v>
      </c>
      <c r="AD110" s="49">
        <f>資料儲存!E4886</f>
        <v>0</v>
      </c>
      <c r="AE110" s="49">
        <f>資料儲存!F4886</f>
        <v>0</v>
      </c>
      <c r="AF110" s="49">
        <f>資料儲存!G4886</f>
        <v>0</v>
      </c>
      <c r="AG110" s="49">
        <f>資料儲存!H4886</f>
        <v>0</v>
      </c>
      <c r="AH110" s="49">
        <f>資料儲存!I4886</f>
        <v>0</v>
      </c>
      <c r="AI110" s="49">
        <f>資料儲存!J4886</f>
        <v>0</v>
      </c>
      <c r="AJ110" s="52"/>
    </row>
    <row r="111" spans="1:36" ht="16" thickBot="1">
      <c r="A111" s="68">
        <v>26</v>
      </c>
      <c r="B111" s="49">
        <f>資料儲存!D4167</f>
        <v>0</v>
      </c>
      <c r="C111" s="49">
        <f>資料儲存!E4167</f>
        <v>0</v>
      </c>
      <c r="D111" s="49">
        <f>資料儲存!F4167</f>
        <v>0</v>
      </c>
      <c r="E111" s="49">
        <f>資料儲存!G4167</f>
        <v>0</v>
      </c>
      <c r="F111" s="49">
        <f>資料儲存!H4167</f>
        <v>0</v>
      </c>
      <c r="G111" s="49">
        <f>資料儲存!I4167</f>
        <v>0</v>
      </c>
      <c r="H111" s="49">
        <f>資料儲存!J4167</f>
        <v>0</v>
      </c>
      <c r="I111" s="52"/>
      <c r="J111" s="68">
        <v>26</v>
      </c>
      <c r="K111" s="49">
        <f>資料儲存!D4407</f>
        <v>0</v>
      </c>
      <c r="L111" s="49">
        <f>資料儲存!E4407</f>
        <v>0</v>
      </c>
      <c r="M111" s="49">
        <f>資料儲存!F4407</f>
        <v>0</v>
      </c>
      <c r="N111" s="49">
        <f>資料儲存!G4407</f>
        <v>0</v>
      </c>
      <c r="O111" s="49">
        <f>資料儲存!H4407</f>
        <v>0</v>
      </c>
      <c r="P111" s="49">
        <f>資料儲存!I4407</f>
        <v>0</v>
      </c>
      <c r="Q111" s="49">
        <f>資料儲存!J4407</f>
        <v>0</v>
      </c>
      <c r="R111" s="52"/>
      <c r="S111" s="68">
        <v>26</v>
      </c>
      <c r="T111" s="49">
        <f>資料儲存!D4647</f>
        <v>0</v>
      </c>
      <c r="U111" s="49">
        <f>資料儲存!E4647</f>
        <v>0</v>
      </c>
      <c r="V111" s="49">
        <f>資料儲存!F4647</f>
        <v>0</v>
      </c>
      <c r="W111" s="49">
        <f>資料儲存!G4647</f>
        <v>0</v>
      </c>
      <c r="X111" s="49">
        <f>資料儲存!H4647</f>
        <v>0</v>
      </c>
      <c r="Y111" s="49">
        <f>資料儲存!I4647</f>
        <v>0</v>
      </c>
      <c r="Z111" s="49">
        <f>資料儲存!J4647</f>
        <v>0</v>
      </c>
      <c r="AA111" s="52"/>
      <c r="AB111" s="68">
        <v>26</v>
      </c>
      <c r="AC111" s="49">
        <f>資料儲存!D4887</f>
        <v>0</v>
      </c>
      <c r="AD111" s="49">
        <f>資料儲存!E4887</f>
        <v>0</v>
      </c>
      <c r="AE111" s="49">
        <f>資料儲存!F4887</f>
        <v>0</v>
      </c>
      <c r="AF111" s="49">
        <f>資料儲存!G4887</f>
        <v>0</v>
      </c>
      <c r="AG111" s="49">
        <f>資料儲存!H4887</f>
        <v>0</v>
      </c>
      <c r="AH111" s="49">
        <f>資料儲存!I4887</f>
        <v>0</v>
      </c>
      <c r="AI111" s="49">
        <f>資料儲存!J4887</f>
        <v>0</v>
      </c>
      <c r="AJ111" s="52"/>
    </row>
    <row r="112" spans="1:36" ht="16" thickBot="1">
      <c r="A112" s="68">
        <v>27</v>
      </c>
      <c r="B112" s="49">
        <f>資料儲存!D4168</f>
        <v>0</v>
      </c>
      <c r="C112" s="49">
        <f>資料儲存!E4168</f>
        <v>0</v>
      </c>
      <c r="D112" s="49">
        <f>資料儲存!F4168</f>
        <v>0</v>
      </c>
      <c r="E112" s="49">
        <f>資料儲存!G4168</f>
        <v>0</v>
      </c>
      <c r="F112" s="49">
        <f>資料儲存!H4168</f>
        <v>0</v>
      </c>
      <c r="G112" s="49">
        <f>資料儲存!I4168</f>
        <v>0</v>
      </c>
      <c r="H112" s="49">
        <f>資料儲存!J4168</f>
        <v>0</v>
      </c>
      <c r="I112" s="52"/>
      <c r="J112" s="68">
        <v>27</v>
      </c>
      <c r="K112" s="49">
        <f>資料儲存!D4408</f>
        <v>0</v>
      </c>
      <c r="L112" s="49">
        <f>資料儲存!E4408</f>
        <v>0</v>
      </c>
      <c r="M112" s="49">
        <f>資料儲存!F4408</f>
        <v>0</v>
      </c>
      <c r="N112" s="49">
        <f>資料儲存!G4408</f>
        <v>0</v>
      </c>
      <c r="O112" s="49">
        <f>資料儲存!H4408</f>
        <v>0</v>
      </c>
      <c r="P112" s="49">
        <f>資料儲存!I4408</f>
        <v>0</v>
      </c>
      <c r="Q112" s="49">
        <f>資料儲存!J4408</f>
        <v>0</v>
      </c>
      <c r="R112" s="52"/>
      <c r="S112" s="68">
        <v>27</v>
      </c>
      <c r="T112" s="49">
        <f>資料儲存!D4648</f>
        <v>0</v>
      </c>
      <c r="U112" s="49">
        <f>資料儲存!E4648</f>
        <v>0</v>
      </c>
      <c r="V112" s="49">
        <f>資料儲存!F4648</f>
        <v>0</v>
      </c>
      <c r="W112" s="49">
        <f>資料儲存!G4648</f>
        <v>0</v>
      </c>
      <c r="X112" s="49">
        <f>資料儲存!H4648</f>
        <v>0</v>
      </c>
      <c r="Y112" s="49">
        <f>資料儲存!I4648</f>
        <v>0</v>
      </c>
      <c r="Z112" s="49">
        <f>資料儲存!J4648</f>
        <v>0</v>
      </c>
      <c r="AA112" s="52"/>
      <c r="AB112" s="68">
        <v>27</v>
      </c>
      <c r="AC112" s="49">
        <f>資料儲存!D4888</f>
        <v>0</v>
      </c>
      <c r="AD112" s="49">
        <f>資料儲存!E4888</f>
        <v>0</v>
      </c>
      <c r="AE112" s="49">
        <f>資料儲存!F4888</f>
        <v>0</v>
      </c>
      <c r="AF112" s="49">
        <f>資料儲存!G4888</f>
        <v>0</v>
      </c>
      <c r="AG112" s="49">
        <f>資料儲存!H4888</f>
        <v>0</v>
      </c>
      <c r="AH112" s="49">
        <f>資料儲存!I4888</f>
        <v>0</v>
      </c>
      <c r="AI112" s="49">
        <f>資料儲存!J4888</f>
        <v>0</v>
      </c>
      <c r="AJ112" s="52"/>
    </row>
    <row r="113" spans="1:36" ht="16" thickBot="1">
      <c r="A113" s="68">
        <v>28</v>
      </c>
      <c r="B113" s="49">
        <f>資料儲存!D4169</f>
        <v>0</v>
      </c>
      <c r="C113" s="49">
        <f>資料儲存!E4169</f>
        <v>0</v>
      </c>
      <c r="D113" s="49">
        <f>資料儲存!F4169</f>
        <v>0</v>
      </c>
      <c r="E113" s="49">
        <f>資料儲存!G4169</f>
        <v>0</v>
      </c>
      <c r="F113" s="49">
        <f>資料儲存!H4169</f>
        <v>0</v>
      </c>
      <c r="G113" s="49">
        <f>資料儲存!I4169</f>
        <v>0</v>
      </c>
      <c r="H113" s="49">
        <f>資料儲存!J4169</f>
        <v>0</v>
      </c>
      <c r="I113" s="52"/>
      <c r="J113" s="68">
        <v>28</v>
      </c>
      <c r="K113" s="49">
        <f>資料儲存!D4409</f>
        <v>0</v>
      </c>
      <c r="L113" s="49">
        <f>資料儲存!E4409</f>
        <v>0</v>
      </c>
      <c r="M113" s="49">
        <f>資料儲存!F4409</f>
        <v>0</v>
      </c>
      <c r="N113" s="49">
        <f>資料儲存!G4409</f>
        <v>0</v>
      </c>
      <c r="O113" s="49">
        <f>資料儲存!H4409</f>
        <v>0</v>
      </c>
      <c r="P113" s="49">
        <f>資料儲存!I4409</f>
        <v>0</v>
      </c>
      <c r="Q113" s="49">
        <f>資料儲存!J4409</f>
        <v>0</v>
      </c>
      <c r="R113" s="52"/>
      <c r="S113" s="68">
        <v>28</v>
      </c>
      <c r="T113" s="49">
        <f>資料儲存!D4649</f>
        <v>0</v>
      </c>
      <c r="U113" s="49">
        <f>資料儲存!E4649</f>
        <v>0</v>
      </c>
      <c r="V113" s="49">
        <f>資料儲存!F4649</f>
        <v>0</v>
      </c>
      <c r="W113" s="49">
        <f>資料儲存!G4649</f>
        <v>0</v>
      </c>
      <c r="X113" s="49">
        <f>資料儲存!H4649</f>
        <v>0</v>
      </c>
      <c r="Y113" s="49">
        <f>資料儲存!I4649</f>
        <v>0</v>
      </c>
      <c r="Z113" s="49">
        <f>資料儲存!J4649</f>
        <v>0</v>
      </c>
      <c r="AA113" s="52"/>
      <c r="AB113" s="68">
        <v>28</v>
      </c>
      <c r="AC113" s="49">
        <f>資料儲存!D4889</f>
        <v>0</v>
      </c>
      <c r="AD113" s="49">
        <f>資料儲存!E4889</f>
        <v>0</v>
      </c>
      <c r="AE113" s="49">
        <f>資料儲存!F4889</f>
        <v>0</v>
      </c>
      <c r="AF113" s="49">
        <f>資料儲存!G4889</f>
        <v>0</v>
      </c>
      <c r="AG113" s="49">
        <f>資料儲存!H4889</f>
        <v>0</v>
      </c>
      <c r="AH113" s="49">
        <f>資料儲存!I4889</f>
        <v>0</v>
      </c>
      <c r="AI113" s="49">
        <f>資料儲存!J4889</f>
        <v>0</v>
      </c>
      <c r="AJ113" s="52"/>
    </row>
    <row r="114" spans="1:36" ht="16" thickBot="1">
      <c r="A114" s="68">
        <v>29</v>
      </c>
      <c r="B114" s="49">
        <f>資料儲存!D4170</f>
        <v>0</v>
      </c>
      <c r="C114" s="49">
        <f>資料儲存!E4170</f>
        <v>0</v>
      </c>
      <c r="D114" s="49">
        <f>資料儲存!F4170</f>
        <v>0</v>
      </c>
      <c r="E114" s="49">
        <f>資料儲存!G4170</f>
        <v>0</v>
      </c>
      <c r="F114" s="49">
        <f>資料儲存!H4170</f>
        <v>0</v>
      </c>
      <c r="G114" s="49">
        <f>資料儲存!I4170</f>
        <v>0</v>
      </c>
      <c r="H114" s="49">
        <f>資料儲存!J4170</f>
        <v>0</v>
      </c>
      <c r="I114" s="52"/>
      <c r="J114" s="68">
        <v>29</v>
      </c>
      <c r="K114" s="49">
        <f>資料儲存!D4410</f>
        <v>0</v>
      </c>
      <c r="L114" s="49">
        <f>資料儲存!E4410</f>
        <v>0</v>
      </c>
      <c r="M114" s="49">
        <f>資料儲存!F4410</f>
        <v>0</v>
      </c>
      <c r="N114" s="49">
        <f>資料儲存!G4410</f>
        <v>0</v>
      </c>
      <c r="O114" s="49">
        <f>資料儲存!H4410</f>
        <v>0</v>
      </c>
      <c r="P114" s="49">
        <f>資料儲存!I4410</f>
        <v>0</v>
      </c>
      <c r="Q114" s="49">
        <f>資料儲存!J4410</f>
        <v>0</v>
      </c>
      <c r="R114" s="52"/>
      <c r="S114" s="68">
        <v>29</v>
      </c>
      <c r="T114" s="49">
        <f>資料儲存!D4650</f>
        <v>0</v>
      </c>
      <c r="U114" s="49">
        <f>資料儲存!E4650</f>
        <v>0</v>
      </c>
      <c r="V114" s="49">
        <f>資料儲存!F4650</f>
        <v>0</v>
      </c>
      <c r="W114" s="49">
        <f>資料儲存!G4650</f>
        <v>0</v>
      </c>
      <c r="X114" s="49">
        <f>資料儲存!H4650</f>
        <v>0</v>
      </c>
      <c r="Y114" s="49">
        <f>資料儲存!I4650</f>
        <v>0</v>
      </c>
      <c r="Z114" s="49">
        <f>資料儲存!J4650</f>
        <v>0</v>
      </c>
      <c r="AA114" s="52"/>
      <c r="AB114" s="68">
        <v>29</v>
      </c>
      <c r="AC114" s="49">
        <f>資料儲存!D4890</f>
        <v>0</v>
      </c>
      <c r="AD114" s="49">
        <f>資料儲存!E4890</f>
        <v>0</v>
      </c>
      <c r="AE114" s="49">
        <f>資料儲存!F4890</f>
        <v>0</v>
      </c>
      <c r="AF114" s="49">
        <f>資料儲存!G4890</f>
        <v>0</v>
      </c>
      <c r="AG114" s="49">
        <f>資料儲存!H4890</f>
        <v>0</v>
      </c>
      <c r="AH114" s="49">
        <f>資料儲存!I4890</f>
        <v>0</v>
      </c>
      <c r="AI114" s="49">
        <f>資料儲存!J4890</f>
        <v>0</v>
      </c>
      <c r="AJ114" s="52"/>
    </row>
    <row r="115" spans="1:36" ht="16" thickBot="1">
      <c r="A115" s="68">
        <v>30</v>
      </c>
      <c r="B115" s="49">
        <f>資料儲存!D4171</f>
        <v>0</v>
      </c>
      <c r="C115" s="49">
        <f>資料儲存!E4171</f>
        <v>0</v>
      </c>
      <c r="D115" s="49">
        <f>資料儲存!F4171</f>
        <v>0</v>
      </c>
      <c r="E115" s="49">
        <f>資料儲存!G4171</f>
        <v>0</v>
      </c>
      <c r="F115" s="49">
        <f>資料儲存!H4171</f>
        <v>0</v>
      </c>
      <c r="G115" s="49">
        <f>資料儲存!I4171</f>
        <v>0</v>
      </c>
      <c r="H115" s="49">
        <f>資料儲存!J4171</f>
        <v>0</v>
      </c>
      <c r="I115" s="52"/>
      <c r="J115" s="68">
        <v>30</v>
      </c>
      <c r="K115" s="49">
        <f>資料儲存!D4411</f>
        <v>0</v>
      </c>
      <c r="L115" s="49">
        <f>資料儲存!E4411</f>
        <v>0</v>
      </c>
      <c r="M115" s="49">
        <f>資料儲存!F4411</f>
        <v>0</v>
      </c>
      <c r="N115" s="49">
        <f>資料儲存!G4411</f>
        <v>0</v>
      </c>
      <c r="O115" s="49">
        <f>資料儲存!H4411</f>
        <v>0</v>
      </c>
      <c r="P115" s="49">
        <f>資料儲存!I4411</f>
        <v>0</v>
      </c>
      <c r="Q115" s="49">
        <f>資料儲存!J4411</f>
        <v>0</v>
      </c>
      <c r="R115" s="52"/>
      <c r="S115" s="68">
        <v>30</v>
      </c>
      <c r="T115" s="49">
        <f>資料儲存!D4651</f>
        <v>0</v>
      </c>
      <c r="U115" s="49">
        <f>資料儲存!E4651</f>
        <v>0</v>
      </c>
      <c r="V115" s="49">
        <f>資料儲存!F4651</f>
        <v>0</v>
      </c>
      <c r="W115" s="49">
        <f>資料儲存!G4651</f>
        <v>0</v>
      </c>
      <c r="X115" s="49">
        <f>資料儲存!H4651</f>
        <v>0</v>
      </c>
      <c r="Y115" s="49">
        <f>資料儲存!I4651</f>
        <v>0</v>
      </c>
      <c r="Z115" s="49">
        <f>資料儲存!J4651</f>
        <v>0</v>
      </c>
      <c r="AA115" s="52"/>
      <c r="AB115" s="68">
        <v>30</v>
      </c>
      <c r="AC115" s="49">
        <f>資料儲存!D4891</f>
        <v>0</v>
      </c>
      <c r="AD115" s="49">
        <f>資料儲存!E4891</f>
        <v>0</v>
      </c>
      <c r="AE115" s="49">
        <f>資料儲存!F4891</f>
        <v>0</v>
      </c>
      <c r="AF115" s="49">
        <f>資料儲存!G4891</f>
        <v>0</v>
      </c>
      <c r="AG115" s="49">
        <f>資料儲存!H4891</f>
        <v>0</v>
      </c>
      <c r="AH115" s="49">
        <f>資料儲存!I4891</f>
        <v>0</v>
      </c>
      <c r="AI115" s="49">
        <f>資料儲存!J4891</f>
        <v>0</v>
      </c>
      <c r="AJ115" s="52"/>
    </row>
    <row r="116" spans="1:36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</row>
    <row r="117" spans="1:36" ht="18.5" thickBot="1">
      <c r="A117" s="259" t="s">
        <v>113</v>
      </c>
      <c r="B117" s="260"/>
      <c r="C117" s="260"/>
      <c r="D117" s="260"/>
      <c r="E117" s="260"/>
      <c r="F117" s="260"/>
      <c r="G117" s="260"/>
      <c r="H117" s="261"/>
      <c r="I117" s="14"/>
      <c r="J117" s="259" t="s">
        <v>113</v>
      </c>
      <c r="K117" s="260"/>
      <c r="L117" s="260"/>
      <c r="M117" s="260"/>
      <c r="N117" s="260"/>
      <c r="O117" s="260"/>
      <c r="P117" s="260"/>
      <c r="Q117" s="261"/>
      <c r="R117" s="14"/>
      <c r="S117" s="259" t="s">
        <v>113</v>
      </c>
      <c r="T117" s="260"/>
      <c r="U117" s="260"/>
      <c r="V117" s="260"/>
      <c r="W117" s="260"/>
      <c r="X117" s="260"/>
      <c r="Y117" s="260"/>
      <c r="Z117" s="261"/>
      <c r="AA117" s="14"/>
      <c r="AB117" s="259" t="s">
        <v>113</v>
      </c>
      <c r="AC117" s="260"/>
      <c r="AD117" s="260"/>
      <c r="AE117" s="260"/>
      <c r="AF117" s="260"/>
      <c r="AG117" s="260"/>
      <c r="AH117" s="260"/>
      <c r="AI117" s="261"/>
      <c r="AJ117" s="14"/>
    </row>
    <row r="118" spans="1:36" ht="17.25" customHeight="1" thickBot="1">
      <c r="A118" s="54" t="s">
        <v>2</v>
      </c>
      <c r="B118" s="55" t="s">
        <v>46</v>
      </c>
      <c r="C118" s="56"/>
      <c r="D118" s="56"/>
      <c r="E118" s="57"/>
      <c r="F118" s="55" t="s">
        <v>47</v>
      </c>
      <c r="G118" s="56"/>
      <c r="H118" s="57"/>
      <c r="I118" s="58"/>
      <c r="J118" s="54" t="s">
        <v>2</v>
      </c>
      <c r="K118" s="55" t="s">
        <v>46</v>
      </c>
      <c r="L118" s="56"/>
      <c r="M118" s="56"/>
      <c r="N118" s="57"/>
      <c r="O118" s="55" t="s">
        <v>47</v>
      </c>
      <c r="P118" s="56"/>
      <c r="Q118" s="57"/>
      <c r="R118" s="58"/>
      <c r="S118" s="54" t="s">
        <v>2</v>
      </c>
      <c r="T118" s="55" t="s">
        <v>46</v>
      </c>
      <c r="U118" s="56"/>
      <c r="V118" s="56"/>
      <c r="W118" s="57"/>
      <c r="X118" s="55" t="s">
        <v>47</v>
      </c>
      <c r="Y118" s="56"/>
      <c r="Z118" s="57"/>
      <c r="AA118" s="58"/>
      <c r="AB118" s="54" t="s">
        <v>2</v>
      </c>
      <c r="AC118" s="55" t="s">
        <v>46</v>
      </c>
      <c r="AD118" s="56"/>
      <c r="AE118" s="56"/>
      <c r="AF118" s="57"/>
      <c r="AG118" s="55" t="s">
        <v>47</v>
      </c>
      <c r="AH118" s="56"/>
      <c r="AI118" s="57"/>
      <c r="AJ118" s="58"/>
    </row>
    <row r="119" spans="1:36" ht="16" thickBot="1">
      <c r="A119" s="59">
        <v>0.72916666666666663</v>
      </c>
      <c r="B119" s="60" t="s">
        <v>49</v>
      </c>
      <c r="C119" s="60" t="s">
        <v>50</v>
      </c>
      <c r="D119" s="60" t="s">
        <v>51</v>
      </c>
      <c r="E119" s="60" t="s">
        <v>52</v>
      </c>
      <c r="F119" s="60" t="s">
        <v>53</v>
      </c>
      <c r="G119" s="60" t="s">
        <v>54</v>
      </c>
      <c r="H119" s="60" t="s">
        <v>55</v>
      </c>
      <c r="I119" s="58"/>
      <c r="J119" s="59">
        <v>0.72916666666666663</v>
      </c>
      <c r="K119" s="60" t="s">
        <v>49</v>
      </c>
      <c r="L119" s="60" t="s">
        <v>50</v>
      </c>
      <c r="M119" s="60" t="s">
        <v>51</v>
      </c>
      <c r="N119" s="60" t="s">
        <v>52</v>
      </c>
      <c r="O119" s="60" t="s">
        <v>53</v>
      </c>
      <c r="P119" s="60" t="s">
        <v>54</v>
      </c>
      <c r="Q119" s="60" t="s">
        <v>55</v>
      </c>
      <c r="R119" s="58"/>
      <c r="S119" s="59">
        <v>0.72916666666666663</v>
      </c>
      <c r="T119" s="60" t="s">
        <v>49</v>
      </c>
      <c r="U119" s="60" t="s">
        <v>50</v>
      </c>
      <c r="V119" s="60" t="s">
        <v>51</v>
      </c>
      <c r="W119" s="60" t="s">
        <v>52</v>
      </c>
      <c r="X119" s="60" t="s">
        <v>53</v>
      </c>
      <c r="Y119" s="60" t="s">
        <v>54</v>
      </c>
      <c r="Z119" s="60" t="s">
        <v>55</v>
      </c>
      <c r="AA119" s="58"/>
      <c r="AB119" s="59">
        <v>0.72916666666666663</v>
      </c>
      <c r="AC119" s="60" t="s">
        <v>49</v>
      </c>
      <c r="AD119" s="60" t="s">
        <v>50</v>
      </c>
      <c r="AE119" s="60" t="s">
        <v>51</v>
      </c>
      <c r="AF119" s="60" t="s">
        <v>52</v>
      </c>
      <c r="AG119" s="60" t="s">
        <v>53</v>
      </c>
      <c r="AH119" s="60" t="s">
        <v>54</v>
      </c>
      <c r="AI119" s="60" t="s">
        <v>55</v>
      </c>
      <c r="AJ119" s="58"/>
    </row>
    <row r="120" spans="1:36" ht="16" thickBot="1">
      <c r="A120" s="61">
        <v>31</v>
      </c>
      <c r="B120" s="39">
        <f>資料儲存!D4172</f>
        <v>0</v>
      </c>
      <c r="C120" s="39">
        <f>資料儲存!E4172</f>
        <v>0</v>
      </c>
      <c r="D120" s="39">
        <f>資料儲存!F4172</f>
        <v>0</v>
      </c>
      <c r="E120" s="39">
        <f>資料儲存!G4172</f>
        <v>0</v>
      </c>
      <c r="F120" s="39">
        <f>資料儲存!H4172</f>
        <v>0</v>
      </c>
      <c r="G120" s="39">
        <f>資料儲存!I4172</f>
        <v>0</v>
      </c>
      <c r="H120" s="39">
        <f>資料儲存!J4172</f>
        <v>0</v>
      </c>
      <c r="I120" s="58"/>
      <c r="J120" s="61">
        <v>31</v>
      </c>
      <c r="K120" s="39">
        <f>資料儲存!D4412</f>
        <v>0</v>
      </c>
      <c r="L120" s="39">
        <f>資料儲存!E4412</f>
        <v>0</v>
      </c>
      <c r="M120" s="39">
        <f>資料儲存!F4412</f>
        <v>0</v>
      </c>
      <c r="N120" s="39">
        <f>資料儲存!G4412</f>
        <v>0</v>
      </c>
      <c r="O120" s="39">
        <f>資料儲存!H4412</f>
        <v>0</v>
      </c>
      <c r="P120" s="39">
        <f>資料儲存!I4412</f>
        <v>0</v>
      </c>
      <c r="Q120" s="39">
        <f>資料儲存!J4412</f>
        <v>0</v>
      </c>
      <c r="R120" s="58"/>
      <c r="S120" s="61">
        <v>31</v>
      </c>
      <c r="T120" s="39">
        <f>資料儲存!D4652</f>
        <v>0</v>
      </c>
      <c r="U120" s="39">
        <f>資料儲存!E4652</f>
        <v>0</v>
      </c>
      <c r="V120" s="39">
        <f>資料儲存!F4652</f>
        <v>0</v>
      </c>
      <c r="W120" s="39">
        <f>資料儲存!G4652</f>
        <v>0</v>
      </c>
      <c r="X120" s="39">
        <f>資料儲存!H4652</f>
        <v>0</v>
      </c>
      <c r="Y120" s="39">
        <f>資料儲存!I4652</f>
        <v>0</v>
      </c>
      <c r="Z120" s="39">
        <f>資料儲存!J4652</f>
        <v>0</v>
      </c>
      <c r="AA120" s="58"/>
      <c r="AB120" s="61">
        <v>31</v>
      </c>
      <c r="AC120" s="39">
        <f>資料儲存!D4892</f>
        <v>0</v>
      </c>
      <c r="AD120" s="39">
        <f>資料儲存!E4892</f>
        <v>0</v>
      </c>
      <c r="AE120" s="39">
        <f>資料儲存!F4892</f>
        <v>0</v>
      </c>
      <c r="AF120" s="39">
        <f>資料儲存!G4892</f>
        <v>0</v>
      </c>
      <c r="AG120" s="39">
        <f>資料儲存!H4892</f>
        <v>0</v>
      </c>
      <c r="AH120" s="39">
        <f>資料儲存!I4892</f>
        <v>0</v>
      </c>
      <c r="AI120" s="39">
        <f>資料儲存!J4892</f>
        <v>0</v>
      </c>
      <c r="AJ120" s="58"/>
    </row>
    <row r="121" spans="1:36" ht="16" thickBot="1">
      <c r="A121" s="61">
        <v>32</v>
      </c>
      <c r="B121" s="39">
        <f>資料儲存!D4173</f>
        <v>0</v>
      </c>
      <c r="C121" s="39">
        <f>資料儲存!E4173</f>
        <v>0</v>
      </c>
      <c r="D121" s="39">
        <f>資料儲存!F4173</f>
        <v>0</v>
      </c>
      <c r="E121" s="39">
        <f>資料儲存!G4173</f>
        <v>0</v>
      </c>
      <c r="F121" s="39">
        <f>資料儲存!H4173</f>
        <v>0</v>
      </c>
      <c r="G121" s="39">
        <f>資料儲存!I4173</f>
        <v>0</v>
      </c>
      <c r="H121" s="39">
        <f>資料儲存!J4173</f>
        <v>0</v>
      </c>
      <c r="I121" s="58"/>
      <c r="J121" s="61">
        <v>32</v>
      </c>
      <c r="K121" s="39">
        <f>資料儲存!D4413</f>
        <v>0</v>
      </c>
      <c r="L121" s="39">
        <f>資料儲存!E4413</f>
        <v>0</v>
      </c>
      <c r="M121" s="39">
        <f>資料儲存!F4413</f>
        <v>0</v>
      </c>
      <c r="N121" s="39">
        <f>資料儲存!G4413</f>
        <v>0</v>
      </c>
      <c r="O121" s="39">
        <f>資料儲存!H4413</f>
        <v>0</v>
      </c>
      <c r="P121" s="39">
        <f>資料儲存!I4413</f>
        <v>0</v>
      </c>
      <c r="Q121" s="39">
        <f>資料儲存!J4413</f>
        <v>0</v>
      </c>
      <c r="R121" s="58"/>
      <c r="S121" s="61">
        <v>32</v>
      </c>
      <c r="T121" s="39">
        <f>資料儲存!D4653</f>
        <v>0</v>
      </c>
      <c r="U121" s="39">
        <f>資料儲存!E4653</f>
        <v>0</v>
      </c>
      <c r="V121" s="39">
        <f>資料儲存!F4653</f>
        <v>0</v>
      </c>
      <c r="W121" s="39">
        <f>資料儲存!G4653</f>
        <v>0</v>
      </c>
      <c r="X121" s="39">
        <f>資料儲存!H4653</f>
        <v>0</v>
      </c>
      <c r="Y121" s="39">
        <f>資料儲存!I4653</f>
        <v>0</v>
      </c>
      <c r="Z121" s="39">
        <f>資料儲存!J4653</f>
        <v>0</v>
      </c>
      <c r="AA121" s="58"/>
      <c r="AB121" s="61">
        <v>32</v>
      </c>
      <c r="AC121" s="39">
        <f>資料儲存!D4893</f>
        <v>0</v>
      </c>
      <c r="AD121" s="39">
        <f>資料儲存!E4893</f>
        <v>0</v>
      </c>
      <c r="AE121" s="39">
        <f>資料儲存!F4893</f>
        <v>0</v>
      </c>
      <c r="AF121" s="39">
        <f>資料儲存!G4893</f>
        <v>0</v>
      </c>
      <c r="AG121" s="39">
        <f>資料儲存!H4893</f>
        <v>0</v>
      </c>
      <c r="AH121" s="39">
        <f>資料儲存!I4893</f>
        <v>0</v>
      </c>
      <c r="AI121" s="39">
        <f>資料儲存!J4893</f>
        <v>0</v>
      </c>
      <c r="AJ121" s="58"/>
    </row>
    <row r="122" spans="1:36" ht="16" thickBot="1">
      <c r="A122" s="61">
        <v>33</v>
      </c>
      <c r="B122" s="39">
        <f>資料儲存!D4174</f>
        <v>0</v>
      </c>
      <c r="C122" s="39">
        <f>資料儲存!E4174</f>
        <v>0</v>
      </c>
      <c r="D122" s="39">
        <f>資料儲存!F4174</f>
        <v>0</v>
      </c>
      <c r="E122" s="39">
        <f>資料儲存!G4174</f>
        <v>0</v>
      </c>
      <c r="F122" s="39">
        <f>資料儲存!H4174</f>
        <v>0</v>
      </c>
      <c r="G122" s="39">
        <f>資料儲存!I4174</f>
        <v>0</v>
      </c>
      <c r="H122" s="39">
        <f>資料儲存!J4174</f>
        <v>0</v>
      </c>
      <c r="I122" s="58"/>
      <c r="J122" s="61">
        <v>33</v>
      </c>
      <c r="K122" s="39">
        <f>資料儲存!D4414</f>
        <v>0</v>
      </c>
      <c r="L122" s="39">
        <f>資料儲存!E4414</f>
        <v>0</v>
      </c>
      <c r="M122" s="39">
        <f>資料儲存!F4414</f>
        <v>0</v>
      </c>
      <c r="N122" s="39">
        <f>資料儲存!G4414</f>
        <v>0</v>
      </c>
      <c r="O122" s="39">
        <f>資料儲存!H4414</f>
        <v>0</v>
      </c>
      <c r="P122" s="39">
        <f>資料儲存!I4414</f>
        <v>0</v>
      </c>
      <c r="Q122" s="39">
        <f>資料儲存!J4414</f>
        <v>0</v>
      </c>
      <c r="R122" s="58"/>
      <c r="S122" s="61">
        <v>33</v>
      </c>
      <c r="T122" s="39">
        <f>資料儲存!D4654</f>
        <v>0</v>
      </c>
      <c r="U122" s="39">
        <f>資料儲存!E4654</f>
        <v>0</v>
      </c>
      <c r="V122" s="39">
        <f>資料儲存!F4654</f>
        <v>0</v>
      </c>
      <c r="W122" s="39">
        <f>資料儲存!G4654</f>
        <v>0</v>
      </c>
      <c r="X122" s="39">
        <f>資料儲存!H4654</f>
        <v>0</v>
      </c>
      <c r="Y122" s="39">
        <f>資料儲存!I4654</f>
        <v>0</v>
      </c>
      <c r="Z122" s="39">
        <f>資料儲存!J4654</f>
        <v>0</v>
      </c>
      <c r="AA122" s="58"/>
      <c r="AB122" s="61">
        <v>33</v>
      </c>
      <c r="AC122" s="39">
        <f>資料儲存!D4894</f>
        <v>0</v>
      </c>
      <c r="AD122" s="39">
        <f>資料儲存!E4894</f>
        <v>0</v>
      </c>
      <c r="AE122" s="39">
        <f>資料儲存!F4894</f>
        <v>0</v>
      </c>
      <c r="AF122" s="39">
        <f>資料儲存!G4894</f>
        <v>0</v>
      </c>
      <c r="AG122" s="39">
        <f>資料儲存!H4894</f>
        <v>0</v>
      </c>
      <c r="AH122" s="39">
        <f>資料儲存!I4894</f>
        <v>0</v>
      </c>
      <c r="AI122" s="39">
        <f>資料儲存!J4894</f>
        <v>0</v>
      </c>
      <c r="AJ122" s="58"/>
    </row>
    <row r="123" spans="1:36" ht="16" thickBot="1">
      <c r="A123" s="61">
        <v>34</v>
      </c>
      <c r="B123" s="39">
        <f>資料儲存!D4175</f>
        <v>0</v>
      </c>
      <c r="C123" s="39">
        <f>資料儲存!E4175</f>
        <v>0</v>
      </c>
      <c r="D123" s="39">
        <f>資料儲存!F4175</f>
        <v>0</v>
      </c>
      <c r="E123" s="39">
        <f>資料儲存!G4175</f>
        <v>0</v>
      </c>
      <c r="F123" s="39">
        <f>資料儲存!H4175</f>
        <v>0</v>
      </c>
      <c r="G123" s="39">
        <f>資料儲存!I4175</f>
        <v>0</v>
      </c>
      <c r="H123" s="39">
        <f>資料儲存!J4175</f>
        <v>0</v>
      </c>
      <c r="I123" s="58"/>
      <c r="J123" s="61">
        <v>34</v>
      </c>
      <c r="K123" s="39">
        <f>資料儲存!D4415</f>
        <v>0</v>
      </c>
      <c r="L123" s="39">
        <f>資料儲存!E4415</f>
        <v>0</v>
      </c>
      <c r="M123" s="39">
        <f>資料儲存!F4415</f>
        <v>0</v>
      </c>
      <c r="N123" s="39">
        <f>資料儲存!G4415</f>
        <v>0</v>
      </c>
      <c r="O123" s="39">
        <f>資料儲存!H4415</f>
        <v>0</v>
      </c>
      <c r="P123" s="39">
        <f>資料儲存!I4415</f>
        <v>0</v>
      </c>
      <c r="Q123" s="39">
        <f>資料儲存!J4415</f>
        <v>0</v>
      </c>
      <c r="R123" s="58"/>
      <c r="S123" s="61">
        <v>34</v>
      </c>
      <c r="T123" s="39">
        <f>資料儲存!D4655</f>
        <v>0</v>
      </c>
      <c r="U123" s="39">
        <f>資料儲存!E4655</f>
        <v>0</v>
      </c>
      <c r="V123" s="39">
        <f>資料儲存!F4655</f>
        <v>0</v>
      </c>
      <c r="W123" s="39">
        <f>資料儲存!G4655</f>
        <v>0</v>
      </c>
      <c r="X123" s="39">
        <f>資料儲存!H4655</f>
        <v>0</v>
      </c>
      <c r="Y123" s="39">
        <f>資料儲存!I4655</f>
        <v>0</v>
      </c>
      <c r="Z123" s="39">
        <f>資料儲存!J4655</f>
        <v>0</v>
      </c>
      <c r="AA123" s="58"/>
      <c r="AB123" s="61">
        <v>34</v>
      </c>
      <c r="AC123" s="39">
        <f>資料儲存!D4895</f>
        <v>0</v>
      </c>
      <c r="AD123" s="39">
        <f>資料儲存!E4895</f>
        <v>0</v>
      </c>
      <c r="AE123" s="39">
        <f>資料儲存!F4895</f>
        <v>0</v>
      </c>
      <c r="AF123" s="39">
        <f>資料儲存!G4895</f>
        <v>0</v>
      </c>
      <c r="AG123" s="39">
        <f>資料儲存!H4895</f>
        <v>0</v>
      </c>
      <c r="AH123" s="39">
        <f>資料儲存!I4895</f>
        <v>0</v>
      </c>
      <c r="AI123" s="39">
        <f>資料儲存!J4895</f>
        <v>0</v>
      </c>
      <c r="AJ123" s="58"/>
    </row>
    <row r="124" spans="1:36" ht="16" thickBot="1">
      <c r="A124" s="61">
        <v>35</v>
      </c>
      <c r="B124" s="39">
        <f>資料儲存!D4176</f>
        <v>0</v>
      </c>
      <c r="C124" s="39">
        <f>資料儲存!E4176</f>
        <v>0</v>
      </c>
      <c r="D124" s="39">
        <f>資料儲存!F4176</f>
        <v>0</v>
      </c>
      <c r="E124" s="39">
        <f>資料儲存!G4176</f>
        <v>0</v>
      </c>
      <c r="F124" s="39">
        <f>資料儲存!H4176</f>
        <v>0</v>
      </c>
      <c r="G124" s="39">
        <f>資料儲存!I4176</f>
        <v>0</v>
      </c>
      <c r="H124" s="39">
        <f>資料儲存!J4176</f>
        <v>0</v>
      </c>
      <c r="I124" s="58"/>
      <c r="J124" s="61">
        <v>35</v>
      </c>
      <c r="K124" s="39">
        <f>資料儲存!D4416</f>
        <v>0</v>
      </c>
      <c r="L124" s="39">
        <f>資料儲存!E4416</f>
        <v>0</v>
      </c>
      <c r="M124" s="39">
        <f>資料儲存!F4416</f>
        <v>0</v>
      </c>
      <c r="N124" s="39">
        <f>資料儲存!G4416</f>
        <v>0</v>
      </c>
      <c r="O124" s="39">
        <f>資料儲存!H4416</f>
        <v>0</v>
      </c>
      <c r="P124" s="39">
        <f>資料儲存!I4416</f>
        <v>0</v>
      </c>
      <c r="Q124" s="39">
        <f>資料儲存!J4416</f>
        <v>0</v>
      </c>
      <c r="R124" s="58"/>
      <c r="S124" s="61">
        <v>35</v>
      </c>
      <c r="T124" s="39">
        <f>資料儲存!D4656</f>
        <v>0</v>
      </c>
      <c r="U124" s="39">
        <f>資料儲存!E4656</f>
        <v>0</v>
      </c>
      <c r="V124" s="39">
        <f>資料儲存!F4656</f>
        <v>0</v>
      </c>
      <c r="W124" s="39">
        <f>資料儲存!G4656</f>
        <v>0</v>
      </c>
      <c r="X124" s="39">
        <f>資料儲存!H4656</f>
        <v>0</v>
      </c>
      <c r="Y124" s="39">
        <f>資料儲存!I4656</f>
        <v>0</v>
      </c>
      <c r="Z124" s="39">
        <f>資料儲存!J4656</f>
        <v>0</v>
      </c>
      <c r="AA124" s="58"/>
      <c r="AB124" s="61">
        <v>35</v>
      </c>
      <c r="AC124" s="39">
        <f>資料儲存!D4896</f>
        <v>0</v>
      </c>
      <c r="AD124" s="39">
        <f>資料儲存!E4896</f>
        <v>0</v>
      </c>
      <c r="AE124" s="39">
        <f>資料儲存!F4896</f>
        <v>0</v>
      </c>
      <c r="AF124" s="39">
        <f>資料儲存!G4896</f>
        <v>0</v>
      </c>
      <c r="AG124" s="39">
        <f>資料儲存!H4896</f>
        <v>0</v>
      </c>
      <c r="AH124" s="39">
        <f>資料儲存!I4896</f>
        <v>0</v>
      </c>
      <c r="AI124" s="39">
        <f>資料儲存!J4896</f>
        <v>0</v>
      </c>
      <c r="AJ124" s="58"/>
    </row>
    <row r="125" spans="1:36" ht="16" thickBot="1">
      <c r="A125" s="61">
        <v>36</v>
      </c>
      <c r="B125" s="39">
        <f>資料儲存!D4177</f>
        <v>0</v>
      </c>
      <c r="C125" s="39">
        <f>資料儲存!E4177</f>
        <v>0</v>
      </c>
      <c r="D125" s="39">
        <f>資料儲存!F4177</f>
        <v>0</v>
      </c>
      <c r="E125" s="39">
        <f>資料儲存!G4177</f>
        <v>0</v>
      </c>
      <c r="F125" s="39">
        <f>資料儲存!H4177</f>
        <v>0</v>
      </c>
      <c r="G125" s="39">
        <f>資料儲存!I4177</f>
        <v>0</v>
      </c>
      <c r="H125" s="39">
        <f>資料儲存!J4177</f>
        <v>0</v>
      </c>
      <c r="I125" s="58"/>
      <c r="J125" s="61">
        <v>36</v>
      </c>
      <c r="K125" s="39">
        <f>資料儲存!D4417</f>
        <v>0</v>
      </c>
      <c r="L125" s="39">
        <f>資料儲存!E4417</f>
        <v>0</v>
      </c>
      <c r="M125" s="39">
        <f>資料儲存!F4417</f>
        <v>0</v>
      </c>
      <c r="N125" s="39">
        <f>資料儲存!G4417</f>
        <v>0</v>
      </c>
      <c r="O125" s="39">
        <f>資料儲存!H4417</f>
        <v>0</v>
      </c>
      <c r="P125" s="39">
        <f>資料儲存!I4417</f>
        <v>0</v>
      </c>
      <c r="Q125" s="39">
        <f>資料儲存!J4417</f>
        <v>0</v>
      </c>
      <c r="R125" s="58"/>
      <c r="S125" s="61">
        <v>36</v>
      </c>
      <c r="T125" s="39">
        <f>資料儲存!D4657</f>
        <v>0</v>
      </c>
      <c r="U125" s="39">
        <f>資料儲存!E4657</f>
        <v>0</v>
      </c>
      <c r="V125" s="39">
        <f>資料儲存!F4657</f>
        <v>0</v>
      </c>
      <c r="W125" s="39">
        <f>資料儲存!G4657</f>
        <v>0</v>
      </c>
      <c r="X125" s="39">
        <f>資料儲存!H4657</f>
        <v>0</v>
      </c>
      <c r="Y125" s="39">
        <f>資料儲存!I4657</f>
        <v>0</v>
      </c>
      <c r="Z125" s="39">
        <f>資料儲存!J4657</f>
        <v>0</v>
      </c>
      <c r="AA125" s="58"/>
      <c r="AB125" s="61">
        <v>36</v>
      </c>
      <c r="AC125" s="39">
        <f>資料儲存!D4897</f>
        <v>0</v>
      </c>
      <c r="AD125" s="39">
        <f>資料儲存!E4897</f>
        <v>0</v>
      </c>
      <c r="AE125" s="39">
        <f>資料儲存!F4897</f>
        <v>0</v>
      </c>
      <c r="AF125" s="39">
        <f>資料儲存!G4897</f>
        <v>0</v>
      </c>
      <c r="AG125" s="39">
        <f>資料儲存!H4897</f>
        <v>0</v>
      </c>
      <c r="AH125" s="39">
        <f>資料儲存!I4897</f>
        <v>0</v>
      </c>
      <c r="AI125" s="39">
        <f>資料儲存!J4897</f>
        <v>0</v>
      </c>
      <c r="AJ125" s="58"/>
    </row>
    <row r="126" spans="1:36" ht="16" thickBot="1">
      <c r="A126" s="61">
        <v>37</v>
      </c>
      <c r="B126" s="39">
        <f>資料儲存!D4178</f>
        <v>0</v>
      </c>
      <c r="C126" s="39">
        <f>資料儲存!E4178</f>
        <v>0</v>
      </c>
      <c r="D126" s="39">
        <f>資料儲存!F4178</f>
        <v>0</v>
      </c>
      <c r="E126" s="39">
        <f>資料儲存!G4178</f>
        <v>0</v>
      </c>
      <c r="F126" s="39">
        <f>資料儲存!H4178</f>
        <v>0</v>
      </c>
      <c r="G126" s="39">
        <f>資料儲存!I4178</f>
        <v>0</v>
      </c>
      <c r="H126" s="39">
        <f>資料儲存!J4178</f>
        <v>0</v>
      </c>
      <c r="I126" s="58"/>
      <c r="J126" s="61">
        <v>37</v>
      </c>
      <c r="K126" s="39">
        <f>資料儲存!D4418</f>
        <v>0</v>
      </c>
      <c r="L126" s="39">
        <f>資料儲存!E4418</f>
        <v>0</v>
      </c>
      <c r="M126" s="39">
        <f>資料儲存!F4418</f>
        <v>0</v>
      </c>
      <c r="N126" s="39">
        <f>資料儲存!G4418</f>
        <v>0</v>
      </c>
      <c r="O126" s="39">
        <f>資料儲存!H4418</f>
        <v>0</v>
      </c>
      <c r="P126" s="39">
        <f>資料儲存!I4418</f>
        <v>0</v>
      </c>
      <c r="Q126" s="39">
        <f>資料儲存!J4418</f>
        <v>0</v>
      </c>
      <c r="R126" s="58"/>
      <c r="S126" s="61">
        <v>37</v>
      </c>
      <c r="T126" s="39">
        <f>資料儲存!D4658</f>
        <v>0</v>
      </c>
      <c r="U126" s="39">
        <f>資料儲存!E4658</f>
        <v>0</v>
      </c>
      <c r="V126" s="39">
        <f>資料儲存!F4658</f>
        <v>0</v>
      </c>
      <c r="W126" s="39">
        <f>資料儲存!G4658</f>
        <v>0</v>
      </c>
      <c r="X126" s="39">
        <f>資料儲存!H4658</f>
        <v>0</v>
      </c>
      <c r="Y126" s="39">
        <f>資料儲存!I4658</f>
        <v>0</v>
      </c>
      <c r="Z126" s="39">
        <f>資料儲存!J4658</f>
        <v>0</v>
      </c>
      <c r="AA126" s="58"/>
      <c r="AB126" s="61">
        <v>37</v>
      </c>
      <c r="AC126" s="39">
        <f>資料儲存!D4898</f>
        <v>0</v>
      </c>
      <c r="AD126" s="39">
        <f>資料儲存!E4898</f>
        <v>0</v>
      </c>
      <c r="AE126" s="39">
        <f>資料儲存!F4898</f>
        <v>0</v>
      </c>
      <c r="AF126" s="39">
        <f>資料儲存!G4898</f>
        <v>0</v>
      </c>
      <c r="AG126" s="39">
        <f>資料儲存!H4898</f>
        <v>0</v>
      </c>
      <c r="AH126" s="39">
        <f>資料儲存!I4898</f>
        <v>0</v>
      </c>
      <c r="AI126" s="39">
        <f>資料儲存!J4898</f>
        <v>0</v>
      </c>
      <c r="AJ126" s="58"/>
    </row>
    <row r="127" spans="1:36" ht="16" thickBot="1">
      <c r="A127" s="61">
        <v>38</v>
      </c>
      <c r="B127" s="39">
        <f>資料儲存!D4179</f>
        <v>0</v>
      </c>
      <c r="C127" s="39">
        <f>資料儲存!E4179</f>
        <v>0</v>
      </c>
      <c r="D127" s="39">
        <f>資料儲存!F4179</f>
        <v>0</v>
      </c>
      <c r="E127" s="39">
        <f>資料儲存!G4179</f>
        <v>0</v>
      </c>
      <c r="F127" s="39">
        <f>資料儲存!H4179</f>
        <v>0</v>
      </c>
      <c r="G127" s="39">
        <f>資料儲存!I4179</f>
        <v>0</v>
      </c>
      <c r="H127" s="39">
        <f>資料儲存!J4179</f>
        <v>0</v>
      </c>
      <c r="I127" s="58"/>
      <c r="J127" s="61">
        <v>38</v>
      </c>
      <c r="K127" s="39">
        <f>資料儲存!D4419</f>
        <v>0</v>
      </c>
      <c r="L127" s="39">
        <f>資料儲存!E4419</f>
        <v>0</v>
      </c>
      <c r="M127" s="39">
        <f>資料儲存!F4419</f>
        <v>0</v>
      </c>
      <c r="N127" s="39">
        <f>資料儲存!G4419</f>
        <v>0</v>
      </c>
      <c r="O127" s="39">
        <f>資料儲存!H4419</f>
        <v>0</v>
      </c>
      <c r="P127" s="39">
        <f>資料儲存!I4419</f>
        <v>0</v>
      </c>
      <c r="Q127" s="39">
        <f>資料儲存!J4419</f>
        <v>0</v>
      </c>
      <c r="R127" s="58"/>
      <c r="S127" s="61">
        <v>38</v>
      </c>
      <c r="T127" s="39">
        <f>資料儲存!D4659</f>
        <v>0</v>
      </c>
      <c r="U127" s="39">
        <f>資料儲存!E4659</f>
        <v>0</v>
      </c>
      <c r="V127" s="39">
        <f>資料儲存!F4659</f>
        <v>0</v>
      </c>
      <c r="W127" s="39">
        <f>資料儲存!G4659</f>
        <v>0</v>
      </c>
      <c r="X127" s="39">
        <f>資料儲存!H4659</f>
        <v>0</v>
      </c>
      <c r="Y127" s="39">
        <f>資料儲存!I4659</f>
        <v>0</v>
      </c>
      <c r="Z127" s="39">
        <f>資料儲存!J4659</f>
        <v>0</v>
      </c>
      <c r="AA127" s="58"/>
      <c r="AB127" s="61">
        <v>38</v>
      </c>
      <c r="AC127" s="39">
        <f>資料儲存!D4899</f>
        <v>0</v>
      </c>
      <c r="AD127" s="39">
        <f>資料儲存!E4899</f>
        <v>0</v>
      </c>
      <c r="AE127" s="39">
        <f>資料儲存!F4899</f>
        <v>0</v>
      </c>
      <c r="AF127" s="39">
        <f>資料儲存!G4899</f>
        <v>0</v>
      </c>
      <c r="AG127" s="39">
        <f>資料儲存!H4899</f>
        <v>0</v>
      </c>
      <c r="AH127" s="39">
        <f>資料儲存!I4899</f>
        <v>0</v>
      </c>
      <c r="AI127" s="39">
        <f>資料儲存!J4899</f>
        <v>0</v>
      </c>
      <c r="AJ127" s="58"/>
    </row>
    <row r="128" spans="1:36" ht="16" thickBot="1">
      <c r="A128" s="61">
        <v>39</v>
      </c>
      <c r="B128" s="39">
        <f>資料儲存!D4180</f>
        <v>0</v>
      </c>
      <c r="C128" s="39">
        <f>資料儲存!E4180</f>
        <v>0</v>
      </c>
      <c r="D128" s="39">
        <f>資料儲存!F4180</f>
        <v>0</v>
      </c>
      <c r="E128" s="39">
        <f>資料儲存!G4180</f>
        <v>0</v>
      </c>
      <c r="F128" s="39">
        <f>資料儲存!H4180</f>
        <v>0</v>
      </c>
      <c r="G128" s="39">
        <f>資料儲存!I4180</f>
        <v>0</v>
      </c>
      <c r="H128" s="39">
        <f>資料儲存!J4180</f>
        <v>0</v>
      </c>
      <c r="I128" s="58"/>
      <c r="J128" s="61">
        <v>39</v>
      </c>
      <c r="K128" s="39">
        <f>資料儲存!D4420</f>
        <v>0</v>
      </c>
      <c r="L128" s="39">
        <f>資料儲存!E4420</f>
        <v>0</v>
      </c>
      <c r="M128" s="39">
        <f>資料儲存!F4420</f>
        <v>0</v>
      </c>
      <c r="N128" s="39">
        <f>資料儲存!G4420</f>
        <v>0</v>
      </c>
      <c r="O128" s="39">
        <f>資料儲存!H4420</f>
        <v>0</v>
      </c>
      <c r="P128" s="39">
        <f>資料儲存!I4420</f>
        <v>0</v>
      </c>
      <c r="Q128" s="39">
        <f>資料儲存!J4420</f>
        <v>0</v>
      </c>
      <c r="R128" s="58"/>
      <c r="S128" s="61">
        <v>39</v>
      </c>
      <c r="T128" s="39">
        <f>資料儲存!D4660</f>
        <v>0</v>
      </c>
      <c r="U128" s="39">
        <f>資料儲存!E4660</f>
        <v>0</v>
      </c>
      <c r="V128" s="39">
        <f>資料儲存!F4660</f>
        <v>0</v>
      </c>
      <c r="W128" s="39">
        <f>資料儲存!G4660</f>
        <v>0</v>
      </c>
      <c r="X128" s="39">
        <f>資料儲存!H4660</f>
        <v>0</v>
      </c>
      <c r="Y128" s="39">
        <f>資料儲存!I4660</f>
        <v>0</v>
      </c>
      <c r="Z128" s="39">
        <f>資料儲存!J4660</f>
        <v>0</v>
      </c>
      <c r="AA128" s="58"/>
      <c r="AB128" s="61">
        <v>39</v>
      </c>
      <c r="AC128" s="39">
        <f>資料儲存!D4900</f>
        <v>0</v>
      </c>
      <c r="AD128" s="39">
        <f>資料儲存!E4900</f>
        <v>0</v>
      </c>
      <c r="AE128" s="39">
        <f>資料儲存!F4900</f>
        <v>0</v>
      </c>
      <c r="AF128" s="39">
        <f>資料儲存!G4900</f>
        <v>0</v>
      </c>
      <c r="AG128" s="39">
        <f>資料儲存!H4900</f>
        <v>0</v>
      </c>
      <c r="AH128" s="39">
        <f>資料儲存!I4900</f>
        <v>0</v>
      </c>
      <c r="AI128" s="39">
        <f>資料儲存!J4900</f>
        <v>0</v>
      </c>
      <c r="AJ128" s="58"/>
    </row>
    <row r="129" spans="1:36" ht="16" thickBot="1">
      <c r="A129" s="61">
        <v>40</v>
      </c>
      <c r="B129" s="39">
        <f>資料儲存!D4181</f>
        <v>0</v>
      </c>
      <c r="C129" s="39">
        <f>資料儲存!E4181</f>
        <v>0</v>
      </c>
      <c r="D129" s="39">
        <f>資料儲存!F4181</f>
        <v>0</v>
      </c>
      <c r="E129" s="39">
        <f>資料儲存!G4181</f>
        <v>0</v>
      </c>
      <c r="F129" s="39">
        <f>資料儲存!H4181</f>
        <v>0</v>
      </c>
      <c r="G129" s="39">
        <f>資料儲存!I4181</f>
        <v>0</v>
      </c>
      <c r="H129" s="39">
        <f>資料儲存!J4181</f>
        <v>0</v>
      </c>
      <c r="I129" s="58"/>
      <c r="J129" s="61">
        <v>40</v>
      </c>
      <c r="K129" s="39">
        <f>資料儲存!D4421</f>
        <v>0</v>
      </c>
      <c r="L129" s="39">
        <f>資料儲存!E4421</f>
        <v>0</v>
      </c>
      <c r="M129" s="39">
        <f>資料儲存!F4421</f>
        <v>0</v>
      </c>
      <c r="N129" s="39">
        <f>資料儲存!G4421</f>
        <v>0</v>
      </c>
      <c r="O129" s="39">
        <f>資料儲存!H4421</f>
        <v>0</v>
      </c>
      <c r="P129" s="39">
        <f>資料儲存!I4421</f>
        <v>0</v>
      </c>
      <c r="Q129" s="39">
        <f>資料儲存!J4421</f>
        <v>0</v>
      </c>
      <c r="R129" s="58"/>
      <c r="S129" s="61">
        <v>40</v>
      </c>
      <c r="T129" s="39">
        <f>資料儲存!D4661</f>
        <v>0</v>
      </c>
      <c r="U129" s="39">
        <f>資料儲存!E4661</f>
        <v>0</v>
      </c>
      <c r="V129" s="39">
        <f>資料儲存!F4661</f>
        <v>0</v>
      </c>
      <c r="W129" s="39">
        <f>資料儲存!G4661</f>
        <v>0</v>
      </c>
      <c r="X129" s="39">
        <f>資料儲存!H4661</f>
        <v>0</v>
      </c>
      <c r="Y129" s="39">
        <f>資料儲存!I4661</f>
        <v>0</v>
      </c>
      <c r="Z129" s="39">
        <f>資料儲存!J4661</f>
        <v>0</v>
      </c>
      <c r="AA129" s="58"/>
      <c r="AB129" s="61">
        <v>40</v>
      </c>
      <c r="AC129" s="39">
        <f>資料儲存!D4901</f>
        <v>0</v>
      </c>
      <c r="AD129" s="39">
        <f>資料儲存!E4901</f>
        <v>0</v>
      </c>
      <c r="AE129" s="39">
        <f>資料儲存!F4901</f>
        <v>0</v>
      </c>
      <c r="AF129" s="39">
        <f>資料儲存!G4901</f>
        <v>0</v>
      </c>
      <c r="AG129" s="39">
        <f>資料儲存!H4901</f>
        <v>0</v>
      </c>
      <c r="AH129" s="39">
        <f>資料儲存!I4901</f>
        <v>0</v>
      </c>
      <c r="AI129" s="39">
        <f>資料儲存!J4901</f>
        <v>0</v>
      </c>
      <c r="AJ129" s="58"/>
    </row>
    <row r="130" spans="1:36" ht="16" thickBot="1">
      <c r="A130" s="61">
        <v>41</v>
      </c>
      <c r="B130" s="39">
        <f>資料儲存!D4182</f>
        <v>0</v>
      </c>
      <c r="C130" s="39">
        <f>資料儲存!E4182</f>
        <v>0</v>
      </c>
      <c r="D130" s="39">
        <f>資料儲存!F4182</f>
        <v>0</v>
      </c>
      <c r="E130" s="39">
        <f>資料儲存!G4182</f>
        <v>0</v>
      </c>
      <c r="F130" s="39">
        <f>資料儲存!H4182</f>
        <v>0</v>
      </c>
      <c r="G130" s="39">
        <f>資料儲存!I4182</f>
        <v>0</v>
      </c>
      <c r="H130" s="39">
        <f>資料儲存!J4182</f>
        <v>0</v>
      </c>
      <c r="I130" s="58"/>
      <c r="J130" s="61">
        <v>41</v>
      </c>
      <c r="K130" s="39">
        <f>資料儲存!D4422</f>
        <v>0</v>
      </c>
      <c r="L130" s="39">
        <f>資料儲存!E4422</f>
        <v>0</v>
      </c>
      <c r="M130" s="39">
        <f>資料儲存!F4422</f>
        <v>0</v>
      </c>
      <c r="N130" s="39">
        <f>資料儲存!G4422</f>
        <v>0</v>
      </c>
      <c r="O130" s="39">
        <f>資料儲存!H4422</f>
        <v>0</v>
      </c>
      <c r="P130" s="39">
        <f>資料儲存!I4422</f>
        <v>0</v>
      </c>
      <c r="Q130" s="39">
        <f>資料儲存!J4422</f>
        <v>0</v>
      </c>
      <c r="R130" s="58"/>
      <c r="S130" s="61">
        <v>41</v>
      </c>
      <c r="T130" s="39">
        <f>資料儲存!D4662</f>
        <v>0</v>
      </c>
      <c r="U130" s="39">
        <f>資料儲存!E4662</f>
        <v>0</v>
      </c>
      <c r="V130" s="39">
        <f>資料儲存!F4662</f>
        <v>0</v>
      </c>
      <c r="W130" s="39">
        <f>資料儲存!G4662</f>
        <v>0</v>
      </c>
      <c r="X130" s="39">
        <f>資料儲存!H4662</f>
        <v>0</v>
      </c>
      <c r="Y130" s="39">
        <f>資料儲存!I4662</f>
        <v>0</v>
      </c>
      <c r="Z130" s="39">
        <f>資料儲存!J4662</f>
        <v>0</v>
      </c>
      <c r="AA130" s="58"/>
      <c r="AB130" s="61">
        <v>41</v>
      </c>
      <c r="AC130" s="39">
        <f>資料儲存!D4902</f>
        <v>0</v>
      </c>
      <c r="AD130" s="39">
        <f>資料儲存!E4902</f>
        <v>0</v>
      </c>
      <c r="AE130" s="39">
        <f>資料儲存!F4902</f>
        <v>0</v>
      </c>
      <c r="AF130" s="39">
        <f>資料儲存!G4902</f>
        <v>0</v>
      </c>
      <c r="AG130" s="39">
        <f>資料儲存!H4902</f>
        <v>0</v>
      </c>
      <c r="AH130" s="39">
        <f>資料儲存!I4902</f>
        <v>0</v>
      </c>
      <c r="AI130" s="39">
        <f>資料儲存!J4902</f>
        <v>0</v>
      </c>
      <c r="AJ130" s="58"/>
    </row>
    <row r="131" spans="1:36" ht="16" thickBot="1">
      <c r="A131" s="61">
        <v>42</v>
      </c>
      <c r="B131" s="39">
        <f>資料儲存!D4183</f>
        <v>0</v>
      </c>
      <c r="C131" s="39">
        <f>資料儲存!E4183</f>
        <v>0</v>
      </c>
      <c r="D131" s="39">
        <f>資料儲存!F4183</f>
        <v>0</v>
      </c>
      <c r="E131" s="39">
        <f>資料儲存!G4183</f>
        <v>0</v>
      </c>
      <c r="F131" s="39">
        <f>資料儲存!H4183</f>
        <v>0</v>
      </c>
      <c r="G131" s="39">
        <f>資料儲存!I4183</f>
        <v>0</v>
      </c>
      <c r="H131" s="39">
        <f>資料儲存!J4183</f>
        <v>0</v>
      </c>
      <c r="I131" s="58"/>
      <c r="J131" s="61">
        <v>42</v>
      </c>
      <c r="K131" s="39">
        <f>資料儲存!D4423</f>
        <v>0</v>
      </c>
      <c r="L131" s="39">
        <f>資料儲存!E4423</f>
        <v>0</v>
      </c>
      <c r="M131" s="39">
        <f>資料儲存!F4423</f>
        <v>0</v>
      </c>
      <c r="N131" s="39">
        <f>資料儲存!G4423</f>
        <v>0</v>
      </c>
      <c r="O131" s="39">
        <f>資料儲存!H4423</f>
        <v>0</v>
      </c>
      <c r="P131" s="39">
        <f>資料儲存!I4423</f>
        <v>0</v>
      </c>
      <c r="Q131" s="39">
        <f>資料儲存!J4423</f>
        <v>0</v>
      </c>
      <c r="R131" s="58"/>
      <c r="S131" s="61">
        <v>42</v>
      </c>
      <c r="T131" s="39">
        <f>資料儲存!D4663</f>
        <v>0</v>
      </c>
      <c r="U131" s="39">
        <f>資料儲存!E4663</f>
        <v>0</v>
      </c>
      <c r="V131" s="39">
        <f>資料儲存!F4663</f>
        <v>0</v>
      </c>
      <c r="W131" s="39">
        <f>資料儲存!G4663</f>
        <v>0</v>
      </c>
      <c r="X131" s="39">
        <f>資料儲存!H4663</f>
        <v>0</v>
      </c>
      <c r="Y131" s="39">
        <f>資料儲存!I4663</f>
        <v>0</v>
      </c>
      <c r="Z131" s="39">
        <f>資料儲存!J4663</f>
        <v>0</v>
      </c>
      <c r="AA131" s="58"/>
      <c r="AB131" s="61">
        <v>42</v>
      </c>
      <c r="AC131" s="39">
        <f>資料儲存!D4903</f>
        <v>0</v>
      </c>
      <c r="AD131" s="39">
        <f>資料儲存!E4903</f>
        <v>0</v>
      </c>
      <c r="AE131" s="39">
        <f>資料儲存!F4903</f>
        <v>0</v>
      </c>
      <c r="AF131" s="39">
        <f>資料儲存!G4903</f>
        <v>0</v>
      </c>
      <c r="AG131" s="39">
        <f>資料儲存!H4903</f>
        <v>0</v>
      </c>
      <c r="AH131" s="39">
        <f>資料儲存!I4903</f>
        <v>0</v>
      </c>
      <c r="AI131" s="39">
        <f>資料儲存!J4903</f>
        <v>0</v>
      </c>
      <c r="AJ131" s="58"/>
    </row>
    <row r="132" spans="1:36" ht="16" thickBot="1">
      <c r="A132" s="61">
        <v>43</v>
      </c>
      <c r="B132" s="39">
        <f>資料儲存!D4184</f>
        <v>0</v>
      </c>
      <c r="C132" s="39">
        <f>資料儲存!E4184</f>
        <v>0</v>
      </c>
      <c r="D132" s="39">
        <f>資料儲存!F4184</f>
        <v>0</v>
      </c>
      <c r="E132" s="39">
        <f>資料儲存!G4184</f>
        <v>0</v>
      </c>
      <c r="F132" s="39">
        <f>資料儲存!H4184</f>
        <v>0</v>
      </c>
      <c r="G132" s="39">
        <f>資料儲存!I4184</f>
        <v>0</v>
      </c>
      <c r="H132" s="39">
        <f>資料儲存!J4184</f>
        <v>0</v>
      </c>
      <c r="I132" s="58"/>
      <c r="J132" s="61">
        <v>43</v>
      </c>
      <c r="K132" s="39">
        <f>資料儲存!D4424</f>
        <v>0</v>
      </c>
      <c r="L132" s="39">
        <f>資料儲存!E4424</f>
        <v>0</v>
      </c>
      <c r="M132" s="39">
        <f>資料儲存!F4424</f>
        <v>0</v>
      </c>
      <c r="N132" s="39">
        <f>資料儲存!G4424</f>
        <v>0</v>
      </c>
      <c r="O132" s="39">
        <f>資料儲存!H4424</f>
        <v>0</v>
      </c>
      <c r="P132" s="39">
        <f>資料儲存!I4424</f>
        <v>0</v>
      </c>
      <c r="Q132" s="39">
        <f>資料儲存!J4424</f>
        <v>0</v>
      </c>
      <c r="R132" s="58"/>
      <c r="S132" s="61">
        <v>43</v>
      </c>
      <c r="T132" s="39">
        <f>資料儲存!D4664</f>
        <v>0</v>
      </c>
      <c r="U132" s="39">
        <f>資料儲存!E4664</f>
        <v>0</v>
      </c>
      <c r="V132" s="39">
        <f>資料儲存!F4664</f>
        <v>0</v>
      </c>
      <c r="W132" s="39">
        <f>資料儲存!G4664</f>
        <v>0</v>
      </c>
      <c r="X132" s="39">
        <f>資料儲存!H4664</f>
        <v>0</v>
      </c>
      <c r="Y132" s="39">
        <f>資料儲存!I4664</f>
        <v>0</v>
      </c>
      <c r="Z132" s="39">
        <f>資料儲存!J4664</f>
        <v>0</v>
      </c>
      <c r="AA132" s="58"/>
      <c r="AB132" s="61">
        <v>43</v>
      </c>
      <c r="AC132" s="39">
        <f>資料儲存!D4904</f>
        <v>0</v>
      </c>
      <c r="AD132" s="39">
        <f>資料儲存!E4904</f>
        <v>0</v>
      </c>
      <c r="AE132" s="39">
        <f>資料儲存!F4904</f>
        <v>0</v>
      </c>
      <c r="AF132" s="39">
        <f>資料儲存!G4904</f>
        <v>0</v>
      </c>
      <c r="AG132" s="39">
        <f>資料儲存!H4904</f>
        <v>0</v>
      </c>
      <c r="AH132" s="39">
        <f>資料儲存!I4904</f>
        <v>0</v>
      </c>
      <c r="AI132" s="39">
        <f>資料儲存!J4904</f>
        <v>0</v>
      </c>
      <c r="AJ132" s="58"/>
    </row>
    <row r="133" spans="1:36" ht="16" thickBot="1">
      <c r="A133" s="61">
        <v>44</v>
      </c>
      <c r="B133" s="39">
        <f>資料儲存!D4185</f>
        <v>0</v>
      </c>
      <c r="C133" s="39">
        <f>資料儲存!E4185</f>
        <v>0</v>
      </c>
      <c r="D133" s="39">
        <f>資料儲存!F4185</f>
        <v>0</v>
      </c>
      <c r="E133" s="39">
        <f>資料儲存!G4185</f>
        <v>0</v>
      </c>
      <c r="F133" s="39">
        <f>資料儲存!H4185</f>
        <v>0</v>
      </c>
      <c r="G133" s="39">
        <f>資料儲存!I4185</f>
        <v>0</v>
      </c>
      <c r="H133" s="39">
        <f>資料儲存!J4185</f>
        <v>0</v>
      </c>
      <c r="I133" s="58"/>
      <c r="J133" s="61">
        <v>44</v>
      </c>
      <c r="K133" s="39">
        <f>資料儲存!D4425</f>
        <v>0</v>
      </c>
      <c r="L133" s="39">
        <f>資料儲存!E4425</f>
        <v>0</v>
      </c>
      <c r="M133" s="39">
        <f>資料儲存!F4425</f>
        <v>0</v>
      </c>
      <c r="N133" s="39">
        <f>資料儲存!G4425</f>
        <v>0</v>
      </c>
      <c r="O133" s="39">
        <f>資料儲存!H4425</f>
        <v>0</v>
      </c>
      <c r="P133" s="39">
        <f>資料儲存!I4425</f>
        <v>0</v>
      </c>
      <c r="Q133" s="39">
        <f>資料儲存!J4425</f>
        <v>0</v>
      </c>
      <c r="R133" s="58"/>
      <c r="S133" s="61">
        <v>44</v>
      </c>
      <c r="T133" s="39">
        <f>資料儲存!D4665</f>
        <v>0</v>
      </c>
      <c r="U133" s="39">
        <f>資料儲存!E4665</f>
        <v>0</v>
      </c>
      <c r="V133" s="39">
        <f>資料儲存!F4665</f>
        <v>0</v>
      </c>
      <c r="W133" s="39">
        <f>資料儲存!G4665</f>
        <v>0</v>
      </c>
      <c r="X133" s="39">
        <f>資料儲存!H4665</f>
        <v>0</v>
      </c>
      <c r="Y133" s="39">
        <f>資料儲存!I4665</f>
        <v>0</v>
      </c>
      <c r="Z133" s="39">
        <f>資料儲存!J4665</f>
        <v>0</v>
      </c>
      <c r="AA133" s="58"/>
      <c r="AB133" s="61">
        <v>44</v>
      </c>
      <c r="AC133" s="39">
        <f>資料儲存!D4905</f>
        <v>0</v>
      </c>
      <c r="AD133" s="39">
        <f>資料儲存!E4905</f>
        <v>0</v>
      </c>
      <c r="AE133" s="39">
        <f>資料儲存!F4905</f>
        <v>0</v>
      </c>
      <c r="AF133" s="39">
        <f>資料儲存!G4905</f>
        <v>0</v>
      </c>
      <c r="AG133" s="39">
        <f>資料儲存!H4905</f>
        <v>0</v>
      </c>
      <c r="AH133" s="39">
        <f>資料儲存!I4905</f>
        <v>0</v>
      </c>
      <c r="AI133" s="39">
        <f>資料儲存!J4905</f>
        <v>0</v>
      </c>
      <c r="AJ133" s="58"/>
    </row>
    <row r="134" spans="1:36" ht="16" thickBot="1">
      <c r="A134" s="61">
        <v>45</v>
      </c>
      <c r="B134" s="39">
        <f>資料儲存!D4186</f>
        <v>0</v>
      </c>
      <c r="C134" s="39">
        <f>資料儲存!E4186</f>
        <v>0</v>
      </c>
      <c r="D134" s="39">
        <f>資料儲存!F4186</f>
        <v>0</v>
      </c>
      <c r="E134" s="39">
        <f>資料儲存!G4186</f>
        <v>0</v>
      </c>
      <c r="F134" s="39">
        <f>資料儲存!H4186</f>
        <v>0</v>
      </c>
      <c r="G134" s="39">
        <f>資料儲存!I4186</f>
        <v>0</v>
      </c>
      <c r="H134" s="39">
        <f>資料儲存!J4186</f>
        <v>0</v>
      </c>
      <c r="I134" s="58"/>
      <c r="J134" s="61">
        <v>45</v>
      </c>
      <c r="K134" s="39">
        <f>資料儲存!D4426</f>
        <v>0</v>
      </c>
      <c r="L134" s="39">
        <f>資料儲存!E4426</f>
        <v>0</v>
      </c>
      <c r="M134" s="39">
        <f>資料儲存!F4426</f>
        <v>0</v>
      </c>
      <c r="N134" s="39">
        <f>資料儲存!G4426</f>
        <v>0</v>
      </c>
      <c r="O134" s="39">
        <f>資料儲存!H4426</f>
        <v>0</v>
      </c>
      <c r="P134" s="39">
        <f>資料儲存!I4426</f>
        <v>0</v>
      </c>
      <c r="Q134" s="39">
        <f>資料儲存!J4426</f>
        <v>0</v>
      </c>
      <c r="R134" s="58"/>
      <c r="S134" s="61">
        <v>45</v>
      </c>
      <c r="T134" s="39">
        <f>資料儲存!D4666</f>
        <v>0</v>
      </c>
      <c r="U134" s="39">
        <f>資料儲存!E4666</f>
        <v>0</v>
      </c>
      <c r="V134" s="39">
        <f>資料儲存!F4666</f>
        <v>0</v>
      </c>
      <c r="W134" s="39">
        <f>資料儲存!G4666</f>
        <v>0</v>
      </c>
      <c r="X134" s="39">
        <f>資料儲存!H4666</f>
        <v>0</v>
      </c>
      <c r="Y134" s="39">
        <f>資料儲存!I4666</f>
        <v>0</v>
      </c>
      <c r="Z134" s="39">
        <f>資料儲存!J4666</f>
        <v>0</v>
      </c>
      <c r="AA134" s="58"/>
      <c r="AB134" s="61">
        <v>45</v>
      </c>
      <c r="AC134" s="39">
        <f>資料儲存!D4906</f>
        <v>0</v>
      </c>
      <c r="AD134" s="39">
        <f>資料儲存!E4906</f>
        <v>0</v>
      </c>
      <c r="AE134" s="39">
        <f>資料儲存!F4906</f>
        <v>0</v>
      </c>
      <c r="AF134" s="39">
        <f>資料儲存!G4906</f>
        <v>0</v>
      </c>
      <c r="AG134" s="39">
        <f>資料儲存!H4906</f>
        <v>0</v>
      </c>
      <c r="AH134" s="39">
        <f>資料儲存!I4906</f>
        <v>0</v>
      </c>
      <c r="AI134" s="39">
        <f>資料儲存!J4906</f>
        <v>0</v>
      </c>
      <c r="AJ134" s="58"/>
    </row>
    <row r="135" spans="1:36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35"/>
    </row>
    <row r="136" spans="1:36" ht="18.5" thickBot="1">
      <c r="A136" s="259" t="s">
        <v>114</v>
      </c>
      <c r="B136" s="260"/>
      <c r="C136" s="260"/>
      <c r="D136" s="260"/>
      <c r="E136" s="260"/>
      <c r="F136" s="260"/>
      <c r="G136" s="260"/>
      <c r="H136" s="261"/>
      <c r="I136" s="14"/>
      <c r="J136" s="259" t="s">
        <v>114</v>
      </c>
      <c r="K136" s="260"/>
      <c r="L136" s="260"/>
      <c r="M136" s="260"/>
      <c r="N136" s="260"/>
      <c r="O136" s="260"/>
      <c r="P136" s="260"/>
      <c r="Q136" s="261"/>
      <c r="R136" s="14"/>
      <c r="S136" s="259" t="s">
        <v>114</v>
      </c>
      <c r="T136" s="260"/>
      <c r="U136" s="260"/>
      <c r="V136" s="260"/>
      <c r="W136" s="260"/>
      <c r="X136" s="260"/>
      <c r="Y136" s="260"/>
      <c r="Z136" s="261"/>
      <c r="AA136" s="14"/>
      <c r="AB136" s="259" t="s">
        <v>114</v>
      </c>
      <c r="AC136" s="260"/>
      <c r="AD136" s="260"/>
      <c r="AE136" s="260"/>
      <c r="AF136" s="260"/>
      <c r="AG136" s="260"/>
      <c r="AH136" s="260"/>
      <c r="AI136" s="261"/>
      <c r="AJ136" s="14"/>
    </row>
    <row r="137" spans="1:36" ht="17.25" customHeight="1" thickBot="1">
      <c r="A137" s="62" t="s">
        <v>2</v>
      </c>
      <c r="B137" s="63" t="s">
        <v>46</v>
      </c>
      <c r="C137" s="64"/>
      <c r="D137" s="64"/>
      <c r="E137" s="65"/>
      <c r="F137" s="63" t="s">
        <v>47</v>
      </c>
      <c r="G137" s="64"/>
      <c r="H137" s="65"/>
      <c r="I137" s="52"/>
      <c r="J137" s="62" t="s">
        <v>2</v>
      </c>
      <c r="K137" s="63" t="s">
        <v>46</v>
      </c>
      <c r="L137" s="64"/>
      <c r="M137" s="64"/>
      <c r="N137" s="65"/>
      <c r="O137" s="63" t="s">
        <v>47</v>
      </c>
      <c r="P137" s="64"/>
      <c r="Q137" s="65"/>
      <c r="R137" s="52"/>
      <c r="S137" s="62" t="s">
        <v>2</v>
      </c>
      <c r="T137" s="63" t="s">
        <v>46</v>
      </c>
      <c r="U137" s="64"/>
      <c r="V137" s="64"/>
      <c r="W137" s="65"/>
      <c r="X137" s="63" t="s">
        <v>47</v>
      </c>
      <c r="Y137" s="64"/>
      <c r="Z137" s="65"/>
      <c r="AA137" s="52"/>
      <c r="AB137" s="62" t="s">
        <v>2</v>
      </c>
      <c r="AC137" s="63" t="s">
        <v>46</v>
      </c>
      <c r="AD137" s="64"/>
      <c r="AE137" s="64"/>
      <c r="AF137" s="65"/>
      <c r="AG137" s="63" t="s">
        <v>47</v>
      </c>
      <c r="AH137" s="64"/>
      <c r="AI137" s="65"/>
      <c r="AJ137" s="52"/>
    </row>
    <row r="138" spans="1:36" ht="16" thickBot="1">
      <c r="A138" s="66">
        <v>0.73958333333333337</v>
      </c>
      <c r="B138" s="67" t="s">
        <v>49</v>
      </c>
      <c r="C138" s="67" t="s">
        <v>50</v>
      </c>
      <c r="D138" s="67" t="s">
        <v>51</v>
      </c>
      <c r="E138" s="67" t="s">
        <v>52</v>
      </c>
      <c r="F138" s="67" t="s">
        <v>53</v>
      </c>
      <c r="G138" s="67" t="s">
        <v>54</v>
      </c>
      <c r="H138" s="67" t="s">
        <v>55</v>
      </c>
      <c r="I138" s="52"/>
      <c r="J138" s="66">
        <v>0.73958333333333337</v>
      </c>
      <c r="K138" s="67" t="s">
        <v>49</v>
      </c>
      <c r="L138" s="67" t="s">
        <v>50</v>
      </c>
      <c r="M138" s="67" t="s">
        <v>51</v>
      </c>
      <c r="N138" s="67" t="s">
        <v>52</v>
      </c>
      <c r="O138" s="67" t="s">
        <v>53</v>
      </c>
      <c r="P138" s="67" t="s">
        <v>54</v>
      </c>
      <c r="Q138" s="67" t="s">
        <v>55</v>
      </c>
      <c r="R138" s="52"/>
      <c r="S138" s="66">
        <v>0.73958333333333337</v>
      </c>
      <c r="T138" s="67" t="s">
        <v>49</v>
      </c>
      <c r="U138" s="67" t="s">
        <v>50</v>
      </c>
      <c r="V138" s="67" t="s">
        <v>51</v>
      </c>
      <c r="W138" s="67" t="s">
        <v>52</v>
      </c>
      <c r="X138" s="67" t="s">
        <v>53</v>
      </c>
      <c r="Y138" s="67" t="s">
        <v>54</v>
      </c>
      <c r="Z138" s="67" t="s">
        <v>55</v>
      </c>
      <c r="AA138" s="52"/>
      <c r="AB138" s="66">
        <v>0.73958333333333337</v>
      </c>
      <c r="AC138" s="67" t="s">
        <v>49</v>
      </c>
      <c r="AD138" s="67" t="s">
        <v>50</v>
      </c>
      <c r="AE138" s="67" t="s">
        <v>51</v>
      </c>
      <c r="AF138" s="67" t="s">
        <v>52</v>
      </c>
      <c r="AG138" s="67" t="s">
        <v>53</v>
      </c>
      <c r="AH138" s="67" t="s">
        <v>54</v>
      </c>
      <c r="AI138" s="67" t="s">
        <v>55</v>
      </c>
      <c r="AJ138" s="52"/>
    </row>
    <row r="139" spans="1:36" ht="16" thickBot="1">
      <c r="A139" s="68">
        <v>46</v>
      </c>
      <c r="B139" s="49">
        <f>資料儲存!D4187</f>
        <v>0</v>
      </c>
      <c r="C139" s="49">
        <f>資料儲存!E4187</f>
        <v>0</v>
      </c>
      <c r="D139" s="49">
        <f>資料儲存!F4187</f>
        <v>0</v>
      </c>
      <c r="E139" s="49">
        <f>資料儲存!G4187</f>
        <v>0</v>
      </c>
      <c r="F139" s="49">
        <f>資料儲存!H4187</f>
        <v>0</v>
      </c>
      <c r="G139" s="49">
        <f>資料儲存!I4187</f>
        <v>0</v>
      </c>
      <c r="H139" s="49">
        <f>資料儲存!J4187</f>
        <v>0</v>
      </c>
      <c r="I139" s="52"/>
      <c r="J139" s="68">
        <v>46</v>
      </c>
      <c r="K139" s="49">
        <f>資料儲存!D4427</f>
        <v>0</v>
      </c>
      <c r="L139" s="49">
        <f>資料儲存!E4427</f>
        <v>0</v>
      </c>
      <c r="M139" s="49">
        <f>資料儲存!F4427</f>
        <v>0</v>
      </c>
      <c r="N139" s="49">
        <f>資料儲存!G4427</f>
        <v>0</v>
      </c>
      <c r="O139" s="49">
        <f>資料儲存!H4427</f>
        <v>0</v>
      </c>
      <c r="P139" s="49">
        <f>資料儲存!I4427</f>
        <v>0</v>
      </c>
      <c r="Q139" s="49">
        <f>資料儲存!J4427</f>
        <v>0</v>
      </c>
      <c r="R139" s="52"/>
      <c r="S139" s="68">
        <v>46</v>
      </c>
      <c r="T139" s="49">
        <f>資料儲存!D4667</f>
        <v>0</v>
      </c>
      <c r="U139" s="49">
        <f>資料儲存!E4667</f>
        <v>0</v>
      </c>
      <c r="V139" s="49">
        <f>資料儲存!F4667</f>
        <v>0</v>
      </c>
      <c r="W139" s="49">
        <f>資料儲存!G4667</f>
        <v>0</v>
      </c>
      <c r="X139" s="49">
        <f>資料儲存!H4667</f>
        <v>0</v>
      </c>
      <c r="Y139" s="49">
        <f>資料儲存!I4667</f>
        <v>0</v>
      </c>
      <c r="Z139" s="49">
        <f>資料儲存!J4667</f>
        <v>0</v>
      </c>
      <c r="AA139" s="52"/>
      <c r="AB139" s="68">
        <v>46</v>
      </c>
      <c r="AC139" s="49">
        <f>資料儲存!D4907</f>
        <v>0</v>
      </c>
      <c r="AD139" s="49">
        <f>資料儲存!E4907</f>
        <v>0</v>
      </c>
      <c r="AE139" s="49">
        <f>資料儲存!F4907</f>
        <v>0</v>
      </c>
      <c r="AF139" s="49">
        <f>資料儲存!G4907</f>
        <v>0</v>
      </c>
      <c r="AG139" s="49">
        <f>資料儲存!H4907</f>
        <v>0</v>
      </c>
      <c r="AH139" s="49">
        <f>資料儲存!I4907</f>
        <v>0</v>
      </c>
      <c r="AI139" s="49">
        <f>資料儲存!J4907</f>
        <v>0</v>
      </c>
      <c r="AJ139" s="52"/>
    </row>
    <row r="140" spans="1:36" ht="16" thickBot="1">
      <c r="A140" s="68">
        <v>47</v>
      </c>
      <c r="B140" s="49">
        <f>資料儲存!D4188</f>
        <v>0</v>
      </c>
      <c r="C140" s="49">
        <f>資料儲存!E4188</f>
        <v>0</v>
      </c>
      <c r="D140" s="49">
        <f>資料儲存!F4188</f>
        <v>0</v>
      </c>
      <c r="E140" s="49">
        <f>資料儲存!G4188</f>
        <v>0</v>
      </c>
      <c r="F140" s="49">
        <f>資料儲存!H4188</f>
        <v>0</v>
      </c>
      <c r="G140" s="49">
        <f>資料儲存!I4188</f>
        <v>0</v>
      </c>
      <c r="H140" s="49">
        <f>資料儲存!J4188</f>
        <v>0</v>
      </c>
      <c r="I140" s="52"/>
      <c r="J140" s="68">
        <v>47</v>
      </c>
      <c r="K140" s="49">
        <f>資料儲存!D4428</f>
        <v>0</v>
      </c>
      <c r="L140" s="49">
        <f>資料儲存!E4428</f>
        <v>0</v>
      </c>
      <c r="M140" s="49">
        <f>資料儲存!F4428</f>
        <v>0</v>
      </c>
      <c r="N140" s="49">
        <f>資料儲存!G4428</f>
        <v>0</v>
      </c>
      <c r="O140" s="49">
        <f>資料儲存!H4428</f>
        <v>0</v>
      </c>
      <c r="P140" s="49">
        <f>資料儲存!I4428</f>
        <v>0</v>
      </c>
      <c r="Q140" s="49">
        <f>資料儲存!J4428</f>
        <v>0</v>
      </c>
      <c r="R140" s="52"/>
      <c r="S140" s="68">
        <v>47</v>
      </c>
      <c r="T140" s="49">
        <f>資料儲存!D4668</f>
        <v>0</v>
      </c>
      <c r="U140" s="49">
        <f>資料儲存!E4668</f>
        <v>0</v>
      </c>
      <c r="V140" s="49">
        <f>資料儲存!F4668</f>
        <v>0</v>
      </c>
      <c r="W140" s="49">
        <f>資料儲存!G4668</f>
        <v>0</v>
      </c>
      <c r="X140" s="49">
        <f>資料儲存!H4668</f>
        <v>0</v>
      </c>
      <c r="Y140" s="49">
        <f>資料儲存!I4668</f>
        <v>0</v>
      </c>
      <c r="Z140" s="49">
        <f>資料儲存!J4668</f>
        <v>0</v>
      </c>
      <c r="AA140" s="52"/>
      <c r="AB140" s="68">
        <v>47</v>
      </c>
      <c r="AC140" s="49">
        <f>資料儲存!D4908</f>
        <v>0</v>
      </c>
      <c r="AD140" s="49">
        <f>資料儲存!E4908</f>
        <v>0</v>
      </c>
      <c r="AE140" s="49">
        <f>資料儲存!F4908</f>
        <v>0</v>
      </c>
      <c r="AF140" s="49">
        <f>資料儲存!G4908</f>
        <v>0</v>
      </c>
      <c r="AG140" s="49">
        <f>資料儲存!H4908</f>
        <v>0</v>
      </c>
      <c r="AH140" s="49">
        <f>資料儲存!I4908</f>
        <v>0</v>
      </c>
      <c r="AI140" s="49">
        <f>資料儲存!J4908</f>
        <v>0</v>
      </c>
      <c r="AJ140" s="52"/>
    </row>
    <row r="141" spans="1:36" ht="16" thickBot="1">
      <c r="A141" s="68">
        <v>48</v>
      </c>
      <c r="B141" s="49">
        <f>資料儲存!D4189</f>
        <v>0</v>
      </c>
      <c r="C141" s="49">
        <f>資料儲存!E4189</f>
        <v>0</v>
      </c>
      <c r="D141" s="49">
        <f>資料儲存!F4189</f>
        <v>0</v>
      </c>
      <c r="E141" s="49">
        <f>資料儲存!G4189</f>
        <v>0</v>
      </c>
      <c r="F141" s="49">
        <f>資料儲存!H4189</f>
        <v>0</v>
      </c>
      <c r="G141" s="49">
        <f>資料儲存!I4189</f>
        <v>0</v>
      </c>
      <c r="H141" s="49">
        <f>資料儲存!J4189</f>
        <v>0</v>
      </c>
      <c r="I141" s="52"/>
      <c r="J141" s="68">
        <v>48</v>
      </c>
      <c r="K141" s="49">
        <f>資料儲存!D4429</f>
        <v>0</v>
      </c>
      <c r="L141" s="49">
        <f>資料儲存!E4429</f>
        <v>0</v>
      </c>
      <c r="M141" s="49">
        <f>資料儲存!F4429</f>
        <v>0</v>
      </c>
      <c r="N141" s="49">
        <f>資料儲存!G4429</f>
        <v>0</v>
      </c>
      <c r="O141" s="49">
        <f>資料儲存!H4429</f>
        <v>0</v>
      </c>
      <c r="P141" s="49">
        <f>資料儲存!I4429</f>
        <v>0</v>
      </c>
      <c r="Q141" s="49">
        <f>資料儲存!J4429</f>
        <v>0</v>
      </c>
      <c r="R141" s="52"/>
      <c r="S141" s="68">
        <v>48</v>
      </c>
      <c r="T141" s="49">
        <f>資料儲存!D4669</f>
        <v>0</v>
      </c>
      <c r="U141" s="49">
        <f>資料儲存!E4669</f>
        <v>0</v>
      </c>
      <c r="V141" s="49">
        <f>資料儲存!F4669</f>
        <v>0</v>
      </c>
      <c r="W141" s="49">
        <f>資料儲存!G4669</f>
        <v>0</v>
      </c>
      <c r="X141" s="49">
        <f>資料儲存!H4669</f>
        <v>0</v>
      </c>
      <c r="Y141" s="49">
        <f>資料儲存!I4669</f>
        <v>0</v>
      </c>
      <c r="Z141" s="49">
        <f>資料儲存!J4669</f>
        <v>0</v>
      </c>
      <c r="AA141" s="52"/>
      <c r="AB141" s="68">
        <v>48</v>
      </c>
      <c r="AC141" s="49">
        <f>資料儲存!D4909</f>
        <v>0</v>
      </c>
      <c r="AD141" s="49">
        <f>資料儲存!E4909</f>
        <v>0</v>
      </c>
      <c r="AE141" s="49">
        <f>資料儲存!F4909</f>
        <v>0</v>
      </c>
      <c r="AF141" s="49">
        <f>資料儲存!G4909</f>
        <v>0</v>
      </c>
      <c r="AG141" s="49">
        <f>資料儲存!H4909</f>
        <v>0</v>
      </c>
      <c r="AH141" s="49">
        <f>資料儲存!I4909</f>
        <v>0</v>
      </c>
      <c r="AI141" s="49">
        <f>資料儲存!J4909</f>
        <v>0</v>
      </c>
      <c r="AJ141" s="52"/>
    </row>
    <row r="142" spans="1:36" ht="16" thickBot="1">
      <c r="A142" s="68">
        <v>49</v>
      </c>
      <c r="B142" s="49">
        <f>資料儲存!D4190</f>
        <v>0</v>
      </c>
      <c r="C142" s="49">
        <f>資料儲存!E4190</f>
        <v>0</v>
      </c>
      <c r="D142" s="49">
        <f>資料儲存!F4190</f>
        <v>0</v>
      </c>
      <c r="E142" s="49">
        <f>資料儲存!G4190</f>
        <v>0</v>
      </c>
      <c r="F142" s="49">
        <f>資料儲存!H4190</f>
        <v>0</v>
      </c>
      <c r="G142" s="49">
        <f>資料儲存!I4190</f>
        <v>0</v>
      </c>
      <c r="H142" s="49">
        <f>資料儲存!J4190</f>
        <v>0</v>
      </c>
      <c r="I142" s="52"/>
      <c r="J142" s="68">
        <v>49</v>
      </c>
      <c r="K142" s="49">
        <f>資料儲存!D4430</f>
        <v>0</v>
      </c>
      <c r="L142" s="49">
        <f>資料儲存!E4430</f>
        <v>0</v>
      </c>
      <c r="M142" s="49">
        <f>資料儲存!F4430</f>
        <v>0</v>
      </c>
      <c r="N142" s="49">
        <f>資料儲存!G4430</f>
        <v>0</v>
      </c>
      <c r="O142" s="49">
        <f>資料儲存!H4430</f>
        <v>0</v>
      </c>
      <c r="P142" s="49">
        <f>資料儲存!I4430</f>
        <v>0</v>
      </c>
      <c r="Q142" s="49">
        <f>資料儲存!J4430</f>
        <v>0</v>
      </c>
      <c r="R142" s="52"/>
      <c r="S142" s="68">
        <v>49</v>
      </c>
      <c r="T142" s="49">
        <f>資料儲存!D4670</f>
        <v>0</v>
      </c>
      <c r="U142" s="49">
        <f>資料儲存!E4670</f>
        <v>0</v>
      </c>
      <c r="V142" s="49">
        <f>資料儲存!F4670</f>
        <v>0</v>
      </c>
      <c r="W142" s="49">
        <f>資料儲存!G4670</f>
        <v>0</v>
      </c>
      <c r="X142" s="49">
        <f>資料儲存!H4670</f>
        <v>0</v>
      </c>
      <c r="Y142" s="49">
        <f>資料儲存!I4670</f>
        <v>0</v>
      </c>
      <c r="Z142" s="49">
        <f>資料儲存!J4670</f>
        <v>0</v>
      </c>
      <c r="AA142" s="52"/>
      <c r="AB142" s="68">
        <v>49</v>
      </c>
      <c r="AC142" s="49">
        <f>資料儲存!D4910</f>
        <v>0</v>
      </c>
      <c r="AD142" s="49">
        <f>資料儲存!E4910</f>
        <v>0</v>
      </c>
      <c r="AE142" s="49">
        <f>資料儲存!F4910</f>
        <v>0</v>
      </c>
      <c r="AF142" s="49">
        <f>資料儲存!G4910</f>
        <v>0</v>
      </c>
      <c r="AG142" s="49">
        <f>資料儲存!H4910</f>
        <v>0</v>
      </c>
      <c r="AH142" s="49">
        <f>資料儲存!I4910</f>
        <v>0</v>
      </c>
      <c r="AI142" s="49">
        <f>資料儲存!J4910</f>
        <v>0</v>
      </c>
      <c r="AJ142" s="52"/>
    </row>
    <row r="143" spans="1:36" ht="16" thickBot="1">
      <c r="A143" s="68">
        <v>50</v>
      </c>
      <c r="B143" s="49">
        <f>資料儲存!D4191</f>
        <v>0</v>
      </c>
      <c r="C143" s="49">
        <f>資料儲存!E4191</f>
        <v>0</v>
      </c>
      <c r="D143" s="49">
        <f>資料儲存!F4191</f>
        <v>0</v>
      </c>
      <c r="E143" s="49">
        <f>資料儲存!G4191</f>
        <v>0</v>
      </c>
      <c r="F143" s="49">
        <f>資料儲存!H4191</f>
        <v>0</v>
      </c>
      <c r="G143" s="49">
        <f>資料儲存!I4191</f>
        <v>0</v>
      </c>
      <c r="H143" s="49">
        <f>資料儲存!J4191</f>
        <v>0</v>
      </c>
      <c r="I143" s="52"/>
      <c r="J143" s="68">
        <v>50</v>
      </c>
      <c r="K143" s="49">
        <f>資料儲存!D4431</f>
        <v>0</v>
      </c>
      <c r="L143" s="49">
        <f>資料儲存!E4431</f>
        <v>0</v>
      </c>
      <c r="M143" s="49">
        <f>資料儲存!F4431</f>
        <v>0</v>
      </c>
      <c r="N143" s="49">
        <f>資料儲存!G4431</f>
        <v>0</v>
      </c>
      <c r="O143" s="49">
        <f>資料儲存!H4431</f>
        <v>0</v>
      </c>
      <c r="P143" s="49">
        <f>資料儲存!I4431</f>
        <v>0</v>
      </c>
      <c r="Q143" s="49">
        <f>資料儲存!J4431</f>
        <v>0</v>
      </c>
      <c r="R143" s="52"/>
      <c r="S143" s="68">
        <v>50</v>
      </c>
      <c r="T143" s="49">
        <f>資料儲存!D4671</f>
        <v>0</v>
      </c>
      <c r="U143" s="49">
        <f>資料儲存!E4671</f>
        <v>0</v>
      </c>
      <c r="V143" s="49">
        <f>資料儲存!F4671</f>
        <v>0</v>
      </c>
      <c r="W143" s="49">
        <f>資料儲存!G4671</f>
        <v>0</v>
      </c>
      <c r="X143" s="49">
        <f>資料儲存!H4671</f>
        <v>0</v>
      </c>
      <c r="Y143" s="49">
        <f>資料儲存!I4671</f>
        <v>0</v>
      </c>
      <c r="Z143" s="49">
        <f>資料儲存!J4671</f>
        <v>0</v>
      </c>
      <c r="AA143" s="52"/>
      <c r="AB143" s="68">
        <v>50</v>
      </c>
      <c r="AC143" s="49">
        <f>資料儲存!D4911</f>
        <v>0</v>
      </c>
      <c r="AD143" s="49">
        <f>資料儲存!E4911</f>
        <v>0</v>
      </c>
      <c r="AE143" s="49">
        <f>資料儲存!F4911</f>
        <v>0</v>
      </c>
      <c r="AF143" s="49">
        <f>資料儲存!G4911</f>
        <v>0</v>
      </c>
      <c r="AG143" s="49">
        <f>資料儲存!H4911</f>
        <v>0</v>
      </c>
      <c r="AH143" s="49">
        <f>資料儲存!I4911</f>
        <v>0</v>
      </c>
      <c r="AI143" s="49">
        <f>資料儲存!J4911</f>
        <v>0</v>
      </c>
      <c r="AJ143" s="52"/>
    </row>
    <row r="144" spans="1:36" ht="16" thickBot="1">
      <c r="A144" s="68">
        <v>51</v>
      </c>
      <c r="B144" s="49">
        <f>資料儲存!D4192</f>
        <v>0</v>
      </c>
      <c r="C144" s="49">
        <f>資料儲存!E4192</f>
        <v>0</v>
      </c>
      <c r="D144" s="49">
        <f>資料儲存!F4192</f>
        <v>0</v>
      </c>
      <c r="E144" s="49">
        <f>資料儲存!G4192</f>
        <v>0</v>
      </c>
      <c r="F144" s="49">
        <f>資料儲存!H4192</f>
        <v>0</v>
      </c>
      <c r="G144" s="49">
        <f>資料儲存!I4192</f>
        <v>0</v>
      </c>
      <c r="H144" s="49">
        <f>資料儲存!J4192</f>
        <v>0</v>
      </c>
      <c r="I144" s="52"/>
      <c r="J144" s="68">
        <v>51</v>
      </c>
      <c r="K144" s="49">
        <f>資料儲存!D4432</f>
        <v>0</v>
      </c>
      <c r="L144" s="49">
        <f>資料儲存!E4432</f>
        <v>0</v>
      </c>
      <c r="M144" s="49">
        <f>資料儲存!F4432</f>
        <v>0</v>
      </c>
      <c r="N144" s="49">
        <f>資料儲存!G4432</f>
        <v>0</v>
      </c>
      <c r="O144" s="49">
        <f>資料儲存!H4432</f>
        <v>0</v>
      </c>
      <c r="P144" s="49">
        <f>資料儲存!I4432</f>
        <v>0</v>
      </c>
      <c r="Q144" s="49">
        <f>資料儲存!J4432</f>
        <v>0</v>
      </c>
      <c r="R144" s="52"/>
      <c r="S144" s="68">
        <v>51</v>
      </c>
      <c r="T144" s="49">
        <f>資料儲存!D4672</f>
        <v>0</v>
      </c>
      <c r="U144" s="49">
        <f>資料儲存!E4672</f>
        <v>0</v>
      </c>
      <c r="V144" s="49">
        <f>資料儲存!F4672</f>
        <v>0</v>
      </c>
      <c r="W144" s="49">
        <f>資料儲存!G4672</f>
        <v>0</v>
      </c>
      <c r="X144" s="49">
        <f>資料儲存!H4672</f>
        <v>0</v>
      </c>
      <c r="Y144" s="49">
        <f>資料儲存!I4672</f>
        <v>0</v>
      </c>
      <c r="Z144" s="49">
        <f>資料儲存!J4672</f>
        <v>0</v>
      </c>
      <c r="AA144" s="52"/>
      <c r="AB144" s="68">
        <v>51</v>
      </c>
      <c r="AC144" s="49">
        <f>資料儲存!D4912</f>
        <v>0</v>
      </c>
      <c r="AD144" s="49">
        <f>資料儲存!E4912</f>
        <v>0</v>
      </c>
      <c r="AE144" s="49">
        <f>資料儲存!F4912</f>
        <v>0</v>
      </c>
      <c r="AF144" s="49">
        <f>資料儲存!G4912</f>
        <v>0</v>
      </c>
      <c r="AG144" s="49">
        <f>資料儲存!H4912</f>
        <v>0</v>
      </c>
      <c r="AH144" s="49">
        <f>資料儲存!I4912</f>
        <v>0</v>
      </c>
      <c r="AI144" s="49">
        <f>資料儲存!J4912</f>
        <v>0</v>
      </c>
      <c r="AJ144" s="52"/>
    </row>
    <row r="145" spans="1:36" ht="16" thickBot="1">
      <c r="A145" s="68">
        <v>52</v>
      </c>
      <c r="B145" s="49">
        <f>資料儲存!D4193</f>
        <v>0</v>
      </c>
      <c r="C145" s="49">
        <f>資料儲存!E4193</f>
        <v>0</v>
      </c>
      <c r="D145" s="49">
        <f>資料儲存!F4193</f>
        <v>0</v>
      </c>
      <c r="E145" s="49">
        <f>資料儲存!G4193</f>
        <v>0</v>
      </c>
      <c r="F145" s="49">
        <f>資料儲存!H4193</f>
        <v>0</v>
      </c>
      <c r="G145" s="49">
        <f>資料儲存!I4193</f>
        <v>0</v>
      </c>
      <c r="H145" s="49">
        <f>資料儲存!J4193</f>
        <v>0</v>
      </c>
      <c r="I145" s="52"/>
      <c r="J145" s="68">
        <v>52</v>
      </c>
      <c r="K145" s="49">
        <f>資料儲存!D4433</f>
        <v>0</v>
      </c>
      <c r="L145" s="49">
        <f>資料儲存!E4433</f>
        <v>0</v>
      </c>
      <c r="M145" s="49">
        <f>資料儲存!F4433</f>
        <v>0</v>
      </c>
      <c r="N145" s="49">
        <f>資料儲存!G4433</f>
        <v>0</v>
      </c>
      <c r="O145" s="49">
        <f>資料儲存!H4433</f>
        <v>0</v>
      </c>
      <c r="P145" s="49">
        <f>資料儲存!I4433</f>
        <v>0</v>
      </c>
      <c r="Q145" s="49">
        <f>資料儲存!J4433</f>
        <v>0</v>
      </c>
      <c r="R145" s="52"/>
      <c r="S145" s="68">
        <v>52</v>
      </c>
      <c r="T145" s="49">
        <f>資料儲存!D4673</f>
        <v>0</v>
      </c>
      <c r="U145" s="49">
        <f>資料儲存!E4673</f>
        <v>0</v>
      </c>
      <c r="V145" s="49">
        <f>資料儲存!F4673</f>
        <v>0</v>
      </c>
      <c r="W145" s="49">
        <f>資料儲存!G4673</f>
        <v>0</v>
      </c>
      <c r="X145" s="49">
        <f>資料儲存!H4673</f>
        <v>0</v>
      </c>
      <c r="Y145" s="49">
        <f>資料儲存!I4673</f>
        <v>0</v>
      </c>
      <c r="Z145" s="49">
        <f>資料儲存!J4673</f>
        <v>0</v>
      </c>
      <c r="AA145" s="52"/>
      <c r="AB145" s="68">
        <v>52</v>
      </c>
      <c r="AC145" s="49">
        <f>資料儲存!D4913</f>
        <v>0</v>
      </c>
      <c r="AD145" s="49">
        <f>資料儲存!E4913</f>
        <v>0</v>
      </c>
      <c r="AE145" s="49">
        <f>資料儲存!F4913</f>
        <v>0</v>
      </c>
      <c r="AF145" s="49">
        <f>資料儲存!G4913</f>
        <v>0</v>
      </c>
      <c r="AG145" s="49">
        <f>資料儲存!H4913</f>
        <v>0</v>
      </c>
      <c r="AH145" s="49">
        <f>資料儲存!I4913</f>
        <v>0</v>
      </c>
      <c r="AI145" s="49">
        <f>資料儲存!J4913</f>
        <v>0</v>
      </c>
      <c r="AJ145" s="52"/>
    </row>
    <row r="146" spans="1:36" ht="16" thickBot="1">
      <c r="A146" s="68">
        <v>53</v>
      </c>
      <c r="B146" s="49">
        <f>資料儲存!D4194</f>
        <v>0</v>
      </c>
      <c r="C146" s="49">
        <f>資料儲存!E4194</f>
        <v>0</v>
      </c>
      <c r="D146" s="49">
        <f>資料儲存!F4194</f>
        <v>0</v>
      </c>
      <c r="E146" s="49">
        <f>資料儲存!G4194</f>
        <v>0</v>
      </c>
      <c r="F146" s="49">
        <f>資料儲存!H4194</f>
        <v>0</v>
      </c>
      <c r="G146" s="49">
        <f>資料儲存!I4194</f>
        <v>0</v>
      </c>
      <c r="H146" s="49">
        <f>資料儲存!J4194</f>
        <v>0</v>
      </c>
      <c r="I146" s="52"/>
      <c r="J146" s="68">
        <v>53</v>
      </c>
      <c r="K146" s="49">
        <f>資料儲存!D4434</f>
        <v>0</v>
      </c>
      <c r="L146" s="49">
        <f>資料儲存!E4434</f>
        <v>0</v>
      </c>
      <c r="M146" s="49">
        <f>資料儲存!F4434</f>
        <v>0</v>
      </c>
      <c r="N146" s="49">
        <f>資料儲存!G4434</f>
        <v>0</v>
      </c>
      <c r="O146" s="49">
        <f>資料儲存!H4434</f>
        <v>0</v>
      </c>
      <c r="P146" s="49">
        <f>資料儲存!I4434</f>
        <v>0</v>
      </c>
      <c r="Q146" s="49">
        <f>資料儲存!J4434</f>
        <v>0</v>
      </c>
      <c r="R146" s="52"/>
      <c r="S146" s="68">
        <v>53</v>
      </c>
      <c r="T146" s="49">
        <f>資料儲存!D4674</f>
        <v>0</v>
      </c>
      <c r="U146" s="49">
        <f>資料儲存!E4674</f>
        <v>0</v>
      </c>
      <c r="V146" s="49">
        <f>資料儲存!F4674</f>
        <v>0</v>
      </c>
      <c r="W146" s="49">
        <f>資料儲存!G4674</f>
        <v>0</v>
      </c>
      <c r="X146" s="49">
        <f>資料儲存!H4674</f>
        <v>0</v>
      </c>
      <c r="Y146" s="49">
        <f>資料儲存!I4674</f>
        <v>0</v>
      </c>
      <c r="Z146" s="49">
        <f>資料儲存!J4674</f>
        <v>0</v>
      </c>
      <c r="AA146" s="52"/>
      <c r="AB146" s="68">
        <v>53</v>
      </c>
      <c r="AC146" s="49">
        <f>資料儲存!D4914</f>
        <v>0</v>
      </c>
      <c r="AD146" s="49">
        <f>資料儲存!E4914</f>
        <v>0</v>
      </c>
      <c r="AE146" s="49">
        <f>資料儲存!F4914</f>
        <v>0</v>
      </c>
      <c r="AF146" s="49">
        <f>資料儲存!G4914</f>
        <v>0</v>
      </c>
      <c r="AG146" s="49">
        <f>資料儲存!H4914</f>
        <v>0</v>
      </c>
      <c r="AH146" s="49">
        <f>資料儲存!I4914</f>
        <v>0</v>
      </c>
      <c r="AI146" s="49">
        <f>資料儲存!J4914</f>
        <v>0</v>
      </c>
      <c r="AJ146" s="52"/>
    </row>
    <row r="147" spans="1:36" ht="16" thickBot="1">
      <c r="A147" s="68">
        <v>54</v>
      </c>
      <c r="B147" s="49">
        <f>資料儲存!D4195</f>
        <v>0</v>
      </c>
      <c r="C147" s="49">
        <f>資料儲存!E4195</f>
        <v>0</v>
      </c>
      <c r="D147" s="49">
        <f>資料儲存!F4195</f>
        <v>0</v>
      </c>
      <c r="E147" s="49">
        <f>資料儲存!G4195</f>
        <v>0</v>
      </c>
      <c r="F147" s="49">
        <f>資料儲存!H4195</f>
        <v>0</v>
      </c>
      <c r="G147" s="49">
        <f>資料儲存!I4195</f>
        <v>0</v>
      </c>
      <c r="H147" s="49">
        <f>資料儲存!J4195</f>
        <v>0</v>
      </c>
      <c r="I147" s="52"/>
      <c r="J147" s="68">
        <v>54</v>
      </c>
      <c r="K147" s="49">
        <f>資料儲存!D4435</f>
        <v>0</v>
      </c>
      <c r="L147" s="49">
        <f>資料儲存!E4435</f>
        <v>0</v>
      </c>
      <c r="M147" s="49">
        <f>資料儲存!F4435</f>
        <v>0</v>
      </c>
      <c r="N147" s="49">
        <f>資料儲存!G4435</f>
        <v>0</v>
      </c>
      <c r="O147" s="49">
        <f>資料儲存!H4435</f>
        <v>0</v>
      </c>
      <c r="P147" s="49">
        <f>資料儲存!I4435</f>
        <v>0</v>
      </c>
      <c r="Q147" s="49">
        <f>資料儲存!J4435</f>
        <v>0</v>
      </c>
      <c r="R147" s="52"/>
      <c r="S147" s="68">
        <v>54</v>
      </c>
      <c r="T147" s="49">
        <f>資料儲存!D4675</f>
        <v>0</v>
      </c>
      <c r="U147" s="49">
        <f>資料儲存!E4675</f>
        <v>0</v>
      </c>
      <c r="V147" s="49">
        <f>資料儲存!F4675</f>
        <v>0</v>
      </c>
      <c r="W147" s="49">
        <f>資料儲存!G4675</f>
        <v>0</v>
      </c>
      <c r="X147" s="49">
        <f>資料儲存!H4675</f>
        <v>0</v>
      </c>
      <c r="Y147" s="49">
        <f>資料儲存!I4675</f>
        <v>0</v>
      </c>
      <c r="Z147" s="49">
        <f>資料儲存!J4675</f>
        <v>0</v>
      </c>
      <c r="AA147" s="52"/>
      <c r="AB147" s="68">
        <v>54</v>
      </c>
      <c r="AC147" s="49">
        <f>資料儲存!D4915</f>
        <v>0</v>
      </c>
      <c r="AD147" s="49">
        <f>資料儲存!E4915</f>
        <v>0</v>
      </c>
      <c r="AE147" s="49">
        <f>資料儲存!F4915</f>
        <v>0</v>
      </c>
      <c r="AF147" s="49">
        <f>資料儲存!G4915</f>
        <v>0</v>
      </c>
      <c r="AG147" s="49">
        <f>資料儲存!H4915</f>
        <v>0</v>
      </c>
      <c r="AH147" s="49">
        <f>資料儲存!I4915</f>
        <v>0</v>
      </c>
      <c r="AI147" s="49">
        <f>資料儲存!J4915</f>
        <v>0</v>
      </c>
      <c r="AJ147" s="52"/>
    </row>
    <row r="148" spans="1:36" ht="16" thickBot="1">
      <c r="A148" s="68">
        <v>55</v>
      </c>
      <c r="B148" s="49">
        <f>資料儲存!D4196</f>
        <v>0</v>
      </c>
      <c r="C148" s="49">
        <f>資料儲存!E4196</f>
        <v>0</v>
      </c>
      <c r="D148" s="49">
        <f>資料儲存!F4196</f>
        <v>0</v>
      </c>
      <c r="E148" s="49">
        <f>資料儲存!G4196</f>
        <v>0</v>
      </c>
      <c r="F148" s="49">
        <f>資料儲存!H4196</f>
        <v>0</v>
      </c>
      <c r="G148" s="49">
        <f>資料儲存!I4196</f>
        <v>0</v>
      </c>
      <c r="H148" s="49">
        <f>資料儲存!J4196</f>
        <v>0</v>
      </c>
      <c r="I148" s="52"/>
      <c r="J148" s="68">
        <v>55</v>
      </c>
      <c r="K148" s="49">
        <f>資料儲存!D4436</f>
        <v>0</v>
      </c>
      <c r="L148" s="49">
        <f>資料儲存!E4436</f>
        <v>0</v>
      </c>
      <c r="M148" s="49">
        <f>資料儲存!F4436</f>
        <v>0</v>
      </c>
      <c r="N148" s="49">
        <f>資料儲存!G4436</f>
        <v>0</v>
      </c>
      <c r="O148" s="49">
        <f>資料儲存!H4436</f>
        <v>0</v>
      </c>
      <c r="P148" s="49">
        <f>資料儲存!I4436</f>
        <v>0</v>
      </c>
      <c r="Q148" s="49">
        <f>資料儲存!J4436</f>
        <v>0</v>
      </c>
      <c r="R148" s="52"/>
      <c r="S148" s="68">
        <v>55</v>
      </c>
      <c r="T148" s="49">
        <f>資料儲存!D4676</f>
        <v>0</v>
      </c>
      <c r="U148" s="49">
        <f>資料儲存!E4676</f>
        <v>0</v>
      </c>
      <c r="V148" s="49">
        <f>資料儲存!F4676</f>
        <v>0</v>
      </c>
      <c r="W148" s="49">
        <f>資料儲存!G4676</f>
        <v>0</v>
      </c>
      <c r="X148" s="49">
        <f>資料儲存!H4676</f>
        <v>0</v>
      </c>
      <c r="Y148" s="49">
        <f>資料儲存!I4676</f>
        <v>0</v>
      </c>
      <c r="Z148" s="49">
        <f>資料儲存!J4676</f>
        <v>0</v>
      </c>
      <c r="AA148" s="52"/>
      <c r="AB148" s="68">
        <v>55</v>
      </c>
      <c r="AC148" s="49">
        <f>資料儲存!D4916</f>
        <v>0</v>
      </c>
      <c r="AD148" s="49">
        <f>資料儲存!E4916</f>
        <v>0</v>
      </c>
      <c r="AE148" s="49">
        <f>資料儲存!F4916</f>
        <v>0</v>
      </c>
      <c r="AF148" s="49">
        <f>資料儲存!G4916</f>
        <v>0</v>
      </c>
      <c r="AG148" s="49">
        <f>資料儲存!H4916</f>
        <v>0</v>
      </c>
      <c r="AH148" s="49">
        <f>資料儲存!I4916</f>
        <v>0</v>
      </c>
      <c r="AI148" s="49">
        <f>資料儲存!J4916</f>
        <v>0</v>
      </c>
      <c r="AJ148" s="52"/>
    </row>
    <row r="149" spans="1:36" ht="16" thickBot="1">
      <c r="A149" s="68">
        <v>56</v>
      </c>
      <c r="B149" s="49">
        <f>資料儲存!D4197</f>
        <v>0</v>
      </c>
      <c r="C149" s="49">
        <f>資料儲存!E4197</f>
        <v>0</v>
      </c>
      <c r="D149" s="49">
        <f>資料儲存!F4197</f>
        <v>0</v>
      </c>
      <c r="E149" s="49">
        <f>資料儲存!G4197</f>
        <v>0</v>
      </c>
      <c r="F149" s="49">
        <f>資料儲存!H4197</f>
        <v>0</v>
      </c>
      <c r="G149" s="49">
        <f>資料儲存!I4197</f>
        <v>0</v>
      </c>
      <c r="H149" s="49">
        <f>資料儲存!J4197</f>
        <v>0</v>
      </c>
      <c r="I149" s="52"/>
      <c r="J149" s="68">
        <v>56</v>
      </c>
      <c r="K149" s="49">
        <f>資料儲存!D4437</f>
        <v>0</v>
      </c>
      <c r="L149" s="49">
        <f>資料儲存!E4437</f>
        <v>0</v>
      </c>
      <c r="M149" s="49">
        <f>資料儲存!F4437</f>
        <v>0</v>
      </c>
      <c r="N149" s="49">
        <f>資料儲存!G4437</f>
        <v>0</v>
      </c>
      <c r="O149" s="49">
        <f>資料儲存!H4437</f>
        <v>0</v>
      </c>
      <c r="P149" s="49">
        <f>資料儲存!I4437</f>
        <v>0</v>
      </c>
      <c r="Q149" s="49">
        <f>資料儲存!J4437</f>
        <v>0</v>
      </c>
      <c r="R149" s="52"/>
      <c r="S149" s="68">
        <v>56</v>
      </c>
      <c r="T149" s="49">
        <f>資料儲存!D4677</f>
        <v>0</v>
      </c>
      <c r="U149" s="49">
        <f>資料儲存!E4677</f>
        <v>0</v>
      </c>
      <c r="V149" s="49">
        <f>資料儲存!F4677</f>
        <v>0</v>
      </c>
      <c r="W149" s="49">
        <f>資料儲存!G4677</f>
        <v>0</v>
      </c>
      <c r="X149" s="49">
        <f>資料儲存!H4677</f>
        <v>0</v>
      </c>
      <c r="Y149" s="49">
        <f>資料儲存!I4677</f>
        <v>0</v>
      </c>
      <c r="Z149" s="49">
        <f>資料儲存!J4677</f>
        <v>0</v>
      </c>
      <c r="AA149" s="52"/>
      <c r="AB149" s="68">
        <v>56</v>
      </c>
      <c r="AC149" s="49">
        <f>資料儲存!D4917</f>
        <v>0</v>
      </c>
      <c r="AD149" s="49">
        <f>資料儲存!E4917</f>
        <v>0</v>
      </c>
      <c r="AE149" s="49">
        <f>資料儲存!F4917</f>
        <v>0</v>
      </c>
      <c r="AF149" s="49">
        <f>資料儲存!G4917</f>
        <v>0</v>
      </c>
      <c r="AG149" s="49">
        <f>資料儲存!H4917</f>
        <v>0</v>
      </c>
      <c r="AH149" s="49">
        <f>資料儲存!I4917</f>
        <v>0</v>
      </c>
      <c r="AI149" s="49">
        <f>資料儲存!J4917</f>
        <v>0</v>
      </c>
      <c r="AJ149" s="52"/>
    </row>
    <row r="150" spans="1:36" ht="16" thickBot="1">
      <c r="A150" s="68">
        <v>57</v>
      </c>
      <c r="B150" s="49">
        <f>資料儲存!D4198</f>
        <v>0</v>
      </c>
      <c r="C150" s="49">
        <f>資料儲存!E4198</f>
        <v>0</v>
      </c>
      <c r="D150" s="49">
        <f>資料儲存!F4198</f>
        <v>0</v>
      </c>
      <c r="E150" s="49">
        <f>資料儲存!G4198</f>
        <v>0</v>
      </c>
      <c r="F150" s="49">
        <f>資料儲存!H4198</f>
        <v>0</v>
      </c>
      <c r="G150" s="49">
        <f>資料儲存!I4198</f>
        <v>0</v>
      </c>
      <c r="H150" s="49">
        <f>資料儲存!J4198</f>
        <v>0</v>
      </c>
      <c r="I150" s="52"/>
      <c r="J150" s="68">
        <v>57</v>
      </c>
      <c r="K150" s="49">
        <f>資料儲存!D4438</f>
        <v>0</v>
      </c>
      <c r="L150" s="49">
        <f>資料儲存!E4438</f>
        <v>0</v>
      </c>
      <c r="M150" s="49">
        <f>資料儲存!F4438</f>
        <v>0</v>
      </c>
      <c r="N150" s="49">
        <f>資料儲存!G4438</f>
        <v>0</v>
      </c>
      <c r="O150" s="49">
        <f>資料儲存!H4438</f>
        <v>0</v>
      </c>
      <c r="P150" s="49">
        <f>資料儲存!I4438</f>
        <v>0</v>
      </c>
      <c r="Q150" s="49">
        <f>資料儲存!J4438</f>
        <v>0</v>
      </c>
      <c r="R150" s="52"/>
      <c r="S150" s="68">
        <v>57</v>
      </c>
      <c r="T150" s="49">
        <f>資料儲存!D4678</f>
        <v>0</v>
      </c>
      <c r="U150" s="49">
        <f>資料儲存!E4678</f>
        <v>0</v>
      </c>
      <c r="V150" s="49">
        <f>資料儲存!F4678</f>
        <v>0</v>
      </c>
      <c r="W150" s="49">
        <f>資料儲存!G4678</f>
        <v>0</v>
      </c>
      <c r="X150" s="49">
        <f>資料儲存!H4678</f>
        <v>0</v>
      </c>
      <c r="Y150" s="49">
        <f>資料儲存!I4678</f>
        <v>0</v>
      </c>
      <c r="Z150" s="49">
        <f>資料儲存!J4678</f>
        <v>0</v>
      </c>
      <c r="AA150" s="52"/>
      <c r="AB150" s="68">
        <v>57</v>
      </c>
      <c r="AC150" s="49">
        <f>資料儲存!D4918</f>
        <v>0</v>
      </c>
      <c r="AD150" s="49">
        <f>資料儲存!E4918</f>
        <v>0</v>
      </c>
      <c r="AE150" s="49">
        <f>資料儲存!F4918</f>
        <v>0</v>
      </c>
      <c r="AF150" s="49">
        <f>資料儲存!G4918</f>
        <v>0</v>
      </c>
      <c r="AG150" s="49">
        <f>資料儲存!H4918</f>
        <v>0</v>
      </c>
      <c r="AH150" s="49">
        <f>資料儲存!I4918</f>
        <v>0</v>
      </c>
      <c r="AI150" s="49">
        <f>資料儲存!J4918</f>
        <v>0</v>
      </c>
      <c r="AJ150" s="52"/>
    </row>
    <row r="151" spans="1:36" ht="16" thickBot="1">
      <c r="A151" s="68">
        <v>58</v>
      </c>
      <c r="B151" s="49">
        <f>資料儲存!D4199</f>
        <v>0</v>
      </c>
      <c r="C151" s="49">
        <f>資料儲存!E4199</f>
        <v>0</v>
      </c>
      <c r="D151" s="49">
        <f>資料儲存!F4199</f>
        <v>0</v>
      </c>
      <c r="E151" s="49">
        <f>資料儲存!G4199</f>
        <v>0</v>
      </c>
      <c r="F151" s="49">
        <f>資料儲存!H4199</f>
        <v>0</v>
      </c>
      <c r="G151" s="49">
        <f>資料儲存!I4199</f>
        <v>0</v>
      </c>
      <c r="H151" s="49">
        <f>資料儲存!J4199</f>
        <v>0</v>
      </c>
      <c r="I151" s="52"/>
      <c r="J151" s="68">
        <v>58</v>
      </c>
      <c r="K151" s="49">
        <f>資料儲存!D4439</f>
        <v>0</v>
      </c>
      <c r="L151" s="49">
        <f>資料儲存!E4439</f>
        <v>0</v>
      </c>
      <c r="M151" s="49">
        <f>資料儲存!F4439</f>
        <v>0</v>
      </c>
      <c r="N151" s="49">
        <f>資料儲存!G4439</f>
        <v>0</v>
      </c>
      <c r="O151" s="49">
        <f>資料儲存!H4439</f>
        <v>0</v>
      </c>
      <c r="P151" s="49">
        <f>資料儲存!I4439</f>
        <v>0</v>
      </c>
      <c r="Q151" s="49">
        <f>資料儲存!J4439</f>
        <v>0</v>
      </c>
      <c r="R151" s="52"/>
      <c r="S151" s="68">
        <v>58</v>
      </c>
      <c r="T151" s="49">
        <f>資料儲存!D4679</f>
        <v>0</v>
      </c>
      <c r="U151" s="49">
        <f>資料儲存!E4679</f>
        <v>0</v>
      </c>
      <c r="V151" s="49">
        <f>資料儲存!F4679</f>
        <v>0</v>
      </c>
      <c r="W151" s="49">
        <f>資料儲存!G4679</f>
        <v>0</v>
      </c>
      <c r="X151" s="49">
        <f>資料儲存!H4679</f>
        <v>0</v>
      </c>
      <c r="Y151" s="49">
        <f>資料儲存!I4679</f>
        <v>0</v>
      </c>
      <c r="Z151" s="49">
        <f>資料儲存!J4679</f>
        <v>0</v>
      </c>
      <c r="AA151" s="52"/>
      <c r="AB151" s="68">
        <v>58</v>
      </c>
      <c r="AC151" s="49">
        <f>資料儲存!D4919</f>
        <v>0</v>
      </c>
      <c r="AD151" s="49">
        <f>資料儲存!E4919</f>
        <v>0</v>
      </c>
      <c r="AE151" s="49">
        <f>資料儲存!F4919</f>
        <v>0</v>
      </c>
      <c r="AF151" s="49">
        <f>資料儲存!G4919</f>
        <v>0</v>
      </c>
      <c r="AG151" s="49">
        <f>資料儲存!H4919</f>
        <v>0</v>
      </c>
      <c r="AH151" s="49">
        <f>資料儲存!I4919</f>
        <v>0</v>
      </c>
      <c r="AI151" s="49">
        <f>資料儲存!J4919</f>
        <v>0</v>
      </c>
      <c r="AJ151" s="52"/>
    </row>
    <row r="152" spans="1:36" ht="16" thickBot="1">
      <c r="A152" s="68">
        <v>59</v>
      </c>
      <c r="B152" s="49">
        <f>資料儲存!D4200</f>
        <v>0</v>
      </c>
      <c r="C152" s="49">
        <f>資料儲存!E4200</f>
        <v>0</v>
      </c>
      <c r="D152" s="49">
        <f>資料儲存!F4200</f>
        <v>0</v>
      </c>
      <c r="E152" s="49">
        <f>資料儲存!G4200</f>
        <v>0</v>
      </c>
      <c r="F152" s="49">
        <f>資料儲存!H4200</f>
        <v>0</v>
      </c>
      <c r="G152" s="49">
        <f>資料儲存!I4200</f>
        <v>0</v>
      </c>
      <c r="H152" s="49">
        <f>資料儲存!J4200</f>
        <v>0</v>
      </c>
      <c r="I152" s="52"/>
      <c r="J152" s="68">
        <v>59</v>
      </c>
      <c r="K152" s="49">
        <f>資料儲存!D4440</f>
        <v>0</v>
      </c>
      <c r="L152" s="49">
        <f>資料儲存!E4440</f>
        <v>0</v>
      </c>
      <c r="M152" s="49">
        <f>資料儲存!F4440</f>
        <v>0</v>
      </c>
      <c r="N152" s="49">
        <f>資料儲存!G4440</f>
        <v>0</v>
      </c>
      <c r="O152" s="49">
        <f>資料儲存!H4440</f>
        <v>0</v>
      </c>
      <c r="P152" s="49">
        <f>資料儲存!I4440</f>
        <v>0</v>
      </c>
      <c r="Q152" s="49">
        <f>資料儲存!J4440</f>
        <v>0</v>
      </c>
      <c r="R152" s="52"/>
      <c r="S152" s="68">
        <v>59</v>
      </c>
      <c r="T152" s="49">
        <f>資料儲存!D4680</f>
        <v>0</v>
      </c>
      <c r="U152" s="49">
        <f>資料儲存!E4680</f>
        <v>0</v>
      </c>
      <c r="V152" s="49">
        <f>資料儲存!F4680</f>
        <v>0</v>
      </c>
      <c r="W152" s="49">
        <f>資料儲存!G4680</f>
        <v>0</v>
      </c>
      <c r="X152" s="49">
        <f>資料儲存!H4680</f>
        <v>0</v>
      </c>
      <c r="Y152" s="49">
        <f>資料儲存!I4680</f>
        <v>0</v>
      </c>
      <c r="Z152" s="49">
        <f>資料儲存!J4680</f>
        <v>0</v>
      </c>
      <c r="AA152" s="52"/>
      <c r="AB152" s="68">
        <v>59</v>
      </c>
      <c r="AC152" s="49">
        <f>資料儲存!D4920</f>
        <v>0</v>
      </c>
      <c r="AD152" s="49">
        <f>資料儲存!E4920</f>
        <v>0</v>
      </c>
      <c r="AE152" s="49">
        <f>資料儲存!F4920</f>
        <v>0</v>
      </c>
      <c r="AF152" s="49">
        <f>資料儲存!G4920</f>
        <v>0</v>
      </c>
      <c r="AG152" s="49">
        <f>資料儲存!H4920</f>
        <v>0</v>
      </c>
      <c r="AH152" s="49">
        <f>資料儲存!I4920</f>
        <v>0</v>
      </c>
      <c r="AI152" s="49">
        <f>資料儲存!J4920</f>
        <v>0</v>
      </c>
      <c r="AJ152" s="52"/>
    </row>
    <row r="153" spans="1:36" ht="16" thickBot="1">
      <c r="A153" s="68">
        <v>60</v>
      </c>
      <c r="B153" s="49">
        <f>資料儲存!D4201</f>
        <v>0</v>
      </c>
      <c r="C153" s="49">
        <f>資料儲存!E4201</f>
        <v>0</v>
      </c>
      <c r="D153" s="49">
        <f>資料儲存!F4201</f>
        <v>0</v>
      </c>
      <c r="E153" s="49">
        <f>資料儲存!G4201</f>
        <v>0</v>
      </c>
      <c r="F153" s="49">
        <f>資料儲存!H4201</f>
        <v>0</v>
      </c>
      <c r="G153" s="49">
        <f>資料儲存!I4201</f>
        <v>0</v>
      </c>
      <c r="H153" s="49">
        <f>資料儲存!J4201</f>
        <v>0</v>
      </c>
      <c r="I153" s="52"/>
      <c r="J153" s="68">
        <v>60</v>
      </c>
      <c r="K153" s="49">
        <f>資料儲存!D4441</f>
        <v>0</v>
      </c>
      <c r="L153" s="49">
        <f>資料儲存!E4441</f>
        <v>0</v>
      </c>
      <c r="M153" s="49">
        <f>資料儲存!F4441</f>
        <v>0</v>
      </c>
      <c r="N153" s="49">
        <f>資料儲存!G4441</f>
        <v>0</v>
      </c>
      <c r="O153" s="49">
        <f>資料儲存!H4441</f>
        <v>0</v>
      </c>
      <c r="P153" s="49">
        <f>資料儲存!I4441</f>
        <v>0</v>
      </c>
      <c r="Q153" s="49">
        <f>資料儲存!J4441</f>
        <v>0</v>
      </c>
      <c r="R153" s="52"/>
      <c r="S153" s="68">
        <v>60</v>
      </c>
      <c r="T153" s="49">
        <f>資料儲存!D4681</f>
        <v>0</v>
      </c>
      <c r="U153" s="49">
        <f>資料儲存!E4681</f>
        <v>0</v>
      </c>
      <c r="V153" s="49">
        <f>資料儲存!F4681</f>
        <v>0</v>
      </c>
      <c r="W153" s="49">
        <f>資料儲存!G4681</f>
        <v>0</v>
      </c>
      <c r="X153" s="49">
        <f>資料儲存!H4681</f>
        <v>0</v>
      </c>
      <c r="Y153" s="49">
        <f>資料儲存!I4681</f>
        <v>0</v>
      </c>
      <c r="Z153" s="49">
        <f>資料儲存!J4681</f>
        <v>0</v>
      </c>
      <c r="AA153" s="52"/>
      <c r="AB153" s="68">
        <v>60</v>
      </c>
      <c r="AC153" s="49">
        <f>資料儲存!D4921</f>
        <v>0</v>
      </c>
      <c r="AD153" s="49">
        <f>資料儲存!E4921</f>
        <v>0</v>
      </c>
      <c r="AE153" s="49">
        <f>資料儲存!F4921</f>
        <v>0</v>
      </c>
      <c r="AF153" s="49">
        <f>資料儲存!G4921</f>
        <v>0</v>
      </c>
      <c r="AG153" s="49">
        <f>資料儲存!H4921</f>
        <v>0</v>
      </c>
      <c r="AH153" s="49">
        <f>資料儲存!I4921</f>
        <v>0</v>
      </c>
      <c r="AI153" s="49">
        <f>資料儲存!J4921</f>
        <v>0</v>
      </c>
      <c r="AJ153" s="52"/>
    </row>
    <row r="154" spans="1:36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</row>
    <row r="155" spans="1:36" ht="18.5" thickBot="1">
      <c r="A155" s="259" t="s">
        <v>115</v>
      </c>
      <c r="B155" s="260"/>
      <c r="C155" s="260"/>
      <c r="D155" s="260"/>
      <c r="E155" s="260"/>
      <c r="F155" s="260"/>
      <c r="G155" s="260"/>
      <c r="H155" s="261"/>
      <c r="I155" s="14"/>
      <c r="J155" s="259" t="s">
        <v>115</v>
      </c>
      <c r="K155" s="260"/>
      <c r="L155" s="260"/>
      <c r="M155" s="260"/>
      <c r="N155" s="260"/>
      <c r="O155" s="260"/>
      <c r="P155" s="260"/>
      <c r="Q155" s="261"/>
      <c r="R155" s="14"/>
      <c r="S155" s="259" t="s">
        <v>115</v>
      </c>
      <c r="T155" s="260"/>
      <c r="U155" s="260"/>
      <c r="V155" s="260"/>
      <c r="W155" s="260"/>
      <c r="X155" s="260"/>
      <c r="Y155" s="260"/>
      <c r="Z155" s="261"/>
      <c r="AA155" s="14"/>
      <c r="AB155" s="259" t="s">
        <v>115</v>
      </c>
      <c r="AC155" s="260"/>
      <c r="AD155" s="260"/>
      <c r="AE155" s="260"/>
      <c r="AF155" s="260"/>
      <c r="AG155" s="260"/>
      <c r="AH155" s="260"/>
      <c r="AI155" s="261"/>
      <c r="AJ155" s="14"/>
    </row>
    <row r="156" spans="1:36" ht="17.25" customHeight="1" thickBot="1">
      <c r="A156" s="54" t="s">
        <v>2</v>
      </c>
      <c r="B156" s="55" t="s">
        <v>46</v>
      </c>
      <c r="C156" s="56"/>
      <c r="D156" s="56"/>
      <c r="E156" s="57"/>
      <c r="F156" s="55" t="s">
        <v>47</v>
      </c>
      <c r="G156" s="56"/>
      <c r="H156" s="57"/>
      <c r="I156" s="58"/>
      <c r="J156" s="54" t="s">
        <v>2</v>
      </c>
      <c r="K156" s="55" t="s">
        <v>46</v>
      </c>
      <c r="L156" s="56"/>
      <c r="M156" s="56"/>
      <c r="N156" s="57"/>
      <c r="O156" s="55" t="s">
        <v>47</v>
      </c>
      <c r="P156" s="56"/>
      <c r="Q156" s="57"/>
      <c r="R156" s="58"/>
      <c r="S156" s="54" t="s">
        <v>2</v>
      </c>
      <c r="T156" s="55" t="s">
        <v>46</v>
      </c>
      <c r="U156" s="56"/>
      <c r="V156" s="56"/>
      <c r="W156" s="57"/>
      <c r="X156" s="55" t="s">
        <v>47</v>
      </c>
      <c r="Y156" s="56"/>
      <c r="Z156" s="57"/>
      <c r="AA156" s="58"/>
      <c r="AB156" s="54" t="s">
        <v>2</v>
      </c>
      <c r="AC156" s="55" t="s">
        <v>46</v>
      </c>
      <c r="AD156" s="56"/>
      <c r="AE156" s="56"/>
      <c r="AF156" s="57"/>
      <c r="AG156" s="55" t="s">
        <v>47</v>
      </c>
      <c r="AH156" s="56"/>
      <c r="AI156" s="57"/>
      <c r="AJ156" s="58"/>
    </row>
    <row r="157" spans="1:36" ht="16" thickBot="1">
      <c r="A157" s="59">
        <v>0.75</v>
      </c>
      <c r="B157" s="60" t="s">
        <v>49</v>
      </c>
      <c r="C157" s="60" t="s">
        <v>50</v>
      </c>
      <c r="D157" s="60" t="s">
        <v>51</v>
      </c>
      <c r="E157" s="60" t="s">
        <v>52</v>
      </c>
      <c r="F157" s="60" t="s">
        <v>53</v>
      </c>
      <c r="G157" s="60" t="s">
        <v>54</v>
      </c>
      <c r="H157" s="60" t="s">
        <v>55</v>
      </c>
      <c r="I157" s="58"/>
      <c r="J157" s="59">
        <v>0.75</v>
      </c>
      <c r="K157" s="60" t="s">
        <v>49</v>
      </c>
      <c r="L157" s="60" t="s">
        <v>50</v>
      </c>
      <c r="M157" s="60" t="s">
        <v>51</v>
      </c>
      <c r="N157" s="60" t="s">
        <v>52</v>
      </c>
      <c r="O157" s="60" t="s">
        <v>53</v>
      </c>
      <c r="P157" s="60" t="s">
        <v>54</v>
      </c>
      <c r="Q157" s="60" t="s">
        <v>55</v>
      </c>
      <c r="R157" s="58"/>
      <c r="S157" s="59">
        <v>0.75</v>
      </c>
      <c r="T157" s="60" t="s">
        <v>49</v>
      </c>
      <c r="U157" s="60" t="s">
        <v>50</v>
      </c>
      <c r="V157" s="60" t="s">
        <v>51</v>
      </c>
      <c r="W157" s="60" t="s">
        <v>52</v>
      </c>
      <c r="X157" s="60" t="s">
        <v>53</v>
      </c>
      <c r="Y157" s="60" t="s">
        <v>54</v>
      </c>
      <c r="Z157" s="60" t="s">
        <v>55</v>
      </c>
      <c r="AA157" s="58"/>
      <c r="AB157" s="59">
        <v>0.75</v>
      </c>
      <c r="AC157" s="60" t="s">
        <v>49</v>
      </c>
      <c r="AD157" s="60" t="s">
        <v>50</v>
      </c>
      <c r="AE157" s="60" t="s">
        <v>51</v>
      </c>
      <c r="AF157" s="60" t="s">
        <v>52</v>
      </c>
      <c r="AG157" s="60" t="s">
        <v>53</v>
      </c>
      <c r="AH157" s="60" t="s">
        <v>54</v>
      </c>
      <c r="AI157" s="60" t="s">
        <v>55</v>
      </c>
      <c r="AJ157" s="58"/>
    </row>
    <row r="158" spans="1:36" ht="16" thickBot="1">
      <c r="A158" s="61">
        <v>1</v>
      </c>
      <c r="B158" s="39">
        <f>資料儲存!D4202</f>
        <v>0</v>
      </c>
      <c r="C158" s="39">
        <f>資料儲存!E4202</f>
        <v>0</v>
      </c>
      <c r="D158" s="39">
        <f>資料儲存!F4202</f>
        <v>0</v>
      </c>
      <c r="E158" s="39">
        <f>資料儲存!G4202</f>
        <v>0</v>
      </c>
      <c r="F158" s="39">
        <f>資料儲存!H4202</f>
        <v>0</v>
      </c>
      <c r="G158" s="39">
        <f>資料儲存!I4202</f>
        <v>0</v>
      </c>
      <c r="H158" s="39">
        <f>資料儲存!J4202</f>
        <v>0</v>
      </c>
      <c r="I158" s="58"/>
      <c r="J158" s="61">
        <v>1</v>
      </c>
      <c r="K158" s="39">
        <f>資料儲存!D4442</f>
        <v>0</v>
      </c>
      <c r="L158" s="39">
        <f>資料儲存!E4442</f>
        <v>0</v>
      </c>
      <c r="M158" s="39">
        <f>資料儲存!F4442</f>
        <v>0</v>
      </c>
      <c r="N158" s="39">
        <f>資料儲存!G4442</f>
        <v>0</v>
      </c>
      <c r="O158" s="39">
        <f>資料儲存!H4442</f>
        <v>0</v>
      </c>
      <c r="P158" s="39">
        <f>資料儲存!I4442</f>
        <v>0</v>
      </c>
      <c r="Q158" s="39">
        <f>資料儲存!J4442</f>
        <v>0</v>
      </c>
      <c r="R158" s="58"/>
      <c r="S158" s="61">
        <v>1</v>
      </c>
      <c r="T158" s="39">
        <f>資料儲存!D4682</f>
        <v>0</v>
      </c>
      <c r="U158" s="39">
        <f>資料儲存!E4682</f>
        <v>0</v>
      </c>
      <c r="V158" s="39">
        <f>資料儲存!F4682</f>
        <v>0</v>
      </c>
      <c r="W158" s="39">
        <f>資料儲存!G4682</f>
        <v>0</v>
      </c>
      <c r="X158" s="39">
        <f>資料儲存!H4682</f>
        <v>0</v>
      </c>
      <c r="Y158" s="39">
        <f>資料儲存!I4682</f>
        <v>0</v>
      </c>
      <c r="Z158" s="39">
        <f>資料儲存!J4682</f>
        <v>0</v>
      </c>
      <c r="AA158" s="58"/>
      <c r="AB158" s="61">
        <v>1</v>
      </c>
      <c r="AC158" s="39">
        <f>資料儲存!D4922</f>
        <v>0</v>
      </c>
      <c r="AD158" s="39">
        <f>資料儲存!E4922</f>
        <v>0</v>
      </c>
      <c r="AE158" s="39">
        <f>資料儲存!F4922</f>
        <v>0</v>
      </c>
      <c r="AF158" s="39">
        <f>資料儲存!G4922</f>
        <v>0</v>
      </c>
      <c r="AG158" s="39">
        <f>資料儲存!H4922</f>
        <v>0</v>
      </c>
      <c r="AH158" s="39">
        <f>資料儲存!I4922</f>
        <v>0</v>
      </c>
      <c r="AI158" s="39">
        <f>資料儲存!J4922</f>
        <v>0</v>
      </c>
      <c r="AJ158" s="58"/>
    </row>
    <row r="159" spans="1:36" ht="16" thickBot="1">
      <c r="A159" s="61">
        <v>2</v>
      </c>
      <c r="B159" s="39">
        <f>資料儲存!D4203</f>
        <v>0</v>
      </c>
      <c r="C159" s="39">
        <f>資料儲存!E4203</f>
        <v>0</v>
      </c>
      <c r="D159" s="39">
        <f>資料儲存!F4203</f>
        <v>0</v>
      </c>
      <c r="E159" s="39">
        <f>資料儲存!G4203</f>
        <v>0</v>
      </c>
      <c r="F159" s="39">
        <f>資料儲存!H4203</f>
        <v>0</v>
      </c>
      <c r="G159" s="39">
        <f>資料儲存!I4203</f>
        <v>0</v>
      </c>
      <c r="H159" s="39">
        <f>資料儲存!J4203</f>
        <v>0</v>
      </c>
      <c r="I159" s="58"/>
      <c r="J159" s="61">
        <v>2</v>
      </c>
      <c r="K159" s="39">
        <f>資料儲存!D4443</f>
        <v>0</v>
      </c>
      <c r="L159" s="39">
        <f>資料儲存!E4443</f>
        <v>0</v>
      </c>
      <c r="M159" s="39">
        <f>資料儲存!F4443</f>
        <v>0</v>
      </c>
      <c r="N159" s="39">
        <f>資料儲存!G4443</f>
        <v>0</v>
      </c>
      <c r="O159" s="39">
        <f>資料儲存!H4443</f>
        <v>0</v>
      </c>
      <c r="P159" s="39">
        <f>資料儲存!I4443</f>
        <v>0</v>
      </c>
      <c r="Q159" s="39">
        <f>資料儲存!J4443</f>
        <v>0</v>
      </c>
      <c r="R159" s="58"/>
      <c r="S159" s="61">
        <v>2</v>
      </c>
      <c r="T159" s="39">
        <f>資料儲存!D4683</f>
        <v>0</v>
      </c>
      <c r="U159" s="39">
        <f>資料儲存!E4683</f>
        <v>0</v>
      </c>
      <c r="V159" s="39">
        <f>資料儲存!F4683</f>
        <v>0</v>
      </c>
      <c r="W159" s="39">
        <f>資料儲存!G4683</f>
        <v>0</v>
      </c>
      <c r="X159" s="39">
        <f>資料儲存!H4683</f>
        <v>0</v>
      </c>
      <c r="Y159" s="39">
        <f>資料儲存!I4683</f>
        <v>0</v>
      </c>
      <c r="Z159" s="39">
        <f>資料儲存!J4683</f>
        <v>0</v>
      </c>
      <c r="AA159" s="58"/>
      <c r="AB159" s="61">
        <v>2</v>
      </c>
      <c r="AC159" s="39">
        <f>資料儲存!D4923</f>
        <v>0</v>
      </c>
      <c r="AD159" s="39">
        <f>資料儲存!E4923</f>
        <v>0</v>
      </c>
      <c r="AE159" s="39">
        <f>資料儲存!F4923</f>
        <v>0</v>
      </c>
      <c r="AF159" s="39">
        <f>資料儲存!G4923</f>
        <v>0</v>
      </c>
      <c r="AG159" s="39">
        <f>資料儲存!H4923</f>
        <v>0</v>
      </c>
      <c r="AH159" s="39">
        <f>資料儲存!I4923</f>
        <v>0</v>
      </c>
      <c r="AI159" s="39">
        <f>資料儲存!J4923</f>
        <v>0</v>
      </c>
      <c r="AJ159" s="58"/>
    </row>
    <row r="160" spans="1:36" ht="16" thickBot="1">
      <c r="A160" s="61">
        <v>3</v>
      </c>
      <c r="B160" s="39">
        <f>資料儲存!D4204</f>
        <v>0</v>
      </c>
      <c r="C160" s="39">
        <f>資料儲存!E4204</f>
        <v>0</v>
      </c>
      <c r="D160" s="39">
        <f>資料儲存!F4204</f>
        <v>0</v>
      </c>
      <c r="E160" s="39">
        <f>資料儲存!G4204</f>
        <v>0</v>
      </c>
      <c r="F160" s="39">
        <f>資料儲存!H4204</f>
        <v>0</v>
      </c>
      <c r="G160" s="39">
        <f>資料儲存!I4204</f>
        <v>0</v>
      </c>
      <c r="H160" s="39">
        <f>資料儲存!J4204</f>
        <v>0</v>
      </c>
      <c r="I160" s="58"/>
      <c r="J160" s="61">
        <v>3</v>
      </c>
      <c r="K160" s="39">
        <f>資料儲存!D4444</f>
        <v>0</v>
      </c>
      <c r="L160" s="39">
        <f>資料儲存!E4444</f>
        <v>0</v>
      </c>
      <c r="M160" s="39">
        <f>資料儲存!F4444</f>
        <v>0</v>
      </c>
      <c r="N160" s="39">
        <f>資料儲存!G4444</f>
        <v>0</v>
      </c>
      <c r="O160" s="39">
        <f>資料儲存!H4444</f>
        <v>0</v>
      </c>
      <c r="P160" s="39">
        <f>資料儲存!I4444</f>
        <v>0</v>
      </c>
      <c r="Q160" s="39">
        <f>資料儲存!J4444</f>
        <v>0</v>
      </c>
      <c r="R160" s="58"/>
      <c r="S160" s="61">
        <v>3</v>
      </c>
      <c r="T160" s="39">
        <f>資料儲存!D4684</f>
        <v>0</v>
      </c>
      <c r="U160" s="39">
        <f>資料儲存!E4684</f>
        <v>0</v>
      </c>
      <c r="V160" s="39">
        <f>資料儲存!F4684</f>
        <v>0</v>
      </c>
      <c r="W160" s="39">
        <f>資料儲存!G4684</f>
        <v>0</v>
      </c>
      <c r="X160" s="39">
        <f>資料儲存!H4684</f>
        <v>0</v>
      </c>
      <c r="Y160" s="39">
        <f>資料儲存!I4684</f>
        <v>0</v>
      </c>
      <c r="Z160" s="39">
        <f>資料儲存!J4684</f>
        <v>0</v>
      </c>
      <c r="AA160" s="58"/>
      <c r="AB160" s="61">
        <v>3</v>
      </c>
      <c r="AC160" s="39">
        <f>資料儲存!D4924</f>
        <v>0</v>
      </c>
      <c r="AD160" s="39">
        <f>資料儲存!E4924</f>
        <v>0</v>
      </c>
      <c r="AE160" s="39">
        <f>資料儲存!F4924</f>
        <v>0</v>
      </c>
      <c r="AF160" s="39">
        <f>資料儲存!G4924</f>
        <v>0</v>
      </c>
      <c r="AG160" s="39">
        <f>資料儲存!H4924</f>
        <v>0</v>
      </c>
      <c r="AH160" s="39">
        <f>資料儲存!I4924</f>
        <v>0</v>
      </c>
      <c r="AI160" s="39">
        <f>資料儲存!J4924</f>
        <v>0</v>
      </c>
      <c r="AJ160" s="58"/>
    </row>
    <row r="161" spans="1:36" ht="16" thickBot="1">
      <c r="A161" s="61">
        <v>4</v>
      </c>
      <c r="B161" s="39">
        <f>資料儲存!D4205</f>
        <v>0</v>
      </c>
      <c r="C161" s="39">
        <f>資料儲存!E4205</f>
        <v>0</v>
      </c>
      <c r="D161" s="39">
        <f>資料儲存!F4205</f>
        <v>0</v>
      </c>
      <c r="E161" s="39">
        <f>資料儲存!G4205</f>
        <v>0</v>
      </c>
      <c r="F161" s="39">
        <f>資料儲存!H4205</f>
        <v>0</v>
      </c>
      <c r="G161" s="39">
        <f>資料儲存!I4205</f>
        <v>0</v>
      </c>
      <c r="H161" s="39">
        <f>資料儲存!J4205</f>
        <v>0</v>
      </c>
      <c r="I161" s="58"/>
      <c r="J161" s="61">
        <v>4</v>
      </c>
      <c r="K161" s="39">
        <f>資料儲存!D4445</f>
        <v>0</v>
      </c>
      <c r="L161" s="39">
        <f>資料儲存!E4445</f>
        <v>0</v>
      </c>
      <c r="M161" s="39">
        <f>資料儲存!F4445</f>
        <v>0</v>
      </c>
      <c r="N161" s="39">
        <f>資料儲存!G4445</f>
        <v>0</v>
      </c>
      <c r="O161" s="39">
        <f>資料儲存!H4445</f>
        <v>0</v>
      </c>
      <c r="P161" s="39">
        <f>資料儲存!I4445</f>
        <v>0</v>
      </c>
      <c r="Q161" s="39">
        <f>資料儲存!J4445</f>
        <v>0</v>
      </c>
      <c r="R161" s="58"/>
      <c r="S161" s="61">
        <v>4</v>
      </c>
      <c r="T161" s="39">
        <f>資料儲存!D4685</f>
        <v>0</v>
      </c>
      <c r="U161" s="39">
        <f>資料儲存!E4685</f>
        <v>0</v>
      </c>
      <c r="V161" s="39">
        <f>資料儲存!F4685</f>
        <v>0</v>
      </c>
      <c r="W161" s="39">
        <f>資料儲存!G4685</f>
        <v>0</v>
      </c>
      <c r="X161" s="39">
        <f>資料儲存!H4685</f>
        <v>0</v>
      </c>
      <c r="Y161" s="39">
        <f>資料儲存!I4685</f>
        <v>0</v>
      </c>
      <c r="Z161" s="39">
        <f>資料儲存!J4685</f>
        <v>0</v>
      </c>
      <c r="AA161" s="58"/>
      <c r="AB161" s="61">
        <v>4</v>
      </c>
      <c r="AC161" s="39">
        <f>資料儲存!D4925</f>
        <v>0</v>
      </c>
      <c r="AD161" s="39">
        <f>資料儲存!E4925</f>
        <v>0</v>
      </c>
      <c r="AE161" s="39">
        <f>資料儲存!F4925</f>
        <v>0</v>
      </c>
      <c r="AF161" s="39">
        <f>資料儲存!G4925</f>
        <v>0</v>
      </c>
      <c r="AG161" s="39">
        <f>資料儲存!H4925</f>
        <v>0</v>
      </c>
      <c r="AH161" s="39">
        <f>資料儲存!I4925</f>
        <v>0</v>
      </c>
      <c r="AI161" s="39">
        <f>資料儲存!J4925</f>
        <v>0</v>
      </c>
      <c r="AJ161" s="58"/>
    </row>
    <row r="162" spans="1:36" ht="16" thickBot="1">
      <c r="A162" s="61">
        <v>5</v>
      </c>
      <c r="B162" s="39">
        <f>資料儲存!D4206</f>
        <v>0</v>
      </c>
      <c r="C162" s="39">
        <f>資料儲存!E4206</f>
        <v>0</v>
      </c>
      <c r="D162" s="39">
        <f>資料儲存!F4206</f>
        <v>0</v>
      </c>
      <c r="E162" s="39">
        <f>資料儲存!G4206</f>
        <v>0</v>
      </c>
      <c r="F162" s="39">
        <f>資料儲存!H4206</f>
        <v>0</v>
      </c>
      <c r="G162" s="39">
        <f>資料儲存!I4206</f>
        <v>0</v>
      </c>
      <c r="H162" s="39">
        <f>資料儲存!J4206</f>
        <v>0</v>
      </c>
      <c r="I162" s="58"/>
      <c r="J162" s="61">
        <v>5</v>
      </c>
      <c r="K162" s="39">
        <f>資料儲存!D4446</f>
        <v>0</v>
      </c>
      <c r="L162" s="39">
        <f>資料儲存!E4446</f>
        <v>0</v>
      </c>
      <c r="M162" s="39">
        <f>資料儲存!F4446</f>
        <v>0</v>
      </c>
      <c r="N162" s="39">
        <f>資料儲存!G4446</f>
        <v>0</v>
      </c>
      <c r="O162" s="39">
        <f>資料儲存!H4446</f>
        <v>0</v>
      </c>
      <c r="P162" s="39">
        <f>資料儲存!I4446</f>
        <v>0</v>
      </c>
      <c r="Q162" s="39">
        <f>資料儲存!J4446</f>
        <v>0</v>
      </c>
      <c r="R162" s="58"/>
      <c r="S162" s="61">
        <v>5</v>
      </c>
      <c r="T162" s="39">
        <f>資料儲存!D4686</f>
        <v>0</v>
      </c>
      <c r="U162" s="39">
        <f>資料儲存!E4686</f>
        <v>0</v>
      </c>
      <c r="V162" s="39">
        <f>資料儲存!F4686</f>
        <v>0</v>
      </c>
      <c r="W162" s="39">
        <f>資料儲存!G4686</f>
        <v>0</v>
      </c>
      <c r="X162" s="39">
        <f>資料儲存!H4686</f>
        <v>0</v>
      </c>
      <c r="Y162" s="39">
        <f>資料儲存!I4686</f>
        <v>0</v>
      </c>
      <c r="Z162" s="39">
        <f>資料儲存!J4686</f>
        <v>0</v>
      </c>
      <c r="AA162" s="58"/>
      <c r="AB162" s="61">
        <v>5</v>
      </c>
      <c r="AC162" s="39">
        <f>資料儲存!D4926</f>
        <v>0</v>
      </c>
      <c r="AD162" s="39">
        <f>資料儲存!E4926</f>
        <v>0</v>
      </c>
      <c r="AE162" s="39">
        <f>資料儲存!F4926</f>
        <v>0</v>
      </c>
      <c r="AF162" s="39">
        <f>資料儲存!G4926</f>
        <v>0</v>
      </c>
      <c r="AG162" s="39">
        <f>資料儲存!H4926</f>
        <v>0</v>
      </c>
      <c r="AH162" s="39">
        <f>資料儲存!I4926</f>
        <v>0</v>
      </c>
      <c r="AI162" s="39">
        <f>資料儲存!J4926</f>
        <v>0</v>
      </c>
      <c r="AJ162" s="58"/>
    </row>
    <row r="163" spans="1:36" ht="16" thickBot="1">
      <c r="A163" s="61">
        <v>6</v>
      </c>
      <c r="B163" s="39">
        <f>資料儲存!D4207</f>
        <v>0</v>
      </c>
      <c r="C163" s="39">
        <f>資料儲存!E4207</f>
        <v>0</v>
      </c>
      <c r="D163" s="39">
        <f>資料儲存!F4207</f>
        <v>0</v>
      </c>
      <c r="E163" s="39">
        <f>資料儲存!G4207</f>
        <v>0</v>
      </c>
      <c r="F163" s="39">
        <f>資料儲存!H4207</f>
        <v>0</v>
      </c>
      <c r="G163" s="39">
        <f>資料儲存!I4207</f>
        <v>0</v>
      </c>
      <c r="H163" s="39">
        <f>資料儲存!J4207</f>
        <v>0</v>
      </c>
      <c r="I163" s="58"/>
      <c r="J163" s="61">
        <v>6</v>
      </c>
      <c r="K163" s="39">
        <f>資料儲存!D4447</f>
        <v>0</v>
      </c>
      <c r="L163" s="39">
        <f>資料儲存!E4447</f>
        <v>0</v>
      </c>
      <c r="M163" s="39">
        <f>資料儲存!F4447</f>
        <v>0</v>
      </c>
      <c r="N163" s="39">
        <f>資料儲存!G4447</f>
        <v>0</v>
      </c>
      <c r="O163" s="39">
        <f>資料儲存!H4447</f>
        <v>0</v>
      </c>
      <c r="P163" s="39">
        <f>資料儲存!I4447</f>
        <v>0</v>
      </c>
      <c r="Q163" s="39">
        <f>資料儲存!J4447</f>
        <v>0</v>
      </c>
      <c r="R163" s="58"/>
      <c r="S163" s="61">
        <v>6</v>
      </c>
      <c r="T163" s="39">
        <f>資料儲存!D4687</f>
        <v>0</v>
      </c>
      <c r="U163" s="39">
        <f>資料儲存!E4687</f>
        <v>0</v>
      </c>
      <c r="V163" s="39">
        <f>資料儲存!F4687</f>
        <v>0</v>
      </c>
      <c r="W163" s="39">
        <f>資料儲存!G4687</f>
        <v>0</v>
      </c>
      <c r="X163" s="39">
        <f>資料儲存!H4687</f>
        <v>0</v>
      </c>
      <c r="Y163" s="39">
        <f>資料儲存!I4687</f>
        <v>0</v>
      </c>
      <c r="Z163" s="39">
        <f>資料儲存!J4687</f>
        <v>0</v>
      </c>
      <c r="AA163" s="58"/>
      <c r="AB163" s="61">
        <v>6</v>
      </c>
      <c r="AC163" s="39">
        <f>資料儲存!D4927</f>
        <v>0</v>
      </c>
      <c r="AD163" s="39">
        <f>資料儲存!E4927</f>
        <v>0</v>
      </c>
      <c r="AE163" s="39">
        <f>資料儲存!F4927</f>
        <v>0</v>
      </c>
      <c r="AF163" s="39">
        <f>資料儲存!G4927</f>
        <v>0</v>
      </c>
      <c r="AG163" s="39">
        <f>資料儲存!H4927</f>
        <v>0</v>
      </c>
      <c r="AH163" s="39">
        <f>資料儲存!I4927</f>
        <v>0</v>
      </c>
      <c r="AI163" s="39">
        <f>資料儲存!J4927</f>
        <v>0</v>
      </c>
      <c r="AJ163" s="58"/>
    </row>
    <row r="164" spans="1:36" ht="16" thickBot="1">
      <c r="A164" s="61">
        <v>7</v>
      </c>
      <c r="B164" s="39">
        <f>資料儲存!D4208</f>
        <v>0</v>
      </c>
      <c r="C164" s="39">
        <f>資料儲存!E4208</f>
        <v>0</v>
      </c>
      <c r="D164" s="39">
        <f>資料儲存!F4208</f>
        <v>0</v>
      </c>
      <c r="E164" s="39">
        <f>資料儲存!G4208</f>
        <v>0</v>
      </c>
      <c r="F164" s="39">
        <f>資料儲存!H4208</f>
        <v>0</v>
      </c>
      <c r="G164" s="39">
        <f>資料儲存!I4208</f>
        <v>0</v>
      </c>
      <c r="H164" s="39">
        <f>資料儲存!J4208</f>
        <v>0</v>
      </c>
      <c r="I164" s="58"/>
      <c r="J164" s="61">
        <v>7</v>
      </c>
      <c r="K164" s="39">
        <f>資料儲存!D4448</f>
        <v>0</v>
      </c>
      <c r="L164" s="39">
        <f>資料儲存!E4448</f>
        <v>0</v>
      </c>
      <c r="M164" s="39">
        <f>資料儲存!F4448</f>
        <v>0</v>
      </c>
      <c r="N164" s="39">
        <f>資料儲存!G4448</f>
        <v>0</v>
      </c>
      <c r="O164" s="39">
        <f>資料儲存!H4448</f>
        <v>0</v>
      </c>
      <c r="P164" s="39">
        <f>資料儲存!I4448</f>
        <v>0</v>
      </c>
      <c r="Q164" s="39">
        <f>資料儲存!J4448</f>
        <v>0</v>
      </c>
      <c r="R164" s="58"/>
      <c r="S164" s="61">
        <v>7</v>
      </c>
      <c r="T164" s="39">
        <f>資料儲存!D4688</f>
        <v>0</v>
      </c>
      <c r="U164" s="39">
        <f>資料儲存!E4688</f>
        <v>0</v>
      </c>
      <c r="V164" s="39">
        <f>資料儲存!F4688</f>
        <v>0</v>
      </c>
      <c r="W164" s="39">
        <f>資料儲存!G4688</f>
        <v>0</v>
      </c>
      <c r="X164" s="39">
        <f>資料儲存!H4688</f>
        <v>0</v>
      </c>
      <c r="Y164" s="39">
        <f>資料儲存!I4688</f>
        <v>0</v>
      </c>
      <c r="Z164" s="39">
        <f>資料儲存!J4688</f>
        <v>0</v>
      </c>
      <c r="AA164" s="58"/>
      <c r="AB164" s="61">
        <v>7</v>
      </c>
      <c r="AC164" s="39">
        <f>資料儲存!D4928</f>
        <v>0</v>
      </c>
      <c r="AD164" s="39">
        <f>資料儲存!E4928</f>
        <v>0</v>
      </c>
      <c r="AE164" s="39">
        <f>資料儲存!F4928</f>
        <v>0</v>
      </c>
      <c r="AF164" s="39">
        <f>資料儲存!G4928</f>
        <v>0</v>
      </c>
      <c r="AG164" s="39">
        <f>資料儲存!H4928</f>
        <v>0</v>
      </c>
      <c r="AH164" s="39">
        <f>資料儲存!I4928</f>
        <v>0</v>
      </c>
      <c r="AI164" s="39">
        <f>資料儲存!J4928</f>
        <v>0</v>
      </c>
      <c r="AJ164" s="58"/>
    </row>
    <row r="165" spans="1:36" ht="16" thickBot="1">
      <c r="A165" s="61">
        <v>8</v>
      </c>
      <c r="B165" s="39">
        <f>資料儲存!D4209</f>
        <v>0</v>
      </c>
      <c r="C165" s="39">
        <f>資料儲存!E4209</f>
        <v>0</v>
      </c>
      <c r="D165" s="39">
        <f>資料儲存!F4209</f>
        <v>0</v>
      </c>
      <c r="E165" s="39">
        <f>資料儲存!G4209</f>
        <v>0</v>
      </c>
      <c r="F165" s="39">
        <f>資料儲存!H4209</f>
        <v>0</v>
      </c>
      <c r="G165" s="39">
        <f>資料儲存!I4209</f>
        <v>0</v>
      </c>
      <c r="H165" s="39">
        <f>資料儲存!J4209</f>
        <v>0</v>
      </c>
      <c r="I165" s="58"/>
      <c r="J165" s="61">
        <v>8</v>
      </c>
      <c r="K165" s="39">
        <f>資料儲存!D4449</f>
        <v>0</v>
      </c>
      <c r="L165" s="39">
        <f>資料儲存!E4449</f>
        <v>0</v>
      </c>
      <c r="M165" s="39">
        <f>資料儲存!F4449</f>
        <v>0</v>
      </c>
      <c r="N165" s="39">
        <f>資料儲存!G4449</f>
        <v>0</v>
      </c>
      <c r="O165" s="39">
        <f>資料儲存!H4449</f>
        <v>0</v>
      </c>
      <c r="P165" s="39">
        <f>資料儲存!I4449</f>
        <v>0</v>
      </c>
      <c r="Q165" s="39">
        <f>資料儲存!J4449</f>
        <v>0</v>
      </c>
      <c r="R165" s="58"/>
      <c r="S165" s="61">
        <v>8</v>
      </c>
      <c r="T165" s="39">
        <f>資料儲存!D4689</f>
        <v>0</v>
      </c>
      <c r="U165" s="39">
        <f>資料儲存!E4689</f>
        <v>0</v>
      </c>
      <c r="V165" s="39">
        <f>資料儲存!F4689</f>
        <v>0</v>
      </c>
      <c r="W165" s="39">
        <f>資料儲存!G4689</f>
        <v>0</v>
      </c>
      <c r="X165" s="39">
        <f>資料儲存!H4689</f>
        <v>0</v>
      </c>
      <c r="Y165" s="39">
        <f>資料儲存!I4689</f>
        <v>0</v>
      </c>
      <c r="Z165" s="39">
        <f>資料儲存!J4689</f>
        <v>0</v>
      </c>
      <c r="AA165" s="58"/>
      <c r="AB165" s="61">
        <v>8</v>
      </c>
      <c r="AC165" s="39">
        <f>資料儲存!D4929</f>
        <v>0</v>
      </c>
      <c r="AD165" s="39">
        <f>資料儲存!E4929</f>
        <v>0</v>
      </c>
      <c r="AE165" s="39">
        <f>資料儲存!F4929</f>
        <v>0</v>
      </c>
      <c r="AF165" s="39">
        <f>資料儲存!G4929</f>
        <v>0</v>
      </c>
      <c r="AG165" s="39">
        <f>資料儲存!H4929</f>
        <v>0</v>
      </c>
      <c r="AH165" s="39">
        <f>資料儲存!I4929</f>
        <v>0</v>
      </c>
      <c r="AI165" s="39">
        <f>資料儲存!J4929</f>
        <v>0</v>
      </c>
      <c r="AJ165" s="58"/>
    </row>
    <row r="166" spans="1:36" ht="16" thickBot="1">
      <c r="A166" s="61">
        <v>9</v>
      </c>
      <c r="B166" s="39">
        <f>資料儲存!D4210</f>
        <v>0</v>
      </c>
      <c r="C166" s="39">
        <f>資料儲存!E4210</f>
        <v>0</v>
      </c>
      <c r="D166" s="39">
        <f>資料儲存!F4210</f>
        <v>0</v>
      </c>
      <c r="E166" s="39">
        <f>資料儲存!G4210</f>
        <v>0</v>
      </c>
      <c r="F166" s="39">
        <f>資料儲存!H4210</f>
        <v>0</v>
      </c>
      <c r="G166" s="39">
        <f>資料儲存!I4210</f>
        <v>0</v>
      </c>
      <c r="H166" s="39">
        <f>資料儲存!J4210</f>
        <v>0</v>
      </c>
      <c r="I166" s="58"/>
      <c r="J166" s="61">
        <v>9</v>
      </c>
      <c r="K166" s="39">
        <f>資料儲存!D4450</f>
        <v>0</v>
      </c>
      <c r="L166" s="39">
        <f>資料儲存!E4450</f>
        <v>0</v>
      </c>
      <c r="M166" s="39">
        <f>資料儲存!F4450</f>
        <v>0</v>
      </c>
      <c r="N166" s="39">
        <f>資料儲存!G4450</f>
        <v>0</v>
      </c>
      <c r="O166" s="39">
        <f>資料儲存!H4450</f>
        <v>0</v>
      </c>
      <c r="P166" s="39">
        <f>資料儲存!I4450</f>
        <v>0</v>
      </c>
      <c r="Q166" s="39">
        <f>資料儲存!J4450</f>
        <v>0</v>
      </c>
      <c r="R166" s="58"/>
      <c r="S166" s="61">
        <v>9</v>
      </c>
      <c r="T166" s="39">
        <f>資料儲存!D4690</f>
        <v>0</v>
      </c>
      <c r="U166" s="39">
        <f>資料儲存!E4690</f>
        <v>0</v>
      </c>
      <c r="V166" s="39">
        <f>資料儲存!F4690</f>
        <v>0</v>
      </c>
      <c r="W166" s="39">
        <f>資料儲存!G4690</f>
        <v>0</v>
      </c>
      <c r="X166" s="39">
        <f>資料儲存!H4690</f>
        <v>0</v>
      </c>
      <c r="Y166" s="39">
        <f>資料儲存!I4690</f>
        <v>0</v>
      </c>
      <c r="Z166" s="39">
        <f>資料儲存!J4690</f>
        <v>0</v>
      </c>
      <c r="AA166" s="58"/>
      <c r="AB166" s="61">
        <v>9</v>
      </c>
      <c r="AC166" s="39">
        <f>資料儲存!D4930</f>
        <v>0</v>
      </c>
      <c r="AD166" s="39">
        <f>資料儲存!E4930</f>
        <v>0</v>
      </c>
      <c r="AE166" s="39">
        <f>資料儲存!F4930</f>
        <v>0</v>
      </c>
      <c r="AF166" s="39">
        <f>資料儲存!G4930</f>
        <v>0</v>
      </c>
      <c r="AG166" s="39">
        <f>資料儲存!H4930</f>
        <v>0</v>
      </c>
      <c r="AH166" s="39">
        <f>資料儲存!I4930</f>
        <v>0</v>
      </c>
      <c r="AI166" s="39">
        <f>資料儲存!J4930</f>
        <v>0</v>
      </c>
      <c r="AJ166" s="58"/>
    </row>
    <row r="167" spans="1:36" ht="16" thickBot="1">
      <c r="A167" s="61">
        <v>10</v>
      </c>
      <c r="B167" s="39">
        <f>資料儲存!D4211</f>
        <v>0</v>
      </c>
      <c r="C167" s="39">
        <f>資料儲存!E4211</f>
        <v>0</v>
      </c>
      <c r="D167" s="39">
        <f>資料儲存!F4211</f>
        <v>0</v>
      </c>
      <c r="E167" s="39">
        <f>資料儲存!G4211</f>
        <v>0</v>
      </c>
      <c r="F167" s="39">
        <f>資料儲存!H4211</f>
        <v>0</v>
      </c>
      <c r="G167" s="39">
        <f>資料儲存!I4211</f>
        <v>0</v>
      </c>
      <c r="H167" s="39">
        <f>資料儲存!J4211</f>
        <v>0</v>
      </c>
      <c r="I167" s="58"/>
      <c r="J167" s="61">
        <v>10</v>
      </c>
      <c r="K167" s="39">
        <f>資料儲存!D4451</f>
        <v>0</v>
      </c>
      <c r="L167" s="39">
        <f>資料儲存!E4451</f>
        <v>0</v>
      </c>
      <c r="M167" s="39">
        <f>資料儲存!F4451</f>
        <v>0</v>
      </c>
      <c r="N167" s="39">
        <f>資料儲存!G4451</f>
        <v>0</v>
      </c>
      <c r="O167" s="39">
        <f>資料儲存!H4451</f>
        <v>0</v>
      </c>
      <c r="P167" s="39">
        <f>資料儲存!I4451</f>
        <v>0</v>
      </c>
      <c r="Q167" s="39">
        <f>資料儲存!J4451</f>
        <v>0</v>
      </c>
      <c r="R167" s="58"/>
      <c r="S167" s="61">
        <v>10</v>
      </c>
      <c r="T167" s="39">
        <f>資料儲存!D4691</f>
        <v>0</v>
      </c>
      <c r="U167" s="39">
        <f>資料儲存!E4691</f>
        <v>0</v>
      </c>
      <c r="V167" s="39">
        <f>資料儲存!F4691</f>
        <v>0</v>
      </c>
      <c r="W167" s="39">
        <f>資料儲存!G4691</f>
        <v>0</v>
      </c>
      <c r="X167" s="39">
        <f>資料儲存!H4691</f>
        <v>0</v>
      </c>
      <c r="Y167" s="39">
        <f>資料儲存!I4691</f>
        <v>0</v>
      </c>
      <c r="Z167" s="39">
        <f>資料儲存!J4691</f>
        <v>0</v>
      </c>
      <c r="AA167" s="58"/>
      <c r="AB167" s="61">
        <v>10</v>
      </c>
      <c r="AC167" s="39">
        <f>資料儲存!D4931</f>
        <v>0</v>
      </c>
      <c r="AD167" s="39">
        <f>資料儲存!E4931</f>
        <v>0</v>
      </c>
      <c r="AE167" s="39">
        <f>資料儲存!F4931</f>
        <v>0</v>
      </c>
      <c r="AF167" s="39">
        <f>資料儲存!G4931</f>
        <v>0</v>
      </c>
      <c r="AG167" s="39">
        <f>資料儲存!H4931</f>
        <v>0</v>
      </c>
      <c r="AH167" s="39">
        <f>資料儲存!I4931</f>
        <v>0</v>
      </c>
      <c r="AI167" s="39">
        <f>資料儲存!J4931</f>
        <v>0</v>
      </c>
      <c r="AJ167" s="58"/>
    </row>
    <row r="168" spans="1:36" ht="16" thickBot="1">
      <c r="A168" s="61">
        <v>11</v>
      </c>
      <c r="B168" s="39">
        <f>資料儲存!D4212</f>
        <v>0</v>
      </c>
      <c r="C168" s="39">
        <f>資料儲存!E4212</f>
        <v>0</v>
      </c>
      <c r="D168" s="39">
        <f>資料儲存!F4212</f>
        <v>0</v>
      </c>
      <c r="E168" s="39">
        <f>資料儲存!G4212</f>
        <v>0</v>
      </c>
      <c r="F168" s="39">
        <f>資料儲存!H4212</f>
        <v>0</v>
      </c>
      <c r="G168" s="39">
        <f>資料儲存!I4212</f>
        <v>0</v>
      </c>
      <c r="H168" s="39">
        <f>資料儲存!J4212</f>
        <v>0</v>
      </c>
      <c r="I168" s="58"/>
      <c r="J168" s="61">
        <v>11</v>
      </c>
      <c r="K168" s="39">
        <f>資料儲存!D4452</f>
        <v>0</v>
      </c>
      <c r="L168" s="39">
        <f>資料儲存!E4452</f>
        <v>0</v>
      </c>
      <c r="M168" s="39">
        <f>資料儲存!F4452</f>
        <v>0</v>
      </c>
      <c r="N168" s="39">
        <f>資料儲存!G4452</f>
        <v>0</v>
      </c>
      <c r="O168" s="39">
        <f>資料儲存!H4452</f>
        <v>0</v>
      </c>
      <c r="P168" s="39">
        <f>資料儲存!I4452</f>
        <v>0</v>
      </c>
      <c r="Q168" s="39">
        <f>資料儲存!J4452</f>
        <v>0</v>
      </c>
      <c r="R168" s="58"/>
      <c r="S168" s="61">
        <v>11</v>
      </c>
      <c r="T168" s="39">
        <f>資料儲存!D4692</f>
        <v>0</v>
      </c>
      <c r="U168" s="39">
        <f>資料儲存!E4692</f>
        <v>0</v>
      </c>
      <c r="V168" s="39">
        <f>資料儲存!F4692</f>
        <v>0</v>
      </c>
      <c r="W168" s="39">
        <f>資料儲存!G4692</f>
        <v>0</v>
      </c>
      <c r="X168" s="39">
        <f>資料儲存!H4692</f>
        <v>0</v>
      </c>
      <c r="Y168" s="39">
        <f>資料儲存!I4692</f>
        <v>0</v>
      </c>
      <c r="Z168" s="39">
        <f>資料儲存!J4692</f>
        <v>0</v>
      </c>
      <c r="AA168" s="58"/>
      <c r="AB168" s="61">
        <v>11</v>
      </c>
      <c r="AC168" s="39">
        <f>資料儲存!D4932</f>
        <v>0</v>
      </c>
      <c r="AD168" s="39">
        <f>資料儲存!E4932</f>
        <v>0</v>
      </c>
      <c r="AE168" s="39">
        <f>資料儲存!F4932</f>
        <v>0</v>
      </c>
      <c r="AF168" s="39">
        <f>資料儲存!G4932</f>
        <v>0</v>
      </c>
      <c r="AG168" s="39">
        <f>資料儲存!H4932</f>
        <v>0</v>
      </c>
      <c r="AH168" s="39">
        <f>資料儲存!I4932</f>
        <v>0</v>
      </c>
      <c r="AI168" s="39">
        <f>資料儲存!J4932</f>
        <v>0</v>
      </c>
      <c r="AJ168" s="58"/>
    </row>
    <row r="169" spans="1:36" ht="16" thickBot="1">
      <c r="A169" s="61">
        <v>12</v>
      </c>
      <c r="B169" s="39">
        <f>資料儲存!D4213</f>
        <v>0</v>
      </c>
      <c r="C169" s="39">
        <f>資料儲存!E4213</f>
        <v>0</v>
      </c>
      <c r="D169" s="39">
        <f>資料儲存!F4213</f>
        <v>0</v>
      </c>
      <c r="E169" s="39">
        <f>資料儲存!G4213</f>
        <v>0</v>
      </c>
      <c r="F169" s="39">
        <f>資料儲存!H4213</f>
        <v>0</v>
      </c>
      <c r="G169" s="39">
        <f>資料儲存!I4213</f>
        <v>0</v>
      </c>
      <c r="H169" s="39">
        <f>資料儲存!J4213</f>
        <v>0</v>
      </c>
      <c r="I169" s="58"/>
      <c r="J169" s="61">
        <v>12</v>
      </c>
      <c r="K169" s="39">
        <f>資料儲存!D4453</f>
        <v>0</v>
      </c>
      <c r="L169" s="39">
        <f>資料儲存!E4453</f>
        <v>0</v>
      </c>
      <c r="M169" s="39">
        <f>資料儲存!F4453</f>
        <v>0</v>
      </c>
      <c r="N169" s="39">
        <f>資料儲存!G4453</f>
        <v>0</v>
      </c>
      <c r="O169" s="39">
        <f>資料儲存!H4453</f>
        <v>0</v>
      </c>
      <c r="P169" s="39">
        <f>資料儲存!I4453</f>
        <v>0</v>
      </c>
      <c r="Q169" s="39">
        <f>資料儲存!J4453</f>
        <v>0</v>
      </c>
      <c r="R169" s="58"/>
      <c r="S169" s="61">
        <v>12</v>
      </c>
      <c r="T169" s="39">
        <f>資料儲存!D4693</f>
        <v>0</v>
      </c>
      <c r="U169" s="39">
        <f>資料儲存!E4693</f>
        <v>0</v>
      </c>
      <c r="V169" s="39">
        <f>資料儲存!F4693</f>
        <v>0</v>
      </c>
      <c r="W169" s="39">
        <f>資料儲存!G4693</f>
        <v>0</v>
      </c>
      <c r="X169" s="39">
        <f>資料儲存!H4693</f>
        <v>0</v>
      </c>
      <c r="Y169" s="39">
        <f>資料儲存!I4693</f>
        <v>0</v>
      </c>
      <c r="Z169" s="39">
        <f>資料儲存!J4693</f>
        <v>0</v>
      </c>
      <c r="AA169" s="58"/>
      <c r="AB169" s="61">
        <v>12</v>
      </c>
      <c r="AC169" s="39">
        <f>資料儲存!D4933</f>
        <v>0</v>
      </c>
      <c r="AD169" s="39">
        <f>資料儲存!E4933</f>
        <v>0</v>
      </c>
      <c r="AE169" s="39">
        <f>資料儲存!F4933</f>
        <v>0</v>
      </c>
      <c r="AF169" s="39">
        <f>資料儲存!G4933</f>
        <v>0</v>
      </c>
      <c r="AG169" s="39">
        <f>資料儲存!H4933</f>
        <v>0</v>
      </c>
      <c r="AH169" s="39">
        <f>資料儲存!I4933</f>
        <v>0</v>
      </c>
      <c r="AI169" s="39">
        <f>資料儲存!J4933</f>
        <v>0</v>
      </c>
      <c r="AJ169" s="58"/>
    </row>
    <row r="170" spans="1:36" ht="16" thickBot="1">
      <c r="A170" s="61">
        <v>13</v>
      </c>
      <c r="B170" s="39">
        <f>資料儲存!D4214</f>
        <v>0</v>
      </c>
      <c r="C170" s="39">
        <f>資料儲存!E4214</f>
        <v>0</v>
      </c>
      <c r="D170" s="39">
        <f>資料儲存!F4214</f>
        <v>0</v>
      </c>
      <c r="E170" s="39">
        <f>資料儲存!G4214</f>
        <v>0</v>
      </c>
      <c r="F170" s="39">
        <f>資料儲存!H4214</f>
        <v>0</v>
      </c>
      <c r="G170" s="39">
        <f>資料儲存!I4214</f>
        <v>0</v>
      </c>
      <c r="H170" s="39">
        <f>資料儲存!J4214</f>
        <v>0</v>
      </c>
      <c r="I170" s="58"/>
      <c r="J170" s="61">
        <v>13</v>
      </c>
      <c r="K170" s="39">
        <f>資料儲存!D4454</f>
        <v>0</v>
      </c>
      <c r="L170" s="39">
        <f>資料儲存!E4454</f>
        <v>0</v>
      </c>
      <c r="M170" s="39">
        <f>資料儲存!F4454</f>
        <v>0</v>
      </c>
      <c r="N170" s="39">
        <f>資料儲存!G4454</f>
        <v>0</v>
      </c>
      <c r="O170" s="39">
        <f>資料儲存!H4454</f>
        <v>0</v>
      </c>
      <c r="P170" s="39">
        <f>資料儲存!I4454</f>
        <v>0</v>
      </c>
      <c r="Q170" s="39">
        <f>資料儲存!J4454</f>
        <v>0</v>
      </c>
      <c r="R170" s="58"/>
      <c r="S170" s="61">
        <v>13</v>
      </c>
      <c r="T170" s="39">
        <f>資料儲存!D4694</f>
        <v>0</v>
      </c>
      <c r="U170" s="39">
        <f>資料儲存!E4694</f>
        <v>0</v>
      </c>
      <c r="V170" s="39">
        <f>資料儲存!F4694</f>
        <v>0</v>
      </c>
      <c r="W170" s="39">
        <f>資料儲存!G4694</f>
        <v>0</v>
      </c>
      <c r="X170" s="39">
        <f>資料儲存!H4694</f>
        <v>0</v>
      </c>
      <c r="Y170" s="39">
        <f>資料儲存!I4694</f>
        <v>0</v>
      </c>
      <c r="Z170" s="39">
        <f>資料儲存!J4694</f>
        <v>0</v>
      </c>
      <c r="AA170" s="58"/>
      <c r="AB170" s="61">
        <v>13</v>
      </c>
      <c r="AC170" s="39">
        <f>資料儲存!D4934</f>
        <v>0</v>
      </c>
      <c r="AD170" s="39">
        <f>資料儲存!E4934</f>
        <v>0</v>
      </c>
      <c r="AE170" s="39">
        <f>資料儲存!F4934</f>
        <v>0</v>
      </c>
      <c r="AF170" s="39">
        <f>資料儲存!G4934</f>
        <v>0</v>
      </c>
      <c r="AG170" s="39">
        <f>資料儲存!H4934</f>
        <v>0</v>
      </c>
      <c r="AH170" s="39">
        <f>資料儲存!I4934</f>
        <v>0</v>
      </c>
      <c r="AI170" s="39">
        <f>資料儲存!J4934</f>
        <v>0</v>
      </c>
      <c r="AJ170" s="58"/>
    </row>
    <row r="171" spans="1:36" ht="16" thickBot="1">
      <c r="A171" s="61">
        <v>14</v>
      </c>
      <c r="B171" s="39">
        <f>資料儲存!D4215</f>
        <v>0</v>
      </c>
      <c r="C171" s="39">
        <f>資料儲存!E4215</f>
        <v>0</v>
      </c>
      <c r="D171" s="39">
        <f>資料儲存!F4215</f>
        <v>0</v>
      </c>
      <c r="E171" s="39">
        <f>資料儲存!G4215</f>
        <v>0</v>
      </c>
      <c r="F171" s="39">
        <f>資料儲存!H4215</f>
        <v>0</v>
      </c>
      <c r="G171" s="39">
        <f>資料儲存!I4215</f>
        <v>0</v>
      </c>
      <c r="H171" s="39">
        <f>資料儲存!J4215</f>
        <v>0</v>
      </c>
      <c r="I171" s="58"/>
      <c r="J171" s="61">
        <v>14</v>
      </c>
      <c r="K171" s="39">
        <f>資料儲存!D4455</f>
        <v>0</v>
      </c>
      <c r="L171" s="39">
        <f>資料儲存!E4455</f>
        <v>0</v>
      </c>
      <c r="M171" s="39">
        <f>資料儲存!F4455</f>
        <v>0</v>
      </c>
      <c r="N171" s="39">
        <f>資料儲存!G4455</f>
        <v>0</v>
      </c>
      <c r="O171" s="39">
        <f>資料儲存!H4455</f>
        <v>0</v>
      </c>
      <c r="P171" s="39">
        <f>資料儲存!I4455</f>
        <v>0</v>
      </c>
      <c r="Q171" s="39">
        <f>資料儲存!J4455</f>
        <v>0</v>
      </c>
      <c r="R171" s="58"/>
      <c r="S171" s="61">
        <v>14</v>
      </c>
      <c r="T171" s="39">
        <f>資料儲存!D4695</f>
        <v>0</v>
      </c>
      <c r="U171" s="39">
        <f>資料儲存!E4695</f>
        <v>0</v>
      </c>
      <c r="V171" s="39">
        <f>資料儲存!F4695</f>
        <v>0</v>
      </c>
      <c r="W171" s="39">
        <f>資料儲存!G4695</f>
        <v>0</v>
      </c>
      <c r="X171" s="39">
        <f>資料儲存!H4695</f>
        <v>0</v>
      </c>
      <c r="Y171" s="39">
        <f>資料儲存!I4695</f>
        <v>0</v>
      </c>
      <c r="Z171" s="39">
        <f>資料儲存!J4695</f>
        <v>0</v>
      </c>
      <c r="AA171" s="58"/>
      <c r="AB171" s="61">
        <v>14</v>
      </c>
      <c r="AC171" s="39">
        <f>資料儲存!D4935</f>
        <v>0</v>
      </c>
      <c r="AD171" s="39">
        <f>資料儲存!E4935</f>
        <v>0</v>
      </c>
      <c r="AE171" s="39">
        <f>資料儲存!F4935</f>
        <v>0</v>
      </c>
      <c r="AF171" s="39">
        <f>資料儲存!G4935</f>
        <v>0</v>
      </c>
      <c r="AG171" s="39">
        <f>資料儲存!H4935</f>
        <v>0</v>
      </c>
      <c r="AH171" s="39">
        <f>資料儲存!I4935</f>
        <v>0</v>
      </c>
      <c r="AI171" s="39">
        <f>資料儲存!J4935</f>
        <v>0</v>
      </c>
      <c r="AJ171" s="58"/>
    </row>
    <row r="172" spans="1:36" ht="16" thickBot="1">
      <c r="A172" s="61">
        <v>15</v>
      </c>
      <c r="B172" s="39">
        <f>資料儲存!D4216</f>
        <v>0</v>
      </c>
      <c r="C172" s="39">
        <f>資料儲存!E4216</f>
        <v>0</v>
      </c>
      <c r="D172" s="39">
        <f>資料儲存!F4216</f>
        <v>0</v>
      </c>
      <c r="E172" s="39">
        <f>資料儲存!G4216</f>
        <v>0</v>
      </c>
      <c r="F172" s="39">
        <f>資料儲存!H4216</f>
        <v>0</v>
      </c>
      <c r="G172" s="39">
        <f>資料儲存!I4216</f>
        <v>0</v>
      </c>
      <c r="H172" s="39">
        <f>資料儲存!J4216</f>
        <v>0</v>
      </c>
      <c r="I172" s="58"/>
      <c r="J172" s="61">
        <v>15</v>
      </c>
      <c r="K172" s="39">
        <f>資料儲存!D4456</f>
        <v>0</v>
      </c>
      <c r="L172" s="39">
        <f>資料儲存!E4456</f>
        <v>0</v>
      </c>
      <c r="M172" s="39">
        <f>資料儲存!F4456</f>
        <v>0</v>
      </c>
      <c r="N172" s="39">
        <f>資料儲存!G4456</f>
        <v>0</v>
      </c>
      <c r="O172" s="39">
        <f>資料儲存!H4456</f>
        <v>0</v>
      </c>
      <c r="P172" s="39">
        <f>資料儲存!I4456</f>
        <v>0</v>
      </c>
      <c r="Q172" s="39">
        <f>資料儲存!J4456</f>
        <v>0</v>
      </c>
      <c r="R172" s="58"/>
      <c r="S172" s="61">
        <v>15</v>
      </c>
      <c r="T172" s="39">
        <f>資料儲存!D4696</f>
        <v>0</v>
      </c>
      <c r="U172" s="39">
        <f>資料儲存!E4696</f>
        <v>0</v>
      </c>
      <c r="V172" s="39">
        <f>資料儲存!F4696</f>
        <v>0</v>
      </c>
      <c r="W172" s="39">
        <f>資料儲存!G4696</f>
        <v>0</v>
      </c>
      <c r="X172" s="39">
        <f>資料儲存!H4696</f>
        <v>0</v>
      </c>
      <c r="Y172" s="39">
        <f>資料儲存!I4696</f>
        <v>0</v>
      </c>
      <c r="Z172" s="39">
        <f>資料儲存!J4696</f>
        <v>0</v>
      </c>
      <c r="AA172" s="58"/>
      <c r="AB172" s="61">
        <v>15</v>
      </c>
      <c r="AC172" s="39">
        <f>資料儲存!D4936</f>
        <v>0</v>
      </c>
      <c r="AD172" s="39">
        <f>資料儲存!E4936</f>
        <v>0</v>
      </c>
      <c r="AE172" s="39">
        <f>資料儲存!F4936</f>
        <v>0</v>
      </c>
      <c r="AF172" s="39">
        <f>資料儲存!G4936</f>
        <v>0</v>
      </c>
      <c r="AG172" s="39">
        <f>資料儲存!H4936</f>
        <v>0</v>
      </c>
      <c r="AH172" s="39">
        <f>資料儲存!I4936</f>
        <v>0</v>
      </c>
      <c r="AI172" s="39">
        <f>資料儲存!J4936</f>
        <v>0</v>
      </c>
      <c r="AJ172" s="58"/>
    </row>
    <row r="173" spans="1:36" ht="17.25" customHeight="1" thickBot="1">
      <c r="A173" s="40" t="s">
        <v>56</v>
      </c>
      <c r="B173" s="39">
        <f>SUM(B158:E172)</f>
        <v>0</v>
      </c>
      <c r="C173" s="37"/>
      <c r="D173" s="37"/>
      <c r="E173" s="37"/>
      <c r="F173" s="39">
        <f>F172</f>
        <v>0</v>
      </c>
      <c r="G173" s="39">
        <f>G172</f>
        <v>0</v>
      </c>
      <c r="H173" s="39">
        <f>H172</f>
        <v>0</v>
      </c>
      <c r="I173" s="35"/>
      <c r="J173" s="40" t="s">
        <v>56</v>
      </c>
      <c r="K173" s="39">
        <f>SUM(K158:N172)</f>
        <v>0</v>
      </c>
      <c r="L173" s="37"/>
      <c r="M173" s="37"/>
      <c r="N173" s="37"/>
      <c r="O173" s="39">
        <f>O172</f>
        <v>0</v>
      </c>
      <c r="P173" s="39">
        <f>P172</f>
        <v>0</v>
      </c>
      <c r="Q173" s="39">
        <f>Q172</f>
        <v>0</v>
      </c>
      <c r="R173" s="35"/>
      <c r="S173" s="40" t="s">
        <v>56</v>
      </c>
      <c r="T173" s="39">
        <f>SUM(T158:W172)</f>
        <v>0</v>
      </c>
      <c r="U173" s="37"/>
      <c r="V173" s="37"/>
      <c r="W173" s="37"/>
      <c r="X173" s="39">
        <f>X172</f>
        <v>0</v>
      </c>
      <c r="Y173" s="39">
        <f>Y172</f>
        <v>0</v>
      </c>
      <c r="Z173" s="39">
        <f>Z172</f>
        <v>0</v>
      </c>
      <c r="AA173" s="35"/>
      <c r="AB173" s="40" t="s">
        <v>56</v>
      </c>
      <c r="AC173" s="39">
        <f>SUM(AC158:AF172)</f>
        <v>0</v>
      </c>
      <c r="AD173" s="37"/>
      <c r="AE173" s="37"/>
      <c r="AF173" s="37"/>
      <c r="AG173" s="39">
        <f>AG172</f>
        <v>0</v>
      </c>
      <c r="AH173" s="39">
        <f>AH172</f>
        <v>0</v>
      </c>
      <c r="AI173" s="39">
        <f>AI172</f>
        <v>0</v>
      </c>
      <c r="AJ173" s="35"/>
    </row>
    <row r="174" spans="1:36" ht="18.5" thickBot="1">
      <c r="A174" s="259" t="s">
        <v>116</v>
      </c>
      <c r="B174" s="260"/>
      <c r="C174" s="260"/>
      <c r="D174" s="260"/>
      <c r="E174" s="260"/>
      <c r="F174" s="260"/>
      <c r="G174" s="260"/>
      <c r="H174" s="261"/>
      <c r="I174" s="14"/>
      <c r="J174" s="259" t="s">
        <v>116</v>
      </c>
      <c r="K174" s="260"/>
      <c r="L174" s="260"/>
      <c r="M174" s="260"/>
      <c r="N174" s="260"/>
      <c r="O174" s="260"/>
      <c r="P174" s="260"/>
      <c r="Q174" s="261"/>
      <c r="R174" s="14"/>
      <c r="S174" s="259" t="s">
        <v>116</v>
      </c>
      <c r="T174" s="260"/>
      <c r="U174" s="260"/>
      <c r="V174" s="260"/>
      <c r="W174" s="260"/>
      <c r="X174" s="260"/>
      <c r="Y174" s="260"/>
      <c r="Z174" s="261"/>
      <c r="AA174" s="14"/>
      <c r="AB174" s="259" t="s">
        <v>116</v>
      </c>
      <c r="AC174" s="260"/>
      <c r="AD174" s="260"/>
      <c r="AE174" s="260"/>
      <c r="AF174" s="260"/>
      <c r="AG174" s="260"/>
      <c r="AH174" s="260"/>
      <c r="AI174" s="261"/>
      <c r="AJ174" s="14"/>
    </row>
    <row r="175" spans="1:36" ht="17.25" customHeight="1" thickBot="1">
      <c r="A175" s="62" t="s">
        <v>2</v>
      </c>
      <c r="B175" s="63" t="s">
        <v>46</v>
      </c>
      <c r="C175" s="64"/>
      <c r="D175" s="64"/>
      <c r="E175" s="65"/>
      <c r="F175" s="63" t="s">
        <v>47</v>
      </c>
      <c r="G175" s="64"/>
      <c r="H175" s="65"/>
      <c r="I175" s="52"/>
      <c r="J175" s="62" t="s">
        <v>2</v>
      </c>
      <c r="K175" s="63" t="s">
        <v>46</v>
      </c>
      <c r="L175" s="64"/>
      <c r="M175" s="64"/>
      <c r="N175" s="65"/>
      <c r="O175" s="63" t="s">
        <v>47</v>
      </c>
      <c r="P175" s="64"/>
      <c r="Q175" s="65"/>
      <c r="R175" s="52"/>
      <c r="S175" s="62" t="s">
        <v>2</v>
      </c>
      <c r="T175" s="63" t="s">
        <v>46</v>
      </c>
      <c r="U175" s="64"/>
      <c r="V175" s="64"/>
      <c r="W175" s="65"/>
      <c r="X175" s="63" t="s">
        <v>47</v>
      </c>
      <c r="Y175" s="64"/>
      <c r="Z175" s="65"/>
      <c r="AA175" s="52"/>
      <c r="AB175" s="62" t="s">
        <v>2</v>
      </c>
      <c r="AC175" s="63" t="s">
        <v>46</v>
      </c>
      <c r="AD175" s="64"/>
      <c r="AE175" s="64"/>
      <c r="AF175" s="65"/>
      <c r="AG175" s="63" t="s">
        <v>47</v>
      </c>
      <c r="AH175" s="64"/>
      <c r="AI175" s="65"/>
      <c r="AJ175" s="52"/>
    </row>
    <row r="176" spans="1:36" ht="16" thickBot="1">
      <c r="A176" s="66">
        <v>0.76041666666666663</v>
      </c>
      <c r="B176" s="67" t="s">
        <v>49</v>
      </c>
      <c r="C176" s="67" t="s">
        <v>50</v>
      </c>
      <c r="D176" s="67" t="s">
        <v>51</v>
      </c>
      <c r="E176" s="67" t="s">
        <v>52</v>
      </c>
      <c r="F176" s="67" t="s">
        <v>53</v>
      </c>
      <c r="G176" s="67" t="s">
        <v>54</v>
      </c>
      <c r="H176" s="67" t="s">
        <v>55</v>
      </c>
      <c r="I176" s="52"/>
      <c r="J176" s="66">
        <v>0.76041666666666663</v>
      </c>
      <c r="K176" s="67" t="s">
        <v>49</v>
      </c>
      <c r="L176" s="67" t="s">
        <v>50</v>
      </c>
      <c r="M176" s="67" t="s">
        <v>51</v>
      </c>
      <c r="N176" s="67" t="s">
        <v>52</v>
      </c>
      <c r="O176" s="67" t="s">
        <v>53</v>
      </c>
      <c r="P176" s="67" t="s">
        <v>54</v>
      </c>
      <c r="Q176" s="67" t="s">
        <v>55</v>
      </c>
      <c r="R176" s="52"/>
      <c r="S176" s="66">
        <v>0.76041666666666663</v>
      </c>
      <c r="T176" s="67" t="s">
        <v>49</v>
      </c>
      <c r="U176" s="67" t="s">
        <v>50</v>
      </c>
      <c r="V176" s="67" t="s">
        <v>51</v>
      </c>
      <c r="W176" s="67" t="s">
        <v>52</v>
      </c>
      <c r="X176" s="67" t="s">
        <v>53</v>
      </c>
      <c r="Y176" s="67" t="s">
        <v>54</v>
      </c>
      <c r="Z176" s="67" t="s">
        <v>55</v>
      </c>
      <c r="AA176" s="52"/>
      <c r="AB176" s="66">
        <v>0.76041666666666663</v>
      </c>
      <c r="AC176" s="67" t="s">
        <v>49</v>
      </c>
      <c r="AD176" s="67" t="s">
        <v>50</v>
      </c>
      <c r="AE176" s="67" t="s">
        <v>51</v>
      </c>
      <c r="AF176" s="67" t="s">
        <v>52</v>
      </c>
      <c r="AG176" s="67" t="s">
        <v>53</v>
      </c>
      <c r="AH176" s="67" t="s">
        <v>54</v>
      </c>
      <c r="AI176" s="67" t="s">
        <v>55</v>
      </c>
      <c r="AJ176" s="52"/>
    </row>
    <row r="177" spans="1:36" ht="16" thickBot="1">
      <c r="A177" s="68">
        <v>16</v>
      </c>
      <c r="B177" s="49">
        <f>資料儲存!D4217</f>
        <v>0</v>
      </c>
      <c r="C177" s="49">
        <f>資料儲存!E4217</f>
        <v>0</v>
      </c>
      <c r="D177" s="49">
        <f>資料儲存!F4217</f>
        <v>0</v>
      </c>
      <c r="E177" s="49">
        <f>資料儲存!G4217</f>
        <v>0</v>
      </c>
      <c r="F177" s="49">
        <f>資料儲存!H4217</f>
        <v>0</v>
      </c>
      <c r="G177" s="49">
        <f>資料儲存!I4217</f>
        <v>0</v>
      </c>
      <c r="H177" s="49">
        <f>資料儲存!J4217</f>
        <v>0</v>
      </c>
      <c r="I177" s="52"/>
      <c r="J177" s="68">
        <v>16</v>
      </c>
      <c r="K177" s="49">
        <f>資料儲存!D4457</f>
        <v>0</v>
      </c>
      <c r="L177" s="49">
        <f>資料儲存!E4457</f>
        <v>0</v>
      </c>
      <c r="M177" s="49">
        <f>資料儲存!F4457</f>
        <v>0</v>
      </c>
      <c r="N177" s="49">
        <f>資料儲存!G4457</f>
        <v>0</v>
      </c>
      <c r="O177" s="49">
        <f>資料儲存!H4457</f>
        <v>0</v>
      </c>
      <c r="P177" s="49">
        <f>資料儲存!I4457</f>
        <v>0</v>
      </c>
      <c r="Q177" s="49">
        <f>資料儲存!J4457</f>
        <v>0</v>
      </c>
      <c r="R177" s="52"/>
      <c r="S177" s="68">
        <v>16</v>
      </c>
      <c r="T177" s="49">
        <f>資料儲存!D4697</f>
        <v>0</v>
      </c>
      <c r="U177" s="49">
        <f>資料儲存!E4697</f>
        <v>0</v>
      </c>
      <c r="V177" s="49">
        <f>資料儲存!F4697</f>
        <v>0</v>
      </c>
      <c r="W177" s="49">
        <f>資料儲存!G4697</f>
        <v>0</v>
      </c>
      <c r="X177" s="49">
        <f>資料儲存!H4697</f>
        <v>0</v>
      </c>
      <c r="Y177" s="49">
        <f>資料儲存!I4697</f>
        <v>0</v>
      </c>
      <c r="Z177" s="49">
        <f>資料儲存!J4697</f>
        <v>0</v>
      </c>
      <c r="AA177" s="52"/>
      <c r="AB177" s="68">
        <v>16</v>
      </c>
      <c r="AC177" s="49">
        <f>資料儲存!D4937</f>
        <v>0</v>
      </c>
      <c r="AD177" s="49">
        <f>資料儲存!E4937</f>
        <v>0</v>
      </c>
      <c r="AE177" s="49">
        <f>資料儲存!F4937</f>
        <v>0</v>
      </c>
      <c r="AF177" s="49">
        <f>資料儲存!G4937</f>
        <v>0</v>
      </c>
      <c r="AG177" s="49">
        <f>資料儲存!H4937</f>
        <v>0</v>
      </c>
      <c r="AH177" s="49">
        <f>資料儲存!I4937</f>
        <v>0</v>
      </c>
      <c r="AI177" s="49">
        <f>資料儲存!J4937</f>
        <v>0</v>
      </c>
      <c r="AJ177" s="52"/>
    </row>
    <row r="178" spans="1:36" ht="16" thickBot="1">
      <c r="A178" s="68">
        <v>17</v>
      </c>
      <c r="B178" s="49">
        <f>資料儲存!D4218</f>
        <v>0</v>
      </c>
      <c r="C178" s="49">
        <f>資料儲存!E4218</f>
        <v>0</v>
      </c>
      <c r="D178" s="49">
        <f>資料儲存!F4218</f>
        <v>0</v>
      </c>
      <c r="E178" s="49">
        <f>資料儲存!G4218</f>
        <v>0</v>
      </c>
      <c r="F178" s="49">
        <f>資料儲存!H4218</f>
        <v>0</v>
      </c>
      <c r="G178" s="49">
        <f>資料儲存!I4218</f>
        <v>0</v>
      </c>
      <c r="H178" s="49">
        <f>資料儲存!J4218</f>
        <v>0</v>
      </c>
      <c r="I178" s="52"/>
      <c r="J178" s="68">
        <v>17</v>
      </c>
      <c r="K178" s="49">
        <f>資料儲存!D4458</f>
        <v>0</v>
      </c>
      <c r="L178" s="49">
        <f>資料儲存!E4458</f>
        <v>0</v>
      </c>
      <c r="M178" s="49">
        <f>資料儲存!F4458</f>
        <v>0</v>
      </c>
      <c r="N178" s="49">
        <f>資料儲存!G4458</f>
        <v>0</v>
      </c>
      <c r="O178" s="49">
        <f>資料儲存!H4458</f>
        <v>0</v>
      </c>
      <c r="P178" s="49">
        <f>資料儲存!I4458</f>
        <v>0</v>
      </c>
      <c r="Q178" s="49">
        <f>資料儲存!J4458</f>
        <v>0</v>
      </c>
      <c r="R178" s="52"/>
      <c r="S178" s="68">
        <v>17</v>
      </c>
      <c r="T178" s="49">
        <f>資料儲存!D4698</f>
        <v>0</v>
      </c>
      <c r="U178" s="49">
        <f>資料儲存!E4698</f>
        <v>0</v>
      </c>
      <c r="V178" s="49">
        <f>資料儲存!F4698</f>
        <v>0</v>
      </c>
      <c r="W178" s="49">
        <f>資料儲存!G4698</f>
        <v>0</v>
      </c>
      <c r="X178" s="49">
        <f>資料儲存!H4698</f>
        <v>0</v>
      </c>
      <c r="Y178" s="49">
        <f>資料儲存!I4698</f>
        <v>0</v>
      </c>
      <c r="Z178" s="49">
        <f>資料儲存!J4698</f>
        <v>0</v>
      </c>
      <c r="AA178" s="52"/>
      <c r="AB178" s="68">
        <v>17</v>
      </c>
      <c r="AC178" s="49">
        <f>資料儲存!D4938</f>
        <v>0</v>
      </c>
      <c r="AD178" s="49">
        <f>資料儲存!E4938</f>
        <v>0</v>
      </c>
      <c r="AE178" s="49">
        <f>資料儲存!F4938</f>
        <v>0</v>
      </c>
      <c r="AF178" s="49">
        <f>資料儲存!G4938</f>
        <v>0</v>
      </c>
      <c r="AG178" s="49">
        <f>資料儲存!H4938</f>
        <v>0</v>
      </c>
      <c r="AH178" s="49">
        <f>資料儲存!I4938</f>
        <v>0</v>
      </c>
      <c r="AI178" s="49">
        <f>資料儲存!J4938</f>
        <v>0</v>
      </c>
      <c r="AJ178" s="52"/>
    </row>
    <row r="179" spans="1:36" ht="16" thickBot="1">
      <c r="A179" s="68">
        <v>18</v>
      </c>
      <c r="B179" s="49">
        <f>資料儲存!D4219</f>
        <v>0</v>
      </c>
      <c r="C179" s="49">
        <f>資料儲存!E4219</f>
        <v>0</v>
      </c>
      <c r="D179" s="49">
        <f>資料儲存!F4219</f>
        <v>0</v>
      </c>
      <c r="E179" s="49">
        <f>資料儲存!G4219</f>
        <v>0</v>
      </c>
      <c r="F179" s="49">
        <f>資料儲存!H4219</f>
        <v>0</v>
      </c>
      <c r="G179" s="49">
        <f>資料儲存!I4219</f>
        <v>0</v>
      </c>
      <c r="H179" s="49">
        <f>資料儲存!J4219</f>
        <v>0</v>
      </c>
      <c r="I179" s="52"/>
      <c r="J179" s="68">
        <v>18</v>
      </c>
      <c r="K179" s="49">
        <f>資料儲存!D4459</f>
        <v>0</v>
      </c>
      <c r="L179" s="49">
        <f>資料儲存!E4459</f>
        <v>0</v>
      </c>
      <c r="M179" s="49">
        <f>資料儲存!F4459</f>
        <v>0</v>
      </c>
      <c r="N179" s="49">
        <f>資料儲存!G4459</f>
        <v>0</v>
      </c>
      <c r="O179" s="49">
        <f>資料儲存!H4459</f>
        <v>0</v>
      </c>
      <c r="P179" s="49">
        <f>資料儲存!I4459</f>
        <v>0</v>
      </c>
      <c r="Q179" s="49">
        <f>資料儲存!J4459</f>
        <v>0</v>
      </c>
      <c r="R179" s="52"/>
      <c r="S179" s="68">
        <v>18</v>
      </c>
      <c r="T179" s="49">
        <f>資料儲存!D4699</f>
        <v>0</v>
      </c>
      <c r="U179" s="49">
        <f>資料儲存!E4699</f>
        <v>0</v>
      </c>
      <c r="V179" s="49">
        <f>資料儲存!F4699</f>
        <v>0</v>
      </c>
      <c r="W179" s="49">
        <f>資料儲存!G4699</f>
        <v>0</v>
      </c>
      <c r="X179" s="49">
        <f>資料儲存!H4699</f>
        <v>0</v>
      </c>
      <c r="Y179" s="49">
        <f>資料儲存!I4699</f>
        <v>0</v>
      </c>
      <c r="Z179" s="49">
        <f>資料儲存!J4699</f>
        <v>0</v>
      </c>
      <c r="AA179" s="52"/>
      <c r="AB179" s="68">
        <v>18</v>
      </c>
      <c r="AC179" s="49">
        <f>資料儲存!D4939</f>
        <v>0</v>
      </c>
      <c r="AD179" s="49">
        <f>資料儲存!E4939</f>
        <v>0</v>
      </c>
      <c r="AE179" s="49">
        <f>資料儲存!F4939</f>
        <v>0</v>
      </c>
      <c r="AF179" s="49">
        <f>資料儲存!G4939</f>
        <v>0</v>
      </c>
      <c r="AG179" s="49">
        <f>資料儲存!H4939</f>
        <v>0</v>
      </c>
      <c r="AH179" s="49">
        <f>資料儲存!I4939</f>
        <v>0</v>
      </c>
      <c r="AI179" s="49">
        <f>資料儲存!J4939</f>
        <v>0</v>
      </c>
      <c r="AJ179" s="52"/>
    </row>
    <row r="180" spans="1:36" ht="16" thickBot="1">
      <c r="A180" s="68">
        <v>19</v>
      </c>
      <c r="B180" s="49">
        <f>資料儲存!D4220</f>
        <v>0</v>
      </c>
      <c r="C180" s="49">
        <f>資料儲存!E4220</f>
        <v>0</v>
      </c>
      <c r="D180" s="49">
        <f>資料儲存!F4220</f>
        <v>0</v>
      </c>
      <c r="E180" s="49">
        <f>資料儲存!G4220</f>
        <v>0</v>
      </c>
      <c r="F180" s="49">
        <f>資料儲存!H4220</f>
        <v>0</v>
      </c>
      <c r="G180" s="49">
        <f>資料儲存!I4220</f>
        <v>0</v>
      </c>
      <c r="H180" s="49">
        <f>資料儲存!J4220</f>
        <v>0</v>
      </c>
      <c r="I180" s="52"/>
      <c r="J180" s="68">
        <v>19</v>
      </c>
      <c r="K180" s="49">
        <f>資料儲存!D4460</f>
        <v>0</v>
      </c>
      <c r="L180" s="49">
        <f>資料儲存!E4460</f>
        <v>0</v>
      </c>
      <c r="M180" s="49">
        <f>資料儲存!F4460</f>
        <v>0</v>
      </c>
      <c r="N180" s="49">
        <f>資料儲存!G4460</f>
        <v>0</v>
      </c>
      <c r="O180" s="49">
        <f>資料儲存!H4460</f>
        <v>0</v>
      </c>
      <c r="P180" s="49">
        <f>資料儲存!I4460</f>
        <v>0</v>
      </c>
      <c r="Q180" s="49">
        <f>資料儲存!J4460</f>
        <v>0</v>
      </c>
      <c r="R180" s="52"/>
      <c r="S180" s="68">
        <v>19</v>
      </c>
      <c r="T180" s="49">
        <f>資料儲存!D4700</f>
        <v>0</v>
      </c>
      <c r="U180" s="49">
        <f>資料儲存!E4700</f>
        <v>0</v>
      </c>
      <c r="V180" s="49">
        <f>資料儲存!F4700</f>
        <v>0</v>
      </c>
      <c r="W180" s="49">
        <f>資料儲存!G4700</f>
        <v>0</v>
      </c>
      <c r="X180" s="49">
        <f>資料儲存!H4700</f>
        <v>0</v>
      </c>
      <c r="Y180" s="49">
        <f>資料儲存!I4700</f>
        <v>0</v>
      </c>
      <c r="Z180" s="49">
        <f>資料儲存!J4700</f>
        <v>0</v>
      </c>
      <c r="AA180" s="52"/>
      <c r="AB180" s="68">
        <v>19</v>
      </c>
      <c r="AC180" s="49">
        <f>資料儲存!D4940</f>
        <v>0</v>
      </c>
      <c r="AD180" s="49">
        <f>資料儲存!E4940</f>
        <v>0</v>
      </c>
      <c r="AE180" s="49">
        <f>資料儲存!F4940</f>
        <v>0</v>
      </c>
      <c r="AF180" s="49">
        <f>資料儲存!G4940</f>
        <v>0</v>
      </c>
      <c r="AG180" s="49">
        <f>資料儲存!H4940</f>
        <v>0</v>
      </c>
      <c r="AH180" s="49">
        <f>資料儲存!I4940</f>
        <v>0</v>
      </c>
      <c r="AI180" s="49">
        <f>資料儲存!J4940</f>
        <v>0</v>
      </c>
      <c r="AJ180" s="52"/>
    </row>
    <row r="181" spans="1:36" ht="16" thickBot="1">
      <c r="A181" s="68">
        <v>20</v>
      </c>
      <c r="B181" s="49">
        <f>資料儲存!D4221</f>
        <v>0</v>
      </c>
      <c r="C181" s="49">
        <f>資料儲存!E4221</f>
        <v>0</v>
      </c>
      <c r="D181" s="49">
        <f>資料儲存!F4221</f>
        <v>0</v>
      </c>
      <c r="E181" s="49">
        <f>資料儲存!G4221</f>
        <v>0</v>
      </c>
      <c r="F181" s="49">
        <f>資料儲存!H4221</f>
        <v>0</v>
      </c>
      <c r="G181" s="49">
        <f>資料儲存!I4221</f>
        <v>0</v>
      </c>
      <c r="H181" s="49">
        <f>資料儲存!J4221</f>
        <v>0</v>
      </c>
      <c r="I181" s="52"/>
      <c r="J181" s="68">
        <v>20</v>
      </c>
      <c r="K181" s="49">
        <f>資料儲存!D4461</f>
        <v>0</v>
      </c>
      <c r="L181" s="49">
        <f>資料儲存!E4461</f>
        <v>0</v>
      </c>
      <c r="M181" s="49">
        <f>資料儲存!F4461</f>
        <v>0</v>
      </c>
      <c r="N181" s="49">
        <f>資料儲存!G4461</f>
        <v>0</v>
      </c>
      <c r="O181" s="49">
        <f>資料儲存!H4461</f>
        <v>0</v>
      </c>
      <c r="P181" s="49">
        <f>資料儲存!I4461</f>
        <v>0</v>
      </c>
      <c r="Q181" s="49">
        <f>資料儲存!J4461</f>
        <v>0</v>
      </c>
      <c r="R181" s="52"/>
      <c r="S181" s="68">
        <v>20</v>
      </c>
      <c r="T181" s="49">
        <f>資料儲存!D4701</f>
        <v>0</v>
      </c>
      <c r="U181" s="49">
        <f>資料儲存!E4701</f>
        <v>0</v>
      </c>
      <c r="V181" s="49">
        <f>資料儲存!F4701</f>
        <v>0</v>
      </c>
      <c r="W181" s="49">
        <f>資料儲存!G4701</f>
        <v>0</v>
      </c>
      <c r="X181" s="49">
        <f>資料儲存!H4701</f>
        <v>0</v>
      </c>
      <c r="Y181" s="49">
        <f>資料儲存!I4701</f>
        <v>0</v>
      </c>
      <c r="Z181" s="49">
        <f>資料儲存!J4701</f>
        <v>0</v>
      </c>
      <c r="AA181" s="52"/>
      <c r="AB181" s="68">
        <v>20</v>
      </c>
      <c r="AC181" s="49">
        <f>資料儲存!D4941</f>
        <v>0</v>
      </c>
      <c r="AD181" s="49">
        <f>資料儲存!E4941</f>
        <v>0</v>
      </c>
      <c r="AE181" s="49">
        <f>資料儲存!F4941</f>
        <v>0</v>
      </c>
      <c r="AF181" s="49">
        <f>資料儲存!G4941</f>
        <v>0</v>
      </c>
      <c r="AG181" s="49">
        <f>資料儲存!H4941</f>
        <v>0</v>
      </c>
      <c r="AH181" s="49">
        <f>資料儲存!I4941</f>
        <v>0</v>
      </c>
      <c r="AI181" s="49">
        <f>資料儲存!J4941</f>
        <v>0</v>
      </c>
      <c r="AJ181" s="52"/>
    </row>
    <row r="182" spans="1:36" ht="16" thickBot="1">
      <c r="A182" s="68">
        <v>21</v>
      </c>
      <c r="B182" s="49">
        <f>資料儲存!D4222</f>
        <v>0</v>
      </c>
      <c r="C182" s="49">
        <f>資料儲存!E4222</f>
        <v>0</v>
      </c>
      <c r="D182" s="49">
        <f>資料儲存!F4222</f>
        <v>0</v>
      </c>
      <c r="E182" s="49">
        <f>資料儲存!G4222</f>
        <v>0</v>
      </c>
      <c r="F182" s="49">
        <f>資料儲存!H4222</f>
        <v>0</v>
      </c>
      <c r="G182" s="49">
        <f>資料儲存!I4222</f>
        <v>0</v>
      </c>
      <c r="H182" s="49">
        <f>資料儲存!J4222</f>
        <v>0</v>
      </c>
      <c r="I182" s="52"/>
      <c r="J182" s="68">
        <v>21</v>
      </c>
      <c r="K182" s="49">
        <f>資料儲存!D4462</f>
        <v>0</v>
      </c>
      <c r="L182" s="49">
        <f>資料儲存!E4462</f>
        <v>0</v>
      </c>
      <c r="M182" s="49">
        <f>資料儲存!F4462</f>
        <v>0</v>
      </c>
      <c r="N182" s="49">
        <f>資料儲存!G4462</f>
        <v>0</v>
      </c>
      <c r="O182" s="49">
        <f>資料儲存!H4462</f>
        <v>0</v>
      </c>
      <c r="P182" s="49">
        <f>資料儲存!I4462</f>
        <v>0</v>
      </c>
      <c r="Q182" s="49">
        <f>資料儲存!J4462</f>
        <v>0</v>
      </c>
      <c r="R182" s="52"/>
      <c r="S182" s="68">
        <v>21</v>
      </c>
      <c r="T182" s="49">
        <f>資料儲存!D4702</f>
        <v>0</v>
      </c>
      <c r="U182" s="49">
        <f>資料儲存!E4702</f>
        <v>0</v>
      </c>
      <c r="V182" s="49">
        <f>資料儲存!F4702</f>
        <v>0</v>
      </c>
      <c r="W182" s="49">
        <f>資料儲存!G4702</f>
        <v>0</v>
      </c>
      <c r="X182" s="49">
        <f>資料儲存!H4702</f>
        <v>0</v>
      </c>
      <c r="Y182" s="49">
        <f>資料儲存!I4702</f>
        <v>0</v>
      </c>
      <c r="Z182" s="49">
        <f>資料儲存!J4702</f>
        <v>0</v>
      </c>
      <c r="AA182" s="52"/>
      <c r="AB182" s="68">
        <v>21</v>
      </c>
      <c r="AC182" s="49">
        <f>資料儲存!D4942</f>
        <v>0</v>
      </c>
      <c r="AD182" s="49">
        <f>資料儲存!E4942</f>
        <v>0</v>
      </c>
      <c r="AE182" s="49">
        <f>資料儲存!F4942</f>
        <v>0</v>
      </c>
      <c r="AF182" s="49">
        <f>資料儲存!G4942</f>
        <v>0</v>
      </c>
      <c r="AG182" s="49">
        <f>資料儲存!H4942</f>
        <v>0</v>
      </c>
      <c r="AH182" s="49">
        <f>資料儲存!I4942</f>
        <v>0</v>
      </c>
      <c r="AI182" s="49">
        <f>資料儲存!J4942</f>
        <v>0</v>
      </c>
      <c r="AJ182" s="52"/>
    </row>
    <row r="183" spans="1:36" ht="16" thickBot="1">
      <c r="A183" s="68">
        <v>22</v>
      </c>
      <c r="B183" s="49">
        <f>資料儲存!D4223</f>
        <v>0</v>
      </c>
      <c r="C183" s="49">
        <f>資料儲存!E4223</f>
        <v>0</v>
      </c>
      <c r="D183" s="49">
        <f>資料儲存!F4223</f>
        <v>0</v>
      </c>
      <c r="E183" s="49">
        <f>資料儲存!G4223</f>
        <v>0</v>
      </c>
      <c r="F183" s="49">
        <f>資料儲存!H4223</f>
        <v>0</v>
      </c>
      <c r="G183" s="49">
        <f>資料儲存!I4223</f>
        <v>0</v>
      </c>
      <c r="H183" s="49">
        <f>資料儲存!J4223</f>
        <v>0</v>
      </c>
      <c r="I183" s="52"/>
      <c r="J183" s="68">
        <v>22</v>
      </c>
      <c r="K183" s="49">
        <f>資料儲存!D4463</f>
        <v>0</v>
      </c>
      <c r="L183" s="49">
        <f>資料儲存!E4463</f>
        <v>0</v>
      </c>
      <c r="M183" s="49">
        <f>資料儲存!F4463</f>
        <v>0</v>
      </c>
      <c r="N183" s="49">
        <f>資料儲存!G4463</f>
        <v>0</v>
      </c>
      <c r="O183" s="49">
        <f>資料儲存!H4463</f>
        <v>0</v>
      </c>
      <c r="P183" s="49">
        <f>資料儲存!I4463</f>
        <v>0</v>
      </c>
      <c r="Q183" s="49">
        <f>資料儲存!J4463</f>
        <v>0</v>
      </c>
      <c r="R183" s="52"/>
      <c r="S183" s="68">
        <v>22</v>
      </c>
      <c r="T183" s="49">
        <f>資料儲存!D4703</f>
        <v>0</v>
      </c>
      <c r="U183" s="49">
        <f>資料儲存!E4703</f>
        <v>0</v>
      </c>
      <c r="V183" s="49">
        <f>資料儲存!F4703</f>
        <v>0</v>
      </c>
      <c r="W183" s="49">
        <f>資料儲存!G4703</f>
        <v>0</v>
      </c>
      <c r="X183" s="49">
        <f>資料儲存!H4703</f>
        <v>0</v>
      </c>
      <c r="Y183" s="49">
        <f>資料儲存!I4703</f>
        <v>0</v>
      </c>
      <c r="Z183" s="49">
        <f>資料儲存!J4703</f>
        <v>0</v>
      </c>
      <c r="AA183" s="52"/>
      <c r="AB183" s="68">
        <v>22</v>
      </c>
      <c r="AC183" s="49">
        <f>資料儲存!D4943</f>
        <v>0</v>
      </c>
      <c r="AD183" s="49">
        <f>資料儲存!E4943</f>
        <v>0</v>
      </c>
      <c r="AE183" s="49">
        <f>資料儲存!F4943</f>
        <v>0</v>
      </c>
      <c r="AF183" s="49">
        <f>資料儲存!G4943</f>
        <v>0</v>
      </c>
      <c r="AG183" s="49">
        <f>資料儲存!H4943</f>
        <v>0</v>
      </c>
      <c r="AH183" s="49">
        <f>資料儲存!I4943</f>
        <v>0</v>
      </c>
      <c r="AI183" s="49">
        <f>資料儲存!J4943</f>
        <v>0</v>
      </c>
      <c r="AJ183" s="52"/>
    </row>
    <row r="184" spans="1:36" ht="16" thickBot="1">
      <c r="A184" s="68">
        <v>23</v>
      </c>
      <c r="B184" s="49">
        <f>資料儲存!D4224</f>
        <v>0</v>
      </c>
      <c r="C184" s="49">
        <f>資料儲存!E4224</f>
        <v>0</v>
      </c>
      <c r="D184" s="49">
        <f>資料儲存!F4224</f>
        <v>0</v>
      </c>
      <c r="E184" s="49">
        <f>資料儲存!G4224</f>
        <v>0</v>
      </c>
      <c r="F184" s="49">
        <f>資料儲存!H4224</f>
        <v>0</v>
      </c>
      <c r="G184" s="49">
        <f>資料儲存!I4224</f>
        <v>0</v>
      </c>
      <c r="H184" s="49">
        <f>資料儲存!J4224</f>
        <v>0</v>
      </c>
      <c r="I184" s="52"/>
      <c r="J184" s="68">
        <v>23</v>
      </c>
      <c r="K184" s="49">
        <f>資料儲存!D4464</f>
        <v>0</v>
      </c>
      <c r="L184" s="49">
        <f>資料儲存!E4464</f>
        <v>0</v>
      </c>
      <c r="M184" s="49">
        <f>資料儲存!F4464</f>
        <v>0</v>
      </c>
      <c r="N184" s="49">
        <f>資料儲存!G4464</f>
        <v>0</v>
      </c>
      <c r="O184" s="49">
        <f>資料儲存!H4464</f>
        <v>0</v>
      </c>
      <c r="P184" s="49">
        <f>資料儲存!I4464</f>
        <v>0</v>
      </c>
      <c r="Q184" s="49">
        <f>資料儲存!J4464</f>
        <v>0</v>
      </c>
      <c r="R184" s="52"/>
      <c r="S184" s="68">
        <v>23</v>
      </c>
      <c r="T184" s="49">
        <f>資料儲存!D4704</f>
        <v>0</v>
      </c>
      <c r="U184" s="49">
        <f>資料儲存!E4704</f>
        <v>0</v>
      </c>
      <c r="V184" s="49">
        <f>資料儲存!F4704</f>
        <v>0</v>
      </c>
      <c r="W184" s="49">
        <f>資料儲存!G4704</f>
        <v>0</v>
      </c>
      <c r="X184" s="49">
        <f>資料儲存!H4704</f>
        <v>0</v>
      </c>
      <c r="Y184" s="49">
        <f>資料儲存!I4704</f>
        <v>0</v>
      </c>
      <c r="Z184" s="49">
        <f>資料儲存!J4704</f>
        <v>0</v>
      </c>
      <c r="AA184" s="52"/>
      <c r="AB184" s="68">
        <v>23</v>
      </c>
      <c r="AC184" s="49">
        <f>資料儲存!D4944</f>
        <v>0</v>
      </c>
      <c r="AD184" s="49">
        <f>資料儲存!E4944</f>
        <v>0</v>
      </c>
      <c r="AE184" s="49">
        <f>資料儲存!F4944</f>
        <v>0</v>
      </c>
      <c r="AF184" s="49">
        <f>資料儲存!G4944</f>
        <v>0</v>
      </c>
      <c r="AG184" s="49">
        <f>資料儲存!H4944</f>
        <v>0</v>
      </c>
      <c r="AH184" s="49">
        <f>資料儲存!I4944</f>
        <v>0</v>
      </c>
      <c r="AI184" s="49">
        <f>資料儲存!J4944</f>
        <v>0</v>
      </c>
      <c r="AJ184" s="52"/>
    </row>
    <row r="185" spans="1:36" ht="16" thickBot="1">
      <c r="A185" s="68">
        <v>24</v>
      </c>
      <c r="B185" s="49">
        <f>資料儲存!D4225</f>
        <v>0</v>
      </c>
      <c r="C185" s="49">
        <f>資料儲存!E4225</f>
        <v>0</v>
      </c>
      <c r="D185" s="49">
        <f>資料儲存!F4225</f>
        <v>0</v>
      </c>
      <c r="E185" s="49">
        <f>資料儲存!G4225</f>
        <v>0</v>
      </c>
      <c r="F185" s="49">
        <f>資料儲存!H4225</f>
        <v>0</v>
      </c>
      <c r="G185" s="49">
        <f>資料儲存!I4225</f>
        <v>0</v>
      </c>
      <c r="H185" s="49">
        <f>資料儲存!J4225</f>
        <v>0</v>
      </c>
      <c r="I185" s="52"/>
      <c r="J185" s="68">
        <v>24</v>
      </c>
      <c r="K185" s="49">
        <f>資料儲存!D4465</f>
        <v>0</v>
      </c>
      <c r="L185" s="49">
        <f>資料儲存!E4465</f>
        <v>0</v>
      </c>
      <c r="M185" s="49">
        <f>資料儲存!F4465</f>
        <v>0</v>
      </c>
      <c r="N185" s="49">
        <f>資料儲存!G4465</f>
        <v>0</v>
      </c>
      <c r="O185" s="49">
        <f>資料儲存!H4465</f>
        <v>0</v>
      </c>
      <c r="P185" s="49">
        <f>資料儲存!I4465</f>
        <v>0</v>
      </c>
      <c r="Q185" s="49">
        <f>資料儲存!J4465</f>
        <v>0</v>
      </c>
      <c r="R185" s="52"/>
      <c r="S185" s="68">
        <v>24</v>
      </c>
      <c r="T185" s="49">
        <f>資料儲存!D4705</f>
        <v>0</v>
      </c>
      <c r="U185" s="49">
        <f>資料儲存!E4705</f>
        <v>0</v>
      </c>
      <c r="V185" s="49">
        <f>資料儲存!F4705</f>
        <v>0</v>
      </c>
      <c r="W185" s="49">
        <f>資料儲存!G4705</f>
        <v>0</v>
      </c>
      <c r="X185" s="49">
        <f>資料儲存!H4705</f>
        <v>0</v>
      </c>
      <c r="Y185" s="49">
        <f>資料儲存!I4705</f>
        <v>0</v>
      </c>
      <c r="Z185" s="49">
        <f>資料儲存!J4705</f>
        <v>0</v>
      </c>
      <c r="AA185" s="52"/>
      <c r="AB185" s="68">
        <v>24</v>
      </c>
      <c r="AC185" s="49">
        <f>資料儲存!D4945</f>
        <v>0</v>
      </c>
      <c r="AD185" s="49">
        <f>資料儲存!E4945</f>
        <v>0</v>
      </c>
      <c r="AE185" s="49">
        <f>資料儲存!F4945</f>
        <v>0</v>
      </c>
      <c r="AF185" s="49">
        <f>資料儲存!G4945</f>
        <v>0</v>
      </c>
      <c r="AG185" s="49">
        <f>資料儲存!H4945</f>
        <v>0</v>
      </c>
      <c r="AH185" s="49">
        <f>資料儲存!I4945</f>
        <v>0</v>
      </c>
      <c r="AI185" s="49">
        <f>資料儲存!J4945</f>
        <v>0</v>
      </c>
      <c r="AJ185" s="52"/>
    </row>
    <row r="186" spans="1:36" ht="16" thickBot="1">
      <c r="A186" s="68">
        <v>25</v>
      </c>
      <c r="B186" s="49">
        <f>資料儲存!D4226</f>
        <v>0</v>
      </c>
      <c r="C186" s="49">
        <f>資料儲存!E4226</f>
        <v>0</v>
      </c>
      <c r="D186" s="49">
        <f>資料儲存!F4226</f>
        <v>0</v>
      </c>
      <c r="E186" s="49">
        <f>資料儲存!G4226</f>
        <v>0</v>
      </c>
      <c r="F186" s="49">
        <f>資料儲存!H4226</f>
        <v>0</v>
      </c>
      <c r="G186" s="49">
        <f>資料儲存!I4226</f>
        <v>0</v>
      </c>
      <c r="H186" s="49">
        <f>資料儲存!J4226</f>
        <v>0</v>
      </c>
      <c r="I186" s="52"/>
      <c r="J186" s="68">
        <v>25</v>
      </c>
      <c r="K186" s="49">
        <f>資料儲存!D4466</f>
        <v>0</v>
      </c>
      <c r="L186" s="49">
        <f>資料儲存!E4466</f>
        <v>0</v>
      </c>
      <c r="M186" s="49">
        <f>資料儲存!F4466</f>
        <v>0</v>
      </c>
      <c r="N186" s="49">
        <f>資料儲存!G4466</f>
        <v>0</v>
      </c>
      <c r="O186" s="49">
        <f>資料儲存!H4466</f>
        <v>0</v>
      </c>
      <c r="P186" s="49">
        <f>資料儲存!I4466</f>
        <v>0</v>
      </c>
      <c r="Q186" s="49">
        <f>資料儲存!J4466</f>
        <v>0</v>
      </c>
      <c r="R186" s="52"/>
      <c r="S186" s="68">
        <v>25</v>
      </c>
      <c r="T186" s="49">
        <f>資料儲存!D4706</f>
        <v>0</v>
      </c>
      <c r="U186" s="49">
        <f>資料儲存!E4706</f>
        <v>0</v>
      </c>
      <c r="V186" s="49">
        <f>資料儲存!F4706</f>
        <v>0</v>
      </c>
      <c r="W186" s="49">
        <f>資料儲存!G4706</f>
        <v>0</v>
      </c>
      <c r="X186" s="49">
        <f>資料儲存!H4706</f>
        <v>0</v>
      </c>
      <c r="Y186" s="49">
        <f>資料儲存!I4706</f>
        <v>0</v>
      </c>
      <c r="Z186" s="49">
        <f>資料儲存!J4706</f>
        <v>0</v>
      </c>
      <c r="AA186" s="52"/>
      <c r="AB186" s="68">
        <v>25</v>
      </c>
      <c r="AC186" s="49">
        <f>資料儲存!D4946</f>
        <v>0</v>
      </c>
      <c r="AD186" s="49">
        <f>資料儲存!E4946</f>
        <v>0</v>
      </c>
      <c r="AE186" s="49">
        <f>資料儲存!F4946</f>
        <v>0</v>
      </c>
      <c r="AF186" s="49">
        <f>資料儲存!G4946</f>
        <v>0</v>
      </c>
      <c r="AG186" s="49">
        <f>資料儲存!H4946</f>
        <v>0</v>
      </c>
      <c r="AH186" s="49">
        <f>資料儲存!I4946</f>
        <v>0</v>
      </c>
      <c r="AI186" s="49">
        <f>資料儲存!J4946</f>
        <v>0</v>
      </c>
      <c r="AJ186" s="52"/>
    </row>
    <row r="187" spans="1:36" ht="16" thickBot="1">
      <c r="A187" s="68">
        <v>26</v>
      </c>
      <c r="B187" s="49">
        <f>資料儲存!D4227</f>
        <v>0</v>
      </c>
      <c r="C187" s="49">
        <f>資料儲存!E4227</f>
        <v>0</v>
      </c>
      <c r="D187" s="49">
        <f>資料儲存!F4227</f>
        <v>0</v>
      </c>
      <c r="E187" s="49">
        <f>資料儲存!G4227</f>
        <v>0</v>
      </c>
      <c r="F187" s="49">
        <f>資料儲存!H4227</f>
        <v>0</v>
      </c>
      <c r="G187" s="49">
        <f>資料儲存!I4227</f>
        <v>0</v>
      </c>
      <c r="H187" s="49">
        <f>資料儲存!J4227</f>
        <v>0</v>
      </c>
      <c r="I187" s="52"/>
      <c r="J187" s="68">
        <v>26</v>
      </c>
      <c r="K187" s="49">
        <f>資料儲存!D4467</f>
        <v>0</v>
      </c>
      <c r="L187" s="49">
        <f>資料儲存!E4467</f>
        <v>0</v>
      </c>
      <c r="M187" s="49">
        <f>資料儲存!F4467</f>
        <v>0</v>
      </c>
      <c r="N187" s="49">
        <f>資料儲存!G4467</f>
        <v>0</v>
      </c>
      <c r="O187" s="49">
        <f>資料儲存!H4467</f>
        <v>0</v>
      </c>
      <c r="P187" s="49">
        <f>資料儲存!I4467</f>
        <v>0</v>
      </c>
      <c r="Q187" s="49">
        <f>資料儲存!J4467</f>
        <v>0</v>
      </c>
      <c r="R187" s="52"/>
      <c r="S187" s="68">
        <v>26</v>
      </c>
      <c r="T187" s="49">
        <f>資料儲存!D4707</f>
        <v>0</v>
      </c>
      <c r="U187" s="49">
        <f>資料儲存!E4707</f>
        <v>0</v>
      </c>
      <c r="V187" s="49">
        <f>資料儲存!F4707</f>
        <v>0</v>
      </c>
      <c r="W187" s="49">
        <f>資料儲存!G4707</f>
        <v>0</v>
      </c>
      <c r="X187" s="49">
        <f>資料儲存!H4707</f>
        <v>0</v>
      </c>
      <c r="Y187" s="49">
        <f>資料儲存!I4707</f>
        <v>0</v>
      </c>
      <c r="Z187" s="49">
        <f>資料儲存!J4707</f>
        <v>0</v>
      </c>
      <c r="AA187" s="52"/>
      <c r="AB187" s="68">
        <v>26</v>
      </c>
      <c r="AC187" s="49">
        <f>資料儲存!D4947</f>
        <v>0</v>
      </c>
      <c r="AD187" s="49">
        <f>資料儲存!E4947</f>
        <v>0</v>
      </c>
      <c r="AE187" s="49">
        <f>資料儲存!F4947</f>
        <v>0</v>
      </c>
      <c r="AF187" s="49">
        <f>資料儲存!G4947</f>
        <v>0</v>
      </c>
      <c r="AG187" s="49">
        <f>資料儲存!H4947</f>
        <v>0</v>
      </c>
      <c r="AH187" s="49">
        <f>資料儲存!I4947</f>
        <v>0</v>
      </c>
      <c r="AI187" s="49">
        <f>資料儲存!J4947</f>
        <v>0</v>
      </c>
      <c r="AJ187" s="52"/>
    </row>
    <row r="188" spans="1:36" ht="16" thickBot="1">
      <c r="A188" s="68">
        <v>27</v>
      </c>
      <c r="B188" s="49">
        <f>資料儲存!D4228</f>
        <v>0</v>
      </c>
      <c r="C188" s="49">
        <f>資料儲存!E4228</f>
        <v>0</v>
      </c>
      <c r="D188" s="49">
        <f>資料儲存!F4228</f>
        <v>0</v>
      </c>
      <c r="E188" s="49">
        <f>資料儲存!G4228</f>
        <v>0</v>
      </c>
      <c r="F188" s="49">
        <f>資料儲存!H4228</f>
        <v>0</v>
      </c>
      <c r="G188" s="49">
        <f>資料儲存!I4228</f>
        <v>0</v>
      </c>
      <c r="H188" s="49">
        <f>資料儲存!J4228</f>
        <v>0</v>
      </c>
      <c r="I188" s="52"/>
      <c r="J188" s="68">
        <v>27</v>
      </c>
      <c r="K188" s="49">
        <f>資料儲存!D4468</f>
        <v>0</v>
      </c>
      <c r="L188" s="49">
        <f>資料儲存!E4468</f>
        <v>0</v>
      </c>
      <c r="M188" s="49">
        <f>資料儲存!F4468</f>
        <v>0</v>
      </c>
      <c r="N188" s="49">
        <f>資料儲存!G4468</f>
        <v>0</v>
      </c>
      <c r="O188" s="49">
        <f>資料儲存!H4468</f>
        <v>0</v>
      </c>
      <c r="P188" s="49">
        <f>資料儲存!I4468</f>
        <v>0</v>
      </c>
      <c r="Q188" s="49">
        <f>資料儲存!J4468</f>
        <v>0</v>
      </c>
      <c r="R188" s="52"/>
      <c r="S188" s="68">
        <v>27</v>
      </c>
      <c r="T188" s="49">
        <f>資料儲存!D4708</f>
        <v>0</v>
      </c>
      <c r="U188" s="49">
        <f>資料儲存!E4708</f>
        <v>0</v>
      </c>
      <c r="V188" s="49">
        <f>資料儲存!F4708</f>
        <v>0</v>
      </c>
      <c r="W188" s="49">
        <f>資料儲存!G4708</f>
        <v>0</v>
      </c>
      <c r="X188" s="49">
        <f>資料儲存!H4708</f>
        <v>0</v>
      </c>
      <c r="Y188" s="49">
        <f>資料儲存!I4708</f>
        <v>0</v>
      </c>
      <c r="Z188" s="49">
        <f>資料儲存!J4708</f>
        <v>0</v>
      </c>
      <c r="AA188" s="52"/>
      <c r="AB188" s="68">
        <v>27</v>
      </c>
      <c r="AC188" s="49">
        <f>資料儲存!D4948</f>
        <v>0</v>
      </c>
      <c r="AD188" s="49">
        <f>資料儲存!E4948</f>
        <v>0</v>
      </c>
      <c r="AE188" s="49">
        <f>資料儲存!F4948</f>
        <v>0</v>
      </c>
      <c r="AF188" s="49">
        <f>資料儲存!G4948</f>
        <v>0</v>
      </c>
      <c r="AG188" s="49">
        <f>資料儲存!H4948</f>
        <v>0</v>
      </c>
      <c r="AH188" s="49">
        <f>資料儲存!I4948</f>
        <v>0</v>
      </c>
      <c r="AI188" s="49">
        <f>資料儲存!J4948</f>
        <v>0</v>
      </c>
      <c r="AJ188" s="52"/>
    </row>
    <row r="189" spans="1:36" ht="16" thickBot="1">
      <c r="A189" s="68">
        <v>28</v>
      </c>
      <c r="B189" s="49">
        <f>資料儲存!D4229</f>
        <v>0</v>
      </c>
      <c r="C189" s="49">
        <f>資料儲存!E4229</f>
        <v>0</v>
      </c>
      <c r="D189" s="49">
        <f>資料儲存!F4229</f>
        <v>0</v>
      </c>
      <c r="E189" s="49">
        <f>資料儲存!G4229</f>
        <v>0</v>
      </c>
      <c r="F189" s="49">
        <f>資料儲存!H4229</f>
        <v>0</v>
      </c>
      <c r="G189" s="49">
        <f>資料儲存!I4229</f>
        <v>0</v>
      </c>
      <c r="H189" s="49">
        <f>資料儲存!J4229</f>
        <v>0</v>
      </c>
      <c r="I189" s="52"/>
      <c r="J189" s="68">
        <v>28</v>
      </c>
      <c r="K189" s="49">
        <f>資料儲存!D4469</f>
        <v>0</v>
      </c>
      <c r="L189" s="49">
        <f>資料儲存!E4469</f>
        <v>0</v>
      </c>
      <c r="M189" s="49">
        <f>資料儲存!F4469</f>
        <v>0</v>
      </c>
      <c r="N189" s="49">
        <f>資料儲存!G4469</f>
        <v>0</v>
      </c>
      <c r="O189" s="49">
        <f>資料儲存!H4469</f>
        <v>0</v>
      </c>
      <c r="P189" s="49">
        <f>資料儲存!I4469</f>
        <v>0</v>
      </c>
      <c r="Q189" s="49">
        <f>資料儲存!J4469</f>
        <v>0</v>
      </c>
      <c r="R189" s="52"/>
      <c r="S189" s="68">
        <v>28</v>
      </c>
      <c r="T189" s="49">
        <f>資料儲存!D4709</f>
        <v>0</v>
      </c>
      <c r="U189" s="49">
        <f>資料儲存!E4709</f>
        <v>0</v>
      </c>
      <c r="V189" s="49">
        <f>資料儲存!F4709</f>
        <v>0</v>
      </c>
      <c r="W189" s="49">
        <f>資料儲存!G4709</f>
        <v>0</v>
      </c>
      <c r="X189" s="49">
        <f>資料儲存!H4709</f>
        <v>0</v>
      </c>
      <c r="Y189" s="49">
        <f>資料儲存!I4709</f>
        <v>0</v>
      </c>
      <c r="Z189" s="49">
        <f>資料儲存!J4709</f>
        <v>0</v>
      </c>
      <c r="AA189" s="52"/>
      <c r="AB189" s="68">
        <v>28</v>
      </c>
      <c r="AC189" s="49">
        <f>資料儲存!D4949</f>
        <v>0</v>
      </c>
      <c r="AD189" s="49">
        <f>資料儲存!E4949</f>
        <v>0</v>
      </c>
      <c r="AE189" s="49">
        <f>資料儲存!F4949</f>
        <v>0</v>
      </c>
      <c r="AF189" s="49">
        <f>資料儲存!G4949</f>
        <v>0</v>
      </c>
      <c r="AG189" s="49">
        <f>資料儲存!H4949</f>
        <v>0</v>
      </c>
      <c r="AH189" s="49">
        <f>資料儲存!I4949</f>
        <v>0</v>
      </c>
      <c r="AI189" s="49">
        <f>資料儲存!J4949</f>
        <v>0</v>
      </c>
      <c r="AJ189" s="52"/>
    </row>
    <row r="190" spans="1:36" ht="16" thickBot="1">
      <c r="A190" s="68">
        <v>29</v>
      </c>
      <c r="B190" s="49">
        <f>資料儲存!D4230</f>
        <v>0</v>
      </c>
      <c r="C190" s="49">
        <f>資料儲存!E4230</f>
        <v>0</v>
      </c>
      <c r="D190" s="49">
        <f>資料儲存!F4230</f>
        <v>0</v>
      </c>
      <c r="E190" s="49">
        <f>資料儲存!G4230</f>
        <v>0</v>
      </c>
      <c r="F190" s="49">
        <f>資料儲存!H4230</f>
        <v>0</v>
      </c>
      <c r="G190" s="49">
        <f>資料儲存!I4230</f>
        <v>0</v>
      </c>
      <c r="H190" s="49">
        <f>資料儲存!J4230</f>
        <v>0</v>
      </c>
      <c r="I190" s="52"/>
      <c r="J190" s="68">
        <v>29</v>
      </c>
      <c r="K190" s="49">
        <f>資料儲存!D4470</f>
        <v>0</v>
      </c>
      <c r="L190" s="49">
        <f>資料儲存!E4470</f>
        <v>0</v>
      </c>
      <c r="M190" s="49">
        <f>資料儲存!F4470</f>
        <v>0</v>
      </c>
      <c r="N190" s="49">
        <f>資料儲存!G4470</f>
        <v>0</v>
      </c>
      <c r="O190" s="49">
        <f>資料儲存!H4470</f>
        <v>0</v>
      </c>
      <c r="P190" s="49">
        <f>資料儲存!I4470</f>
        <v>0</v>
      </c>
      <c r="Q190" s="49">
        <f>資料儲存!J4470</f>
        <v>0</v>
      </c>
      <c r="R190" s="52"/>
      <c r="S190" s="68">
        <v>29</v>
      </c>
      <c r="T190" s="49">
        <f>資料儲存!D4710</f>
        <v>0</v>
      </c>
      <c r="U190" s="49">
        <f>資料儲存!E4710</f>
        <v>0</v>
      </c>
      <c r="V190" s="49">
        <f>資料儲存!F4710</f>
        <v>0</v>
      </c>
      <c r="W190" s="49">
        <f>資料儲存!G4710</f>
        <v>0</v>
      </c>
      <c r="X190" s="49">
        <f>資料儲存!H4710</f>
        <v>0</v>
      </c>
      <c r="Y190" s="49">
        <f>資料儲存!I4710</f>
        <v>0</v>
      </c>
      <c r="Z190" s="49">
        <f>資料儲存!J4710</f>
        <v>0</v>
      </c>
      <c r="AA190" s="52"/>
      <c r="AB190" s="68">
        <v>29</v>
      </c>
      <c r="AC190" s="49">
        <f>資料儲存!D4950</f>
        <v>0</v>
      </c>
      <c r="AD190" s="49">
        <f>資料儲存!E4950</f>
        <v>0</v>
      </c>
      <c r="AE190" s="49">
        <f>資料儲存!F4950</f>
        <v>0</v>
      </c>
      <c r="AF190" s="49">
        <f>資料儲存!G4950</f>
        <v>0</v>
      </c>
      <c r="AG190" s="49">
        <f>資料儲存!H4950</f>
        <v>0</v>
      </c>
      <c r="AH190" s="49">
        <f>資料儲存!I4950</f>
        <v>0</v>
      </c>
      <c r="AI190" s="49">
        <f>資料儲存!J4950</f>
        <v>0</v>
      </c>
      <c r="AJ190" s="52"/>
    </row>
    <row r="191" spans="1:36" ht="16" thickBot="1">
      <c r="A191" s="68">
        <v>30</v>
      </c>
      <c r="B191" s="49">
        <f>資料儲存!D4231</f>
        <v>0</v>
      </c>
      <c r="C191" s="49">
        <f>資料儲存!E4231</f>
        <v>0</v>
      </c>
      <c r="D191" s="49">
        <f>資料儲存!F4231</f>
        <v>0</v>
      </c>
      <c r="E191" s="49">
        <f>資料儲存!G4231</f>
        <v>0</v>
      </c>
      <c r="F191" s="49">
        <f>資料儲存!H4231</f>
        <v>0</v>
      </c>
      <c r="G191" s="49">
        <f>資料儲存!I4231</f>
        <v>0</v>
      </c>
      <c r="H191" s="49">
        <f>資料儲存!J4231</f>
        <v>0</v>
      </c>
      <c r="I191" s="52"/>
      <c r="J191" s="68">
        <v>30</v>
      </c>
      <c r="K191" s="49">
        <f>資料儲存!D4471</f>
        <v>0</v>
      </c>
      <c r="L191" s="49">
        <f>資料儲存!E4471</f>
        <v>0</v>
      </c>
      <c r="M191" s="49">
        <f>資料儲存!F4471</f>
        <v>0</v>
      </c>
      <c r="N191" s="49">
        <f>資料儲存!G4471</f>
        <v>0</v>
      </c>
      <c r="O191" s="49">
        <f>資料儲存!H4471</f>
        <v>0</v>
      </c>
      <c r="P191" s="49">
        <f>資料儲存!I4471</f>
        <v>0</v>
      </c>
      <c r="Q191" s="49">
        <f>資料儲存!J4471</f>
        <v>0</v>
      </c>
      <c r="R191" s="52"/>
      <c r="S191" s="68">
        <v>30</v>
      </c>
      <c r="T191" s="49">
        <f>資料儲存!D4711</f>
        <v>0</v>
      </c>
      <c r="U191" s="49">
        <f>資料儲存!E4711</f>
        <v>0</v>
      </c>
      <c r="V191" s="49">
        <f>資料儲存!F4711</f>
        <v>0</v>
      </c>
      <c r="W191" s="49">
        <f>資料儲存!G4711</f>
        <v>0</v>
      </c>
      <c r="X191" s="49">
        <f>資料儲存!H4711</f>
        <v>0</v>
      </c>
      <c r="Y191" s="49">
        <f>資料儲存!I4711</f>
        <v>0</v>
      </c>
      <c r="Z191" s="49">
        <f>資料儲存!J4711</f>
        <v>0</v>
      </c>
      <c r="AA191" s="52"/>
      <c r="AB191" s="68">
        <v>30</v>
      </c>
      <c r="AC191" s="49">
        <f>資料儲存!D4951</f>
        <v>0</v>
      </c>
      <c r="AD191" s="49">
        <f>資料儲存!E4951</f>
        <v>0</v>
      </c>
      <c r="AE191" s="49">
        <f>資料儲存!F4951</f>
        <v>0</v>
      </c>
      <c r="AF191" s="49">
        <f>資料儲存!G4951</f>
        <v>0</v>
      </c>
      <c r="AG191" s="49">
        <f>資料儲存!H4951</f>
        <v>0</v>
      </c>
      <c r="AH191" s="49">
        <f>資料儲存!I4951</f>
        <v>0</v>
      </c>
      <c r="AI191" s="49">
        <f>資料儲存!J4951</f>
        <v>0</v>
      </c>
      <c r="AJ191" s="52"/>
    </row>
    <row r="192" spans="1:36" ht="17.25" customHeight="1" thickBot="1">
      <c r="A192" s="50" t="s">
        <v>56</v>
      </c>
      <c r="B192" s="49">
        <f>SUM(B177:E191)</f>
        <v>0</v>
      </c>
      <c r="C192" s="47"/>
      <c r="D192" s="47"/>
      <c r="E192" s="47"/>
      <c r="F192" s="49">
        <f>F191</f>
        <v>0</v>
      </c>
      <c r="G192" s="49">
        <f>G191</f>
        <v>0</v>
      </c>
      <c r="H192" s="49">
        <f>H191</f>
        <v>0</v>
      </c>
      <c r="I192" s="45"/>
      <c r="J192" s="50" t="s">
        <v>56</v>
      </c>
      <c r="K192" s="49">
        <f>SUM(K177:N191)</f>
        <v>0</v>
      </c>
      <c r="L192" s="47"/>
      <c r="M192" s="47"/>
      <c r="N192" s="47"/>
      <c r="O192" s="49">
        <f>O191</f>
        <v>0</v>
      </c>
      <c r="P192" s="49">
        <f>P191</f>
        <v>0</v>
      </c>
      <c r="Q192" s="49">
        <f>Q191</f>
        <v>0</v>
      </c>
      <c r="R192" s="45"/>
      <c r="S192" s="50" t="s">
        <v>56</v>
      </c>
      <c r="T192" s="49">
        <f>SUM(T177:W191)</f>
        <v>0</v>
      </c>
      <c r="U192" s="47"/>
      <c r="V192" s="47"/>
      <c r="W192" s="47"/>
      <c r="X192" s="49">
        <f>X191</f>
        <v>0</v>
      </c>
      <c r="Y192" s="49">
        <f>Y191</f>
        <v>0</v>
      </c>
      <c r="Z192" s="49">
        <f>Z191</f>
        <v>0</v>
      </c>
      <c r="AA192" s="45"/>
      <c r="AB192" s="50" t="s">
        <v>56</v>
      </c>
      <c r="AC192" s="49">
        <f>SUM(AC177:AF191)</f>
        <v>0</v>
      </c>
      <c r="AD192" s="47"/>
      <c r="AE192" s="47"/>
      <c r="AF192" s="47"/>
      <c r="AG192" s="49">
        <f>AG191</f>
        <v>0</v>
      </c>
      <c r="AH192" s="49">
        <f>AH191</f>
        <v>0</v>
      </c>
      <c r="AI192" s="49">
        <f>AI191</f>
        <v>0</v>
      </c>
      <c r="AJ192" s="45"/>
    </row>
    <row r="193" spans="1:36" ht="18.5" thickBot="1">
      <c r="A193" s="259" t="s">
        <v>179</v>
      </c>
      <c r="B193" s="260"/>
      <c r="C193" s="260"/>
      <c r="D193" s="260"/>
      <c r="E193" s="260"/>
      <c r="F193" s="260"/>
      <c r="G193" s="260"/>
      <c r="H193" s="261"/>
      <c r="I193" s="14"/>
      <c r="J193" s="259" t="s">
        <v>179</v>
      </c>
      <c r="K193" s="260"/>
      <c r="L193" s="260"/>
      <c r="M193" s="260"/>
      <c r="N193" s="260"/>
      <c r="O193" s="260"/>
      <c r="P193" s="260"/>
      <c r="Q193" s="261"/>
      <c r="R193" s="14"/>
      <c r="S193" s="259" t="s">
        <v>179</v>
      </c>
      <c r="T193" s="260"/>
      <c r="U193" s="260"/>
      <c r="V193" s="260"/>
      <c r="W193" s="260"/>
      <c r="X193" s="260"/>
      <c r="Y193" s="260"/>
      <c r="Z193" s="261"/>
      <c r="AA193" s="14"/>
      <c r="AB193" s="259" t="s">
        <v>179</v>
      </c>
      <c r="AC193" s="260"/>
      <c r="AD193" s="260"/>
      <c r="AE193" s="260"/>
      <c r="AF193" s="260"/>
      <c r="AG193" s="260"/>
      <c r="AH193" s="260"/>
      <c r="AI193" s="261"/>
      <c r="AJ193" s="14"/>
    </row>
    <row r="194" spans="1:36" ht="17.25" customHeight="1" thickBot="1">
      <c r="A194" s="54" t="s">
        <v>2</v>
      </c>
      <c r="B194" s="55" t="s">
        <v>46</v>
      </c>
      <c r="C194" s="56"/>
      <c r="D194" s="56"/>
      <c r="E194" s="57"/>
      <c r="F194" s="55" t="s">
        <v>47</v>
      </c>
      <c r="G194" s="56"/>
      <c r="H194" s="57"/>
      <c r="I194" s="58"/>
      <c r="J194" s="54" t="s">
        <v>2</v>
      </c>
      <c r="K194" s="55" t="s">
        <v>46</v>
      </c>
      <c r="L194" s="56"/>
      <c r="M194" s="56"/>
      <c r="N194" s="57"/>
      <c r="O194" s="55" t="s">
        <v>47</v>
      </c>
      <c r="P194" s="56"/>
      <c r="Q194" s="57"/>
      <c r="R194" s="58"/>
      <c r="S194" s="54" t="s">
        <v>2</v>
      </c>
      <c r="T194" s="55" t="s">
        <v>46</v>
      </c>
      <c r="U194" s="56"/>
      <c r="V194" s="56"/>
      <c r="W194" s="57"/>
      <c r="X194" s="55" t="s">
        <v>47</v>
      </c>
      <c r="Y194" s="56"/>
      <c r="Z194" s="57"/>
      <c r="AA194" s="58"/>
      <c r="AB194" s="54" t="s">
        <v>2</v>
      </c>
      <c r="AC194" s="55" t="s">
        <v>46</v>
      </c>
      <c r="AD194" s="56"/>
      <c r="AE194" s="56"/>
      <c r="AF194" s="57"/>
      <c r="AG194" s="55" t="s">
        <v>47</v>
      </c>
      <c r="AH194" s="56"/>
      <c r="AI194" s="57"/>
      <c r="AJ194" s="58"/>
    </row>
    <row r="195" spans="1:36" ht="16" thickBot="1">
      <c r="A195" s="59">
        <v>0.77083333333333337</v>
      </c>
      <c r="B195" s="60" t="s">
        <v>49</v>
      </c>
      <c r="C195" s="60" t="s">
        <v>50</v>
      </c>
      <c r="D195" s="60" t="s">
        <v>51</v>
      </c>
      <c r="E195" s="60" t="s">
        <v>52</v>
      </c>
      <c r="F195" s="60" t="s">
        <v>53</v>
      </c>
      <c r="G195" s="60" t="s">
        <v>54</v>
      </c>
      <c r="H195" s="60" t="s">
        <v>55</v>
      </c>
      <c r="I195" s="58"/>
      <c r="J195" s="59">
        <v>0.77083333333333337</v>
      </c>
      <c r="K195" s="60" t="s">
        <v>49</v>
      </c>
      <c r="L195" s="60" t="s">
        <v>50</v>
      </c>
      <c r="M195" s="60" t="s">
        <v>51</v>
      </c>
      <c r="N195" s="60" t="s">
        <v>52</v>
      </c>
      <c r="O195" s="60" t="s">
        <v>53</v>
      </c>
      <c r="P195" s="60" t="s">
        <v>54</v>
      </c>
      <c r="Q195" s="60" t="s">
        <v>55</v>
      </c>
      <c r="R195" s="58"/>
      <c r="S195" s="59">
        <v>0.77083333333333337</v>
      </c>
      <c r="T195" s="60" t="s">
        <v>49</v>
      </c>
      <c r="U195" s="60" t="s">
        <v>50</v>
      </c>
      <c r="V195" s="60" t="s">
        <v>51</v>
      </c>
      <c r="W195" s="60" t="s">
        <v>52</v>
      </c>
      <c r="X195" s="60" t="s">
        <v>53</v>
      </c>
      <c r="Y195" s="60" t="s">
        <v>54</v>
      </c>
      <c r="Z195" s="60" t="s">
        <v>55</v>
      </c>
      <c r="AA195" s="58"/>
      <c r="AB195" s="59">
        <v>0.77083333333333337</v>
      </c>
      <c r="AC195" s="60" t="s">
        <v>49</v>
      </c>
      <c r="AD195" s="60" t="s">
        <v>50</v>
      </c>
      <c r="AE195" s="60" t="s">
        <v>51</v>
      </c>
      <c r="AF195" s="60" t="s">
        <v>52</v>
      </c>
      <c r="AG195" s="60" t="s">
        <v>53</v>
      </c>
      <c r="AH195" s="60" t="s">
        <v>54</v>
      </c>
      <c r="AI195" s="60" t="s">
        <v>55</v>
      </c>
      <c r="AJ195" s="58"/>
    </row>
    <row r="196" spans="1:36" ht="16" thickBot="1">
      <c r="A196" s="61">
        <v>31</v>
      </c>
      <c r="B196" s="39">
        <f>資料儲存!D4232</f>
        <v>0</v>
      </c>
      <c r="C196" s="39">
        <f>資料儲存!E4232</f>
        <v>0</v>
      </c>
      <c r="D196" s="39">
        <f>資料儲存!F4232</f>
        <v>0</v>
      </c>
      <c r="E196" s="39">
        <f>資料儲存!G4232</f>
        <v>0</v>
      </c>
      <c r="F196" s="39">
        <f>資料儲存!H4232</f>
        <v>0</v>
      </c>
      <c r="G196" s="39">
        <f>資料儲存!I4232</f>
        <v>0</v>
      </c>
      <c r="H196" s="39">
        <f>資料儲存!J4232</f>
        <v>0</v>
      </c>
      <c r="I196" s="58"/>
      <c r="J196" s="61">
        <v>31</v>
      </c>
      <c r="K196" s="39">
        <f>資料儲存!D4472</f>
        <v>0</v>
      </c>
      <c r="L196" s="39">
        <f>資料儲存!E4472</f>
        <v>0</v>
      </c>
      <c r="M196" s="39">
        <f>資料儲存!F4472</f>
        <v>0</v>
      </c>
      <c r="N196" s="39">
        <f>資料儲存!G4472</f>
        <v>0</v>
      </c>
      <c r="O196" s="39">
        <f>資料儲存!H4472</f>
        <v>0</v>
      </c>
      <c r="P196" s="39">
        <f>資料儲存!I4472</f>
        <v>0</v>
      </c>
      <c r="Q196" s="39">
        <f>資料儲存!J4472</f>
        <v>0</v>
      </c>
      <c r="R196" s="58"/>
      <c r="S196" s="61">
        <v>31</v>
      </c>
      <c r="T196" s="39">
        <f>資料儲存!D4712</f>
        <v>0</v>
      </c>
      <c r="U196" s="39">
        <f>資料儲存!E4712</f>
        <v>0</v>
      </c>
      <c r="V196" s="39">
        <f>資料儲存!F4712</f>
        <v>0</v>
      </c>
      <c r="W196" s="39">
        <f>資料儲存!G4712</f>
        <v>0</v>
      </c>
      <c r="X196" s="39">
        <f>資料儲存!H4712</f>
        <v>0</v>
      </c>
      <c r="Y196" s="39">
        <f>資料儲存!I4712</f>
        <v>0</v>
      </c>
      <c r="Z196" s="39">
        <f>資料儲存!J4712</f>
        <v>0</v>
      </c>
      <c r="AA196" s="58"/>
      <c r="AB196" s="61">
        <v>31</v>
      </c>
      <c r="AC196" s="39">
        <f>資料儲存!D4952</f>
        <v>0</v>
      </c>
      <c r="AD196" s="39">
        <f>資料儲存!E4952</f>
        <v>0</v>
      </c>
      <c r="AE196" s="39">
        <f>資料儲存!F4952</f>
        <v>0</v>
      </c>
      <c r="AF196" s="39">
        <f>資料儲存!G4952</f>
        <v>0</v>
      </c>
      <c r="AG196" s="39">
        <f>資料儲存!H4952</f>
        <v>0</v>
      </c>
      <c r="AH196" s="39">
        <f>資料儲存!I4952</f>
        <v>0</v>
      </c>
      <c r="AI196" s="39">
        <f>資料儲存!J4952</f>
        <v>0</v>
      </c>
      <c r="AJ196" s="58"/>
    </row>
    <row r="197" spans="1:36" ht="16" thickBot="1">
      <c r="A197" s="61">
        <v>32</v>
      </c>
      <c r="B197" s="39">
        <f>資料儲存!D4233</f>
        <v>0</v>
      </c>
      <c r="C197" s="39">
        <f>資料儲存!E4233</f>
        <v>0</v>
      </c>
      <c r="D197" s="39">
        <f>資料儲存!F4233</f>
        <v>0</v>
      </c>
      <c r="E197" s="39">
        <f>資料儲存!G4233</f>
        <v>0</v>
      </c>
      <c r="F197" s="39">
        <f>資料儲存!H4233</f>
        <v>0</v>
      </c>
      <c r="G197" s="39">
        <f>資料儲存!I4233</f>
        <v>0</v>
      </c>
      <c r="H197" s="39">
        <f>資料儲存!J4233</f>
        <v>0</v>
      </c>
      <c r="I197" s="58"/>
      <c r="J197" s="61">
        <v>32</v>
      </c>
      <c r="K197" s="39">
        <f>資料儲存!D4473</f>
        <v>0</v>
      </c>
      <c r="L197" s="39">
        <f>資料儲存!E4473</f>
        <v>0</v>
      </c>
      <c r="M197" s="39">
        <f>資料儲存!F4473</f>
        <v>0</v>
      </c>
      <c r="N197" s="39">
        <f>資料儲存!G4473</f>
        <v>0</v>
      </c>
      <c r="O197" s="39">
        <f>資料儲存!H4473</f>
        <v>0</v>
      </c>
      <c r="P197" s="39">
        <f>資料儲存!I4473</f>
        <v>0</v>
      </c>
      <c r="Q197" s="39">
        <f>資料儲存!J4473</f>
        <v>0</v>
      </c>
      <c r="R197" s="58"/>
      <c r="S197" s="61">
        <v>32</v>
      </c>
      <c r="T197" s="39">
        <f>資料儲存!D4713</f>
        <v>0</v>
      </c>
      <c r="U197" s="39">
        <f>資料儲存!E4713</f>
        <v>0</v>
      </c>
      <c r="V197" s="39">
        <f>資料儲存!F4713</f>
        <v>0</v>
      </c>
      <c r="W197" s="39">
        <f>資料儲存!G4713</f>
        <v>0</v>
      </c>
      <c r="X197" s="39">
        <f>資料儲存!H4713</f>
        <v>0</v>
      </c>
      <c r="Y197" s="39">
        <f>資料儲存!I4713</f>
        <v>0</v>
      </c>
      <c r="Z197" s="39">
        <f>資料儲存!J4713</f>
        <v>0</v>
      </c>
      <c r="AA197" s="58"/>
      <c r="AB197" s="61">
        <v>32</v>
      </c>
      <c r="AC197" s="39">
        <f>資料儲存!D4953</f>
        <v>0</v>
      </c>
      <c r="AD197" s="39">
        <f>資料儲存!E4953</f>
        <v>0</v>
      </c>
      <c r="AE197" s="39">
        <f>資料儲存!F4953</f>
        <v>0</v>
      </c>
      <c r="AF197" s="39">
        <f>資料儲存!G4953</f>
        <v>0</v>
      </c>
      <c r="AG197" s="39">
        <f>資料儲存!H4953</f>
        <v>0</v>
      </c>
      <c r="AH197" s="39">
        <f>資料儲存!I4953</f>
        <v>0</v>
      </c>
      <c r="AI197" s="39">
        <f>資料儲存!J4953</f>
        <v>0</v>
      </c>
      <c r="AJ197" s="58"/>
    </row>
    <row r="198" spans="1:36" ht="16" thickBot="1">
      <c r="A198" s="61">
        <v>33</v>
      </c>
      <c r="B198" s="39">
        <f>資料儲存!D4234</f>
        <v>0</v>
      </c>
      <c r="C198" s="39">
        <f>資料儲存!E4234</f>
        <v>0</v>
      </c>
      <c r="D198" s="39">
        <f>資料儲存!F4234</f>
        <v>0</v>
      </c>
      <c r="E198" s="39">
        <f>資料儲存!G4234</f>
        <v>0</v>
      </c>
      <c r="F198" s="39">
        <f>資料儲存!H4234</f>
        <v>0</v>
      </c>
      <c r="G198" s="39">
        <f>資料儲存!I4234</f>
        <v>0</v>
      </c>
      <c r="H198" s="39">
        <f>資料儲存!J4234</f>
        <v>0</v>
      </c>
      <c r="I198" s="58"/>
      <c r="J198" s="61">
        <v>33</v>
      </c>
      <c r="K198" s="39">
        <f>資料儲存!D4474</f>
        <v>0</v>
      </c>
      <c r="L198" s="39">
        <f>資料儲存!E4474</f>
        <v>0</v>
      </c>
      <c r="M198" s="39">
        <f>資料儲存!F4474</f>
        <v>0</v>
      </c>
      <c r="N198" s="39">
        <f>資料儲存!G4474</f>
        <v>0</v>
      </c>
      <c r="O198" s="39">
        <f>資料儲存!H4474</f>
        <v>0</v>
      </c>
      <c r="P198" s="39">
        <f>資料儲存!I4474</f>
        <v>0</v>
      </c>
      <c r="Q198" s="39">
        <f>資料儲存!J4474</f>
        <v>0</v>
      </c>
      <c r="R198" s="58"/>
      <c r="S198" s="61">
        <v>33</v>
      </c>
      <c r="T198" s="39">
        <f>資料儲存!D4714</f>
        <v>0</v>
      </c>
      <c r="U198" s="39">
        <f>資料儲存!E4714</f>
        <v>0</v>
      </c>
      <c r="V198" s="39">
        <f>資料儲存!F4714</f>
        <v>0</v>
      </c>
      <c r="W198" s="39">
        <f>資料儲存!G4714</f>
        <v>0</v>
      </c>
      <c r="X198" s="39">
        <f>資料儲存!H4714</f>
        <v>0</v>
      </c>
      <c r="Y198" s="39">
        <f>資料儲存!I4714</f>
        <v>0</v>
      </c>
      <c r="Z198" s="39">
        <f>資料儲存!J4714</f>
        <v>0</v>
      </c>
      <c r="AA198" s="58"/>
      <c r="AB198" s="61">
        <v>33</v>
      </c>
      <c r="AC198" s="39">
        <f>資料儲存!D4954</f>
        <v>0</v>
      </c>
      <c r="AD198" s="39">
        <f>資料儲存!E4954</f>
        <v>0</v>
      </c>
      <c r="AE198" s="39">
        <f>資料儲存!F4954</f>
        <v>0</v>
      </c>
      <c r="AF198" s="39">
        <f>資料儲存!G4954</f>
        <v>0</v>
      </c>
      <c r="AG198" s="39">
        <f>資料儲存!H4954</f>
        <v>0</v>
      </c>
      <c r="AH198" s="39">
        <f>資料儲存!I4954</f>
        <v>0</v>
      </c>
      <c r="AI198" s="39">
        <f>資料儲存!J4954</f>
        <v>0</v>
      </c>
      <c r="AJ198" s="58"/>
    </row>
    <row r="199" spans="1:36" ht="16" thickBot="1">
      <c r="A199" s="61">
        <v>34</v>
      </c>
      <c r="B199" s="39">
        <f>資料儲存!D4235</f>
        <v>0</v>
      </c>
      <c r="C199" s="39">
        <f>資料儲存!E4235</f>
        <v>0</v>
      </c>
      <c r="D199" s="39">
        <f>資料儲存!F4235</f>
        <v>0</v>
      </c>
      <c r="E199" s="39">
        <f>資料儲存!G4235</f>
        <v>0</v>
      </c>
      <c r="F199" s="39">
        <f>資料儲存!H4235</f>
        <v>0</v>
      </c>
      <c r="G199" s="39">
        <f>資料儲存!I4235</f>
        <v>0</v>
      </c>
      <c r="H199" s="39">
        <f>資料儲存!J4235</f>
        <v>0</v>
      </c>
      <c r="I199" s="58"/>
      <c r="J199" s="61">
        <v>34</v>
      </c>
      <c r="K199" s="39">
        <f>資料儲存!D4475</f>
        <v>0</v>
      </c>
      <c r="L199" s="39">
        <f>資料儲存!E4475</f>
        <v>0</v>
      </c>
      <c r="M199" s="39">
        <f>資料儲存!F4475</f>
        <v>0</v>
      </c>
      <c r="N199" s="39">
        <f>資料儲存!G4475</f>
        <v>0</v>
      </c>
      <c r="O199" s="39">
        <f>資料儲存!H4475</f>
        <v>0</v>
      </c>
      <c r="P199" s="39">
        <f>資料儲存!I4475</f>
        <v>0</v>
      </c>
      <c r="Q199" s="39">
        <f>資料儲存!J4475</f>
        <v>0</v>
      </c>
      <c r="R199" s="58"/>
      <c r="S199" s="61">
        <v>34</v>
      </c>
      <c r="T199" s="39">
        <f>資料儲存!D4715</f>
        <v>0</v>
      </c>
      <c r="U199" s="39">
        <f>資料儲存!E4715</f>
        <v>0</v>
      </c>
      <c r="V199" s="39">
        <f>資料儲存!F4715</f>
        <v>0</v>
      </c>
      <c r="W199" s="39">
        <f>資料儲存!G4715</f>
        <v>0</v>
      </c>
      <c r="X199" s="39">
        <f>資料儲存!H4715</f>
        <v>0</v>
      </c>
      <c r="Y199" s="39">
        <f>資料儲存!I4715</f>
        <v>0</v>
      </c>
      <c r="Z199" s="39">
        <f>資料儲存!J4715</f>
        <v>0</v>
      </c>
      <c r="AA199" s="58"/>
      <c r="AB199" s="61">
        <v>34</v>
      </c>
      <c r="AC199" s="39">
        <f>資料儲存!D4955</f>
        <v>0</v>
      </c>
      <c r="AD199" s="39">
        <f>資料儲存!E4955</f>
        <v>0</v>
      </c>
      <c r="AE199" s="39">
        <f>資料儲存!F4955</f>
        <v>0</v>
      </c>
      <c r="AF199" s="39">
        <f>資料儲存!G4955</f>
        <v>0</v>
      </c>
      <c r="AG199" s="39">
        <f>資料儲存!H4955</f>
        <v>0</v>
      </c>
      <c r="AH199" s="39">
        <f>資料儲存!I4955</f>
        <v>0</v>
      </c>
      <c r="AI199" s="39">
        <f>資料儲存!J4955</f>
        <v>0</v>
      </c>
      <c r="AJ199" s="58"/>
    </row>
    <row r="200" spans="1:36" ht="16" thickBot="1">
      <c r="A200" s="61">
        <v>35</v>
      </c>
      <c r="B200" s="39">
        <f>資料儲存!D4236</f>
        <v>0</v>
      </c>
      <c r="C200" s="39">
        <f>資料儲存!E4236</f>
        <v>0</v>
      </c>
      <c r="D200" s="39">
        <f>資料儲存!F4236</f>
        <v>0</v>
      </c>
      <c r="E200" s="39">
        <f>資料儲存!G4236</f>
        <v>0</v>
      </c>
      <c r="F200" s="39">
        <f>資料儲存!H4236</f>
        <v>0</v>
      </c>
      <c r="G200" s="39">
        <f>資料儲存!I4236</f>
        <v>0</v>
      </c>
      <c r="H200" s="39">
        <f>資料儲存!J4236</f>
        <v>0</v>
      </c>
      <c r="I200" s="58"/>
      <c r="J200" s="61">
        <v>35</v>
      </c>
      <c r="K200" s="39">
        <f>資料儲存!D4476</f>
        <v>0</v>
      </c>
      <c r="L200" s="39">
        <f>資料儲存!E4476</f>
        <v>0</v>
      </c>
      <c r="M200" s="39">
        <f>資料儲存!F4476</f>
        <v>0</v>
      </c>
      <c r="N200" s="39">
        <f>資料儲存!G4476</f>
        <v>0</v>
      </c>
      <c r="O200" s="39">
        <f>資料儲存!H4476</f>
        <v>0</v>
      </c>
      <c r="P200" s="39">
        <f>資料儲存!I4476</f>
        <v>0</v>
      </c>
      <c r="Q200" s="39">
        <f>資料儲存!J4476</f>
        <v>0</v>
      </c>
      <c r="R200" s="58"/>
      <c r="S200" s="61">
        <v>35</v>
      </c>
      <c r="T200" s="39">
        <f>資料儲存!D4716</f>
        <v>0</v>
      </c>
      <c r="U200" s="39">
        <f>資料儲存!E4716</f>
        <v>0</v>
      </c>
      <c r="V200" s="39">
        <f>資料儲存!F4716</f>
        <v>0</v>
      </c>
      <c r="W200" s="39">
        <f>資料儲存!G4716</f>
        <v>0</v>
      </c>
      <c r="X200" s="39">
        <f>資料儲存!H4716</f>
        <v>0</v>
      </c>
      <c r="Y200" s="39">
        <f>資料儲存!I4716</f>
        <v>0</v>
      </c>
      <c r="Z200" s="39">
        <f>資料儲存!J4716</f>
        <v>0</v>
      </c>
      <c r="AA200" s="58"/>
      <c r="AB200" s="61">
        <v>35</v>
      </c>
      <c r="AC200" s="39">
        <f>資料儲存!D4956</f>
        <v>0</v>
      </c>
      <c r="AD200" s="39">
        <f>資料儲存!E4956</f>
        <v>0</v>
      </c>
      <c r="AE200" s="39">
        <f>資料儲存!F4956</f>
        <v>0</v>
      </c>
      <c r="AF200" s="39">
        <f>資料儲存!G4956</f>
        <v>0</v>
      </c>
      <c r="AG200" s="39">
        <f>資料儲存!H4956</f>
        <v>0</v>
      </c>
      <c r="AH200" s="39">
        <f>資料儲存!I4956</f>
        <v>0</v>
      </c>
      <c r="AI200" s="39">
        <f>資料儲存!J4956</f>
        <v>0</v>
      </c>
      <c r="AJ200" s="58"/>
    </row>
    <row r="201" spans="1:36" ht="16" thickBot="1">
      <c r="A201" s="61">
        <v>36</v>
      </c>
      <c r="B201" s="39">
        <f>資料儲存!D4237</f>
        <v>0</v>
      </c>
      <c r="C201" s="39">
        <f>資料儲存!E4237</f>
        <v>0</v>
      </c>
      <c r="D201" s="39">
        <f>資料儲存!F4237</f>
        <v>0</v>
      </c>
      <c r="E201" s="39">
        <f>資料儲存!G4237</f>
        <v>0</v>
      </c>
      <c r="F201" s="39">
        <f>資料儲存!H4237</f>
        <v>0</v>
      </c>
      <c r="G201" s="39">
        <f>資料儲存!I4237</f>
        <v>0</v>
      </c>
      <c r="H201" s="39">
        <f>資料儲存!J4237</f>
        <v>0</v>
      </c>
      <c r="I201" s="58"/>
      <c r="J201" s="61">
        <v>36</v>
      </c>
      <c r="K201" s="39">
        <f>資料儲存!D4477</f>
        <v>0</v>
      </c>
      <c r="L201" s="39">
        <f>資料儲存!E4477</f>
        <v>0</v>
      </c>
      <c r="M201" s="39">
        <f>資料儲存!F4477</f>
        <v>0</v>
      </c>
      <c r="N201" s="39">
        <f>資料儲存!G4477</f>
        <v>0</v>
      </c>
      <c r="O201" s="39">
        <f>資料儲存!H4477</f>
        <v>0</v>
      </c>
      <c r="P201" s="39">
        <f>資料儲存!I4477</f>
        <v>0</v>
      </c>
      <c r="Q201" s="39">
        <f>資料儲存!J4477</f>
        <v>0</v>
      </c>
      <c r="R201" s="58"/>
      <c r="S201" s="61">
        <v>36</v>
      </c>
      <c r="T201" s="39">
        <f>資料儲存!D4717</f>
        <v>0</v>
      </c>
      <c r="U201" s="39">
        <f>資料儲存!E4717</f>
        <v>0</v>
      </c>
      <c r="V201" s="39">
        <f>資料儲存!F4717</f>
        <v>0</v>
      </c>
      <c r="W201" s="39">
        <f>資料儲存!G4717</f>
        <v>0</v>
      </c>
      <c r="X201" s="39">
        <f>資料儲存!H4717</f>
        <v>0</v>
      </c>
      <c r="Y201" s="39">
        <f>資料儲存!I4717</f>
        <v>0</v>
      </c>
      <c r="Z201" s="39">
        <f>資料儲存!J4717</f>
        <v>0</v>
      </c>
      <c r="AA201" s="58"/>
      <c r="AB201" s="61">
        <v>36</v>
      </c>
      <c r="AC201" s="39">
        <f>資料儲存!D4957</f>
        <v>0</v>
      </c>
      <c r="AD201" s="39">
        <f>資料儲存!E4957</f>
        <v>0</v>
      </c>
      <c r="AE201" s="39">
        <f>資料儲存!F4957</f>
        <v>0</v>
      </c>
      <c r="AF201" s="39">
        <f>資料儲存!G4957</f>
        <v>0</v>
      </c>
      <c r="AG201" s="39">
        <f>資料儲存!H4957</f>
        <v>0</v>
      </c>
      <c r="AH201" s="39">
        <f>資料儲存!I4957</f>
        <v>0</v>
      </c>
      <c r="AI201" s="39">
        <f>資料儲存!J4957</f>
        <v>0</v>
      </c>
      <c r="AJ201" s="58"/>
    </row>
    <row r="202" spans="1:36" ht="16" thickBot="1">
      <c r="A202" s="61">
        <v>37</v>
      </c>
      <c r="B202" s="39">
        <f>資料儲存!D4238</f>
        <v>0</v>
      </c>
      <c r="C202" s="39">
        <f>資料儲存!E4238</f>
        <v>0</v>
      </c>
      <c r="D202" s="39">
        <f>資料儲存!F4238</f>
        <v>0</v>
      </c>
      <c r="E202" s="39">
        <f>資料儲存!G4238</f>
        <v>0</v>
      </c>
      <c r="F202" s="39">
        <f>資料儲存!H4238</f>
        <v>0</v>
      </c>
      <c r="G202" s="39">
        <f>資料儲存!I4238</f>
        <v>0</v>
      </c>
      <c r="H202" s="39">
        <f>資料儲存!J4238</f>
        <v>0</v>
      </c>
      <c r="I202" s="58"/>
      <c r="J202" s="61">
        <v>37</v>
      </c>
      <c r="K202" s="39">
        <f>資料儲存!D4478</f>
        <v>0</v>
      </c>
      <c r="L202" s="39">
        <f>資料儲存!E4478</f>
        <v>0</v>
      </c>
      <c r="M202" s="39">
        <f>資料儲存!F4478</f>
        <v>0</v>
      </c>
      <c r="N202" s="39">
        <f>資料儲存!G4478</f>
        <v>0</v>
      </c>
      <c r="O202" s="39">
        <f>資料儲存!H4478</f>
        <v>0</v>
      </c>
      <c r="P202" s="39">
        <f>資料儲存!I4478</f>
        <v>0</v>
      </c>
      <c r="Q202" s="39">
        <f>資料儲存!J4478</f>
        <v>0</v>
      </c>
      <c r="R202" s="58"/>
      <c r="S202" s="61">
        <v>37</v>
      </c>
      <c r="T202" s="39">
        <f>資料儲存!D4718</f>
        <v>0</v>
      </c>
      <c r="U202" s="39">
        <f>資料儲存!E4718</f>
        <v>0</v>
      </c>
      <c r="V202" s="39">
        <f>資料儲存!F4718</f>
        <v>0</v>
      </c>
      <c r="W202" s="39">
        <f>資料儲存!G4718</f>
        <v>0</v>
      </c>
      <c r="X202" s="39">
        <f>資料儲存!H4718</f>
        <v>0</v>
      </c>
      <c r="Y202" s="39">
        <f>資料儲存!I4718</f>
        <v>0</v>
      </c>
      <c r="Z202" s="39">
        <f>資料儲存!J4718</f>
        <v>0</v>
      </c>
      <c r="AA202" s="58"/>
      <c r="AB202" s="61">
        <v>37</v>
      </c>
      <c r="AC202" s="39">
        <f>資料儲存!D4958</f>
        <v>0</v>
      </c>
      <c r="AD202" s="39">
        <f>資料儲存!E4958</f>
        <v>0</v>
      </c>
      <c r="AE202" s="39">
        <f>資料儲存!F4958</f>
        <v>0</v>
      </c>
      <c r="AF202" s="39">
        <f>資料儲存!G4958</f>
        <v>0</v>
      </c>
      <c r="AG202" s="39">
        <f>資料儲存!H4958</f>
        <v>0</v>
      </c>
      <c r="AH202" s="39">
        <f>資料儲存!I4958</f>
        <v>0</v>
      </c>
      <c r="AI202" s="39">
        <f>資料儲存!J4958</f>
        <v>0</v>
      </c>
      <c r="AJ202" s="58"/>
    </row>
    <row r="203" spans="1:36" ht="16" thickBot="1">
      <c r="A203" s="61">
        <v>38</v>
      </c>
      <c r="B203" s="39">
        <f>資料儲存!D4239</f>
        <v>0</v>
      </c>
      <c r="C203" s="39">
        <f>資料儲存!E4239</f>
        <v>0</v>
      </c>
      <c r="D203" s="39">
        <f>資料儲存!F4239</f>
        <v>0</v>
      </c>
      <c r="E203" s="39">
        <f>資料儲存!G4239</f>
        <v>0</v>
      </c>
      <c r="F203" s="39">
        <f>資料儲存!H4239</f>
        <v>0</v>
      </c>
      <c r="G203" s="39">
        <f>資料儲存!I4239</f>
        <v>0</v>
      </c>
      <c r="H203" s="39">
        <f>資料儲存!J4239</f>
        <v>0</v>
      </c>
      <c r="I203" s="58"/>
      <c r="J203" s="61">
        <v>38</v>
      </c>
      <c r="K203" s="39">
        <f>資料儲存!D4479</f>
        <v>0</v>
      </c>
      <c r="L203" s="39">
        <f>資料儲存!E4479</f>
        <v>0</v>
      </c>
      <c r="M203" s="39">
        <f>資料儲存!F4479</f>
        <v>0</v>
      </c>
      <c r="N203" s="39">
        <f>資料儲存!G4479</f>
        <v>0</v>
      </c>
      <c r="O203" s="39">
        <f>資料儲存!H4479</f>
        <v>0</v>
      </c>
      <c r="P203" s="39">
        <f>資料儲存!I4479</f>
        <v>0</v>
      </c>
      <c r="Q203" s="39">
        <f>資料儲存!J4479</f>
        <v>0</v>
      </c>
      <c r="R203" s="58"/>
      <c r="S203" s="61">
        <v>38</v>
      </c>
      <c r="T203" s="39">
        <f>資料儲存!D4719</f>
        <v>0</v>
      </c>
      <c r="U203" s="39">
        <f>資料儲存!E4719</f>
        <v>0</v>
      </c>
      <c r="V203" s="39">
        <f>資料儲存!F4719</f>
        <v>0</v>
      </c>
      <c r="W203" s="39">
        <f>資料儲存!G4719</f>
        <v>0</v>
      </c>
      <c r="X203" s="39">
        <f>資料儲存!H4719</f>
        <v>0</v>
      </c>
      <c r="Y203" s="39">
        <f>資料儲存!I4719</f>
        <v>0</v>
      </c>
      <c r="Z203" s="39">
        <f>資料儲存!J4719</f>
        <v>0</v>
      </c>
      <c r="AA203" s="58"/>
      <c r="AB203" s="61">
        <v>38</v>
      </c>
      <c r="AC203" s="39">
        <f>資料儲存!D4959</f>
        <v>0</v>
      </c>
      <c r="AD203" s="39">
        <f>資料儲存!E4959</f>
        <v>0</v>
      </c>
      <c r="AE203" s="39">
        <f>資料儲存!F4959</f>
        <v>0</v>
      </c>
      <c r="AF203" s="39">
        <f>資料儲存!G4959</f>
        <v>0</v>
      </c>
      <c r="AG203" s="39">
        <f>資料儲存!H4959</f>
        <v>0</v>
      </c>
      <c r="AH203" s="39">
        <f>資料儲存!I4959</f>
        <v>0</v>
      </c>
      <c r="AI203" s="39">
        <f>資料儲存!J4959</f>
        <v>0</v>
      </c>
      <c r="AJ203" s="58"/>
    </row>
    <row r="204" spans="1:36" ht="16" thickBot="1">
      <c r="A204" s="61">
        <v>39</v>
      </c>
      <c r="B204" s="39">
        <f>資料儲存!D4240</f>
        <v>0</v>
      </c>
      <c r="C204" s="39">
        <f>資料儲存!E4240</f>
        <v>0</v>
      </c>
      <c r="D204" s="39">
        <f>資料儲存!F4240</f>
        <v>0</v>
      </c>
      <c r="E204" s="39">
        <f>資料儲存!G4240</f>
        <v>0</v>
      </c>
      <c r="F204" s="39">
        <f>資料儲存!H4240</f>
        <v>0</v>
      </c>
      <c r="G204" s="39">
        <f>資料儲存!I4240</f>
        <v>0</v>
      </c>
      <c r="H204" s="39">
        <f>資料儲存!J4240</f>
        <v>0</v>
      </c>
      <c r="I204" s="58"/>
      <c r="J204" s="61">
        <v>39</v>
      </c>
      <c r="K204" s="39">
        <f>資料儲存!D4480</f>
        <v>0</v>
      </c>
      <c r="L204" s="39">
        <f>資料儲存!E4480</f>
        <v>0</v>
      </c>
      <c r="M204" s="39">
        <f>資料儲存!F4480</f>
        <v>0</v>
      </c>
      <c r="N204" s="39">
        <f>資料儲存!G4480</f>
        <v>0</v>
      </c>
      <c r="O204" s="39">
        <f>資料儲存!H4480</f>
        <v>0</v>
      </c>
      <c r="P204" s="39">
        <f>資料儲存!I4480</f>
        <v>0</v>
      </c>
      <c r="Q204" s="39">
        <f>資料儲存!J4480</f>
        <v>0</v>
      </c>
      <c r="R204" s="58"/>
      <c r="S204" s="61">
        <v>39</v>
      </c>
      <c r="T204" s="39">
        <f>資料儲存!D4720</f>
        <v>0</v>
      </c>
      <c r="U204" s="39">
        <f>資料儲存!E4720</f>
        <v>0</v>
      </c>
      <c r="V204" s="39">
        <f>資料儲存!F4720</f>
        <v>0</v>
      </c>
      <c r="W204" s="39">
        <f>資料儲存!G4720</f>
        <v>0</v>
      </c>
      <c r="X204" s="39">
        <f>資料儲存!H4720</f>
        <v>0</v>
      </c>
      <c r="Y204" s="39">
        <f>資料儲存!I4720</f>
        <v>0</v>
      </c>
      <c r="Z204" s="39">
        <f>資料儲存!J4720</f>
        <v>0</v>
      </c>
      <c r="AA204" s="58"/>
      <c r="AB204" s="61">
        <v>39</v>
      </c>
      <c r="AC204" s="39">
        <f>資料儲存!D4960</f>
        <v>0</v>
      </c>
      <c r="AD204" s="39">
        <f>資料儲存!E4960</f>
        <v>0</v>
      </c>
      <c r="AE204" s="39">
        <f>資料儲存!F4960</f>
        <v>0</v>
      </c>
      <c r="AF204" s="39">
        <f>資料儲存!G4960</f>
        <v>0</v>
      </c>
      <c r="AG204" s="39">
        <f>資料儲存!H4960</f>
        <v>0</v>
      </c>
      <c r="AH204" s="39">
        <f>資料儲存!I4960</f>
        <v>0</v>
      </c>
      <c r="AI204" s="39">
        <f>資料儲存!J4960</f>
        <v>0</v>
      </c>
      <c r="AJ204" s="58"/>
    </row>
    <row r="205" spans="1:36" ht="16" thickBot="1">
      <c r="A205" s="61">
        <v>40</v>
      </c>
      <c r="B205" s="39">
        <f>資料儲存!D4241</f>
        <v>0</v>
      </c>
      <c r="C205" s="39">
        <f>資料儲存!E4241</f>
        <v>0</v>
      </c>
      <c r="D205" s="39">
        <f>資料儲存!F4241</f>
        <v>0</v>
      </c>
      <c r="E205" s="39">
        <f>資料儲存!G4241</f>
        <v>0</v>
      </c>
      <c r="F205" s="39">
        <f>資料儲存!H4241</f>
        <v>0</v>
      </c>
      <c r="G205" s="39">
        <f>資料儲存!I4241</f>
        <v>0</v>
      </c>
      <c r="H205" s="39">
        <f>資料儲存!J4241</f>
        <v>0</v>
      </c>
      <c r="I205" s="58"/>
      <c r="J205" s="61">
        <v>40</v>
      </c>
      <c r="K205" s="39">
        <f>資料儲存!D4481</f>
        <v>0</v>
      </c>
      <c r="L205" s="39">
        <f>資料儲存!E4481</f>
        <v>0</v>
      </c>
      <c r="M205" s="39">
        <f>資料儲存!F4481</f>
        <v>0</v>
      </c>
      <c r="N205" s="39">
        <f>資料儲存!G4481</f>
        <v>0</v>
      </c>
      <c r="O205" s="39">
        <f>資料儲存!H4481</f>
        <v>0</v>
      </c>
      <c r="P205" s="39">
        <f>資料儲存!I4481</f>
        <v>0</v>
      </c>
      <c r="Q205" s="39">
        <f>資料儲存!J4481</f>
        <v>0</v>
      </c>
      <c r="R205" s="58"/>
      <c r="S205" s="61">
        <v>40</v>
      </c>
      <c r="T205" s="39">
        <f>資料儲存!D4721</f>
        <v>0</v>
      </c>
      <c r="U205" s="39">
        <f>資料儲存!E4721</f>
        <v>0</v>
      </c>
      <c r="V205" s="39">
        <f>資料儲存!F4721</f>
        <v>0</v>
      </c>
      <c r="W205" s="39">
        <f>資料儲存!G4721</f>
        <v>0</v>
      </c>
      <c r="X205" s="39">
        <f>資料儲存!H4721</f>
        <v>0</v>
      </c>
      <c r="Y205" s="39">
        <f>資料儲存!I4721</f>
        <v>0</v>
      </c>
      <c r="Z205" s="39">
        <f>資料儲存!J4721</f>
        <v>0</v>
      </c>
      <c r="AA205" s="58"/>
      <c r="AB205" s="61">
        <v>40</v>
      </c>
      <c r="AC205" s="39">
        <f>資料儲存!D4961</f>
        <v>0</v>
      </c>
      <c r="AD205" s="39">
        <f>資料儲存!E4961</f>
        <v>0</v>
      </c>
      <c r="AE205" s="39">
        <f>資料儲存!F4961</f>
        <v>0</v>
      </c>
      <c r="AF205" s="39">
        <f>資料儲存!G4961</f>
        <v>0</v>
      </c>
      <c r="AG205" s="39">
        <f>資料儲存!H4961</f>
        <v>0</v>
      </c>
      <c r="AH205" s="39">
        <f>資料儲存!I4961</f>
        <v>0</v>
      </c>
      <c r="AI205" s="39">
        <f>資料儲存!J4961</f>
        <v>0</v>
      </c>
      <c r="AJ205" s="58"/>
    </row>
    <row r="206" spans="1:36" ht="16" thickBot="1">
      <c r="A206" s="61">
        <v>41</v>
      </c>
      <c r="B206" s="39">
        <f>資料儲存!D4242</f>
        <v>0</v>
      </c>
      <c r="C206" s="39">
        <f>資料儲存!E4242</f>
        <v>0</v>
      </c>
      <c r="D206" s="39">
        <f>資料儲存!F4242</f>
        <v>0</v>
      </c>
      <c r="E206" s="39">
        <f>資料儲存!G4242</f>
        <v>0</v>
      </c>
      <c r="F206" s="39">
        <f>資料儲存!H4242</f>
        <v>0</v>
      </c>
      <c r="G206" s="39">
        <f>資料儲存!I4242</f>
        <v>0</v>
      </c>
      <c r="H206" s="39">
        <f>資料儲存!J4242</f>
        <v>0</v>
      </c>
      <c r="I206" s="58"/>
      <c r="J206" s="61">
        <v>41</v>
      </c>
      <c r="K206" s="39">
        <f>資料儲存!D4482</f>
        <v>0</v>
      </c>
      <c r="L206" s="39">
        <f>資料儲存!E4482</f>
        <v>0</v>
      </c>
      <c r="M206" s="39">
        <f>資料儲存!F4482</f>
        <v>0</v>
      </c>
      <c r="N206" s="39">
        <f>資料儲存!G4482</f>
        <v>0</v>
      </c>
      <c r="O206" s="39">
        <f>資料儲存!H4482</f>
        <v>0</v>
      </c>
      <c r="P206" s="39">
        <f>資料儲存!I4482</f>
        <v>0</v>
      </c>
      <c r="Q206" s="39">
        <f>資料儲存!J4482</f>
        <v>0</v>
      </c>
      <c r="R206" s="58"/>
      <c r="S206" s="61">
        <v>41</v>
      </c>
      <c r="T206" s="39">
        <f>資料儲存!D4722</f>
        <v>0</v>
      </c>
      <c r="U206" s="39">
        <f>資料儲存!E4722</f>
        <v>0</v>
      </c>
      <c r="V206" s="39">
        <f>資料儲存!F4722</f>
        <v>0</v>
      </c>
      <c r="W206" s="39">
        <f>資料儲存!G4722</f>
        <v>0</v>
      </c>
      <c r="X206" s="39">
        <f>資料儲存!H4722</f>
        <v>0</v>
      </c>
      <c r="Y206" s="39">
        <f>資料儲存!I4722</f>
        <v>0</v>
      </c>
      <c r="Z206" s="39">
        <f>資料儲存!J4722</f>
        <v>0</v>
      </c>
      <c r="AA206" s="58"/>
      <c r="AB206" s="61">
        <v>41</v>
      </c>
      <c r="AC206" s="39">
        <f>資料儲存!D4962</f>
        <v>0</v>
      </c>
      <c r="AD206" s="39">
        <f>資料儲存!E4962</f>
        <v>0</v>
      </c>
      <c r="AE206" s="39">
        <f>資料儲存!F4962</f>
        <v>0</v>
      </c>
      <c r="AF206" s="39">
        <f>資料儲存!G4962</f>
        <v>0</v>
      </c>
      <c r="AG206" s="39">
        <f>資料儲存!H4962</f>
        <v>0</v>
      </c>
      <c r="AH206" s="39">
        <f>資料儲存!I4962</f>
        <v>0</v>
      </c>
      <c r="AI206" s="39">
        <f>資料儲存!J4962</f>
        <v>0</v>
      </c>
      <c r="AJ206" s="58"/>
    </row>
    <row r="207" spans="1:36" ht="16" thickBot="1">
      <c r="A207" s="61">
        <v>42</v>
      </c>
      <c r="B207" s="39">
        <f>資料儲存!D4243</f>
        <v>0</v>
      </c>
      <c r="C207" s="39">
        <f>資料儲存!E4243</f>
        <v>0</v>
      </c>
      <c r="D207" s="39">
        <f>資料儲存!F4243</f>
        <v>0</v>
      </c>
      <c r="E207" s="39">
        <f>資料儲存!G4243</f>
        <v>0</v>
      </c>
      <c r="F207" s="39">
        <f>資料儲存!H4243</f>
        <v>0</v>
      </c>
      <c r="G207" s="39">
        <f>資料儲存!I4243</f>
        <v>0</v>
      </c>
      <c r="H207" s="39">
        <f>資料儲存!J4243</f>
        <v>0</v>
      </c>
      <c r="I207" s="58"/>
      <c r="J207" s="61">
        <v>42</v>
      </c>
      <c r="K207" s="39">
        <f>資料儲存!D4483</f>
        <v>0</v>
      </c>
      <c r="L207" s="39">
        <f>資料儲存!E4483</f>
        <v>0</v>
      </c>
      <c r="M207" s="39">
        <f>資料儲存!F4483</f>
        <v>0</v>
      </c>
      <c r="N207" s="39">
        <f>資料儲存!G4483</f>
        <v>0</v>
      </c>
      <c r="O207" s="39">
        <f>資料儲存!H4483</f>
        <v>0</v>
      </c>
      <c r="P207" s="39">
        <f>資料儲存!I4483</f>
        <v>0</v>
      </c>
      <c r="Q207" s="39">
        <f>資料儲存!J4483</f>
        <v>0</v>
      </c>
      <c r="R207" s="58"/>
      <c r="S207" s="61">
        <v>42</v>
      </c>
      <c r="T207" s="39">
        <f>資料儲存!D4723</f>
        <v>0</v>
      </c>
      <c r="U207" s="39">
        <f>資料儲存!E4723</f>
        <v>0</v>
      </c>
      <c r="V207" s="39">
        <f>資料儲存!F4723</f>
        <v>0</v>
      </c>
      <c r="W207" s="39">
        <f>資料儲存!G4723</f>
        <v>0</v>
      </c>
      <c r="X207" s="39">
        <f>資料儲存!H4723</f>
        <v>0</v>
      </c>
      <c r="Y207" s="39">
        <f>資料儲存!I4723</f>
        <v>0</v>
      </c>
      <c r="Z207" s="39">
        <f>資料儲存!J4723</f>
        <v>0</v>
      </c>
      <c r="AA207" s="58"/>
      <c r="AB207" s="61">
        <v>42</v>
      </c>
      <c r="AC207" s="39">
        <f>資料儲存!D4963</f>
        <v>0</v>
      </c>
      <c r="AD207" s="39">
        <f>資料儲存!E4963</f>
        <v>0</v>
      </c>
      <c r="AE207" s="39">
        <f>資料儲存!F4963</f>
        <v>0</v>
      </c>
      <c r="AF207" s="39">
        <f>資料儲存!G4963</f>
        <v>0</v>
      </c>
      <c r="AG207" s="39">
        <f>資料儲存!H4963</f>
        <v>0</v>
      </c>
      <c r="AH207" s="39">
        <f>資料儲存!I4963</f>
        <v>0</v>
      </c>
      <c r="AI207" s="39">
        <f>資料儲存!J4963</f>
        <v>0</v>
      </c>
      <c r="AJ207" s="58"/>
    </row>
    <row r="208" spans="1:36" ht="16" thickBot="1">
      <c r="A208" s="61">
        <v>43</v>
      </c>
      <c r="B208" s="39">
        <f>資料儲存!D4244</f>
        <v>0</v>
      </c>
      <c r="C208" s="39">
        <f>資料儲存!E4244</f>
        <v>0</v>
      </c>
      <c r="D208" s="39">
        <f>資料儲存!F4244</f>
        <v>0</v>
      </c>
      <c r="E208" s="39">
        <f>資料儲存!G4244</f>
        <v>0</v>
      </c>
      <c r="F208" s="39">
        <f>資料儲存!H4244</f>
        <v>0</v>
      </c>
      <c r="G208" s="39">
        <f>資料儲存!I4244</f>
        <v>0</v>
      </c>
      <c r="H208" s="39">
        <f>資料儲存!J4244</f>
        <v>0</v>
      </c>
      <c r="I208" s="58"/>
      <c r="J208" s="61">
        <v>43</v>
      </c>
      <c r="K208" s="39">
        <f>資料儲存!D4484</f>
        <v>0</v>
      </c>
      <c r="L208" s="39">
        <f>資料儲存!E4484</f>
        <v>0</v>
      </c>
      <c r="M208" s="39">
        <f>資料儲存!F4484</f>
        <v>0</v>
      </c>
      <c r="N208" s="39">
        <f>資料儲存!G4484</f>
        <v>0</v>
      </c>
      <c r="O208" s="39">
        <f>資料儲存!H4484</f>
        <v>0</v>
      </c>
      <c r="P208" s="39">
        <f>資料儲存!I4484</f>
        <v>0</v>
      </c>
      <c r="Q208" s="39">
        <f>資料儲存!J4484</f>
        <v>0</v>
      </c>
      <c r="R208" s="58"/>
      <c r="S208" s="61">
        <v>43</v>
      </c>
      <c r="T208" s="39">
        <f>資料儲存!D4724</f>
        <v>0</v>
      </c>
      <c r="U208" s="39">
        <f>資料儲存!E4724</f>
        <v>0</v>
      </c>
      <c r="V208" s="39">
        <f>資料儲存!F4724</f>
        <v>0</v>
      </c>
      <c r="W208" s="39">
        <f>資料儲存!G4724</f>
        <v>0</v>
      </c>
      <c r="X208" s="39">
        <f>資料儲存!H4724</f>
        <v>0</v>
      </c>
      <c r="Y208" s="39">
        <f>資料儲存!I4724</f>
        <v>0</v>
      </c>
      <c r="Z208" s="39">
        <f>資料儲存!J4724</f>
        <v>0</v>
      </c>
      <c r="AA208" s="58"/>
      <c r="AB208" s="61">
        <v>43</v>
      </c>
      <c r="AC208" s="39">
        <f>資料儲存!D4964</f>
        <v>0</v>
      </c>
      <c r="AD208" s="39">
        <f>資料儲存!E4964</f>
        <v>0</v>
      </c>
      <c r="AE208" s="39">
        <f>資料儲存!F4964</f>
        <v>0</v>
      </c>
      <c r="AF208" s="39">
        <f>資料儲存!G4964</f>
        <v>0</v>
      </c>
      <c r="AG208" s="39">
        <f>資料儲存!H4964</f>
        <v>0</v>
      </c>
      <c r="AH208" s="39">
        <f>資料儲存!I4964</f>
        <v>0</v>
      </c>
      <c r="AI208" s="39">
        <f>資料儲存!J4964</f>
        <v>0</v>
      </c>
      <c r="AJ208" s="58"/>
    </row>
    <row r="209" spans="1:36" ht="16" thickBot="1">
      <c r="A209" s="61">
        <v>44</v>
      </c>
      <c r="B209" s="39">
        <f>資料儲存!D4245</f>
        <v>0</v>
      </c>
      <c r="C209" s="39">
        <f>資料儲存!E4245</f>
        <v>0</v>
      </c>
      <c r="D209" s="39">
        <f>資料儲存!F4245</f>
        <v>0</v>
      </c>
      <c r="E209" s="39">
        <f>資料儲存!G4245</f>
        <v>0</v>
      </c>
      <c r="F209" s="39">
        <f>資料儲存!H4245</f>
        <v>0</v>
      </c>
      <c r="G209" s="39">
        <f>資料儲存!I4245</f>
        <v>0</v>
      </c>
      <c r="H209" s="39">
        <f>資料儲存!J4245</f>
        <v>0</v>
      </c>
      <c r="I209" s="58"/>
      <c r="J209" s="61">
        <v>44</v>
      </c>
      <c r="K209" s="39">
        <f>資料儲存!D4485</f>
        <v>0</v>
      </c>
      <c r="L209" s="39">
        <f>資料儲存!E4485</f>
        <v>0</v>
      </c>
      <c r="M209" s="39">
        <f>資料儲存!F4485</f>
        <v>0</v>
      </c>
      <c r="N209" s="39">
        <f>資料儲存!G4485</f>
        <v>0</v>
      </c>
      <c r="O209" s="39">
        <f>資料儲存!H4485</f>
        <v>0</v>
      </c>
      <c r="P209" s="39">
        <f>資料儲存!I4485</f>
        <v>0</v>
      </c>
      <c r="Q209" s="39">
        <f>資料儲存!J4485</f>
        <v>0</v>
      </c>
      <c r="R209" s="58"/>
      <c r="S209" s="61">
        <v>44</v>
      </c>
      <c r="T209" s="39">
        <f>資料儲存!D4725</f>
        <v>0</v>
      </c>
      <c r="U209" s="39">
        <f>資料儲存!E4725</f>
        <v>0</v>
      </c>
      <c r="V209" s="39">
        <f>資料儲存!F4725</f>
        <v>0</v>
      </c>
      <c r="W209" s="39">
        <f>資料儲存!G4725</f>
        <v>0</v>
      </c>
      <c r="X209" s="39">
        <f>資料儲存!H4725</f>
        <v>0</v>
      </c>
      <c r="Y209" s="39">
        <f>資料儲存!I4725</f>
        <v>0</v>
      </c>
      <c r="Z209" s="39">
        <f>資料儲存!J4725</f>
        <v>0</v>
      </c>
      <c r="AA209" s="58"/>
      <c r="AB209" s="61">
        <v>44</v>
      </c>
      <c r="AC209" s="39">
        <f>資料儲存!D4965</f>
        <v>0</v>
      </c>
      <c r="AD209" s="39">
        <f>資料儲存!E4965</f>
        <v>0</v>
      </c>
      <c r="AE209" s="39">
        <f>資料儲存!F4965</f>
        <v>0</v>
      </c>
      <c r="AF209" s="39">
        <f>資料儲存!G4965</f>
        <v>0</v>
      </c>
      <c r="AG209" s="39">
        <f>資料儲存!H4965</f>
        <v>0</v>
      </c>
      <c r="AH209" s="39">
        <f>資料儲存!I4965</f>
        <v>0</v>
      </c>
      <c r="AI209" s="39">
        <f>資料儲存!J4965</f>
        <v>0</v>
      </c>
      <c r="AJ209" s="58"/>
    </row>
    <row r="210" spans="1:36" ht="16" thickBot="1">
      <c r="A210" s="61">
        <v>45</v>
      </c>
      <c r="B210" s="39">
        <f>資料儲存!D4246</f>
        <v>0</v>
      </c>
      <c r="C210" s="39">
        <f>資料儲存!E4246</f>
        <v>0</v>
      </c>
      <c r="D210" s="39">
        <f>資料儲存!F4246</f>
        <v>0</v>
      </c>
      <c r="E210" s="39">
        <f>資料儲存!G4246</f>
        <v>0</v>
      </c>
      <c r="F210" s="39">
        <f>資料儲存!H4246</f>
        <v>0</v>
      </c>
      <c r="G210" s="39">
        <f>資料儲存!I4246</f>
        <v>0</v>
      </c>
      <c r="H210" s="39">
        <f>資料儲存!J4246</f>
        <v>0</v>
      </c>
      <c r="I210" s="58"/>
      <c r="J210" s="61">
        <v>45</v>
      </c>
      <c r="K210" s="39">
        <f>資料儲存!D4486</f>
        <v>0</v>
      </c>
      <c r="L210" s="39">
        <f>資料儲存!E4486</f>
        <v>0</v>
      </c>
      <c r="M210" s="39">
        <f>資料儲存!F4486</f>
        <v>0</v>
      </c>
      <c r="N210" s="39">
        <f>資料儲存!G4486</f>
        <v>0</v>
      </c>
      <c r="O210" s="39">
        <f>資料儲存!H4486</f>
        <v>0</v>
      </c>
      <c r="P210" s="39">
        <f>資料儲存!I4486</f>
        <v>0</v>
      </c>
      <c r="Q210" s="39">
        <f>資料儲存!J4486</f>
        <v>0</v>
      </c>
      <c r="R210" s="58"/>
      <c r="S210" s="61">
        <v>45</v>
      </c>
      <c r="T210" s="39">
        <f>資料儲存!D4726</f>
        <v>0</v>
      </c>
      <c r="U210" s="39">
        <f>資料儲存!E4726</f>
        <v>0</v>
      </c>
      <c r="V210" s="39">
        <f>資料儲存!F4726</f>
        <v>0</v>
      </c>
      <c r="W210" s="39">
        <f>資料儲存!G4726</f>
        <v>0</v>
      </c>
      <c r="X210" s="39">
        <f>資料儲存!H4726</f>
        <v>0</v>
      </c>
      <c r="Y210" s="39">
        <f>資料儲存!I4726</f>
        <v>0</v>
      </c>
      <c r="Z210" s="39">
        <f>資料儲存!J4726</f>
        <v>0</v>
      </c>
      <c r="AA210" s="58"/>
      <c r="AB210" s="61">
        <v>45</v>
      </c>
      <c r="AC210" s="39">
        <f>資料儲存!D4966</f>
        <v>0</v>
      </c>
      <c r="AD210" s="39">
        <f>資料儲存!E4966</f>
        <v>0</v>
      </c>
      <c r="AE210" s="39">
        <f>資料儲存!F4966</f>
        <v>0</v>
      </c>
      <c r="AF210" s="39">
        <f>資料儲存!G4966</f>
        <v>0</v>
      </c>
      <c r="AG210" s="39">
        <f>資料儲存!H4966</f>
        <v>0</v>
      </c>
      <c r="AH210" s="39">
        <f>資料儲存!I4966</f>
        <v>0</v>
      </c>
      <c r="AI210" s="39">
        <f>資料儲存!J4966</f>
        <v>0</v>
      </c>
      <c r="AJ210" s="58"/>
    </row>
    <row r="211" spans="1:36" ht="17.25" customHeight="1" thickBot="1">
      <c r="A211" s="40" t="s">
        <v>56</v>
      </c>
      <c r="B211" s="39">
        <f>SUM(B196:E210)</f>
        <v>0</v>
      </c>
      <c r="C211" s="37"/>
      <c r="D211" s="37"/>
      <c r="E211" s="37"/>
      <c r="F211" s="39">
        <f>F210</f>
        <v>0</v>
      </c>
      <c r="G211" s="39">
        <f>G210</f>
        <v>0</v>
      </c>
      <c r="H211" s="39">
        <f>H210</f>
        <v>0</v>
      </c>
      <c r="I211" s="35"/>
      <c r="J211" s="40" t="s">
        <v>56</v>
      </c>
      <c r="K211" s="39">
        <f>SUM(K196:N210)</f>
        <v>0</v>
      </c>
      <c r="L211" s="37"/>
      <c r="M211" s="37"/>
      <c r="N211" s="37"/>
      <c r="O211" s="39">
        <f>O210</f>
        <v>0</v>
      </c>
      <c r="P211" s="39">
        <f>P210</f>
        <v>0</v>
      </c>
      <c r="Q211" s="39">
        <f>Q210</f>
        <v>0</v>
      </c>
      <c r="R211" s="35"/>
      <c r="S211" s="40" t="s">
        <v>56</v>
      </c>
      <c r="T211" s="39">
        <f>SUM(T196:W210)</f>
        <v>0</v>
      </c>
      <c r="U211" s="37"/>
      <c r="V211" s="37"/>
      <c r="W211" s="37"/>
      <c r="X211" s="39">
        <f>X210</f>
        <v>0</v>
      </c>
      <c r="Y211" s="39">
        <f>Y210</f>
        <v>0</v>
      </c>
      <c r="Z211" s="39">
        <f>Z210</f>
        <v>0</v>
      </c>
      <c r="AA211" s="35"/>
      <c r="AB211" s="40" t="s">
        <v>56</v>
      </c>
      <c r="AC211" s="39">
        <f>SUM(AC196:AF210)</f>
        <v>0</v>
      </c>
      <c r="AD211" s="37"/>
      <c r="AE211" s="37"/>
      <c r="AF211" s="37"/>
      <c r="AG211" s="39">
        <f>AG210</f>
        <v>0</v>
      </c>
      <c r="AH211" s="39">
        <f>AH210</f>
        <v>0</v>
      </c>
      <c r="AI211" s="39">
        <f>AI210</f>
        <v>0</v>
      </c>
      <c r="AJ211" s="35"/>
    </row>
    <row r="212" spans="1:36" ht="18.5" thickBot="1">
      <c r="A212" s="259" t="s">
        <v>180</v>
      </c>
      <c r="B212" s="260"/>
      <c r="C212" s="260"/>
      <c r="D212" s="260"/>
      <c r="E212" s="260"/>
      <c r="F212" s="260"/>
      <c r="G212" s="260"/>
      <c r="H212" s="261"/>
      <c r="I212" s="14"/>
      <c r="J212" s="259" t="s">
        <v>180</v>
      </c>
      <c r="K212" s="260"/>
      <c r="L212" s="260"/>
      <c r="M212" s="260"/>
      <c r="N212" s="260"/>
      <c r="O212" s="260"/>
      <c r="P212" s="260"/>
      <c r="Q212" s="261"/>
      <c r="R212" s="14"/>
      <c r="S212" s="259" t="s">
        <v>180</v>
      </c>
      <c r="T212" s="260"/>
      <c r="U212" s="260"/>
      <c r="V212" s="260"/>
      <c r="W212" s="260"/>
      <c r="X212" s="260"/>
      <c r="Y212" s="260"/>
      <c r="Z212" s="261"/>
      <c r="AA212" s="14"/>
      <c r="AB212" s="259" t="s">
        <v>180</v>
      </c>
      <c r="AC212" s="260"/>
      <c r="AD212" s="260"/>
      <c r="AE212" s="260"/>
      <c r="AF212" s="260"/>
      <c r="AG212" s="260"/>
      <c r="AH212" s="260"/>
      <c r="AI212" s="261"/>
      <c r="AJ212" s="14"/>
    </row>
    <row r="213" spans="1:36" ht="17.25" customHeight="1" thickBot="1">
      <c r="A213" s="62" t="s">
        <v>2</v>
      </c>
      <c r="B213" s="63" t="s">
        <v>46</v>
      </c>
      <c r="C213" s="64"/>
      <c r="D213" s="64"/>
      <c r="E213" s="65"/>
      <c r="F213" s="63" t="s">
        <v>47</v>
      </c>
      <c r="G213" s="64"/>
      <c r="H213" s="65"/>
      <c r="I213" s="52"/>
      <c r="J213" s="62" t="s">
        <v>2</v>
      </c>
      <c r="K213" s="63" t="s">
        <v>46</v>
      </c>
      <c r="L213" s="64"/>
      <c r="M213" s="64"/>
      <c r="N213" s="65"/>
      <c r="O213" s="63" t="s">
        <v>47</v>
      </c>
      <c r="P213" s="64"/>
      <c r="Q213" s="65"/>
      <c r="R213" s="52"/>
      <c r="S213" s="62" t="s">
        <v>2</v>
      </c>
      <c r="T213" s="63" t="s">
        <v>46</v>
      </c>
      <c r="U213" s="64"/>
      <c r="V213" s="64"/>
      <c r="W213" s="65"/>
      <c r="X213" s="63" t="s">
        <v>47</v>
      </c>
      <c r="Y213" s="64"/>
      <c r="Z213" s="65"/>
      <c r="AA213" s="52"/>
      <c r="AB213" s="62" t="s">
        <v>2</v>
      </c>
      <c r="AC213" s="63" t="s">
        <v>46</v>
      </c>
      <c r="AD213" s="64"/>
      <c r="AE213" s="64"/>
      <c r="AF213" s="65"/>
      <c r="AG213" s="63" t="s">
        <v>47</v>
      </c>
      <c r="AH213" s="64"/>
      <c r="AI213" s="65"/>
      <c r="AJ213" s="52"/>
    </row>
    <row r="214" spans="1:36" ht="16" thickBot="1">
      <c r="A214" s="66">
        <v>0.78125</v>
      </c>
      <c r="B214" s="67" t="s">
        <v>49</v>
      </c>
      <c r="C214" s="67" t="s">
        <v>50</v>
      </c>
      <c r="D214" s="67" t="s">
        <v>51</v>
      </c>
      <c r="E214" s="67" t="s">
        <v>52</v>
      </c>
      <c r="F214" s="67" t="s">
        <v>53</v>
      </c>
      <c r="G214" s="67" t="s">
        <v>54</v>
      </c>
      <c r="H214" s="67" t="s">
        <v>55</v>
      </c>
      <c r="I214" s="52"/>
      <c r="J214" s="66">
        <v>0.78125</v>
      </c>
      <c r="K214" s="67" t="s">
        <v>49</v>
      </c>
      <c r="L214" s="67" t="s">
        <v>50</v>
      </c>
      <c r="M214" s="67" t="s">
        <v>51</v>
      </c>
      <c r="N214" s="67" t="s">
        <v>52</v>
      </c>
      <c r="O214" s="67" t="s">
        <v>53</v>
      </c>
      <c r="P214" s="67" t="s">
        <v>54</v>
      </c>
      <c r="Q214" s="67" t="s">
        <v>55</v>
      </c>
      <c r="R214" s="52"/>
      <c r="S214" s="66">
        <v>0.78125</v>
      </c>
      <c r="T214" s="67" t="s">
        <v>49</v>
      </c>
      <c r="U214" s="67" t="s">
        <v>50</v>
      </c>
      <c r="V214" s="67" t="s">
        <v>51</v>
      </c>
      <c r="W214" s="67" t="s">
        <v>52</v>
      </c>
      <c r="X214" s="67" t="s">
        <v>53</v>
      </c>
      <c r="Y214" s="67" t="s">
        <v>54</v>
      </c>
      <c r="Z214" s="67" t="s">
        <v>55</v>
      </c>
      <c r="AA214" s="52"/>
      <c r="AB214" s="66">
        <v>0.78125</v>
      </c>
      <c r="AC214" s="67" t="s">
        <v>49</v>
      </c>
      <c r="AD214" s="67" t="s">
        <v>50</v>
      </c>
      <c r="AE214" s="67" t="s">
        <v>51</v>
      </c>
      <c r="AF214" s="67" t="s">
        <v>52</v>
      </c>
      <c r="AG214" s="67" t="s">
        <v>53</v>
      </c>
      <c r="AH214" s="67" t="s">
        <v>54</v>
      </c>
      <c r="AI214" s="67" t="s">
        <v>55</v>
      </c>
      <c r="AJ214" s="52"/>
    </row>
    <row r="215" spans="1:36" ht="16" thickBot="1">
      <c r="A215" s="68">
        <v>46</v>
      </c>
      <c r="B215" s="49">
        <f>資料儲存!D4247</f>
        <v>0</v>
      </c>
      <c r="C215" s="49">
        <f>資料儲存!E4247</f>
        <v>0</v>
      </c>
      <c r="D215" s="49">
        <f>資料儲存!F4247</f>
        <v>0</v>
      </c>
      <c r="E215" s="49">
        <f>資料儲存!G4247</f>
        <v>0</v>
      </c>
      <c r="F215" s="49">
        <f>資料儲存!H4247</f>
        <v>0</v>
      </c>
      <c r="G215" s="49">
        <f>資料儲存!I4247</f>
        <v>0</v>
      </c>
      <c r="H215" s="49">
        <f>資料儲存!J4247</f>
        <v>0</v>
      </c>
      <c r="I215" s="52"/>
      <c r="J215" s="68">
        <v>46</v>
      </c>
      <c r="K215" s="49">
        <f>資料儲存!D4487</f>
        <v>0</v>
      </c>
      <c r="L215" s="49">
        <f>資料儲存!E4487</f>
        <v>0</v>
      </c>
      <c r="M215" s="49">
        <f>資料儲存!F4487</f>
        <v>0</v>
      </c>
      <c r="N215" s="49">
        <f>資料儲存!G4487</f>
        <v>0</v>
      </c>
      <c r="O215" s="49">
        <f>資料儲存!H4487</f>
        <v>0</v>
      </c>
      <c r="P215" s="49">
        <f>資料儲存!I4487</f>
        <v>0</v>
      </c>
      <c r="Q215" s="49">
        <f>資料儲存!J4487</f>
        <v>0</v>
      </c>
      <c r="R215" s="52"/>
      <c r="S215" s="68">
        <v>46</v>
      </c>
      <c r="T215" s="49">
        <f>資料儲存!D4727</f>
        <v>0</v>
      </c>
      <c r="U215" s="49">
        <f>資料儲存!E4727</f>
        <v>0</v>
      </c>
      <c r="V215" s="49">
        <f>資料儲存!F4727</f>
        <v>0</v>
      </c>
      <c r="W215" s="49">
        <f>資料儲存!G4727</f>
        <v>0</v>
      </c>
      <c r="X215" s="49">
        <f>資料儲存!H4727</f>
        <v>0</v>
      </c>
      <c r="Y215" s="49">
        <f>資料儲存!I4727</f>
        <v>0</v>
      </c>
      <c r="Z215" s="49">
        <f>資料儲存!J4727</f>
        <v>0</v>
      </c>
      <c r="AA215" s="52"/>
      <c r="AB215" s="68">
        <v>46</v>
      </c>
      <c r="AC215" s="49">
        <f>資料儲存!D4967</f>
        <v>0</v>
      </c>
      <c r="AD215" s="49">
        <f>資料儲存!E4967</f>
        <v>0</v>
      </c>
      <c r="AE215" s="49">
        <f>資料儲存!F4967</f>
        <v>0</v>
      </c>
      <c r="AF215" s="49">
        <f>資料儲存!G4967</f>
        <v>0</v>
      </c>
      <c r="AG215" s="49">
        <f>資料儲存!H4967</f>
        <v>0</v>
      </c>
      <c r="AH215" s="49">
        <f>資料儲存!I4967</f>
        <v>0</v>
      </c>
      <c r="AI215" s="49">
        <f>資料儲存!J4967</f>
        <v>0</v>
      </c>
      <c r="AJ215" s="52"/>
    </row>
    <row r="216" spans="1:36" ht="16" thickBot="1">
      <c r="A216" s="68">
        <v>47</v>
      </c>
      <c r="B216" s="49">
        <f>資料儲存!D4248</f>
        <v>0</v>
      </c>
      <c r="C216" s="49">
        <f>資料儲存!E4248</f>
        <v>0</v>
      </c>
      <c r="D216" s="49">
        <f>資料儲存!F4248</f>
        <v>0</v>
      </c>
      <c r="E216" s="49">
        <f>資料儲存!G4248</f>
        <v>0</v>
      </c>
      <c r="F216" s="49">
        <f>資料儲存!H4248</f>
        <v>0</v>
      </c>
      <c r="G216" s="49">
        <f>資料儲存!I4248</f>
        <v>0</v>
      </c>
      <c r="H216" s="49">
        <f>資料儲存!J4248</f>
        <v>0</v>
      </c>
      <c r="I216" s="52"/>
      <c r="J216" s="68">
        <v>47</v>
      </c>
      <c r="K216" s="49">
        <f>資料儲存!D4488</f>
        <v>0</v>
      </c>
      <c r="L216" s="49">
        <f>資料儲存!E4488</f>
        <v>0</v>
      </c>
      <c r="M216" s="49">
        <f>資料儲存!F4488</f>
        <v>0</v>
      </c>
      <c r="N216" s="49">
        <f>資料儲存!G4488</f>
        <v>0</v>
      </c>
      <c r="O216" s="49">
        <f>資料儲存!H4488</f>
        <v>0</v>
      </c>
      <c r="P216" s="49">
        <f>資料儲存!I4488</f>
        <v>0</v>
      </c>
      <c r="Q216" s="49">
        <f>資料儲存!J4488</f>
        <v>0</v>
      </c>
      <c r="R216" s="52"/>
      <c r="S216" s="68">
        <v>47</v>
      </c>
      <c r="T216" s="49">
        <f>資料儲存!D4728</f>
        <v>0</v>
      </c>
      <c r="U216" s="49">
        <f>資料儲存!E4728</f>
        <v>0</v>
      </c>
      <c r="V216" s="49">
        <f>資料儲存!F4728</f>
        <v>0</v>
      </c>
      <c r="W216" s="49">
        <f>資料儲存!G4728</f>
        <v>0</v>
      </c>
      <c r="X216" s="49">
        <f>資料儲存!H4728</f>
        <v>0</v>
      </c>
      <c r="Y216" s="49">
        <f>資料儲存!I4728</f>
        <v>0</v>
      </c>
      <c r="Z216" s="49">
        <f>資料儲存!J4728</f>
        <v>0</v>
      </c>
      <c r="AA216" s="52"/>
      <c r="AB216" s="68">
        <v>47</v>
      </c>
      <c r="AC216" s="49">
        <f>資料儲存!D4968</f>
        <v>0</v>
      </c>
      <c r="AD216" s="49">
        <f>資料儲存!E4968</f>
        <v>0</v>
      </c>
      <c r="AE216" s="49">
        <f>資料儲存!F4968</f>
        <v>0</v>
      </c>
      <c r="AF216" s="49">
        <f>資料儲存!G4968</f>
        <v>0</v>
      </c>
      <c r="AG216" s="49">
        <f>資料儲存!H4968</f>
        <v>0</v>
      </c>
      <c r="AH216" s="49">
        <f>資料儲存!I4968</f>
        <v>0</v>
      </c>
      <c r="AI216" s="49">
        <f>資料儲存!J4968</f>
        <v>0</v>
      </c>
      <c r="AJ216" s="52"/>
    </row>
    <row r="217" spans="1:36" ht="16" thickBot="1">
      <c r="A217" s="68">
        <v>48</v>
      </c>
      <c r="B217" s="49">
        <f>資料儲存!D4249</f>
        <v>0</v>
      </c>
      <c r="C217" s="49">
        <f>資料儲存!E4249</f>
        <v>0</v>
      </c>
      <c r="D217" s="49">
        <f>資料儲存!F4249</f>
        <v>0</v>
      </c>
      <c r="E217" s="49">
        <f>資料儲存!G4249</f>
        <v>0</v>
      </c>
      <c r="F217" s="49">
        <f>資料儲存!H4249</f>
        <v>0</v>
      </c>
      <c r="G217" s="49">
        <f>資料儲存!I4249</f>
        <v>0</v>
      </c>
      <c r="H217" s="49">
        <f>資料儲存!J4249</f>
        <v>0</v>
      </c>
      <c r="I217" s="52"/>
      <c r="J217" s="68">
        <v>48</v>
      </c>
      <c r="K217" s="49">
        <f>資料儲存!D4489</f>
        <v>0</v>
      </c>
      <c r="L217" s="49">
        <f>資料儲存!E4489</f>
        <v>0</v>
      </c>
      <c r="M217" s="49">
        <f>資料儲存!F4489</f>
        <v>0</v>
      </c>
      <c r="N217" s="49">
        <f>資料儲存!G4489</f>
        <v>0</v>
      </c>
      <c r="O217" s="49">
        <f>資料儲存!H4489</f>
        <v>0</v>
      </c>
      <c r="P217" s="49">
        <f>資料儲存!I4489</f>
        <v>0</v>
      </c>
      <c r="Q217" s="49">
        <f>資料儲存!J4489</f>
        <v>0</v>
      </c>
      <c r="R217" s="52"/>
      <c r="S217" s="68">
        <v>48</v>
      </c>
      <c r="T217" s="49">
        <f>資料儲存!D4729</f>
        <v>0</v>
      </c>
      <c r="U217" s="49">
        <f>資料儲存!E4729</f>
        <v>0</v>
      </c>
      <c r="V217" s="49">
        <f>資料儲存!F4729</f>
        <v>0</v>
      </c>
      <c r="W217" s="49">
        <f>資料儲存!G4729</f>
        <v>0</v>
      </c>
      <c r="X217" s="49">
        <f>資料儲存!H4729</f>
        <v>0</v>
      </c>
      <c r="Y217" s="49">
        <f>資料儲存!I4729</f>
        <v>0</v>
      </c>
      <c r="Z217" s="49">
        <f>資料儲存!J4729</f>
        <v>0</v>
      </c>
      <c r="AA217" s="52"/>
      <c r="AB217" s="68">
        <v>48</v>
      </c>
      <c r="AC217" s="49">
        <f>資料儲存!D4969</f>
        <v>0</v>
      </c>
      <c r="AD217" s="49">
        <f>資料儲存!E4969</f>
        <v>0</v>
      </c>
      <c r="AE217" s="49">
        <f>資料儲存!F4969</f>
        <v>0</v>
      </c>
      <c r="AF217" s="49">
        <f>資料儲存!G4969</f>
        <v>0</v>
      </c>
      <c r="AG217" s="49">
        <f>資料儲存!H4969</f>
        <v>0</v>
      </c>
      <c r="AH217" s="49">
        <f>資料儲存!I4969</f>
        <v>0</v>
      </c>
      <c r="AI217" s="49">
        <f>資料儲存!J4969</f>
        <v>0</v>
      </c>
      <c r="AJ217" s="52"/>
    </row>
    <row r="218" spans="1:36" ht="16" thickBot="1">
      <c r="A218" s="68">
        <v>49</v>
      </c>
      <c r="B218" s="49">
        <f>資料儲存!D4250</f>
        <v>0</v>
      </c>
      <c r="C218" s="49">
        <f>資料儲存!E4250</f>
        <v>0</v>
      </c>
      <c r="D218" s="49">
        <f>資料儲存!F4250</f>
        <v>0</v>
      </c>
      <c r="E218" s="49">
        <f>資料儲存!G4250</f>
        <v>0</v>
      </c>
      <c r="F218" s="49">
        <f>資料儲存!H4250</f>
        <v>0</v>
      </c>
      <c r="G218" s="49">
        <f>資料儲存!I4250</f>
        <v>0</v>
      </c>
      <c r="H218" s="49">
        <f>資料儲存!J4250</f>
        <v>0</v>
      </c>
      <c r="I218" s="52"/>
      <c r="J218" s="68">
        <v>49</v>
      </c>
      <c r="K218" s="49">
        <f>資料儲存!D4490</f>
        <v>0</v>
      </c>
      <c r="L218" s="49">
        <f>資料儲存!E4490</f>
        <v>0</v>
      </c>
      <c r="M218" s="49">
        <f>資料儲存!F4490</f>
        <v>0</v>
      </c>
      <c r="N218" s="49">
        <f>資料儲存!G4490</f>
        <v>0</v>
      </c>
      <c r="O218" s="49">
        <f>資料儲存!H4490</f>
        <v>0</v>
      </c>
      <c r="P218" s="49">
        <f>資料儲存!I4490</f>
        <v>0</v>
      </c>
      <c r="Q218" s="49">
        <f>資料儲存!J4490</f>
        <v>0</v>
      </c>
      <c r="R218" s="52"/>
      <c r="S218" s="68">
        <v>49</v>
      </c>
      <c r="T218" s="49">
        <f>資料儲存!D4730</f>
        <v>0</v>
      </c>
      <c r="U218" s="49">
        <f>資料儲存!E4730</f>
        <v>0</v>
      </c>
      <c r="V218" s="49">
        <f>資料儲存!F4730</f>
        <v>0</v>
      </c>
      <c r="W218" s="49">
        <f>資料儲存!G4730</f>
        <v>0</v>
      </c>
      <c r="X218" s="49">
        <f>資料儲存!H4730</f>
        <v>0</v>
      </c>
      <c r="Y218" s="49">
        <f>資料儲存!I4730</f>
        <v>0</v>
      </c>
      <c r="Z218" s="49">
        <f>資料儲存!J4730</f>
        <v>0</v>
      </c>
      <c r="AA218" s="52"/>
      <c r="AB218" s="68">
        <v>49</v>
      </c>
      <c r="AC218" s="49">
        <f>資料儲存!D4970</f>
        <v>0</v>
      </c>
      <c r="AD218" s="49">
        <f>資料儲存!E4970</f>
        <v>0</v>
      </c>
      <c r="AE218" s="49">
        <f>資料儲存!F4970</f>
        <v>0</v>
      </c>
      <c r="AF218" s="49">
        <f>資料儲存!G4970</f>
        <v>0</v>
      </c>
      <c r="AG218" s="49">
        <f>資料儲存!H4970</f>
        <v>0</v>
      </c>
      <c r="AH218" s="49">
        <f>資料儲存!I4970</f>
        <v>0</v>
      </c>
      <c r="AI218" s="49">
        <f>資料儲存!J4970</f>
        <v>0</v>
      </c>
      <c r="AJ218" s="52"/>
    </row>
    <row r="219" spans="1:36" ht="16" thickBot="1">
      <c r="A219" s="68">
        <v>50</v>
      </c>
      <c r="B219" s="49">
        <f>資料儲存!D4251</f>
        <v>0</v>
      </c>
      <c r="C219" s="49">
        <f>資料儲存!E4251</f>
        <v>0</v>
      </c>
      <c r="D219" s="49">
        <f>資料儲存!F4251</f>
        <v>0</v>
      </c>
      <c r="E219" s="49">
        <f>資料儲存!G4251</f>
        <v>0</v>
      </c>
      <c r="F219" s="49">
        <f>資料儲存!H4251</f>
        <v>0</v>
      </c>
      <c r="G219" s="49">
        <f>資料儲存!I4251</f>
        <v>0</v>
      </c>
      <c r="H219" s="49">
        <f>資料儲存!J4251</f>
        <v>0</v>
      </c>
      <c r="I219" s="52"/>
      <c r="J219" s="68">
        <v>50</v>
      </c>
      <c r="K219" s="49">
        <f>資料儲存!D4491</f>
        <v>0</v>
      </c>
      <c r="L219" s="49">
        <f>資料儲存!E4491</f>
        <v>0</v>
      </c>
      <c r="M219" s="49">
        <f>資料儲存!F4491</f>
        <v>0</v>
      </c>
      <c r="N219" s="49">
        <f>資料儲存!G4491</f>
        <v>0</v>
      </c>
      <c r="O219" s="49">
        <f>資料儲存!H4491</f>
        <v>0</v>
      </c>
      <c r="P219" s="49">
        <f>資料儲存!I4491</f>
        <v>0</v>
      </c>
      <c r="Q219" s="49">
        <f>資料儲存!J4491</f>
        <v>0</v>
      </c>
      <c r="R219" s="52"/>
      <c r="S219" s="68">
        <v>50</v>
      </c>
      <c r="T219" s="49">
        <f>資料儲存!D4731</f>
        <v>0</v>
      </c>
      <c r="U219" s="49">
        <f>資料儲存!E4731</f>
        <v>0</v>
      </c>
      <c r="V219" s="49">
        <f>資料儲存!F4731</f>
        <v>0</v>
      </c>
      <c r="W219" s="49">
        <f>資料儲存!G4731</f>
        <v>0</v>
      </c>
      <c r="X219" s="49">
        <f>資料儲存!H4731</f>
        <v>0</v>
      </c>
      <c r="Y219" s="49">
        <f>資料儲存!I4731</f>
        <v>0</v>
      </c>
      <c r="Z219" s="49">
        <f>資料儲存!J4731</f>
        <v>0</v>
      </c>
      <c r="AA219" s="52"/>
      <c r="AB219" s="68">
        <v>50</v>
      </c>
      <c r="AC219" s="49">
        <f>資料儲存!D4971</f>
        <v>0</v>
      </c>
      <c r="AD219" s="49">
        <f>資料儲存!E4971</f>
        <v>0</v>
      </c>
      <c r="AE219" s="49">
        <f>資料儲存!F4971</f>
        <v>0</v>
      </c>
      <c r="AF219" s="49">
        <f>資料儲存!G4971</f>
        <v>0</v>
      </c>
      <c r="AG219" s="49">
        <f>資料儲存!H4971</f>
        <v>0</v>
      </c>
      <c r="AH219" s="49">
        <f>資料儲存!I4971</f>
        <v>0</v>
      </c>
      <c r="AI219" s="49">
        <f>資料儲存!J4971</f>
        <v>0</v>
      </c>
      <c r="AJ219" s="52"/>
    </row>
    <row r="220" spans="1:36" ht="16" thickBot="1">
      <c r="A220" s="68">
        <v>51</v>
      </c>
      <c r="B220" s="49">
        <f>資料儲存!D4252</f>
        <v>0</v>
      </c>
      <c r="C220" s="49">
        <f>資料儲存!E4252</f>
        <v>0</v>
      </c>
      <c r="D220" s="49">
        <f>資料儲存!F4252</f>
        <v>0</v>
      </c>
      <c r="E220" s="49">
        <f>資料儲存!G4252</f>
        <v>0</v>
      </c>
      <c r="F220" s="49">
        <f>資料儲存!H4252</f>
        <v>0</v>
      </c>
      <c r="G220" s="49">
        <f>資料儲存!I4252</f>
        <v>0</v>
      </c>
      <c r="H220" s="49">
        <f>資料儲存!J4252</f>
        <v>0</v>
      </c>
      <c r="I220" s="52"/>
      <c r="J220" s="68">
        <v>51</v>
      </c>
      <c r="K220" s="49">
        <f>資料儲存!D4492</f>
        <v>0</v>
      </c>
      <c r="L220" s="49">
        <f>資料儲存!E4492</f>
        <v>0</v>
      </c>
      <c r="M220" s="49">
        <f>資料儲存!F4492</f>
        <v>0</v>
      </c>
      <c r="N220" s="49">
        <f>資料儲存!G4492</f>
        <v>0</v>
      </c>
      <c r="O220" s="49">
        <f>資料儲存!H4492</f>
        <v>0</v>
      </c>
      <c r="P220" s="49">
        <f>資料儲存!I4492</f>
        <v>0</v>
      </c>
      <c r="Q220" s="49">
        <f>資料儲存!J4492</f>
        <v>0</v>
      </c>
      <c r="R220" s="52"/>
      <c r="S220" s="68">
        <v>51</v>
      </c>
      <c r="T220" s="49">
        <f>資料儲存!D4732</f>
        <v>0</v>
      </c>
      <c r="U220" s="49">
        <f>資料儲存!E4732</f>
        <v>0</v>
      </c>
      <c r="V220" s="49">
        <f>資料儲存!F4732</f>
        <v>0</v>
      </c>
      <c r="W220" s="49">
        <f>資料儲存!G4732</f>
        <v>0</v>
      </c>
      <c r="X220" s="49">
        <f>資料儲存!H4732</f>
        <v>0</v>
      </c>
      <c r="Y220" s="49">
        <f>資料儲存!I4732</f>
        <v>0</v>
      </c>
      <c r="Z220" s="49">
        <f>資料儲存!J4732</f>
        <v>0</v>
      </c>
      <c r="AA220" s="52"/>
      <c r="AB220" s="68">
        <v>51</v>
      </c>
      <c r="AC220" s="49">
        <f>資料儲存!D4972</f>
        <v>0</v>
      </c>
      <c r="AD220" s="49">
        <f>資料儲存!E4972</f>
        <v>0</v>
      </c>
      <c r="AE220" s="49">
        <f>資料儲存!F4972</f>
        <v>0</v>
      </c>
      <c r="AF220" s="49">
        <f>資料儲存!G4972</f>
        <v>0</v>
      </c>
      <c r="AG220" s="49">
        <f>資料儲存!H4972</f>
        <v>0</v>
      </c>
      <c r="AH220" s="49">
        <f>資料儲存!I4972</f>
        <v>0</v>
      </c>
      <c r="AI220" s="49">
        <f>資料儲存!J4972</f>
        <v>0</v>
      </c>
      <c r="AJ220" s="52"/>
    </row>
    <row r="221" spans="1:36" ht="16" thickBot="1">
      <c r="A221" s="68">
        <v>52</v>
      </c>
      <c r="B221" s="49">
        <f>資料儲存!D4253</f>
        <v>0</v>
      </c>
      <c r="C221" s="49">
        <f>資料儲存!E4253</f>
        <v>0</v>
      </c>
      <c r="D221" s="49">
        <f>資料儲存!F4253</f>
        <v>0</v>
      </c>
      <c r="E221" s="49">
        <f>資料儲存!G4253</f>
        <v>0</v>
      </c>
      <c r="F221" s="49">
        <f>資料儲存!H4253</f>
        <v>0</v>
      </c>
      <c r="G221" s="49">
        <f>資料儲存!I4253</f>
        <v>0</v>
      </c>
      <c r="H221" s="49">
        <f>資料儲存!J4253</f>
        <v>0</v>
      </c>
      <c r="I221" s="52"/>
      <c r="J221" s="68">
        <v>52</v>
      </c>
      <c r="K221" s="49">
        <f>資料儲存!D4493</f>
        <v>0</v>
      </c>
      <c r="L221" s="49">
        <f>資料儲存!E4493</f>
        <v>0</v>
      </c>
      <c r="M221" s="49">
        <f>資料儲存!F4493</f>
        <v>0</v>
      </c>
      <c r="N221" s="49">
        <f>資料儲存!G4493</f>
        <v>0</v>
      </c>
      <c r="O221" s="49">
        <f>資料儲存!H4493</f>
        <v>0</v>
      </c>
      <c r="P221" s="49">
        <f>資料儲存!I4493</f>
        <v>0</v>
      </c>
      <c r="Q221" s="49">
        <f>資料儲存!J4493</f>
        <v>0</v>
      </c>
      <c r="R221" s="52"/>
      <c r="S221" s="68">
        <v>52</v>
      </c>
      <c r="T221" s="49">
        <f>資料儲存!D4733</f>
        <v>0</v>
      </c>
      <c r="U221" s="49">
        <f>資料儲存!E4733</f>
        <v>0</v>
      </c>
      <c r="V221" s="49">
        <f>資料儲存!F4733</f>
        <v>0</v>
      </c>
      <c r="W221" s="49">
        <f>資料儲存!G4733</f>
        <v>0</v>
      </c>
      <c r="X221" s="49">
        <f>資料儲存!H4733</f>
        <v>0</v>
      </c>
      <c r="Y221" s="49">
        <f>資料儲存!I4733</f>
        <v>0</v>
      </c>
      <c r="Z221" s="49">
        <f>資料儲存!J4733</f>
        <v>0</v>
      </c>
      <c r="AA221" s="52"/>
      <c r="AB221" s="68">
        <v>52</v>
      </c>
      <c r="AC221" s="49">
        <f>資料儲存!D4973</f>
        <v>0</v>
      </c>
      <c r="AD221" s="49">
        <f>資料儲存!E4973</f>
        <v>0</v>
      </c>
      <c r="AE221" s="49">
        <f>資料儲存!F4973</f>
        <v>0</v>
      </c>
      <c r="AF221" s="49">
        <f>資料儲存!G4973</f>
        <v>0</v>
      </c>
      <c r="AG221" s="49">
        <f>資料儲存!H4973</f>
        <v>0</v>
      </c>
      <c r="AH221" s="49">
        <f>資料儲存!I4973</f>
        <v>0</v>
      </c>
      <c r="AI221" s="49">
        <f>資料儲存!J4973</f>
        <v>0</v>
      </c>
      <c r="AJ221" s="52"/>
    </row>
    <row r="222" spans="1:36" ht="16" thickBot="1">
      <c r="A222" s="68">
        <v>53</v>
      </c>
      <c r="B222" s="49">
        <f>資料儲存!D4254</f>
        <v>0</v>
      </c>
      <c r="C222" s="49">
        <f>資料儲存!E4254</f>
        <v>0</v>
      </c>
      <c r="D222" s="49">
        <f>資料儲存!F4254</f>
        <v>0</v>
      </c>
      <c r="E222" s="49">
        <f>資料儲存!G4254</f>
        <v>0</v>
      </c>
      <c r="F222" s="49">
        <f>資料儲存!H4254</f>
        <v>0</v>
      </c>
      <c r="G222" s="49">
        <f>資料儲存!I4254</f>
        <v>0</v>
      </c>
      <c r="H222" s="49">
        <f>資料儲存!J4254</f>
        <v>0</v>
      </c>
      <c r="I222" s="52"/>
      <c r="J222" s="68">
        <v>53</v>
      </c>
      <c r="K222" s="49">
        <f>資料儲存!D4494</f>
        <v>0</v>
      </c>
      <c r="L222" s="49">
        <f>資料儲存!E4494</f>
        <v>0</v>
      </c>
      <c r="M222" s="49">
        <f>資料儲存!F4494</f>
        <v>0</v>
      </c>
      <c r="N222" s="49">
        <f>資料儲存!G4494</f>
        <v>0</v>
      </c>
      <c r="O222" s="49">
        <f>資料儲存!H4494</f>
        <v>0</v>
      </c>
      <c r="P222" s="49">
        <f>資料儲存!I4494</f>
        <v>0</v>
      </c>
      <c r="Q222" s="49">
        <f>資料儲存!J4494</f>
        <v>0</v>
      </c>
      <c r="R222" s="52"/>
      <c r="S222" s="68">
        <v>53</v>
      </c>
      <c r="T222" s="49">
        <f>資料儲存!D4734</f>
        <v>0</v>
      </c>
      <c r="U222" s="49">
        <f>資料儲存!E4734</f>
        <v>0</v>
      </c>
      <c r="V222" s="49">
        <f>資料儲存!F4734</f>
        <v>0</v>
      </c>
      <c r="W222" s="49">
        <f>資料儲存!G4734</f>
        <v>0</v>
      </c>
      <c r="X222" s="49">
        <f>資料儲存!H4734</f>
        <v>0</v>
      </c>
      <c r="Y222" s="49">
        <f>資料儲存!I4734</f>
        <v>0</v>
      </c>
      <c r="Z222" s="49">
        <f>資料儲存!J4734</f>
        <v>0</v>
      </c>
      <c r="AA222" s="52"/>
      <c r="AB222" s="68">
        <v>53</v>
      </c>
      <c r="AC222" s="49">
        <f>資料儲存!D4974</f>
        <v>0</v>
      </c>
      <c r="AD222" s="49">
        <f>資料儲存!E4974</f>
        <v>0</v>
      </c>
      <c r="AE222" s="49">
        <f>資料儲存!F4974</f>
        <v>0</v>
      </c>
      <c r="AF222" s="49">
        <f>資料儲存!G4974</f>
        <v>0</v>
      </c>
      <c r="AG222" s="49">
        <f>資料儲存!H4974</f>
        <v>0</v>
      </c>
      <c r="AH222" s="49">
        <f>資料儲存!I4974</f>
        <v>0</v>
      </c>
      <c r="AI222" s="49">
        <f>資料儲存!J4974</f>
        <v>0</v>
      </c>
      <c r="AJ222" s="52"/>
    </row>
    <row r="223" spans="1:36" ht="16" thickBot="1">
      <c r="A223" s="68">
        <v>54</v>
      </c>
      <c r="B223" s="49">
        <f>資料儲存!D4255</f>
        <v>0</v>
      </c>
      <c r="C223" s="49">
        <f>資料儲存!E4255</f>
        <v>0</v>
      </c>
      <c r="D223" s="49">
        <f>資料儲存!F4255</f>
        <v>0</v>
      </c>
      <c r="E223" s="49">
        <f>資料儲存!G4255</f>
        <v>0</v>
      </c>
      <c r="F223" s="49">
        <f>資料儲存!H4255</f>
        <v>0</v>
      </c>
      <c r="G223" s="49">
        <f>資料儲存!I4255</f>
        <v>0</v>
      </c>
      <c r="H223" s="49">
        <f>資料儲存!J4255</f>
        <v>0</v>
      </c>
      <c r="I223" s="52"/>
      <c r="J223" s="68">
        <v>54</v>
      </c>
      <c r="K223" s="49">
        <f>資料儲存!D4495</f>
        <v>0</v>
      </c>
      <c r="L223" s="49">
        <f>資料儲存!E4495</f>
        <v>0</v>
      </c>
      <c r="M223" s="49">
        <f>資料儲存!F4495</f>
        <v>0</v>
      </c>
      <c r="N223" s="49">
        <f>資料儲存!G4495</f>
        <v>0</v>
      </c>
      <c r="O223" s="49">
        <f>資料儲存!H4495</f>
        <v>0</v>
      </c>
      <c r="P223" s="49">
        <f>資料儲存!I4495</f>
        <v>0</v>
      </c>
      <c r="Q223" s="49">
        <f>資料儲存!J4495</f>
        <v>0</v>
      </c>
      <c r="R223" s="52"/>
      <c r="S223" s="68">
        <v>54</v>
      </c>
      <c r="T223" s="49">
        <f>資料儲存!D4735</f>
        <v>0</v>
      </c>
      <c r="U223" s="49">
        <f>資料儲存!E4735</f>
        <v>0</v>
      </c>
      <c r="V223" s="49">
        <f>資料儲存!F4735</f>
        <v>0</v>
      </c>
      <c r="W223" s="49">
        <f>資料儲存!G4735</f>
        <v>0</v>
      </c>
      <c r="X223" s="49">
        <f>資料儲存!H4735</f>
        <v>0</v>
      </c>
      <c r="Y223" s="49">
        <f>資料儲存!I4735</f>
        <v>0</v>
      </c>
      <c r="Z223" s="49">
        <f>資料儲存!J4735</f>
        <v>0</v>
      </c>
      <c r="AA223" s="52"/>
      <c r="AB223" s="68">
        <v>54</v>
      </c>
      <c r="AC223" s="49">
        <f>資料儲存!D4975</f>
        <v>0</v>
      </c>
      <c r="AD223" s="49">
        <f>資料儲存!E4975</f>
        <v>0</v>
      </c>
      <c r="AE223" s="49">
        <f>資料儲存!F4975</f>
        <v>0</v>
      </c>
      <c r="AF223" s="49">
        <f>資料儲存!G4975</f>
        <v>0</v>
      </c>
      <c r="AG223" s="49">
        <f>資料儲存!H4975</f>
        <v>0</v>
      </c>
      <c r="AH223" s="49">
        <f>資料儲存!I4975</f>
        <v>0</v>
      </c>
      <c r="AI223" s="49">
        <f>資料儲存!J4975</f>
        <v>0</v>
      </c>
      <c r="AJ223" s="52"/>
    </row>
    <row r="224" spans="1:36" ht="16" thickBot="1">
      <c r="A224" s="68">
        <v>55</v>
      </c>
      <c r="B224" s="49">
        <f>資料儲存!D4256</f>
        <v>0</v>
      </c>
      <c r="C224" s="49">
        <f>資料儲存!E4256</f>
        <v>0</v>
      </c>
      <c r="D224" s="49">
        <f>資料儲存!F4256</f>
        <v>0</v>
      </c>
      <c r="E224" s="49">
        <f>資料儲存!G4256</f>
        <v>0</v>
      </c>
      <c r="F224" s="49">
        <f>資料儲存!H4256</f>
        <v>0</v>
      </c>
      <c r="G224" s="49">
        <f>資料儲存!I4256</f>
        <v>0</v>
      </c>
      <c r="H224" s="49">
        <f>資料儲存!J4256</f>
        <v>0</v>
      </c>
      <c r="I224" s="52"/>
      <c r="J224" s="68">
        <v>55</v>
      </c>
      <c r="K224" s="49">
        <f>資料儲存!D4496</f>
        <v>0</v>
      </c>
      <c r="L224" s="49">
        <f>資料儲存!E4496</f>
        <v>0</v>
      </c>
      <c r="M224" s="49">
        <f>資料儲存!F4496</f>
        <v>0</v>
      </c>
      <c r="N224" s="49">
        <f>資料儲存!G4496</f>
        <v>0</v>
      </c>
      <c r="O224" s="49">
        <f>資料儲存!H4496</f>
        <v>0</v>
      </c>
      <c r="P224" s="49">
        <f>資料儲存!I4496</f>
        <v>0</v>
      </c>
      <c r="Q224" s="49">
        <f>資料儲存!J4496</f>
        <v>0</v>
      </c>
      <c r="R224" s="52"/>
      <c r="S224" s="68">
        <v>55</v>
      </c>
      <c r="T224" s="49">
        <f>資料儲存!D4736</f>
        <v>0</v>
      </c>
      <c r="U224" s="49">
        <f>資料儲存!E4736</f>
        <v>0</v>
      </c>
      <c r="V224" s="49">
        <f>資料儲存!F4736</f>
        <v>0</v>
      </c>
      <c r="W224" s="49">
        <f>資料儲存!G4736</f>
        <v>0</v>
      </c>
      <c r="X224" s="49">
        <f>資料儲存!H4736</f>
        <v>0</v>
      </c>
      <c r="Y224" s="49">
        <f>資料儲存!I4736</f>
        <v>0</v>
      </c>
      <c r="Z224" s="49">
        <f>資料儲存!J4736</f>
        <v>0</v>
      </c>
      <c r="AA224" s="52"/>
      <c r="AB224" s="68">
        <v>55</v>
      </c>
      <c r="AC224" s="49">
        <f>資料儲存!D4976</f>
        <v>0</v>
      </c>
      <c r="AD224" s="49">
        <f>資料儲存!E4976</f>
        <v>0</v>
      </c>
      <c r="AE224" s="49">
        <f>資料儲存!F4976</f>
        <v>0</v>
      </c>
      <c r="AF224" s="49">
        <f>資料儲存!G4976</f>
        <v>0</v>
      </c>
      <c r="AG224" s="49">
        <f>資料儲存!H4976</f>
        <v>0</v>
      </c>
      <c r="AH224" s="49">
        <f>資料儲存!I4976</f>
        <v>0</v>
      </c>
      <c r="AI224" s="49">
        <f>資料儲存!J4976</f>
        <v>0</v>
      </c>
      <c r="AJ224" s="52"/>
    </row>
    <row r="225" spans="1:36" ht="16" thickBot="1">
      <c r="A225" s="68">
        <v>56</v>
      </c>
      <c r="B225" s="49">
        <f>資料儲存!D4257</f>
        <v>0</v>
      </c>
      <c r="C225" s="49">
        <f>資料儲存!E4257</f>
        <v>0</v>
      </c>
      <c r="D225" s="49">
        <f>資料儲存!F4257</f>
        <v>0</v>
      </c>
      <c r="E225" s="49">
        <f>資料儲存!G4257</f>
        <v>0</v>
      </c>
      <c r="F225" s="49">
        <f>資料儲存!H4257</f>
        <v>0</v>
      </c>
      <c r="G225" s="49">
        <f>資料儲存!I4257</f>
        <v>0</v>
      </c>
      <c r="H225" s="49">
        <f>資料儲存!J4257</f>
        <v>0</v>
      </c>
      <c r="I225" s="52"/>
      <c r="J225" s="68">
        <v>56</v>
      </c>
      <c r="K225" s="49">
        <f>資料儲存!D4497</f>
        <v>0</v>
      </c>
      <c r="L225" s="49">
        <f>資料儲存!E4497</f>
        <v>0</v>
      </c>
      <c r="M225" s="49">
        <f>資料儲存!F4497</f>
        <v>0</v>
      </c>
      <c r="N225" s="49">
        <f>資料儲存!G4497</f>
        <v>0</v>
      </c>
      <c r="O225" s="49">
        <f>資料儲存!H4497</f>
        <v>0</v>
      </c>
      <c r="P225" s="49">
        <f>資料儲存!I4497</f>
        <v>0</v>
      </c>
      <c r="Q225" s="49">
        <f>資料儲存!J4497</f>
        <v>0</v>
      </c>
      <c r="R225" s="52"/>
      <c r="S225" s="68">
        <v>56</v>
      </c>
      <c r="T225" s="49">
        <f>資料儲存!D4737</f>
        <v>0</v>
      </c>
      <c r="U225" s="49">
        <f>資料儲存!E4737</f>
        <v>0</v>
      </c>
      <c r="V225" s="49">
        <f>資料儲存!F4737</f>
        <v>0</v>
      </c>
      <c r="W225" s="49">
        <f>資料儲存!G4737</f>
        <v>0</v>
      </c>
      <c r="X225" s="49">
        <f>資料儲存!H4737</f>
        <v>0</v>
      </c>
      <c r="Y225" s="49">
        <f>資料儲存!I4737</f>
        <v>0</v>
      </c>
      <c r="Z225" s="49">
        <f>資料儲存!J4737</f>
        <v>0</v>
      </c>
      <c r="AA225" s="52"/>
      <c r="AB225" s="68">
        <v>56</v>
      </c>
      <c r="AC225" s="49">
        <f>資料儲存!D4977</f>
        <v>0</v>
      </c>
      <c r="AD225" s="49">
        <f>資料儲存!E4977</f>
        <v>0</v>
      </c>
      <c r="AE225" s="49">
        <f>資料儲存!F4977</f>
        <v>0</v>
      </c>
      <c r="AF225" s="49">
        <f>資料儲存!G4977</f>
        <v>0</v>
      </c>
      <c r="AG225" s="49">
        <f>資料儲存!H4977</f>
        <v>0</v>
      </c>
      <c r="AH225" s="49">
        <f>資料儲存!I4977</f>
        <v>0</v>
      </c>
      <c r="AI225" s="49">
        <f>資料儲存!J4977</f>
        <v>0</v>
      </c>
      <c r="AJ225" s="52"/>
    </row>
    <row r="226" spans="1:36" ht="16" thickBot="1">
      <c r="A226" s="68">
        <v>57</v>
      </c>
      <c r="B226" s="49">
        <f>資料儲存!D4258</f>
        <v>0</v>
      </c>
      <c r="C226" s="49">
        <f>資料儲存!E4258</f>
        <v>0</v>
      </c>
      <c r="D226" s="49">
        <f>資料儲存!F4258</f>
        <v>0</v>
      </c>
      <c r="E226" s="49">
        <f>資料儲存!G4258</f>
        <v>0</v>
      </c>
      <c r="F226" s="49">
        <f>資料儲存!H4258</f>
        <v>0</v>
      </c>
      <c r="G226" s="49">
        <f>資料儲存!I4258</f>
        <v>0</v>
      </c>
      <c r="H226" s="49">
        <f>資料儲存!J4258</f>
        <v>0</v>
      </c>
      <c r="I226" s="52"/>
      <c r="J226" s="68">
        <v>57</v>
      </c>
      <c r="K226" s="49">
        <f>資料儲存!D4498</f>
        <v>0</v>
      </c>
      <c r="L226" s="49">
        <f>資料儲存!E4498</f>
        <v>0</v>
      </c>
      <c r="M226" s="49">
        <f>資料儲存!F4498</f>
        <v>0</v>
      </c>
      <c r="N226" s="49">
        <f>資料儲存!G4498</f>
        <v>0</v>
      </c>
      <c r="O226" s="49">
        <f>資料儲存!H4498</f>
        <v>0</v>
      </c>
      <c r="P226" s="49">
        <f>資料儲存!I4498</f>
        <v>0</v>
      </c>
      <c r="Q226" s="49">
        <f>資料儲存!J4498</f>
        <v>0</v>
      </c>
      <c r="R226" s="52"/>
      <c r="S226" s="68">
        <v>57</v>
      </c>
      <c r="T226" s="49">
        <f>資料儲存!D4738</f>
        <v>0</v>
      </c>
      <c r="U226" s="49">
        <f>資料儲存!E4738</f>
        <v>0</v>
      </c>
      <c r="V226" s="49">
        <f>資料儲存!F4738</f>
        <v>0</v>
      </c>
      <c r="W226" s="49">
        <f>資料儲存!G4738</f>
        <v>0</v>
      </c>
      <c r="X226" s="49">
        <f>資料儲存!H4738</f>
        <v>0</v>
      </c>
      <c r="Y226" s="49">
        <f>資料儲存!I4738</f>
        <v>0</v>
      </c>
      <c r="Z226" s="49">
        <f>資料儲存!J4738</f>
        <v>0</v>
      </c>
      <c r="AA226" s="52"/>
      <c r="AB226" s="68">
        <v>57</v>
      </c>
      <c r="AC226" s="49">
        <f>資料儲存!D4978</f>
        <v>0</v>
      </c>
      <c r="AD226" s="49">
        <f>資料儲存!E4978</f>
        <v>0</v>
      </c>
      <c r="AE226" s="49">
        <f>資料儲存!F4978</f>
        <v>0</v>
      </c>
      <c r="AF226" s="49">
        <f>資料儲存!G4978</f>
        <v>0</v>
      </c>
      <c r="AG226" s="49">
        <f>資料儲存!H4978</f>
        <v>0</v>
      </c>
      <c r="AH226" s="49">
        <f>資料儲存!I4978</f>
        <v>0</v>
      </c>
      <c r="AI226" s="49">
        <f>資料儲存!J4978</f>
        <v>0</v>
      </c>
      <c r="AJ226" s="52"/>
    </row>
    <row r="227" spans="1:36" ht="16" thickBot="1">
      <c r="A227" s="68">
        <v>58</v>
      </c>
      <c r="B227" s="49">
        <f>資料儲存!D4259</f>
        <v>0</v>
      </c>
      <c r="C227" s="49">
        <f>資料儲存!E4259</f>
        <v>0</v>
      </c>
      <c r="D227" s="49">
        <f>資料儲存!F4259</f>
        <v>0</v>
      </c>
      <c r="E227" s="49">
        <f>資料儲存!G4259</f>
        <v>0</v>
      </c>
      <c r="F227" s="49">
        <f>資料儲存!H4259</f>
        <v>0</v>
      </c>
      <c r="G227" s="49">
        <f>資料儲存!I4259</f>
        <v>0</v>
      </c>
      <c r="H227" s="49">
        <f>資料儲存!J4259</f>
        <v>0</v>
      </c>
      <c r="I227" s="52"/>
      <c r="J227" s="68">
        <v>58</v>
      </c>
      <c r="K227" s="49">
        <f>資料儲存!D4499</f>
        <v>0</v>
      </c>
      <c r="L227" s="49">
        <f>資料儲存!E4499</f>
        <v>0</v>
      </c>
      <c r="M227" s="49">
        <f>資料儲存!F4499</f>
        <v>0</v>
      </c>
      <c r="N227" s="49">
        <f>資料儲存!G4499</f>
        <v>0</v>
      </c>
      <c r="O227" s="49">
        <f>資料儲存!H4499</f>
        <v>0</v>
      </c>
      <c r="P227" s="49">
        <f>資料儲存!I4499</f>
        <v>0</v>
      </c>
      <c r="Q227" s="49">
        <f>資料儲存!J4499</f>
        <v>0</v>
      </c>
      <c r="R227" s="52"/>
      <c r="S227" s="68">
        <v>58</v>
      </c>
      <c r="T227" s="49">
        <f>資料儲存!D4739</f>
        <v>0</v>
      </c>
      <c r="U227" s="49">
        <f>資料儲存!E4739</f>
        <v>0</v>
      </c>
      <c r="V227" s="49">
        <f>資料儲存!F4739</f>
        <v>0</v>
      </c>
      <c r="W227" s="49">
        <f>資料儲存!G4739</f>
        <v>0</v>
      </c>
      <c r="X227" s="49">
        <f>資料儲存!H4739</f>
        <v>0</v>
      </c>
      <c r="Y227" s="49">
        <f>資料儲存!I4739</f>
        <v>0</v>
      </c>
      <c r="Z227" s="49">
        <f>資料儲存!J4739</f>
        <v>0</v>
      </c>
      <c r="AA227" s="52"/>
      <c r="AB227" s="68">
        <v>58</v>
      </c>
      <c r="AC227" s="49">
        <f>資料儲存!D4979</f>
        <v>0</v>
      </c>
      <c r="AD227" s="49">
        <f>資料儲存!E4979</f>
        <v>0</v>
      </c>
      <c r="AE227" s="49">
        <f>資料儲存!F4979</f>
        <v>0</v>
      </c>
      <c r="AF227" s="49">
        <f>資料儲存!G4979</f>
        <v>0</v>
      </c>
      <c r="AG227" s="49">
        <f>資料儲存!H4979</f>
        <v>0</v>
      </c>
      <c r="AH227" s="49">
        <f>資料儲存!I4979</f>
        <v>0</v>
      </c>
      <c r="AI227" s="49">
        <f>資料儲存!J4979</f>
        <v>0</v>
      </c>
      <c r="AJ227" s="52"/>
    </row>
    <row r="228" spans="1:36" ht="16" thickBot="1">
      <c r="A228" s="68">
        <v>59</v>
      </c>
      <c r="B228" s="49">
        <f>資料儲存!D4260</f>
        <v>0</v>
      </c>
      <c r="C228" s="49">
        <f>資料儲存!E4260</f>
        <v>0</v>
      </c>
      <c r="D228" s="49">
        <f>資料儲存!F4260</f>
        <v>0</v>
      </c>
      <c r="E228" s="49">
        <f>資料儲存!G4260</f>
        <v>0</v>
      </c>
      <c r="F228" s="49">
        <f>資料儲存!H4260</f>
        <v>0</v>
      </c>
      <c r="G228" s="49">
        <f>資料儲存!I4260</f>
        <v>0</v>
      </c>
      <c r="H228" s="49">
        <f>資料儲存!J4260</f>
        <v>0</v>
      </c>
      <c r="I228" s="52"/>
      <c r="J228" s="68">
        <v>59</v>
      </c>
      <c r="K228" s="49">
        <f>資料儲存!D4500</f>
        <v>0</v>
      </c>
      <c r="L228" s="49">
        <f>資料儲存!E4500</f>
        <v>0</v>
      </c>
      <c r="M228" s="49">
        <f>資料儲存!F4500</f>
        <v>0</v>
      </c>
      <c r="N228" s="49">
        <f>資料儲存!G4500</f>
        <v>0</v>
      </c>
      <c r="O228" s="49">
        <f>資料儲存!H4500</f>
        <v>0</v>
      </c>
      <c r="P228" s="49">
        <f>資料儲存!I4500</f>
        <v>0</v>
      </c>
      <c r="Q228" s="49">
        <f>資料儲存!J4500</f>
        <v>0</v>
      </c>
      <c r="R228" s="52"/>
      <c r="S228" s="68">
        <v>59</v>
      </c>
      <c r="T228" s="49">
        <f>資料儲存!D4740</f>
        <v>0</v>
      </c>
      <c r="U228" s="49">
        <f>資料儲存!E4740</f>
        <v>0</v>
      </c>
      <c r="V228" s="49">
        <f>資料儲存!F4740</f>
        <v>0</v>
      </c>
      <c r="W228" s="49">
        <f>資料儲存!G4740</f>
        <v>0</v>
      </c>
      <c r="X228" s="49">
        <f>資料儲存!H4740</f>
        <v>0</v>
      </c>
      <c r="Y228" s="49">
        <f>資料儲存!I4740</f>
        <v>0</v>
      </c>
      <c r="Z228" s="49">
        <f>資料儲存!J4740</f>
        <v>0</v>
      </c>
      <c r="AA228" s="52"/>
      <c r="AB228" s="68">
        <v>59</v>
      </c>
      <c r="AC228" s="49">
        <f>資料儲存!D4980</f>
        <v>0</v>
      </c>
      <c r="AD228" s="49">
        <f>資料儲存!E4980</f>
        <v>0</v>
      </c>
      <c r="AE228" s="49">
        <f>資料儲存!F4980</f>
        <v>0</v>
      </c>
      <c r="AF228" s="49">
        <f>資料儲存!G4980</f>
        <v>0</v>
      </c>
      <c r="AG228" s="49">
        <f>資料儲存!H4980</f>
        <v>0</v>
      </c>
      <c r="AH228" s="49">
        <f>資料儲存!I4980</f>
        <v>0</v>
      </c>
      <c r="AI228" s="49">
        <f>資料儲存!J4980</f>
        <v>0</v>
      </c>
      <c r="AJ228" s="52"/>
    </row>
    <row r="229" spans="1:36" ht="16" thickBot="1">
      <c r="A229" s="68">
        <v>60</v>
      </c>
      <c r="B229" s="49">
        <f>資料儲存!D4261</f>
        <v>0</v>
      </c>
      <c r="C229" s="49">
        <f>資料儲存!E4261</f>
        <v>0</v>
      </c>
      <c r="D229" s="49">
        <f>資料儲存!F4261</f>
        <v>0</v>
      </c>
      <c r="E229" s="49">
        <f>資料儲存!G4261</f>
        <v>0</v>
      </c>
      <c r="F229" s="49">
        <f>資料儲存!H4261</f>
        <v>0</v>
      </c>
      <c r="G229" s="49">
        <f>資料儲存!I4261</f>
        <v>0</v>
      </c>
      <c r="H229" s="49">
        <f>資料儲存!J4261</f>
        <v>0</v>
      </c>
      <c r="I229" s="52"/>
      <c r="J229" s="68">
        <v>60</v>
      </c>
      <c r="K229" s="49">
        <f>資料儲存!D4501</f>
        <v>0</v>
      </c>
      <c r="L229" s="49">
        <f>資料儲存!E4501</f>
        <v>0</v>
      </c>
      <c r="M229" s="49">
        <f>資料儲存!F4501</f>
        <v>0</v>
      </c>
      <c r="N229" s="49">
        <f>資料儲存!G4501</f>
        <v>0</v>
      </c>
      <c r="O229" s="49">
        <f>資料儲存!H4501</f>
        <v>0</v>
      </c>
      <c r="P229" s="49">
        <f>資料儲存!I4501</f>
        <v>0</v>
      </c>
      <c r="Q229" s="49">
        <f>資料儲存!J4501</f>
        <v>0</v>
      </c>
      <c r="R229" s="52"/>
      <c r="S229" s="68">
        <v>60</v>
      </c>
      <c r="T229" s="49">
        <f>資料儲存!D4741</f>
        <v>0</v>
      </c>
      <c r="U229" s="49">
        <f>資料儲存!E4741</f>
        <v>0</v>
      </c>
      <c r="V229" s="49">
        <f>資料儲存!F4741</f>
        <v>0</v>
      </c>
      <c r="W229" s="49">
        <f>資料儲存!G4741</f>
        <v>0</v>
      </c>
      <c r="X229" s="49">
        <f>資料儲存!H4741</f>
        <v>0</v>
      </c>
      <c r="Y229" s="49">
        <f>資料儲存!I4741</f>
        <v>0</v>
      </c>
      <c r="Z229" s="49">
        <f>資料儲存!J4741</f>
        <v>0</v>
      </c>
      <c r="AA229" s="52"/>
      <c r="AB229" s="68">
        <v>60</v>
      </c>
      <c r="AC229" s="49">
        <f>資料儲存!D4981</f>
        <v>0</v>
      </c>
      <c r="AD229" s="49">
        <f>資料儲存!E4981</f>
        <v>0</v>
      </c>
      <c r="AE229" s="49">
        <f>資料儲存!F4981</f>
        <v>0</v>
      </c>
      <c r="AF229" s="49">
        <f>資料儲存!G4981</f>
        <v>0</v>
      </c>
      <c r="AG229" s="49">
        <f>資料儲存!H4981</f>
        <v>0</v>
      </c>
      <c r="AH229" s="49">
        <f>資料儲存!I4981</f>
        <v>0</v>
      </c>
      <c r="AI229" s="49">
        <f>資料儲存!J4981</f>
        <v>0</v>
      </c>
      <c r="AJ229" s="52"/>
    </row>
    <row r="230" spans="1:36" ht="17.25" customHeight="1" thickBot="1">
      <c r="A230" s="50" t="s">
        <v>56</v>
      </c>
      <c r="B230" s="49">
        <f>SUM(B215:E229)</f>
        <v>0</v>
      </c>
      <c r="C230" s="47"/>
      <c r="D230" s="47"/>
      <c r="E230" s="47"/>
      <c r="F230" s="49">
        <f>F229</f>
        <v>0</v>
      </c>
      <c r="G230" s="49">
        <f>G229</f>
        <v>0</v>
      </c>
      <c r="H230" s="49">
        <f>H229</f>
        <v>0</v>
      </c>
      <c r="I230" s="45"/>
      <c r="J230" s="50" t="s">
        <v>56</v>
      </c>
      <c r="K230" s="49">
        <f>SUM(K215:N229)</f>
        <v>0</v>
      </c>
      <c r="L230" s="47"/>
      <c r="M230" s="47"/>
      <c r="N230" s="47"/>
      <c r="O230" s="49">
        <f>O229</f>
        <v>0</v>
      </c>
      <c r="P230" s="49">
        <f>P229</f>
        <v>0</v>
      </c>
      <c r="Q230" s="49">
        <f>Q229</f>
        <v>0</v>
      </c>
      <c r="R230" s="45"/>
      <c r="S230" s="50" t="s">
        <v>56</v>
      </c>
      <c r="T230" s="49">
        <f>SUM(T215:W229)</f>
        <v>0</v>
      </c>
      <c r="U230" s="47"/>
      <c r="V230" s="47"/>
      <c r="W230" s="47"/>
      <c r="X230" s="49">
        <f>X229</f>
        <v>0</v>
      </c>
      <c r="Y230" s="49">
        <f>Y229</f>
        <v>0</v>
      </c>
      <c r="Z230" s="49">
        <f>Z229</f>
        <v>0</v>
      </c>
      <c r="AA230" s="45"/>
      <c r="AB230" s="50" t="s">
        <v>56</v>
      </c>
      <c r="AC230" s="49">
        <f>SUM(AC215:AF229)</f>
        <v>0</v>
      </c>
      <c r="AD230" s="47"/>
      <c r="AE230" s="47"/>
      <c r="AF230" s="47"/>
      <c r="AG230" s="49">
        <f>AG229</f>
        <v>0</v>
      </c>
      <c r="AH230" s="49">
        <f>AH229</f>
        <v>0</v>
      </c>
      <c r="AI230" s="49">
        <f>AI229</f>
        <v>0</v>
      </c>
      <c r="AJ230" s="45"/>
    </row>
    <row r="231" spans="1:36" ht="18.5" thickBot="1">
      <c r="A231" s="259" t="s">
        <v>181</v>
      </c>
      <c r="B231" s="260"/>
      <c r="C231" s="260"/>
      <c r="D231" s="260"/>
      <c r="E231" s="260"/>
      <c r="F231" s="260"/>
      <c r="G231" s="260"/>
      <c r="H231" s="261"/>
      <c r="I231" s="14"/>
      <c r="J231" s="259" t="s">
        <v>181</v>
      </c>
      <c r="K231" s="260"/>
      <c r="L231" s="260"/>
      <c r="M231" s="260"/>
      <c r="N231" s="260"/>
      <c r="O231" s="260"/>
      <c r="P231" s="260"/>
      <c r="Q231" s="261"/>
      <c r="R231" s="14"/>
      <c r="S231" s="259" t="s">
        <v>181</v>
      </c>
      <c r="T231" s="260"/>
      <c r="U231" s="260"/>
      <c r="V231" s="260"/>
      <c r="W231" s="260"/>
      <c r="X231" s="260"/>
      <c r="Y231" s="260"/>
      <c r="Z231" s="261"/>
      <c r="AA231" s="14"/>
      <c r="AB231" s="259" t="s">
        <v>181</v>
      </c>
      <c r="AC231" s="260"/>
      <c r="AD231" s="260"/>
      <c r="AE231" s="260"/>
      <c r="AF231" s="260"/>
      <c r="AG231" s="260"/>
      <c r="AH231" s="260"/>
      <c r="AI231" s="261"/>
      <c r="AJ231" s="14"/>
    </row>
    <row r="232" spans="1:36" ht="17.25" customHeight="1" thickBot="1">
      <c r="A232" s="54" t="s">
        <v>2</v>
      </c>
      <c r="B232" s="55" t="s">
        <v>46</v>
      </c>
      <c r="C232" s="56"/>
      <c r="D232" s="56"/>
      <c r="E232" s="57"/>
      <c r="F232" s="55" t="s">
        <v>47</v>
      </c>
      <c r="G232" s="56"/>
      <c r="H232" s="57"/>
      <c r="I232" s="58"/>
      <c r="J232" s="54" t="s">
        <v>2</v>
      </c>
      <c r="K232" s="55" t="s">
        <v>46</v>
      </c>
      <c r="L232" s="56"/>
      <c r="M232" s="56"/>
      <c r="N232" s="57"/>
      <c r="O232" s="55" t="s">
        <v>47</v>
      </c>
      <c r="P232" s="56"/>
      <c r="Q232" s="57"/>
      <c r="R232" s="58"/>
      <c r="S232" s="54" t="s">
        <v>2</v>
      </c>
      <c r="T232" s="55" t="s">
        <v>46</v>
      </c>
      <c r="U232" s="56"/>
      <c r="V232" s="56"/>
      <c r="W232" s="57"/>
      <c r="X232" s="55" t="s">
        <v>47</v>
      </c>
      <c r="Y232" s="56"/>
      <c r="Z232" s="57"/>
      <c r="AA232" s="58"/>
      <c r="AB232" s="54" t="s">
        <v>2</v>
      </c>
      <c r="AC232" s="55" t="s">
        <v>46</v>
      </c>
      <c r="AD232" s="56"/>
      <c r="AE232" s="56"/>
      <c r="AF232" s="57"/>
      <c r="AG232" s="55" t="s">
        <v>47</v>
      </c>
      <c r="AH232" s="56"/>
      <c r="AI232" s="57"/>
      <c r="AJ232" s="58"/>
    </row>
    <row r="233" spans="1:36" ht="16" thickBot="1">
      <c r="A233" s="59">
        <v>0.79166666666666663</v>
      </c>
      <c r="B233" s="60" t="s">
        <v>49</v>
      </c>
      <c r="C233" s="60" t="s">
        <v>50</v>
      </c>
      <c r="D233" s="60" t="s">
        <v>51</v>
      </c>
      <c r="E233" s="60" t="s">
        <v>52</v>
      </c>
      <c r="F233" s="60" t="s">
        <v>53</v>
      </c>
      <c r="G233" s="60" t="s">
        <v>54</v>
      </c>
      <c r="H233" s="60" t="s">
        <v>55</v>
      </c>
      <c r="I233" s="58"/>
      <c r="J233" s="59">
        <v>0.79166666666666663</v>
      </c>
      <c r="K233" s="60" t="s">
        <v>49</v>
      </c>
      <c r="L233" s="60" t="s">
        <v>50</v>
      </c>
      <c r="M233" s="60" t="s">
        <v>51</v>
      </c>
      <c r="N233" s="60" t="s">
        <v>52</v>
      </c>
      <c r="O233" s="60" t="s">
        <v>53</v>
      </c>
      <c r="P233" s="60" t="s">
        <v>54</v>
      </c>
      <c r="Q233" s="60" t="s">
        <v>55</v>
      </c>
      <c r="R233" s="58"/>
      <c r="S233" s="59">
        <v>0.79166666666666663</v>
      </c>
      <c r="T233" s="60" t="s">
        <v>49</v>
      </c>
      <c r="U233" s="60" t="s">
        <v>50</v>
      </c>
      <c r="V233" s="60" t="s">
        <v>51</v>
      </c>
      <c r="W233" s="60" t="s">
        <v>52</v>
      </c>
      <c r="X233" s="60" t="s">
        <v>53</v>
      </c>
      <c r="Y233" s="60" t="s">
        <v>54</v>
      </c>
      <c r="Z233" s="60" t="s">
        <v>55</v>
      </c>
      <c r="AA233" s="58"/>
      <c r="AB233" s="59">
        <v>0.79166666666666663</v>
      </c>
      <c r="AC233" s="60" t="s">
        <v>49</v>
      </c>
      <c r="AD233" s="60" t="s">
        <v>50</v>
      </c>
      <c r="AE233" s="60" t="s">
        <v>51</v>
      </c>
      <c r="AF233" s="60" t="s">
        <v>52</v>
      </c>
      <c r="AG233" s="60" t="s">
        <v>53</v>
      </c>
      <c r="AH233" s="60" t="s">
        <v>54</v>
      </c>
      <c r="AI233" s="60" t="s">
        <v>55</v>
      </c>
      <c r="AJ233" s="58"/>
    </row>
    <row r="234" spans="1:36" ht="16" thickBot="1">
      <c r="A234" s="61">
        <v>1</v>
      </c>
      <c r="B234" s="39">
        <f>資料儲存!D4262</f>
        <v>0</v>
      </c>
      <c r="C234" s="39">
        <f>資料儲存!E4262</f>
        <v>0</v>
      </c>
      <c r="D234" s="39">
        <f>資料儲存!F4262</f>
        <v>0</v>
      </c>
      <c r="E234" s="39">
        <f>資料儲存!G4262</f>
        <v>0</v>
      </c>
      <c r="F234" s="39">
        <f>資料儲存!H4262</f>
        <v>0</v>
      </c>
      <c r="G234" s="39">
        <f>資料儲存!I4262</f>
        <v>0</v>
      </c>
      <c r="H234" s="39">
        <f>資料儲存!J4262</f>
        <v>0</v>
      </c>
      <c r="I234" s="58"/>
      <c r="J234" s="61">
        <v>1</v>
      </c>
      <c r="K234" s="39">
        <f>資料儲存!D4502</f>
        <v>0</v>
      </c>
      <c r="L234" s="39">
        <f>資料儲存!E4502</f>
        <v>0</v>
      </c>
      <c r="M234" s="39">
        <f>資料儲存!F4502</f>
        <v>0</v>
      </c>
      <c r="N234" s="39">
        <f>資料儲存!G4502</f>
        <v>0</v>
      </c>
      <c r="O234" s="39">
        <f>資料儲存!H4502</f>
        <v>0</v>
      </c>
      <c r="P234" s="39">
        <f>資料儲存!I4502</f>
        <v>0</v>
      </c>
      <c r="Q234" s="39">
        <f>資料儲存!J4502</f>
        <v>0</v>
      </c>
      <c r="R234" s="58"/>
      <c r="S234" s="61">
        <v>1</v>
      </c>
      <c r="T234" s="39">
        <f>資料儲存!D4742</f>
        <v>0</v>
      </c>
      <c r="U234" s="39">
        <f>資料儲存!E4742</f>
        <v>0</v>
      </c>
      <c r="V234" s="39">
        <f>資料儲存!F4742</f>
        <v>0</v>
      </c>
      <c r="W234" s="39">
        <f>資料儲存!G4742</f>
        <v>0</v>
      </c>
      <c r="X234" s="39">
        <f>資料儲存!H4742</f>
        <v>0</v>
      </c>
      <c r="Y234" s="39">
        <f>資料儲存!I4742</f>
        <v>0</v>
      </c>
      <c r="Z234" s="39">
        <f>資料儲存!J4742</f>
        <v>0</v>
      </c>
      <c r="AA234" s="58"/>
      <c r="AB234" s="61">
        <v>1</v>
      </c>
      <c r="AC234" s="39">
        <f>資料儲存!D4982</f>
        <v>0</v>
      </c>
      <c r="AD234" s="39">
        <f>資料儲存!E4982</f>
        <v>0</v>
      </c>
      <c r="AE234" s="39">
        <f>資料儲存!F4982</f>
        <v>0</v>
      </c>
      <c r="AF234" s="39">
        <f>資料儲存!G4982</f>
        <v>0</v>
      </c>
      <c r="AG234" s="39">
        <f>資料儲存!H4982</f>
        <v>0</v>
      </c>
      <c r="AH234" s="39">
        <f>資料儲存!I4982</f>
        <v>0</v>
      </c>
      <c r="AI234" s="39">
        <f>資料儲存!J4982</f>
        <v>0</v>
      </c>
      <c r="AJ234" s="58"/>
    </row>
    <row r="235" spans="1:36" ht="16" thickBot="1">
      <c r="A235" s="61">
        <v>2</v>
      </c>
      <c r="B235" s="39">
        <f>資料儲存!D4263</f>
        <v>0</v>
      </c>
      <c r="C235" s="39">
        <f>資料儲存!E4263</f>
        <v>0</v>
      </c>
      <c r="D235" s="39">
        <f>資料儲存!F4263</f>
        <v>0</v>
      </c>
      <c r="E235" s="39">
        <f>資料儲存!G4263</f>
        <v>0</v>
      </c>
      <c r="F235" s="39">
        <f>資料儲存!H4263</f>
        <v>0</v>
      </c>
      <c r="G235" s="39">
        <f>資料儲存!I4263</f>
        <v>0</v>
      </c>
      <c r="H235" s="39">
        <f>資料儲存!J4263</f>
        <v>0</v>
      </c>
      <c r="I235" s="58"/>
      <c r="J235" s="61">
        <v>2</v>
      </c>
      <c r="K235" s="39">
        <f>資料儲存!D4503</f>
        <v>0</v>
      </c>
      <c r="L235" s="39">
        <f>資料儲存!E4503</f>
        <v>0</v>
      </c>
      <c r="M235" s="39">
        <f>資料儲存!F4503</f>
        <v>0</v>
      </c>
      <c r="N235" s="39">
        <f>資料儲存!G4503</f>
        <v>0</v>
      </c>
      <c r="O235" s="39">
        <f>資料儲存!H4503</f>
        <v>0</v>
      </c>
      <c r="P235" s="39">
        <f>資料儲存!I4503</f>
        <v>0</v>
      </c>
      <c r="Q235" s="39">
        <f>資料儲存!J4503</f>
        <v>0</v>
      </c>
      <c r="R235" s="58"/>
      <c r="S235" s="61">
        <v>2</v>
      </c>
      <c r="T235" s="39">
        <f>資料儲存!D4743</f>
        <v>0</v>
      </c>
      <c r="U235" s="39">
        <f>資料儲存!E4743</f>
        <v>0</v>
      </c>
      <c r="V235" s="39">
        <f>資料儲存!F4743</f>
        <v>0</v>
      </c>
      <c r="W235" s="39">
        <f>資料儲存!G4743</f>
        <v>0</v>
      </c>
      <c r="X235" s="39">
        <f>資料儲存!H4743</f>
        <v>0</v>
      </c>
      <c r="Y235" s="39">
        <f>資料儲存!I4743</f>
        <v>0</v>
      </c>
      <c r="Z235" s="39">
        <f>資料儲存!J4743</f>
        <v>0</v>
      </c>
      <c r="AA235" s="58"/>
      <c r="AB235" s="61">
        <v>2</v>
      </c>
      <c r="AC235" s="39">
        <f>資料儲存!D4983</f>
        <v>0</v>
      </c>
      <c r="AD235" s="39">
        <f>資料儲存!E4983</f>
        <v>0</v>
      </c>
      <c r="AE235" s="39">
        <f>資料儲存!F4983</f>
        <v>0</v>
      </c>
      <c r="AF235" s="39">
        <f>資料儲存!G4983</f>
        <v>0</v>
      </c>
      <c r="AG235" s="39">
        <f>資料儲存!H4983</f>
        <v>0</v>
      </c>
      <c r="AH235" s="39">
        <f>資料儲存!I4983</f>
        <v>0</v>
      </c>
      <c r="AI235" s="39">
        <f>資料儲存!J4983</f>
        <v>0</v>
      </c>
      <c r="AJ235" s="58"/>
    </row>
    <row r="236" spans="1:36" ht="16" thickBot="1">
      <c r="A236" s="61">
        <v>3</v>
      </c>
      <c r="B236" s="39">
        <f>資料儲存!D4264</f>
        <v>0</v>
      </c>
      <c r="C236" s="39">
        <f>資料儲存!E4264</f>
        <v>0</v>
      </c>
      <c r="D236" s="39">
        <f>資料儲存!F4264</f>
        <v>0</v>
      </c>
      <c r="E236" s="39">
        <f>資料儲存!G4264</f>
        <v>0</v>
      </c>
      <c r="F236" s="39">
        <f>資料儲存!H4264</f>
        <v>0</v>
      </c>
      <c r="G236" s="39">
        <f>資料儲存!I4264</f>
        <v>0</v>
      </c>
      <c r="H236" s="39">
        <f>資料儲存!J4264</f>
        <v>0</v>
      </c>
      <c r="I236" s="58"/>
      <c r="J236" s="61">
        <v>3</v>
      </c>
      <c r="K236" s="39">
        <f>資料儲存!D4504</f>
        <v>0</v>
      </c>
      <c r="L236" s="39">
        <f>資料儲存!E4504</f>
        <v>0</v>
      </c>
      <c r="M236" s="39">
        <f>資料儲存!F4504</f>
        <v>0</v>
      </c>
      <c r="N236" s="39">
        <f>資料儲存!G4504</f>
        <v>0</v>
      </c>
      <c r="O236" s="39">
        <f>資料儲存!H4504</f>
        <v>0</v>
      </c>
      <c r="P236" s="39">
        <f>資料儲存!I4504</f>
        <v>0</v>
      </c>
      <c r="Q236" s="39">
        <f>資料儲存!J4504</f>
        <v>0</v>
      </c>
      <c r="R236" s="58"/>
      <c r="S236" s="61">
        <v>3</v>
      </c>
      <c r="T236" s="39">
        <f>資料儲存!D4744</f>
        <v>0</v>
      </c>
      <c r="U236" s="39">
        <f>資料儲存!E4744</f>
        <v>0</v>
      </c>
      <c r="V236" s="39">
        <f>資料儲存!F4744</f>
        <v>0</v>
      </c>
      <c r="W236" s="39">
        <f>資料儲存!G4744</f>
        <v>0</v>
      </c>
      <c r="X236" s="39">
        <f>資料儲存!H4744</f>
        <v>0</v>
      </c>
      <c r="Y236" s="39">
        <f>資料儲存!I4744</f>
        <v>0</v>
      </c>
      <c r="Z236" s="39">
        <f>資料儲存!J4744</f>
        <v>0</v>
      </c>
      <c r="AA236" s="58"/>
      <c r="AB236" s="61">
        <v>3</v>
      </c>
      <c r="AC236" s="39">
        <f>資料儲存!D4984</f>
        <v>0</v>
      </c>
      <c r="AD236" s="39">
        <f>資料儲存!E4984</f>
        <v>0</v>
      </c>
      <c r="AE236" s="39">
        <f>資料儲存!F4984</f>
        <v>0</v>
      </c>
      <c r="AF236" s="39">
        <f>資料儲存!G4984</f>
        <v>0</v>
      </c>
      <c r="AG236" s="39">
        <f>資料儲存!H4984</f>
        <v>0</v>
      </c>
      <c r="AH236" s="39">
        <f>資料儲存!I4984</f>
        <v>0</v>
      </c>
      <c r="AI236" s="39">
        <f>資料儲存!J4984</f>
        <v>0</v>
      </c>
      <c r="AJ236" s="58"/>
    </row>
    <row r="237" spans="1:36" ht="16" thickBot="1">
      <c r="A237" s="61">
        <v>4</v>
      </c>
      <c r="B237" s="39">
        <f>資料儲存!D4265</f>
        <v>0</v>
      </c>
      <c r="C237" s="39">
        <f>資料儲存!E4265</f>
        <v>0</v>
      </c>
      <c r="D237" s="39">
        <f>資料儲存!F4265</f>
        <v>0</v>
      </c>
      <c r="E237" s="39">
        <f>資料儲存!G4265</f>
        <v>0</v>
      </c>
      <c r="F237" s="39">
        <f>資料儲存!H4265</f>
        <v>0</v>
      </c>
      <c r="G237" s="39">
        <f>資料儲存!I4265</f>
        <v>0</v>
      </c>
      <c r="H237" s="39">
        <f>資料儲存!J4265</f>
        <v>0</v>
      </c>
      <c r="I237" s="58"/>
      <c r="J237" s="61">
        <v>4</v>
      </c>
      <c r="K237" s="39">
        <f>資料儲存!D4505</f>
        <v>0</v>
      </c>
      <c r="L237" s="39">
        <f>資料儲存!E4505</f>
        <v>0</v>
      </c>
      <c r="M237" s="39">
        <f>資料儲存!F4505</f>
        <v>0</v>
      </c>
      <c r="N237" s="39">
        <f>資料儲存!G4505</f>
        <v>0</v>
      </c>
      <c r="O237" s="39">
        <f>資料儲存!H4505</f>
        <v>0</v>
      </c>
      <c r="P237" s="39">
        <f>資料儲存!I4505</f>
        <v>0</v>
      </c>
      <c r="Q237" s="39">
        <f>資料儲存!J4505</f>
        <v>0</v>
      </c>
      <c r="R237" s="58"/>
      <c r="S237" s="61">
        <v>4</v>
      </c>
      <c r="T237" s="39">
        <f>資料儲存!D4745</f>
        <v>0</v>
      </c>
      <c r="U237" s="39">
        <f>資料儲存!E4745</f>
        <v>0</v>
      </c>
      <c r="V237" s="39">
        <f>資料儲存!F4745</f>
        <v>0</v>
      </c>
      <c r="W237" s="39">
        <f>資料儲存!G4745</f>
        <v>0</v>
      </c>
      <c r="X237" s="39">
        <f>資料儲存!H4745</f>
        <v>0</v>
      </c>
      <c r="Y237" s="39">
        <f>資料儲存!I4745</f>
        <v>0</v>
      </c>
      <c r="Z237" s="39">
        <f>資料儲存!J4745</f>
        <v>0</v>
      </c>
      <c r="AA237" s="58"/>
      <c r="AB237" s="61">
        <v>4</v>
      </c>
      <c r="AC237" s="39">
        <f>資料儲存!D4985</f>
        <v>0</v>
      </c>
      <c r="AD237" s="39">
        <f>資料儲存!E4985</f>
        <v>0</v>
      </c>
      <c r="AE237" s="39">
        <f>資料儲存!F4985</f>
        <v>0</v>
      </c>
      <c r="AF237" s="39">
        <f>資料儲存!G4985</f>
        <v>0</v>
      </c>
      <c r="AG237" s="39">
        <f>資料儲存!H4985</f>
        <v>0</v>
      </c>
      <c r="AH237" s="39">
        <f>資料儲存!I4985</f>
        <v>0</v>
      </c>
      <c r="AI237" s="39">
        <f>資料儲存!J4985</f>
        <v>0</v>
      </c>
      <c r="AJ237" s="58"/>
    </row>
    <row r="238" spans="1:36" ht="16" thickBot="1">
      <c r="A238" s="61">
        <v>5</v>
      </c>
      <c r="B238" s="39">
        <f>資料儲存!D4266</f>
        <v>0</v>
      </c>
      <c r="C238" s="39">
        <f>資料儲存!E4266</f>
        <v>0</v>
      </c>
      <c r="D238" s="39">
        <f>資料儲存!F4266</f>
        <v>0</v>
      </c>
      <c r="E238" s="39">
        <f>資料儲存!G4266</f>
        <v>0</v>
      </c>
      <c r="F238" s="39">
        <f>資料儲存!H4266</f>
        <v>0</v>
      </c>
      <c r="G238" s="39">
        <f>資料儲存!I4266</f>
        <v>0</v>
      </c>
      <c r="H238" s="39">
        <f>資料儲存!J4266</f>
        <v>0</v>
      </c>
      <c r="I238" s="58"/>
      <c r="J238" s="61">
        <v>5</v>
      </c>
      <c r="K238" s="39">
        <f>資料儲存!D4506</f>
        <v>0</v>
      </c>
      <c r="L238" s="39">
        <f>資料儲存!E4506</f>
        <v>0</v>
      </c>
      <c r="M238" s="39">
        <f>資料儲存!F4506</f>
        <v>0</v>
      </c>
      <c r="N238" s="39">
        <f>資料儲存!G4506</f>
        <v>0</v>
      </c>
      <c r="O238" s="39">
        <f>資料儲存!H4506</f>
        <v>0</v>
      </c>
      <c r="P238" s="39">
        <f>資料儲存!I4506</f>
        <v>0</v>
      </c>
      <c r="Q238" s="39">
        <f>資料儲存!J4506</f>
        <v>0</v>
      </c>
      <c r="R238" s="58"/>
      <c r="S238" s="61">
        <v>5</v>
      </c>
      <c r="T238" s="39">
        <f>資料儲存!D4746</f>
        <v>0</v>
      </c>
      <c r="U238" s="39">
        <f>資料儲存!E4746</f>
        <v>0</v>
      </c>
      <c r="V238" s="39">
        <f>資料儲存!F4746</f>
        <v>0</v>
      </c>
      <c r="W238" s="39">
        <f>資料儲存!G4746</f>
        <v>0</v>
      </c>
      <c r="X238" s="39">
        <f>資料儲存!H4746</f>
        <v>0</v>
      </c>
      <c r="Y238" s="39">
        <f>資料儲存!I4746</f>
        <v>0</v>
      </c>
      <c r="Z238" s="39">
        <f>資料儲存!J4746</f>
        <v>0</v>
      </c>
      <c r="AA238" s="58"/>
      <c r="AB238" s="61">
        <v>5</v>
      </c>
      <c r="AC238" s="39">
        <f>資料儲存!D4986</f>
        <v>0</v>
      </c>
      <c r="AD238" s="39">
        <f>資料儲存!E4986</f>
        <v>0</v>
      </c>
      <c r="AE238" s="39">
        <f>資料儲存!F4986</f>
        <v>0</v>
      </c>
      <c r="AF238" s="39">
        <f>資料儲存!G4986</f>
        <v>0</v>
      </c>
      <c r="AG238" s="39">
        <f>資料儲存!H4986</f>
        <v>0</v>
      </c>
      <c r="AH238" s="39">
        <f>資料儲存!I4986</f>
        <v>0</v>
      </c>
      <c r="AI238" s="39">
        <f>資料儲存!J4986</f>
        <v>0</v>
      </c>
      <c r="AJ238" s="58"/>
    </row>
    <row r="239" spans="1:36" ht="16" thickBot="1">
      <c r="A239" s="61">
        <v>6</v>
      </c>
      <c r="B239" s="39">
        <f>資料儲存!D4267</f>
        <v>0</v>
      </c>
      <c r="C239" s="39">
        <f>資料儲存!E4267</f>
        <v>0</v>
      </c>
      <c r="D239" s="39">
        <f>資料儲存!F4267</f>
        <v>0</v>
      </c>
      <c r="E239" s="39">
        <f>資料儲存!G4267</f>
        <v>0</v>
      </c>
      <c r="F239" s="39">
        <f>資料儲存!H4267</f>
        <v>0</v>
      </c>
      <c r="G239" s="39">
        <f>資料儲存!I4267</f>
        <v>0</v>
      </c>
      <c r="H239" s="39">
        <f>資料儲存!J4267</f>
        <v>0</v>
      </c>
      <c r="I239" s="58"/>
      <c r="J239" s="61">
        <v>6</v>
      </c>
      <c r="K239" s="39">
        <f>資料儲存!D4507</f>
        <v>0</v>
      </c>
      <c r="L239" s="39">
        <f>資料儲存!E4507</f>
        <v>0</v>
      </c>
      <c r="M239" s="39">
        <f>資料儲存!F4507</f>
        <v>0</v>
      </c>
      <c r="N239" s="39">
        <f>資料儲存!G4507</f>
        <v>0</v>
      </c>
      <c r="O239" s="39">
        <f>資料儲存!H4507</f>
        <v>0</v>
      </c>
      <c r="P239" s="39">
        <f>資料儲存!I4507</f>
        <v>0</v>
      </c>
      <c r="Q239" s="39">
        <f>資料儲存!J4507</f>
        <v>0</v>
      </c>
      <c r="R239" s="58"/>
      <c r="S239" s="61">
        <v>6</v>
      </c>
      <c r="T239" s="39">
        <f>資料儲存!D4747</f>
        <v>0</v>
      </c>
      <c r="U239" s="39">
        <f>資料儲存!E4747</f>
        <v>0</v>
      </c>
      <c r="V239" s="39">
        <f>資料儲存!F4747</f>
        <v>0</v>
      </c>
      <c r="W239" s="39">
        <f>資料儲存!G4747</f>
        <v>0</v>
      </c>
      <c r="X239" s="39">
        <f>資料儲存!H4747</f>
        <v>0</v>
      </c>
      <c r="Y239" s="39">
        <f>資料儲存!I4747</f>
        <v>0</v>
      </c>
      <c r="Z239" s="39">
        <f>資料儲存!J4747</f>
        <v>0</v>
      </c>
      <c r="AA239" s="58"/>
      <c r="AB239" s="61">
        <v>6</v>
      </c>
      <c r="AC239" s="39">
        <f>資料儲存!D4987</f>
        <v>0</v>
      </c>
      <c r="AD239" s="39">
        <f>資料儲存!E4987</f>
        <v>0</v>
      </c>
      <c r="AE239" s="39">
        <f>資料儲存!F4987</f>
        <v>0</v>
      </c>
      <c r="AF239" s="39">
        <f>資料儲存!G4987</f>
        <v>0</v>
      </c>
      <c r="AG239" s="39">
        <f>資料儲存!H4987</f>
        <v>0</v>
      </c>
      <c r="AH239" s="39">
        <f>資料儲存!I4987</f>
        <v>0</v>
      </c>
      <c r="AI239" s="39">
        <f>資料儲存!J4987</f>
        <v>0</v>
      </c>
      <c r="AJ239" s="58"/>
    </row>
    <row r="240" spans="1:36" ht="16" thickBot="1">
      <c r="A240" s="61">
        <v>7</v>
      </c>
      <c r="B240" s="39">
        <f>資料儲存!D4268</f>
        <v>0</v>
      </c>
      <c r="C240" s="39">
        <f>資料儲存!E4268</f>
        <v>0</v>
      </c>
      <c r="D240" s="39">
        <f>資料儲存!F4268</f>
        <v>0</v>
      </c>
      <c r="E240" s="39">
        <f>資料儲存!G4268</f>
        <v>0</v>
      </c>
      <c r="F240" s="39">
        <f>資料儲存!H4268</f>
        <v>0</v>
      </c>
      <c r="G240" s="39">
        <f>資料儲存!I4268</f>
        <v>0</v>
      </c>
      <c r="H240" s="39">
        <f>資料儲存!J4268</f>
        <v>0</v>
      </c>
      <c r="I240" s="58"/>
      <c r="J240" s="61">
        <v>7</v>
      </c>
      <c r="K240" s="39">
        <f>資料儲存!D4508</f>
        <v>0</v>
      </c>
      <c r="L240" s="39">
        <f>資料儲存!E4508</f>
        <v>0</v>
      </c>
      <c r="M240" s="39">
        <f>資料儲存!F4508</f>
        <v>0</v>
      </c>
      <c r="N240" s="39">
        <f>資料儲存!G4508</f>
        <v>0</v>
      </c>
      <c r="O240" s="39">
        <f>資料儲存!H4508</f>
        <v>0</v>
      </c>
      <c r="P240" s="39">
        <f>資料儲存!I4508</f>
        <v>0</v>
      </c>
      <c r="Q240" s="39">
        <f>資料儲存!J4508</f>
        <v>0</v>
      </c>
      <c r="R240" s="58"/>
      <c r="S240" s="61">
        <v>7</v>
      </c>
      <c r="T240" s="39">
        <f>資料儲存!D4748</f>
        <v>0</v>
      </c>
      <c r="U240" s="39">
        <f>資料儲存!E4748</f>
        <v>0</v>
      </c>
      <c r="V240" s="39">
        <f>資料儲存!F4748</f>
        <v>0</v>
      </c>
      <c r="W240" s="39">
        <f>資料儲存!G4748</f>
        <v>0</v>
      </c>
      <c r="X240" s="39">
        <f>資料儲存!H4748</f>
        <v>0</v>
      </c>
      <c r="Y240" s="39">
        <f>資料儲存!I4748</f>
        <v>0</v>
      </c>
      <c r="Z240" s="39">
        <f>資料儲存!J4748</f>
        <v>0</v>
      </c>
      <c r="AA240" s="58"/>
      <c r="AB240" s="61">
        <v>7</v>
      </c>
      <c r="AC240" s="39">
        <f>資料儲存!D4988</f>
        <v>0</v>
      </c>
      <c r="AD240" s="39">
        <f>資料儲存!E4988</f>
        <v>0</v>
      </c>
      <c r="AE240" s="39">
        <f>資料儲存!F4988</f>
        <v>0</v>
      </c>
      <c r="AF240" s="39">
        <f>資料儲存!G4988</f>
        <v>0</v>
      </c>
      <c r="AG240" s="39">
        <f>資料儲存!H4988</f>
        <v>0</v>
      </c>
      <c r="AH240" s="39">
        <f>資料儲存!I4988</f>
        <v>0</v>
      </c>
      <c r="AI240" s="39">
        <f>資料儲存!J4988</f>
        <v>0</v>
      </c>
      <c r="AJ240" s="58"/>
    </row>
    <row r="241" spans="1:36" ht="16" thickBot="1">
      <c r="A241" s="61">
        <v>8</v>
      </c>
      <c r="B241" s="39">
        <f>資料儲存!D4269</f>
        <v>0</v>
      </c>
      <c r="C241" s="39">
        <f>資料儲存!E4269</f>
        <v>0</v>
      </c>
      <c r="D241" s="39">
        <f>資料儲存!F4269</f>
        <v>0</v>
      </c>
      <c r="E241" s="39">
        <f>資料儲存!G4269</f>
        <v>0</v>
      </c>
      <c r="F241" s="39">
        <f>資料儲存!H4269</f>
        <v>0</v>
      </c>
      <c r="G241" s="39">
        <f>資料儲存!I4269</f>
        <v>0</v>
      </c>
      <c r="H241" s="39">
        <f>資料儲存!J4269</f>
        <v>0</v>
      </c>
      <c r="I241" s="58"/>
      <c r="J241" s="61">
        <v>8</v>
      </c>
      <c r="K241" s="39">
        <f>資料儲存!D4509</f>
        <v>0</v>
      </c>
      <c r="L241" s="39">
        <f>資料儲存!E4509</f>
        <v>0</v>
      </c>
      <c r="M241" s="39">
        <f>資料儲存!F4509</f>
        <v>0</v>
      </c>
      <c r="N241" s="39">
        <f>資料儲存!G4509</f>
        <v>0</v>
      </c>
      <c r="O241" s="39">
        <f>資料儲存!H4509</f>
        <v>0</v>
      </c>
      <c r="P241" s="39">
        <f>資料儲存!I4509</f>
        <v>0</v>
      </c>
      <c r="Q241" s="39">
        <f>資料儲存!J4509</f>
        <v>0</v>
      </c>
      <c r="R241" s="58"/>
      <c r="S241" s="61">
        <v>8</v>
      </c>
      <c r="T241" s="39">
        <f>資料儲存!D4749</f>
        <v>0</v>
      </c>
      <c r="U241" s="39">
        <f>資料儲存!E4749</f>
        <v>0</v>
      </c>
      <c r="V241" s="39">
        <f>資料儲存!F4749</f>
        <v>0</v>
      </c>
      <c r="W241" s="39">
        <f>資料儲存!G4749</f>
        <v>0</v>
      </c>
      <c r="X241" s="39">
        <f>資料儲存!H4749</f>
        <v>0</v>
      </c>
      <c r="Y241" s="39">
        <f>資料儲存!I4749</f>
        <v>0</v>
      </c>
      <c r="Z241" s="39">
        <f>資料儲存!J4749</f>
        <v>0</v>
      </c>
      <c r="AA241" s="58"/>
      <c r="AB241" s="61">
        <v>8</v>
      </c>
      <c r="AC241" s="39">
        <f>資料儲存!D4989</f>
        <v>0</v>
      </c>
      <c r="AD241" s="39">
        <f>資料儲存!E4989</f>
        <v>0</v>
      </c>
      <c r="AE241" s="39">
        <f>資料儲存!F4989</f>
        <v>0</v>
      </c>
      <c r="AF241" s="39">
        <f>資料儲存!G4989</f>
        <v>0</v>
      </c>
      <c r="AG241" s="39">
        <f>資料儲存!H4989</f>
        <v>0</v>
      </c>
      <c r="AH241" s="39">
        <f>資料儲存!I4989</f>
        <v>0</v>
      </c>
      <c r="AI241" s="39">
        <f>資料儲存!J4989</f>
        <v>0</v>
      </c>
      <c r="AJ241" s="58"/>
    </row>
    <row r="242" spans="1:36" ht="16" thickBot="1">
      <c r="A242" s="61">
        <v>9</v>
      </c>
      <c r="B242" s="39">
        <f>資料儲存!D4270</f>
        <v>0</v>
      </c>
      <c r="C242" s="39">
        <f>資料儲存!E4270</f>
        <v>0</v>
      </c>
      <c r="D242" s="39">
        <f>資料儲存!F4270</f>
        <v>0</v>
      </c>
      <c r="E242" s="39">
        <f>資料儲存!G4270</f>
        <v>0</v>
      </c>
      <c r="F242" s="39">
        <f>資料儲存!H4270</f>
        <v>0</v>
      </c>
      <c r="G242" s="39">
        <f>資料儲存!I4270</f>
        <v>0</v>
      </c>
      <c r="H242" s="39">
        <f>資料儲存!J4270</f>
        <v>0</v>
      </c>
      <c r="I242" s="58"/>
      <c r="J242" s="61">
        <v>9</v>
      </c>
      <c r="K242" s="39">
        <f>資料儲存!D4510</f>
        <v>0</v>
      </c>
      <c r="L242" s="39">
        <f>資料儲存!E4510</f>
        <v>0</v>
      </c>
      <c r="M242" s="39">
        <f>資料儲存!F4510</f>
        <v>0</v>
      </c>
      <c r="N242" s="39">
        <f>資料儲存!G4510</f>
        <v>0</v>
      </c>
      <c r="O242" s="39">
        <f>資料儲存!H4510</f>
        <v>0</v>
      </c>
      <c r="P242" s="39">
        <f>資料儲存!I4510</f>
        <v>0</v>
      </c>
      <c r="Q242" s="39">
        <f>資料儲存!J4510</f>
        <v>0</v>
      </c>
      <c r="R242" s="58"/>
      <c r="S242" s="61">
        <v>9</v>
      </c>
      <c r="T242" s="39">
        <f>資料儲存!D4750</f>
        <v>0</v>
      </c>
      <c r="U242" s="39">
        <f>資料儲存!E4750</f>
        <v>0</v>
      </c>
      <c r="V242" s="39">
        <f>資料儲存!F4750</f>
        <v>0</v>
      </c>
      <c r="W242" s="39">
        <f>資料儲存!G4750</f>
        <v>0</v>
      </c>
      <c r="X242" s="39">
        <f>資料儲存!H4750</f>
        <v>0</v>
      </c>
      <c r="Y242" s="39">
        <f>資料儲存!I4750</f>
        <v>0</v>
      </c>
      <c r="Z242" s="39">
        <f>資料儲存!J4750</f>
        <v>0</v>
      </c>
      <c r="AA242" s="58"/>
      <c r="AB242" s="61">
        <v>9</v>
      </c>
      <c r="AC242" s="39">
        <f>資料儲存!D4990</f>
        <v>0</v>
      </c>
      <c r="AD242" s="39">
        <f>資料儲存!E4990</f>
        <v>0</v>
      </c>
      <c r="AE242" s="39">
        <f>資料儲存!F4990</f>
        <v>0</v>
      </c>
      <c r="AF242" s="39">
        <f>資料儲存!G4990</f>
        <v>0</v>
      </c>
      <c r="AG242" s="39">
        <f>資料儲存!H4990</f>
        <v>0</v>
      </c>
      <c r="AH242" s="39">
        <f>資料儲存!I4990</f>
        <v>0</v>
      </c>
      <c r="AI242" s="39">
        <f>資料儲存!J4990</f>
        <v>0</v>
      </c>
      <c r="AJ242" s="58"/>
    </row>
    <row r="243" spans="1:36" ht="16" thickBot="1">
      <c r="A243" s="61">
        <v>10</v>
      </c>
      <c r="B243" s="39">
        <f>資料儲存!D4271</f>
        <v>0</v>
      </c>
      <c r="C243" s="39">
        <f>資料儲存!E4271</f>
        <v>0</v>
      </c>
      <c r="D243" s="39">
        <f>資料儲存!F4271</f>
        <v>0</v>
      </c>
      <c r="E243" s="39">
        <f>資料儲存!G4271</f>
        <v>0</v>
      </c>
      <c r="F243" s="39">
        <f>資料儲存!H4271</f>
        <v>0</v>
      </c>
      <c r="G243" s="39">
        <f>資料儲存!I4271</f>
        <v>0</v>
      </c>
      <c r="H243" s="39">
        <f>資料儲存!J4271</f>
        <v>0</v>
      </c>
      <c r="I243" s="58"/>
      <c r="J243" s="61">
        <v>10</v>
      </c>
      <c r="K243" s="39">
        <f>資料儲存!D4511</f>
        <v>0</v>
      </c>
      <c r="L243" s="39">
        <f>資料儲存!E4511</f>
        <v>0</v>
      </c>
      <c r="M243" s="39">
        <f>資料儲存!F4511</f>
        <v>0</v>
      </c>
      <c r="N243" s="39">
        <f>資料儲存!G4511</f>
        <v>0</v>
      </c>
      <c r="O243" s="39">
        <f>資料儲存!H4511</f>
        <v>0</v>
      </c>
      <c r="P243" s="39">
        <f>資料儲存!I4511</f>
        <v>0</v>
      </c>
      <c r="Q243" s="39">
        <f>資料儲存!J4511</f>
        <v>0</v>
      </c>
      <c r="R243" s="58"/>
      <c r="S243" s="61">
        <v>10</v>
      </c>
      <c r="T243" s="39">
        <f>資料儲存!D4751</f>
        <v>0</v>
      </c>
      <c r="U243" s="39">
        <f>資料儲存!E4751</f>
        <v>0</v>
      </c>
      <c r="V243" s="39">
        <f>資料儲存!F4751</f>
        <v>0</v>
      </c>
      <c r="W243" s="39">
        <f>資料儲存!G4751</f>
        <v>0</v>
      </c>
      <c r="X243" s="39">
        <f>資料儲存!H4751</f>
        <v>0</v>
      </c>
      <c r="Y243" s="39">
        <f>資料儲存!I4751</f>
        <v>0</v>
      </c>
      <c r="Z243" s="39">
        <f>資料儲存!J4751</f>
        <v>0</v>
      </c>
      <c r="AA243" s="58"/>
      <c r="AB243" s="61">
        <v>10</v>
      </c>
      <c r="AC243" s="39">
        <f>資料儲存!D4991</f>
        <v>0</v>
      </c>
      <c r="AD243" s="39">
        <f>資料儲存!E4991</f>
        <v>0</v>
      </c>
      <c r="AE243" s="39">
        <f>資料儲存!F4991</f>
        <v>0</v>
      </c>
      <c r="AF243" s="39">
        <f>資料儲存!G4991</f>
        <v>0</v>
      </c>
      <c r="AG243" s="39">
        <f>資料儲存!H4991</f>
        <v>0</v>
      </c>
      <c r="AH243" s="39">
        <f>資料儲存!I4991</f>
        <v>0</v>
      </c>
      <c r="AI243" s="39">
        <f>資料儲存!J4991</f>
        <v>0</v>
      </c>
      <c r="AJ243" s="58"/>
    </row>
    <row r="244" spans="1:36" ht="16" thickBot="1">
      <c r="A244" s="61">
        <v>11</v>
      </c>
      <c r="B244" s="39">
        <f>資料儲存!D4272</f>
        <v>0</v>
      </c>
      <c r="C244" s="39">
        <f>資料儲存!E4272</f>
        <v>0</v>
      </c>
      <c r="D244" s="39">
        <f>資料儲存!F4272</f>
        <v>0</v>
      </c>
      <c r="E244" s="39">
        <f>資料儲存!G4272</f>
        <v>0</v>
      </c>
      <c r="F244" s="39">
        <f>資料儲存!H4272</f>
        <v>0</v>
      </c>
      <c r="G244" s="39">
        <f>資料儲存!I4272</f>
        <v>0</v>
      </c>
      <c r="H244" s="39">
        <f>資料儲存!J4272</f>
        <v>0</v>
      </c>
      <c r="I244" s="58"/>
      <c r="J244" s="61">
        <v>11</v>
      </c>
      <c r="K244" s="39">
        <f>資料儲存!D4512</f>
        <v>0</v>
      </c>
      <c r="L244" s="39">
        <f>資料儲存!E4512</f>
        <v>0</v>
      </c>
      <c r="M244" s="39">
        <f>資料儲存!F4512</f>
        <v>0</v>
      </c>
      <c r="N244" s="39">
        <f>資料儲存!G4512</f>
        <v>0</v>
      </c>
      <c r="O244" s="39">
        <f>資料儲存!H4512</f>
        <v>0</v>
      </c>
      <c r="P244" s="39">
        <f>資料儲存!I4512</f>
        <v>0</v>
      </c>
      <c r="Q244" s="39">
        <f>資料儲存!J4512</f>
        <v>0</v>
      </c>
      <c r="R244" s="58"/>
      <c r="S244" s="61">
        <v>11</v>
      </c>
      <c r="T244" s="39">
        <f>資料儲存!D4752</f>
        <v>0</v>
      </c>
      <c r="U244" s="39">
        <f>資料儲存!E4752</f>
        <v>0</v>
      </c>
      <c r="V244" s="39">
        <f>資料儲存!F4752</f>
        <v>0</v>
      </c>
      <c r="W244" s="39">
        <f>資料儲存!G4752</f>
        <v>0</v>
      </c>
      <c r="X244" s="39">
        <f>資料儲存!H4752</f>
        <v>0</v>
      </c>
      <c r="Y244" s="39">
        <f>資料儲存!I4752</f>
        <v>0</v>
      </c>
      <c r="Z244" s="39">
        <f>資料儲存!J4752</f>
        <v>0</v>
      </c>
      <c r="AA244" s="58"/>
      <c r="AB244" s="61">
        <v>11</v>
      </c>
      <c r="AC244" s="39">
        <f>資料儲存!D4992</f>
        <v>0</v>
      </c>
      <c r="AD244" s="39">
        <f>資料儲存!E4992</f>
        <v>0</v>
      </c>
      <c r="AE244" s="39">
        <f>資料儲存!F4992</f>
        <v>0</v>
      </c>
      <c r="AF244" s="39">
        <f>資料儲存!G4992</f>
        <v>0</v>
      </c>
      <c r="AG244" s="39">
        <f>資料儲存!H4992</f>
        <v>0</v>
      </c>
      <c r="AH244" s="39">
        <f>資料儲存!I4992</f>
        <v>0</v>
      </c>
      <c r="AI244" s="39">
        <f>資料儲存!J4992</f>
        <v>0</v>
      </c>
      <c r="AJ244" s="58"/>
    </row>
    <row r="245" spans="1:36" ht="16" thickBot="1">
      <c r="A245" s="61">
        <v>12</v>
      </c>
      <c r="B245" s="39">
        <f>資料儲存!D4273</f>
        <v>0</v>
      </c>
      <c r="C245" s="39">
        <f>資料儲存!E4273</f>
        <v>0</v>
      </c>
      <c r="D245" s="39">
        <f>資料儲存!F4273</f>
        <v>0</v>
      </c>
      <c r="E245" s="39">
        <f>資料儲存!G4273</f>
        <v>0</v>
      </c>
      <c r="F245" s="39">
        <f>資料儲存!H4273</f>
        <v>0</v>
      </c>
      <c r="G245" s="39">
        <f>資料儲存!I4273</f>
        <v>0</v>
      </c>
      <c r="H245" s="39">
        <f>資料儲存!J4273</f>
        <v>0</v>
      </c>
      <c r="I245" s="58"/>
      <c r="J245" s="61">
        <v>12</v>
      </c>
      <c r="K245" s="39">
        <f>資料儲存!D4513</f>
        <v>0</v>
      </c>
      <c r="L245" s="39">
        <f>資料儲存!E4513</f>
        <v>0</v>
      </c>
      <c r="M245" s="39">
        <f>資料儲存!F4513</f>
        <v>0</v>
      </c>
      <c r="N245" s="39">
        <f>資料儲存!G4513</f>
        <v>0</v>
      </c>
      <c r="O245" s="39">
        <f>資料儲存!H4513</f>
        <v>0</v>
      </c>
      <c r="P245" s="39">
        <f>資料儲存!I4513</f>
        <v>0</v>
      </c>
      <c r="Q245" s="39">
        <f>資料儲存!J4513</f>
        <v>0</v>
      </c>
      <c r="R245" s="58"/>
      <c r="S245" s="61">
        <v>12</v>
      </c>
      <c r="T245" s="39">
        <f>資料儲存!D4753</f>
        <v>0</v>
      </c>
      <c r="U245" s="39">
        <f>資料儲存!E4753</f>
        <v>0</v>
      </c>
      <c r="V245" s="39">
        <f>資料儲存!F4753</f>
        <v>0</v>
      </c>
      <c r="W245" s="39">
        <f>資料儲存!G4753</f>
        <v>0</v>
      </c>
      <c r="X245" s="39">
        <f>資料儲存!H4753</f>
        <v>0</v>
      </c>
      <c r="Y245" s="39">
        <f>資料儲存!I4753</f>
        <v>0</v>
      </c>
      <c r="Z245" s="39">
        <f>資料儲存!J4753</f>
        <v>0</v>
      </c>
      <c r="AA245" s="58"/>
      <c r="AB245" s="61">
        <v>12</v>
      </c>
      <c r="AC245" s="39">
        <f>資料儲存!D4993</f>
        <v>0</v>
      </c>
      <c r="AD245" s="39">
        <f>資料儲存!E4993</f>
        <v>0</v>
      </c>
      <c r="AE245" s="39">
        <f>資料儲存!F4993</f>
        <v>0</v>
      </c>
      <c r="AF245" s="39">
        <f>資料儲存!G4993</f>
        <v>0</v>
      </c>
      <c r="AG245" s="39">
        <f>資料儲存!H4993</f>
        <v>0</v>
      </c>
      <c r="AH245" s="39">
        <f>資料儲存!I4993</f>
        <v>0</v>
      </c>
      <c r="AI245" s="39">
        <f>資料儲存!J4993</f>
        <v>0</v>
      </c>
      <c r="AJ245" s="58"/>
    </row>
    <row r="246" spans="1:36" ht="16" thickBot="1">
      <c r="A246" s="61">
        <v>13</v>
      </c>
      <c r="B246" s="39">
        <f>資料儲存!D4274</f>
        <v>0</v>
      </c>
      <c r="C246" s="39">
        <f>資料儲存!E4274</f>
        <v>0</v>
      </c>
      <c r="D246" s="39">
        <f>資料儲存!F4274</f>
        <v>0</v>
      </c>
      <c r="E246" s="39">
        <f>資料儲存!G4274</f>
        <v>0</v>
      </c>
      <c r="F246" s="39">
        <f>資料儲存!H4274</f>
        <v>0</v>
      </c>
      <c r="G246" s="39">
        <f>資料儲存!I4274</f>
        <v>0</v>
      </c>
      <c r="H246" s="39">
        <f>資料儲存!J4274</f>
        <v>0</v>
      </c>
      <c r="I246" s="58"/>
      <c r="J246" s="61">
        <v>13</v>
      </c>
      <c r="K246" s="39">
        <f>資料儲存!D4514</f>
        <v>0</v>
      </c>
      <c r="L246" s="39">
        <f>資料儲存!E4514</f>
        <v>0</v>
      </c>
      <c r="M246" s="39">
        <f>資料儲存!F4514</f>
        <v>0</v>
      </c>
      <c r="N246" s="39">
        <f>資料儲存!G4514</f>
        <v>0</v>
      </c>
      <c r="O246" s="39">
        <f>資料儲存!H4514</f>
        <v>0</v>
      </c>
      <c r="P246" s="39">
        <f>資料儲存!I4514</f>
        <v>0</v>
      </c>
      <c r="Q246" s="39">
        <f>資料儲存!J4514</f>
        <v>0</v>
      </c>
      <c r="R246" s="58"/>
      <c r="S246" s="61">
        <v>13</v>
      </c>
      <c r="T246" s="39">
        <f>資料儲存!D4754</f>
        <v>0</v>
      </c>
      <c r="U246" s="39">
        <f>資料儲存!E4754</f>
        <v>0</v>
      </c>
      <c r="V246" s="39">
        <f>資料儲存!F4754</f>
        <v>0</v>
      </c>
      <c r="W246" s="39">
        <f>資料儲存!G4754</f>
        <v>0</v>
      </c>
      <c r="X246" s="39">
        <f>資料儲存!H4754</f>
        <v>0</v>
      </c>
      <c r="Y246" s="39">
        <f>資料儲存!I4754</f>
        <v>0</v>
      </c>
      <c r="Z246" s="39">
        <f>資料儲存!J4754</f>
        <v>0</v>
      </c>
      <c r="AA246" s="58"/>
      <c r="AB246" s="61">
        <v>13</v>
      </c>
      <c r="AC246" s="39">
        <f>資料儲存!D4994</f>
        <v>0</v>
      </c>
      <c r="AD246" s="39">
        <f>資料儲存!E4994</f>
        <v>0</v>
      </c>
      <c r="AE246" s="39">
        <f>資料儲存!F4994</f>
        <v>0</v>
      </c>
      <c r="AF246" s="39">
        <f>資料儲存!G4994</f>
        <v>0</v>
      </c>
      <c r="AG246" s="39">
        <f>資料儲存!H4994</f>
        <v>0</v>
      </c>
      <c r="AH246" s="39">
        <f>資料儲存!I4994</f>
        <v>0</v>
      </c>
      <c r="AI246" s="39">
        <f>資料儲存!J4994</f>
        <v>0</v>
      </c>
      <c r="AJ246" s="58"/>
    </row>
    <row r="247" spans="1:36" ht="16" thickBot="1">
      <c r="A247" s="61">
        <v>14</v>
      </c>
      <c r="B247" s="39">
        <f>資料儲存!D4275</f>
        <v>0</v>
      </c>
      <c r="C247" s="39">
        <f>資料儲存!E4275</f>
        <v>0</v>
      </c>
      <c r="D247" s="39">
        <f>資料儲存!F4275</f>
        <v>0</v>
      </c>
      <c r="E247" s="39">
        <f>資料儲存!G4275</f>
        <v>0</v>
      </c>
      <c r="F247" s="39">
        <f>資料儲存!H4275</f>
        <v>0</v>
      </c>
      <c r="G247" s="39">
        <f>資料儲存!I4275</f>
        <v>0</v>
      </c>
      <c r="H247" s="39">
        <f>資料儲存!J4275</f>
        <v>0</v>
      </c>
      <c r="I247" s="58"/>
      <c r="J247" s="61">
        <v>14</v>
      </c>
      <c r="K247" s="39">
        <f>資料儲存!D4515</f>
        <v>0</v>
      </c>
      <c r="L247" s="39">
        <f>資料儲存!E4515</f>
        <v>0</v>
      </c>
      <c r="M247" s="39">
        <f>資料儲存!F4515</f>
        <v>0</v>
      </c>
      <c r="N247" s="39">
        <f>資料儲存!G4515</f>
        <v>0</v>
      </c>
      <c r="O247" s="39">
        <f>資料儲存!H4515</f>
        <v>0</v>
      </c>
      <c r="P247" s="39">
        <f>資料儲存!I4515</f>
        <v>0</v>
      </c>
      <c r="Q247" s="39">
        <f>資料儲存!J4515</f>
        <v>0</v>
      </c>
      <c r="R247" s="58"/>
      <c r="S247" s="61">
        <v>14</v>
      </c>
      <c r="T247" s="39">
        <f>資料儲存!D4755</f>
        <v>0</v>
      </c>
      <c r="U247" s="39">
        <f>資料儲存!E4755</f>
        <v>0</v>
      </c>
      <c r="V247" s="39">
        <f>資料儲存!F4755</f>
        <v>0</v>
      </c>
      <c r="W247" s="39">
        <f>資料儲存!G4755</f>
        <v>0</v>
      </c>
      <c r="X247" s="39">
        <f>資料儲存!H4755</f>
        <v>0</v>
      </c>
      <c r="Y247" s="39">
        <f>資料儲存!I4755</f>
        <v>0</v>
      </c>
      <c r="Z247" s="39">
        <f>資料儲存!J4755</f>
        <v>0</v>
      </c>
      <c r="AA247" s="58"/>
      <c r="AB247" s="61">
        <v>14</v>
      </c>
      <c r="AC247" s="39">
        <f>資料儲存!D4995</f>
        <v>0</v>
      </c>
      <c r="AD247" s="39">
        <f>資料儲存!E4995</f>
        <v>0</v>
      </c>
      <c r="AE247" s="39">
        <f>資料儲存!F4995</f>
        <v>0</v>
      </c>
      <c r="AF247" s="39">
        <f>資料儲存!G4995</f>
        <v>0</v>
      </c>
      <c r="AG247" s="39">
        <f>資料儲存!H4995</f>
        <v>0</v>
      </c>
      <c r="AH247" s="39">
        <f>資料儲存!I4995</f>
        <v>0</v>
      </c>
      <c r="AI247" s="39">
        <f>資料儲存!J4995</f>
        <v>0</v>
      </c>
      <c r="AJ247" s="58"/>
    </row>
    <row r="248" spans="1:36" ht="16" thickBot="1">
      <c r="A248" s="61">
        <v>15</v>
      </c>
      <c r="B248" s="39">
        <f>資料儲存!D4276</f>
        <v>0</v>
      </c>
      <c r="C248" s="39">
        <f>資料儲存!E4276</f>
        <v>0</v>
      </c>
      <c r="D248" s="39">
        <f>資料儲存!F4276</f>
        <v>0</v>
      </c>
      <c r="E248" s="39">
        <f>資料儲存!G4276</f>
        <v>0</v>
      </c>
      <c r="F248" s="39">
        <f>資料儲存!H4276</f>
        <v>0</v>
      </c>
      <c r="G248" s="39">
        <f>資料儲存!I4276</f>
        <v>0</v>
      </c>
      <c r="H248" s="39">
        <f>資料儲存!J4276</f>
        <v>0</v>
      </c>
      <c r="I248" s="58"/>
      <c r="J248" s="61">
        <v>15</v>
      </c>
      <c r="K248" s="39">
        <f>資料儲存!D4516</f>
        <v>0</v>
      </c>
      <c r="L248" s="39">
        <f>資料儲存!E4516</f>
        <v>0</v>
      </c>
      <c r="M248" s="39">
        <f>資料儲存!F4516</f>
        <v>0</v>
      </c>
      <c r="N248" s="39">
        <f>資料儲存!G4516</f>
        <v>0</v>
      </c>
      <c r="O248" s="39">
        <f>資料儲存!H4516</f>
        <v>0</v>
      </c>
      <c r="P248" s="39">
        <f>資料儲存!I4516</f>
        <v>0</v>
      </c>
      <c r="Q248" s="39">
        <f>資料儲存!J4516</f>
        <v>0</v>
      </c>
      <c r="R248" s="58"/>
      <c r="S248" s="61">
        <v>15</v>
      </c>
      <c r="T248" s="39">
        <f>資料儲存!D4756</f>
        <v>0</v>
      </c>
      <c r="U248" s="39">
        <f>資料儲存!E4756</f>
        <v>0</v>
      </c>
      <c r="V248" s="39">
        <f>資料儲存!F4756</f>
        <v>0</v>
      </c>
      <c r="W248" s="39">
        <f>資料儲存!G4756</f>
        <v>0</v>
      </c>
      <c r="X248" s="39">
        <f>資料儲存!H4756</f>
        <v>0</v>
      </c>
      <c r="Y248" s="39">
        <f>資料儲存!I4756</f>
        <v>0</v>
      </c>
      <c r="Z248" s="39">
        <f>資料儲存!J4756</f>
        <v>0</v>
      </c>
      <c r="AA248" s="58"/>
      <c r="AB248" s="61">
        <v>15</v>
      </c>
      <c r="AC248" s="39">
        <f>資料儲存!D4996</f>
        <v>0</v>
      </c>
      <c r="AD248" s="39">
        <f>資料儲存!E4996</f>
        <v>0</v>
      </c>
      <c r="AE248" s="39">
        <f>資料儲存!F4996</f>
        <v>0</v>
      </c>
      <c r="AF248" s="39">
        <f>資料儲存!G4996</f>
        <v>0</v>
      </c>
      <c r="AG248" s="39">
        <f>資料儲存!H4996</f>
        <v>0</v>
      </c>
      <c r="AH248" s="39">
        <f>資料儲存!I4996</f>
        <v>0</v>
      </c>
      <c r="AI248" s="39">
        <f>資料儲存!J4996</f>
        <v>0</v>
      </c>
      <c r="AJ248" s="58"/>
    </row>
    <row r="249" spans="1:36" ht="17.25" customHeight="1" thickBot="1">
      <c r="A249" s="40" t="s">
        <v>56</v>
      </c>
      <c r="B249" s="39">
        <f>SUM(B234:E248)</f>
        <v>0</v>
      </c>
      <c r="C249" s="37"/>
      <c r="D249" s="37"/>
      <c r="E249" s="37"/>
      <c r="F249" s="39">
        <f>F248</f>
        <v>0</v>
      </c>
      <c r="G249" s="39">
        <f>G248</f>
        <v>0</v>
      </c>
      <c r="H249" s="39">
        <f>H248</f>
        <v>0</v>
      </c>
      <c r="I249" s="35"/>
      <c r="J249" s="40" t="s">
        <v>56</v>
      </c>
      <c r="K249" s="39">
        <f>SUM(K234:N248)</f>
        <v>0</v>
      </c>
      <c r="L249" s="37"/>
      <c r="M249" s="37"/>
      <c r="N249" s="37"/>
      <c r="O249" s="39">
        <f>O248</f>
        <v>0</v>
      </c>
      <c r="P249" s="39">
        <f>P248</f>
        <v>0</v>
      </c>
      <c r="Q249" s="39">
        <f>Q248</f>
        <v>0</v>
      </c>
      <c r="R249" s="35"/>
      <c r="S249" s="40" t="s">
        <v>56</v>
      </c>
      <c r="T249" s="39">
        <f>SUM(T234:W248)</f>
        <v>0</v>
      </c>
      <c r="U249" s="37"/>
      <c r="V249" s="37"/>
      <c r="W249" s="37"/>
      <c r="X249" s="39">
        <f>X248</f>
        <v>0</v>
      </c>
      <c r="Y249" s="39">
        <f>Y248</f>
        <v>0</v>
      </c>
      <c r="Z249" s="39">
        <f>Z248</f>
        <v>0</v>
      </c>
      <c r="AA249" s="35"/>
      <c r="AB249" s="40" t="s">
        <v>56</v>
      </c>
      <c r="AC249" s="39">
        <f>SUM(AC234:AF248)</f>
        <v>0</v>
      </c>
      <c r="AD249" s="37"/>
      <c r="AE249" s="37"/>
      <c r="AF249" s="37"/>
      <c r="AG249" s="39">
        <f>AG248</f>
        <v>0</v>
      </c>
      <c r="AH249" s="39">
        <f>AH248</f>
        <v>0</v>
      </c>
      <c r="AI249" s="39">
        <f>AI248</f>
        <v>0</v>
      </c>
      <c r="AJ249" s="35"/>
    </row>
    <row r="250" spans="1:36" ht="18.5" thickBot="1">
      <c r="A250" s="259" t="s">
        <v>182</v>
      </c>
      <c r="B250" s="260"/>
      <c r="C250" s="260"/>
      <c r="D250" s="260"/>
      <c r="E250" s="260"/>
      <c r="F250" s="260"/>
      <c r="G250" s="260"/>
      <c r="H250" s="261"/>
      <c r="I250" s="14"/>
      <c r="J250" s="259" t="s">
        <v>182</v>
      </c>
      <c r="K250" s="260"/>
      <c r="L250" s="260"/>
      <c r="M250" s="260"/>
      <c r="N250" s="260"/>
      <c r="O250" s="260"/>
      <c r="P250" s="260"/>
      <c r="Q250" s="261"/>
      <c r="R250" s="14"/>
      <c r="S250" s="259" t="s">
        <v>182</v>
      </c>
      <c r="T250" s="260"/>
      <c r="U250" s="260"/>
      <c r="V250" s="260"/>
      <c r="W250" s="260"/>
      <c r="X250" s="260"/>
      <c r="Y250" s="260"/>
      <c r="Z250" s="261"/>
      <c r="AA250" s="14"/>
      <c r="AB250" s="259" t="s">
        <v>182</v>
      </c>
      <c r="AC250" s="260"/>
      <c r="AD250" s="260"/>
      <c r="AE250" s="260"/>
      <c r="AF250" s="260"/>
      <c r="AG250" s="260"/>
      <c r="AH250" s="260"/>
      <c r="AI250" s="261"/>
      <c r="AJ250" s="14"/>
    </row>
    <row r="251" spans="1:36" ht="17.25" customHeight="1" thickBot="1">
      <c r="A251" s="62" t="s">
        <v>2</v>
      </c>
      <c r="B251" s="63" t="s">
        <v>46</v>
      </c>
      <c r="C251" s="64"/>
      <c r="D251" s="64"/>
      <c r="E251" s="65"/>
      <c r="F251" s="63" t="s">
        <v>47</v>
      </c>
      <c r="G251" s="64"/>
      <c r="H251" s="65"/>
      <c r="I251" s="52"/>
      <c r="J251" s="62" t="s">
        <v>2</v>
      </c>
      <c r="K251" s="63" t="s">
        <v>46</v>
      </c>
      <c r="L251" s="64"/>
      <c r="M251" s="64"/>
      <c r="N251" s="65"/>
      <c r="O251" s="63" t="s">
        <v>47</v>
      </c>
      <c r="P251" s="64"/>
      <c r="Q251" s="65"/>
      <c r="R251" s="52"/>
      <c r="S251" s="62" t="s">
        <v>2</v>
      </c>
      <c r="T251" s="63" t="s">
        <v>46</v>
      </c>
      <c r="U251" s="64"/>
      <c r="V251" s="64"/>
      <c r="W251" s="65"/>
      <c r="X251" s="63" t="s">
        <v>47</v>
      </c>
      <c r="Y251" s="64"/>
      <c r="Z251" s="65"/>
      <c r="AA251" s="52"/>
      <c r="AB251" s="62" t="s">
        <v>2</v>
      </c>
      <c r="AC251" s="63" t="s">
        <v>46</v>
      </c>
      <c r="AD251" s="64"/>
      <c r="AE251" s="64"/>
      <c r="AF251" s="65"/>
      <c r="AG251" s="63" t="s">
        <v>47</v>
      </c>
      <c r="AH251" s="64"/>
      <c r="AI251" s="65"/>
      <c r="AJ251" s="52"/>
    </row>
    <row r="252" spans="1:36" ht="16" thickBot="1">
      <c r="A252" s="66">
        <v>0.80208333333333337</v>
      </c>
      <c r="B252" s="67" t="s">
        <v>49</v>
      </c>
      <c r="C252" s="67" t="s">
        <v>50</v>
      </c>
      <c r="D252" s="67" t="s">
        <v>51</v>
      </c>
      <c r="E252" s="67" t="s">
        <v>52</v>
      </c>
      <c r="F252" s="67" t="s">
        <v>53</v>
      </c>
      <c r="G252" s="67" t="s">
        <v>54</v>
      </c>
      <c r="H252" s="67" t="s">
        <v>55</v>
      </c>
      <c r="I252" s="52"/>
      <c r="J252" s="66">
        <v>0.80208333333333337</v>
      </c>
      <c r="K252" s="67" t="s">
        <v>49</v>
      </c>
      <c r="L252" s="67" t="s">
        <v>50</v>
      </c>
      <c r="M252" s="67" t="s">
        <v>51</v>
      </c>
      <c r="N252" s="67" t="s">
        <v>52</v>
      </c>
      <c r="O252" s="67" t="s">
        <v>53</v>
      </c>
      <c r="P252" s="67" t="s">
        <v>54</v>
      </c>
      <c r="Q252" s="67" t="s">
        <v>55</v>
      </c>
      <c r="R252" s="52"/>
      <c r="S252" s="66">
        <v>0.80208333333333337</v>
      </c>
      <c r="T252" s="67" t="s">
        <v>49</v>
      </c>
      <c r="U252" s="67" t="s">
        <v>50</v>
      </c>
      <c r="V252" s="67" t="s">
        <v>51</v>
      </c>
      <c r="W252" s="67" t="s">
        <v>52</v>
      </c>
      <c r="X252" s="67" t="s">
        <v>53</v>
      </c>
      <c r="Y252" s="67" t="s">
        <v>54</v>
      </c>
      <c r="Z252" s="67" t="s">
        <v>55</v>
      </c>
      <c r="AA252" s="52"/>
      <c r="AB252" s="66">
        <v>0.80208333333333337</v>
      </c>
      <c r="AC252" s="67" t="s">
        <v>49</v>
      </c>
      <c r="AD252" s="67" t="s">
        <v>50</v>
      </c>
      <c r="AE252" s="67" t="s">
        <v>51</v>
      </c>
      <c r="AF252" s="67" t="s">
        <v>52</v>
      </c>
      <c r="AG252" s="67" t="s">
        <v>53</v>
      </c>
      <c r="AH252" s="67" t="s">
        <v>54</v>
      </c>
      <c r="AI252" s="67" t="s">
        <v>55</v>
      </c>
      <c r="AJ252" s="52"/>
    </row>
    <row r="253" spans="1:36" ht="16" thickBot="1">
      <c r="A253" s="68">
        <v>16</v>
      </c>
      <c r="B253" s="49">
        <f>資料儲存!D4277</f>
        <v>0</v>
      </c>
      <c r="C253" s="49">
        <f>資料儲存!E4277</f>
        <v>0</v>
      </c>
      <c r="D253" s="49">
        <f>資料儲存!F4277</f>
        <v>0</v>
      </c>
      <c r="E253" s="49">
        <f>資料儲存!G4277</f>
        <v>0</v>
      </c>
      <c r="F253" s="49">
        <f>資料儲存!H4277</f>
        <v>0</v>
      </c>
      <c r="G253" s="49">
        <f>資料儲存!I4277</f>
        <v>0</v>
      </c>
      <c r="H253" s="49">
        <f>資料儲存!J4277</f>
        <v>0</v>
      </c>
      <c r="I253" s="52"/>
      <c r="J253" s="68">
        <v>16</v>
      </c>
      <c r="K253" s="49">
        <f>資料儲存!D4517</f>
        <v>0</v>
      </c>
      <c r="L253" s="49">
        <f>資料儲存!E4517</f>
        <v>0</v>
      </c>
      <c r="M253" s="49">
        <f>資料儲存!F4517</f>
        <v>0</v>
      </c>
      <c r="N253" s="49">
        <f>資料儲存!G4517</f>
        <v>0</v>
      </c>
      <c r="O253" s="49">
        <f>資料儲存!H4517</f>
        <v>0</v>
      </c>
      <c r="P253" s="49">
        <f>資料儲存!I4517</f>
        <v>0</v>
      </c>
      <c r="Q253" s="49">
        <f>資料儲存!J4517</f>
        <v>0</v>
      </c>
      <c r="R253" s="52"/>
      <c r="S253" s="68">
        <v>16</v>
      </c>
      <c r="T253" s="49">
        <f>資料儲存!D4757</f>
        <v>0</v>
      </c>
      <c r="U253" s="49">
        <f>資料儲存!E4757</f>
        <v>0</v>
      </c>
      <c r="V253" s="49">
        <f>資料儲存!F4757</f>
        <v>0</v>
      </c>
      <c r="W253" s="49">
        <f>資料儲存!G4757</f>
        <v>0</v>
      </c>
      <c r="X253" s="49">
        <f>資料儲存!H4757</f>
        <v>0</v>
      </c>
      <c r="Y253" s="49">
        <f>資料儲存!I4757</f>
        <v>0</v>
      </c>
      <c r="Z253" s="49">
        <f>資料儲存!J4757</f>
        <v>0</v>
      </c>
      <c r="AA253" s="52"/>
      <c r="AB253" s="68">
        <v>16</v>
      </c>
      <c r="AC253" s="49">
        <f>資料儲存!D4997</f>
        <v>0</v>
      </c>
      <c r="AD253" s="49">
        <f>資料儲存!E4997</f>
        <v>0</v>
      </c>
      <c r="AE253" s="49">
        <f>資料儲存!F4997</f>
        <v>0</v>
      </c>
      <c r="AF253" s="49">
        <f>資料儲存!G4997</f>
        <v>0</v>
      </c>
      <c r="AG253" s="49">
        <f>資料儲存!H4997</f>
        <v>0</v>
      </c>
      <c r="AH253" s="49">
        <f>資料儲存!I4997</f>
        <v>0</v>
      </c>
      <c r="AI253" s="49">
        <f>資料儲存!J4997</f>
        <v>0</v>
      </c>
      <c r="AJ253" s="52"/>
    </row>
    <row r="254" spans="1:36" ht="16" thickBot="1">
      <c r="A254" s="68">
        <v>17</v>
      </c>
      <c r="B254" s="49">
        <f>資料儲存!D4278</f>
        <v>0</v>
      </c>
      <c r="C254" s="49">
        <f>資料儲存!E4278</f>
        <v>0</v>
      </c>
      <c r="D254" s="49">
        <f>資料儲存!F4278</f>
        <v>0</v>
      </c>
      <c r="E254" s="49">
        <f>資料儲存!G4278</f>
        <v>0</v>
      </c>
      <c r="F254" s="49">
        <f>資料儲存!H4278</f>
        <v>0</v>
      </c>
      <c r="G254" s="49">
        <f>資料儲存!I4278</f>
        <v>0</v>
      </c>
      <c r="H254" s="49">
        <f>資料儲存!J4278</f>
        <v>0</v>
      </c>
      <c r="I254" s="52"/>
      <c r="J254" s="68">
        <v>17</v>
      </c>
      <c r="K254" s="49">
        <f>資料儲存!D4518</f>
        <v>0</v>
      </c>
      <c r="L254" s="49">
        <f>資料儲存!E4518</f>
        <v>0</v>
      </c>
      <c r="M254" s="49">
        <f>資料儲存!F4518</f>
        <v>0</v>
      </c>
      <c r="N254" s="49">
        <f>資料儲存!G4518</f>
        <v>0</v>
      </c>
      <c r="O254" s="49">
        <f>資料儲存!H4518</f>
        <v>0</v>
      </c>
      <c r="P254" s="49">
        <f>資料儲存!I4518</f>
        <v>0</v>
      </c>
      <c r="Q254" s="49">
        <f>資料儲存!J4518</f>
        <v>0</v>
      </c>
      <c r="R254" s="52"/>
      <c r="S254" s="68">
        <v>17</v>
      </c>
      <c r="T254" s="49">
        <f>資料儲存!D4758</f>
        <v>0</v>
      </c>
      <c r="U254" s="49">
        <f>資料儲存!E4758</f>
        <v>0</v>
      </c>
      <c r="V254" s="49">
        <f>資料儲存!F4758</f>
        <v>0</v>
      </c>
      <c r="W254" s="49">
        <f>資料儲存!G4758</f>
        <v>0</v>
      </c>
      <c r="X254" s="49">
        <f>資料儲存!H4758</f>
        <v>0</v>
      </c>
      <c r="Y254" s="49">
        <f>資料儲存!I4758</f>
        <v>0</v>
      </c>
      <c r="Z254" s="49">
        <f>資料儲存!J4758</f>
        <v>0</v>
      </c>
      <c r="AA254" s="52"/>
      <c r="AB254" s="68">
        <v>17</v>
      </c>
      <c r="AC254" s="49">
        <f>資料儲存!D4998</f>
        <v>0</v>
      </c>
      <c r="AD254" s="49">
        <f>資料儲存!E4998</f>
        <v>0</v>
      </c>
      <c r="AE254" s="49">
        <f>資料儲存!F4998</f>
        <v>0</v>
      </c>
      <c r="AF254" s="49">
        <f>資料儲存!G4998</f>
        <v>0</v>
      </c>
      <c r="AG254" s="49">
        <f>資料儲存!H4998</f>
        <v>0</v>
      </c>
      <c r="AH254" s="49">
        <f>資料儲存!I4998</f>
        <v>0</v>
      </c>
      <c r="AI254" s="49">
        <f>資料儲存!J4998</f>
        <v>0</v>
      </c>
      <c r="AJ254" s="52"/>
    </row>
    <row r="255" spans="1:36" ht="16" thickBot="1">
      <c r="A255" s="68">
        <v>18</v>
      </c>
      <c r="B255" s="49">
        <f>資料儲存!D4279</f>
        <v>0</v>
      </c>
      <c r="C255" s="49">
        <f>資料儲存!E4279</f>
        <v>0</v>
      </c>
      <c r="D255" s="49">
        <f>資料儲存!F4279</f>
        <v>0</v>
      </c>
      <c r="E255" s="49">
        <f>資料儲存!G4279</f>
        <v>0</v>
      </c>
      <c r="F255" s="49">
        <f>資料儲存!H4279</f>
        <v>0</v>
      </c>
      <c r="G255" s="49">
        <f>資料儲存!I4279</f>
        <v>0</v>
      </c>
      <c r="H255" s="49">
        <f>資料儲存!J4279</f>
        <v>0</v>
      </c>
      <c r="I255" s="52"/>
      <c r="J255" s="68">
        <v>18</v>
      </c>
      <c r="K255" s="49">
        <f>資料儲存!D4519</f>
        <v>0</v>
      </c>
      <c r="L255" s="49">
        <f>資料儲存!E4519</f>
        <v>0</v>
      </c>
      <c r="M255" s="49">
        <f>資料儲存!F4519</f>
        <v>0</v>
      </c>
      <c r="N255" s="49">
        <f>資料儲存!G4519</f>
        <v>0</v>
      </c>
      <c r="O255" s="49">
        <f>資料儲存!H4519</f>
        <v>0</v>
      </c>
      <c r="P255" s="49">
        <f>資料儲存!I4519</f>
        <v>0</v>
      </c>
      <c r="Q255" s="49">
        <f>資料儲存!J4519</f>
        <v>0</v>
      </c>
      <c r="R255" s="52"/>
      <c r="S255" s="68">
        <v>18</v>
      </c>
      <c r="T255" s="49">
        <f>資料儲存!D4759</f>
        <v>0</v>
      </c>
      <c r="U255" s="49">
        <f>資料儲存!E4759</f>
        <v>0</v>
      </c>
      <c r="V255" s="49">
        <f>資料儲存!F4759</f>
        <v>0</v>
      </c>
      <c r="W255" s="49">
        <f>資料儲存!G4759</f>
        <v>0</v>
      </c>
      <c r="X255" s="49">
        <f>資料儲存!H4759</f>
        <v>0</v>
      </c>
      <c r="Y255" s="49">
        <f>資料儲存!I4759</f>
        <v>0</v>
      </c>
      <c r="Z255" s="49">
        <f>資料儲存!J4759</f>
        <v>0</v>
      </c>
      <c r="AA255" s="52"/>
      <c r="AB255" s="68">
        <v>18</v>
      </c>
      <c r="AC255" s="49">
        <f>資料儲存!D4999</f>
        <v>0</v>
      </c>
      <c r="AD255" s="49">
        <f>資料儲存!E4999</f>
        <v>0</v>
      </c>
      <c r="AE255" s="49">
        <f>資料儲存!F4999</f>
        <v>0</v>
      </c>
      <c r="AF255" s="49">
        <f>資料儲存!G4999</f>
        <v>0</v>
      </c>
      <c r="AG255" s="49">
        <f>資料儲存!H4999</f>
        <v>0</v>
      </c>
      <c r="AH255" s="49">
        <f>資料儲存!I4999</f>
        <v>0</v>
      </c>
      <c r="AI255" s="49">
        <f>資料儲存!J4999</f>
        <v>0</v>
      </c>
      <c r="AJ255" s="52"/>
    </row>
    <row r="256" spans="1:36" ht="16" thickBot="1">
      <c r="A256" s="68">
        <v>19</v>
      </c>
      <c r="B256" s="49">
        <f>資料儲存!D4280</f>
        <v>0</v>
      </c>
      <c r="C256" s="49">
        <f>資料儲存!E4280</f>
        <v>0</v>
      </c>
      <c r="D256" s="49">
        <f>資料儲存!F4280</f>
        <v>0</v>
      </c>
      <c r="E256" s="49">
        <f>資料儲存!G4280</f>
        <v>0</v>
      </c>
      <c r="F256" s="49">
        <f>資料儲存!H4280</f>
        <v>0</v>
      </c>
      <c r="G256" s="49">
        <f>資料儲存!I4280</f>
        <v>0</v>
      </c>
      <c r="H256" s="49">
        <f>資料儲存!J4280</f>
        <v>0</v>
      </c>
      <c r="I256" s="52"/>
      <c r="J256" s="68">
        <v>19</v>
      </c>
      <c r="K256" s="49">
        <f>資料儲存!D4520</f>
        <v>0</v>
      </c>
      <c r="L256" s="49">
        <f>資料儲存!E4520</f>
        <v>0</v>
      </c>
      <c r="M256" s="49">
        <f>資料儲存!F4520</f>
        <v>0</v>
      </c>
      <c r="N256" s="49">
        <f>資料儲存!G4520</f>
        <v>0</v>
      </c>
      <c r="O256" s="49">
        <f>資料儲存!H4520</f>
        <v>0</v>
      </c>
      <c r="P256" s="49">
        <f>資料儲存!I4520</f>
        <v>0</v>
      </c>
      <c r="Q256" s="49">
        <f>資料儲存!J4520</f>
        <v>0</v>
      </c>
      <c r="R256" s="52"/>
      <c r="S256" s="68">
        <v>19</v>
      </c>
      <c r="T256" s="49">
        <f>資料儲存!D4760</f>
        <v>0</v>
      </c>
      <c r="U256" s="49">
        <f>資料儲存!E4760</f>
        <v>0</v>
      </c>
      <c r="V256" s="49">
        <f>資料儲存!F4760</f>
        <v>0</v>
      </c>
      <c r="W256" s="49">
        <f>資料儲存!G4760</f>
        <v>0</v>
      </c>
      <c r="X256" s="49">
        <f>資料儲存!H4760</f>
        <v>0</v>
      </c>
      <c r="Y256" s="49">
        <f>資料儲存!I4760</f>
        <v>0</v>
      </c>
      <c r="Z256" s="49">
        <f>資料儲存!J4760</f>
        <v>0</v>
      </c>
      <c r="AA256" s="52"/>
      <c r="AB256" s="68">
        <v>19</v>
      </c>
      <c r="AC256" s="49">
        <f>資料儲存!D5000</f>
        <v>0</v>
      </c>
      <c r="AD256" s="49">
        <f>資料儲存!E5000</f>
        <v>0</v>
      </c>
      <c r="AE256" s="49">
        <f>資料儲存!F5000</f>
        <v>0</v>
      </c>
      <c r="AF256" s="49">
        <f>資料儲存!G5000</f>
        <v>0</v>
      </c>
      <c r="AG256" s="49">
        <f>資料儲存!H5000</f>
        <v>0</v>
      </c>
      <c r="AH256" s="49">
        <f>資料儲存!I5000</f>
        <v>0</v>
      </c>
      <c r="AI256" s="49">
        <f>資料儲存!J5000</f>
        <v>0</v>
      </c>
      <c r="AJ256" s="52"/>
    </row>
    <row r="257" spans="1:36" ht="16" thickBot="1">
      <c r="A257" s="68">
        <v>20</v>
      </c>
      <c r="B257" s="49">
        <f>資料儲存!D4281</f>
        <v>0</v>
      </c>
      <c r="C257" s="49">
        <f>資料儲存!E4281</f>
        <v>0</v>
      </c>
      <c r="D257" s="49">
        <f>資料儲存!F4281</f>
        <v>0</v>
      </c>
      <c r="E257" s="49">
        <f>資料儲存!G4281</f>
        <v>0</v>
      </c>
      <c r="F257" s="49">
        <f>資料儲存!H4281</f>
        <v>0</v>
      </c>
      <c r="G257" s="49">
        <f>資料儲存!I4281</f>
        <v>0</v>
      </c>
      <c r="H257" s="49">
        <f>資料儲存!J4281</f>
        <v>0</v>
      </c>
      <c r="I257" s="52"/>
      <c r="J257" s="68">
        <v>20</v>
      </c>
      <c r="K257" s="49">
        <f>資料儲存!D4521</f>
        <v>0</v>
      </c>
      <c r="L257" s="49">
        <f>資料儲存!E4521</f>
        <v>0</v>
      </c>
      <c r="M257" s="49">
        <f>資料儲存!F4521</f>
        <v>0</v>
      </c>
      <c r="N257" s="49">
        <f>資料儲存!G4521</f>
        <v>0</v>
      </c>
      <c r="O257" s="49">
        <f>資料儲存!H4521</f>
        <v>0</v>
      </c>
      <c r="P257" s="49">
        <f>資料儲存!I4521</f>
        <v>0</v>
      </c>
      <c r="Q257" s="49">
        <f>資料儲存!J4521</f>
        <v>0</v>
      </c>
      <c r="R257" s="52"/>
      <c r="S257" s="68">
        <v>20</v>
      </c>
      <c r="T257" s="49">
        <f>資料儲存!D4761</f>
        <v>0</v>
      </c>
      <c r="U257" s="49">
        <f>資料儲存!E4761</f>
        <v>0</v>
      </c>
      <c r="V257" s="49">
        <f>資料儲存!F4761</f>
        <v>0</v>
      </c>
      <c r="W257" s="49">
        <f>資料儲存!G4761</f>
        <v>0</v>
      </c>
      <c r="X257" s="49">
        <f>資料儲存!H4761</f>
        <v>0</v>
      </c>
      <c r="Y257" s="49">
        <f>資料儲存!I4761</f>
        <v>0</v>
      </c>
      <c r="Z257" s="49">
        <f>資料儲存!J4761</f>
        <v>0</v>
      </c>
      <c r="AA257" s="52"/>
      <c r="AB257" s="68">
        <v>20</v>
      </c>
      <c r="AC257" s="49">
        <f>資料儲存!D5001</f>
        <v>0</v>
      </c>
      <c r="AD257" s="49">
        <f>資料儲存!E5001</f>
        <v>0</v>
      </c>
      <c r="AE257" s="49">
        <f>資料儲存!F5001</f>
        <v>0</v>
      </c>
      <c r="AF257" s="49">
        <f>資料儲存!G5001</f>
        <v>0</v>
      </c>
      <c r="AG257" s="49">
        <f>資料儲存!H5001</f>
        <v>0</v>
      </c>
      <c r="AH257" s="49">
        <f>資料儲存!I5001</f>
        <v>0</v>
      </c>
      <c r="AI257" s="49">
        <f>資料儲存!J5001</f>
        <v>0</v>
      </c>
      <c r="AJ257" s="52"/>
    </row>
    <row r="258" spans="1:36" ht="16" thickBot="1">
      <c r="A258" s="68">
        <v>21</v>
      </c>
      <c r="B258" s="49">
        <f>資料儲存!D4282</f>
        <v>0</v>
      </c>
      <c r="C258" s="49">
        <f>資料儲存!E4282</f>
        <v>0</v>
      </c>
      <c r="D258" s="49">
        <f>資料儲存!F4282</f>
        <v>0</v>
      </c>
      <c r="E258" s="49">
        <f>資料儲存!G4282</f>
        <v>0</v>
      </c>
      <c r="F258" s="49">
        <f>資料儲存!H4282</f>
        <v>0</v>
      </c>
      <c r="G258" s="49">
        <f>資料儲存!I4282</f>
        <v>0</v>
      </c>
      <c r="H258" s="49">
        <f>資料儲存!J4282</f>
        <v>0</v>
      </c>
      <c r="I258" s="52"/>
      <c r="J258" s="68">
        <v>21</v>
      </c>
      <c r="K258" s="49">
        <f>資料儲存!D4522</f>
        <v>0</v>
      </c>
      <c r="L258" s="49">
        <f>資料儲存!E4522</f>
        <v>0</v>
      </c>
      <c r="M258" s="49">
        <f>資料儲存!F4522</f>
        <v>0</v>
      </c>
      <c r="N258" s="49">
        <f>資料儲存!G4522</f>
        <v>0</v>
      </c>
      <c r="O258" s="49">
        <f>資料儲存!H4522</f>
        <v>0</v>
      </c>
      <c r="P258" s="49">
        <f>資料儲存!I4522</f>
        <v>0</v>
      </c>
      <c r="Q258" s="49">
        <f>資料儲存!J4522</f>
        <v>0</v>
      </c>
      <c r="R258" s="52"/>
      <c r="S258" s="68">
        <v>21</v>
      </c>
      <c r="T258" s="49">
        <f>資料儲存!D4762</f>
        <v>0</v>
      </c>
      <c r="U258" s="49">
        <f>資料儲存!E4762</f>
        <v>0</v>
      </c>
      <c r="V258" s="49">
        <f>資料儲存!F4762</f>
        <v>0</v>
      </c>
      <c r="W258" s="49">
        <f>資料儲存!G4762</f>
        <v>0</v>
      </c>
      <c r="X258" s="49">
        <f>資料儲存!H4762</f>
        <v>0</v>
      </c>
      <c r="Y258" s="49">
        <f>資料儲存!I4762</f>
        <v>0</v>
      </c>
      <c r="Z258" s="49">
        <f>資料儲存!J4762</f>
        <v>0</v>
      </c>
      <c r="AA258" s="52"/>
      <c r="AB258" s="68">
        <v>21</v>
      </c>
      <c r="AC258" s="49">
        <f>資料儲存!D5002</f>
        <v>0</v>
      </c>
      <c r="AD258" s="49">
        <f>資料儲存!E5002</f>
        <v>0</v>
      </c>
      <c r="AE258" s="49">
        <f>資料儲存!F5002</f>
        <v>0</v>
      </c>
      <c r="AF258" s="49">
        <f>資料儲存!G5002</f>
        <v>0</v>
      </c>
      <c r="AG258" s="49">
        <f>資料儲存!H5002</f>
        <v>0</v>
      </c>
      <c r="AH258" s="49">
        <f>資料儲存!I5002</f>
        <v>0</v>
      </c>
      <c r="AI258" s="49">
        <f>資料儲存!J5002</f>
        <v>0</v>
      </c>
      <c r="AJ258" s="52"/>
    </row>
    <row r="259" spans="1:36" ht="16" thickBot="1">
      <c r="A259" s="68">
        <v>22</v>
      </c>
      <c r="B259" s="49">
        <f>資料儲存!D4283</f>
        <v>0</v>
      </c>
      <c r="C259" s="49">
        <f>資料儲存!E4283</f>
        <v>0</v>
      </c>
      <c r="D259" s="49">
        <f>資料儲存!F4283</f>
        <v>0</v>
      </c>
      <c r="E259" s="49">
        <f>資料儲存!G4283</f>
        <v>0</v>
      </c>
      <c r="F259" s="49">
        <f>資料儲存!H4283</f>
        <v>0</v>
      </c>
      <c r="G259" s="49">
        <f>資料儲存!I4283</f>
        <v>0</v>
      </c>
      <c r="H259" s="49">
        <f>資料儲存!J4283</f>
        <v>0</v>
      </c>
      <c r="I259" s="52"/>
      <c r="J259" s="68">
        <v>22</v>
      </c>
      <c r="K259" s="49">
        <f>資料儲存!D4523</f>
        <v>0</v>
      </c>
      <c r="L259" s="49">
        <f>資料儲存!E4523</f>
        <v>0</v>
      </c>
      <c r="M259" s="49">
        <f>資料儲存!F4523</f>
        <v>0</v>
      </c>
      <c r="N259" s="49">
        <f>資料儲存!G4523</f>
        <v>0</v>
      </c>
      <c r="O259" s="49">
        <f>資料儲存!H4523</f>
        <v>0</v>
      </c>
      <c r="P259" s="49">
        <f>資料儲存!I4523</f>
        <v>0</v>
      </c>
      <c r="Q259" s="49">
        <f>資料儲存!J4523</f>
        <v>0</v>
      </c>
      <c r="R259" s="52"/>
      <c r="S259" s="68">
        <v>22</v>
      </c>
      <c r="T259" s="49">
        <f>資料儲存!D4763</f>
        <v>0</v>
      </c>
      <c r="U259" s="49">
        <f>資料儲存!E4763</f>
        <v>0</v>
      </c>
      <c r="V259" s="49">
        <f>資料儲存!F4763</f>
        <v>0</v>
      </c>
      <c r="W259" s="49">
        <f>資料儲存!G4763</f>
        <v>0</v>
      </c>
      <c r="X259" s="49">
        <f>資料儲存!H4763</f>
        <v>0</v>
      </c>
      <c r="Y259" s="49">
        <f>資料儲存!I4763</f>
        <v>0</v>
      </c>
      <c r="Z259" s="49">
        <f>資料儲存!J4763</f>
        <v>0</v>
      </c>
      <c r="AA259" s="52"/>
      <c r="AB259" s="68">
        <v>22</v>
      </c>
      <c r="AC259" s="49">
        <f>資料儲存!D5003</f>
        <v>0</v>
      </c>
      <c r="AD259" s="49">
        <f>資料儲存!E5003</f>
        <v>0</v>
      </c>
      <c r="AE259" s="49">
        <f>資料儲存!F5003</f>
        <v>0</v>
      </c>
      <c r="AF259" s="49">
        <f>資料儲存!G5003</f>
        <v>0</v>
      </c>
      <c r="AG259" s="49">
        <f>資料儲存!H5003</f>
        <v>0</v>
      </c>
      <c r="AH259" s="49">
        <f>資料儲存!I5003</f>
        <v>0</v>
      </c>
      <c r="AI259" s="49">
        <f>資料儲存!J5003</f>
        <v>0</v>
      </c>
      <c r="AJ259" s="52"/>
    </row>
    <row r="260" spans="1:36" ht="16" thickBot="1">
      <c r="A260" s="68">
        <v>23</v>
      </c>
      <c r="B260" s="49">
        <f>資料儲存!D4284</f>
        <v>0</v>
      </c>
      <c r="C260" s="49">
        <f>資料儲存!E4284</f>
        <v>0</v>
      </c>
      <c r="D260" s="49">
        <f>資料儲存!F4284</f>
        <v>0</v>
      </c>
      <c r="E260" s="49">
        <f>資料儲存!G4284</f>
        <v>0</v>
      </c>
      <c r="F260" s="49">
        <f>資料儲存!H4284</f>
        <v>0</v>
      </c>
      <c r="G260" s="49">
        <f>資料儲存!I4284</f>
        <v>0</v>
      </c>
      <c r="H260" s="49">
        <f>資料儲存!J4284</f>
        <v>0</v>
      </c>
      <c r="I260" s="52"/>
      <c r="J260" s="68">
        <v>23</v>
      </c>
      <c r="K260" s="49">
        <f>資料儲存!D4524</f>
        <v>0</v>
      </c>
      <c r="L260" s="49">
        <f>資料儲存!E4524</f>
        <v>0</v>
      </c>
      <c r="M260" s="49">
        <f>資料儲存!F4524</f>
        <v>0</v>
      </c>
      <c r="N260" s="49">
        <f>資料儲存!G4524</f>
        <v>0</v>
      </c>
      <c r="O260" s="49">
        <f>資料儲存!H4524</f>
        <v>0</v>
      </c>
      <c r="P260" s="49">
        <f>資料儲存!I4524</f>
        <v>0</v>
      </c>
      <c r="Q260" s="49">
        <f>資料儲存!J4524</f>
        <v>0</v>
      </c>
      <c r="R260" s="52"/>
      <c r="S260" s="68">
        <v>23</v>
      </c>
      <c r="T260" s="49">
        <f>資料儲存!D4764</f>
        <v>0</v>
      </c>
      <c r="U260" s="49">
        <f>資料儲存!E4764</f>
        <v>0</v>
      </c>
      <c r="V260" s="49">
        <f>資料儲存!F4764</f>
        <v>0</v>
      </c>
      <c r="W260" s="49">
        <f>資料儲存!G4764</f>
        <v>0</v>
      </c>
      <c r="X260" s="49">
        <f>資料儲存!H4764</f>
        <v>0</v>
      </c>
      <c r="Y260" s="49">
        <f>資料儲存!I4764</f>
        <v>0</v>
      </c>
      <c r="Z260" s="49">
        <f>資料儲存!J4764</f>
        <v>0</v>
      </c>
      <c r="AA260" s="52"/>
      <c r="AB260" s="68">
        <v>23</v>
      </c>
      <c r="AC260" s="49">
        <f>資料儲存!D5004</f>
        <v>0</v>
      </c>
      <c r="AD260" s="49">
        <f>資料儲存!E5004</f>
        <v>0</v>
      </c>
      <c r="AE260" s="49">
        <f>資料儲存!F5004</f>
        <v>0</v>
      </c>
      <c r="AF260" s="49">
        <f>資料儲存!G5004</f>
        <v>0</v>
      </c>
      <c r="AG260" s="49">
        <f>資料儲存!H5004</f>
        <v>0</v>
      </c>
      <c r="AH260" s="49">
        <f>資料儲存!I5004</f>
        <v>0</v>
      </c>
      <c r="AI260" s="49">
        <f>資料儲存!J5004</f>
        <v>0</v>
      </c>
      <c r="AJ260" s="52"/>
    </row>
    <row r="261" spans="1:36" ht="16" thickBot="1">
      <c r="A261" s="68">
        <v>24</v>
      </c>
      <c r="B261" s="49">
        <f>資料儲存!D4285</f>
        <v>0</v>
      </c>
      <c r="C261" s="49">
        <f>資料儲存!E4285</f>
        <v>0</v>
      </c>
      <c r="D261" s="49">
        <f>資料儲存!F4285</f>
        <v>0</v>
      </c>
      <c r="E261" s="49">
        <f>資料儲存!G4285</f>
        <v>0</v>
      </c>
      <c r="F261" s="49">
        <f>資料儲存!H4285</f>
        <v>0</v>
      </c>
      <c r="G261" s="49">
        <f>資料儲存!I4285</f>
        <v>0</v>
      </c>
      <c r="H261" s="49">
        <f>資料儲存!J4285</f>
        <v>0</v>
      </c>
      <c r="I261" s="52"/>
      <c r="J261" s="68">
        <v>24</v>
      </c>
      <c r="K261" s="49">
        <f>資料儲存!D4525</f>
        <v>0</v>
      </c>
      <c r="L261" s="49">
        <f>資料儲存!E4525</f>
        <v>0</v>
      </c>
      <c r="M261" s="49">
        <f>資料儲存!F4525</f>
        <v>0</v>
      </c>
      <c r="N261" s="49">
        <f>資料儲存!G4525</f>
        <v>0</v>
      </c>
      <c r="O261" s="49">
        <f>資料儲存!H4525</f>
        <v>0</v>
      </c>
      <c r="P261" s="49">
        <f>資料儲存!I4525</f>
        <v>0</v>
      </c>
      <c r="Q261" s="49">
        <f>資料儲存!J4525</f>
        <v>0</v>
      </c>
      <c r="R261" s="52"/>
      <c r="S261" s="68">
        <v>24</v>
      </c>
      <c r="T261" s="49">
        <f>資料儲存!D4765</f>
        <v>0</v>
      </c>
      <c r="U261" s="49">
        <f>資料儲存!E4765</f>
        <v>0</v>
      </c>
      <c r="V261" s="49">
        <f>資料儲存!F4765</f>
        <v>0</v>
      </c>
      <c r="W261" s="49">
        <f>資料儲存!G4765</f>
        <v>0</v>
      </c>
      <c r="X261" s="49">
        <f>資料儲存!H4765</f>
        <v>0</v>
      </c>
      <c r="Y261" s="49">
        <f>資料儲存!I4765</f>
        <v>0</v>
      </c>
      <c r="Z261" s="49">
        <f>資料儲存!J4765</f>
        <v>0</v>
      </c>
      <c r="AA261" s="52"/>
      <c r="AB261" s="68">
        <v>24</v>
      </c>
      <c r="AC261" s="49">
        <f>資料儲存!D5005</f>
        <v>0</v>
      </c>
      <c r="AD261" s="49">
        <f>資料儲存!E5005</f>
        <v>0</v>
      </c>
      <c r="AE261" s="49">
        <f>資料儲存!F5005</f>
        <v>0</v>
      </c>
      <c r="AF261" s="49">
        <f>資料儲存!G5005</f>
        <v>0</v>
      </c>
      <c r="AG261" s="49">
        <f>資料儲存!H5005</f>
        <v>0</v>
      </c>
      <c r="AH261" s="49">
        <f>資料儲存!I5005</f>
        <v>0</v>
      </c>
      <c r="AI261" s="49">
        <f>資料儲存!J5005</f>
        <v>0</v>
      </c>
      <c r="AJ261" s="52"/>
    </row>
    <row r="262" spans="1:36" ht="16" thickBot="1">
      <c r="A262" s="68">
        <v>25</v>
      </c>
      <c r="B262" s="49">
        <f>資料儲存!D4286</f>
        <v>0</v>
      </c>
      <c r="C262" s="49">
        <f>資料儲存!E4286</f>
        <v>0</v>
      </c>
      <c r="D262" s="49">
        <f>資料儲存!F4286</f>
        <v>0</v>
      </c>
      <c r="E262" s="49">
        <f>資料儲存!G4286</f>
        <v>0</v>
      </c>
      <c r="F262" s="49">
        <f>資料儲存!H4286</f>
        <v>0</v>
      </c>
      <c r="G262" s="49">
        <f>資料儲存!I4286</f>
        <v>0</v>
      </c>
      <c r="H262" s="49">
        <f>資料儲存!J4286</f>
        <v>0</v>
      </c>
      <c r="I262" s="52"/>
      <c r="J262" s="68">
        <v>25</v>
      </c>
      <c r="K262" s="49">
        <f>資料儲存!D4526</f>
        <v>0</v>
      </c>
      <c r="L262" s="49">
        <f>資料儲存!E4526</f>
        <v>0</v>
      </c>
      <c r="M262" s="49">
        <f>資料儲存!F4526</f>
        <v>0</v>
      </c>
      <c r="N262" s="49">
        <f>資料儲存!G4526</f>
        <v>0</v>
      </c>
      <c r="O262" s="49">
        <f>資料儲存!H4526</f>
        <v>0</v>
      </c>
      <c r="P262" s="49">
        <f>資料儲存!I4526</f>
        <v>0</v>
      </c>
      <c r="Q262" s="49">
        <f>資料儲存!J4526</f>
        <v>0</v>
      </c>
      <c r="R262" s="52"/>
      <c r="S262" s="68">
        <v>25</v>
      </c>
      <c r="T262" s="49">
        <f>資料儲存!D4766</f>
        <v>0</v>
      </c>
      <c r="U262" s="49">
        <f>資料儲存!E4766</f>
        <v>0</v>
      </c>
      <c r="V262" s="49">
        <f>資料儲存!F4766</f>
        <v>0</v>
      </c>
      <c r="W262" s="49">
        <f>資料儲存!G4766</f>
        <v>0</v>
      </c>
      <c r="X262" s="49">
        <f>資料儲存!H4766</f>
        <v>0</v>
      </c>
      <c r="Y262" s="49">
        <f>資料儲存!I4766</f>
        <v>0</v>
      </c>
      <c r="Z262" s="49">
        <f>資料儲存!J4766</f>
        <v>0</v>
      </c>
      <c r="AA262" s="52"/>
      <c r="AB262" s="68">
        <v>25</v>
      </c>
      <c r="AC262" s="49">
        <f>資料儲存!D5006</f>
        <v>0</v>
      </c>
      <c r="AD262" s="49">
        <f>資料儲存!E5006</f>
        <v>0</v>
      </c>
      <c r="AE262" s="49">
        <f>資料儲存!F5006</f>
        <v>0</v>
      </c>
      <c r="AF262" s="49">
        <f>資料儲存!G5006</f>
        <v>0</v>
      </c>
      <c r="AG262" s="49">
        <f>資料儲存!H5006</f>
        <v>0</v>
      </c>
      <c r="AH262" s="49">
        <f>資料儲存!I5006</f>
        <v>0</v>
      </c>
      <c r="AI262" s="49">
        <f>資料儲存!J5006</f>
        <v>0</v>
      </c>
      <c r="AJ262" s="52"/>
    </row>
    <row r="263" spans="1:36" ht="16" thickBot="1">
      <c r="A263" s="68">
        <v>26</v>
      </c>
      <c r="B263" s="49">
        <f>資料儲存!D4287</f>
        <v>0</v>
      </c>
      <c r="C263" s="49">
        <f>資料儲存!E4287</f>
        <v>0</v>
      </c>
      <c r="D263" s="49">
        <f>資料儲存!F4287</f>
        <v>0</v>
      </c>
      <c r="E263" s="49">
        <f>資料儲存!G4287</f>
        <v>0</v>
      </c>
      <c r="F263" s="49">
        <f>資料儲存!H4287</f>
        <v>0</v>
      </c>
      <c r="G263" s="49">
        <f>資料儲存!I4287</f>
        <v>0</v>
      </c>
      <c r="H263" s="49">
        <f>資料儲存!J4287</f>
        <v>0</v>
      </c>
      <c r="I263" s="52"/>
      <c r="J263" s="68">
        <v>26</v>
      </c>
      <c r="K263" s="49">
        <f>資料儲存!D4527</f>
        <v>0</v>
      </c>
      <c r="L263" s="49">
        <f>資料儲存!E4527</f>
        <v>0</v>
      </c>
      <c r="M263" s="49">
        <f>資料儲存!F4527</f>
        <v>0</v>
      </c>
      <c r="N263" s="49">
        <f>資料儲存!G4527</f>
        <v>0</v>
      </c>
      <c r="O263" s="49">
        <f>資料儲存!H4527</f>
        <v>0</v>
      </c>
      <c r="P263" s="49">
        <f>資料儲存!I4527</f>
        <v>0</v>
      </c>
      <c r="Q263" s="49">
        <f>資料儲存!J4527</f>
        <v>0</v>
      </c>
      <c r="R263" s="52"/>
      <c r="S263" s="68">
        <v>26</v>
      </c>
      <c r="T263" s="49">
        <f>資料儲存!D4767</f>
        <v>0</v>
      </c>
      <c r="U263" s="49">
        <f>資料儲存!E4767</f>
        <v>0</v>
      </c>
      <c r="V263" s="49">
        <f>資料儲存!F4767</f>
        <v>0</v>
      </c>
      <c r="W263" s="49">
        <f>資料儲存!G4767</f>
        <v>0</v>
      </c>
      <c r="X263" s="49">
        <f>資料儲存!H4767</f>
        <v>0</v>
      </c>
      <c r="Y263" s="49">
        <f>資料儲存!I4767</f>
        <v>0</v>
      </c>
      <c r="Z263" s="49">
        <f>資料儲存!J4767</f>
        <v>0</v>
      </c>
      <c r="AA263" s="52"/>
      <c r="AB263" s="68">
        <v>26</v>
      </c>
      <c r="AC263" s="49">
        <f>資料儲存!D5007</f>
        <v>0</v>
      </c>
      <c r="AD263" s="49">
        <f>資料儲存!E5007</f>
        <v>0</v>
      </c>
      <c r="AE263" s="49">
        <f>資料儲存!F5007</f>
        <v>0</v>
      </c>
      <c r="AF263" s="49">
        <f>資料儲存!G5007</f>
        <v>0</v>
      </c>
      <c r="AG263" s="49">
        <f>資料儲存!H5007</f>
        <v>0</v>
      </c>
      <c r="AH263" s="49">
        <f>資料儲存!I5007</f>
        <v>0</v>
      </c>
      <c r="AI263" s="49">
        <f>資料儲存!J5007</f>
        <v>0</v>
      </c>
      <c r="AJ263" s="52"/>
    </row>
    <row r="264" spans="1:36" ht="16" thickBot="1">
      <c r="A264" s="68">
        <v>27</v>
      </c>
      <c r="B264" s="49">
        <f>資料儲存!D4288</f>
        <v>0</v>
      </c>
      <c r="C264" s="49">
        <f>資料儲存!E4288</f>
        <v>0</v>
      </c>
      <c r="D264" s="49">
        <f>資料儲存!F4288</f>
        <v>0</v>
      </c>
      <c r="E264" s="49">
        <f>資料儲存!G4288</f>
        <v>0</v>
      </c>
      <c r="F264" s="49">
        <f>資料儲存!H4288</f>
        <v>0</v>
      </c>
      <c r="G264" s="49">
        <f>資料儲存!I4288</f>
        <v>0</v>
      </c>
      <c r="H264" s="49">
        <f>資料儲存!J4288</f>
        <v>0</v>
      </c>
      <c r="I264" s="52"/>
      <c r="J264" s="68">
        <v>27</v>
      </c>
      <c r="K264" s="49">
        <f>資料儲存!D4528</f>
        <v>0</v>
      </c>
      <c r="L264" s="49">
        <f>資料儲存!E4528</f>
        <v>0</v>
      </c>
      <c r="M264" s="49">
        <f>資料儲存!F4528</f>
        <v>0</v>
      </c>
      <c r="N264" s="49">
        <f>資料儲存!G4528</f>
        <v>0</v>
      </c>
      <c r="O264" s="49">
        <f>資料儲存!H4528</f>
        <v>0</v>
      </c>
      <c r="P264" s="49">
        <f>資料儲存!I4528</f>
        <v>0</v>
      </c>
      <c r="Q264" s="49">
        <f>資料儲存!J4528</f>
        <v>0</v>
      </c>
      <c r="R264" s="52"/>
      <c r="S264" s="68">
        <v>27</v>
      </c>
      <c r="T264" s="49">
        <f>資料儲存!D4768</f>
        <v>0</v>
      </c>
      <c r="U264" s="49">
        <f>資料儲存!E4768</f>
        <v>0</v>
      </c>
      <c r="V264" s="49">
        <f>資料儲存!F4768</f>
        <v>0</v>
      </c>
      <c r="W264" s="49">
        <f>資料儲存!G4768</f>
        <v>0</v>
      </c>
      <c r="X264" s="49">
        <f>資料儲存!H4768</f>
        <v>0</v>
      </c>
      <c r="Y264" s="49">
        <f>資料儲存!I4768</f>
        <v>0</v>
      </c>
      <c r="Z264" s="49">
        <f>資料儲存!J4768</f>
        <v>0</v>
      </c>
      <c r="AA264" s="52"/>
      <c r="AB264" s="68">
        <v>27</v>
      </c>
      <c r="AC264" s="49">
        <f>資料儲存!D5008</f>
        <v>0</v>
      </c>
      <c r="AD264" s="49">
        <f>資料儲存!E5008</f>
        <v>0</v>
      </c>
      <c r="AE264" s="49">
        <f>資料儲存!F5008</f>
        <v>0</v>
      </c>
      <c r="AF264" s="49">
        <f>資料儲存!G5008</f>
        <v>0</v>
      </c>
      <c r="AG264" s="49">
        <f>資料儲存!H5008</f>
        <v>0</v>
      </c>
      <c r="AH264" s="49">
        <f>資料儲存!I5008</f>
        <v>0</v>
      </c>
      <c r="AI264" s="49">
        <f>資料儲存!J5008</f>
        <v>0</v>
      </c>
      <c r="AJ264" s="52"/>
    </row>
    <row r="265" spans="1:36" ht="16" thickBot="1">
      <c r="A265" s="68">
        <v>28</v>
      </c>
      <c r="B265" s="49">
        <f>資料儲存!D4289</f>
        <v>0</v>
      </c>
      <c r="C265" s="49">
        <f>資料儲存!E4289</f>
        <v>0</v>
      </c>
      <c r="D265" s="49">
        <f>資料儲存!F4289</f>
        <v>0</v>
      </c>
      <c r="E265" s="49">
        <f>資料儲存!G4289</f>
        <v>0</v>
      </c>
      <c r="F265" s="49">
        <f>資料儲存!H4289</f>
        <v>0</v>
      </c>
      <c r="G265" s="49">
        <f>資料儲存!I4289</f>
        <v>0</v>
      </c>
      <c r="H265" s="49">
        <f>資料儲存!J4289</f>
        <v>0</v>
      </c>
      <c r="I265" s="52"/>
      <c r="J265" s="68">
        <v>28</v>
      </c>
      <c r="K265" s="49">
        <f>資料儲存!D4529</f>
        <v>0</v>
      </c>
      <c r="L265" s="49">
        <f>資料儲存!E4529</f>
        <v>0</v>
      </c>
      <c r="M265" s="49">
        <f>資料儲存!F4529</f>
        <v>0</v>
      </c>
      <c r="N265" s="49">
        <f>資料儲存!G4529</f>
        <v>0</v>
      </c>
      <c r="O265" s="49">
        <f>資料儲存!H4529</f>
        <v>0</v>
      </c>
      <c r="P265" s="49">
        <f>資料儲存!I4529</f>
        <v>0</v>
      </c>
      <c r="Q265" s="49">
        <f>資料儲存!J4529</f>
        <v>0</v>
      </c>
      <c r="R265" s="52"/>
      <c r="S265" s="68">
        <v>28</v>
      </c>
      <c r="T265" s="49">
        <f>資料儲存!D4769</f>
        <v>0</v>
      </c>
      <c r="U265" s="49">
        <f>資料儲存!E4769</f>
        <v>0</v>
      </c>
      <c r="V265" s="49">
        <f>資料儲存!F4769</f>
        <v>0</v>
      </c>
      <c r="W265" s="49">
        <f>資料儲存!G4769</f>
        <v>0</v>
      </c>
      <c r="X265" s="49">
        <f>資料儲存!H4769</f>
        <v>0</v>
      </c>
      <c r="Y265" s="49">
        <f>資料儲存!I4769</f>
        <v>0</v>
      </c>
      <c r="Z265" s="49">
        <f>資料儲存!J4769</f>
        <v>0</v>
      </c>
      <c r="AA265" s="52"/>
      <c r="AB265" s="68">
        <v>28</v>
      </c>
      <c r="AC265" s="49">
        <f>資料儲存!D5009</f>
        <v>0</v>
      </c>
      <c r="AD265" s="49">
        <f>資料儲存!E5009</f>
        <v>0</v>
      </c>
      <c r="AE265" s="49">
        <f>資料儲存!F5009</f>
        <v>0</v>
      </c>
      <c r="AF265" s="49">
        <f>資料儲存!G5009</f>
        <v>0</v>
      </c>
      <c r="AG265" s="49">
        <f>資料儲存!H5009</f>
        <v>0</v>
      </c>
      <c r="AH265" s="49">
        <f>資料儲存!I5009</f>
        <v>0</v>
      </c>
      <c r="AI265" s="49">
        <f>資料儲存!J5009</f>
        <v>0</v>
      </c>
      <c r="AJ265" s="52"/>
    </row>
    <row r="266" spans="1:36" ht="16" thickBot="1">
      <c r="A266" s="68">
        <v>29</v>
      </c>
      <c r="B266" s="49">
        <f>資料儲存!D4290</f>
        <v>0</v>
      </c>
      <c r="C266" s="49">
        <f>資料儲存!E4290</f>
        <v>0</v>
      </c>
      <c r="D266" s="49">
        <f>資料儲存!F4290</f>
        <v>0</v>
      </c>
      <c r="E266" s="49">
        <f>資料儲存!G4290</f>
        <v>0</v>
      </c>
      <c r="F266" s="49">
        <f>資料儲存!H4290</f>
        <v>0</v>
      </c>
      <c r="G266" s="49">
        <f>資料儲存!I4290</f>
        <v>0</v>
      </c>
      <c r="H266" s="49">
        <f>資料儲存!J4290</f>
        <v>0</v>
      </c>
      <c r="I266" s="52"/>
      <c r="J266" s="68">
        <v>29</v>
      </c>
      <c r="K266" s="49">
        <f>資料儲存!D4530</f>
        <v>0</v>
      </c>
      <c r="L266" s="49">
        <f>資料儲存!E4530</f>
        <v>0</v>
      </c>
      <c r="M266" s="49">
        <f>資料儲存!F4530</f>
        <v>0</v>
      </c>
      <c r="N266" s="49">
        <f>資料儲存!G4530</f>
        <v>0</v>
      </c>
      <c r="O266" s="49">
        <f>資料儲存!H4530</f>
        <v>0</v>
      </c>
      <c r="P266" s="49">
        <f>資料儲存!I4530</f>
        <v>0</v>
      </c>
      <c r="Q266" s="49">
        <f>資料儲存!J4530</f>
        <v>0</v>
      </c>
      <c r="R266" s="52"/>
      <c r="S266" s="68">
        <v>29</v>
      </c>
      <c r="T266" s="49">
        <f>資料儲存!D4770</f>
        <v>0</v>
      </c>
      <c r="U266" s="49">
        <f>資料儲存!E4770</f>
        <v>0</v>
      </c>
      <c r="V266" s="49">
        <f>資料儲存!F4770</f>
        <v>0</v>
      </c>
      <c r="W266" s="49">
        <f>資料儲存!G4770</f>
        <v>0</v>
      </c>
      <c r="X266" s="49">
        <f>資料儲存!H4770</f>
        <v>0</v>
      </c>
      <c r="Y266" s="49">
        <f>資料儲存!I4770</f>
        <v>0</v>
      </c>
      <c r="Z266" s="49">
        <f>資料儲存!J4770</f>
        <v>0</v>
      </c>
      <c r="AA266" s="52"/>
      <c r="AB266" s="68">
        <v>29</v>
      </c>
      <c r="AC266" s="49">
        <f>資料儲存!D5010</f>
        <v>0</v>
      </c>
      <c r="AD266" s="49">
        <f>資料儲存!E5010</f>
        <v>0</v>
      </c>
      <c r="AE266" s="49">
        <f>資料儲存!F5010</f>
        <v>0</v>
      </c>
      <c r="AF266" s="49">
        <f>資料儲存!G5010</f>
        <v>0</v>
      </c>
      <c r="AG266" s="49">
        <f>資料儲存!H5010</f>
        <v>0</v>
      </c>
      <c r="AH266" s="49">
        <f>資料儲存!I5010</f>
        <v>0</v>
      </c>
      <c r="AI266" s="49">
        <f>資料儲存!J5010</f>
        <v>0</v>
      </c>
      <c r="AJ266" s="52"/>
    </row>
    <row r="267" spans="1:36" ht="16" thickBot="1">
      <c r="A267" s="68">
        <v>30</v>
      </c>
      <c r="B267" s="49">
        <f>資料儲存!D4291</f>
        <v>0</v>
      </c>
      <c r="C267" s="49">
        <f>資料儲存!E4291</f>
        <v>0</v>
      </c>
      <c r="D267" s="49">
        <f>資料儲存!F4291</f>
        <v>0</v>
      </c>
      <c r="E267" s="49">
        <f>資料儲存!G4291</f>
        <v>0</v>
      </c>
      <c r="F267" s="49">
        <f>資料儲存!H4291</f>
        <v>0</v>
      </c>
      <c r="G267" s="49">
        <f>資料儲存!I4291</f>
        <v>0</v>
      </c>
      <c r="H267" s="49">
        <f>資料儲存!J4291</f>
        <v>0</v>
      </c>
      <c r="I267" s="52"/>
      <c r="J267" s="68">
        <v>30</v>
      </c>
      <c r="K267" s="49">
        <f>資料儲存!D4531</f>
        <v>0</v>
      </c>
      <c r="L267" s="49">
        <f>資料儲存!E4531</f>
        <v>0</v>
      </c>
      <c r="M267" s="49">
        <f>資料儲存!F4531</f>
        <v>0</v>
      </c>
      <c r="N267" s="49">
        <f>資料儲存!G4531</f>
        <v>0</v>
      </c>
      <c r="O267" s="49">
        <f>資料儲存!H4531</f>
        <v>0</v>
      </c>
      <c r="P267" s="49">
        <f>資料儲存!I4531</f>
        <v>0</v>
      </c>
      <c r="Q267" s="49">
        <f>資料儲存!J4531</f>
        <v>0</v>
      </c>
      <c r="R267" s="52"/>
      <c r="S267" s="68">
        <v>30</v>
      </c>
      <c r="T267" s="49">
        <f>資料儲存!D4771</f>
        <v>0</v>
      </c>
      <c r="U267" s="49">
        <f>資料儲存!E4771</f>
        <v>0</v>
      </c>
      <c r="V267" s="49">
        <f>資料儲存!F4771</f>
        <v>0</v>
      </c>
      <c r="W267" s="49">
        <f>資料儲存!G4771</f>
        <v>0</v>
      </c>
      <c r="X267" s="49">
        <f>資料儲存!H4771</f>
        <v>0</v>
      </c>
      <c r="Y267" s="49">
        <f>資料儲存!I4771</f>
        <v>0</v>
      </c>
      <c r="Z267" s="49">
        <f>資料儲存!J4771</f>
        <v>0</v>
      </c>
      <c r="AA267" s="52"/>
      <c r="AB267" s="68">
        <v>30</v>
      </c>
      <c r="AC267" s="49">
        <f>資料儲存!D5011</f>
        <v>0</v>
      </c>
      <c r="AD267" s="49">
        <f>資料儲存!E5011</f>
        <v>0</v>
      </c>
      <c r="AE267" s="49">
        <f>資料儲存!F5011</f>
        <v>0</v>
      </c>
      <c r="AF267" s="49">
        <f>資料儲存!G5011</f>
        <v>0</v>
      </c>
      <c r="AG267" s="49">
        <f>資料儲存!H5011</f>
        <v>0</v>
      </c>
      <c r="AH267" s="49">
        <f>資料儲存!I5011</f>
        <v>0</v>
      </c>
      <c r="AI267" s="49">
        <f>資料儲存!J5011</f>
        <v>0</v>
      </c>
      <c r="AJ267" s="52"/>
    </row>
    <row r="268" spans="1:36" ht="17.25" customHeight="1" thickBot="1">
      <c r="A268" s="50" t="s">
        <v>56</v>
      </c>
      <c r="B268" s="49">
        <f>SUM(B253:E267)</f>
        <v>0</v>
      </c>
      <c r="C268" s="47"/>
      <c r="D268" s="47"/>
      <c r="E268" s="47"/>
      <c r="F268" s="49">
        <f>F267</f>
        <v>0</v>
      </c>
      <c r="G268" s="49">
        <f>G267</f>
        <v>0</v>
      </c>
      <c r="H268" s="49">
        <f>H267</f>
        <v>0</v>
      </c>
      <c r="I268" s="45"/>
      <c r="J268" s="50" t="s">
        <v>56</v>
      </c>
      <c r="K268" s="49">
        <f>SUM(K253:N267)</f>
        <v>0</v>
      </c>
      <c r="L268" s="47"/>
      <c r="M268" s="47"/>
      <c r="N268" s="47"/>
      <c r="O268" s="49">
        <f>O267</f>
        <v>0</v>
      </c>
      <c r="P268" s="49">
        <f>P267</f>
        <v>0</v>
      </c>
      <c r="Q268" s="49">
        <f>Q267</f>
        <v>0</v>
      </c>
      <c r="R268" s="45"/>
      <c r="S268" s="50" t="s">
        <v>56</v>
      </c>
      <c r="T268" s="49">
        <f>SUM(T253:W267)</f>
        <v>0</v>
      </c>
      <c r="U268" s="47"/>
      <c r="V268" s="47"/>
      <c r="W268" s="47"/>
      <c r="X268" s="49">
        <f>X267</f>
        <v>0</v>
      </c>
      <c r="Y268" s="49">
        <f>Y267</f>
        <v>0</v>
      </c>
      <c r="Z268" s="49">
        <f>Z267</f>
        <v>0</v>
      </c>
      <c r="AA268" s="45"/>
      <c r="AB268" s="50" t="s">
        <v>56</v>
      </c>
      <c r="AC268" s="49">
        <f>SUM(AC253:AF267)</f>
        <v>0</v>
      </c>
      <c r="AD268" s="47"/>
      <c r="AE268" s="47"/>
      <c r="AF268" s="47"/>
      <c r="AG268" s="49">
        <f>AG267</f>
        <v>0</v>
      </c>
      <c r="AH268" s="49">
        <f>AH267</f>
        <v>0</v>
      </c>
      <c r="AI268" s="49">
        <f>AI267</f>
        <v>0</v>
      </c>
      <c r="AJ268" s="45"/>
    </row>
    <row r="269" spans="1:36" ht="18.5" thickBot="1">
      <c r="A269" s="259" t="s">
        <v>183</v>
      </c>
      <c r="B269" s="260"/>
      <c r="C269" s="260"/>
      <c r="D269" s="260"/>
      <c r="E269" s="260"/>
      <c r="F269" s="260"/>
      <c r="G269" s="260"/>
      <c r="H269" s="261"/>
      <c r="I269" s="14"/>
      <c r="J269" s="259" t="s">
        <v>183</v>
      </c>
      <c r="K269" s="260"/>
      <c r="L269" s="260"/>
      <c r="M269" s="260"/>
      <c r="N269" s="260"/>
      <c r="O269" s="260"/>
      <c r="P269" s="260"/>
      <c r="Q269" s="261"/>
      <c r="R269" s="14"/>
      <c r="S269" s="259" t="s">
        <v>183</v>
      </c>
      <c r="T269" s="260"/>
      <c r="U269" s="260"/>
      <c r="V269" s="260"/>
      <c r="W269" s="260"/>
      <c r="X269" s="260"/>
      <c r="Y269" s="260"/>
      <c r="Z269" s="261"/>
      <c r="AA269" s="14"/>
      <c r="AB269" s="259" t="s">
        <v>183</v>
      </c>
      <c r="AC269" s="260"/>
      <c r="AD269" s="260"/>
      <c r="AE269" s="260"/>
      <c r="AF269" s="260"/>
      <c r="AG269" s="260"/>
      <c r="AH269" s="260"/>
      <c r="AI269" s="261"/>
      <c r="AJ269" s="14"/>
    </row>
    <row r="270" spans="1:36" ht="17.25" customHeight="1" thickBot="1">
      <c r="A270" s="54" t="s">
        <v>2</v>
      </c>
      <c r="B270" s="55" t="s">
        <v>46</v>
      </c>
      <c r="C270" s="56"/>
      <c r="D270" s="56"/>
      <c r="E270" s="57"/>
      <c r="F270" s="55" t="s">
        <v>47</v>
      </c>
      <c r="G270" s="56"/>
      <c r="H270" s="57"/>
      <c r="I270" s="58"/>
      <c r="J270" s="54" t="s">
        <v>2</v>
      </c>
      <c r="K270" s="55" t="s">
        <v>46</v>
      </c>
      <c r="L270" s="56"/>
      <c r="M270" s="56"/>
      <c r="N270" s="57"/>
      <c r="O270" s="55" t="s">
        <v>47</v>
      </c>
      <c r="P270" s="56"/>
      <c r="Q270" s="57"/>
      <c r="R270" s="58"/>
      <c r="S270" s="54" t="s">
        <v>2</v>
      </c>
      <c r="T270" s="55" t="s">
        <v>46</v>
      </c>
      <c r="U270" s="56"/>
      <c r="V270" s="56"/>
      <c r="W270" s="57"/>
      <c r="X270" s="55" t="s">
        <v>47</v>
      </c>
      <c r="Y270" s="56"/>
      <c r="Z270" s="57"/>
      <c r="AA270" s="58"/>
      <c r="AB270" s="54" t="s">
        <v>2</v>
      </c>
      <c r="AC270" s="55" t="s">
        <v>46</v>
      </c>
      <c r="AD270" s="56"/>
      <c r="AE270" s="56"/>
      <c r="AF270" s="57"/>
      <c r="AG270" s="55" t="s">
        <v>47</v>
      </c>
      <c r="AH270" s="56"/>
      <c r="AI270" s="57"/>
      <c r="AJ270" s="58"/>
    </row>
    <row r="271" spans="1:36" ht="16" thickBot="1">
      <c r="A271" s="59">
        <v>0.8125</v>
      </c>
      <c r="B271" s="60" t="s">
        <v>49</v>
      </c>
      <c r="C271" s="60" t="s">
        <v>50</v>
      </c>
      <c r="D271" s="60" t="s">
        <v>51</v>
      </c>
      <c r="E271" s="60" t="s">
        <v>52</v>
      </c>
      <c r="F271" s="60" t="s">
        <v>53</v>
      </c>
      <c r="G271" s="60" t="s">
        <v>54</v>
      </c>
      <c r="H271" s="60" t="s">
        <v>55</v>
      </c>
      <c r="I271" s="58"/>
      <c r="J271" s="59">
        <v>0.8125</v>
      </c>
      <c r="K271" s="60" t="s">
        <v>49</v>
      </c>
      <c r="L271" s="60" t="s">
        <v>50</v>
      </c>
      <c r="M271" s="60" t="s">
        <v>51</v>
      </c>
      <c r="N271" s="60" t="s">
        <v>52</v>
      </c>
      <c r="O271" s="60" t="s">
        <v>53</v>
      </c>
      <c r="P271" s="60" t="s">
        <v>54</v>
      </c>
      <c r="Q271" s="60" t="s">
        <v>55</v>
      </c>
      <c r="R271" s="58"/>
      <c r="S271" s="59">
        <v>0.8125</v>
      </c>
      <c r="T271" s="60" t="s">
        <v>49</v>
      </c>
      <c r="U271" s="60" t="s">
        <v>50</v>
      </c>
      <c r="V271" s="60" t="s">
        <v>51</v>
      </c>
      <c r="W271" s="60" t="s">
        <v>52</v>
      </c>
      <c r="X271" s="60" t="s">
        <v>53</v>
      </c>
      <c r="Y271" s="60" t="s">
        <v>54</v>
      </c>
      <c r="Z271" s="60" t="s">
        <v>55</v>
      </c>
      <c r="AA271" s="58"/>
      <c r="AB271" s="59">
        <v>0.8125</v>
      </c>
      <c r="AC271" s="60" t="s">
        <v>49</v>
      </c>
      <c r="AD271" s="60" t="s">
        <v>50</v>
      </c>
      <c r="AE271" s="60" t="s">
        <v>51</v>
      </c>
      <c r="AF271" s="60" t="s">
        <v>52</v>
      </c>
      <c r="AG271" s="60" t="s">
        <v>53</v>
      </c>
      <c r="AH271" s="60" t="s">
        <v>54</v>
      </c>
      <c r="AI271" s="60" t="s">
        <v>55</v>
      </c>
      <c r="AJ271" s="58"/>
    </row>
    <row r="272" spans="1:36" ht="16" thickBot="1">
      <c r="A272" s="61">
        <v>31</v>
      </c>
      <c r="B272" s="39">
        <f>資料儲存!D4292</f>
        <v>0</v>
      </c>
      <c r="C272" s="39">
        <f>資料儲存!E4292</f>
        <v>0</v>
      </c>
      <c r="D272" s="39">
        <f>資料儲存!F4292</f>
        <v>0</v>
      </c>
      <c r="E272" s="39">
        <f>資料儲存!G4292</f>
        <v>0</v>
      </c>
      <c r="F272" s="39">
        <f>資料儲存!H4292</f>
        <v>0</v>
      </c>
      <c r="G272" s="39">
        <f>資料儲存!I4292</f>
        <v>0</v>
      </c>
      <c r="H272" s="39">
        <f>資料儲存!J4292</f>
        <v>0</v>
      </c>
      <c r="I272" s="58"/>
      <c r="J272" s="61">
        <v>31</v>
      </c>
      <c r="K272" s="39">
        <f>資料儲存!D4532</f>
        <v>0</v>
      </c>
      <c r="L272" s="39">
        <f>資料儲存!E4532</f>
        <v>0</v>
      </c>
      <c r="M272" s="39">
        <f>資料儲存!F4532</f>
        <v>0</v>
      </c>
      <c r="N272" s="39">
        <f>資料儲存!G4532</f>
        <v>0</v>
      </c>
      <c r="O272" s="39">
        <f>資料儲存!H4532</f>
        <v>0</v>
      </c>
      <c r="P272" s="39">
        <f>資料儲存!I4532</f>
        <v>0</v>
      </c>
      <c r="Q272" s="39">
        <f>資料儲存!J4532</f>
        <v>0</v>
      </c>
      <c r="R272" s="58"/>
      <c r="S272" s="61">
        <v>31</v>
      </c>
      <c r="T272" s="39">
        <f>資料儲存!D4772</f>
        <v>0</v>
      </c>
      <c r="U272" s="39">
        <f>資料儲存!E4772</f>
        <v>0</v>
      </c>
      <c r="V272" s="39">
        <f>資料儲存!F4772</f>
        <v>0</v>
      </c>
      <c r="W272" s="39">
        <f>資料儲存!G4772</f>
        <v>0</v>
      </c>
      <c r="X272" s="39">
        <f>資料儲存!H4772</f>
        <v>0</v>
      </c>
      <c r="Y272" s="39">
        <f>資料儲存!I4772</f>
        <v>0</v>
      </c>
      <c r="Z272" s="39">
        <f>資料儲存!J4772</f>
        <v>0</v>
      </c>
      <c r="AA272" s="58"/>
      <c r="AB272" s="61">
        <v>31</v>
      </c>
      <c r="AC272" s="39">
        <f>資料儲存!D5012</f>
        <v>0</v>
      </c>
      <c r="AD272" s="39">
        <f>資料儲存!E5012</f>
        <v>0</v>
      </c>
      <c r="AE272" s="39">
        <f>資料儲存!F5012</f>
        <v>0</v>
      </c>
      <c r="AF272" s="39">
        <f>資料儲存!G5012</f>
        <v>0</v>
      </c>
      <c r="AG272" s="39">
        <f>資料儲存!H5012</f>
        <v>0</v>
      </c>
      <c r="AH272" s="39">
        <f>資料儲存!I5012</f>
        <v>0</v>
      </c>
      <c r="AI272" s="39">
        <f>資料儲存!J5012</f>
        <v>0</v>
      </c>
      <c r="AJ272" s="58"/>
    </row>
    <row r="273" spans="1:36" ht="16" thickBot="1">
      <c r="A273" s="61">
        <v>32</v>
      </c>
      <c r="B273" s="39">
        <f>資料儲存!D4293</f>
        <v>0</v>
      </c>
      <c r="C273" s="39">
        <f>資料儲存!E4293</f>
        <v>0</v>
      </c>
      <c r="D273" s="39">
        <f>資料儲存!F4293</f>
        <v>0</v>
      </c>
      <c r="E273" s="39">
        <f>資料儲存!G4293</f>
        <v>0</v>
      </c>
      <c r="F273" s="39">
        <f>資料儲存!H4293</f>
        <v>0</v>
      </c>
      <c r="G273" s="39">
        <f>資料儲存!I4293</f>
        <v>0</v>
      </c>
      <c r="H273" s="39">
        <f>資料儲存!J4293</f>
        <v>0</v>
      </c>
      <c r="I273" s="58"/>
      <c r="J273" s="61">
        <v>32</v>
      </c>
      <c r="K273" s="39">
        <f>資料儲存!D4533</f>
        <v>0</v>
      </c>
      <c r="L273" s="39">
        <f>資料儲存!E4533</f>
        <v>0</v>
      </c>
      <c r="M273" s="39">
        <f>資料儲存!F4533</f>
        <v>0</v>
      </c>
      <c r="N273" s="39">
        <f>資料儲存!G4533</f>
        <v>0</v>
      </c>
      <c r="O273" s="39">
        <f>資料儲存!H4533</f>
        <v>0</v>
      </c>
      <c r="P273" s="39">
        <f>資料儲存!I4533</f>
        <v>0</v>
      </c>
      <c r="Q273" s="39">
        <f>資料儲存!J4533</f>
        <v>0</v>
      </c>
      <c r="R273" s="58"/>
      <c r="S273" s="61">
        <v>32</v>
      </c>
      <c r="T273" s="39">
        <f>資料儲存!D4773</f>
        <v>0</v>
      </c>
      <c r="U273" s="39">
        <f>資料儲存!E4773</f>
        <v>0</v>
      </c>
      <c r="V273" s="39">
        <f>資料儲存!F4773</f>
        <v>0</v>
      </c>
      <c r="W273" s="39">
        <f>資料儲存!G4773</f>
        <v>0</v>
      </c>
      <c r="X273" s="39">
        <f>資料儲存!H4773</f>
        <v>0</v>
      </c>
      <c r="Y273" s="39">
        <f>資料儲存!I4773</f>
        <v>0</v>
      </c>
      <c r="Z273" s="39">
        <f>資料儲存!J4773</f>
        <v>0</v>
      </c>
      <c r="AA273" s="58"/>
      <c r="AB273" s="61">
        <v>32</v>
      </c>
      <c r="AC273" s="39">
        <f>資料儲存!D5013</f>
        <v>0</v>
      </c>
      <c r="AD273" s="39">
        <f>資料儲存!E5013</f>
        <v>0</v>
      </c>
      <c r="AE273" s="39">
        <f>資料儲存!F5013</f>
        <v>0</v>
      </c>
      <c r="AF273" s="39">
        <f>資料儲存!G5013</f>
        <v>0</v>
      </c>
      <c r="AG273" s="39">
        <f>資料儲存!H5013</f>
        <v>0</v>
      </c>
      <c r="AH273" s="39">
        <f>資料儲存!I5013</f>
        <v>0</v>
      </c>
      <c r="AI273" s="39">
        <f>資料儲存!J5013</f>
        <v>0</v>
      </c>
      <c r="AJ273" s="58"/>
    </row>
    <row r="274" spans="1:36" ht="16" thickBot="1">
      <c r="A274" s="61">
        <v>33</v>
      </c>
      <c r="B274" s="39">
        <f>資料儲存!D4294</f>
        <v>0</v>
      </c>
      <c r="C274" s="39">
        <f>資料儲存!E4294</f>
        <v>0</v>
      </c>
      <c r="D274" s="39">
        <f>資料儲存!F4294</f>
        <v>0</v>
      </c>
      <c r="E274" s="39">
        <f>資料儲存!G4294</f>
        <v>0</v>
      </c>
      <c r="F274" s="39">
        <f>資料儲存!H4294</f>
        <v>0</v>
      </c>
      <c r="G274" s="39">
        <f>資料儲存!I4294</f>
        <v>0</v>
      </c>
      <c r="H274" s="39">
        <f>資料儲存!J4294</f>
        <v>0</v>
      </c>
      <c r="I274" s="58"/>
      <c r="J274" s="61">
        <v>33</v>
      </c>
      <c r="K274" s="39">
        <f>資料儲存!D4534</f>
        <v>0</v>
      </c>
      <c r="L274" s="39">
        <f>資料儲存!E4534</f>
        <v>0</v>
      </c>
      <c r="M274" s="39">
        <f>資料儲存!F4534</f>
        <v>0</v>
      </c>
      <c r="N274" s="39">
        <f>資料儲存!G4534</f>
        <v>0</v>
      </c>
      <c r="O274" s="39">
        <f>資料儲存!H4534</f>
        <v>0</v>
      </c>
      <c r="P274" s="39">
        <f>資料儲存!I4534</f>
        <v>0</v>
      </c>
      <c r="Q274" s="39">
        <f>資料儲存!J4534</f>
        <v>0</v>
      </c>
      <c r="R274" s="58"/>
      <c r="S274" s="61">
        <v>33</v>
      </c>
      <c r="T274" s="39">
        <f>資料儲存!D4774</f>
        <v>0</v>
      </c>
      <c r="U274" s="39">
        <f>資料儲存!E4774</f>
        <v>0</v>
      </c>
      <c r="V274" s="39">
        <f>資料儲存!F4774</f>
        <v>0</v>
      </c>
      <c r="W274" s="39">
        <f>資料儲存!G4774</f>
        <v>0</v>
      </c>
      <c r="X274" s="39">
        <f>資料儲存!H4774</f>
        <v>0</v>
      </c>
      <c r="Y274" s="39">
        <f>資料儲存!I4774</f>
        <v>0</v>
      </c>
      <c r="Z274" s="39">
        <f>資料儲存!J4774</f>
        <v>0</v>
      </c>
      <c r="AA274" s="58"/>
      <c r="AB274" s="61">
        <v>33</v>
      </c>
      <c r="AC274" s="39">
        <f>資料儲存!D5014</f>
        <v>0</v>
      </c>
      <c r="AD274" s="39">
        <f>資料儲存!E5014</f>
        <v>0</v>
      </c>
      <c r="AE274" s="39">
        <f>資料儲存!F5014</f>
        <v>0</v>
      </c>
      <c r="AF274" s="39">
        <f>資料儲存!G5014</f>
        <v>0</v>
      </c>
      <c r="AG274" s="39">
        <f>資料儲存!H5014</f>
        <v>0</v>
      </c>
      <c r="AH274" s="39">
        <f>資料儲存!I5014</f>
        <v>0</v>
      </c>
      <c r="AI274" s="39">
        <f>資料儲存!J5014</f>
        <v>0</v>
      </c>
      <c r="AJ274" s="58"/>
    </row>
    <row r="275" spans="1:36" ht="16" thickBot="1">
      <c r="A275" s="61">
        <v>34</v>
      </c>
      <c r="B275" s="39">
        <f>資料儲存!D4295</f>
        <v>0</v>
      </c>
      <c r="C275" s="39">
        <f>資料儲存!E4295</f>
        <v>0</v>
      </c>
      <c r="D275" s="39">
        <f>資料儲存!F4295</f>
        <v>0</v>
      </c>
      <c r="E275" s="39">
        <f>資料儲存!G4295</f>
        <v>0</v>
      </c>
      <c r="F275" s="39">
        <f>資料儲存!H4295</f>
        <v>0</v>
      </c>
      <c r="G275" s="39">
        <f>資料儲存!I4295</f>
        <v>0</v>
      </c>
      <c r="H275" s="39">
        <f>資料儲存!J4295</f>
        <v>0</v>
      </c>
      <c r="I275" s="58"/>
      <c r="J275" s="61">
        <v>34</v>
      </c>
      <c r="K275" s="39">
        <f>資料儲存!D4535</f>
        <v>0</v>
      </c>
      <c r="L275" s="39">
        <f>資料儲存!E4535</f>
        <v>0</v>
      </c>
      <c r="M275" s="39">
        <f>資料儲存!F4535</f>
        <v>0</v>
      </c>
      <c r="N275" s="39">
        <f>資料儲存!G4535</f>
        <v>0</v>
      </c>
      <c r="O275" s="39">
        <f>資料儲存!H4535</f>
        <v>0</v>
      </c>
      <c r="P275" s="39">
        <f>資料儲存!I4535</f>
        <v>0</v>
      </c>
      <c r="Q275" s="39">
        <f>資料儲存!J4535</f>
        <v>0</v>
      </c>
      <c r="R275" s="58"/>
      <c r="S275" s="61">
        <v>34</v>
      </c>
      <c r="T275" s="39">
        <f>資料儲存!D4775</f>
        <v>0</v>
      </c>
      <c r="U275" s="39">
        <f>資料儲存!E4775</f>
        <v>0</v>
      </c>
      <c r="V275" s="39">
        <f>資料儲存!F4775</f>
        <v>0</v>
      </c>
      <c r="W275" s="39">
        <f>資料儲存!G4775</f>
        <v>0</v>
      </c>
      <c r="X275" s="39">
        <f>資料儲存!H4775</f>
        <v>0</v>
      </c>
      <c r="Y275" s="39">
        <f>資料儲存!I4775</f>
        <v>0</v>
      </c>
      <c r="Z275" s="39">
        <f>資料儲存!J4775</f>
        <v>0</v>
      </c>
      <c r="AA275" s="58"/>
      <c r="AB275" s="61">
        <v>34</v>
      </c>
      <c r="AC275" s="39">
        <f>資料儲存!D5015</f>
        <v>0</v>
      </c>
      <c r="AD275" s="39">
        <f>資料儲存!E5015</f>
        <v>0</v>
      </c>
      <c r="AE275" s="39">
        <f>資料儲存!F5015</f>
        <v>0</v>
      </c>
      <c r="AF275" s="39">
        <f>資料儲存!G5015</f>
        <v>0</v>
      </c>
      <c r="AG275" s="39">
        <f>資料儲存!H5015</f>
        <v>0</v>
      </c>
      <c r="AH275" s="39">
        <f>資料儲存!I5015</f>
        <v>0</v>
      </c>
      <c r="AI275" s="39">
        <f>資料儲存!J5015</f>
        <v>0</v>
      </c>
      <c r="AJ275" s="58"/>
    </row>
    <row r="276" spans="1:36" ht="16" thickBot="1">
      <c r="A276" s="61">
        <v>35</v>
      </c>
      <c r="B276" s="39">
        <f>資料儲存!D4296</f>
        <v>0</v>
      </c>
      <c r="C276" s="39">
        <f>資料儲存!E4296</f>
        <v>0</v>
      </c>
      <c r="D276" s="39">
        <f>資料儲存!F4296</f>
        <v>0</v>
      </c>
      <c r="E276" s="39">
        <f>資料儲存!G4296</f>
        <v>0</v>
      </c>
      <c r="F276" s="39">
        <f>資料儲存!H4296</f>
        <v>0</v>
      </c>
      <c r="G276" s="39">
        <f>資料儲存!I4296</f>
        <v>0</v>
      </c>
      <c r="H276" s="39">
        <f>資料儲存!J4296</f>
        <v>0</v>
      </c>
      <c r="I276" s="58"/>
      <c r="J276" s="61">
        <v>35</v>
      </c>
      <c r="K276" s="39">
        <f>資料儲存!D4536</f>
        <v>0</v>
      </c>
      <c r="L276" s="39">
        <f>資料儲存!E4536</f>
        <v>0</v>
      </c>
      <c r="M276" s="39">
        <f>資料儲存!F4536</f>
        <v>0</v>
      </c>
      <c r="N276" s="39">
        <f>資料儲存!G4536</f>
        <v>0</v>
      </c>
      <c r="O276" s="39">
        <f>資料儲存!H4536</f>
        <v>0</v>
      </c>
      <c r="P276" s="39">
        <f>資料儲存!I4536</f>
        <v>0</v>
      </c>
      <c r="Q276" s="39">
        <f>資料儲存!J4536</f>
        <v>0</v>
      </c>
      <c r="R276" s="58"/>
      <c r="S276" s="61">
        <v>35</v>
      </c>
      <c r="T276" s="39">
        <f>資料儲存!D4776</f>
        <v>0</v>
      </c>
      <c r="U276" s="39">
        <f>資料儲存!E4776</f>
        <v>0</v>
      </c>
      <c r="V276" s="39">
        <f>資料儲存!F4776</f>
        <v>0</v>
      </c>
      <c r="W276" s="39">
        <f>資料儲存!G4776</f>
        <v>0</v>
      </c>
      <c r="X276" s="39">
        <f>資料儲存!H4776</f>
        <v>0</v>
      </c>
      <c r="Y276" s="39">
        <f>資料儲存!I4776</f>
        <v>0</v>
      </c>
      <c r="Z276" s="39">
        <f>資料儲存!J4776</f>
        <v>0</v>
      </c>
      <c r="AA276" s="58"/>
      <c r="AB276" s="61">
        <v>35</v>
      </c>
      <c r="AC276" s="39">
        <f>資料儲存!D5016</f>
        <v>0</v>
      </c>
      <c r="AD276" s="39">
        <f>資料儲存!E5016</f>
        <v>0</v>
      </c>
      <c r="AE276" s="39">
        <f>資料儲存!F5016</f>
        <v>0</v>
      </c>
      <c r="AF276" s="39">
        <f>資料儲存!G5016</f>
        <v>0</v>
      </c>
      <c r="AG276" s="39">
        <f>資料儲存!H5016</f>
        <v>0</v>
      </c>
      <c r="AH276" s="39">
        <f>資料儲存!I5016</f>
        <v>0</v>
      </c>
      <c r="AI276" s="39">
        <f>資料儲存!J5016</f>
        <v>0</v>
      </c>
      <c r="AJ276" s="58"/>
    </row>
    <row r="277" spans="1:36" ht="16" thickBot="1">
      <c r="A277" s="61">
        <v>36</v>
      </c>
      <c r="B277" s="39">
        <f>資料儲存!D4297</f>
        <v>0</v>
      </c>
      <c r="C277" s="39">
        <f>資料儲存!E4297</f>
        <v>0</v>
      </c>
      <c r="D277" s="39">
        <f>資料儲存!F4297</f>
        <v>0</v>
      </c>
      <c r="E277" s="39">
        <f>資料儲存!G4297</f>
        <v>0</v>
      </c>
      <c r="F277" s="39">
        <f>資料儲存!H4297</f>
        <v>0</v>
      </c>
      <c r="G277" s="39">
        <f>資料儲存!I4297</f>
        <v>0</v>
      </c>
      <c r="H277" s="39">
        <f>資料儲存!J4297</f>
        <v>0</v>
      </c>
      <c r="I277" s="58"/>
      <c r="J277" s="61">
        <v>36</v>
      </c>
      <c r="K277" s="39">
        <f>資料儲存!D4537</f>
        <v>0</v>
      </c>
      <c r="L277" s="39">
        <f>資料儲存!E4537</f>
        <v>0</v>
      </c>
      <c r="M277" s="39">
        <f>資料儲存!F4537</f>
        <v>0</v>
      </c>
      <c r="N277" s="39">
        <f>資料儲存!G4537</f>
        <v>0</v>
      </c>
      <c r="O277" s="39">
        <f>資料儲存!H4537</f>
        <v>0</v>
      </c>
      <c r="P277" s="39">
        <f>資料儲存!I4537</f>
        <v>0</v>
      </c>
      <c r="Q277" s="39">
        <f>資料儲存!J4537</f>
        <v>0</v>
      </c>
      <c r="R277" s="58"/>
      <c r="S277" s="61">
        <v>36</v>
      </c>
      <c r="T277" s="39">
        <f>資料儲存!D4777</f>
        <v>0</v>
      </c>
      <c r="U277" s="39">
        <f>資料儲存!E4777</f>
        <v>0</v>
      </c>
      <c r="V277" s="39">
        <f>資料儲存!F4777</f>
        <v>0</v>
      </c>
      <c r="W277" s="39">
        <f>資料儲存!G4777</f>
        <v>0</v>
      </c>
      <c r="X277" s="39">
        <f>資料儲存!H4777</f>
        <v>0</v>
      </c>
      <c r="Y277" s="39">
        <f>資料儲存!I4777</f>
        <v>0</v>
      </c>
      <c r="Z277" s="39">
        <f>資料儲存!J4777</f>
        <v>0</v>
      </c>
      <c r="AA277" s="58"/>
      <c r="AB277" s="61">
        <v>36</v>
      </c>
      <c r="AC277" s="39">
        <f>資料儲存!D5017</f>
        <v>0</v>
      </c>
      <c r="AD277" s="39">
        <f>資料儲存!E5017</f>
        <v>0</v>
      </c>
      <c r="AE277" s="39">
        <f>資料儲存!F5017</f>
        <v>0</v>
      </c>
      <c r="AF277" s="39">
        <f>資料儲存!G5017</f>
        <v>0</v>
      </c>
      <c r="AG277" s="39">
        <f>資料儲存!H5017</f>
        <v>0</v>
      </c>
      <c r="AH277" s="39">
        <f>資料儲存!I5017</f>
        <v>0</v>
      </c>
      <c r="AI277" s="39">
        <f>資料儲存!J5017</f>
        <v>0</v>
      </c>
      <c r="AJ277" s="58"/>
    </row>
    <row r="278" spans="1:36" ht="16" thickBot="1">
      <c r="A278" s="61">
        <v>37</v>
      </c>
      <c r="B278" s="39">
        <f>資料儲存!D4298</f>
        <v>0</v>
      </c>
      <c r="C278" s="39">
        <f>資料儲存!E4298</f>
        <v>0</v>
      </c>
      <c r="D278" s="39">
        <f>資料儲存!F4298</f>
        <v>0</v>
      </c>
      <c r="E278" s="39">
        <f>資料儲存!G4298</f>
        <v>0</v>
      </c>
      <c r="F278" s="39">
        <f>資料儲存!H4298</f>
        <v>0</v>
      </c>
      <c r="G278" s="39">
        <f>資料儲存!I4298</f>
        <v>0</v>
      </c>
      <c r="H278" s="39">
        <f>資料儲存!J4298</f>
        <v>0</v>
      </c>
      <c r="I278" s="58"/>
      <c r="J278" s="61">
        <v>37</v>
      </c>
      <c r="K278" s="39">
        <f>資料儲存!D4538</f>
        <v>0</v>
      </c>
      <c r="L278" s="39">
        <f>資料儲存!E4538</f>
        <v>0</v>
      </c>
      <c r="M278" s="39">
        <f>資料儲存!F4538</f>
        <v>0</v>
      </c>
      <c r="N278" s="39">
        <f>資料儲存!G4538</f>
        <v>0</v>
      </c>
      <c r="O278" s="39">
        <f>資料儲存!H4538</f>
        <v>0</v>
      </c>
      <c r="P278" s="39">
        <f>資料儲存!I4538</f>
        <v>0</v>
      </c>
      <c r="Q278" s="39">
        <f>資料儲存!J4538</f>
        <v>0</v>
      </c>
      <c r="R278" s="58"/>
      <c r="S278" s="61">
        <v>37</v>
      </c>
      <c r="T278" s="39">
        <f>資料儲存!D4778</f>
        <v>0</v>
      </c>
      <c r="U278" s="39">
        <f>資料儲存!E4778</f>
        <v>0</v>
      </c>
      <c r="V278" s="39">
        <f>資料儲存!F4778</f>
        <v>0</v>
      </c>
      <c r="W278" s="39">
        <f>資料儲存!G4778</f>
        <v>0</v>
      </c>
      <c r="X278" s="39">
        <f>資料儲存!H4778</f>
        <v>0</v>
      </c>
      <c r="Y278" s="39">
        <f>資料儲存!I4778</f>
        <v>0</v>
      </c>
      <c r="Z278" s="39">
        <f>資料儲存!J4778</f>
        <v>0</v>
      </c>
      <c r="AA278" s="58"/>
      <c r="AB278" s="61">
        <v>37</v>
      </c>
      <c r="AC278" s="39">
        <f>資料儲存!D5018</f>
        <v>0</v>
      </c>
      <c r="AD278" s="39">
        <f>資料儲存!E5018</f>
        <v>0</v>
      </c>
      <c r="AE278" s="39">
        <f>資料儲存!F5018</f>
        <v>0</v>
      </c>
      <c r="AF278" s="39">
        <f>資料儲存!G5018</f>
        <v>0</v>
      </c>
      <c r="AG278" s="39">
        <f>資料儲存!H5018</f>
        <v>0</v>
      </c>
      <c r="AH278" s="39">
        <f>資料儲存!I5018</f>
        <v>0</v>
      </c>
      <c r="AI278" s="39">
        <f>資料儲存!J5018</f>
        <v>0</v>
      </c>
      <c r="AJ278" s="58"/>
    </row>
    <row r="279" spans="1:36" ht="16" thickBot="1">
      <c r="A279" s="61">
        <v>38</v>
      </c>
      <c r="B279" s="39">
        <f>資料儲存!D4299</f>
        <v>0</v>
      </c>
      <c r="C279" s="39">
        <f>資料儲存!E4299</f>
        <v>0</v>
      </c>
      <c r="D279" s="39">
        <f>資料儲存!F4299</f>
        <v>0</v>
      </c>
      <c r="E279" s="39">
        <f>資料儲存!G4299</f>
        <v>0</v>
      </c>
      <c r="F279" s="39">
        <f>資料儲存!H4299</f>
        <v>0</v>
      </c>
      <c r="G279" s="39">
        <f>資料儲存!I4299</f>
        <v>0</v>
      </c>
      <c r="H279" s="39">
        <f>資料儲存!J4299</f>
        <v>0</v>
      </c>
      <c r="I279" s="58"/>
      <c r="J279" s="61">
        <v>38</v>
      </c>
      <c r="K279" s="39">
        <f>資料儲存!D4539</f>
        <v>0</v>
      </c>
      <c r="L279" s="39">
        <f>資料儲存!E4539</f>
        <v>0</v>
      </c>
      <c r="M279" s="39">
        <f>資料儲存!F4539</f>
        <v>0</v>
      </c>
      <c r="N279" s="39">
        <f>資料儲存!G4539</f>
        <v>0</v>
      </c>
      <c r="O279" s="39">
        <f>資料儲存!H4539</f>
        <v>0</v>
      </c>
      <c r="P279" s="39">
        <f>資料儲存!I4539</f>
        <v>0</v>
      </c>
      <c r="Q279" s="39">
        <f>資料儲存!J4539</f>
        <v>0</v>
      </c>
      <c r="R279" s="58"/>
      <c r="S279" s="61">
        <v>38</v>
      </c>
      <c r="T279" s="39">
        <f>資料儲存!D4779</f>
        <v>0</v>
      </c>
      <c r="U279" s="39">
        <f>資料儲存!E4779</f>
        <v>0</v>
      </c>
      <c r="V279" s="39">
        <f>資料儲存!F4779</f>
        <v>0</v>
      </c>
      <c r="W279" s="39">
        <f>資料儲存!G4779</f>
        <v>0</v>
      </c>
      <c r="X279" s="39">
        <f>資料儲存!H4779</f>
        <v>0</v>
      </c>
      <c r="Y279" s="39">
        <f>資料儲存!I4779</f>
        <v>0</v>
      </c>
      <c r="Z279" s="39">
        <f>資料儲存!J4779</f>
        <v>0</v>
      </c>
      <c r="AA279" s="58"/>
      <c r="AB279" s="61">
        <v>38</v>
      </c>
      <c r="AC279" s="39">
        <f>資料儲存!D5019</f>
        <v>0</v>
      </c>
      <c r="AD279" s="39">
        <f>資料儲存!E5019</f>
        <v>0</v>
      </c>
      <c r="AE279" s="39">
        <f>資料儲存!F5019</f>
        <v>0</v>
      </c>
      <c r="AF279" s="39">
        <f>資料儲存!G5019</f>
        <v>0</v>
      </c>
      <c r="AG279" s="39">
        <f>資料儲存!H5019</f>
        <v>0</v>
      </c>
      <c r="AH279" s="39">
        <f>資料儲存!I5019</f>
        <v>0</v>
      </c>
      <c r="AI279" s="39">
        <f>資料儲存!J5019</f>
        <v>0</v>
      </c>
      <c r="AJ279" s="58"/>
    </row>
    <row r="280" spans="1:36" ht="16" thickBot="1">
      <c r="A280" s="61">
        <v>39</v>
      </c>
      <c r="B280" s="39">
        <f>資料儲存!D4300</f>
        <v>0</v>
      </c>
      <c r="C280" s="39">
        <f>資料儲存!E4300</f>
        <v>0</v>
      </c>
      <c r="D280" s="39">
        <f>資料儲存!F4300</f>
        <v>0</v>
      </c>
      <c r="E280" s="39">
        <f>資料儲存!G4300</f>
        <v>0</v>
      </c>
      <c r="F280" s="39">
        <f>資料儲存!H4300</f>
        <v>0</v>
      </c>
      <c r="G280" s="39">
        <f>資料儲存!I4300</f>
        <v>0</v>
      </c>
      <c r="H280" s="39">
        <f>資料儲存!J4300</f>
        <v>0</v>
      </c>
      <c r="I280" s="58"/>
      <c r="J280" s="61">
        <v>39</v>
      </c>
      <c r="K280" s="39">
        <f>資料儲存!D4540</f>
        <v>0</v>
      </c>
      <c r="L280" s="39">
        <f>資料儲存!E4540</f>
        <v>0</v>
      </c>
      <c r="M280" s="39">
        <f>資料儲存!F4540</f>
        <v>0</v>
      </c>
      <c r="N280" s="39">
        <f>資料儲存!G4540</f>
        <v>0</v>
      </c>
      <c r="O280" s="39">
        <f>資料儲存!H4540</f>
        <v>0</v>
      </c>
      <c r="P280" s="39">
        <f>資料儲存!I4540</f>
        <v>0</v>
      </c>
      <c r="Q280" s="39">
        <f>資料儲存!J4540</f>
        <v>0</v>
      </c>
      <c r="R280" s="58"/>
      <c r="S280" s="61">
        <v>39</v>
      </c>
      <c r="T280" s="39">
        <f>資料儲存!D4780</f>
        <v>0</v>
      </c>
      <c r="U280" s="39">
        <f>資料儲存!E4780</f>
        <v>0</v>
      </c>
      <c r="V280" s="39">
        <f>資料儲存!F4780</f>
        <v>0</v>
      </c>
      <c r="W280" s="39">
        <f>資料儲存!G4780</f>
        <v>0</v>
      </c>
      <c r="X280" s="39">
        <f>資料儲存!H4780</f>
        <v>0</v>
      </c>
      <c r="Y280" s="39">
        <f>資料儲存!I4780</f>
        <v>0</v>
      </c>
      <c r="Z280" s="39">
        <f>資料儲存!J4780</f>
        <v>0</v>
      </c>
      <c r="AA280" s="58"/>
      <c r="AB280" s="61">
        <v>39</v>
      </c>
      <c r="AC280" s="39">
        <f>資料儲存!D5020</f>
        <v>0</v>
      </c>
      <c r="AD280" s="39">
        <f>資料儲存!E5020</f>
        <v>0</v>
      </c>
      <c r="AE280" s="39">
        <f>資料儲存!F5020</f>
        <v>0</v>
      </c>
      <c r="AF280" s="39">
        <f>資料儲存!G5020</f>
        <v>0</v>
      </c>
      <c r="AG280" s="39">
        <f>資料儲存!H5020</f>
        <v>0</v>
      </c>
      <c r="AH280" s="39">
        <f>資料儲存!I5020</f>
        <v>0</v>
      </c>
      <c r="AI280" s="39">
        <f>資料儲存!J5020</f>
        <v>0</v>
      </c>
      <c r="AJ280" s="58"/>
    </row>
    <row r="281" spans="1:36" ht="16" thickBot="1">
      <c r="A281" s="61">
        <v>40</v>
      </c>
      <c r="B281" s="39">
        <f>資料儲存!D4301</f>
        <v>0</v>
      </c>
      <c r="C281" s="39">
        <f>資料儲存!E4301</f>
        <v>0</v>
      </c>
      <c r="D281" s="39">
        <f>資料儲存!F4301</f>
        <v>0</v>
      </c>
      <c r="E281" s="39">
        <f>資料儲存!G4301</f>
        <v>0</v>
      </c>
      <c r="F281" s="39">
        <f>資料儲存!H4301</f>
        <v>0</v>
      </c>
      <c r="G281" s="39">
        <f>資料儲存!I4301</f>
        <v>0</v>
      </c>
      <c r="H281" s="39">
        <f>資料儲存!J4301</f>
        <v>0</v>
      </c>
      <c r="I281" s="58"/>
      <c r="J281" s="61">
        <v>40</v>
      </c>
      <c r="K281" s="39">
        <f>資料儲存!D4541</f>
        <v>0</v>
      </c>
      <c r="L281" s="39">
        <f>資料儲存!E4541</f>
        <v>0</v>
      </c>
      <c r="M281" s="39">
        <f>資料儲存!F4541</f>
        <v>0</v>
      </c>
      <c r="N281" s="39">
        <f>資料儲存!G4541</f>
        <v>0</v>
      </c>
      <c r="O281" s="39">
        <f>資料儲存!H4541</f>
        <v>0</v>
      </c>
      <c r="P281" s="39">
        <f>資料儲存!I4541</f>
        <v>0</v>
      </c>
      <c r="Q281" s="39">
        <f>資料儲存!J4541</f>
        <v>0</v>
      </c>
      <c r="R281" s="58"/>
      <c r="S281" s="61">
        <v>40</v>
      </c>
      <c r="T281" s="39">
        <f>資料儲存!D4781</f>
        <v>0</v>
      </c>
      <c r="U281" s="39">
        <f>資料儲存!E4781</f>
        <v>0</v>
      </c>
      <c r="V281" s="39">
        <f>資料儲存!F4781</f>
        <v>0</v>
      </c>
      <c r="W281" s="39">
        <f>資料儲存!G4781</f>
        <v>0</v>
      </c>
      <c r="X281" s="39">
        <f>資料儲存!H4781</f>
        <v>0</v>
      </c>
      <c r="Y281" s="39">
        <f>資料儲存!I4781</f>
        <v>0</v>
      </c>
      <c r="Z281" s="39">
        <f>資料儲存!J4781</f>
        <v>0</v>
      </c>
      <c r="AA281" s="58"/>
      <c r="AB281" s="61">
        <v>40</v>
      </c>
      <c r="AC281" s="39">
        <f>資料儲存!D5021</f>
        <v>0</v>
      </c>
      <c r="AD281" s="39">
        <f>資料儲存!E5021</f>
        <v>0</v>
      </c>
      <c r="AE281" s="39">
        <f>資料儲存!F5021</f>
        <v>0</v>
      </c>
      <c r="AF281" s="39">
        <f>資料儲存!G5021</f>
        <v>0</v>
      </c>
      <c r="AG281" s="39">
        <f>資料儲存!H5021</f>
        <v>0</v>
      </c>
      <c r="AH281" s="39">
        <f>資料儲存!I5021</f>
        <v>0</v>
      </c>
      <c r="AI281" s="39">
        <f>資料儲存!J5021</f>
        <v>0</v>
      </c>
      <c r="AJ281" s="58"/>
    </row>
    <row r="282" spans="1:36" ht="16" thickBot="1">
      <c r="A282" s="61">
        <v>41</v>
      </c>
      <c r="B282" s="39">
        <f>資料儲存!D4302</f>
        <v>0</v>
      </c>
      <c r="C282" s="39">
        <f>資料儲存!E4302</f>
        <v>0</v>
      </c>
      <c r="D282" s="39">
        <f>資料儲存!F4302</f>
        <v>0</v>
      </c>
      <c r="E282" s="39">
        <f>資料儲存!G4302</f>
        <v>0</v>
      </c>
      <c r="F282" s="39">
        <f>資料儲存!H4302</f>
        <v>0</v>
      </c>
      <c r="G282" s="39">
        <f>資料儲存!I4302</f>
        <v>0</v>
      </c>
      <c r="H282" s="39">
        <f>資料儲存!J4302</f>
        <v>0</v>
      </c>
      <c r="I282" s="58"/>
      <c r="J282" s="61">
        <v>41</v>
      </c>
      <c r="K282" s="39">
        <f>資料儲存!D4542</f>
        <v>0</v>
      </c>
      <c r="L282" s="39">
        <f>資料儲存!E4542</f>
        <v>0</v>
      </c>
      <c r="M282" s="39">
        <f>資料儲存!F4542</f>
        <v>0</v>
      </c>
      <c r="N282" s="39">
        <f>資料儲存!G4542</f>
        <v>0</v>
      </c>
      <c r="O282" s="39">
        <f>資料儲存!H4542</f>
        <v>0</v>
      </c>
      <c r="P282" s="39">
        <f>資料儲存!I4542</f>
        <v>0</v>
      </c>
      <c r="Q282" s="39">
        <f>資料儲存!J4542</f>
        <v>0</v>
      </c>
      <c r="R282" s="58"/>
      <c r="S282" s="61">
        <v>41</v>
      </c>
      <c r="T282" s="39">
        <f>資料儲存!D4782</f>
        <v>0</v>
      </c>
      <c r="U282" s="39">
        <f>資料儲存!E4782</f>
        <v>0</v>
      </c>
      <c r="V282" s="39">
        <f>資料儲存!F4782</f>
        <v>0</v>
      </c>
      <c r="W282" s="39">
        <f>資料儲存!G4782</f>
        <v>0</v>
      </c>
      <c r="X282" s="39">
        <f>資料儲存!H4782</f>
        <v>0</v>
      </c>
      <c r="Y282" s="39">
        <f>資料儲存!I4782</f>
        <v>0</v>
      </c>
      <c r="Z282" s="39">
        <f>資料儲存!J4782</f>
        <v>0</v>
      </c>
      <c r="AA282" s="58"/>
      <c r="AB282" s="61">
        <v>41</v>
      </c>
      <c r="AC282" s="39">
        <f>資料儲存!D5022</f>
        <v>0</v>
      </c>
      <c r="AD282" s="39">
        <f>資料儲存!E5022</f>
        <v>0</v>
      </c>
      <c r="AE282" s="39">
        <f>資料儲存!F5022</f>
        <v>0</v>
      </c>
      <c r="AF282" s="39">
        <f>資料儲存!G5022</f>
        <v>0</v>
      </c>
      <c r="AG282" s="39">
        <f>資料儲存!H5022</f>
        <v>0</v>
      </c>
      <c r="AH282" s="39">
        <f>資料儲存!I5022</f>
        <v>0</v>
      </c>
      <c r="AI282" s="39">
        <f>資料儲存!J5022</f>
        <v>0</v>
      </c>
      <c r="AJ282" s="58"/>
    </row>
    <row r="283" spans="1:36" ht="16" thickBot="1">
      <c r="A283" s="61">
        <v>42</v>
      </c>
      <c r="B283" s="39">
        <f>資料儲存!D4303</f>
        <v>0</v>
      </c>
      <c r="C283" s="39">
        <f>資料儲存!E4303</f>
        <v>0</v>
      </c>
      <c r="D283" s="39">
        <f>資料儲存!F4303</f>
        <v>0</v>
      </c>
      <c r="E283" s="39">
        <f>資料儲存!G4303</f>
        <v>0</v>
      </c>
      <c r="F283" s="39">
        <f>資料儲存!H4303</f>
        <v>0</v>
      </c>
      <c r="G283" s="39">
        <f>資料儲存!I4303</f>
        <v>0</v>
      </c>
      <c r="H283" s="39">
        <f>資料儲存!J4303</f>
        <v>0</v>
      </c>
      <c r="I283" s="58"/>
      <c r="J283" s="61">
        <v>42</v>
      </c>
      <c r="K283" s="39">
        <f>資料儲存!D4543</f>
        <v>0</v>
      </c>
      <c r="L283" s="39">
        <f>資料儲存!E4543</f>
        <v>0</v>
      </c>
      <c r="M283" s="39">
        <f>資料儲存!F4543</f>
        <v>0</v>
      </c>
      <c r="N283" s="39">
        <f>資料儲存!G4543</f>
        <v>0</v>
      </c>
      <c r="O283" s="39">
        <f>資料儲存!H4543</f>
        <v>0</v>
      </c>
      <c r="P283" s="39">
        <f>資料儲存!I4543</f>
        <v>0</v>
      </c>
      <c r="Q283" s="39">
        <f>資料儲存!J4543</f>
        <v>0</v>
      </c>
      <c r="R283" s="58"/>
      <c r="S283" s="61">
        <v>42</v>
      </c>
      <c r="T283" s="39">
        <f>資料儲存!D4783</f>
        <v>0</v>
      </c>
      <c r="U283" s="39">
        <f>資料儲存!E4783</f>
        <v>0</v>
      </c>
      <c r="V283" s="39">
        <f>資料儲存!F4783</f>
        <v>0</v>
      </c>
      <c r="W283" s="39">
        <f>資料儲存!G4783</f>
        <v>0</v>
      </c>
      <c r="X283" s="39">
        <f>資料儲存!H4783</f>
        <v>0</v>
      </c>
      <c r="Y283" s="39">
        <f>資料儲存!I4783</f>
        <v>0</v>
      </c>
      <c r="Z283" s="39">
        <f>資料儲存!J4783</f>
        <v>0</v>
      </c>
      <c r="AA283" s="58"/>
      <c r="AB283" s="61">
        <v>42</v>
      </c>
      <c r="AC283" s="39">
        <f>資料儲存!D5023</f>
        <v>0</v>
      </c>
      <c r="AD283" s="39">
        <f>資料儲存!E5023</f>
        <v>0</v>
      </c>
      <c r="AE283" s="39">
        <f>資料儲存!F5023</f>
        <v>0</v>
      </c>
      <c r="AF283" s="39">
        <f>資料儲存!G5023</f>
        <v>0</v>
      </c>
      <c r="AG283" s="39">
        <f>資料儲存!H5023</f>
        <v>0</v>
      </c>
      <c r="AH283" s="39">
        <f>資料儲存!I5023</f>
        <v>0</v>
      </c>
      <c r="AI283" s="39">
        <f>資料儲存!J5023</f>
        <v>0</v>
      </c>
      <c r="AJ283" s="58"/>
    </row>
    <row r="284" spans="1:36" ht="16" thickBot="1">
      <c r="A284" s="61">
        <v>43</v>
      </c>
      <c r="B284" s="39">
        <f>資料儲存!D4304</f>
        <v>0</v>
      </c>
      <c r="C284" s="39">
        <f>資料儲存!E4304</f>
        <v>0</v>
      </c>
      <c r="D284" s="39">
        <f>資料儲存!F4304</f>
        <v>0</v>
      </c>
      <c r="E284" s="39">
        <f>資料儲存!G4304</f>
        <v>0</v>
      </c>
      <c r="F284" s="39">
        <f>資料儲存!H4304</f>
        <v>0</v>
      </c>
      <c r="G284" s="39">
        <f>資料儲存!I4304</f>
        <v>0</v>
      </c>
      <c r="H284" s="39">
        <f>資料儲存!J4304</f>
        <v>0</v>
      </c>
      <c r="I284" s="58"/>
      <c r="J284" s="61">
        <v>43</v>
      </c>
      <c r="K284" s="39">
        <f>資料儲存!D4544</f>
        <v>0</v>
      </c>
      <c r="L284" s="39">
        <f>資料儲存!E4544</f>
        <v>0</v>
      </c>
      <c r="M284" s="39">
        <f>資料儲存!F4544</f>
        <v>0</v>
      </c>
      <c r="N284" s="39">
        <f>資料儲存!G4544</f>
        <v>0</v>
      </c>
      <c r="O284" s="39">
        <f>資料儲存!H4544</f>
        <v>0</v>
      </c>
      <c r="P284" s="39">
        <f>資料儲存!I4544</f>
        <v>0</v>
      </c>
      <c r="Q284" s="39">
        <f>資料儲存!J4544</f>
        <v>0</v>
      </c>
      <c r="R284" s="58"/>
      <c r="S284" s="61">
        <v>43</v>
      </c>
      <c r="T284" s="39">
        <f>資料儲存!D4784</f>
        <v>0</v>
      </c>
      <c r="U284" s="39">
        <f>資料儲存!E4784</f>
        <v>0</v>
      </c>
      <c r="V284" s="39">
        <f>資料儲存!F4784</f>
        <v>0</v>
      </c>
      <c r="W284" s="39">
        <f>資料儲存!G4784</f>
        <v>0</v>
      </c>
      <c r="X284" s="39">
        <f>資料儲存!H4784</f>
        <v>0</v>
      </c>
      <c r="Y284" s="39">
        <f>資料儲存!I4784</f>
        <v>0</v>
      </c>
      <c r="Z284" s="39">
        <f>資料儲存!J4784</f>
        <v>0</v>
      </c>
      <c r="AA284" s="58"/>
      <c r="AB284" s="61">
        <v>43</v>
      </c>
      <c r="AC284" s="39">
        <f>資料儲存!D5024</f>
        <v>0</v>
      </c>
      <c r="AD284" s="39">
        <f>資料儲存!E5024</f>
        <v>0</v>
      </c>
      <c r="AE284" s="39">
        <f>資料儲存!F5024</f>
        <v>0</v>
      </c>
      <c r="AF284" s="39">
        <f>資料儲存!G5024</f>
        <v>0</v>
      </c>
      <c r="AG284" s="39">
        <f>資料儲存!H5024</f>
        <v>0</v>
      </c>
      <c r="AH284" s="39">
        <f>資料儲存!I5024</f>
        <v>0</v>
      </c>
      <c r="AI284" s="39">
        <f>資料儲存!J5024</f>
        <v>0</v>
      </c>
      <c r="AJ284" s="58"/>
    </row>
    <row r="285" spans="1:36" ht="16" thickBot="1">
      <c r="A285" s="61">
        <v>44</v>
      </c>
      <c r="B285" s="39">
        <f>資料儲存!D4305</f>
        <v>0</v>
      </c>
      <c r="C285" s="39">
        <f>資料儲存!E4305</f>
        <v>0</v>
      </c>
      <c r="D285" s="39">
        <f>資料儲存!F4305</f>
        <v>0</v>
      </c>
      <c r="E285" s="39">
        <f>資料儲存!G4305</f>
        <v>0</v>
      </c>
      <c r="F285" s="39">
        <f>資料儲存!H4305</f>
        <v>0</v>
      </c>
      <c r="G285" s="39">
        <f>資料儲存!I4305</f>
        <v>0</v>
      </c>
      <c r="H285" s="39">
        <f>資料儲存!J4305</f>
        <v>0</v>
      </c>
      <c r="I285" s="58"/>
      <c r="J285" s="61">
        <v>44</v>
      </c>
      <c r="K285" s="39">
        <f>資料儲存!D4545</f>
        <v>0</v>
      </c>
      <c r="L285" s="39">
        <f>資料儲存!E4545</f>
        <v>0</v>
      </c>
      <c r="M285" s="39">
        <f>資料儲存!F4545</f>
        <v>0</v>
      </c>
      <c r="N285" s="39">
        <f>資料儲存!G4545</f>
        <v>0</v>
      </c>
      <c r="O285" s="39">
        <f>資料儲存!H4545</f>
        <v>0</v>
      </c>
      <c r="P285" s="39">
        <f>資料儲存!I4545</f>
        <v>0</v>
      </c>
      <c r="Q285" s="39">
        <f>資料儲存!J4545</f>
        <v>0</v>
      </c>
      <c r="R285" s="58"/>
      <c r="S285" s="61">
        <v>44</v>
      </c>
      <c r="T285" s="39">
        <f>資料儲存!D4785</f>
        <v>0</v>
      </c>
      <c r="U285" s="39">
        <f>資料儲存!E4785</f>
        <v>0</v>
      </c>
      <c r="V285" s="39">
        <f>資料儲存!F4785</f>
        <v>0</v>
      </c>
      <c r="W285" s="39">
        <f>資料儲存!G4785</f>
        <v>0</v>
      </c>
      <c r="X285" s="39">
        <f>資料儲存!H4785</f>
        <v>0</v>
      </c>
      <c r="Y285" s="39">
        <f>資料儲存!I4785</f>
        <v>0</v>
      </c>
      <c r="Z285" s="39">
        <f>資料儲存!J4785</f>
        <v>0</v>
      </c>
      <c r="AA285" s="58"/>
      <c r="AB285" s="61">
        <v>44</v>
      </c>
      <c r="AC285" s="39">
        <f>資料儲存!D5025</f>
        <v>0</v>
      </c>
      <c r="AD285" s="39">
        <f>資料儲存!E5025</f>
        <v>0</v>
      </c>
      <c r="AE285" s="39">
        <f>資料儲存!F5025</f>
        <v>0</v>
      </c>
      <c r="AF285" s="39">
        <f>資料儲存!G5025</f>
        <v>0</v>
      </c>
      <c r="AG285" s="39">
        <f>資料儲存!H5025</f>
        <v>0</v>
      </c>
      <c r="AH285" s="39">
        <f>資料儲存!I5025</f>
        <v>0</v>
      </c>
      <c r="AI285" s="39">
        <f>資料儲存!J5025</f>
        <v>0</v>
      </c>
      <c r="AJ285" s="58"/>
    </row>
    <row r="286" spans="1:36" ht="16" thickBot="1">
      <c r="A286" s="61">
        <v>45</v>
      </c>
      <c r="B286" s="39">
        <f>資料儲存!D4306</f>
        <v>0</v>
      </c>
      <c r="C286" s="39">
        <f>資料儲存!E4306</f>
        <v>0</v>
      </c>
      <c r="D286" s="39">
        <f>資料儲存!F4306</f>
        <v>0</v>
      </c>
      <c r="E286" s="39">
        <f>資料儲存!G4306</f>
        <v>0</v>
      </c>
      <c r="F286" s="39">
        <f>資料儲存!H4306</f>
        <v>0</v>
      </c>
      <c r="G286" s="39">
        <f>資料儲存!I4306</f>
        <v>0</v>
      </c>
      <c r="H286" s="39">
        <f>資料儲存!J4306</f>
        <v>0</v>
      </c>
      <c r="I286" s="58"/>
      <c r="J286" s="61">
        <v>45</v>
      </c>
      <c r="K286" s="39">
        <f>資料儲存!D4546</f>
        <v>0</v>
      </c>
      <c r="L286" s="39">
        <f>資料儲存!E4546</f>
        <v>0</v>
      </c>
      <c r="M286" s="39">
        <f>資料儲存!F4546</f>
        <v>0</v>
      </c>
      <c r="N286" s="39">
        <f>資料儲存!G4546</f>
        <v>0</v>
      </c>
      <c r="O286" s="39">
        <f>資料儲存!H4546</f>
        <v>0</v>
      </c>
      <c r="P286" s="39">
        <f>資料儲存!I4546</f>
        <v>0</v>
      </c>
      <c r="Q286" s="39">
        <f>資料儲存!J4546</f>
        <v>0</v>
      </c>
      <c r="R286" s="58"/>
      <c r="S286" s="61">
        <v>45</v>
      </c>
      <c r="T286" s="39">
        <f>資料儲存!D4786</f>
        <v>0</v>
      </c>
      <c r="U286" s="39">
        <f>資料儲存!E4786</f>
        <v>0</v>
      </c>
      <c r="V286" s="39">
        <f>資料儲存!F4786</f>
        <v>0</v>
      </c>
      <c r="W286" s="39">
        <f>資料儲存!G4786</f>
        <v>0</v>
      </c>
      <c r="X286" s="39">
        <f>資料儲存!H4786</f>
        <v>0</v>
      </c>
      <c r="Y286" s="39">
        <f>資料儲存!I4786</f>
        <v>0</v>
      </c>
      <c r="Z286" s="39">
        <f>資料儲存!J4786</f>
        <v>0</v>
      </c>
      <c r="AA286" s="58"/>
      <c r="AB286" s="61">
        <v>45</v>
      </c>
      <c r="AC286" s="39">
        <f>資料儲存!D5026</f>
        <v>0</v>
      </c>
      <c r="AD286" s="39">
        <f>資料儲存!E5026</f>
        <v>0</v>
      </c>
      <c r="AE286" s="39">
        <f>資料儲存!F5026</f>
        <v>0</v>
      </c>
      <c r="AF286" s="39">
        <f>資料儲存!G5026</f>
        <v>0</v>
      </c>
      <c r="AG286" s="39">
        <f>資料儲存!H5026</f>
        <v>0</v>
      </c>
      <c r="AH286" s="39">
        <f>資料儲存!I5026</f>
        <v>0</v>
      </c>
      <c r="AI286" s="39">
        <f>資料儲存!J5026</f>
        <v>0</v>
      </c>
      <c r="AJ286" s="58"/>
    </row>
    <row r="287" spans="1:36" ht="17.25" customHeight="1" thickBot="1">
      <c r="A287" s="40" t="s">
        <v>56</v>
      </c>
      <c r="B287" s="39">
        <f>SUM(B272:E286)</f>
        <v>0</v>
      </c>
      <c r="C287" s="37"/>
      <c r="D287" s="37"/>
      <c r="E287" s="37"/>
      <c r="F287" s="39">
        <f>F286</f>
        <v>0</v>
      </c>
      <c r="G287" s="39">
        <f>G286</f>
        <v>0</v>
      </c>
      <c r="H287" s="39">
        <f>H286</f>
        <v>0</v>
      </c>
      <c r="I287" s="35"/>
      <c r="J287" s="40" t="s">
        <v>56</v>
      </c>
      <c r="K287" s="39">
        <f>SUM(K272:N286)</f>
        <v>0</v>
      </c>
      <c r="L287" s="37"/>
      <c r="M287" s="37"/>
      <c r="N287" s="37"/>
      <c r="O287" s="39">
        <f>O286</f>
        <v>0</v>
      </c>
      <c r="P287" s="39">
        <f>P286</f>
        <v>0</v>
      </c>
      <c r="Q287" s="39">
        <f>Q286</f>
        <v>0</v>
      </c>
      <c r="R287" s="35"/>
      <c r="S287" s="40" t="s">
        <v>56</v>
      </c>
      <c r="T287" s="39">
        <f>SUM(T272:W286)</f>
        <v>0</v>
      </c>
      <c r="U287" s="37"/>
      <c r="V287" s="37"/>
      <c r="W287" s="37"/>
      <c r="X287" s="39">
        <f>X286</f>
        <v>0</v>
      </c>
      <c r="Y287" s="39">
        <f>Y286</f>
        <v>0</v>
      </c>
      <c r="Z287" s="39">
        <f>Z286</f>
        <v>0</v>
      </c>
      <c r="AA287" s="35"/>
      <c r="AB287" s="40" t="s">
        <v>56</v>
      </c>
      <c r="AC287" s="39">
        <f>SUM(AC272:AF286)</f>
        <v>0</v>
      </c>
      <c r="AD287" s="37"/>
      <c r="AE287" s="37"/>
      <c r="AF287" s="37"/>
      <c r="AG287" s="39">
        <f>AG286</f>
        <v>0</v>
      </c>
      <c r="AH287" s="39">
        <f>AH286</f>
        <v>0</v>
      </c>
      <c r="AI287" s="39">
        <f>AI286</f>
        <v>0</v>
      </c>
      <c r="AJ287" s="35"/>
    </row>
    <row r="288" spans="1:36" ht="18.5" thickBot="1">
      <c r="A288" s="259" t="s">
        <v>184</v>
      </c>
      <c r="B288" s="260"/>
      <c r="C288" s="260"/>
      <c r="D288" s="260"/>
      <c r="E288" s="260"/>
      <c r="F288" s="260"/>
      <c r="G288" s="260"/>
      <c r="H288" s="261"/>
      <c r="I288" s="14"/>
      <c r="J288" s="259" t="s">
        <v>184</v>
      </c>
      <c r="K288" s="260"/>
      <c r="L288" s="260"/>
      <c r="M288" s="260"/>
      <c r="N288" s="260"/>
      <c r="O288" s="260"/>
      <c r="P288" s="260"/>
      <c r="Q288" s="261"/>
      <c r="R288" s="14"/>
      <c r="S288" s="259" t="s">
        <v>184</v>
      </c>
      <c r="T288" s="260"/>
      <c r="U288" s="260"/>
      <c r="V288" s="260"/>
      <c r="W288" s="260"/>
      <c r="X288" s="260"/>
      <c r="Y288" s="260"/>
      <c r="Z288" s="261"/>
      <c r="AA288" s="14"/>
      <c r="AB288" s="259" t="s">
        <v>184</v>
      </c>
      <c r="AC288" s="260"/>
      <c r="AD288" s="260"/>
      <c r="AE288" s="260"/>
      <c r="AF288" s="260"/>
      <c r="AG288" s="260"/>
      <c r="AH288" s="260"/>
      <c r="AI288" s="261"/>
      <c r="AJ288" s="14"/>
    </row>
    <row r="289" spans="1:36" ht="17.25" customHeight="1" thickBot="1">
      <c r="A289" s="62" t="s">
        <v>2</v>
      </c>
      <c r="B289" s="63" t="s">
        <v>46</v>
      </c>
      <c r="C289" s="64"/>
      <c r="D289" s="64"/>
      <c r="E289" s="65"/>
      <c r="F289" s="63" t="s">
        <v>47</v>
      </c>
      <c r="G289" s="64"/>
      <c r="H289" s="65"/>
      <c r="I289" s="52"/>
      <c r="J289" s="62" t="s">
        <v>2</v>
      </c>
      <c r="K289" s="63" t="s">
        <v>46</v>
      </c>
      <c r="L289" s="64"/>
      <c r="M289" s="64"/>
      <c r="N289" s="65"/>
      <c r="O289" s="63" t="s">
        <v>47</v>
      </c>
      <c r="P289" s="64"/>
      <c r="Q289" s="65"/>
      <c r="R289" s="52"/>
      <c r="S289" s="62" t="s">
        <v>2</v>
      </c>
      <c r="T289" s="63" t="s">
        <v>46</v>
      </c>
      <c r="U289" s="64"/>
      <c r="V289" s="64"/>
      <c r="W289" s="65"/>
      <c r="X289" s="63" t="s">
        <v>47</v>
      </c>
      <c r="Y289" s="64"/>
      <c r="Z289" s="65"/>
      <c r="AA289" s="52"/>
      <c r="AB289" s="62" t="s">
        <v>2</v>
      </c>
      <c r="AC289" s="63" t="s">
        <v>46</v>
      </c>
      <c r="AD289" s="64"/>
      <c r="AE289" s="64"/>
      <c r="AF289" s="65"/>
      <c r="AG289" s="63" t="s">
        <v>47</v>
      </c>
      <c r="AH289" s="64"/>
      <c r="AI289" s="65"/>
      <c r="AJ289" s="52"/>
    </row>
    <row r="290" spans="1:36" ht="16" thickBot="1">
      <c r="A290" s="66">
        <v>0.82291666666666663</v>
      </c>
      <c r="B290" s="67" t="s">
        <v>49</v>
      </c>
      <c r="C290" s="67" t="s">
        <v>50</v>
      </c>
      <c r="D290" s="67" t="s">
        <v>51</v>
      </c>
      <c r="E290" s="67" t="s">
        <v>52</v>
      </c>
      <c r="F290" s="67" t="s">
        <v>53</v>
      </c>
      <c r="G290" s="67" t="s">
        <v>54</v>
      </c>
      <c r="H290" s="67" t="s">
        <v>55</v>
      </c>
      <c r="I290" s="52"/>
      <c r="J290" s="66">
        <v>0.82291666666666663</v>
      </c>
      <c r="K290" s="67" t="s">
        <v>49</v>
      </c>
      <c r="L290" s="67" t="s">
        <v>50</v>
      </c>
      <c r="M290" s="67" t="s">
        <v>51</v>
      </c>
      <c r="N290" s="67" t="s">
        <v>52</v>
      </c>
      <c r="O290" s="67" t="s">
        <v>53</v>
      </c>
      <c r="P290" s="67" t="s">
        <v>54</v>
      </c>
      <c r="Q290" s="67" t="s">
        <v>55</v>
      </c>
      <c r="R290" s="52"/>
      <c r="S290" s="66">
        <v>0.82291666666666663</v>
      </c>
      <c r="T290" s="67" t="s">
        <v>49</v>
      </c>
      <c r="U290" s="67" t="s">
        <v>50</v>
      </c>
      <c r="V290" s="67" t="s">
        <v>51</v>
      </c>
      <c r="W290" s="67" t="s">
        <v>52</v>
      </c>
      <c r="X290" s="67" t="s">
        <v>53</v>
      </c>
      <c r="Y290" s="67" t="s">
        <v>54</v>
      </c>
      <c r="Z290" s="67" t="s">
        <v>55</v>
      </c>
      <c r="AA290" s="52"/>
      <c r="AB290" s="66">
        <v>0.82291666666666663</v>
      </c>
      <c r="AC290" s="67" t="s">
        <v>49</v>
      </c>
      <c r="AD290" s="67" t="s">
        <v>50</v>
      </c>
      <c r="AE290" s="67" t="s">
        <v>51</v>
      </c>
      <c r="AF290" s="67" t="s">
        <v>52</v>
      </c>
      <c r="AG290" s="67" t="s">
        <v>53</v>
      </c>
      <c r="AH290" s="67" t="s">
        <v>54</v>
      </c>
      <c r="AI290" s="67" t="s">
        <v>55</v>
      </c>
      <c r="AJ290" s="52"/>
    </row>
    <row r="291" spans="1:36" ht="16" thickBot="1">
      <c r="A291" s="68">
        <v>46</v>
      </c>
      <c r="B291" s="49">
        <f>資料儲存!D4307</f>
        <v>0</v>
      </c>
      <c r="C291" s="49">
        <f>資料儲存!E4307</f>
        <v>0</v>
      </c>
      <c r="D291" s="49">
        <f>資料儲存!F4307</f>
        <v>0</v>
      </c>
      <c r="E291" s="49">
        <f>資料儲存!G4307</f>
        <v>0</v>
      </c>
      <c r="F291" s="49">
        <f>資料儲存!H4307</f>
        <v>0</v>
      </c>
      <c r="G291" s="49">
        <f>資料儲存!I4307</f>
        <v>0</v>
      </c>
      <c r="H291" s="49">
        <f>資料儲存!J4307</f>
        <v>0</v>
      </c>
      <c r="I291" s="52"/>
      <c r="J291" s="68">
        <v>46</v>
      </c>
      <c r="K291" s="49">
        <f>資料儲存!D4547</f>
        <v>0</v>
      </c>
      <c r="L291" s="49">
        <f>資料儲存!E4547</f>
        <v>0</v>
      </c>
      <c r="M291" s="49">
        <f>資料儲存!F4547</f>
        <v>0</v>
      </c>
      <c r="N291" s="49">
        <f>資料儲存!G4547</f>
        <v>0</v>
      </c>
      <c r="O291" s="49">
        <f>資料儲存!H4547</f>
        <v>0</v>
      </c>
      <c r="P291" s="49">
        <f>資料儲存!I4547</f>
        <v>0</v>
      </c>
      <c r="Q291" s="49">
        <f>資料儲存!J4547</f>
        <v>0</v>
      </c>
      <c r="R291" s="52"/>
      <c r="S291" s="68">
        <v>46</v>
      </c>
      <c r="T291" s="49">
        <f>資料儲存!D4787</f>
        <v>0</v>
      </c>
      <c r="U291" s="49">
        <f>資料儲存!E4787</f>
        <v>0</v>
      </c>
      <c r="V291" s="49">
        <f>資料儲存!F4787</f>
        <v>0</v>
      </c>
      <c r="W291" s="49">
        <f>資料儲存!G4787</f>
        <v>0</v>
      </c>
      <c r="X291" s="49">
        <f>資料儲存!H4787</f>
        <v>0</v>
      </c>
      <c r="Y291" s="49">
        <f>資料儲存!I4787</f>
        <v>0</v>
      </c>
      <c r="Z291" s="49">
        <f>資料儲存!J4787</f>
        <v>0</v>
      </c>
      <c r="AA291" s="52"/>
      <c r="AB291" s="68">
        <v>46</v>
      </c>
      <c r="AC291" s="49">
        <f>資料儲存!D5027</f>
        <v>0</v>
      </c>
      <c r="AD291" s="49">
        <f>資料儲存!E5027</f>
        <v>0</v>
      </c>
      <c r="AE291" s="49">
        <f>資料儲存!F5027</f>
        <v>0</v>
      </c>
      <c r="AF291" s="49">
        <f>資料儲存!G5027</f>
        <v>0</v>
      </c>
      <c r="AG291" s="49">
        <f>資料儲存!H5027</f>
        <v>0</v>
      </c>
      <c r="AH291" s="49">
        <f>資料儲存!I5027</f>
        <v>0</v>
      </c>
      <c r="AI291" s="49">
        <f>資料儲存!J5027</f>
        <v>0</v>
      </c>
      <c r="AJ291" s="52"/>
    </row>
    <row r="292" spans="1:36" ht="16" thickBot="1">
      <c r="A292" s="68">
        <v>47</v>
      </c>
      <c r="B292" s="49">
        <f>資料儲存!D4308</f>
        <v>0</v>
      </c>
      <c r="C292" s="49">
        <f>資料儲存!E4308</f>
        <v>0</v>
      </c>
      <c r="D292" s="49">
        <f>資料儲存!F4308</f>
        <v>0</v>
      </c>
      <c r="E292" s="49">
        <f>資料儲存!G4308</f>
        <v>0</v>
      </c>
      <c r="F292" s="49">
        <f>資料儲存!H4308</f>
        <v>0</v>
      </c>
      <c r="G292" s="49">
        <f>資料儲存!I4308</f>
        <v>0</v>
      </c>
      <c r="H292" s="49">
        <f>資料儲存!J4308</f>
        <v>0</v>
      </c>
      <c r="I292" s="52"/>
      <c r="J292" s="68">
        <v>47</v>
      </c>
      <c r="K292" s="49">
        <f>資料儲存!D4548</f>
        <v>0</v>
      </c>
      <c r="L292" s="49">
        <f>資料儲存!E4548</f>
        <v>0</v>
      </c>
      <c r="M292" s="49">
        <f>資料儲存!F4548</f>
        <v>0</v>
      </c>
      <c r="N292" s="49">
        <f>資料儲存!G4548</f>
        <v>0</v>
      </c>
      <c r="O292" s="49">
        <f>資料儲存!H4548</f>
        <v>0</v>
      </c>
      <c r="P292" s="49">
        <f>資料儲存!I4548</f>
        <v>0</v>
      </c>
      <c r="Q292" s="49">
        <f>資料儲存!J4548</f>
        <v>0</v>
      </c>
      <c r="R292" s="52"/>
      <c r="S292" s="68">
        <v>47</v>
      </c>
      <c r="T292" s="49">
        <f>資料儲存!D4788</f>
        <v>0</v>
      </c>
      <c r="U292" s="49">
        <f>資料儲存!E4788</f>
        <v>0</v>
      </c>
      <c r="V292" s="49">
        <f>資料儲存!F4788</f>
        <v>0</v>
      </c>
      <c r="W292" s="49">
        <f>資料儲存!G4788</f>
        <v>0</v>
      </c>
      <c r="X292" s="49">
        <f>資料儲存!H4788</f>
        <v>0</v>
      </c>
      <c r="Y292" s="49">
        <f>資料儲存!I4788</f>
        <v>0</v>
      </c>
      <c r="Z292" s="49">
        <f>資料儲存!J4788</f>
        <v>0</v>
      </c>
      <c r="AA292" s="52"/>
      <c r="AB292" s="68">
        <v>47</v>
      </c>
      <c r="AC292" s="49">
        <f>資料儲存!D5028</f>
        <v>0</v>
      </c>
      <c r="AD292" s="49">
        <f>資料儲存!E5028</f>
        <v>0</v>
      </c>
      <c r="AE292" s="49">
        <f>資料儲存!F5028</f>
        <v>0</v>
      </c>
      <c r="AF292" s="49">
        <f>資料儲存!G5028</f>
        <v>0</v>
      </c>
      <c r="AG292" s="49">
        <f>資料儲存!H5028</f>
        <v>0</v>
      </c>
      <c r="AH292" s="49">
        <f>資料儲存!I5028</f>
        <v>0</v>
      </c>
      <c r="AI292" s="49">
        <f>資料儲存!J5028</f>
        <v>0</v>
      </c>
      <c r="AJ292" s="52"/>
    </row>
    <row r="293" spans="1:36" ht="16" thickBot="1">
      <c r="A293" s="68">
        <v>48</v>
      </c>
      <c r="B293" s="49">
        <f>資料儲存!D4309</f>
        <v>0</v>
      </c>
      <c r="C293" s="49">
        <f>資料儲存!E4309</f>
        <v>0</v>
      </c>
      <c r="D293" s="49">
        <f>資料儲存!F4309</f>
        <v>0</v>
      </c>
      <c r="E293" s="49">
        <f>資料儲存!G4309</f>
        <v>0</v>
      </c>
      <c r="F293" s="49">
        <f>資料儲存!H4309</f>
        <v>0</v>
      </c>
      <c r="G293" s="49">
        <f>資料儲存!I4309</f>
        <v>0</v>
      </c>
      <c r="H293" s="49">
        <f>資料儲存!J4309</f>
        <v>0</v>
      </c>
      <c r="I293" s="52"/>
      <c r="J293" s="68">
        <v>48</v>
      </c>
      <c r="K293" s="49">
        <f>資料儲存!D4549</f>
        <v>0</v>
      </c>
      <c r="L293" s="49">
        <f>資料儲存!E4549</f>
        <v>0</v>
      </c>
      <c r="M293" s="49">
        <f>資料儲存!F4549</f>
        <v>0</v>
      </c>
      <c r="N293" s="49">
        <f>資料儲存!G4549</f>
        <v>0</v>
      </c>
      <c r="O293" s="49">
        <f>資料儲存!H4549</f>
        <v>0</v>
      </c>
      <c r="P293" s="49">
        <f>資料儲存!I4549</f>
        <v>0</v>
      </c>
      <c r="Q293" s="49">
        <f>資料儲存!J4549</f>
        <v>0</v>
      </c>
      <c r="R293" s="52"/>
      <c r="S293" s="68">
        <v>48</v>
      </c>
      <c r="T293" s="49">
        <f>資料儲存!D4789</f>
        <v>0</v>
      </c>
      <c r="U293" s="49">
        <f>資料儲存!E4789</f>
        <v>0</v>
      </c>
      <c r="V293" s="49">
        <f>資料儲存!F4789</f>
        <v>0</v>
      </c>
      <c r="W293" s="49">
        <f>資料儲存!G4789</f>
        <v>0</v>
      </c>
      <c r="X293" s="49">
        <f>資料儲存!H4789</f>
        <v>0</v>
      </c>
      <c r="Y293" s="49">
        <f>資料儲存!I4789</f>
        <v>0</v>
      </c>
      <c r="Z293" s="49">
        <f>資料儲存!J4789</f>
        <v>0</v>
      </c>
      <c r="AA293" s="52"/>
      <c r="AB293" s="68">
        <v>48</v>
      </c>
      <c r="AC293" s="49">
        <f>資料儲存!D5029</f>
        <v>0</v>
      </c>
      <c r="AD293" s="49">
        <f>資料儲存!E5029</f>
        <v>0</v>
      </c>
      <c r="AE293" s="49">
        <f>資料儲存!F5029</f>
        <v>0</v>
      </c>
      <c r="AF293" s="49">
        <f>資料儲存!G5029</f>
        <v>0</v>
      </c>
      <c r="AG293" s="49">
        <f>資料儲存!H5029</f>
        <v>0</v>
      </c>
      <c r="AH293" s="49">
        <f>資料儲存!I5029</f>
        <v>0</v>
      </c>
      <c r="AI293" s="49">
        <f>資料儲存!J5029</f>
        <v>0</v>
      </c>
      <c r="AJ293" s="52"/>
    </row>
    <row r="294" spans="1:36" ht="16" thickBot="1">
      <c r="A294" s="68">
        <v>49</v>
      </c>
      <c r="B294" s="49">
        <f>資料儲存!D4310</f>
        <v>0</v>
      </c>
      <c r="C294" s="49">
        <f>資料儲存!E4310</f>
        <v>0</v>
      </c>
      <c r="D294" s="49">
        <f>資料儲存!F4310</f>
        <v>0</v>
      </c>
      <c r="E294" s="49">
        <f>資料儲存!G4310</f>
        <v>0</v>
      </c>
      <c r="F294" s="49">
        <f>資料儲存!H4310</f>
        <v>0</v>
      </c>
      <c r="G294" s="49">
        <f>資料儲存!I4310</f>
        <v>0</v>
      </c>
      <c r="H294" s="49">
        <f>資料儲存!J4310</f>
        <v>0</v>
      </c>
      <c r="I294" s="52"/>
      <c r="J294" s="68">
        <v>49</v>
      </c>
      <c r="K294" s="49">
        <f>資料儲存!D4550</f>
        <v>0</v>
      </c>
      <c r="L294" s="49">
        <f>資料儲存!E4550</f>
        <v>0</v>
      </c>
      <c r="M294" s="49">
        <f>資料儲存!F4550</f>
        <v>0</v>
      </c>
      <c r="N294" s="49">
        <f>資料儲存!G4550</f>
        <v>0</v>
      </c>
      <c r="O294" s="49">
        <f>資料儲存!H4550</f>
        <v>0</v>
      </c>
      <c r="P294" s="49">
        <f>資料儲存!I4550</f>
        <v>0</v>
      </c>
      <c r="Q294" s="49">
        <f>資料儲存!J4550</f>
        <v>0</v>
      </c>
      <c r="R294" s="52"/>
      <c r="S294" s="68">
        <v>49</v>
      </c>
      <c r="T294" s="49">
        <f>資料儲存!D4790</f>
        <v>0</v>
      </c>
      <c r="U294" s="49">
        <f>資料儲存!E4790</f>
        <v>0</v>
      </c>
      <c r="V294" s="49">
        <f>資料儲存!F4790</f>
        <v>0</v>
      </c>
      <c r="W294" s="49">
        <f>資料儲存!G4790</f>
        <v>0</v>
      </c>
      <c r="X294" s="49">
        <f>資料儲存!H4790</f>
        <v>0</v>
      </c>
      <c r="Y294" s="49">
        <f>資料儲存!I4790</f>
        <v>0</v>
      </c>
      <c r="Z294" s="49">
        <f>資料儲存!J4790</f>
        <v>0</v>
      </c>
      <c r="AA294" s="52"/>
      <c r="AB294" s="68">
        <v>49</v>
      </c>
      <c r="AC294" s="49">
        <f>資料儲存!D5030</f>
        <v>0</v>
      </c>
      <c r="AD294" s="49">
        <f>資料儲存!E5030</f>
        <v>0</v>
      </c>
      <c r="AE294" s="49">
        <f>資料儲存!F5030</f>
        <v>0</v>
      </c>
      <c r="AF294" s="49">
        <f>資料儲存!G5030</f>
        <v>0</v>
      </c>
      <c r="AG294" s="49">
        <f>資料儲存!H5030</f>
        <v>0</v>
      </c>
      <c r="AH294" s="49">
        <f>資料儲存!I5030</f>
        <v>0</v>
      </c>
      <c r="AI294" s="49">
        <f>資料儲存!J5030</f>
        <v>0</v>
      </c>
      <c r="AJ294" s="52"/>
    </row>
    <row r="295" spans="1:36" ht="16" thickBot="1">
      <c r="A295" s="68">
        <v>50</v>
      </c>
      <c r="B295" s="49">
        <f>資料儲存!D4311</f>
        <v>0</v>
      </c>
      <c r="C295" s="49">
        <f>資料儲存!E4311</f>
        <v>0</v>
      </c>
      <c r="D295" s="49">
        <f>資料儲存!F4311</f>
        <v>0</v>
      </c>
      <c r="E295" s="49">
        <f>資料儲存!G4311</f>
        <v>0</v>
      </c>
      <c r="F295" s="49">
        <f>資料儲存!H4311</f>
        <v>0</v>
      </c>
      <c r="G295" s="49">
        <f>資料儲存!I4311</f>
        <v>0</v>
      </c>
      <c r="H295" s="49">
        <f>資料儲存!J4311</f>
        <v>0</v>
      </c>
      <c r="I295" s="52"/>
      <c r="J295" s="68">
        <v>50</v>
      </c>
      <c r="K295" s="49">
        <f>資料儲存!D4551</f>
        <v>0</v>
      </c>
      <c r="L295" s="49">
        <f>資料儲存!E4551</f>
        <v>0</v>
      </c>
      <c r="M295" s="49">
        <f>資料儲存!F4551</f>
        <v>0</v>
      </c>
      <c r="N295" s="49">
        <f>資料儲存!G4551</f>
        <v>0</v>
      </c>
      <c r="O295" s="49">
        <f>資料儲存!H4551</f>
        <v>0</v>
      </c>
      <c r="P295" s="49">
        <f>資料儲存!I4551</f>
        <v>0</v>
      </c>
      <c r="Q295" s="49">
        <f>資料儲存!J4551</f>
        <v>0</v>
      </c>
      <c r="R295" s="52"/>
      <c r="S295" s="68">
        <v>50</v>
      </c>
      <c r="T295" s="49">
        <f>資料儲存!D4791</f>
        <v>0</v>
      </c>
      <c r="U295" s="49">
        <f>資料儲存!E4791</f>
        <v>0</v>
      </c>
      <c r="V295" s="49">
        <f>資料儲存!F4791</f>
        <v>0</v>
      </c>
      <c r="W295" s="49">
        <f>資料儲存!G4791</f>
        <v>0</v>
      </c>
      <c r="X295" s="49">
        <f>資料儲存!H4791</f>
        <v>0</v>
      </c>
      <c r="Y295" s="49">
        <f>資料儲存!I4791</f>
        <v>0</v>
      </c>
      <c r="Z295" s="49">
        <f>資料儲存!J4791</f>
        <v>0</v>
      </c>
      <c r="AA295" s="52"/>
      <c r="AB295" s="68">
        <v>50</v>
      </c>
      <c r="AC295" s="49">
        <f>資料儲存!D5031</f>
        <v>0</v>
      </c>
      <c r="AD295" s="49">
        <f>資料儲存!E5031</f>
        <v>0</v>
      </c>
      <c r="AE295" s="49">
        <f>資料儲存!F5031</f>
        <v>0</v>
      </c>
      <c r="AF295" s="49">
        <f>資料儲存!G5031</f>
        <v>0</v>
      </c>
      <c r="AG295" s="49">
        <f>資料儲存!H5031</f>
        <v>0</v>
      </c>
      <c r="AH295" s="49">
        <f>資料儲存!I5031</f>
        <v>0</v>
      </c>
      <c r="AI295" s="49">
        <f>資料儲存!J5031</f>
        <v>0</v>
      </c>
      <c r="AJ295" s="52"/>
    </row>
    <row r="296" spans="1:36" ht="16" thickBot="1">
      <c r="A296" s="68">
        <v>51</v>
      </c>
      <c r="B296" s="49">
        <f>資料儲存!D4312</f>
        <v>0</v>
      </c>
      <c r="C296" s="49">
        <f>資料儲存!E4312</f>
        <v>0</v>
      </c>
      <c r="D296" s="49">
        <f>資料儲存!F4312</f>
        <v>0</v>
      </c>
      <c r="E296" s="49">
        <f>資料儲存!G4312</f>
        <v>0</v>
      </c>
      <c r="F296" s="49">
        <f>資料儲存!H4312</f>
        <v>0</v>
      </c>
      <c r="G296" s="49">
        <f>資料儲存!I4312</f>
        <v>0</v>
      </c>
      <c r="H296" s="49">
        <f>資料儲存!J4312</f>
        <v>0</v>
      </c>
      <c r="I296" s="52"/>
      <c r="J296" s="68">
        <v>51</v>
      </c>
      <c r="K296" s="49">
        <f>資料儲存!D4552</f>
        <v>0</v>
      </c>
      <c r="L296" s="49">
        <f>資料儲存!E4552</f>
        <v>0</v>
      </c>
      <c r="M296" s="49">
        <f>資料儲存!F4552</f>
        <v>0</v>
      </c>
      <c r="N296" s="49">
        <f>資料儲存!G4552</f>
        <v>0</v>
      </c>
      <c r="O296" s="49">
        <f>資料儲存!H4552</f>
        <v>0</v>
      </c>
      <c r="P296" s="49">
        <f>資料儲存!I4552</f>
        <v>0</v>
      </c>
      <c r="Q296" s="49">
        <f>資料儲存!J4552</f>
        <v>0</v>
      </c>
      <c r="R296" s="52"/>
      <c r="S296" s="68">
        <v>51</v>
      </c>
      <c r="T296" s="49">
        <f>資料儲存!D4792</f>
        <v>0</v>
      </c>
      <c r="U296" s="49">
        <f>資料儲存!E4792</f>
        <v>0</v>
      </c>
      <c r="V296" s="49">
        <f>資料儲存!F4792</f>
        <v>0</v>
      </c>
      <c r="W296" s="49">
        <f>資料儲存!G4792</f>
        <v>0</v>
      </c>
      <c r="X296" s="49">
        <f>資料儲存!H4792</f>
        <v>0</v>
      </c>
      <c r="Y296" s="49">
        <f>資料儲存!I4792</f>
        <v>0</v>
      </c>
      <c r="Z296" s="49">
        <f>資料儲存!J4792</f>
        <v>0</v>
      </c>
      <c r="AA296" s="52"/>
      <c r="AB296" s="68">
        <v>51</v>
      </c>
      <c r="AC296" s="49">
        <f>資料儲存!D5032</f>
        <v>0</v>
      </c>
      <c r="AD296" s="49">
        <f>資料儲存!E5032</f>
        <v>0</v>
      </c>
      <c r="AE296" s="49">
        <f>資料儲存!F5032</f>
        <v>0</v>
      </c>
      <c r="AF296" s="49">
        <f>資料儲存!G5032</f>
        <v>0</v>
      </c>
      <c r="AG296" s="49">
        <f>資料儲存!H5032</f>
        <v>0</v>
      </c>
      <c r="AH296" s="49">
        <f>資料儲存!I5032</f>
        <v>0</v>
      </c>
      <c r="AI296" s="49">
        <f>資料儲存!J5032</f>
        <v>0</v>
      </c>
      <c r="AJ296" s="52"/>
    </row>
    <row r="297" spans="1:36" ht="16" thickBot="1">
      <c r="A297" s="68">
        <v>52</v>
      </c>
      <c r="B297" s="49">
        <f>資料儲存!D4313</f>
        <v>0</v>
      </c>
      <c r="C297" s="49">
        <f>資料儲存!E4313</f>
        <v>0</v>
      </c>
      <c r="D297" s="49">
        <f>資料儲存!F4313</f>
        <v>0</v>
      </c>
      <c r="E297" s="49">
        <f>資料儲存!G4313</f>
        <v>0</v>
      </c>
      <c r="F297" s="49">
        <f>資料儲存!H4313</f>
        <v>0</v>
      </c>
      <c r="G297" s="49">
        <f>資料儲存!I4313</f>
        <v>0</v>
      </c>
      <c r="H297" s="49">
        <f>資料儲存!J4313</f>
        <v>0</v>
      </c>
      <c r="I297" s="52"/>
      <c r="J297" s="68">
        <v>52</v>
      </c>
      <c r="K297" s="49">
        <f>資料儲存!D4553</f>
        <v>0</v>
      </c>
      <c r="L297" s="49">
        <f>資料儲存!E4553</f>
        <v>0</v>
      </c>
      <c r="M297" s="49">
        <f>資料儲存!F4553</f>
        <v>0</v>
      </c>
      <c r="N297" s="49">
        <f>資料儲存!G4553</f>
        <v>0</v>
      </c>
      <c r="O297" s="49">
        <f>資料儲存!H4553</f>
        <v>0</v>
      </c>
      <c r="P297" s="49">
        <f>資料儲存!I4553</f>
        <v>0</v>
      </c>
      <c r="Q297" s="49">
        <f>資料儲存!J4553</f>
        <v>0</v>
      </c>
      <c r="R297" s="52"/>
      <c r="S297" s="68">
        <v>52</v>
      </c>
      <c r="T297" s="49">
        <f>資料儲存!D4793</f>
        <v>0</v>
      </c>
      <c r="U297" s="49">
        <f>資料儲存!E4793</f>
        <v>0</v>
      </c>
      <c r="V297" s="49">
        <f>資料儲存!F4793</f>
        <v>0</v>
      </c>
      <c r="W297" s="49">
        <f>資料儲存!G4793</f>
        <v>0</v>
      </c>
      <c r="X297" s="49">
        <f>資料儲存!H4793</f>
        <v>0</v>
      </c>
      <c r="Y297" s="49">
        <f>資料儲存!I4793</f>
        <v>0</v>
      </c>
      <c r="Z297" s="49">
        <f>資料儲存!J4793</f>
        <v>0</v>
      </c>
      <c r="AA297" s="52"/>
      <c r="AB297" s="68">
        <v>52</v>
      </c>
      <c r="AC297" s="49">
        <f>資料儲存!D5033</f>
        <v>0</v>
      </c>
      <c r="AD297" s="49">
        <f>資料儲存!E5033</f>
        <v>0</v>
      </c>
      <c r="AE297" s="49">
        <f>資料儲存!F5033</f>
        <v>0</v>
      </c>
      <c r="AF297" s="49">
        <f>資料儲存!G5033</f>
        <v>0</v>
      </c>
      <c r="AG297" s="49">
        <f>資料儲存!H5033</f>
        <v>0</v>
      </c>
      <c r="AH297" s="49">
        <f>資料儲存!I5033</f>
        <v>0</v>
      </c>
      <c r="AI297" s="49">
        <f>資料儲存!J5033</f>
        <v>0</v>
      </c>
      <c r="AJ297" s="52"/>
    </row>
    <row r="298" spans="1:36" ht="16" thickBot="1">
      <c r="A298" s="68">
        <v>53</v>
      </c>
      <c r="B298" s="49">
        <f>資料儲存!D4314</f>
        <v>0</v>
      </c>
      <c r="C298" s="49">
        <f>資料儲存!E4314</f>
        <v>0</v>
      </c>
      <c r="D298" s="49">
        <f>資料儲存!F4314</f>
        <v>0</v>
      </c>
      <c r="E298" s="49">
        <f>資料儲存!G4314</f>
        <v>0</v>
      </c>
      <c r="F298" s="49">
        <f>資料儲存!H4314</f>
        <v>0</v>
      </c>
      <c r="G298" s="49">
        <f>資料儲存!I4314</f>
        <v>0</v>
      </c>
      <c r="H298" s="49">
        <f>資料儲存!J4314</f>
        <v>0</v>
      </c>
      <c r="I298" s="52"/>
      <c r="J298" s="68">
        <v>53</v>
      </c>
      <c r="K298" s="49">
        <f>資料儲存!D4554</f>
        <v>0</v>
      </c>
      <c r="L298" s="49">
        <f>資料儲存!E4554</f>
        <v>0</v>
      </c>
      <c r="M298" s="49">
        <f>資料儲存!F4554</f>
        <v>0</v>
      </c>
      <c r="N298" s="49">
        <f>資料儲存!G4554</f>
        <v>0</v>
      </c>
      <c r="O298" s="49">
        <f>資料儲存!H4554</f>
        <v>0</v>
      </c>
      <c r="P298" s="49">
        <f>資料儲存!I4554</f>
        <v>0</v>
      </c>
      <c r="Q298" s="49">
        <f>資料儲存!J4554</f>
        <v>0</v>
      </c>
      <c r="R298" s="52"/>
      <c r="S298" s="68">
        <v>53</v>
      </c>
      <c r="T298" s="49">
        <f>資料儲存!D4794</f>
        <v>0</v>
      </c>
      <c r="U298" s="49">
        <f>資料儲存!E4794</f>
        <v>0</v>
      </c>
      <c r="V298" s="49">
        <f>資料儲存!F4794</f>
        <v>0</v>
      </c>
      <c r="W298" s="49">
        <f>資料儲存!G4794</f>
        <v>0</v>
      </c>
      <c r="X298" s="49">
        <f>資料儲存!H4794</f>
        <v>0</v>
      </c>
      <c r="Y298" s="49">
        <f>資料儲存!I4794</f>
        <v>0</v>
      </c>
      <c r="Z298" s="49">
        <f>資料儲存!J4794</f>
        <v>0</v>
      </c>
      <c r="AA298" s="52"/>
      <c r="AB298" s="68">
        <v>53</v>
      </c>
      <c r="AC298" s="49">
        <f>資料儲存!D5034</f>
        <v>0</v>
      </c>
      <c r="AD298" s="49">
        <f>資料儲存!E5034</f>
        <v>0</v>
      </c>
      <c r="AE298" s="49">
        <f>資料儲存!F5034</f>
        <v>0</v>
      </c>
      <c r="AF298" s="49">
        <f>資料儲存!G5034</f>
        <v>0</v>
      </c>
      <c r="AG298" s="49">
        <f>資料儲存!H5034</f>
        <v>0</v>
      </c>
      <c r="AH298" s="49">
        <f>資料儲存!I5034</f>
        <v>0</v>
      </c>
      <c r="AI298" s="49">
        <f>資料儲存!J5034</f>
        <v>0</v>
      </c>
      <c r="AJ298" s="52"/>
    </row>
    <row r="299" spans="1:36" ht="16" thickBot="1">
      <c r="A299" s="68">
        <v>54</v>
      </c>
      <c r="B299" s="49">
        <f>資料儲存!D4315</f>
        <v>0</v>
      </c>
      <c r="C299" s="49">
        <f>資料儲存!E4315</f>
        <v>0</v>
      </c>
      <c r="D299" s="49">
        <f>資料儲存!F4315</f>
        <v>0</v>
      </c>
      <c r="E299" s="49">
        <f>資料儲存!G4315</f>
        <v>0</v>
      </c>
      <c r="F299" s="49">
        <f>資料儲存!H4315</f>
        <v>0</v>
      </c>
      <c r="G299" s="49">
        <f>資料儲存!I4315</f>
        <v>0</v>
      </c>
      <c r="H299" s="49">
        <f>資料儲存!J4315</f>
        <v>0</v>
      </c>
      <c r="I299" s="52"/>
      <c r="J299" s="68">
        <v>54</v>
      </c>
      <c r="K299" s="49">
        <f>資料儲存!D4555</f>
        <v>0</v>
      </c>
      <c r="L299" s="49">
        <f>資料儲存!E4555</f>
        <v>0</v>
      </c>
      <c r="M299" s="49">
        <f>資料儲存!F4555</f>
        <v>0</v>
      </c>
      <c r="N299" s="49">
        <f>資料儲存!G4555</f>
        <v>0</v>
      </c>
      <c r="O299" s="49">
        <f>資料儲存!H4555</f>
        <v>0</v>
      </c>
      <c r="P299" s="49">
        <f>資料儲存!I4555</f>
        <v>0</v>
      </c>
      <c r="Q299" s="49">
        <f>資料儲存!J4555</f>
        <v>0</v>
      </c>
      <c r="R299" s="52"/>
      <c r="S299" s="68">
        <v>54</v>
      </c>
      <c r="T299" s="49">
        <f>資料儲存!D4795</f>
        <v>0</v>
      </c>
      <c r="U299" s="49">
        <f>資料儲存!E4795</f>
        <v>0</v>
      </c>
      <c r="V299" s="49">
        <f>資料儲存!F4795</f>
        <v>0</v>
      </c>
      <c r="W299" s="49">
        <f>資料儲存!G4795</f>
        <v>0</v>
      </c>
      <c r="X299" s="49">
        <f>資料儲存!H4795</f>
        <v>0</v>
      </c>
      <c r="Y299" s="49">
        <f>資料儲存!I4795</f>
        <v>0</v>
      </c>
      <c r="Z299" s="49">
        <f>資料儲存!J4795</f>
        <v>0</v>
      </c>
      <c r="AA299" s="52"/>
      <c r="AB299" s="68">
        <v>54</v>
      </c>
      <c r="AC299" s="49">
        <f>資料儲存!D5035</f>
        <v>0</v>
      </c>
      <c r="AD299" s="49">
        <f>資料儲存!E5035</f>
        <v>0</v>
      </c>
      <c r="AE299" s="49">
        <f>資料儲存!F5035</f>
        <v>0</v>
      </c>
      <c r="AF299" s="49">
        <f>資料儲存!G5035</f>
        <v>0</v>
      </c>
      <c r="AG299" s="49">
        <f>資料儲存!H5035</f>
        <v>0</v>
      </c>
      <c r="AH299" s="49">
        <f>資料儲存!I5035</f>
        <v>0</v>
      </c>
      <c r="AI299" s="49">
        <f>資料儲存!J5035</f>
        <v>0</v>
      </c>
      <c r="AJ299" s="52"/>
    </row>
    <row r="300" spans="1:36" ht="16" thickBot="1">
      <c r="A300" s="68">
        <v>55</v>
      </c>
      <c r="B300" s="49">
        <f>資料儲存!D4316</f>
        <v>0</v>
      </c>
      <c r="C300" s="49">
        <f>資料儲存!E4316</f>
        <v>0</v>
      </c>
      <c r="D300" s="49">
        <f>資料儲存!F4316</f>
        <v>0</v>
      </c>
      <c r="E300" s="49">
        <f>資料儲存!G4316</f>
        <v>0</v>
      </c>
      <c r="F300" s="49">
        <f>資料儲存!H4316</f>
        <v>0</v>
      </c>
      <c r="G300" s="49">
        <f>資料儲存!I4316</f>
        <v>0</v>
      </c>
      <c r="H300" s="49">
        <f>資料儲存!J4316</f>
        <v>0</v>
      </c>
      <c r="I300" s="52"/>
      <c r="J300" s="68">
        <v>55</v>
      </c>
      <c r="K300" s="49">
        <f>資料儲存!D4556</f>
        <v>0</v>
      </c>
      <c r="L300" s="49">
        <f>資料儲存!E4556</f>
        <v>0</v>
      </c>
      <c r="M300" s="49">
        <f>資料儲存!F4556</f>
        <v>0</v>
      </c>
      <c r="N300" s="49">
        <f>資料儲存!G4556</f>
        <v>0</v>
      </c>
      <c r="O300" s="49">
        <f>資料儲存!H4556</f>
        <v>0</v>
      </c>
      <c r="P300" s="49">
        <f>資料儲存!I4556</f>
        <v>0</v>
      </c>
      <c r="Q300" s="49">
        <f>資料儲存!J4556</f>
        <v>0</v>
      </c>
      <c r="R300" s="52"/>
      <c r="S300" s="68">
        <v>55</v>
      </c>
      <c r="T300" s="49">
        <f>資料儲存!D4796</f>
        <v>0</v>
      </c>
      <c r="U300" s="49">
        <f>資料儲存!E4796</f>
        <v>0</v>
      </c>
      <c r="V300" s="49">
        <f>資料儲存!F4796</f>
        <v>0</v>
      </c>
      <c r="W300" s="49">
        <f>資料儲存!G4796</f>
        <v>0</v>
      </c>
      <c r="X300" s="49">
        <f>資料儲存!H4796</f>
        <v>0</v>
      </c>
      <c r="Y300" s="49">
        <f>資料儲存!I4796</f>
        <v>0</v>
      </c>
      <c r="Z300" s="49">
        <f>資料儲存!J4796</f>
        <v>0</v>
      </c>
      <c r="AA300" s="52"/>
      <c r="AB300" s="68">
        <v>55</v>
      </c>
      <c r="AC300" s="49">
        <f>資料儲存!D5036</f>
        <v>0</v>
      </c>
      <c r="AD300" s="49">
        <f>資料儲存!E5036</f>
        <v>0</v>
      </c>
      <c r="AE300" s="49">
        <f>資料儲存!F5036</f>
        <v>0</v>
      </c>
      <c r="AF300" s="49">
        <f>資料儲存!G5036</f>
        <v>0</v>
      </c>
      <c r="AG300" s="49">
        <f>資料儲存!H5036</f>
        <v>0</v>
      </c>
      <c r="AH300" s="49">
        <f>資料儲存!I5036</f>
        <v>0</v>
      </c>
      <c r="AI300" s="49">
        <f>資料儲存!J5036</f>
        <v>0</v>
      </c>
      <c r="AJ300" s="52"/>
    </row>
    <row r="301" spans="1:36" ht="16" thickBot="1">
      <c r="A301" s="68">
        <v>56</v>
      </c>
      <c r="B301" s="49">
        <f>資料儲存!D4317</f>
        <v>0</v>
      </c>
      <c r="C301" s="49">
        <f>資料儲存!E4317</f>
        <v>0</v>
      </c>
      <c r="D301" s="49">
        <f>資料儲存!F4317</f>
        <v>0</v>
      </c>
      <c r="E301" s="49">
        <f>資料儲存!G4317</f>
        <v>0</v>
      </c>
      <c r="F301" s="49">
        <f>資料儲存!H4317</f>
        <v>0</v>
      </c>
      <c r="G301" s="49">
        <f>資料儲存!I4317</f>
        <v>0</v>
      </c>
      <c r="H301" s="49">
        <f>資料儲存!J4317</f>
        <v>0</v>
      </c>
      <c r="I301" s="52"/>
      <c r="J301" s="68">
        <v>56</v>
      </c>
      <c r="K301" s="49">
        <f>資料儲存!D4557</f>
        <v>0</v>
      </c>
      <c r="L301" s="49">
        <f>資料儲存!E4557</f>
        <v>0</v>
      </c>
      <c r="M301" s="49">
        <f>資料儲存!F4557</f>
        <v>0</v>
      </c>
      <c r="N301" s="49">
        <f>資料儲存!G4557</f>
        <v>0</v>
      </c>
      <c r="O301" s="49">
        <f>資料儲存!H4557</f>
        <v>0</v>
      </c>
      <c r="P301" s="49">
        <f>資料儲存!I4557</f>
        <v>0</v>
      </c>
      <c r="Q301" s="49">
        <f>資料儲存!J4557</f>
        <v>0</v>
      </c>
      <c r="R301" s="52"/>
      <c r="S301" s="68">
        <v>56</v>
      </c>
      <c r="T301" s="49">
        <f>資料儲存!D4797</f>
        <v>0</v>
      </c>
      <c r="U301" s="49">
        <f>資料儲存!E4797</f>
        <v>0</v>
      </c>
      <c r="V301" s="49">
        <f>資料儲存!F4797</f>
        <v>0</v>
      </c>
      <c r="W301" s="49">
        <f>資料儲存!G4797</f>
        <v>0</v>
      </c>
      <c r="X301" s="49">
        <f>資料儲存!H4797</f>
        <v>0</v>
      </c>
      <c r="Y301" s="49">
        <f>資料儲存!I4797</f>
        <v>0</v>
      </c>
      <c r="Z301" s="49">
        <f>資料儲存!J4797</f>
        <v>0</v>
      </c>
      <c r="AA301" s="52"/>
      <c r="AB301" s="68">
        <v>56</v>
      </c>
      <c r="AC301" s="49">
        <f>資料儲存!D5037</f>
        <v>0</v>
      </c>
      <c r="AD301" s="49">
        <f>資料儲存!E5037</f>
        <v>0</v>
      </c>
      <c r="AE301" s="49">
        <f>資料儲存!F5037</f>
        <v>0</v>
      </c>
      <c r="AF301" s="49">
        <f>資料儲存!G5037</f>
        <v>0</v>
      </c>
      <c r="AG301" s="49">
        <f>資料儲存!H5037</f>
        <v>0</v>
      </c>
      <c r="AH301" s="49">
        <f>資料儲存!I5037</f>
        <v>0</v>
      </c>
      <c r="AI301" s="49">
        <f>資料儲存!J5037</f>
        <v>0</v>
      </c>
      <c r="AJ301" s="52"/>
    </row>
    <row r="302" spans="1:36" ht="16" thickBot="1">
      <c r="A302" s="68">
        <v>57</v>
      </c>
      <c r="B302" s="49">
        <f>資料儲存!D4318</f>
        <v>0</v>
      </c>
      <c r="C302" s="49">
        <f>資料儲存!E4318</f>
        <v>0</v>
      </c>
      <c r="D302" s="49">
        <f>資料儲存!F4318</f>
        <v>0</v>
      </c>
      <c r="E302" s="49">
        <f>資料儲存!G4318</f>
        <v>0</v>
      </c>
      <c r="F302" s="49">
        <f>資料儲存!H4318</f>
        <v>0</v>
      </c>
      <c r="G302" s="49">
        <f>資料儲存!I4318</f>
        <v>0</v>
      </c>
      <c r="H302" s="49">
        <f>資料儲存!J4318</f>
        <v>0</v>
      </c>
      <c r="I302" s="52"/>
      <c r="J302" s="68">
        <v>57</v>
      </c>
      <c r="K302" s="49">
        <f>資料儲存!D4558</f>
        <v>0</v>
      </c>
      <c r="L302" s="49">
        <f>資料儲存!E4558</f>
        <v>0</v>
      </c>
      <c r="M302" s="49">
        <f>資料儲存!F4558</f>
        <v>0</v>
      </c>
      <c r="N302" s="49">
        <f>資料儲存!G4558</f>
        <v>0</v>
      </c>
      <c r="O302" s="49">
        <f>資料儲存!H4558</f>
        <v>0</v>
      </c>
      <c r="P302" s="49">
        <f>資料儲存!I4558</f>
        <v>0</v>
      </c>
      <c r="Q302" s="49">
        <f>資料儲存!J4558</f>
        <v>0</v>
      </c>
      <c r="R302" s="52"/>
      <c r="S302" s="68">
        <v>57</v>
      </c>
      <c r="T302" s="49">
        <f>資料儲存!D4798</f>
        <v>0</v>
      </c>
      <c r="U302" s="49">
        <f>資料儲存!E4798</f>
        <v>0</v>
      </c>
      <c r="V302" s="49">
        <f>資料儲存!F4798</f>
        <v>0</v>
      </c>
      <c r="W302" s="49">
        <f>資料儲存!G4798</f>
        <v>0</v>
      </c>
      <c r="X302" s="49">
        <f>資料儲存!H4798</f>
        <v>0</v>
      </c>
      <c r="Y302" s="49">
        <f>資料儲存!I4798</f>
        <v>0</v>
      </c>
      <c r="Z302" s="49">
        <f>資料儲存!J4798</f>
        <v>0</v>
      </c>
      <c r="AA302" s="52"/>
      <c r="AB302" s="68">
        <v>57</v>
      </c>
      <c r="AC302" s="49">
        <f>資料儲存!D5038</f>
        <v>0</v>
      </c>
      <c r="AD302" s="49">
        <f>資料儲存!E5038</f>
        <v>0</v>
      </c>
      <c r="AE302" s="49">
        <f>資料儲存!F5038</f>
        <v>0</v>
      </c>
      <c r="AF302" s="49">
        <f>資料儲存!G5038</f>
        <v>0</v>
      </c>
      <c r="AG302" s="49">
        <f>資料儲存!H5038</f>
        <v>0</v>
      </c>
      <c r="AH302" s="49">
        <f>資料儲存!I5038</f>
        <v>0</v>
      </c>
      <c r="AI302" s="49">
        <f>資料儲存!J5038</f>
        <v>0</v>
      </c>
      <c r="AJ302" s="52"/>
    </row>
    <row r="303" spans="1:36" ht="16" thickBot="1">
      <c r="A303" s="68">
        <v>58</v>
      </c>
      <c r="B303" s="49">
        <f>資料儲存!D4319</f>
        <v>0</v>
      </c>
      <c r="C303" s="49">
        <f>資料儲存!E4319</f>
        <v>0</v>
      </c>
      <c r="D303" s="49">
        <f>資料儲存!F4319</f>
        <v>0</v>
      </c>
      <c r="E303" s="49">
        <f>資料儲存!G4319</f>
        <v>0</v>
      </c>
      <c r="F303" s="49">
        <f>資料儲存!H4319</f>
        <v>0</v>
      </c>
      <c r="G303" s="49">
        <f>資料儲存!I4319</f>
        <v>0</v>
      </c>
      <c r="H303" s="49">
        <f>資料儲存!J4319</f>
        <v>0</v>
      </c>
      <c r="I303" s="52"/>
      <c r="J303" s="68">
        <v>58</v>
      </c>
      <c r="K303" s="49">
        <f>資料儲存!D4559</f>
        <v>0</v>
      </c>
      <c r="L303" s="49">
        <f>資料儲存!E4559</f>
        <v>0</v>
      </c>
      <c r="M303" s="49">
        <f>資料儲存!F4559</f>
        <v>0</v>
      </c>
      <c r="N303" s="49">
        <f>資料儲存!G4559</f>
        <v>0</v>
      </c>
      <c r="O303" s="49">
        <f>資料儲存!H4559</f>
        <v>0</v>
      </c>
      <c r="P303" s="49">
        <f>資料儲存!I4559</f>
        <v>0</v>
      </c>
      <c r="Q303" s="49">
        <f>資料儲存!J4559</f>
        <v>0</v>
      </c>
      <c r="R303" s="52"/>
      <c r="S303" s="68">
        <v>58</v>
      </c>
      <c r="T303" s="49">
        <f>資料儲存!D4799</f>
        <v>0</v>
      </c>
      <c r="U303" s="49">
        <f>資料儲存!E4799</f>
        <v>0</v>
      </c>
      <c r="V303" s="49">
        <f>資料儲存!F4799</f>
        <v>0</v>
      </c>
      <c r="W303" s="49">
        <f>資料儲存!G4799</f>
        <v>0</v>
      </c>
      <c r="X303" s="49">
        <f>資料儲存!H4799</f>
        <v>0</v>
      </c>
      <c r="Y303" s="49">
        <f>資料儲存!I4799</f>
        <v>0</v>
      </c>
      <c r="Z303" s="49">
        <f>資料儲存!J4799</f>
        <v>0</v>
      </c>
      <c r="AA303" s="52"/>
      <c r="AB303" s="68">
        <v>58</v>
      </c>
      <c r="AC303" s="49">
        <f>資料儲存!D5039</f>
        <v>0</v>
      </c>
      <c r="AD303" s="49">
        <f>資料儲存!E5039</f>
        <v>0</v>
      </c>
      <c r="AE303" s="49">
        <f>資料儲存!F5039</f>
        <v>0</v>
      </c>
      <c r="AF303" s="49">
        <f>資料儲存!G5039</f>
        <v>0</v>
      </c>
      <c r="AG303" s="49">
        <f>資料儲存!H5039</f>
        <v>0</v>
      </c>
      <c r="AH303" s="49">
        <f>資料儲存!I5039</f>
        <v>0</v>
      </c>
      <c r="AI303" s="49">
        <f>資料儲存!J5039</f>
        <v>0</v>
      </c>
      <c r="AJ303" s="52"/>
    </row>
    <row r="304" spans="1:36" ht="16" thickBot="1">
      <c r="A304" s="68">
        <v>59</v>
      </c>
      <c r="B304" s="49">
        <f>資料儲存!D4320</f>
        <v>0</v>
      </c>
      <c r="C304" s="49">
        <f>資料儲存!E4320</f>
        <v>0</v>
      </c>
      <c r="D304" s="49">
        <f>資料儲存!F4320</f>
        <v>0</v>
      </c>
      <c r="E304" s="49">
        <f>資料儲存!G4320</f>
        <v>0</v>
      </c>
      <c r="F304" s="49">
        <f>資料儲存!H4320</f>
        <v>0</v>
      </c>
      <c r="G304" s="49">
        <f>資料儲存!I4320</f>
        <v>0</v>
      </c>
      <c r="H304" s="49">
        <f>資料儲存!J4320</f>
        <v>0</v>
      </c>
      <c r="I304" s="52"/>
      <c r="J304" s="68">
        <v>59</v>
      </c>
      <c r="K304" s="49">
        <f>資料儲存!D4560</f>
        <v>0</v>
      </c>
      <c r="L304" s="49">
        <f>資料儲存!E4560</f>
        <v>0</v>
      </c>
      <c r="M304" s="49">
        <f>資料儲存!F4560</f>
        <v>0</v>
      </c>
      <c r="N304" s="49">
        <f>資料儲存!G4560</f>
        <v>0</v>
      </c>
      <c r="O304" s="49">
        <f>資料儲存!H4560</f>
        <v>0</v>
      </c>
      <c r="P304" s="49">
        <f>資料儲存!I4560</f>
        <v>0</v>
      </c>
      <c r="Q304" s="49">
        <f>資料儲存!J4560</f>
        <v>0</v>
      </c>
      <c r="R304" s="52"/>
      <c r="S304" s="68">
        <v>59</v>
      </c>
      <c r="T304" s="49">
        <f>資料儲存!D4800</f>
        <v>0</v>
      </c>
      <c r="U304" s="49">
        <f>資料儲存!E4800</f>
        <v>0</v>
      </c>
      <c r="V304" s="49">
        <f>資料儲存!F4800</f>
        <v>0</v>
      </c>
      <c r="W304" s="49">
        <f>資料儲存!G4800</f>
        <v>0</v>
      </c>
      <c r="X304" s="49">
        <f>資料儲存!H4800</f>
        <v>0</v>
      </c>
      <c r="Y304" s="49">
        <f>資料儲存!I4800</f>
        <v>0</v>
      </c>
      <c r="Z304" s="49">
        <f>資料儲存!J4800</f>
        <v>0</v>
      </c>
      <c r="AA304" s="52"/>
      <c r="AB304" s="68">
        <v>59</v>
      </c>
      <c r="AC304" s="49">
        <f>資料儲存!D5040</f>
        <v>0</v>
      </c>
      <c r="AD304" s="49">
        <f>資料儲存!E5040</f>
        <v>0</v>
      </c>
      <c r="AE304" s="49">
        <f>資料儲存!F5040</f>
        <v>0</v>
      </c>
      <c r="AF304" s="49">
        <f>資料儲存!G5040</f>
        <v>0</v>
      </c>
      <c r="AG304" s="49">
        <f>資料儲存!H5040</f>
        <v>0</v>
      </c>
      <c r="AH304" s="49">
        <f>資料儲存!I5040</f>
        <v>0</v>
      </c>
      <c r="AI304" s="49">
        <f>資料儲存!J5040</f>
        <v>0</v>
      </c>
      <c r="AJ304" s="52"/>
    </row>
    <row r="305" spans="1:36" ht="16" thickBot="1">
      <c r="A305" s="68">
        <v>60</v>
      </c>
      <c r="B305" s="49">
        <f>資料儲存!D4321</f>
        <v>0</v>
      </c>
      <c r="C305" s="49">
        <f>資料儲存!E4321</f>
        <v>0</v>
      </c>
      <c r="D305" s="49">
        <f>資料儲存!F4321</f>
        <v>0</v>
      </c>
      <c r="E305" s="49">
        <f>資料儲存!G4321</f>
        <v>0</v>
      </c>
      <c r="F305" s="49">
        <f>資料儲存!H4321</f>
        <v>0</v>
      </c>
      <c r="G305" s="49">
        <f>資料儲存!I4321</f>
        <v>0</v>
      </c>
      <c r="H305" s="49">
        <f>資料儲存!J4321</f>
        <v>0</v>
      </c>
      <c r="I305" s="52"/>
      <c r="J305" s="68">
        <v>60</v>
      </c>
      <c r="K305" s="49">
        <f>資料儲存!D4561</f>
        <v>0</v>
      </c>
      <c r="L305" s="49">
        <f>資料儲存!E4561</f>
        <v>0</v>
      </c>
      <c r="M305" s="49">
        <f>資料儲存!F4561</f>
        <v>0</v>
      </c>
      <c r="N305" s="49">
        <f>資料儲存!G4561</f>
        <v>0</v>
      </c>
      <c r="O305" s="49">
        <f>資料儲存!H4561</f>
        <v>0</v>
      </c>
      <c r="P305" s="49">
        <f>資料儲存!I4561</f>
        <v>0</v>
      </c>
      <c r="Q305" s="49">
        <f>資料儲存!J4561</f>
        <v>0</v>
      </c>
      <c r="R305" s="52"/>
      <c r="S305" s="68">
        <v>60</v>
      </c>
      <c r="T305" s="49">
        <f>資料儲存!D4801</f>
        <v>0</v>
      </c>
      <c r="U305" s="49">
        <f>資料儲存!E4801</f>
        <v>0</v>
      </c>
      <c r="V305" s="49">
        <f>資料儲存!F4801</f>
        <v>0</v>
      </c>
      <c r="W305" s="49">
        <f>資料儲存!G4801</f>
        <v>0</v>
      </c>
      <c r="X305" s="49">
        <f>資料儲存!H4801</f>
        <v>0</v>
      </c>
      <c r="Y305" s="49">
        <f>資料儲存!I4801</f>
        <v>0</v>
      </c>
      <c r="Z305" s="49">
        <f>資料儲存!J4801</f>
        <v>0</v>
      </c>
      <c r="AA305" s="52"/>
      <c r="AB305" s="68">
        <v>60</v>
      </c>
      <c r="AC305" s="49">
        <f>資料儲存!D5041</f>
        <v>0</v>
      </c>
      <c r="AD305" s="49">
        <f>資料儲存!E5041</f>
        <v>0</v>
      </c>
      <c r="AE305" s="49">
        <f>資料儲存!F5041</f>
        <v>0</v>
      </c>
      <c r="AF305" s="49">
        <f>資料儲存!G5041</f>
        <v>0</v>
      </c>
      <c r="AG305" s="49">
        <f>資料儲存!H5041</f>
        <v>0</v>
      </c>
      <c r="AH305" s="49">
        <f>資料儲存!I5041</f>
        <v>0</v>
      </c>
      <c r="AI305" s="49">
        <f>資料儲存!J5041</f>
        <v>0</v>
      </c>
      <c r="AJ305" s="52"/>
    </row>
    <row r="306" spans="1:36" ht="17.25" customHeight="1" thickBot="1">
      <c r="A306" s="50" t="s">
        <v>56</v>
      </c>
      <c r="B306" s="49">
        <f>SUM(B291:E305)</f>
        <v>0</v>
      </c>
      <c r="C306" s="47"/>
      <c r="D306" s="47"/>
      <c r="E306" s="47"/>
      <c r="F306" s="49">
        <f>F305</f>
        <v>0</v>
      </c>
      <c r="G306" s="49">
        <f>G305</f>
        <v>0</v>
      </c>
      <c r="H306" s="49">
        <f>H305</f>
        <v>0</v>
      </c>
      <c r="I306" s="45"/>
      <c r="J306" s="50" t="s">
        <v>56</v>
      </c>
      <c r="K306" s="49">
        <f>SUM(K291:N305)</f>
        <v>0</v>
      </c>
      <c r="L306" s="47"/>
      <c r="M306" s="47"/>
      <c r="N306" s="47"/>
      <c r="O306" s="49">
        <f>O305</f>
        <v>0</v>
      </c>
      <c r="P306" s="49">
        <f>P305</f>
        <v>0</v>
      </c>
      <c r="Q306" s="49">
        <f>Q305</f>
        <v>0</v>
      </c>
      <c r="R306" s="45"/>
      <c r="S306" s="50" t="s">
        <v>56</v>
      </c>
      <c r="T306" s="49">
        <f>SUM(T291:W305)</f>
        <v>0</v>
      </c>
      <c r="U306" s="47"/>
      <c r="V306" s="47"/>
      <c r="W306" s="47"/>
      <c r="X306" s="49">
        <f>X305</f>
        <v>0</v>
      </c>
      <c r="Y306" s="49">
        <f>Y305</f>
        <v>0</v>
      </c>
      <c r="Z306" s="49">
        <f>Z305</f>
        <v>0</v>
      </c>
      <c r="AA306" s="45"/>
      <c r="AB306" s="50" t="s">
        <v>56</v>
      </c>
      <c r="AC306" s="49">
        <f>SUM(AC291:AF305)</f>
        <v>0</v>
      </c>
      <c r="AD306" s="47"/>
      <c r="AE306" s="47"/>
      <c r="AF306" s="47"/>
      <c r="AG306" s="49">
        <f>AG305</f>
        <v>0</v>
      </c>
      <c r="AH306" s="49">
        <f>AH305</f>
        <v>0</v>
      </c>
      <c r="AI306" s="49">
        <f>AI305</f>
        <v>0</v>
      </c>
      <c r="AJ306" s="45"/>
    </row>
  </sheetData>
  <mergeCells count="72">
    <mergeCell ref="A1:H1"/>
    <mergeCell ref="J1:Q1"/>
    <mergeCell ref="S1:Z1"/>
    <mergeCell ref="AB1:AI1"/>
    <mergeCell ref="A2:H2"/>
    <mergeCell ref="J2:Q2"/>
    <mergeCell ref="S2:Z2"/>
    <mergeCell ref="AB2:AI2"/>
    <mergeCell ref="A3:H3"/>
    <mergeCell ref="J3:Q3"/>
    <mergeCell ref="S3:Z3"/>
    <mergeCell ref="AB3:AI3"/>
    <mergeCell ref="A22:H22"/>
    <mergeCell ref="J22:Q22"/>
    <mergeCell ref="S22:Z22"/>
    <mergeCell ref="AB22:AI22"/>
    <mergeCell ref="A41:H41"/>
    <mergeCell ref="J41:Q41"/>
    <mergeCell ref="S41:Z41"/>
    <mergeCell ref="AB41:AI41"/>
    <mergeCell ref="A60:H60"/>
    <mergeCell ref="J60:Q60"/>
    <mergeCell ref="S60:Z60"/>
    <mergeCell ref="AB60:AI60"/>
    <mergeCell ref="A79:H79"/>
    <mergeCell ref="J79:Q79"/>
    <mergeCell ref="S79:Z79"/>
    <mergeCell ref="AB79:AI79"/>
    <mergeCell ref="A98:H98"/>
    <mergeCell ref="J98:Q98"/>
    <mergeCell ref="S98:Z98"/>
    <mergeCell ref="AB98:AI98"/>
    <mergeCell ref="A117:H117"/>
    <mergeCell ref="J117:Q117"/>
    <mergeCell ref="S117:Z117"/>
    <mergeCell ref="AB117:AI117"/>
    <mergeCell ref="A136:H136"/>
    <mergeCell ref="J136:Q136"/>
    <mergeCell ref="S136:Z136"/>
    <mergeCell ref="AB136:AI136"/>
    <mergeCell ref="A155:H155"/>
    <mergeCell ref="J155:Q155"/>
    <mergeCell ref="S155:Z155"/>
    <mergeCell ref="AB155:AI155"/>
    <mergeCell ref="A174:H174"/>
    <mergeCell ref="J174:Q174"/>
    <mergeCell ref="S174:Z174"/>
    <mergeCell ref="AB174:AI174"/>
    <mergeCell ref="A193:H193"/>
    <mergeCell ref="J193:Q193"/>
    <mergeCell ref="S193:Z193"/>
    <mergeCell ref="AB193:AI193"/>
    <mergeCell ref="A212:H212"/>
    <mergeCell ref="J212:Q212"/>
    <mergeCell ref="S212:Z212"/>
    <mergeCell ref="AB212:AI212"/>
    <mergeCell ref="A231:H231"/>
    <mergeCell ref="J231:Q231"/>
    <mergeCell ref="S231:Z231"/>
    <mergeCell ref="AB231:AI231"/>
    <mergeCell ref="A250:H250"/>
    <mergeCell ref="J250:Q250"/>
    <mergeCell ref="S250:Z250"/>
    <mergeCell ref="AB250:AI250"/>
    <mergeCell ref="A269:H269"/>
    <mergeCell ref="J269:Q269"/>
    <mergeCell ref="S269:Z269"/>
    <mergeCell ref="AB269:AI269"/>
    <mergeCell ref="A288:H288"/>
    <mergeCell ref="J288:Q288"/>
    <mergeCell ref="S288:Z288"/>
    <mergeCell ref="AB288:AI288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具名範圍</vt:lpstr>
      </vt:variant>
      <vt:variant>
        <vt:i4>11</vt:i4>
      </vt:variant>
    </vt:vector>
  </HeadingPairs>
  <TitlesOfParts>
    <vt:vector size="26" baseType="lpstr">
      <vt:lpstr>資料儲存</vt:lpstr>
      <vt:lpstr>基本資料</vt:lpstr>
      <vt:lpstr>資料分析</vt:lpstr>
      <vt:lpstr>資料整理</vt:lpstr>
      <vt:lpstr>平日晨峰(0630-0830)</vt:lpstr>
      <vt:lpstr>平日晨峰(07-09)</vt:lpstr>
      <vt:lpstr>平日中午(11-13)</vt:lpstr>
      <vt:lpstr>平日中午(12-14)</vt:lpstr>
      <vt:lpstr>平日昏峰(17-19)</vt:lpstr>
      <vt:lpstr>假日(11-12)</vt:lpstr>
      <vt:lpstr>假日(1430-1530)</vt:lpstr>
      <vt:lpstr>假日(1730-1830)</vt:lpstr>
      <vt:lpstr>假日(16-18)</vt:lpstr>
      <vt:lpstr>假日(17-19)</vt:lpstr>
      <vt:lpstr>假日(16-20)</vt:lpstr>
      <vt:lpstr>'平日中午(11-13)'!Print_Titles</vt:lpstr>
      <vt:lpstr>'平日中午(12-14)'!Print_Titles</vt:lpstr>
      <vt:lpstr>'平日昏峰(17-19)'!Print_Titles</vt:lpstr>
      <vt:lpstr>'平日晨峰(0630-0830)'!Print_Titles</vt:lpstr>
      <vt:lpstr>'平日晨峰(07-09)'!Print_Titles</vt:lpstr>
      <vt:lpstr>'假日(11-12)'!Print_Titles</vt:lpstr>
      <vt:lpstr>'假日(1430-1530)'!Print_Titles</vt:lpstr>
      <vt:lpstr>'假日(16-18)'!Print_Titles</vt:lpstr>
      <vt:lpstr>'假日(16-20)'!Print_Titles</vt:lpstr>
      <vt:lpstr>'假日(17-19)'!Print_Titles</vt:lpstr>
      <vt:lpstr>'假日(1730-1830)'!Print_Titles</vt:lpstr>
    </vt:vector>
  </TitlesOfParts>
  <Manager/>
  <Company>臺灣大學食品科技研究所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iActor 林小淳</dc:creator>
  <cp:keywords/>
  <dc:description/>
  <cp:lastModifiedBy>石宜蘋(Yi-Ping Shih)</cp:lastModifiedBy>
  <cp:revision/>
  <cp:lastPrinted>2024-06-04T04:03:59Z</cp:lastPrinted>
  <dcterms:created xsi:type="dcterms:W3CDTF">2009-12-29T20:45:11Z</dcterms:created>
  <dcterms:modified xsi:type="dcterms:W3CDTF">2025-06-23T04:58:58Z</dcterms:modified>
  <cp:category/>
  <cp:contentStatus/>
</cp:coreProperties>
</file>